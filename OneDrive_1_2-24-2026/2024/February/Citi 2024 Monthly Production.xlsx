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03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0" documentId="13_ncr:1_{8812E23C-A802-4713-AB72-7B8BDA7C9BCD}" xr6:coauthVersionLast="47" xr6:coauthVersionMax="47" xr10:uidLastSave="{00000000-0000-0000-0000-000000000000}"/>
  <bookViews>
    <workbookView xWindow="-120" yWindow="-120" windowWidth="29040" windowHeight="15720" tabRatio="866" firstSheet="6" activeTab="6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2" i="3" l="1"/>
  <c r="H22" i="3"/>
  <c r="H23" i="3"/>
  <c r="F22" i="3"/>
  <c r="E22" i="3"/>
  <c r="H22" i="1"/>
  <c r="G22" i="1"/>
  <c r="I22" i="1" s="1"/>
  <c r="D22" i="1"/>
  <c r="C22" i="1"/>
  <c r="E22" i="1" s="1"/>
  <c r="F22" i="1" s="1"/>
  <c r="H22" i="34"/>
  <c r="G22" i="34"/>
  <c r="I22" i="34" s="1"/>
  <c r="D22" i="34"/>
  <c r="C22" i="34"/>
  <c r="E22" i="34" s="1"/>
  <c r="F22" i="34" s="1"/>
  <c r="H22" i="72"/>
  <c r="I22" i="72" s="1"/>
  <c r="E22" i="72"/>
  <c r="F22" i="72" s="1"/>
  <c r="E21" i="72"/>
  <c r="C16" i="30"/>
  <c r="D16" i="30"/>
  <c r="E16" i="30"/>
  <c r="F16" i="30"/>
  <c r="H16" i="30"/>
  <c r="I16" i="30"/>
  <c r="C17" i="30"/>
  <c r="D17" i="30"/>
  <c r="E17" i="30"/>
  <c r="F17" i="30"/>
  <c r="H17" i="30"/>
  <c r="I17" i="30"/>
  <c r="C18" i="30"/>
  <c r="D18" i="30"/>
  <c r="E18" i="30"/>
  <c r="F18" i="30"/>
  <c r="H18" i="30"/>
  <c r="I18" i="30"/>
  <c r="C19" i="30"/>
  <c r="D19" i="30"/>
  <c r="E19" i="30"/>
  <c r="F19" i="30"/>
  <c r="H19" i="30"/>
  <c r="I19" i="30"/>
  <c r="C20" i="30"/>
  <c r="D20" i="30"/>
  <c r="E20" i="30"/>
  <c r="F20" i="30"/>
  <c r="H20" i="30"/>
  <c r="I20" i="30"/>
  <c r="C21" i="30"/>
  <c r="D21" i="30"/>
  <c r="E21" i="30"/>
  <c r="F21" i="30"/>
  <c r="H21" i="30"/>
  <c r="I21" i="30"/>
  <c r="C16" i="29"/>
  <c r="D16" i="29"/>
  <c r="E16" i="29"/>
  <c r="F16" i="29"/>
  <c r="H16" i="29"/>
  <c r="I16" i="29"/>
  <c r="C17" i="29"/>
  <c r="D17" i="29"/>
  <c r="E17" i="29"/>
  <c r="F17" i="29"/>
  <c r="H17" i="29"/>
  <c r="I17" i="29"/>
  <c r="C18" i="29"/>
  <c r="D18" i="29"/>
  <c r="E18" i="29"/>
  <c r="F18" i="29"/>
  <c r="H18" i="29"/>
  <c r="I18" i="29"/>
  <c r="C19" i="29"/>
  <c r="D19" i="29"/>
  <c r="E19" i="29"/>
  <c r="F19" i="29"/>
  <c r="H19" i="29"/>
  <c r="I19" i="29"/>
  <c r="C20" i="29"/>
  <c r="D20" i="29"/>
  <c r="E20" i="29"/>
  <c r="F20" i="29"/>
  <c r="H20" i="29"/>
  <c r="I20" i="29"/>
  <c r="C21" i="29"/>
  <c r="D21" i="29"/>
  <c r="E21" i="29"/>
  <c r="F21" i="29"/>
  <c r="H21" i="29"/>
  <c r="I21" i="29"/>
  <c r="C16" i="18"/>
  <c r="D16" i="18"/>
  <c r="E16" i="18"/>
  <c r="F16" i="18"/>
  <c r="H16" i="18"/>
  <c r="I16" i="18"/>
  <c r="C17" i="18"/>
  <c r="D17" i="18"/>
  <c r="E17" i="18"/>
  <c r="F17" i="18"/>
  <c r="H17" i="18"/>
  <c r="I17" i="18"/>
  <c r="C18" i="18"/>
  <c r="D18" i="18"/>
  <c r="E18" i="18"/>
  <c r="F18" i="18"/>
  <c r="H18" i="18"/>
  <c r="I18" i="18"/>
  <c r="C19" i="18"/>
  <c r="D19" i="18"/>
  <c r="E19" i="18"/>
  <c r="F19" i="18"/>
  <c r="H19" i="18"/>
  <c r="I19" i="18"/>
  <c r="C20" i="18"/>
  <c r="D20" i="18"/>
  <c r="E20" i="18"/>
  <c r="F20" i="18"/>
  <c r="H20" i="18"/>
  <c r="I20" i="18"/>
  <c r="C21" i="18"/>
  <c r="D21" i="18"/>
  <c r="E21" i="18"/>
  <c r="F21" i="18"/>
  <c r="H21" i="18"/>
  <c r="I21" i="18"/>
  <c r="C16" i="1"/>
  <c r="D16" i="1"/>
  <c r="E16" i="1"/>
  <c r="F16" i="1" s="1"/>
  <c r="G16" i="1"/>
  <c r="G16" i="34" s="1"/>
  <c r="C17" i="1"/>
  <c r="D17" i="1"/>
  <c r="E17" i="1" s="1"/>
  <c r="F17" i="1" s="1"/>
  <c r="G17" i="1"/>
  <c r="G17" i="34" s="1"/>
  <c r="C18" i="1"/>
  <c r="D18" i="1"/>
  <c r="G18" i="1"/>
  <c r="G18" i="34" s="1"/>
  <c r="C19" i="1"/>
  <c r="D19" i="1"/>
  <c r="G19" i="1"/>
  <c r="G19" i="34" s="1"/>
  <c r="C20" i="1"/>
  <c r="D20" i="1"/>
  <c r="E20" i="1" s="1"/>
  <c r="F20" i="1" s="1"/>
  <c r="G20" i="1"/>
  <c r="G20" i="34" s="1"/>
  <c r="C21" i="1"/>
  <c r="D21" i="1"/>
  <c r="G21" i="1"/>
  <c r="G21" i="34" s="1"/>
  <c r="C16" i="34"/>
  <c r="D16" i="34"/>
  <c r="C17" i="34"/>
  <c r="D17" i="34"/>
  <c r="C18" i="34"/>
  <c r="D18" i="34"/>
  <c r="C19" i="34"/>
  <c r="D19" i="34"/>
  <c r="E19" i="34" s="1"/>
  <c r="F19" i="34" s="1"/>
  <c r="C20" i="34"/>
  <c r="D20" i="34"/>
  <c r="E20" i="34"/>
  <c r="F20" i="34" s="1"/>
  <c r="C21" i="34"/>
  <c r="D21" i="34"/>
  <c r="E16" i="33"/>
  <c r="F16" i="33"/>
  <c r="H16" i="33"/>
  <c r="I16" i="33"/>
  <c r="E17" i="33"/>
  <c r="F17" i="33"/>
  <c r="H17" i="33"/>
  <c r="I17" i="33"/>
  <c r="E18" i="33"/>
  <c r="F18" i="33"/>
  <c r="H18" i="33"/>
  <c r="I18" i="33"/>
  <c r="E19" i="33"/>
  <c r="F19" i="33"/>
  <c r="H19" i="33"/>
  <c r="I19" i="33"/>
  <c r="E20" i="33"/>
  <c r="F20" i="33"/>
  <c r="H20" i="33"/>
  <c r="I20" i="33"/>
  <c r="E21" i="33"/>
  <c r="F21" i="33"/>
  <c r="H21" i="33"/>
  <c r="I21" i="33"/>
  <c r="E16" i="32"/>
  <c r="F16" i="32"/>
  <c r="H16" i="32"/>
  <c r="I16" i="32"/>
  <c r="E17" i="32"/>
  <c r="F17" i="32"/>
  <c r="H17" i="32"/>
  <c r="I17" i="32"/>
  <c r="E18" i="32"/>
  <c r="F18" i="32"/>
  <c r="H18" i="32"/>
  <c r="I18" i="32"/>
  <c r="E19" i="32"/>
  <c r="F19" i="32"/>
  <c r="H19" i="32"/>
  <c r="I19" i="32"/>
  <c r="E20" i="32"/>
  <c r="F20" i="32"/>
  <c r="H20" i="32"/>
  <c r="I20" i="32"/>
  <c r="E21" i="32"/>
  <c r="F21" i="32"/>
  <c r="H21" i="32"/>
  <c r="I21" i="32"/>
  <c r="E16" i="31"/>
  <c r="F16" i="31"/>
  <c r="H16" i="31"/>
  <c r="I16" i="31"/>
  <c r="E17" i="31"/>
  <c r="F17" i="31"/>
  <c r="H17" i="31"/>
  <c r="I17" i="31"/>
  <c r="E18" i="31"/>
  <c r="F18" i="31"/>
  <c r="H18" i="31"/>
  <c r="I18" i="31"/>
  <c r="E19" i="31"/>
  <c r="F19" i="31"/>
  <c r="H19" i="31"/>
  <c r="I19" i="31"/>
  <c r="E20" i="31"/>
  <c r="F20" i="31"/>
  <c r="H20" i="31"/>
  <c r="I20" i="31"/>
  <c r="E21" i="31"/>
  <c r="F21" i="31"/>
  <c r="H21" i="31"/>
  <c r="I21" i="31"/>
  <c r="E16" i="28"/>
  <c r="F16" i="28"/>
  <c r="H16" i="28"/>
  <c r="I16" i="28"/>
  <c r="E17" i="28"/>
  <c r="F17" i="28"/>
  <c r="H17" i="28"/>
  <c r="I17" i="28"/>
  <c r="E18" i="28"/>
  <c r="F18" i="28"/>
  <c r="H18" i="28"/>
  <c r="I18" i="28"/>
  <c r="E19" i="28"/>
  <c r="F19" i="28"/>
  <c r="H19" i="28"/>
  <c r="I19" i="28"/>
  <c r="E20" i="28"/>
  <c r="F20" i="28"/>
  <c r="H20" i="28"/>
  <c r="I20" i="28"/>
  <c r="E21" i="28"/>
  <c r="F21" i="28"/>
  <c r="H21" i="28"/>
  <c r="I21" i="28"/>
  <c r="E16" i="27"/>
  <c r="F16" i="27"/>
  <c r="H16" i="27"/>
  <c r="I16" i="27"/>
  <c r="E17" i="27"/>
  <c r="F17" i="27"/>
  <c r="H17" i="27"/>
  <c r="I17" i="27"/>
  <c r="E18" i="27"/>
  <c r="F18" i="27"/>
  <c r="H18" i="27"/>
  <c r="I18" i="27"/>
  <c r="E19" i="27"/>
  <c r="F19" i="27"/>
  <c r="H19" i="27"/>
  <c r="I19" i="27"/>
  <c r="E20" i="27"/>
  <c r="F20" i="27"/>
  <c r="H20" i="27"/>
  <c r="I20" i="27"/>
  <c r="E21" i="27"/>
  <c r="F21" i="27"/>
  <c r="H21" i="27"/>
  <c r="I21" i="27"/>
  <c r="E16" i="26"/>
  <c r="F16" i="26"/>
  <c r="H16" i="26"/>
  <c r="I16" i="26"/>
  <c r="E17" i="26"/>
  <c r="F17" i="26"/>
  <c r="H17" i="26"/>
  <c r="I17" i="26"/>
  <c r="E18" i="26"/>
  <c r="F18" i="26"/>
  <c r="H18" i="26"/>
  <c r="I18" i="26"/>
  <c r="E19" i="26"/>
  <c r="F19" i="26"/>
  <c r="H19" i="26"/>
  <c r="I19" i="26"/>
  <c r="E20" i="26"/>
  <c r="F20" i="26"/>
  <c r="H20" i="26"/>
  <c r="I20" i="26"/>
  <c r="E21" i="26"/>
  <c r="F21" i="26"/>
  <c r="H21" i="26"/>
  <c r="I21" i="26"/>
  <c r="E16" i="19"/>
  <c r="F16" i="19"/>
  <c r="H16" i="19"/>
  <c r="I16" i="19"/>
  <c r="E17" i="19"/>
  <c r="F17" i="19"/>
  <c r="H17" i="19"/>
  <c r="I17" i="19"/>
  <c r="E18" i="19"/>
  <c r="F18" i="19"/>
  <c r="H18" i="19"/>
  <c r="I18" i="19"/>
  <c r="E19" i="19"/>
  <c r="F19" i="19"/>
  <c r="H19" i="19"/>
  <c r="I19" i="19"/>
  <c r="E20" i="19"/>
  <c r="F20" i="19"/>
  <c r="H20" i="19"/>
  <c r="I20" i="19"/>
  <c r="E21" i="19"/>
  <c r="F21" i="19"/>
  <c r="H21" i="19"/>
  <c r="I21" i="19"/>
  <c r="E16" i="20"/>
  <c r="F16" i="20"/>
  <c r="H16" i="20"/>
  <c r="I16" i="20"/>
  <c r="E17" i="20"/>
  <c r="F17" i="20"/>
  <c r="H17" i="20"/>
  <c r="I17" i="20"/>
  <c r="E18" i="20"/>
  <c r="F18" i="20"/>
  <c r="H18" i="20"/>
  <c r="I18" i="20"/>
  <c r="E19" i="20"/>
  <c r="F19" i="20"/>
  <c r="H19" i="20"/>
  <c r="I19" i="20"/>
  <c r="E20" i="20"/>
  <c r="F20" i="20"/>
  <c r="H20" i="20"/>
  <c r="I20" i="20"/>
  <c r="E21" i="20"/>
  <c r="F21" i="20"/>
  <c r="H21" i="20"/>
  <c r="I21" i="20"/>
  <c r="E16" i="21"/>
  <c r="F16" i="21"/>
  <c r="H16" i="21"/>
  <c r="I16" i="21"/>
  <c r="E17" i="21"/>
  <c r="F17" i="21"/>
  <c r="H17" i="21"/>
  <c r="I17" i="21"/>
  <c r="E18" i="21"/>
  <c r="F18" i="21"/>
  <c r="H18" i="21"/>
  <c r="I18" i="21"/>
  <c r="E19" i="21"/>
  <c r="F19" i="21"/>
  <c r="H19" i="21"/>
  <c r="I19" i="21"/>
  <c r="E20" i="21"/>
  <c r="F20" i="21"/>
  <c r="H20" i="21"/>
  <c r="I20" i="21"/>
  <c r="E21" i="21"/>
  <c r="F21" i="21"/>
  <c r="H21" i="21"/>
  <c r="I21" i="21"/>
  <c r="E16" i="4"/>
  <c r="F16" i="4"/>
  <c r="H16" i="4"/>
  <c r="I16" i="4"/>
  <c r="E17" i="4"/>
  <c r="F17" i="4"/>
  <c r="H17" i="4"/>
  <c r="I17" i="4"/>
  <c r="E18" i="4"/>
  <c r="F18" i="4"/>
  <c r="H18" i="4"/>
  <c r="I18" i="4"/>
  <c r="E19" i="4"/>
  <c r="F19" i="4"/>
  <c r="H19" i="4"/>
  <c r="I19" i="4"/>
  <c r="E20" i="4"/>
  <c r="F20" i="4"/>
  <c r="H20" i="4"/>
  <c r="I20" i="4"/>
  <c r="E21" i="4"/>
  <c r="F21" i="4"/>
  <c r="H21" i="4"/>
  <c r="I21" i="4"/>
  <c r="E16" i="3"/>
  <c r="F16" i="3"/>
  <c r="H16" i="3"/>
  <c r="I16" i="3"/>
  <c r="E17" i="3"/>
  <c r="F17" i="3"/>
  <c r="H17" i="3"/>
  <c r="I17" i="3"/>
  <c r="E18" i="3"/>
  <c r="F18" i="3"/>
  <c r="H18" i="3"/>
  <c r="I18" i="3"/>
  <c r="E19" i="3"/>
  <c r="F19" i="3"/>
  <c r="H19" i="3"/>
  <c r="I19" i="3"/>
  <c r="E20" i="3"/>
  <c r="F20" i="3"/>
  <c r="H20" i="3"/>
  <c r="I20" i="3"/>
  <c r="E21" i="3"/>
  <c r="F21" i="3"/>
  <c r="H21" i="3"/>
  <c r="I21" i="3"/>
  <c r="E16" i="72"/>
  <c r="F16" i="72" s="1"/>
  <c r="H16" i="72"/>
  <c r="H16" i="1" s="1"/>
  <c r="I16" i="1" s="1"/>
  <c r="E17" i="72"/>
  <c r="F17" i="72" s="1"/>
  <c r="H17" i="72"/>
  <c r="H17" i="34" s="1"/>
  <c r="I17" i="34" s="1"/>
  <c r="E18" i="72"/>
  <c r="F18" i="72"/>
  <c r="H18" i="72"/>
  <c r="H18" i="34" s="1"/>
  <c r="E19" i="72"/>
  <c r="F19" i="72" s="1"/>
  <c r="H19" i="72"/>
  <c r="E20" i="72"/>
  <c r="F20" i="72" s="1"/>
  <c r="H20" i="72"/>
  <c r="F21" i="72"/>
  <c r="H21" i="72"/>
  <c r="H21" i="34" s="1"/>
  <c r="I21" i="72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/>
  <c r="E5" i="3"/>
  <c r="F5" i="3" s="1"/>
  <c r="H5" i="3"/>
  <c r="I5" i="3" s="1"/>
  <c r="E6" i="3"/>
  <c r="F6" i="3" s="1"/>
  <c r="H6" i="3"/>
  <c r="I6" i="3"/>
  <c r="E7" i="3"/>
  <c r="F7" i="3" s="1"/>
  <c r="H7" i="3"/>
  <c r="I7" i="3" s="1"/>
  <c r="E8" i="3"/>
  <c r="F8" i="3" s="1"/>
  <c r="H8" i="3"/>
  <c r="I8" i="3"/>
  <c r="E9" i="3"/>
  <c r="F9" i="3" s="1"/>
  <c r="H9" i="3"/>
  <c r="I9" i="3" s="1"/>
  <c r="E10" i="3"/>
  <c r="F10" i="3" s="1"/>
  <c r="H10" i="3"/>
  <c r="I10" i="3"/>
  <c r="E11" i="3"/>
  <c r="F11" i="3" s="1"/>
  <c r="H11" i="3"/>
  <c r="I11" i="3" s="1"/>
  <c r="E12" i="3"/>
  <c r="F12" i="3" s="1"/>
  <c r="H12" i="3"/>
  <c r="I12" i="3"/>
  <c r="E13" i="3"/>
  <c r="F13" i="3" s="1"/>
  <c r="H13" i="3"/>
  <c r="I13" i="3" s="1"/>
  <c r="E14" i="3"/>
  <c r="F14" i="3" s="1"/>
  <c r="H14" i="3"/>
  <c r="I14" i="3"/>
  <c r="E15" i="3"/>
  <c r="F15" i="3" s="1"/>
  <c r="H15" i="3"/>
  <c r="I15" i="3" s="1"/>
  <c r="G6" i="1"/>
  <c r="G6" i="34" s="1"/>
  <c r="G7" i="1"/>
  <c r="G7" i="34" s="1"/>
  <c r="G8" i="1"/>
  <c r="G8" i="34" s="1"/>
  <c r="G9" i="1"/>
  <c r="G9" i="34" s="1"/>
  <c r="G10" i="1"/>
  <c r="G10" i="34" s="1"/>
  <c r="G11" i="1"/>
  <c r="G11" i="34" s="1"/>
  <c r="G12" i="1"/>
  <c r="G12" i="34" s="1"/>
  <c r="G13" i="1"/>
  <c r="G13" i="34" s="1"/>
  <c r="G14" i="1"/>
  <c r="G14" i="34" s="1"/>
  <c r="G15" i="1"/>
  <c r="G15" i="34" s="1"/>
  <c r="G5" i="1"/>
  <c r="G5" i="34" s="1"/>
  <c r="G4" i="1"/>
  <c r="G4" i="34" s="1"/>
  <c r="D15" i="34"/>
  <c r="D14" i="34"/>
  <c r="D13" i="34"/>
  <c r="D12" i="34"/>
  <c r="D11" i="34"/>
  <c r="D10" i="34"/>
  <c r="D9" i="34"/>
  <c r="D8" i="34"/>
  <c r="D7" i="34"/>
  <c r="D6" i="34"/>
  <c r="D5" i="34"/>
  <c r="C15" i="34"/>
  <c r="C14" i="34"/>
  <c r="C13" i="34"/>
  <c r="C12" i="34"/>
  <c r="C11" i="34"/>
  <c r="C10" i="34"/>
  <c r="C9" i="34"/>
  <c r="C8" i="34"/>
  <c r="C7" i="34"/>
  <c r="C6" i="34"/>
  <c r="C5" i="34"/>
  <c r="B4" i="34" a="1"/>
  <c r="B4" i="34" s="1"/>
  <c r="A4" i="34" a="1"/>
  <c r="A4" i="34" s="1"/>
  <c r="A1" i="34" a="1"/>
  <c r="A1" i="34" s="1"/>
  <c r="D15" i="30"/>
  <c r="C15" i="30"/>
  <c r="D14" i="30"/>
  <c r="C14" i="30"/>
  <c r="E14" i="30" s="1"/>
  <c r="F14" i="30" s="1"/>
  <c r="D13" i="30"/>
  <c r="C13" i="30"/>
  <c r="D12" i="30"/>
  <c r="C12" i="30"/>
  <c r="E12" i="30" s="1"/>
  <c r="F12" i="30" s="1"/>
  <c r="D11" i="30"/>
  <c r="C11" i="30"/>
  <c r="D10" i="30"/>
  <c r="C10" i="30"/>
  <c r="E10" i="30" s="1"/>
  <c r="F10" i="30" s="1"/>
  <c r="D9" i="30"/>
  <c r="C9" i="30"/>
  <c r="E9" i="30" s="1"/>
  <c r="F9" i="30" s="1"/>
  <c r="D8" i="30"/>
  <c r="C8" i="30"/>
  <c r="E8" i="30" s="1"/>
  <c r="F8" i="30" s="1"/>
  <c r="D7" i="30"/>
  <c r="C7" i="30"/>
  <c r="H6" i="30"/>
  <c r="I6" i="30" s="1"/>
  <c r="D6" i="30"/>
  <c r="C6" i="30"/>
  <c r="E6" i="30" s="1"/>
  <c r="F6" i="30" s="1"/>
  <c r="D5" i="30"/>
  <c r="C5" i="30"/>
  <c r="E5" i="30" s="1"/>
  <c r="F5" i="30" s="1"/>
  <c r="D4" i="30"/>
  <c r="D2" i="30" s="1"/>
  <c r="C4" i="30"/>
  <c r="D15" i="29"/>
  <c r="C15" i="29"/>
  <c r="D14" i="29"/>
  <c r="C14" i="29"/>
  <c r="E14" i="29" s="1"/>
  <c r="F14" i="29" s="1"/>
  <c r="D13" i="29"/>
  <c r="C13" i="29"/>
  <c r="D12" i="29"/>
  <c r="C12" i="29"/>
  <c r="E12" i="29" s="1"/>
  <c r="F12" i="29" s="1"/>
  <c r="D11" i="29"/>
  <c r="C11" i="29"/>
  <c r="E11" i="29" s="1"/>
  <c r="F11" i="29" s="1"/>
  <c r="D10" i="29"/>
  <c r="C10" i="29"/>
  <c r="E10" i="29" s="1"/>
  <c r="F10" i="29" s="1"/>
  <c r="D9" i="29"/>
  <c r="C9" i="29"/>
  <c r="E9" i="29" s="1"/>
  <c r="F9" i="29" s="1"/>
  <c r="D8" i="29"/>
  <c r="C8" i="29"/>
  <c r="E8" i="29" s="1"/>
  <c r="F8" i="29" s="1"/>
  <c r="D7" i="29"/>
  <c r="C7" i="29"/>
  <c r="D6" i="29"/>
  <c r="C6" i="29"/>
  <c r="E6" i="29" s="1"/>
  <c r="F6" i="29" s="1"/>
  <c r="D5" i="29"/>
  <c r="C5" i="29"/>
  <c r="E5" i="29" s="1"/>
  <c r="F5" i="29" s="1"/>
  <c r="D4" i="29"/>
  <c r="D2" i="29" s="1"/>
  <c r="C4" i="29"/>
  <c r="D15" i="18"/>
  <c r="C15" i="18"/>
  <c r="E15" i="18" s="1"/>
  <c r="F15" i="18" s="1"/>
  <c r="D14" i="18"/>
  <c r="C14" i="18"/>
  <c r="E14" i="18" s="1"/>
  <c r="F14" i="18" s="1"/>
  <c r="D13" i="18"/>
  <c r="C13" i="18"/>
  <c r="E13" i="18" s="1"/>
  <c r="F13" i="18" s="1"/>
  <c r="D12" i="18"/>
  <c r="C12" i="18"/>
  <c r="E12" i="18" s="1"/>
  <c r="F12" i="18" s="1"/>
  <c r="D11" i="18"/>
  <c r="C11" i="18"/>
  <c r="E11" i="18" s="1"/>
  <c r="F11" i="18" s="1"/>
  <c r="D10" i="18"/>
  <c r="C10" i="18"/>
  <c r="E10" i="18" s="1"/>
  <c r="F10" i="18" s="1"/>
  <c r="D9" i="18"/>
  <c r="C9" i="18"/>
  <c r="D8" i="18"/>
  <c r="C8" i="18"/>
  <c r="E8" i="18" s="1"/>
  <c r="F8" i="18" s="1"/>
  <c r="D7" i="18"/>
  <c r="C7" i="18"/>
  <c r="E7" i="18" s="1"/>
  <c r="F7" i="18" s="1"/>
  <c r="D6" i="18"/>
  <c r="C6" i="18"/>
  <c r="E6" i="18" s="1"/>
  <c r="F6" i="18" s="1"/>
  <c r="D5" i="18"/>
  <c r="C5" i="18"/>
  <c r="E5" i="18" s="1"/>
  <c r="F5" i="18" s="1"/>
  <c r="D4" i="18"/>
  <c r="C4" i="18"/>
  <c r="E4" i="18" s="1"/>
  <c r="F4" i="18" s="1"/>
  <c r="E11" i="30"/>
  <c r="F11" i="30" s="1"/>
  <c r="E13" i="29"/>
  <c r="F13" i="29" s="1"/>
  <c r="D2" i="18"/>
  <c r="E15" i="30"/>
  <c r="F15" i="30" s="1"/>
  <c r="E13" i="30"/>
  <c r="F13" i="30" s="1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E9" i="18"/>
  <c r="F9" i="18" s="1"/>
  <c r="B4" i="18" a="1"/>
  <c r="B4" i="18" s="1"/>
  <c r="A4" i="18" a="1"/>
  <c r="A4" i="18" s="1"/>
  <c r="G2" i="18"/>
  <c r="A1" i="18" a="1"/>
  <c r="A1" i="18" s="1"/>
  <c r="C15" i="1"/>
  <c r="C14" i="1"/>
  <c r="C13" i="1"/>
  <c r="C12" i="1"/>
  <c r="C11" i="1"/>
  <c r="C10" i="1"/>
  <c r="C9" i="1"/>
  <c r="C8" i="1"/>
  <c r="C7" i="1"/>
  <c r="C6" i="1"/>
  <c r="C5" i="1"/>
  <c r="C4" i="1"/>
  <c r="D6" i="1"/>
  <c r="D7" i="1"/>
  <c r="D8" i="1"/>
  <c r="D9" i="1"/>
  <c r="D10" i="1"/>
  <c r="D11" i="1"/>
  <c r="D12" i="1"/>
  <c r="D13" i="1"/>
  <c r="D14" i="1"/>
  <c r="D15" i="1"/>
  <c r="D5" i="1"/>
  <c r="D4" i="1"/>
  <c r="B4" i="1" a="1"/>
  <c r="B4" i="1" s="1"/>
  <c r="A4" i="1" a="1"/>
  <c r="A4" i="1" s="1"/>
  <c r="A1" i="1" a="1"/>
  <c r="A1" i="1" s="1"/>
  <c r="H15" i="33"/>
  <c r="I15" i="33" s="1"/>
  <c r="E15" i="33"/>
  <c r="F15" i="33" s="1"/>
  <c r="I14" i="33"/>
  <c r="H14" i="33"/>
  <c r="E14" i="33"/>
  <c r="F14" i="33" s="1"/>
  <c r="H13" i="33"/>
  <c r="I13" i="33" s="1"/>
  <c r="E13" i="33"/>
  <c r="F13" i="33" s="1"/>
  <c r="I12" i="33"/>
  <c r="H12" i="33"/>
  <c r="E12" i="33"/>
  <c r="F12" i="33" s="1"/>
  <c r="H11" i="33"/>
  <c r="I11" i="33" s="1"/>
  <c r="E11" i="33"/>
  <c r="F11" i="33" s="1"/>
  <c r="H10" i="33"/>
  <c r="I10" i="33" s="1"/>
  <c r="E10" i="33"/>
  <c r="F10" i="33" s="1"/>
  <c r="H9" i="33"/>
  <c r="I9" i="33" s="1"/>
  <c r="E9" i="33"/>
  <c r="F9" i="33" s="1"/>
  <c r="I8" i="33"/>
  <c r="H8" i="33"/>
  <c r="E8" i="33"/>
  <c r="F8" i="33" s="1"/>
  <c r="H7" i="33"/>
  <c r="I7" i="33" s="1"/>
  <c r="E7" i="33"/>
  <c r="F7" i="33" s="1"/>
  <c r="I6" i="33"/>
  <c r="H6" i="33"/>
  <c r="E6" i="33"/>
  <c r="F6" i="33" s="1"/>
  <c r="H5" i="33"/>
  <c r="I5" i="33" s="1"/>
  <c r="E5" i="33"/>
  <c r="F5" i="33" s="1"/>
  <c r="H4" i="33"/>
  <c r="I4" i="33" s="1"/>
  <c r="E4" i="33"/>
  <c r="F4" i="33" s="1"/>
  <c r="G2" i="33"/>
  <c r="D2" i="33"/>
  <c r="C2" i="33"/>
  <c r="A1" i="33" a="1"/>
  <c r="A1" i="33" s="1"/>
  <c r="H15" i="32"/>
  <c r="I15" i="32" s="1"/>
  <c r="F15" i="32"/>
  <c r="E15" i="32"/>
  <c r="H14" i="32"/>
  <c r="I14" i="32" s="1"/>
  <c r="E14" i="32"/>
  <c r="F14" i="32" s="1"/>
  <c r="H13" i="32"/>
  <c r="I13" i="32" s="1"/>
  <c r="E13" i="32"/>
  <c r="F13" i="32" s="1"/>
  <c r="H12" i="32"/>
  <c r="I12" i="32" s="1"/>
  <c r="F12" i="32"/>
  <c r="E12" i="32"/>
  <c r="H11" i="32"/>
  <c r="I11" i="32" s="1"/>
  <c r="E11" i="32"/>
  <c r="F11" i="32" s="1"/>
  <c r="H10" i="32"/>
  <c r="I10" i="32" s="1"/>
  <c r="E10" i="32"/>
  <c r="F10" i="32" s="1"/>
  <c r="H9" i="32"/>
  <c r="I9" i="32" s="1"/>
  <c r="F9" i="32"/>
  <c r="E9" i="32"/>
  <c r="H8" i="32"/>
  <c r="I8" i="32" s="1"/>
  <c r="E8" i="32"/>
  <c r="F8" i="32" s="1"/>
  <c r="H7" i="32"/>
  <c r="I7" i="32" s="1"/>
  <c r="E7" i="32"/>
  <c r="F7" i="32" s="1"/>
  <c r="H6" i="32"/>
  <c r="I6" i="32" s="1"/>
  <c r="F6" i="32"/>
  <c r="E6" i="32"/>
  <c r="H5" i="32"/>
  <c r="I5" i="32" s="1"/>
  <c r="E5" i="32"/>
  <c r="F5" i="32" s="1"/>
  <c r="H4" i="32"/>
  <c r="I4" i="32" s="1"/>
  <c r="E4" i="32"/>
  <c r="F4" i="32" s="1"/>
  <c r="G2" i="32"/>
  <c r="D2" i="32"/>
  <c r="C2" i="32"/>
  <c r="A1" i="32" a="1"/>
  <c r="A1" i="32" s="1"/>
  <c r="H15" i="31"/>
  <c r="I15" i="31" s="1"/>
  <c r="E15" i="31"/>
  <c r="F15" i="31" s="1"/>
  <c r="H14" i="31"/>
  <c r="I14" i="31" s="1"/>
  <c r="E14" i="31"/>
  <c r="F14" i="31" s="1"/>
  <c r="H13" i="31"/>
  <c r="I13" i="31" s="1"/>
  <c r="E13" i="31"/>
  <c r="F13" i="31" s="1"/>
  <c r="H12" i="31"/>
  <c r="I12" i="31" s="1"/>
  <c r="E12" i="31"/>
  <c r="F12" i="31" s="1"/>
  <c r="H11" i="31"/>
  <c r="I11" i="31" s="1"/>
  <c r="E11" i="31"/>
  <c r="F11" i="31" s="1"/>
  <c r="H10" i="31"/>
  <c r="I10" i="31" s="1"/>
  <c r="E10" i="31"/>
  <c r="F10" i="31" s="1"/>
  <c r="H9" i="31"/>
  <c r="I9" i="31" s="1"/>
  <c r="E9" i="31"/>
  <c r="F9" i="31" s="1"/>
  <c r="H8" i="31"/>
  <c r="I8" i="31" s="1"/>
  <c r="E8" i="31"/>
  <c r="F8" i="31" s="1"/>
  <c r="H7" i="31"/>
  <c r="I7" i="31" s="1"/>
  <c r="E7" i="31"/>
  <c r="F7" i="31" s="1"/>
  <c r="H6" i="31"/>
  <c r="I6" i="31" s="1"/>
  <c r="E6" i="31"/>
  <c r="F6" i="31" s="1"/>
  <c r="H5" i="31"/>
  <c r="I5" i="31" s="1"/>
  <c r="E5" i="31"/>
  <c r="F5" i="31" s="1"/>
  <c r="H4" i="31"/>
  <c r="I4" i="31" s="1"/>
  <c r="E4" i="31"/>
  <c r="F4" i="31" s="1"/>
  <c r="G2" i="31"/>
  <c r="D2" i="31"/>
  <c r="C2" i="31"/>
  <c r="A1" i="31" a="1"/>
  <c r="A1" i="31" s="1"/>
  <c r="H15" i="28"/>
  <c r="I15" i="28" s="1"/>
  <c r="E15" i="28"/>
  <c r="F15" i="28" s="1"/>
  <c r="H14" i="28"/>
  <c r="I14" i="28" s="1"/>
  <c r="E14" i="28"/>
  <c r="F14" i="28" s="1"/>
  <c r="I13" i="28"/>
  <c r="H13" i="28"/>
  <c r="E13" i="28"/>
  <c r="F13" i="28" s="1"/>
  <c r="H12" i="28"/>
  <c r="I12" i="28" s="1"/>
  <c r="E12" i="28"/>
  <c r="F12" i="28" s="1"/>
  <c r="H11" i="28"/>
  <c r="I11" i="28" s="1"/>
  <c r="E11" i="28"/>
  <c r="F11" i="28" s="1"/>
  <c r="I10" i="28"/>
  <c r="H10" i="28"/>
  <c r="E10" i="28"/>
  <c r="F10" i="28" s="1"/>
  <c r="H9" i="28"/>
  <c r="I9" i="28" s="1"/>
  <c r="E9" i="28"/>
  <c r="F9" i="28" s="1"/>
  <c r="H8" i="28"/>
  <c r="I8" i="28" s="1"/>
  <c r="E8" i="28"/>
  <c r="F8" i="28" s="1"/>
  <c r="I7" i="28"/>
  <c r="H7" i="28"/>
  <c r="E7" i="28"/>
  <c r="F7" i="28" s="1"/>
  <c r="H6" i="28"/>
  <c r="I6" i="28" s="1"/>
  <c r="E6" i="28"/>
  <c r="F6" i="28" s="1"/>
  <c r="H5" i="28"/>
  <c r="I5" i="28" s="1"/>
  <c r="E5" i="28"/>
  <c r="F5" i="28" s="1"/>
  <c r="I4" i="28"/>
  <c r="H4" i="28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15" i="27"/>
  <c r="I15" i="27" s="1"/>
  <c r="E15" i="27"/>
  <c r="F15" i="27" s="1"/>
  <c r="H14" i="27"/>
  <c r="I14" i="27" s="1"/>
  <c r="F14" i="27"/>
  <c r="E14" i="27"/>
  <c r="I13" i="27"/>
  <c r="H13" i="27"/>
  <c r="H13" i="29" s="1"/>
  <c r="I13" i="29" s="1"/>
  <c r="E13" i="27"/>
  <c r="F13" i="27" s="1"/>
  <c r="H12" i="27"/>
  <c r="I12" i="27" s="1"/>
  <c r="E12" i="27"/>
  <c r="F12" i="27" s="1"/>
  <c r="H11" i="27"/>
  <c r="I11" i="27" s="1"/>
  <c r="F11" i="27"/>
  <c r="E11" i="27"/>
  <c r="I10" i="27"/>
  <c r="H10" i="27"/>
  <c r="H10" i="29" s="1"/>
  <c r="I10" i="29" s="1"/>
  <c r="E10" i="27"/>
  <c r="F10" i="27" s="1"/>
  <c r="H9" i="27"/>
  <c r="I9" i="27" s="1"/>
  <c r="E9" i="27"/>
  <c r="F9" i="27" s="1"/>
  <c r="H8" i="27"/>
  <c r="I8" i="27" s="1"/>
  <c r="F8" i="27"/>
  <c r="E8" i="27"/>
  <c r="I7" i="27"/>
  <c r="H7" i="27"/>
  <c r="E7" i="27"/>
  <c r="F7" i="27" s="1"/>
  <c r="H6" i="27"/>
  <c r="I6" i="27" s="1"/>
  <c r="E6" i="27"/>
  <c r="F6" i="27" s="1"/>
  <c r="H5" i="27"/>
  <c r="I5" i="27" s="1"/>
  <c r="F5" i="27"/>
  <c r="E5" i="27"/>
  <c r="I4" i="27"/>
  <c r="H4" i="27"/>
  <c r="E4" i="27"/>
  <c r="F4" i="27" s="1"/>
  <c r="G2" i="27"/>
  <c r="D2" i="27"/>
  <c r="C2" i="27"/>
  <c r="A1" i="27" a="1"/>
  <c r="A1" i="27" s="1"/>
  <c r="H15" i="26"/>
  <c r="H15" i="29" s="1"/>
  <c r="I15" i="29" s="1"/>
  <c r="E15" i="26"/>
  <c r="F15" i="26" s="1"/>
  <c r="H14" i="26"/>
  <c r="I14" i="26" s="1"/>
  <c r="E14" i="26"/>
  <c r="F14" i="26" s="1"/>
  <c r="H13" i="26"/>
  <c r="I13" i="26" s="1"/>
  <c r="E13" i="26"/>
  <c r="F13" i="26" s="1"/>
  <c r="H12" i="26"/>
  <c r="H12" i="29" s="1"/>
  <c r="I12" i="29" s="1"/>
  <c r="E12" i="26"/>
  <c r="F12" i="26" s="1"/>
  <c r="H11" i="26"/>
  <c r="I11" i="26" s="1"/>
  <c r="E11" i="26"/>
  <c r="F11" i="26" s="1"/>
  <c r="H10" i="26"/>
  <c r="I10" i="26" s="1"/>
  <c r="E10" i="26"/>
  <c r="F10" i="26" s="1"/>
  <c r="H9" i="26"/>
  <c r="H9" i="29" s="1"/>
  <c r="I9" i="29" s="1"/>
  <c r="E9" i="26"/>
  <c r="F9" i="26" s="1"/>
  <c r="H8" i="26"/>
  <c r="I8" i="26" s="1"/>
  <c r="E8" i="26"/>
  <c r="F8" i="26" s="1"/>
  <c r="H7" i="26"/>
  <c r="H7" i="29" s="1"/>
  <c r="I7" i="29" s="1"/>
  <c r="E7" i="26"/>
  <c r="F7" i="26" s="1"/>
  <c r="H6" i="26"/>
  <c r="H6" i="29" s="1"/>
  <c r="I6" i="29" s="1"/>
  <c r="E6" i="26"/>
  <c r="F6" i="26" s="1"/>
  <c r="H5" i="26"/>
  <c r="I5" i="26" s="1"/>
  <c r="E5" i="26"/>
  <c r="F5" i="26" s="1"/>
  <c r="H4" i="26"/>
  <c r="I4" i="26" s="1"/>
  <c r="E4" i="26"/>
  <c r="F4" i="26" s="1"/>
  <c r="G2" i="26"/>
  <c r="D2" i="26"/>
  <c r="C2" i="26"/>
  <c r="A1" i="26" a="1"/>
  <c r="A1" i="26" s="1"/>
  <c r="H15" i="19"/>
  <c r="I15" i="19" s="1"/>
  <c r="E15" i="19"/>
  <c r="F15" i="19" s="1"/>
  <c r="H14" i="19"/>
  <c r="I14" i="19" s="1"/>
  <c r="E14" i="19"/>
  <c r="F14" i="19" s="1"/>
  <c r="H13" i="19"/>
  <c r="I13" i="19" s="1"/>
  <c r="E13" i="19"/>
  <c r="F13" i="19" s="1"/>
  <c r="H12" i="19"/>
  <c r="I12" i="19" s="1"/>
  <c r="F12" i="19"/>
  <c r="E12" i="19"/>
  <c r="H11" i="19"/>
  <c r="I11" i="19" s="1"/>
  <c r="E11" i="19"/>
  <c r="F11" i="19" s="1"/>
  <c r="H10" i="19"/>
  <c r="I10" i="19" s="1"/>
  <c r="E10" i="19"/>
  <c r="F10" i="19" s="1"/>
  <c r="H9" i="19"/>
  <c r="I9" i="19" s="1"/>
  <c r="E9" i="19"/>
  <c r="F9" i="19" s="1"/>
  <c r="H8" i="19"/>
  <c r="I8" i="19" s="1"/>
  <c r="E8" i="19"/>
  <c r="F8" i="19" s="1"/>
  <c r="H7" i="19"/>
  <c r="I7" i="19" s="1"/>
  <c r="E7" i="19"/>
  <c r="F7" i="19" s="1"/>
  <c r="H6" i="19"/>
  <c r="I6" i="19" s="1"/>
  <c r="F6" i="19"/>
  <c r="E6" i="19"/>
  <c r="H5" i="19"/>
  <c r="I5" i="19" s="1"/>
  <c r="E5" i="19"/>
  <c r="F5" i="19" s="1"/>
  <c r="H4" i="19"/>
  <c r="I4" i="19" s="1"/>
  <c r="E4" i="19"/>
  <c r="F4" i="19" s="1"/>
  <c r="G2" i="19"/>
  <c r="D2" i="19"/>
  <c r="C2" i="19"/>
  <c r="A1" i="19" a="1"/>
  <c r="A1" i="19" s="1"/>
  <c r="H15" i="20"/>
  <c r="I15" i="20" s="1"/>
  <c r="E15" i="20"/>
  <c r="F15" i="20" s="1"/>
  <c r="H14" i="20"/>
  <c r="I14" i="20" s="1"/>
  <c r="E14" i="20"/>
  <c r="F14" i="20" s="1"/>
  <c r="H13" i="20"/>
  <c r="I13" i="20" s="1"/>
  <c r="E13" i="20"/>
  <c r="F13" i="20" s="1"/>
  <c r="H12" i="20"/>
  <c r="I12" i="20" s="1"/>
  <c r="E12" i="20"/>
  <c r="F12" i="20" s="1"/>
  <c r="H11" i="20"/>
  <c r="I11" i="20" s="1"/>
  <c r="E11" i="20"/>
  <c r="F11" i="20" s="1"/>
  <c r="H10" i="20"/>
  <c r="I10" i="20" s="1"/>
  <c r="E10" i="20"/>
  <c r="F10" i="20" s="1"/>
  <c r="H9" i="20"/>
  <c r="I9" i="20" s="1"/>
  <c r="E9" i="20"/>
  <c r="F9" i="20" s="1"/>
  <c r="H8" i="20"/>
  <c r="I8" i="20" s="1"/>
  <c r="E8" i="20"/>
  <c r="F8" i="20" s="1"/>
  <c r="H7" i="20"/>
  <c r="I7" i="20" s="1"/>
  <c r="E7" i="20"/>
  <c r="F7" i="20" s="1"/>
  <c r="H6" i="20"/>
  <c r="I6" i="20" s="1"/>
  <c r="E6" i="20"/>
  <c r="F6" i="20" s="1"/>
  <c r="H5" i="20"/>
  <c r="I5" i="20" s="1"/>
  <c r="E5" i="20"/>
  <c r="F5" i="20" s="1"/>
  <c r="H4" i="20"/>
  <c r="I4" i="20" s="1"/>
  <c r="E4" i="20"/>
  <c r="F4" i="20" s="1"/>
  <c r="G2" i="20"/>
  <c r="D2" i="20"/>
  <c r="C2" i="20"/>
  <c r="A1" i="20" a="1"/>
  <c r="A1" i="20" s="1"/>
  <c r="H15" i="21"/>
  <c r="I15" i="21" s="1"/>
  <c r="E15" i="21"/>
  <c r="F15" i="21" s="1"/>
  <c r="H14" i="21"/>
  <c r="I14" i="21" s="1"/>
  <c r="E14" i="21"/>
  <c r="F14" i="21" s="1"/>
  <c r="H13" i="21"/>
  <c r="I13" i="21" s="1"/>
  <c r="E13" i="21"/>
  <c r="F13" i="21" s="1"/>
  <c r="H12" i="21"/>
  <c r="I12" i="21" s="1"/>
  <c r="E12" i="21"/>
  <c r="F12" i="21" s="1"/>
  <c r="H11" i="21"/>
  <c r="I11" i="21" s="1"/>
  <c r="E11" i="21"/>
  <c r="F11" i="21" s="1"/>
  <c r="H10" i="21"/>
  <c r="I10" i="21" s="1"/>
  <c r="E10" i="21"/>
  <c r="F10" i="21" s="1"/>
  <c r="H9" i="21"/>
  <c r="I9" i="21" s="1"/>
  <c r="E9" i="21"/>
  <c r="F9" i="21" s="1"/>
  <c r="H8" i="21"/>
  <c r="I8" i="21" s="1"/>
  <c r="E8" i="21"/>
  <c r="F8" i="21" s="1"/>
  <c r="H7" i="21"/>
  <c r="I7" i="21" s="1"/>
  <c r="E7" i="21"/>
  <c r="F7" i="21" s="1"/>
  <c r="H6" i="21"/>
  <c r="I6" i="21" s="1"/>
  <c r="E6" i="21"/>
  <c r="F6" i="21" s="1"/>
  <c r="H5" i="21"/>
  <c r="I5" i="21" s="1"/>
  <c r="E5" i="21"/>
  <c r="F5" i="21" s="1"/>
  <c r="H4" i="21"/>
  <c r="I4" i="21" s="1"/>
  <c r="E4" i="21"/>
  <c r="F4" i="21" s="1"/>
  <c r="G2" i="21"/>
  <c r="D2" i="21"/>
  <c r="C2" i="21"/>
  <c r="A1" i="21" a="1"/>
  <c r="A1" i="21" s="1"/>
  <c r="H15" i="4"/>
  <c r="I15" i="4" s="1"/>
  <c r="E15" i="4"/>
  <c r="F15" i="4" s="1"/>
  <c r="I14" i="4"/>
  <c r="H14" i="4"/>
  <c r="F14" i="4"/>
  <c r="E14" i="4"/>
  <c r="H13" i="4"/>
  <c r="I13" i="4" s="1"/>
  <c r="E13" i="4"/>
  <c r="F13" i="4" s="1"/>
  <c r="H12" i="4"/>
  <c r="I12" i="4" s="1"/>
  <c r="F12" i="4"/>
  <c r="E12" i="4"/>
  <c r="I11" i="4"/>
  <c r="H11" i="4"/>
  <c r="E11" i="4"/>
  <c r="F11" i="4" s="1"/>
  <c r="H10" i="4"/>
  <c r="I10" i="4" s="1"/>
  <c r="E10" i="4"/>
  <c r="F10" i="4" s="1"/>
  <c r="I9" i="4"/>
  <c r="H9" i="4"/>
  <c r="F9" i="4"/>
  <c r="E9" i="4"/>
  <c r="H8" i="4"/>
  <c r="I8" i="4" s="1"/>
  <c r="E8" i="4"/>
  <c r="F8" i="4" s="1"/>
  <c r="H7" i="4"/>
  <c r="I7" i="4" s="1"/>
  <c r="E7" i="4"/>
  <c r="F7" i="4" s="1"/>
  <c r="I6" i="4"/>
  <c r="H6" i="4"/>
  <c r="E6" i="4"/>
  <c r="F6" i="4" s="1"/>
  <c r="H5" i="4"/>
  <c r="I5" i="4" s="1"/>
  <c r="F5" i="4"/>
  <c r="E5" i="4"/>
  <c r="H4" i="4"/>
  <c r="I4" i="4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E5" i="72"/>
  <c r="F5" i="72" s="1"/>
  <c r="E6" i="72"/>
  <c r="F6" i="72" s="1"/>
  <c r="E7" i="72"/>
  <c r="F7" i="72" s="1"/>
  <c r="E8" i="72"/>
  <c r="F8" i="72" s="1"/>
  <c r="E9" i="72"/>
  <c r="F9" i="72" s="1"/>
  <c r="E10" i="72"/>
  <c r="F10" i="72" s="1"/>
  <c r="E11" i="72"/>
  <c r="F11" i="72" s="1"/>
  <c r="E12" i="72"/>
  <c r="F12" i="72" s="1"/>
  <c r="E13" i="72"/>
  <c r="F13" i="72" s="1"/>
  <c r="E14" i="72"/>
  <c r="F14" i="72" s="1"/>
  <c r="E15" i="72"/>
  <c r="F15" i="72" s="1"/>
  <c r="H6" i="72"/>
  <c r="I6" i="72" s="1"/>
  <c r="H7" i="72"/>
  <c r="I7" i="72" s="1"/>
  <c r="H8" i="72"/>
  <c r="I8" i="72" s="1"/>
  <c r="H9" i="72"/>
  <c r="I9" i="72" s="1"/>
  <c r="H10" i="72"/>
  <c r="I10" i="72" s="1"/>
  <c r="H11" i="72"/>
  <c r="I11" i="72" s="1"/>
  <c r="H12" i="72"/>
  <c r="I12" i="72" s="1"/>
  <c r="H13" i="72"/>
  <c r="I13" i="72" s="1"/>
  <c r="H14" i="72"/>
  <c r="I14" i="72" s="1"/>
  <c r="H15" i="72"/>
  <c r="I15" i="72" s="1"/>
  <c r="H5" i="72"/>
  <c r="I5" i="72" s="1"/>
  <c r="H4" i="72"/>
  <c r="I4" i="72" s="1"/>
  <c r="G2" i="72"/>
  <c r="D2" i="72"/>
  <c r="C2" i="72"/>
  <c r="J2" i="72" s="1"/>
  <c r="E4" i="72"/>
  <c r="F4" i="72" s="1"/>
  <c r="A1" i="72" a="1"/>
  <c r="A1" i="72" s="1"/>
  <c r="H2" i="32" l="1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G2" i="34"/>
  <c r="H20" i="1"/>
  <c r="I20" i="1" s="1"/>
  <c r="H20" i="34"/>
  <c r="I20" i="34" s="1"/>
  <c r="H19" i="1"/>
  <c r="I19" i="1" s="1"/>
  <c r="H19" i="34"/>
  <c r="I19" i="34" s="1"/>
  <c r="E21" i="34"/>
  <c r="F21" i="34" s="1"/>
  <c r="E18" i="34"/>
  <c r="F18" i="34" s="1"/>
  <c r="E19" i="1"/>
  <c r="F19" i="1" s="1"/>
  <c r="I21" i="34"/>
  <c r="I18" i="34"/>
  <c r="I20" i="72"/>
  <c r="I16" i="72"/>
  <c r="H17" i="1"/>
  <c r="I17" i="1" s="1"/>
  <c r="E18" i="1"/>
  <c r="F18" i="1" s="1"/>
  <c r="E21" i="1"/>
  <c r="F21" i="1" s="1"/>
  <c r="E16" i="34"/>
  <c r="F16" i="34" s="1"/>
  <c r="E17" i="34"/>
  <c r="F17" i="34" s="1"/>
  <c r="H21" i="1"/>
  <c r="I21" i="1" s="1"/>
  <c r="I18" i="72"/>
  <c r="I19" i="72"/>
  <c r="H18" i="1"/>
  <c r="I18" i="1" s="1"/>
  <c r="I17" i="72"/>
  <c r="H16" i="34"/>
  <c r="I16" i="34" s="1"/>
  <c r="H2" i="33"/>
  <c r="I2" i="33" s="1"/>
  <c r="E4" i="30"/>
  <c r="F4" i="30" s="1"/>
  <c r="D4" i="34"/>
  <c r="D2" i="34" s="1"/>
  <c r="J2" i="33"/>
  <c r="H2" i="3"/>
  <c r="I2" i="3" s="1"/>
  <c r="E11" i="34"/>
  <c r="F11" i="34" s="1"/>
  <c r="E7" i="1"/>
  <c r="F7" i="1" s="1"/>
  <c r="E15" i="1"/>
  <c r="F15" i="1" s="1"/>
  <c r="E12" i="34"/>
  <c r="F12" i="34" s="1"/>
  <c r="E5" i="34"/>
  <c r="F5" i="34" s="1"/>
  <c r="E13" i="34"/>
  <c r="F13" i="34" s="1"/>
  <c r="G2" i="1"/>
  <c r="E6" i="34"/>
  <c r="F6" i="34" s="1"/>
  <c r="E8" i="1"/>
  <c r="F8" i="1" s="1"/>
  <c r="E11" i="1"/>
  <c r="F11" i="1" s="1"/>
  <c r="E9" i="1"/>
  <c r="F9" i="1" s="1"/>
  <c r="E10" i="1"/>
  <c r="F10" i="1" s="1"/>
  <c r="E12" i="1"/>
  <c r="F12" i="1" s="1"/>
  <c r="E9" i="34"/>
  <c r="F9" i="34" s="1"/>
  <c r="E5" i="1"/>
  <c r="F5" i="1" s="1"/>
  <c r="E13" i="1"/>
  <c r="F13" i="1" s="1"/>
  <c r="E10" i="34"/>
  <c r="F10" i="34" s="1"/>
  <c r="E6" i="1"/>
  <c r="F6" i="1" s="1"/>
  <c r="E14" i="1"/>
  <c r="F14" i="1" s="1"/>
  <c r="H14" i="30"/>
  <c r="I14" i="30" s="1"/>
  <c r="H9" i="30"/>
  <c r="I9" i="30" s="1"/>
  <c r="H4" i="30"/>
  <c r="I4" i="30" s="1"/>
  <c r="E7" i="30"/>
  <c r="F7" i="30" s="1"/>
  <c r="H12" i="30"/>
  <c r="I12" i="30" s="1"/>
  <c r="H7" i="30"/>
  <c r="I7" i="30" s="1"/>
  <c r="H15" i="30"/>
  <c r="I15" i="30" s="1"/>
  <c r="H10" i="30"/>
  <c r="I10" i="30" s="1"/>
  <c r="H5" i="30"/>
  <c r="I5" i="30" s="1"/>
  <c r="H13" i="30"/>
  <c r="I13" i="30" s="1"/>
  <c r="H8" i="30"/>
  <c r="I8" i="30" s="1"/>
  <c r="H11" i="30"/>
  <c r="I11" i="30" s="1"/>
  <c r="E7" i="29"/>
  <c r="F7" i="29" s="1"/>
  <c r="H8" i="29"/>
  <c r="I8" i="29" s="1"/>
  <c r="H11" i="29"/>
  <c r="I11" i="29" s="1"/>
  <c r="I6" i="26"/>
  <c r="I9" i="26"/>
  <c r="I12" i="26"/>
  <c r="I15" i="26"/>
  <c r="H14" i="29"/>
  <c r="I14" i="29" s="1"/>
  <c r="H4" i="29"/>
  <c r="I4" i="29" s="1"/>
  <c r="E15" i="29"/>
  <c r="F15" i="29" s="1"/>
  <c r="H5" i="29"/>
  <c r="I5" i="29" s="1"/>
  <c r="I7" i="26"/>
  <c r="H14" i="18"/>
  <c r="I14" i="18" s="1"/>
  <c r="H9" i="18"/>
  <c r="I9" i="18" s="1"/>
  <c r="H6" i="18"/>
  <c r="I6" i="18" s="1"/>
  <c r="H4" i="18"/>
  <c r="I4" i="18" s="1"/>
  <c r="H12" i="18"/>
  <c r="I12" i="18" s="1"/>
  <c r="H7" i="18"/>
  <c r="I7" i="18" s="1"/>
  <c r="H15" i="18"/>
  <c r="I15" i="18" s="1"/>
  <c r="H10" i="18"/>
  <c r="I10" i="18" s="1"/>
  <c r="C4" i="34"/>
  <c r="H5" i="18"/>
  <c r="I5" i="18" s="1"/>
  <c r="H13" i="18"/>
  <c r="I13" i="18" s="1"/>
  <c r="H8" i="18"/>
  <c r="I8" i="18" s="1"/>
  <c r="H11" i="18"/>
  <c r="I11" i="18" s="1"/>
  <c r="H6" i="34"/>
  <c r="I6" i="34" s="1"/>
  <c r="H7" i="34"/>
  <c r="I7" i="34" s="1"/>
  <c r="H8" i="34"/>
  <c r="I8" i="34" s="1"/>
  <c r="H5" i="34"/>
  <c r="I5" i="34" s="1"/>
  <c r="H9" i="34"/>
  <c r="I9" i="34" s="1"/>
  <c r="H10" i="34"/>
  <c r="I10" i="34" s="1"/>
  <c r="H11" i="34"/>
  <c r="I11" i="34" s="1"/>
  <c r="H12" i="34"/>
  <c r="I12" i="34" s="1"/>
  <c r="H13" i="34"/>
  <c r="I13" i="34" s="1"/>
  <c r="H14" i="34"/>
  <c r="I14" i="34" s="1"/>
  <c r="H15" i="34"/>
  <c r="I15" i="34" s="1"/>
  <c r="E7" i="34"/>
  <c r="F7" i="34" s="1"/>
  <c r="E8" i="34"/>
  <c r="F8" i="34" s="1"/>
  <c r="E14" i="34"/>
  <c r="F14" i="34" s="1"/>
  <c r="E15" i="34"/>
  <c r="F15" i="34" s="1"/>
  <c r="C2" i="29"/>
  <c r="E2" i="29" s="1"/>
  <c r="F2" i="29" s="1"/>
  <c r="C2" i="30"/>
  <c r="E4" i="29"/>
  <c r="F4" i="29" s="1"/>
  <c r="C2" i="18"/>
  <c r="H7" i="1"/>
  <c r="I7" i="1" s="1"/>
  <c r="H4" i="1"/>
  <c r="H5" i="1"/>
  <c r="I5" i="1" s="1"/>
  <c r="H15" i="1"/>
  <c r="I15" i="1" s="1"/>
  <c r="H12" i="1"/>
  <c r="I12" i="1" s="1"/>
  <c r="H11" i="1"/>
  <c r="I11" i="1" s="1"/>
  <c r="H10" i="1"/>
  <c r="I10" i="1" s="1"/>
  <c r="H6" i="1"/>
  <c r="I6" i="1" s="1"/>
  <c r="C2" i="1"/>
  <c r="E2" i="3"/>
  <c r="F2" i="3" s="1"/>
  <c r="E4" i="1"/>
  <c r="F4" i="1" s="1"/>
  <c r="H14" i="1"/>
  <c r="I14" i="1" s="1"/>
  <c r="H13" i="1"/>
  <c r="I13" i="1" s="1"/>
  <c r="H9" i="1"/>
  <c r="I9" i="1" s="1"/>
  <c r="H8" i="1"/>
  <c r="I8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4" i="34" l="1"/>
  <c r="F4" i="34" s="1"/>
  <c r="H2" i="1"/>
  <c r="I2" i="1" s="1"/>
  <c r="C2" i="34"/>
  <c r="H2" i="34" s="1"/>
  <c r="I2" i="34" s="1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E2" i="34" l="1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<sst xmlns="http://schemas.openxmlformats.org/spreadsheetml/2006/main" count="313" uniqueCount="108">
  <si>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</si>
  <si>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</si>
  <si>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</si>
  <si>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</si>
  <si>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</si>
  <si>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</si>
  <si>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</si>
  <si>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</si>
  <si>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</si>
  <si>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</si>
  <si>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</si>
  <si>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</si>
  <si>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</si>
  <si>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</si>
  <si>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</si>
  <si>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</si>
  <si>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</si>
  <si>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</si>
  <si>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</si>
  <si>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</si>
  <si>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</si>
  <si>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</si>
  <si>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1. Inverter 2.3 was offline for whole month.</t>
  </si>
  <si>
    <t>1. SR079094</t>
  </si>
  <si>
    <t>1. Inverter 3 was late started on 01/20 due to isolation fault.
2. Inverter 2 was late started on 01/23 due to isolation fault.</t>
  </si>
  <si>
    <t>1. SR080355
2. SR080409</t>
  </si>
  <si>
    <t>1. Inverter 5 tripped offline on 1/27 at 12:00 PM and back online on 1/28.</t>
  </si>
  <si>
    <t>1. SR080526</t>
  </si>
  <si>
    <t>1. Meter only captured 2/3rd of inverter production from 01/11 to 1/18 and later technician resolved the issue.
2. Inverter 1.1 offline on 01/17, 1/19.</t>
  </si>
  <si>
    <t>1. SR080147</t>
  </si>
  <si>
    <t xml:space="preserve">1.  Inverter 8 is derating approximately 10kW. </t>
  </si>
  <si>
    <t>1. SR080602</t>
  </si>
  <si>
    <t>1. Inverter 2 is offline for whole month due to breaker over heating issue.</t>
  </si>
  <si>
    <t>1. PM4756</t>
  </si>
  <si>
    <t>February Actual v. Expected</t>
  </si>
  <si>
    <t>February Actual v. Forecasted</t>
  </si>
  <si>
    <t>1. Inverter 3 was late started on 02/20, 02/21, 02/22 due to isolation fault.</t>
  </si>
  <si>
    <t>1. SR081199</t>
  </si>
  <si>
    <t xml:space="preserve">1. Inverter 4 has tripping event frequently from 02/02/2024 to 02/21/2024. </t>
  </si>
  <si>
    <t>1. SR080566</t>
  </si>
  <si>
    <t xml:space="preserve"> </t>
  </si>
  <si>
    <t>1. Inverter 8 was derating 10kW compared to peers. Inverter 8 was kept offline from 02/08 and replaced on 02/22</t>
  </si>
  <si>
    <t>1. Inverter 2 was back online on 02/09/2024</t>
  </si>
  <si>
    <t>1. 	SR080860</t>
  </si>
  <si>
    <t>March Actual v. Expected</t>
  </si>
  <si>
    <t>March Actual v. Forecasted</t>
  </si>
  <si>
    <t>April Actual v. Expected</t>
  </si>
  <si>
    <t>April Actual v. Forecasted</t>
  </si>
  <si>
    <t>May Actual v. Expected</t>
  </si>
  <si>
    <t>May Actual v. Forecasted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</si>
  <si>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</si>
  <si>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</si>
  <si>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</si>
  <si>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</si>
  <si>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</si>
  <si>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</si>
  <si>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</si>
  <si>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</si>
  <si>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</si>
  <si>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</si>
  <si>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</si>
  <si>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</si>
  <si>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</si>
  <si>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</si>
  <si>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</si>
  <si>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CITI</t>
  </si>
  <si>
    <t>Site DAS Name</t>
  </si>
  <si>
    <t>Update</t>
  </si>
  <si>
    <t>DAS</t>
  </si>
  <si>
    <t>KP6 - Antioch Deer Valley - CN5701</t>
  </si>
  <si>
    <t>CA: Antioch Deer Valley - Citi</t>
  </si>
  <si>
    <t>CA</t>
  </si>
  <si>
    <t>KP6 - Antioch MC CUP - CN5701</t>
  </si>
  <si>
    <t>CA: Antioch MC CUP - Citi</t>
  </si>
  <si>
    <t>Clovis MOB</t>
  </si>
  <si>
    <t>CA: Clovis - Citi</t>
  </si>
  <si>
    <t>Elk Grove MOB - CN73727</t>
  </si>
  <si>
    <t>CA: Elk Grove MOB - Citi</t>
  </si>
  <si>
    <t>Elk Grove Promenade - CN 6950</t>
  </si>
  <si>
    <t>CA: Elk Grove Promenade - Citi</t>
  </si>
  <si>
    <t>Fresno Sequioa Hospital</t>
  </si>
  <si>
    <t>CA: Fresno Sequioa - Citi</t>
  </si>
  <si>
    <t>Fresno Medical Offices - CN7201</t>
  </si>
  <si>
    <t>CA: Fresno MOB - Citi</t>
  </si>
  <si>
    <t>Modesto Bangs MOB</t>
  </si>
  <si>
    <t>CA: Modesto Bangs - Citi</t>
  </si>
  <si>
    <t>KP - Napa Data Center - CN2250</t>
  </si>
  <si>
    <t>CA: Napa Data Center - Citi</t>
  </si>
  <si>
    <t>Kaiser - Petaluma Medical Office - CN2001</t>
  </si>
  <si>
    <t>CA: Petaluma MOB - Citi</t>
  </si>
  <si>
    <t>Pleasanton PTC - Bldg B - CN470B</t>
  </si>
  <si>
    <t>CA: Pleasanton Tec Ctr - Citi</t>
  </si>
  <si>
    <t>Rancho Cordova - Groundmount</t>
  </si>
  <si>
    <t>CA: Rancho Cordova - Citi</t>
  </si>
  <si>
    <t>South Sacramento Wyndham CN6014</t>
  </si>
  <si>
    <t>CA: S Sacramento Wyndham - Citi</t>
  </si>
  <si>
    <t>Sacramento Point West MOB</t>
  </si>
  <si>
    <t>CA: Sacramento Point West - Citi</t>
  </si>
  <si>
    <t>KP6 - San Jose FHC - CN6320</t>
  </si>
  <si>
    <t>CA: San Jose FHC - Citi</t>
  </si>
  <si>
    <t>KP6 - San Jose MOB - CN6310</t>
  </si>
  <si>
    <t>CA: San Jose MOB - Citi</t>
  </si>
  <si>
    <t>KP6 - Selma Medical Offices - CN8450</t>
  </si>
  <si>
    <t>CA: Selma - Citi</t>
  </si>
  <si>
    <t>Vacaville Hospital - CN6701</t>
  </si>
  <si>
    <t>CA: Vacaville Hospital</t>
  </si>
  <si>
    <t>Kaiser, KP6 - Manteca Hospital</t>
  </si>
  <si>
    <t>CA: Manteca - KP Manteca Hospital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</si>
</sst>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6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10"/>
      <color rgb="FF333333"/>
      <name val="Arial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64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22" fillId="0" borderId="0" xfId="43" applyFont="1"/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64" fontId="28" fillId="0" borderId="0" xfId="1" applyNumberFormat="1" applyFont="1" applyBorder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horizontal="left" vertical="top" wrapText="1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7" fillId="40" borderId="0" xfId="0" applyFont="1" applyFill="1" applyAlignment="1">
      <alignment horizontal="center" vertical="center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164" fontId="28" fillId="44" borderId="0" xfId="1" applyNumberFormat="1" applyFont="1" applyFill="1" applyAlignment="1">
      <alignment horizontal="center" vertical="center"/>
    </xf>
    <xf numFmtId="9" fontId="30" fillId="3" borderId="0" xfId="2" applyFont="1" applyFill="1" applyAlignment="1">
      <alignment horizontal="center" vertical="center"/>
    </xf>
    <xf numFmtId="3" fontId="30" fillId="4" borderId="0" xfId="1" applyNumberFormat="1" applyFont="1" applyFill="1" applyAlignment="1">
      <alignment vertical="center"/>
    </xf>
    <xf numFmtId="9" fontId="30" fillId="37" borderId="0" xfId="2" applyFont="1" applyFill="1" applyAlignment="1">
      <alignment horizontal="center" vertical="center"/>
    </xf>
    <xf numFmtId="49" fontId="30" fillId="38" borderId="0" xfId="2" applyNumberFormat="1" applyFont="1" applyFill="1" applyAlignment="1">
      <alignment horizontal="left" vertical="top" wrapText="1"/>
    </xf>
    <xf numFmtId="164" fontId="28" fillId="0" borderId="0" xfId="1" applyNumberFormat="1" applyFont="1" applyAlignment="1">
      <alignment horizontal="center" vertical="center"/>
    </xf>
    <xf numFmtId="9" fontId="30" fillId="0" borderId="0" xfId="2" applyFont="1" applyAlignment="1">
      <alignment horizontal="center" vertical="center"/>
    </xf>
    <xf numFmtId="3" fontId="30" fillId="0" borderId="0" xfId="1" applyNumberFormat="1" applyFont="1" applyAlignment="1">
      <alignment vertical="center"/>
    </xf>
    <xf numFmtId="49" fontId="30" fillId="38" borderId="0" xfId="2" applyNumberFormat="1" applyFont="1" applyFill="1" applyBorder="1" applyAlignment="1">
      <alignment wrapText="1"/>
    </xf>
    <xf numFmtId="49" fontId="28" fillId="0" borderId="0" xfId="0" applyNumberFormat="1" applyFont="1"/>
    <xf numFmtId="49" fontId="27" fillId="0" borderId="0" xfId="0" applyNumberFormat="1" applyFont="1"/>
    <xf numFmtId="49" fontId="30" fillId="38" borderId="0" xfId="2" applyNumberFormat="1" applyFont="1" applyFill="1" applyAlignment="1">
      <alignment wrapText="1"/>
    </xf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49" fontId="28" fillId="0" borderId="0" xfId="0" applyNumberFormat="1" applyFont="1" applyAlignment="1">
      <alignment wrapText="1"/>
    </xf>
    <xf numFmtId="0" fontId="35" fillId="0" borderId="0" xfId="0" applyFont="1"/>
    <xf numFmtId="49" fontId="28" fillId="0" borderId="0" xfId="0" applyNumberFormat="1" applyFont="1" applyAlignment="1">
      <alignment horizontal="left" vertical="top"/>
    </xf>
    <xf numFmtId="49" fontId="30" fillId="38" borderId="0" xfId="2" applyNumberFormat="1" applyFont="1" applyFill="1" applyBorder="1" applyAlignment="1">
      <alignment vertical="top" wrapText="1"/>
    </xf>
    <xf numFmtId="49" fontId="28" fillId="0" borderId="0" xfId="0" applyNumberFormat="1" applyFont="1" applyAlignment="1">
      <alignment vertical="top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22" totalsRowShown="0">
  <autoFilter ref="A3:E22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/>
    <tableColumn id="1" xr3:uid="{9A753695-C18C-437C-AD9C-C2CE5C1A806E}" name="Site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42"/>
  <sheetViews>
    <sheetView workbookViewId="0">
      <pane ySplit="2" topLeftCell="A3" activePane="bottomLeft" state="frozen"/>
      <selection pane="bottomLeft" activeCell="I23" sqref="I23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1" t="str" cm="1">
        <f t="array" ref="A1">portfolio</f>
        <v>CITI</v>
      </c>
      <c r="B1" s="61"/>
      <c r="C1" s="61"/>
      <c r="D1" s="62" t="s">
        <v>0</v>
      </c>
      <c r="E1" s="62"/>
      <c r="F1" s="62"/>
      <c r="G1" s="60" t="s">
        <v>1</v>
      </c>
      <c r="H1" s="60"/>
      <c r="I1" s="60"/>
    </row>
    <row r="2" spans="1:9" ht="19.5" customHeight="1">
      <c r="A2" s="63" t="s">
        <v>2</v>
      </c>
      <c r="B2" s="63"/>
      <c r="C2" s="6">
        <f>SUM(C4:C100)</f>
        <v>1909607.5200000003</v>
      </c>
      <c r="D2" s="6">
        <f>SUM(D4:D100)</f>
        <v>2015201.7949999999</v>
      </c>
      <c r="E2" s="6">
        <f>C2-D2</f>
        <v>-105594.27499999967</v>
      </c>
      <c r="F2" s="7">
        <f>IFERROR(E2/D2, 0)</f>
        <v>-5.2398859142540451E-2</v>
      </c>
      <c r="G2" s="6">
        <f>SUM(G4:G100)</f>
        <v>2048397.67</v>
      </c>
      <c r="H2" s="8">
        <f>C2-G2</f>
        <v>-138790.14999999967</v>
      </c>
      <c r="I2" s="7">
        <f>IFERROR(H2/G2, 0)</f>
        <v>-6.7755471524237609E-2</v>
      </c>
    </row>
    <row r="3" spans="1:9" ht="14.25" customHeight="1">
      <c r="A3" s="9" t="s">
        <v>3</v>
      </c>
      <c r="B3" s="9" t="s">
        <v>4</v>
      </c>
      <c r="C3" s="25" t="s">
        <v>5</v>
      </c>
      <c r="D3" s="49" t="s">
        <v>6</v>
      </c>
      <c r="E3" s="49" t="s">
        <v>7</v>
      </c>
      <c r="F3" s="50" t="s">
        <v>8</v>
      </c>
      <c r="G3" s="51" t="s">
        <v>9</v>
      </c>
      <c r="H3" s="52" t="s">
        <v>7</v>
      </c>
      <c r="I3" s="53" t="s">
        <v>8</v>
      </c>
    </row>
    <row r="4" spans="1:9" ht="15.75">
      <c r="A4" s="13" t="str" cm="1">
        <f t="array" ref="A4:A22">Sites[Site]</f>
        <v>CA: Antioch Deer Valley - Citi</v>
      </c>
      <c r="B4" s="10" t="str" cm="1">
        <f t="array" ref="B4:B22">Sites[State]</f>
        <v>CA</v>
      </c>
      <c r="C4" s="26">
        <f>SUM('1st Qtr'!C4, '2nd Qtr'!C4, '3rd Qtr'!C4, '4th Qtr'!C4)</f>
        <v>57342.25</v>
      </c>
      <c r="D4" s="14">
        <f>SUM('1st Qtr'!D4, '2nd Qtr'!D4, '3rd Qtr'!D4, '4th Qtr'!D4)</f>
        <v>60473</v>
      </c>
      <c r="E4" s="14">
        <f>IF(AND(ISNUMBER(C4),ISNUMBER(D4)), C4-D4, "")</f>
        <v>-3130.75</v>
      </c>
      <c r="F4" s="15">
        <f>IFERROR(E4/D4, "")</f>
        <v>-5.1771038314619745E-2</v>
      </c>
      <c r="G4" s="16">
        <f>SUM('1st Qtr'!G4,'2nd Qtr'!G4,'3rd Qtr'!G4,'4th Qtr'!G4)</f>
        <v>59726.52</v>
      </c>
      <c r="H4" s="16">
        <f>SUM('1st Qtr'!H4, '2nd Qtr'!H4, '3rd Qtr'!H4, '4th Qtr'!H4)</f>
        <v>-2384.2699999999968</v>
      </c>
      <c r="I4" s="17">
        <f>IFERROR(H4/G4, "")</f>
        <v>-3.9919787725787421E-2</v>
      </c>
    </row>
    <row r="5" spans="1:9" ht="15.75">
      <c r="A5" s="19" t="str">
        <v>CA: Antioch MC CUP - Citi</v>
      </c>
      <c r="B5" s="11" t="str">
        <v>CA</v>
      </c>
      <c r="C5" s="12">
        <f>SUM(Jan!C5, Feb!C5, Mar!C5)</f>
        <v>188032</v>
      </c>
      <c r="D5" s="20">
        <f>SUM(Jan!D5, Feb!D5, Mar!D5)</f>
        <v>198758</v>
      </c>
      <c r="E5" s="20">
        <f t="shared" ref="E5:E15" si="0">IF(AND(ISNUMBER(C5),ISNUMBER(D5)), C5-D5, "")</f>
        <v>-10726</v>
      </c>
      <c r="F5" s="21">
        <f>IFERROR(E5/D5, "")</f>
        <v>-5.396512341641594E-2</v>
      </c>
      <c r="G5" s="22">
        <f>SUM('1st Qtr'!G5,'2nd Qtr'!G5,'3rd Qtr'!G5,'4th Qtr'!G5)</f>
        <v>196166.33299999998</v>
      </c>
      <c r="H5" s="22">
        <f>SUM(Jan!H5, Feb!H5, Mar!H5)</f>
        <v>-8134.3329999999987</v>
      </c>
      <c r="I5" s="21">
        <f>IFERROR(H5/G5, "")</f>
        <v>-4.146650893453771E-2</v>
      </c>
    </row>
    <row r="6" spans="1:9" ht="15.75">
      <c r="A6" s="13" t="str">
        <v>CA: Clovis - Citi</v>
      </c>
      <c r="B6" s="10" t="str">
        <v>CA</v>
      </c>
      <c r="C6" s="26">
        <f>SUM(Jan!C6, Feb!C6, Mar!C6)</f>
        <v>81708.75</v>
      </c>
      <c r="D6" s="14">
        <f>SUM(Jan!D6, Feb!D6, Mar!D6)</f>
        <v>75214</v>
      </c>
      <c r="E6" s="14">
        <f t="shared" si="0"/>
        <v>6494.75</v>
      </c>
      <c r="F6" s="15">
        <f t="shared" ref="F6:F15" si="1">IFERROR(E6/D6, "")</f>
        <v>8.635028053287952E-2</v>
      </c>
      <c r="G6" s="16">
        <f>SUM('1st Qtr'!G6,'2nd Qtr'!G6,'3rd Qtr'!G6,'4th Qtr'!G6)</f>
        <v>95689.668999999994</v>
      </c>
      <c r="H6" s="16">
        <f>SUM(Jan!H6, Feb!H6, Mar!H6)</f>
        <v>-13980.919000000002</v>
      </c>
      <c r="I6" s="17">
        <f t="shared" ref="I6:I15" si="2">IFERROR(H6/G6, "")</f>
        <v>-0.14610688014815898</v>
      </c>
    </row>
    <row r="7" spans="1:9" ht="15.75">
      <c r="A7" s="19" t="str">
        <v>CA: Elk Grove MOB - Citi</v>
      </c>
      <c r="B7" s="11" t="str">
        <v>CA</v>
      </c>
      <c r="C7" s="12">
        <f>SUM(Jan!C7, Feb!C7, Mar!C7)</f>
        <v>117424.5</v>
      </c>
      <c r="D7" s="20">
        <f>SUM(Jan!D7, Feb!D7, Mar!D7)</f>
        <v>128889</v>
      </c>
      <c r="E7" s="20">
        <f t="shared" si="0"/>
        <v>-11464.5</v>
      </c>
      <c r="F7" s="21">
        <f t="shared" si="1"/>
        <v>-8.8948630216698091E-2</v>
      </c>
      <c r="G7" s="22">
        <f>SUM('1st Qtr'!G7,'2nd Qtr'!G7,'3rd Qtr'!G7,'4th Qtr'!G7)</f>
        <v>126191.76499999998</v>
      </c>
      <c r="H7" s="22">
        <f>SUM(Jan!H7, Feb!H7, Mar!H7)</f>
        <v>-8767.2649999999921</v>
      </c>
      <c r="I7" s="21">
        <f t="shared" si="2"/>
        <v>-6.9475730052590931E-2</v>
      </c>
    </row>
    <row r="8" spans="1:9" ht="15.75">
      <c r="A8" s="13" t="str">
        <v>CA: Elk Grove Promenade - Citi</v>
      </c>
      <c r="B8" s="10" t="str">
        <v>CA</v>
      </c>
      <c r="C8" s="26">
        <f>SUM(Jan!C8, Feb!C8, Mar!C8)</f>
        <v>56504.25</v>
      </c>
      <c r="D8" s="14">
        <f>SUM(Jan!D8, Feb!D8, Mar!D8)</f>
        <v>70766.794999999998</v>
      </c>
      <c r="E8" s="14">
        <f t="shared" si="0"/>
        <v>-14262.544999999998</v>
      </c>
      <c r="F8" s="15">
        <f t="shared" si="1"/>
        <v>-0.20154289875640119</v>
      </c>
      <c r="G8" s="16">
        <f>SUM('1st Qtr'!G8,'2nd Qtr'!G8,'3rd Qtr'!G8,'4th Qtr'!G8)</f>
        <v>70631.877000000008</v>
      </c>
      <c r="H8" s="16">
        <f>SUM(Jan!H8, Feb!H8, Mar!H8)</f>
        <v>-14127.627000000004</v>
      </c>
      <c r="I8" s="17">
        <f t="shared" si="2"/>
        <v>-0.20001772004444965</v>
      </c>
    </row>
    <row r="9" spans="1:9" ht="15.75">
      <c r="A9" s="19" t="str">
        <v>CA: Fresno Sequioa - Citi</v>
      </c>
      <c r="B9" s="11" t="str">
        <v>CA</v>
      </c>
      <c r="C9" s="12">
        <f>SUM(Jan!C9, Feb!C9, Mar!C9)</f>
        <v>141719.5</v>
      </c>
      <c r="D9" s="20">
        <f>SUM(Jan!D9, Feb!D9, Mar!D9)</f>
        <v>137615</v>
      </c>
      <c r="E9" s="20">
        <f t="shared" si="0"/>
        <v>4104.5</v>
      </c>
      <c r="F9" s="21">
        <f t="shared" si="1"/>
        <v>2.9825963739417941E-2</v>
      </c>
      <c r="G9" s="22">
        <f>SUM('1st Qtr'!G9,'2nd Qtr'!G9,'3rd Qtr'!G9,'4th Qtr'!G9)</f>
        <v>151041.326</v>
      </c>
      <c r="H9" s="22">
        <f>SUM(Jan!H9, Feb!H9, Mar!H9)</f>
        <v>-9321.8259999999937</v>
      </c>
      <c r="I9" s="21">
        <f t="shared" si="2"/>
        <v>-6.1717056165145119E-2</v>
      </c>
    </row>
    <row r="10" spans="1:9" ht="15.75">
      <c r="A10" s="13" t="str">
        <v>CA: Fresno MOB - Citi</v>
      </c>
      <c r="B10" s="10" t="str">
        <v>CA</v>
      </c>
      <c r="C10" s="26">
        <f>SUM(Jan!C10, Feb!C10, Mar!C10)</f>
        <v>56759.13</v>
      </c>
      <c r="D10" s="14">
        <f>SUM(Jan!D10, Feb!D10, Mar!D10)</f>
        <v>55493</v>
      </c>
      <c r="E10" s="14">
        <f t="shared" si="0"/>
        <v>1266.1299999999974</v>
      </c>
      <c r="F10" s="15">
        <f t="shared" si="1"/>
        <v>2.2816030850737884E-2</v>
      </c>
      <c r="G10" s="16">
        <f>SUM('1st Qtr'!G10,'2nd Qtr'!G10,'3rd Qtr'!G10,'4th Qtr'!G10)</f>
        <v>58185.398000000001</v>
      </c>
      <c r="H10" s="16">
        <f>SUM(Jan!H10, Feb!H10, Mar!H10)</f>
        <v>-1426.2680000000037</v>
      </c>
      <c r="I10" s="17">
        <f t="shared" si="2"/>
        <v>-2.4512473043494583E-2</v>
      </c>
    </row>
    <row r="11" spans="1:9" ht="15.75">
      <c r="A11" s="19" t="str">
        <v>CA: Modesto Bangs - Citi</v>
      </c>
      <c r="B11" s="11" t="str">
        <v>CA</v>
      </c>
      <c r="C11" s="12">
        <f>SUM(Jan!C11, Feb!C11, Mar!C11)</f>
        <v>31062.62</v>
      </c>
      <c r="D11" s="20">
        <f>SUM(Jan!D11, Feb!D11, Mar!D11)</f>
        <v>32616</v>
      </c>
      <c r="E11" s="20">
        <f t="shared" si="0"/>
        <v>-1553.380000000001</v>
      </c>
      <c r="F11" s="21">
        <f>IFERROR(E11/D11, 0)</f>
        <v>-4.7626318371351513E-2</v>
      </c>
      <c r="G11" s="22">
        <f>SUM('1st Qtr'!G11,'2nd Qtr'!G11,'3rd Qtr'!G11,'4th Qtr'!G11)</f>
        <v>32611.481999999996</v>
      </c>
      <c r="H11" s="22">
        <f>SUM(Jan!H11, Feb!H11, Mar!H11)</f>
        <v>-1548.8619999999992</v>
      </c>
      <c r="I11" s="21">
        <f>IFERROR(H11/G11, 0)</f>
        <v>-4.7494376367194821E-2</v>
      </c>
    </row>
    <row r="12" spans="1:9" ht="15.75">
      <c r="A12" s="13" t="str">
        <v>CA: Napa Data Center - Citi</v>
      </c>
      <c r="B12" s="10" t="str">
        <v>CA</v>
      </c>
      <c r="C12" s="26">
        <f>SUM(Jan!C12, Feb!C12, Mar!C12)</f>
        <v>33202.870000000003</v>
      </c>
      <c r="D12" s="14">
        <f>SUM(Jan!D12, Feb!D12, Mar!D12)</f>
        <v>40374</v>
      </c>
      <c r="E12" s="14">
        <f t="shared" si="0"/>
        <v>-7171.1299999999974</v>
      </c>
      <c r="F12" s="15">
        <f t="shared" si="1"/>
        <v>-0.17761752613067811</v>
      </c>
      <c r="G12" s="16">
        <f>SUM('1st Qtr'!G12,'2nd Qtr'!G12,'3rd Qtr'!G12,'4th Qtr'!G12)</f>
        <v>40822.069000000003</v>
      </c>
      <c r="H12" s="16">
        <f>SUM(Jan!H12, Feb!H12, Mar!H12)</f>
        <v>-7619.1990000000023</v>
      </c>
      <c r="I12" s="17">
        <f t="shared" si="2"/>
        <v>-0.1866441164459352</v>
      </c>
    </row>
    <row r="13" spans="1:9" ht="15.75">
      <c r="A13" s="19" t="str">
        <v>CA: Petaluma MOB - Citi</v>
      </c>
      <c r="B13" s="11" t="str">
        <v>CA</v>
      </c>
      <c r="C13" s="12">
        <f>SUM(Jan!C13, Feb!C13, Mar!C13)</f>
        <v>78863.75</v>
      </c>
      <c r="D13" s="20">
        <f>SUM(Jan!D13, Feb!D13, Mar!D13)</f>
        <v>94879</v>
      </c>
      <c r="E13" s="20">
        <f t="shared" si="0"/>
        <v>-16015.25</v>
      </c>
      <c r="F13" s="21">
        <f t="shared" si="1"/>
        <v>-0.16879657247652272</v>
      </c>
      <c r="G13" s="22">
        <f>SUM('1st Qtr'!G13,'2nd Qtr'!G13,'3rd Qtr'!G13,'4th Qtr'!G13)</f>
        <v>94947.909</v>
      </c>
      <c r="H13" s="22">
        <f>SUM(Jan!H13, Feb!H13, Mar!H13)</f>
        <v>-16084.159</v>
      </c>
      <c r="I13" s="21">
        <f t="shared" si="2"/>
        <v>-0.16939982322306854</v>
      </c>
    </row>
    <row r="14" spans="1:9" ht="15.75">
      <c r="A14" s="13" t="str">
        <v>CA: Pleasanton Tec Ctr - Citi</v>
      </c>
      <c r="B14" s="10" t="str">
        <v>CA</v>
      </c>
      <c r="C14" s="26">
        <f>SUM(Jan!C14, Feb!C14, Mar!C14)</f>
        <v>106774.5</v>
      </c>
      <c r="D14" s="14">
        <f>SUM(Jan!D14, Feb!D14, Mar!D14)</f>
        <v>131901</v>
      </c>
      <c r="E14" s="14">
        <f t="shared" si="0"/>
        <v>-25126.5</v>
      </c>
      <c r="F14" s="15">
        <f t="shared" si="1"/>
        <v>-0.19049514408533674</v>
      </c>
      <c r="G14" s="16">
        <f>SUM('1st Qtr'!G14,'2nd Qtr'!G14,'3rd Qtr'!G14,'4th Qtr'!G14)</f>
        <v>127311.902</v>
      </c>
      <c r="H14" s="16">
        <f>SUM(Jan!H14, Feb!H14, Mar!H14)</f>
        <v>-20537.401999999995</v>
      </c>
      <c r="I14" s="17">
        <f t="shared" si="2"/>
        <v>-0.1613156482415917</v>
      </c>
    </row>
    <row r="15" spans="1:9" ht="15.75">
      <c r="A15" s="19" t="str">
        <v>CA: Rancho Cordova - Citi</v>
      </c>
      <c r="B15" s="11" t="str">
        <v>CA</v>
      </c>
      <c r="C15" s="12">
        <f>SUM(Jan!C15, Feb!C15, Mar!C15)</f>
        <v>203329</v>
      </c>
      <c r="D15" s="20">
        <f>SUM(Jan!D15, Feb!D15, Mar!D15)</f>
        <v>205487</v>
      </c>
      <c r="E15" s="20">
        <f t="shared" si="0"/>
        <v>-2158</v>
      </c>
      <c r="F15" s="21">
        <f t="shared" si="1"/>
        <v>-1.050188089757503E-2</v>
      </c>
      <c r="G15" s="22">
        <f>SUM('1st Qtr'!G15,'2nd Qtr'!G15,'3rd Qtr'!G15,'4th Qtr'!G15)</f>
        <v>209760.92199999999</v>
      </c>
      <c r="H15" s="22">
        <f>SUM(Jan!H15, Feb!H15, Mar!H15)</f>
        <v>-6431.9219999999914</v>
      </c>
      <c r="I15" s="21">
        <f t="shared" si="2"/>
        <v>-3.0663108927410185E-2</v>
      </c>
    </row>
    <row r="16" spans="1:9" ht="15.75">
      <c r="A16" s="13" t="str">
        <v>CA: S Sacramento Wyndham - Citi</v>
      </c>
      <c r="B16" s="10" t="str">
        <v>CA</v>
      </c>
      <c r="C16" s="37">
        <f>SUM(Jan!C16, Feb!C16, Mar!C16)</f>
        <v>98718</v>
      </c>
      <c r="D16" s="14">
        <f>SUM(Jan!D16, Feb!D16, Mar!D16)</f>
        <v>110526</v>
      </c>
      <c r="E16" s="14">
        <f t="shared" ref="E16:E22" si="3">IF(AND(ISNUMBER(C16),ISNUMBER(D16)), C16-D16, "")</f>
        <v>-11808</v>
      </c>
      <c r="F16" s="38">
        <f t="shared" ref="F16:F21" si="4">IFERROR(E16/D16, "")</f>
        <v>-0.10683459095597415</v>
      </c>
      <c r="G16" s="39">
        <f>SUM('1st Qtr'!G16,'2nd Qtr'!G16,'3rd Qtr'!G16,'4th Qtr'!G16)</f>
        <v>99673.456000000006</v>
      </c>
      <c r="H16" s="39">
        <f>SUM(Jan!H16, Feb!H16, Mar!H16)</f>
        <v>-955.45600000000559</v>
      </c>
      <c r="I16" s="40">
        <f t="shared" ref="I16:I21" si="5">IFERROR(H16/G16, "")</f>
        <v>-9.5858620573967615E-3</v>
      </c>
    </row>
    <row r="17" spans="1:9" ht="15.75">
      <c r="A17" s="19" t="str">
        <v>CA: Sacramento Point West - Citi</v>
      </c>
      <c r="B17" s="11" t="str">
        <v>CA</v>
      </c>
      <c r="C17" s="42">
        <f>SUM(Jan!C17, Feb!C17, Mar!C17)</f>
        <v>174018</v>
      </c>
      <c r="D17" s="20">
        <f>SUM(Jan!D17, Feb!D17, Mar!D17)</f>
        <v>212878</v>
      </c>
      <c r="E17" s="20">
        <f t="shared" si="3"/>
        <v>-38860</v>
      </c>
      <c r="F17" s="43">
        <f t="shared" si="4"/>
        <v>-0.18254587134415018</v>
      </c>
      <c r="G17" s="44">
        <f>SUM('1st Qtr'!G17,'2nd Qtr'!G17,'3rd Qtr'!G17,'4th Qtr'!G17)</f>
        <v>211214.04499999998</v>
      </c>
      <c r="H17" s="44">
        <f>SUM(Jan!H17, Feb!H17, Mar!H17)</f>
        <v>-37196.044999999998</v>
      </c>
      <c r="I17" s="43">
        <f t="shared" si="5"/>
        <v>-0.17610592609975345</v>
      </c>
    </row>
    <row r="18" spans="1:9" ht="12.75" customHeight="1">
      <c r="A18" s="13" t="str">
        <v>CA: San Jose FHC - Citi</v>
      </c>
      <c r="B18" s="10" t="str">
        <v>CA</v>
      </c>
      <c r="C18" s="37">
        <f>SUM(Jan!C18, Feb!C18, Mar!C18)</f>
        <v>39318.619999999995</v>
      </c>
      <c r="D18" s="14">
        <f>SUM(Jan!D18, Feb!D18, Mar!D18)</f>
        <v>50087</v>
      </c>
      <c r="E18" s="14">
        <f t="shared" si="3"/>
        <v>-10768.380000000005</v>
      </c>
      <c r="F18" s="38">
        <f t="shared" si="4"/>
        <v>-0.21499351129035488</v>
      </c>
      <c r="G18" s="39">
        <f>SUM('1st Qtr'!G18,'2nd Qtr'!G18,'3rd Qtr'!G18,'4th Qtr'!G18)</f>
        <v>45692.667000000001</v>
      </c>
      <c r="H18" s="39">
        <f>SUM(Jan!H18, Feb!H18, Mar!H18)</f>
        <v>-6374.0469999999987</v>
      </c>
      <c r="I18" s="40">
        <f t="shared" si="5"/>
        <v>-0.13949824815434825</v>
      </c>
    </row>
    <row r="19" spans="1:9" ht="15.75">
      <c r="A19" s="19" t="str">
        <v>CA: San Jose MOB - Citi</v>
      </c>
      <c r="B19" s="11" t="str">
        <v>CA</v>
      </c>
      <c r="C19" s="42">
        <f>SUM(Jan!C19, Feb!C19, Mar!C19)</f>
        <v>58073.75</v>
      </c>
      <c r="D19" s="20">
        <f>SUM(Jan!D19, Feb!D19, Mar!D19)</f>
        <v>80585</v>
      </c>
      <c r="E19" s="20">
        <f t="shared" si="3"/>
        <v>-22511.25</v>
      </c>
      <c r="F19" s="43">
        <f t="shared" si="4"/>
        <v>-0.27934789352857231</v>
      </c>
      <c r="G19" s="44">
        <f>SUM('1st Qtr'!G19,'2nd Qtr'!G19,'3rd Qtr'!G19,'4th Qtr'!G19)</f>
        <v>73396.972999999998</v>
      </c>
      <c r="H19" s="44">
        <f>SUM(Jan!H19, Feb!H19, Mar!H19)</f>
        <v>-15323.223000000002</v>
      </c>
      <c r="I19" s="43">
        <f t="shared" si="5"/>
        <v>-0.20877186583702848</v>
      </c>
    </row>
    <row r="20" spans="1:9" ht="15.75">
      <c r="A20" s="13" t="str">
        <v>CA: Selma - Citi</v>
      </c>
      <c r="B20" s="10" t="str">
        <v>CA</v>
      </c>
      <c r="C20" s="37">
        <f>SUM(Jan!C20, Feb!C20, Mar!C20)</f>
        <v>41276.25</v>
      </c>
      <c r="D20" s="14">
        <f>SUM(Jan!D20, Feb!D20, Mar!D20)</f>
        <v>38912</v>
      </c>
      <c r="E20" s="14">
        <f t="shared" si="3"/>
        <v>2364.25</v>
      </c>
      <c r="F20" s="38">
        <f t="shared" si="4"/>
        <v>6.0758891858552634E-2</v>
      </c>
      <c r="G20" s="39">
        <f>SUM('1st Qtr'!G20,'2nd Qtr'!G20,'3rd Qtr'!G20,'4th Qtr'!G20)</f>
        <v>46411.682999999997</v>
      </c>
      <c r="H20" s="39">
        <f>SUM(Jan!H20, Feb!H20, Mar!H20)</f>
        <v>-5135.4329999999973</v>
      </c>
      <c r="I20" s="40">
        <f t="shared" si="5"/>
        <v>-0.11064957502187536</v>
      </c>
    </row>
    <row r="21" spans="1:9" ht="15.75">
      <c r="A21" s="19" t="str">
        <v>CA: Vacaville Hospital</v>
      </c>
      <c r="B21" s="11" t="str">
        <v>CA</v>
      </c>
      <c r="C21" s="42">
        <f>SUM(Jan!C21, Feb!C21, Mar!C21)</f>
        <v>259449.75</v>
      </c>
      <c r="D21" s="20">
        <f>SUM(Jan!D21, Feb!D21, Mar!D21)</f>
        <v>289748</v>
      </c>
      <c r="E21" s="20">
        <f t="shared" si="3"/>
        <v>-30298.25</v>
      </c>
      <c r="F21" s="43">
        <f t="shared" si="4"/>
        <v>-0.10456758976766017</v>
      </c>
      <c r="G21" s="44">
        <f>SUM('1st Qtr'!G21,'2nd Qtr'!G21,'3rd Qtr'!G21,'4th Qtr'!G21)</f>
        <v>254606.67099999997</v>
      </c>
      <c r="H21" s="44">
        <f>SUM(Jan!H21, Feb!H21, Mar!H21)</f>
        <v>4843.0790000000125</v>
      </c>
      <c r="I21" s="43">
        <f t="shared" si="5"/>
        <v>1.9021807170166459E-2</v>
      </c>
    </row>
    <row r="22" spans="1:9" ht="15.75">
      <c r="A22" s="13" t="str">
        <v>CA: Manteca - KP Manteca Hospital</v>
      </c>
      <c r="B22" s="10" t="str">
        <v>CA</v>
      </c>
      <c r="C22" s="37">
        <f>SUM(Jan!C22, Feb!C22, Mar!C22)</f>
        <v>86030.03</v>
      </c>
      <c r="D22" s="14">
        <f>SUM(Jan!D22, Feb!D22, Mar!D22)</f>
        <v>0</v>
      </c>
      <c r="E22" s="14">
        <f t="shared" si="3"/>
        <v>86030.03</v>
      </c>
      <c r="F22" s="38">
        <f>IFERROR(E22/D22, 0)</f>
        <v>0</v>
      </c>
      <c r="G22" s="39">
        <f>SUM('1st Qtr'!G22,'2nd Qtr'!G22,'3rd Qtr'!G22,'4th Qtr'!G22)</f>
        <v>54315.002999999997</v>
      </c>
      <c r="H22" s="39">
        <f>SUM(Jan!H22, Feb!H22, Mar!H22)</f>
        <v>31715.027000000002</v>
      </c>
      <c r="I22" s="40">
        <f>IFERROR(H22/G22, 0)</f>
        <v>0.5839091456922133</v>
      </c>
    </row>
    <row r="23" spans="1:9">
      <c r="A23" s="23"/>
      <c r="B23" s="23"/>
      <c r="C23" s="23"/>
      <c r="D23" s="23"/>
      <c r="E23" s="23"/>
      <c r="F23" s="23"/>
      <c r="G23" s="23"/>
      <c r="H23" s="23"/>
      <c r="I23" s="23"/>
    </row>
    <row r="24" spans="1:9">
      <c r="A24" s="23"/>
      <c r="B24" s="23"/>
      <c r="C24" s="23"/>
      <c r="D24" s="23"/>
      <c r="E24" s="23"/>
      <c r="F24" s="23"/>
      <c r="G24" s="23"/>
      <c r="H24" s="23"/>
      <c r="I24" s="23"/>
    </row>
    <row r="25" spans="1:9">
      <c r="A25" s="23"/>
      <c r="B25" s="23"/>
      <c r="C25" s="23"/>
      <c r="D25" s="23"/>
      <c r="E25" s="23"/>
      <c r="F25" s="23"/>
      <c r="G25" s="23"/>
      <c r="H25" s="23"/>
      <c r="I25" s="23"/>
    </row>
    <row r="26" spans="1:9">
      <c r="A26" s="23"/>
      <c r="B26" s="23"/>
      <c r="C26" s="23"/>
      <c r="D26" s="23"/>
      <c r="E26" s="23"/>
      <c r="F26" s="23"/>
      <c r="G26" s="23"/>
      <c r="H26" s="23"/>
      <c r="I26" s="23"/>
    </row>
    <row r="27" spans="1:9">
      <c r="A27" s="23"/>
      <c r="B27" s="23"/>
      <c r="C27" s="23"/>
      <c r="D27" s="23"/>
      <c r="E27" s="23"/>
      <c r="F27" s="23"/>
      <c r="G27" s="23"/>
      <c r="H27" s="23"/>
      <c r="I27" s="23"/>
    </row>
    <row r="28" spans="1:9">
      <c r="A28" s="23"/>
      <c r="B28" s="23"/>
      <c r="C28" s="23"/>
      <c r="D28" s="23"/>
      <c r="E28" s="23"/>
      <c r="F28" s="23"/>
      <c r="G28" s="23"/>
      <c r="H28" s="23"/>
      <c r="I28" s="23"/>
    </row>
    <row r="29" spans="1:9">
      <c r="A29" s="23"/>
      <c r="B29" s="23"/>
      <c r="C29" s="23"/>
      <c r="D29" s="23"/>
      <c r="E29" s="23"/>
      <c r="F29" s="23"/>
      <c r="G29" s="23"/>
      <c r="H29" s="23"/>
      <c r="I29" s="23"/>
    </row>
    <row r="30" spans="1:9">
      <c r="A30" s="23"/>
      <c r="B30" s="23"/>
      <c r="C30" s="23"/>
      <c r="D30" s="23"/>
      <c r="E30" s="23"/>
      <c r="F30" s="23"/>
      <c r="G30" s="23"/>
      <c r="H30" s="23"/>
      <c r="I30" s="23"/>
    </row>
    <row r="31" spans="1:9">
      <c r="A31" s="23"/>
      <c r="B31" s="23"/>
      <c r="C31" s="23"/>
      <c r="D31" s="23"/>
      <c r="E31" s="23"/>
      <c r="F31" s="23"/>
      <c r="G31" s="23"/>
      <c r="H31" s="23"/>
      <c r="I31" s="23"/>
    </row>
    <row r="32" spans="1:9">
      <c r="A32" s="23"/>
      <c r="B32" s="23"/>
      <c r="C32" s="23"/>
      <c r="D32" s="23"/>
      <c r="E32" s="23"/>
      <c r="F32" s="23"/>
      <c r="G32" s="23"/>
      <c r="H32" s="23"/>
      <c r="I32" s="23"/>
    </row>
    <row r="33" spans="1:9">
      <c r="A33" s="23"/>
      <c r="B33" s="23"/>
      <c r="C33" s="23"/>
      <c r="D33" s="23"/>
      <c r="E33" s="23"/>
      <c r="F33" s="24"/>
      <c r="G33" s="23"/>
      <c r="H33" s="23"/>
      <c r="I33" s="24"/>
    </row>
    <row r="34" spans="1:9">
      <c r="A34" s="23"/>
      <c r="B34" s="23"/>
      <c r="C34" s="23"/>
      <c r="D34" s="23"/>
      <c r="E34" s="23"/>
      <c r="F34" s="24"/>
      <c r="G34" s="23"/>
      <c r="H34" s="23"/>
      <c r="I34" s="24"/>
    </row>
    <row r="35" spans="1:9">
      <c r="A35" s="23"/>
      <c r="B35" s="23"/>
      <c r="C35" s="23"/>
      <c r="D35" s="23"/>
      <c r="E35" s="23"/>
      <c r="F35" s="24"/>
      <c r="G35" s="23"/>
      <c r="H35" s="23"/>
      <c r="I35" s="24"/>
    </row>
    <row r="36" spans="1:9">
      <c r="A36" s="23"/>
      <c r="B36" s="23"/>
      <c r="C36" s="23"/>
      <c r="D36" s="23"/>
      <c r="E36" s="23"/>
      <c r="F36" s="24"/>
      <c r="G36" s="23"/>
      <c r="H36" s="23"/>
      <c r="I36" s="24"/>
    </row>
    <row r="37" spans="1:9">
      <c r="A37" s="23"/>
      <c r="B37" s="23"/>
      <c r="C37" s="23"/>
      <c r="D37" s="23"/>
      <c r="E37" s="23"/>
      <c r="F37" s="24"/>
      <c r="G37" s="23"/>
      <c r="H37" s="23"/>
      <c r="I37" s="24"/>
    </row>
    <row r="38" spans="1:9">
      <c r="A38" s="23"/>
      <c r="B38" s="23"/>
      <c r="C38" s="23"/>
      <c r="D38" s="23"/>
      <c r="E38" s="23"/>
      <c r="F38" s="24"/>
      <c r="G38" s="23"/>
      <c r="H38" s="23"/>
      <c r="I38" s="24"/>
    </row>
    <row r="39" spans="1:9">
      <c r="A39" s="23"/>
      <c r="B39" s="23"/>
      <c r="C39" s="23"/>
      <c r="D39" s="23"/>
      <c r="E39" s="23"/>
      <c r="F39" s="24"/>
      <c r="G39" s="23"/>
      <c r="H39" s="23"/>
      <c r="I39" s="24"/>
    </row>
    <row r="40" spans="1:9">
      <c r="A40" s="23"/>
      <c r="B40" s="23"/>
      <c r="C40" s="23"/>
      <c r="D40" s="23"/>
      <c r="E40" s="23"/>
      <c r="F40" s="24"/>
      <c r="G40" s="23"/>
      <c r="H40" s="23"/>
      <c r="I40" s="24"/>
    </row>
    <row r="41" spans="1:9">
      <c r="A41" s="23"/>
      <c r="B41" s="23"/>
      <c r="C41" s="23"/>
      <c r="D41" s="23"/>
      <c r="E41" s="23"/>
      <c r="F41" s="24"/>
      <c r="G41" s="23"/>
      <c r="H41" s="23"/>
      <c r="I41" s="24"/>
    </row>
    <row r="42" spans="1:9">
      <c r="A42" s="23"/>
      <c r="B42" s="23"/>
      <c r="C42" s="23"/>
      <c r="D42" s="23"/>
      <c r="E42" s="23"/>
      <c r="F42" s="24"/>
      <c r="G42" s="23"/>
      <c r="H42" s="23"/>
      <c r="I42" s="24"/>
    </row>
    <row r="43" spans="1:9">
      <c r="A43" s="23"/>
      <c r="B43" s="23"/>
      <c r="C43" s="23"/>
      <c r="D43" s="23"/>
      <c r="E43" s="23"/>
      <c r="F43" s="24"/>
      <c r="G43" s="23"/>
      <c r="H43" s="23"/>
      <c r="I43" s="24"/>
    </row>
    <row r="44" spans="1:9">
      <c r="A44" s="23"/>
      <c r="B44" s="23"/>
      <c r="C44" s="23"/>
      <c r="D44" s="23"/>
      <c r="E44" s="23"/>
      <c r="F44" s="24"/>
      <c r="G44" s="23"/>
      <c r="H44" s="23"/>
      <c r="I44" s="24"/>
    </row>
    <row r="45" spans="1:9">
      <c r="A45" s="23"/>
      <c r="B45" s="23"/>
      <c r="C45" s="23"/>
      <c r="D45" s="23"/>
      <c r="E45" s="23"/>
      <c r="F45" s="24"/>
      <c r="G45" s="23"/>
      <c r="H45" s="23"/>
      <c r="I45" s="24"/>
    </row>
    <row r="46" spans="1:9">
      <c r="A46" s="23"/>
      <c r="B46" s="23"/>
      <c r="C46" s="23"/>
      <c r="D46" s="23"/>
      <c r="E46" s="23"/>
      <c r="F46" s="24"/>
      <c r="G46" s="23"/>
      <c r="H46" s="23"/>
      <c r="I46" s="24"/>
    </row>
    <row r="47" spans="1:9">
      <c r="A47" s="23"/>
      <c r="B47" s="23"/>
      <c r="C47" s="23"/>
      <c r="D47" s="23"/>
      <c r="E47" s="23"/>
      <c r="F47" s="24"/>
      <c r="G47" s="23"/>
      <c r="H47" s="23"/>
      <c r="I47" s="24"/>
    </row>
    <row r="48" spans="1:9">
      <c r="A48" s="23"/>
      <c r="B48" s="23"/>
      <c r="C48" s="23"/>
      <c r="D48" s="23"/>
      <c r="E48" s="23"/>
      <c r="F48" s="24"/>
      <c r="G48" s="23"/>
      <c r="H48" s="23"/>
      <c r="I48" s="24"/>
    </row>
    <row r="49" spans="1:9">
      <c r="A49" s="23"/>
      <c r="B49" s="23"/>
      <c r="C49" s="23"/>
      <c r="D49" s="23"/>
      <c r="E49" s="23"/>
      <c r="F49" s="24"/>
      <c r="G49" s="23"/>
      <c r="H49" s="23"/>
      <c r="I49" s="24"/>
    </row>
    <row r="50" spans="1:9">
      <c r="A50" s="23"/>
      <c r="B50" s="23"/>
      <c r="C50" s="23"/>
      <c r="D50" s="23"/>
      <c r="E50" s="23"/>
      <c r="F50" s="24"/>
      <c r="G50" s="23"/>
      <c r="H50" s="23"/>
      <c r="I50" s="24"/>
    </row>
    <row r="51" spans="1:9">
      <c r="A51" s="23"/>
      <c r="B51" s="23"/>
      <c r="C51" s="23"/>
      <c r="D51" s="23"/>
      <c r="E51" s="23"/>
      <c r="F51" s="24"/>
      <c r="G51" s="23"/>
      <c r="H51" s="23"/>
      <c r="I51" s="24"/>
    </row>
    <row r="52" spans="1:9">
      <c r="A52" s="23"/>
      <c r="B52" s="23"/>
      <c r="C52" s="23"/>
      <c r="D52" s="23"/>
      <c r="E52" s="23"/>
      <c r="F52" s="24"/>
      <c r="G52" s="23"/>
      <c r="H52" s="23"/>
      <c r="I52" s="24"/>
    </row>
    <row r="53" spans="1:9">
      <c r="A53" s="23"/>
      <c r="B53" s="23"/>
      <c r="C53" s="23"/>
      <c r="D53" s="23"/>
      <c r="E53" s="23"/>
      <c r="F53" s="24"/>
      <c r="G53" s="23"/>
      <c r="H53" s="23"/>
      <c r="I53" s="24"/>
    </row>
    <row r="54" spans="1:9">
      <c r="A54" s="23"/>
      <c r="B54" s="23"/>
      <c r="C54" s="23"/>
      <c r="D54" s="23"/>
      <c r="E54" s="23"/>
      <c r="F54" s="24"/>
      <c r="G54" s="23"/>
      <c r="H54" s="23"/>
      <c r="I54" s="24"/>
    </row>
    <row r="55" spans="1:9">
      <c r="A55" s="23"/>
      <c r="B55" s="23"/>
      <c r="C55" s="23"/>
      <c r="D55" s="23"/>
      <c r="E55" s="23"/>
      <c r="F55" s="24"/>
      <c r="G55" s="23"/>
      <c r="H55" s="23"/>
      <c r="I55" s="24"/>
    </row>
    <row r="56" spans="1:9">
      <c r="A56" s="23"/>
      <c r="B56" s="23"/>
      <c r="C56" s="23"/>
      <c r="D56" s="23"/>
      <c r="E56" s="23"/>
      <c r="F56" s="24"/>
      <c r="G56" s="23"/>
      <c r="H56" s="23"/>
      <c r="I56" s="24"/>
    </row>
    <row r="57" spans="1:9">
      <c r="A57" s="23"/>
      <c r="B57" s="23"/>
      <c r="C57" s="23"/>
      <c r="D57" s="23"/>
      <c r="E57" s="23"/>
      <c r="F57" s="24"/>
      <c r="G57" s="23"/>
      <c r="H57" s="23"/>
      <c r="I57" s="24"/>
    </row>
    <row r="58" spans="1:9">
      <c r="A58" s="23"/>
      <c r="B58" s="23"/>
      <c r="C58" s="23"/>
      <c r="D58" s="23"/>
      <c r="E58" s="23"/>
      <c r="F58" s="24"/>
      <c r="G58" s="23"/>
      <c r="H58" s="23"/>
      <c r="I58" s="24"/>
    </row>
    <row r="59" spans="1:9">
      <c r="A59" s="23"/>
      <c r="B59" s="23"/>
      <c r="C59" s="23"/>
      <c r="D59" s="23"/>
      <c r="E59" s="23"/>
      <c r="F59" s="24"/>
      <c r="G59" s="23"/>
      <c r="H59" s="23"/>
      <c r="I59" s="24"/>
    </row>
    <row r="60" spans="1:9">
      <c r="A60" s="23"/>
      <c r="B60" s="23"/>
      <c r="C60" s="23"/>
      <c r="D60" s="23"/>
      <c r="E60" s="23"/>
      <c r="F60" s="24"/>
      <c r="G60" s="23"/>
      <c r="H60" s="23"/>
      <c r="I60" s="24"/>
    </row>
    <row r="61" spans="1:9">
      <c r="A61" s="23"/>
      <c r="B61" s="23"/>
      <c r="C61" s="23"/>
      <c r="D61" s="23"/>
      <c r="E61" s="23"/>
      <c r="F61" s="24"/>
      <c r="G61" s="23"/>
      <c r="H61" s="23"/>
      <c r="I61" s="24"/>
    </row>
    <row r="62" spans="1:9">
      <c r="A62" s="23"/>
      <c r="B62" s="23"/>
      <c r="C62" s="23"/>
      <c r="D62" s="23"/>
      <c r="E62" s="23"/>
      <c r="F62" s="24"/>
      <c r="G62" s="23"/>
      <c r="H62" s="23"/>
      <c r="I62" s="24"/>
    </row>
    <row r="63" spans="1:9">
      <c r="A63" s="23"/>
      <c r="B63" s="23"/>
      <c r="C63" s="23"/>
      <c r="D63" s="23"/>
      <c r="E63" s="23"/>
      <c r="F63" s="24"/>
      <c r="G63" s="23"/>
      <c r="H63" s="23"/>
      <c r="I63" s="24"/>
    </row>
    <row r="64" spans="1:9">
      <c r="A64" s="23"/>
      <c r="B64" s="23"/>
      <c r="C64" s="23"/>
      <c r="D64" s="23"/>
      <c r="E64" s="23"/>
      <c r="F64" s="24"/>
      <c r="G64" s="23"/>
      <c r="H64" s="23"/>
      <c r="I64" s="24"/>
    </row>
    <row r="65" spans="1:9">
      <c r="A65" s="23"/>
      <c r="B65" s="23"/>
      <c r="C65" s="23"/>
      <c r="D65" s="23"/>
      <c r="E65" s="23"/>
      <c r="F65" s="24"/>
      <c r="G65" s="23"/>
      <c r="H65" s="23"/>
      <c r="I65" s="24"/>
    </row>
    <row r="66" spans="1:9">
      <c r="A66" s="23"/>
      <c r="B66" s="23"/>
      <c r="C66" s="23"/>
      <c r="D66" s="23"/>
      <c r="E66" s="23"/>
      <c r="F66" s="24"/>
      <c r="G66" s="23"/>
      <c r="H66" s="23"/>
      <c r="I66" s="24"/>
    </row>
    <row r="67" spans="1:9">
      <c r="A67" s="23"/>
      <c r="B67" s="23"/>
      <c r="C67" s="23"/>
      <c r="D67" s="23"/>
      <c r="E67" s="23"/>
      <c r="F67" s="24"/>
      <c r="G67" s="23"/>
      <c r="H67" s="23"/>
      <c r="I67" s="24"/>
    </row>
    <row r="68" spans="1:9">
      <c r="A68" s="23"/>
      <c r="B68" s="23"/>
      <c r="C68" s="23"/>
      <c r="D68" s="23"/>
      <c r="E68" s="23"/>
      <c r="F68" s="24"/>
      <c r="G68" s="23"/>
      <c r="H68" s="23"/>
      <c r="I68" s="24"/>
    </row>
    <row r="69" spans="1:9">
      <c r="A69" s="23"/>
      <c r="B69" s="23"/>
      <c r="C69" s="23"/>
      <c r="D69" s="23"/>
      <c r="E69" s="23"/>
      <c r="F69" s="24"/>
      <c r="G69" s="23"/>
      <c r="H69" s="23"/>
      <c r="I69" s="24"/>
    </row>
    <row r="70" spans="1:9">
      <c r="A70" s="23"/>
      <c r="B70" s="23"/>
      <c r="C70" s="23"/>
      <c r="D70" s="23"/>
      <c r="E70" s="23"/>
      <c r="F70" s="24"/>
      <c r="G70" s="23"/>
      <c r="H70" s="23"/>
      <c r="I70" s="24"/>
    </row>
    <row r="71" spans="1:9">
      <c r="A71" s="23"/>
      <c r="B71" s="23"/>
      <c r="C71" s="23"/>
      <c r="D71" s="23"/>
      <c r="E71" s="23"/>
      <c r="F71" s="24"/>
      <c r="G71" s="23"/>
      <c r="H71" s="23"/>
      <c r="I71" s="24"/>
    </row>
    <row r="72" spans="1:9">
      <c r="A72" s="23"/>
      <c r="B72" s="23"/>
      <c r="C72" s="23"/>
      <c r="D72" s="23"/>
      <c r="E72" s="23"/>
      <c r="F72" s="24"/>
      <c r="G72" s="23"/>
      <c r="H72" s="23"/>
      <c r="I72" s="24"/>
    </row>
    <row r="73" spans="1:9">
      <c r="A73" s="23"/>
      <c r="B73" s="23"/>
      <c r="C73" s="23"/>
      <c r="D73" s="23"/>
      <c r="E73" s="23"/>
      <c r="F73" s="24"/>
      <c r="G73" s="23"/>
      <c r="H73" s="23"/>
      <c r="I73" s="24"/>
    </row>
    <row r="74" spans="1:9">
      <c r="A74" s="23"/>
      <c r="B74" s="23"/>
      <c r="C74" s="23"/>
      <c r="D74" s="23"/>
      <c r="E74" s="23"/>
      <c r="F74" s="24"/>
      <c r="G74" s="23"/>
      <c r="H74" s="23"/>
      <c r="I74" s="24"/>
    </row>
    <row r="75" spans="1:9">
      <c r="A75" s="23"/>
      <c r="B75" s="23"/>
      <c r="C75" s="23"/>
      <c r="D75" s="23"/>
      <c r="E75" s="23"/>
      <c r="F75" s="24"/>
      <c r="G75" s="23"/>
      <c r="H75" s="23"/>
      <c r="I75" s="24"/>
    </row>
    <row r="76" spans="1:9">
      <c r="A76" s="23"/>
      <c r="B76" s="23"/>
      <c r="C76" s="23"/>
      <c r="D76" s="23"/>
      <c r="E76" s="23"/>
      <c r="F76" s="24"/>
      <c r="G76" s="23"/>
      <c r="H76" s="23"/>
      <c r="I76" s="24"/>
    </row>
    <row r="77" spans="1:9">
      <c r="A77" s="23"/>
      <c r="B77" s="23"/>
      <c r="C77" s="23"/>
      <c r="D77" s="23"/>
      <c r="E77" s="23"/>
      <c r="F77" s="24"/>
      <c r="G77" s="23"/>
      <c r="H77" s="23"/>
      <c r="I77" s="24"/>
    </row>
    <row r="78" spans="1:9">
      <c r="A78" s="23"/>
      <c r="B78" s="23"/>
      <c r="C78" s="23"/>
      <c r="D78" s="23"/>
      <c r="E78" s="23"/>
      <c r="F78" s="24"/>
      <c r="G78" s="23"/>
      <c r="H78" s="23"/>
      <c r="I78" s="24"/>
    </row>
    <row r="79" spans="1:9">
      <c r="A79" s="23"/>
      <c r="B79" s="23"/>
      <c r="C79" s="23"/>
      <c r="D79" s="23"/>
      <c r="E79" s="23"/>
      <c r="F79" s="24"/>
      <c r="G79" s="23"/>
      <c r="H79" s="23"/>
      <c r="I79" s="24"/>
    </row>
    <row r="80" spans="1:9">
      <c r="A80" s="23"/>
      <c r="B80" s="23"/>
      <c r="C80" s="23"/>
      <c r="D80" s="23"/>
      <c r="E80" s="23"/>
      <c r="F80" s="24"/>
      <c r="G80" s="23"/>
      <c r="H80" s="23"/>
      <c r="I80" s="24"/>
    </row>
    <row r="81" spans="1:9">
      <c r="A81" s="23"/>
      <c r="B81" s="23"/>
      <c r="C81" s="23"/>
      <c r="D81" s="23"/>
      <c r="E81" s="23"/>
      <c r="F81" s="24"/>
      <c r="G81" s="23"/>
      <c r="H81" s="23"/>
      <c r="I81" s="24"/>
    </row>
    <row r="82" spans="1:9">
      <c r="A82" s="23"/>
      <c r="B82" s="23"/>
      <c r="C82" s="23"/>
      <c r="D82" s="23"/>
      <c r="E82" s="23"/>
      <c r="F82" s="24"/>
      <c r="G82" s="23"/>
      <c r="H82" s="23"/>
      <c r="I82" s="24"/>
    </row>
    <row r="83" spans="1:9">
      <c r="A83" s="23"/>
      <c r="B83" s="23"/>
      <c r="C83" s="23"/>
      <c r="D83" s="23"/>
      <c r="E83" s="23"/>
      <c r="F83" s="24"/>
      <c r="G83" s="23"/>
      <c r="H83" s="23"/>
      <c r="I83" s="24"/>
    </row>
    <row r="84" spans="1:9">
      <c r="A84" s="23"/>
      <c r="B84" s="23"/>
      <c r="C84" s="23"/>
      <c r="D84" s="23"/>
      <c r="E84" s="23"/>
      <c r="F84" s="24"/>
      <c r="G84" s="23"/>
      <c r="H84" s="23"/>
      <c r="I84" s="24"/>
    </row>
    <row r="85" spans="1:9">
      <c r="A85" s="23"/>
      <c r="B85" s="23"/>
      <c r="C85" s="23"/>
      <c r="D85" s="23"/>
      <c r="E85" s="23"/>
      <c r="F85" s="24"/>
      <c r="G85" s="23"/>
      <c r="H85" s="23"/>
      <c r="I85" s="24"/>
    </row>
    <row r="86" spans="1:9">
      <c r="A86" s="23"/>
      <c r="B86" s="23"/>
      <c r="C86" s="23"/>
      <c r="D86" s="23"/>
      <c r="E86" s="23"/>
      <c r="F86" s="24"/>
      <c r="G86" s="23"/>
      <c r="H86" s="23"/>
      <c r="I86" s="24"/>
    </row>
    <row r="87" spans="1:9">
      <c r="A87" s="23"/>
      <c r="B87" s="23"/>
      <c r="C87" s="23"/>
      <c r="D87" s="23"/>
      <c r="E87" s="23"/>
      <c r="F87" s="24"/>
      <c r="G87" s="23"/>
      <c r="H87" s="23"/>
      <c r="I87" s="24"/>
    </row>
    <row r="88" spans="1:9">
      <c r="A88" s="23"/>
      <c r="B88" s="23"/>
      <c r="C88" s="23"/>
      <c r="D88" s="23"/>
      <c r="E88" s="23"/>
      <c r="F88" s="24"/>
      <c r="G88" s="23"/>
      <c r="H88" s="23"/>
      <c r="I88" s="24"/>
    </row>
    <row r="89" spans="1:9">
      <c r="A89" s="23"/>
      <c r="B89" s="23"/>
      <c r="C89" s="23"/>
      <c r="D89" s="23"/>
      <c r="E89" s="23"/>
      <c r="F89" s="24"/>
      <c r="G89" s="23"/>
      <c r="H89" s="23"/>
      <c r="I89" s="24"/>
    </row>
    <row r="90" spans="1:9">
      <c r="A90" s="23"/>
      <c r="B90" s="23"/>
      <c r="C90" s="23"/>
      <c r="D90" s="23"/>
      <c r="E90" s="23"/>
      <c r="F90" s="24"/>
      <c r="G90" s="23"/>
      <c r="H90" s="23"/>
      <c r="I90" s="24"/>
    </row>
    <row r="91" spans="1:9">
      <c r="A91" s="23"/>
      <c r="B91" s="23"/>
      <c r="C91" s="23"/>
      <c r="D91" s="23"/>
      <c r="E91" s="23"/>
      <c r="F91" s="24"/>
      <c r="G91" s="23"/>
      <c r="H91" s="23"/>
      <c r="I91" s="24"/>
    </row>
    <row r="92" spans="1:9">
      <c r="A92" s="23"/>
      <c r="B92" s="23"/>
      <c r="C92" s="23"/>
      <c r="D92" s="23"/>
      <c r="E92" s="23"/>
      <c r="F92" s="24"/>
      <c r="G92" s="23"/>
      <c r="H92" s="23"/>
      <c r="I92" s="24"/>
    </row>
    <row r="93" spans="1:9">
      <c r="A93" s="23"/>
      <c r="B93" s="23"/>
      <c r="C93" s="23"/>
      <c r="D93" s="23"/>
      <c r="E93" s="23"/>
      <c r="F93" s="24"/>
      <c r="G93" s="23"/>
      <c r="H93" s="23"/>
      <c r="I93" s="24"/>
    </row>
    <row r="94" spans="1:9">
      <c r="A94" s="23"/>
      <c r="B94" s="23"/>
      <c r="C94" s="23"/>
      <c r="D94" s="23"/>
      <c r="E94" s="23"/>
      <c r="F94" s="24"/>
      <c r="G94" s="23"/>
      <c r="H94" s="23"/>
      <c r="I94" s="24"/>
    </row>
    <row r="95" spans="1:9">
      <c r="A95" s="23"/>
      <c r="B95" s="23"/>
      <c r="C95" s="23"/>
      <c r="D95" s="23"/>
      <c r="E95" s="23"/>
      <c r="F95" s="24"/>
      <c r="G95" s="23"/>
      <c r="H95" s="23"/>
      <c r="I95" s="24"/>
    </row>
    <row r="96" spans="1:9">
      <c r="A96" s="23"/>
      <c r="B96" s="23"/>
      <c r="C96" s="23"/>
      <c r="D96" s="23"/>
      <c r="E96" s="23"/>
      <c r="F96" s="24"/>
      <c r="G96" s="23"/>
      <c r="H96" s="23"/>
      <c r="I96" s="24"/>
    </row>
    <row r="97" spans="1:9">
      <c r="A97" s="23"/>
      <c r="B97" s="23"/>
      <c r="C97" s="23"/>
      <c r="D97" s="23"/>
      <c r="E97" s="23"/>
      <c r="F97" s="24"/>
      <c r="G97" s="23"/>
      <c r="H97" s="23"/>
      <c r="I97" s="24"/>
    </row>
    <row r="98" spans="1:9">
      <c r="A98" s="23"/>
      <c r="B98" s="23"/>
      <c r="C98" s="23"/>
      <c r="D98" s="23"/>
      <c r="E98" s="23"/>
      <c r="F98" s="24"/>
      <c r="G98" s="23"/>
      <c r="H98" s="23"/>
      <c r="I98" s="24"/>
    </row>
    <row r="99" spans="1:9">
      <c r="A99" s="23"/>
      <c r="B99" s="23"/>
      <c r="C99" s="23"/>
      <c r="D99" s="23"/>
      <c r="E99" s="23"/>
      <c r="F99" s="24"/>
      <c r="G99" s="23"/>
      <c r="H99" s="23"/>
      <c r="I99" s="24"/>
    </row>
    <row r="100" spans="1: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>
      <c r="A332" s="23"/>
      <c r="B332" s="23"/>
      <c r="C332" s="23"/>
      <c r="D332" s="23"/>
      <c r="E332" s="23"/>
      <c r="F332" s="24"/>
      <c r="G332" s="23"/>
      <c r="H332" s="23"/>
      <c r="I332" s="24"/>
    </row>
    <row r="333" spans="1:9">
      <c r="A333" s="23"/>
      <c r="B333" s="23"/>
      <c r="C333" s="23"/>
      <c r="D333" s="23"/>
      <c r="E333" s="23"/>
      <c r="F333" s="24"/>
      <c r="G333" s="23"/>
      <c r="H333" s="23"/>
      <c r="I333" s="24"/>
    </row>
    <row r="334" spans="1:9">
      <c r="A334" s="23"/>
      <c r="B334" s="23"/>
      <c r="C334" s="23"/>
      <c r="D334" s="23"/>
      <c r="E334" s="23"/>
      <c r="F334" s="24"/>
      <c r="G334" s="23"/>
      <c r="H334" s="23"/>
      <c r="I334" s="24"/>
    </row>
    <row r="335" spans="1:9">
      <c r="A335" s="23"/>
      <c r="B335" s="23"/>
      <c r="C335" s="23"/>
      <c r="D335" s="23"/>
      <c r="E335" s="23"/>
      <c r="F335" s="24"/>
      <c r="G335" s="23"/>
      <c r="H335" s="23"/>
      <c r="I335" s="24"/>
    </row>
    <row r="336" spans="1:9">
      <c r="A336" s="23"/>
      <c r="B336" s="23"/>
      <c r="C336" s="23"/>
      <c r="D336" s="23"/>
      <c r="E336" s="23"/>
      <c r="F336" s="24"/>
      <c r="G336" s="23"/>
      <c r="H336" s="23"/>
      <c r="I336" s="24"/>
    </row>
    <row r="337" spans="1:9">
      <c r="A337" s="23"/>
      <c r="B337" s="23"/>
      <c r="C337" s="23"/>
      <c r="D337" s="23"/>
      <c r="E337" s="23"/>
      <c r="F337" s="24"/>
      <c r="G337" s="23"/>
      <c r="H337" s="23"/>
      <c r="I337" s="24"/>
    </row>
    <row r="338" spans="1:9">
      <c r="A338" s="23"/>
      <c r="B338" s="23"/>
      <c r="C338" s="23"/>
      <c r="D338" s="23"/>
      <c r="E338" s="23"/>
      <c r="F338" s="24"/>
      <c r="G338" s="23"/>
      <c r="H338" s="23"/>
      <c r="I338" s="24"/>
    </row>
    <row r="339" spans="1:9">
      <c r="A339" s="23"/>
      <c r="B339" s="23"/>
      <c r="C339" s="23"/>
      <c r="D339" s="23"/>
      <c r="E339" s="23"/>
      <c r="F339" s="24"/>
      <c r="G339" s="23"/>
      <c r="H339" s="23"/>
      <c r="I339" s="24"/>
    </row>
    <row r="340" spans="1:9">
      <c r="A340" s="23"/>
      <c r="B340" s="23"/>
      <c r="C340" s="23"/>
      <c r="D340" s="23"/>
      <c r="E340" s="23"/>
      <c r="F340" s="24"/>
      <c r="G340" s="23"/>
      <c r="H340" s="23"/>
      <c r="I340" s="24"/>
    </row>
    <row r="341" spans="1:9">
      <c r="A341" s="23"/>
      <c r="B341" s="23"/>
      <c r="C341" s="23"/>
      <c r="D341" s="23"/>
      <c r="E341" s="23"/>
      <c r="F341" s="24"/>
      <c r="G341" s="23"/>
      <c r="H341" s="23"/>
      <c r="I341" s="24"/>
    </row>
    <row r="342" spans="1:9">
      <c r="A342" s="23"/>
      <c r="B342" s="23"/>
      <c r="C342" s="23"/>
      <c r="D342" s="23"/>
      <c r="E342" s="23"/>
      <c r="F342" s="24"/>
      <c r="G342" s="23"/>
      <c r="H342" s="23"/>
      <c r="I342" s="24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100 I4:I100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42"/>
  <sheetViews>
    <sheetView workbookViewId="0">
      <pane ySplit="2" topLeftCell="A11" activePane="bottomLeft" state="frozen"/>
      <selection pane="bottomLeft" activeCell="G38" sqref="G38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1" t="str" cm="1">
        <f t="array" ref="A1">portfolio</f>
        <v>CITI</v>
      </c>
      <c r="B1" s="61"/>
      <c r="C1" s="61"/>
      <c r="D1" s="62" t="s">
        <v>10</v>
      </c>
      <c r="E1" s="62"/>
      <c r="F1" s="62"/>
      <c r="G1" s="60" t="s">
        <v>11</v>
      </c>
      <c r="H1" s="60"/>
      <c r="I1" s="60"/>
    </row>
    <row r="2" spans="1:9" ht="19.5" customHeight="1">
      <c r="A2" s="63" t="s">
        <v>2</v>
      </c>
      <c r="B2" s="63"/>
      <c r="C2" s="6">
        <f>SUM(C4:C100)</f>
        <v>1909607.5200000003</v>
      </c>
      <c r="D2" s="6">
        <f>SUM(D4:D100)</f>
        <v>2015201.7949999999</v>
      </c>
      <c r="E2" s="6">
        <f>C2-D2</f>
        <v>-105594.27499999967</v>
      </c>
      <c r="F2" s="7">
        <f>IFERROR(E2/D2, 0)</f>
        <v>-5.2398859142540451E-2</v>
      </c>
      <c r="G2" s="6">
        <f>SUM(G4:G100)</f>
        <v>2048397.67</v>
      </c>
      <c r="H2" s="8">
        <f>C2-G2</f>
        <v>-138790.14999999967</v>
      </c>
      <c r="I2" s="7">
        <f>IFERROR(H2/G2, 0)</f>
        <v>-6.7755471524237609E-2</v>
      </c>
    </row>
    <row r="3" spans="1:9" ht="14.25" customHeight="1">
      <c r="A3" s="9" t="s">
        <v>3</v>
      </c>
      <c r="B3" s="9" t="s">
        <v>4</v>
      </c>
      <c r="C3" s="25" t="s">
        <v>5</v>
      </c>
      <c r="D3" s="49" t="s">
        <v>6</v>
      </c>
      <c r="E3" s="49" t="s">
        <v>7</v>
      </c>
      <c r="F3" s="50" t="s">
        <v>8</v>
      </c>
      <c r="G3" s="51" t="s">
        <v>9</v>
      </c>
      <c r="H3" s="52" t="s">
        <v>7</v>
      </c>
      <c r="I3" s="53" t="s">
        <v>8</v>
      </c>
    </row>
    <row r="4" spans="1:9" ht="15.75">
      <c r="A4" s="13" t="str" cm="1">
        <f t="array" ref="A4:A22">Sites[Site]</f>
        <v>CA: Antioch Deer Valley - Citi</v>
      </c>
      <c r="B4" s="10" t="str" cm="1">
        <f t="array" ref="B4:B22">Sites[State]</f>
        <v>CA</v>
      </c>
      <c r="C4" s="26">
        <f>SUM(Jan!C4, Feb!C4, Mar!C4)</f>
        <v>57342.25</v>
      </c>
      <c r="D4" s="14">
        <f>SUM(Jan!D4, Feb!D4, Mar!D4)</f>
        <v>60473</v>
      </c>
      <c r="E4" s="14">
        <f>IF(AND(ISNUMBER(C4),ISNUMBER(D4)), C4-D4, "")</f>
        <v>-3130.75</v>
      </c>
      <c r="F4" s="15">
        <f>IFERROR(E4/D4, "")</f>
        <v>-5.1771038314619745E-2</v>
      </c>
      <c r="G4" s="16">
        <f>SUM(Jan!G4, Feb!G4, Mar!G4)</f>
        <v>59726.52</v>
      </c>
      <c r="H4" s="16">
        <f>SUM(Jan!H4, Feb!H4, Mar!H4)</f>
        <v>-2384.2699999999968</v>
      </c>
      <c r="I4" s="17">
        <f>IFERROR(H4/G4, "")</f>
        <v>-3.9919787725787421E-2</v>
      </c>
    </row>
    <row r="5" spans="1:9" ht="15.75">
      <c r="A5" s="19" t="str">
        <v>CA: Antioch MC CUP - Citi</v>
      </c>
      <c r="B5" s="11" t="str">
        <v>CA</v>
      </c>
      <c r="C5" s="12">
        <f>SUM(Jan!C5, Feb!C5, Mar!C5)</f>
        <v>188032</v>
      </c>
      <c r="D5" s="20">
        <f>SUM(Jan!D5, Feb!D5, Mar!D5)</f>
        <v>198758</v>
      </c>
      <c r="E5" s="20">
        <f t="shared" ref="E5:E15" si="0">IF(AND(ISNUMBER(C5),ISNUMBER(D5)), C5-D5, "")</f>
        <v>-10726</v>
      </c>
      <c r="F5" s="21">
        <f>IFERROR(E5/D5, "")</f>
        <v>-5.396512341641594E-2</v>
      </c>
      <c r="G5" s="22">
        <f>SUM(Jan!G5, Feb!G5, Mar!G5)</f>
        <v>196166.33299999998</v>
      </c>
      <c r="H5" s="22">
        <f>SUM(Jan!H5, Feb!H5, Mar!H5)</f>
        <v>-8134.3329999999987</v>
      </c>
      <c r="I5" s="21">
        <f>IFERROR(H5/G5, "")</f>
        <v>-4.146650893453771E-2</v>
      </c>
    </row>
    <row r="6" spans="1:9" ht="15.75">
      <c r="A6" s="13" t="str">
        <v>CA: Clovis - Citi</v>
      </c>
      <c r="B6" s="10" t="str">
        <v>CA</v>
      </c>
      <c r="C6" s="26">
        <f>SUM(Jan!C6, Feb!C6, Mar!C6)</f>
        <v>81708.75</v>
      </c>
      <c r="D6" s="14">
        <f>SUM(Jan!D6, Feb!D6, Mar!D6)</f>
        <v>75214</v>
      </c>
      <c r="E6" s="14">
        <f t="shared" si="0"/>
        <v>6494.75</v>
      </c>
      <c r="F6" s="15">
        <f t="shared" ref="F6:F15" si="1">IFERROR(E6/D6, "")</f>
        <v>8.635028053287952E-2</v>
      </c>
      <c r="G6" s="16">
        <f>SUM(Jan!G6, Feb!G6, Mar!G6)</f>
        <v>95689.668999999994</v>
      </c>
      <c r="H6" s="16">
        <f>SUM(Jan!H6, Feb!H6, Mar!H6)</f>
        <v>-13980.919000000002</v>
      </c>
      <c r="I6" s="17">
        <f t="shared" ref="I6:I15" si="2">IFERROR(H6/G6, "")</f>
        <v>-0.14610688014815898</v>
      </c>
    </row>
    <row r="7" spans="1:9" ht="15.75">
      <c r="A7" s="19" t="str">
        <v>CA: Elk Grove MOB - Citi</v>
      </c>
      <c r="B7" s="11" t="str">
        <v>CA</v>
      </c>
      <c r="C7" s="12">
        <f>SUM(Jan!C7, Feb!C7, Mar!C7)</f>
        <v>117424.5</v>
      </c>
      <c r="D7" s="20">
        <f>SUM(Jan!D7, Feb!D7, Mar!D7)</f>
        <v>128889</v>
      </c>
      <c r="E7" s="20">
        <f t="shared" si="0"/>
        <v>-11464.5</v>
      </c>
      <c r="F7" s="21">
        <f t="shared" si="1"/>
        <v>-8.8948630216698091E-2</v>
      </c>
      <c r="G7" s="22">
        <f>SUM(Jan!G7, Feb!G7, Mar!G7)</f>
        <v>126191.76499999998</v>
      </c>
      <c r="H7" s="22">
        <f>SUM(Jan!H7, Feb!H7, Mar!H7)</f>
        <v>-8767.2649999999921</v>
      </c>
      <c r="I7" s="21">
        <f t="shared" si="2"/>
        <v>-6.9475730052590931E-2</v>
      </c>
    </row>
    <row r="8" spans="1:9" ht="15.75">
      <c r="A8" s="13" t="str">
        <v>CA: Elk Grove Promenade - Citi</v>
      </c>
      <c r="B8" s="10" t="str">
        <v>CA</v>
      </c>
      <c r="C8" s="26">
        <f>SUM(Jan!C8, Feb!C8, Mar!C8)</f>
        <v>56504.25</v>
      </c>
      <c r="D8" s="14">
        <f>SUM(Jan!D8, Feb!D8, Mar!D8)</f>
        <v>70766.794999999998</v>
      </c>
      <c r="E8" s="14">
        <f t="shared" si="0"/>
        <v>-14262.544999999998</v>
      </c>
      <c r="F8" s="15">
        <f t="shared" si="1"/>
        <v>-0.20154289875640119</v>
      </c>
      <c r="G8" s="16">
        <f>SUM(Jan!G8, Feb!G8, Mar!G8)</f>
        <v>70631.877000000008</v>
      </c>
      <c r="H8" s="16">
        <f>SUM(Jan!H8, Feb!H8, Mar!H8)</f>
        <v>-14127.627000000004</v>
      </c>
      <c r="I8" s="17">
        <f t="shared" si="2"/>
        <v>-0.20001772004444965</v>
      </c>
    </row>
    <row r="9" spans="1:9" ht="15.75">
      <c r="A9" s="19" t="str">
        <v>CA: Fresno Sequioa - Citi</v>
      </c>
      <c r="B9" s="11" t="str">
        <v>CA</v>
      </c>
      <c r="C9" s="12">
        <f>SUM(Jan!C9, Feb!C9, Mar!C9)</f>
        <v>141719.5</v>
      </c>
      <c r="D9" s="20">
        <f>SUM(Jan!D9, Feb!D9, Mar!D9)</f>
        <v>137615</v>
      </c>
      <c r="E9" s="20">
        <f t="shared" si="0"/>
        <v>4104.5</v>
      </c>
      <c r="F9" s="21">
        <f t="shared" si="1"/>
        <v>2.9825963739417941E-2</v>
      </c>
      <c r="G9" s="22">
        <f>SUM(Jan!G9, Feb!G9, Mar!G9)</f>
        <v>151041.326</v>
      </c>
      <c r="H9" s="22">
        <f>SUM(Jan!H9, Feb!H9, Mar!H9)</f>
        <v>-9321.8259999999937</v>
      </c>
      <c r="I9" s="21">
        <f t="shared" si="2"/>
        <v>-6.1717056165145119E-2</v>
      </c>
    </row>
    <row r="10" spans="1:9" ht="15.75">
      <c r="A10" s="13" t="str">
        <v>CA: Fresno MOB - Citi</v>
      </c>
      <c r="B10" s="10" t="str">
        <v>CA</v>
      </c>
      <c r="C10" s="26">
        <f>SUM(Jan!C10, Feb!C10, Mar!C10)</f>
        <v>56759.13</v>
      </c>
      <c r="D10" s="14">
        <f>SUM(Jan!D10, Feb!D10, Mar!D10)</f>
        <v>55493</v>
      </c>
      <c r="E10" s="14">
        <f t="shared" si="0"/>
        <v>1266.1299999999974</v>
      </c>
      <c r="F10" s="15">
        <f t="shared" si="1"/>
        <v>2.2816030850737884E-2</v>
      </c>
      <c r="G10" s="16">
        <f>SUM(Jan!G10, Feb!G10, Mar!G10)</f>
        <v>58185.398000000001</v>
      </c>
      <c r="H10" s="16">
        <f>SUM(Jan!H10, Feb!H10, Mar!H10)</f>
        <v>-1426.2680000000037</v>
      </c>
      <c r="I10" s="17">
        <f t="shared" si="2"/>
        <v>-2.4512473043494583E-2</v>
      </c>
    </row>
    <row r="11" spans="1:9" ht="15.75">
      <c r="A11" s="19" t="str">
        <v>CA: Modesto Bangs - Citi</v>
      </c>
      <c r="B11" s="11" t="str">
        <v>CA</v>
      </c>
      <c r="C11" s="12">
        <f>SUM(Jan!C11, Feb!C11, Mar!C11)</f>
        <v>31062.62</v>
      </c>
      <c r="D11" s="20">
        <f>SUM(Jan!D11, Feb!D11, Mar!D11)</f>
        <v>32616</v>
      </c>
      <c r="E11" s="20">
        <f t="shared" si="0"/>
        <v>-1553.380000000001</v>
      </c>
      <c r="F11" s="21">
        <f>IFERROR(E11/D11, 0)</f>
        <v>-4.7626318371351513E-2</v>
      </c>
      <c r="G11" s="22">
        <f>SUM(Jan!G11, Feb!G11, Mar!G11)</f>
        <v>32611.481999999996</v>
      </c>
      <c r="H11" s="22">
        <f>SUM(Jan!H11, Feb!H11, Mar!H11)</f>
        <v>-1548.8619999999992</v>
      </c>
      <c r="I11" s="21">
        <f>IFERROR(H11/G11, 0)</f>
        <v>-4.7494376367194821E-2</v>
      </c>
    </row>
    <row r="12" spans="1:9" ht="15.75">
      <c r="A12" s="13" t="str">
        <v>CA: Napa Data Center - Citi</v>
      </c>
      <c r="B12" s="10" t="str">
        <v>CA</v>
      </c>
      <c r="C12" s="26">
        <f>SUM(Jan!C12, Feb!C12, Mar!C12)</f>
        <v>33202.870000000003</v>
      </c>
      <c r="D12" s="14">
        <f>SUM(Jan!D12, Feb!D12, Mar!D12)</f>
        <v>40374</v>
      </c>
      <c r="E12" s="14">
        <f t="shared" si="0"/>
        <v>-7171.1299999999974</v>
      </c>
      <c r="F12" s="15">
        <f t="shared" si="1"/>
        <v>-0.17761752613067811</v>
      </c>
      <c r="G12" s="16">
        <f>SUM(Jan!G12, Feb!G12, Mar!G12)</f>
        <v>40822.069000000003</v>
      </c>
      <c r="H12" s="16">
        <f>SUM(Jan!H12, Feb!H12, Mar!H12)</f>
        <v>-7619.1990000000023</v>
      </c>
      <c r="I12" s="17">
        <f t="shared" si="2"/>
        <v>-0.1866441164459352</v>
      </c>
    </row>
    <row r="13" spans="1:9" ht="15.75">
      <c r="A13" s="19" t="str">
        <v>CA: Petaluma MOB - Citi</v>
      </c>
      <c r="B13" s="11" t="str">
        <v>CA</v>
      </c>
      <c r="C13" s="12">
        <f>SUM(Jan!C13, Feb!C13, Mar!C13)</f>
        <v>78863.75</v>
      </c>
      <c r="D13" s="20">
        <f>SUM(Jan!D13, Feb!D13, Mar!D13)</f>
        <v>94879</v>
      </c>
      <c r="E13" s="20">
        <f t="shared" si="0"/>
        <v>-16015.25</v>
      </c>
      <c r="F13" s="21">
        <f t="shared" si="1"/>
        <v>-0.16879657247652272</v>
      </c>
      <c r="G13" s="22">
        <f>SUM(Jan!G13, Feb!G13, Mar!G13)</f>
        <v>94947.909</v>
      </c>
      <c r="H13" s="22">
        <f>SUM(Jan!H13, Feb!H13, Mar!H13)</f>
        <v>-16084.159</v>
      </c>
      <c r="I13" s="21">
        <f t="shared" si="2"/>
        <v>-0.16939982322306854</v>
      </c>
    </row>
    <row r="14" spans="1:9" ht="15.75">
      <c r="A14" s="13" t="str">
        <v>CA: Pleasanton Tec Ctr - Citi</v>
      </c>
      <c r="B14" s="10" t="str">
        <v>CA</v>
      </c>
      <c r="C14" s="26">
        <f>SUM(Jan!C14, Feb!C14, Mar!C14)</f>
        <v>106774.5</v>
      </c>
      <c r="D14" s="14">
        <f>SUM(Jan!D14, Feb!D14, Mar!D14)</f>
        <v>131901</v>
      </c>
      <c r="E14" s="14">
        <f t="shared" si="0"/>
        <v>-25126.5</v>
      </c>
      <c r="F14" s="15">
        <f t="shared" si="1"/>
        <v>-0.19049514408533674</v>
      </c>
      <c r="G14" s="16">
        <f>SUM(Jan!G14, Feb!G14, Mar!G14)</f>
        <v>127311.902</v>
      </c>
      <c r="H14" s="16">
        <f>SUM(Jan!H14, Feb!H14, Mar!H14)</f>
        <v>-20537.401999999995</v>
      </c>
      <c r="I14" s="17">
        <f t="shared" si="2"/>
        <v>-0.1613156482415917</v>
      </c>
    </row>
    <row r="15" spans="1:9" ht="15.75">
      <c r="A15" s="19" t="str">
        <v>CA: Rancho Cordova - Citi</v>
      </c>
      <c r="B15" s="11" t="str">
        <v>CA</v>
      </c>
      <c r="C15" s="12">
        <f>SUM(Jan!C15, Feb!C15, Mar!C15)</f>
        <v>203329</v>
      </c>
      <c r="D15" s="20">
        <f>SUM(Jan!D15, Feb!D15, Mar!D15)</f>
        <v>205487</v>
      </c>
      <c r="E15" s="20">
        <f t="shared" si="0"/>
        <v>-2158</v>
      </c>
      <c r="F15" s="21">
        <f t="shared" si="1"/>
        <v>-1.050188089757503E-2</v>
      </c>
      <c r="G15" s="22">
        <f>SUM(Jan!G15, Feb!G15, Mar!G15)</f>
        <v>209760.92199999999</v>
      </c>
      <c r="H15" s="22">
        <f>SUM(Jan!H15, Feb!H15, Mar!H15)</f>
        <v>-6431.9219999999914</v>
      </c>
      <c r="I15" s="21">
        <f t="shared" si="2"/>
        <v>-3.0663108927410185E-2</v>
      </c>
    </row>
    <row r="16" spans="1:9" ht="15.75">
      <c r="A16" s="13" t="str">
        <v>CA: S Sacramento Wyndham - Citi</v>
      </c>
      <c r="B16" s="10" t="str">
        <v>CA</v>
      </c>
      <c r="C16" s="37">
        <f>SUM(Jan!C16, Feb!C16, Mar!C16)</f>
        <v>98718</v>
      </c>
      <c r="D16" s="14">
        <f>SUM(Jan!D16, Feb!D16, Mar!D16)</f>
        <v>110526</v>
      </c>
      <c r="E16" s="14">
        <f t="shared" ref="E16:E22" si="3">IF(AND(ISNUMBER(C16),ISNUMBER(D16)), C16-D16, "")</f>
        <v>-11808</v>
      </c>
      <c r="F16" s="38">
        <f t="shared" ref="F16:F21" si="4">IFERROR(E16/D16, "")</f>
        <v>-0.10683459095597415</v>
      </c>
      <c r="G16" s="39">
        <f>SUM(Jan!G16, Feb!G16, Mar!G16)</f>
        <v>99673.456000000006</v>
      </c>
      <c r="H16" s="39">
        <f>SUM(Jan!H16, Feb!H16, Mar!H16)</f>
        <v>-955.45600000000559</v>
      </c>
      <c r="I16" s="40">
        <f t="shared" ref="I16:I21" si="5">IFERROR(H16/G16, "")</f>
        <v>-9.5858620573967615E-3</v>
      </c>
    </row>
    <row r="17" spans="1:9" ht="15.75">
      <c r="A17" s="19" t="str">
        <v>CA: Sacramento Point West - Citi</v>
      </c>
      <c r="B17" s="11" t="str">
        <v>CA</v>
      </c>
      <c r="C17" s="42">
        <f>SUM(Jan!C17, Feb!C17, Mar!C17)</f>
        <v>174018</v>
      </c>
      <c r="D17" s="20">
        <f>SUM(Jan!D17, Feb!D17, Mar!D17)</f>
        <v>212878</v>
      </c>
      <c r="E17" s="20">
        <f t="shared" si="3"/>
        <v>-38860</v>
      </c>
      <c r="F17" s="43">
        <f t="shared" si="4"/>
        <v>-0.18254587134415018</v>
      </c>
      <c r="G17" s="44">
        <f>SUM(Jan!G17, Feb!G17, Mar!G17)</f>
        <v>211214.04499999998</v>
      </c>
      <c r="H17" s="44">
        <f>SUM(Jan!H17, Feb!H17, Mar!H17)</f>
        <v>-37196.044999999998</v>
      </c>
      <c r="I17" s="43">
        <f t="shared" si="5"/>
        <v>-0.17610592609975345</v>
      </c>
    </row>
    <row r="18" spans="1:9" ht="12.75" customHeight="1">
      <c r="A18" s="13" t="str">
        <v>CA: San Jose FHC - Citi</v>
      </c>
      <c r="B18" s="10" t="str">
        <v>CA</v>
      </c>
      <c r="C18" s="37">
        <f>SUM(Jan!C18, Feb!C18, Mar!C18)</f>
        <v>39318.619999999995</v>
      </c>
      <c r="D18" s="14">
        <f>SUM(Jan!D18, Feb!D18, Mar!D18)</f>
        <v>50087</v>
      </c>
      <c r="E18" s="14">
        <f t="shared" si="3"/>
        <v>-10768.380000000005</v>
      </c>
      <c r="F18" s="38">
        <f t="shared" si="4"/>
        <v>-0.21499351129035488</v>
      </c>
      <c r="G18" s="39">
        <f>SUM(Jan!G18, Feb!G18, Mar!G18)</f>
        <v>45692.667000000001</v>
      </c>
      <c r="H18" s="39">
        <f>SUM(Jan!H18, Feb!H18, Mar!H18)</f>
        <v>-6374.0469999999987</v>
      </c>
      <c r="I18" s="40">
        <f t="shared" si="5"/>
        <v>-0.13949824815434825</v>
      </c>
    </row>
    <row r="19" spans="1:9" ht="15.75">
      <c r="A19" s="19" t="str">
        <v>CA: San Jose MOB - Citi</v>
      </c>
      <c r="B19" s="11" t="str">
        <v>CA</v>
      </c>
      <c r="C19" s="42">
        <f>SUM(Jan!C19, Feb!C19, Mar!C19)</f>
        <v>58073.75</v>
      </c>
      <c r="D19" s="20">
        <f>SUM(Jan!D19, Feb!D19, Mar!D19)</f>
        <v>80585</v>
      </c>
      <c r="E19" s="20">
        <f t="shared" si="3"/>
        <v>-22511.25</v>
      </c>
      <c r="F19" s="43">
        <f t="shared" si="4"/>
        <v>-0.27934789352857231</v>
      </c>
      <c r="G19" s="44">
        <f>SUM(Jan!G19, Feb!G19, Mar!G19)</f>
        <v>73396.972999999998</v>
      </c>
      <c r="H19" s="44">
        <f>SUM(Jan!H19, Feb!H19, Mar!H19)</f>
        <v>-15323.223000000002</v>
      </c>
      <c r="I19" s="43">
        <f t="shared" si="5"/>
        <v>-0.20877186583702848</v>
      </c>
    </row>
    <row r="20" spans="1:9" ht="15.75">
      <c r="A20" s="13" t="str">
        <v>CA: Selma - Citi</v>
      </c>
      <c r="B20" s="10" t="str">
        <v>CA</v>
      </c>
      <c r="C20" s="37">
        <f>SUM(Jan!C20, Feb!C20, Mar!C20)</f>
        <v>41276.25</v>
      </c>
      <c r="D20" s="14">
        <f>SUM(Jan!D20, Feb!D20, Mar!D20)</f>
        <v>38912</v>
      </c>
      <c r="E20" s="14">
        <f t="shared" si="3"/>
        <v>2364.25</v>
      </c>
      <c r="F20" s="38">
        <f t="shared" si="4"/>
        <v>6.0758891858552634E-2</v>
      </c>
      <c r="G20" s="39">
        <f>SUM(Jan!G20, Feb!G20, Mar!G20)</f>
        <v>46411.682999999997</v>
      </c>
      <c r="H20" s="39">
        <f>SUM(Jan!H20, Feb!H20, Mar!H20)</f>
        <v>-5135.4329999999973</v>
      </c>
      <c r="I20" s="40">
        <f t="shared" si="5"/>
        <v>-0.11064957502187536</v>
      </c>
    </row>
    <row r="21" spans="1:9" ht="15.75">
      <c r="A21" s="19" t="str">
        <v>CA: Vacaville Hospital</v>
      </c>
      <c r="B21" s="11" t="str">
        <v>CA</v>
      </c>
      <c r="C21" s="42">
        <f>SUM(Jan!C21, Feb!C21, Mar!C21)</f>
        <v>259449.75</v>
      </c>
      <c r="D21" s="20">
        <f>SUM(Jan!D21, Feb!D21, Mar!D21)</f>
        <v>289748</v>
      </c>
      <c r="E21" s="20">
        <f t="shared" si="3"/>
        <v>-30298.25</v>
      </c>
      <c r="F21" s="43">
        <f t="shared" si="4"/>
        <v>-0.10456758976766017</v>
      </c>
      <c r="G21" s="44">
        <f>SUM(Jan!G21, Feb!G21, Mar!G21)</f>
        <v>254606.67099999997</v>
      </c>
      <c r="H21" s="44">
        <f>SUM(Jan!H21, Feb!H21, Mar!H21)</f>
        <v>4843.0790000000125</v>
      </c>
      <c r="I21" s="43">
        <f t="shared" si="5"/>
        <v>1.9021807170166459E-2</v>
      </c>
    </row>
    <row r="22" spans="1:9" ht="15.75">
      <c r="A22" s="13" t="str">
        <v>CA: Manteca - KP Manteca Hospital</v>
      </c>
      <c r="B22" s="10" t="str">
        <v>CA</v>
      </c>
      <c r="C22" s="37">
        <f>SUM(Jan!C22, Feb!C22, Mar!C22)</f>
        <v>86030.03</v>
      </c>
      <c r="D22" s="14">
        <f>SUM(Jan!D22, Feb!D22, Mar!D22)</f>
        <v>0</v>
      </c>
      <c r="E22" s="14">
        <f t="shared" si="3"/>
        <v>86030.03</v>
      </c>
      <c r="F22" s="38">
        <f>IFERROR(E22/D22, 0)</f>
        <v>0</v>
      </c>
      <c r="G22" s="39">
        <f>SUM(Jan!G22, Feb!G22, Mar!G22)</f>
        <v>54315.002999999997</v>
      </c>
      <c r="H22" s="39">
        <f>SUM(Jan!H22, Feb!H22, Mar!H22)</f>
        <v>31715.027000000002</v>
      </c>
      <c r="I22" s="40">
        <f>IFERROR(H22/G22, 0)</f>
        <v>0.5839091456922133</v>
      </c>
    </row>
    <row r="23" spans="1:9">
      <c r="A23" s="23"/>
      <c r="B23" s="23"/>
      <c r="C23" s="23"/>
      <c r="D23" s="23"/>
      <c r="E23" s="23"/>
      <c r="F23" s="23"/>
      <c r="G23" s="23"/>
      <c r="H23" s="23"/>
      <c r="I23" s="23"/>
    </row>
    <row r="24" spans="1:9">
      <c r="A24" s="23"/>
      <c r="B24" s="23"/>
      <c r="C24" s="23"/>
      <c r="D24" s="23"/>
      <c r="E24" s="23"/>
      <c r="F24" s="23"/>
      <c r="G24" s="23"/>
      <c r="H24" s="23"/>
      <c r="I24" s="23"/>
    </row>
    <row r="25" spans="1:9">
      <c r="A25" s="23"/>
      <c r="B25" s="23"/>
      <c r="C25" s="23"/>
      <c r="D25" s="23"/>
      <c r="E25" s="23"/>
      <c r="F25" s="23"/>
      <c r="G25" s="23"/>
      <c r="H25" s="23"/>
      <c r="I25" s="23"/>
    </row>
    <row r="26" spans="1:9">
      <c r="A26" s="23"/>
      <c r="B26" s="23"/>
      <c r="C26" s="23"/>
      <c r="D26" s="23"/>
      <c r="E26" s="23"/>
      <c r="F26" s="23"/>
      <c r="G26" s="23"/>
      <c r="H26" s="23"/>
      <c r="I26" s="23"/>
    </row>
    <row r="27" spans="1:9">
      <c r="A27" s="23"/>
      <c r="B27" s="23"/>
      <c r="C27" s="23"/>
      <c r="D27" s="23"/>
      <c r="E27" s="23"/>
      <c r="F27" s="23"/>
      <c r="G27" s="23"/>
      <c r="H27" s="23"/>
      <c r="I27" s="23"/>
    </row>
    <row r="28" spans="1:9">
      <c r="A28" s="23"/>
      <c r="B28" s="23"/>
      <c r="C28" s="23"/>
      <c r="D28" s="23"/>
      <c r="E28" s="23"/>
      <c r="F28" s="23"/>
      <c r="G28" s="23"/>
      <c r="H28" s="23"/>
      <c r="I28" s="23"/>
    </row>
    <row r="29" spans="1:9">
      <c r="A29" s="23"/>
      <c r="B29" s="23"/>
      <c r="C29" s="23"/>
      <c r="D29" s="23"/>
      <c r="E29" s="23"/>
      <c r="F29" s="23"/>
      <c r="G29" s="23"/>
      <c r="H29" s="23"/>
      <c r="I29" s="23"/>
    </row>
    <row r="30" spans="1:9">
      <c r="A30" s="23"/>
      <c r="B30" s="23"/>
      <c r="C30" s="23"/>
      <c r="D30" s="23"/>
      <c r="E30" s="23"/>
      <c r="F30" s="23"/>
      <c r="G30" s="23"/>
      <c r="H30" s="23"/>
      <c r="I30" s="23"/>
    </row>
    <row r="31" spans="1:9">
      <c r="A31" s="23"/>
      <c r="B31" s="23"/>
      <c r="C31" s="23"/>
      <c r="D31" s="23"/>
      <c r="E31" s="23"/>
      <c r="F31" s="23"/>
      <c r="G31" s="23"/>
      <c r="H31" s="23"/>
      <c r="I31" s="23"/>
    </row>
    <row r="32" spans="1:9">
      <c r="A32" s="23"/>
      <c r="B32" s="23"/>
      <c r="C32" s="23"/>
      <c r="D32" s="23"/>
      <c r="E32" s="23"/>
      <c r="F32" s="23"/>
      <c r="G32" s="23"/>
      <c r="H32" s="23"/>
      <c r="I32" s="23"/>
    </row>
    <row r="33" spans="1:9">
      <c r="A33" s="23"/>
      <c r="B33" s="23"/>
      <c r="C33" s="23"/>
      <c r="D33" s="23"/>
      <c r="E33" s="23"/>
      <c r="F33" s="24"/>
      <c r="G33" s="23"/>
      <c r="H33" s="23"/>
      <c r="I33" s="24"/>
    </row>
    <row r="34" spans="1:9">
      <c r="A34" s="23"/>
      <c r="B34" s="23"/>
      <c r="C34" s="23"/>
      <c r="D34" s="23"/>
      <c r="E34" s="23"/>
      <c r="F34" s="24"/>
      <c r="G34" s="23"/>
      <c r="H34" s="23"/>
      <c r="I34" s="24"/>
    </row>
    <row r="35" spans="1:9">
      <c r="A35" s="23"/>
      <c r="B35" s="23"/>
      <c r="C35" s="23"/>
      <c r="D35" s="23"/>
      <c r="E35" s="23"/>
      <c r="F35" s="24"/>
      <c r="G35" s="23"/>
      <c r="H35" s="23"/>
      <c r="I35" s="24"/>
    </row>
    <row r="36" spans="1:9">
      <c r="A36" s="23"/>
      <c r="B36" s="23"/>
      <c r="C36" s="23"/>
      <c r="D36" s="23"/>
      <c r="E36" s="23"/>
      <c r="F36" s="24"/>
      <c r="G36" s="23"/>
      <c r="H36" s="23"/>
      <c r="I36" s="24"/>
    </row>
    <row r="37" spans="1:9">
      <c r="A37" s="23"/>
      <c r="B37" s="23"/>
      <c r="C37" s="23"/>
      <c r="D37" s="23"/>
      <c r="E37" s="23"/>
      <c r="F37" s="24"/>
      <c r="G37" s="23"/>
      <c r="H37" s="23"/>
      <c r="I37" s="24"/>
    </row>
    <row r="38" spans="1:9">
      <c r="A38" s="23"/>
      <c r="B38" s="23"/>
      <c r="C38" s="23"/>
      <c r="D38" s="23"/>
      <c r="E38" s="23"/>
      <c r="F38" s="24"/>
      <c r="G38" s="23"/>
      <c r="H38" s="23"/>
      <c r="I38" s="24"/>
    </row>
    <row r="39" spans="1:9">
      <c r="A39" s="23"/>
      <c r="B39" s="23"/>
      <c r="C39" s="23"/>
      <c r="D39" s="23"/>
      <c r="E39" s="23"/>
      <c r="F39" s="24"/>
      <c r="G39" s="23"/>
      <c r="H39" s="23"/>
      <c r="I39" s="24"/>
    </row>
    <row r="40" spans="1:9">
      <c r="A40" s="23"/>
      <c r="B40" s="23"/>
      <c r="C40" s="23"/>
      <c r="D40" s="23"/>
      <c r="E40" s="23"/>
      <c r="F40" s="24"/>
      <c r="G40" s="23"/>
      <c r="H40" s="23"/>
      <c r="I40" s="24"/>
    </row>
    <row r="41" spans="1:9">
      <c r="A41" s="23"/>
      <c r="B41" s="23"/>
      <c r="C41" s="23"/>
      <c r="D41" s="23"/>
      <c r="E41" s="23"/>
      <c r="F41" s="24"/>
      <c r="G41" s="23"/>
      <c r="H41" s="23"/>
      <c r="I41" s="24"/>
    </row>
    <row r="42" spans="1:9">
      <c r="A42" s="23"/>
      <c r="B42" s="23"/>
      <c r="C42" s="23"/>
      <c r="D42" s="23"/>
      <c r="E42" s="23"/>
      <c r="F42" s="24"/>
      <c r="G42" s="23"/>
      <c r="H42" s="23"/>
      <c r="I42" s="24"/>
    </row>
    <row r="43" spans="1:9">
      <c r="A43" s="23"/>
      <c r="B43" s="23"/>
      <c r="C43" s="23"/>
      <c r="D43" s="23"/>
      <c r="E43" s="23"/>
      <c r="F43" s="24"/>
      <c r="G43" s="23"/>
      <c r="H43" s="23"/>
      <c r="I43" s="24"/>
    </row>
    <row r="44" spans="1:9">
      <c r="A44" s="23"/>
      <c r="B44" s="23"/>
      <c r="C44" s="23"/>
      <c r="D44" s="23"/>
      <c r="E44" s="23"/>
      <c r="F44" s="24"/>
      <c r="G44" s="23"/>
      <c r="H44" s="23"/>
      <c r="I44" s="24"/>
    </row>
    <row r="45" spans="1:9">
      <c r="A45" s="23"/>
      <c r="B45" s="23"/>
      <c r="C45" s="23"/>
      <c r="D45" s="23"/>
      <c r="E45" s="23"/>
      <c r="F45" s="24"/>
      <c r="G45" s="23"/>
      <c r="H45" s="23"/>
      <c r="I45" s="24"/>
    </row>
    <row r="46" spans="1:9">
      <c r="A46" s="23"/>
      <c r="B46" s="23"/>
      <c r="C46" s="23"/>
      <c r="D46" s="23"/>
      <c r="E46" s="23"/>
      <c r="F46" s="24"/>
      <c r="G46" s="23"/>
      <c r="H46" s="23"/>
      <c r="I46" s="24"/>
    </row>
    <row r="47" spans="1:9">
      <c r="A47" s="23"/>
      <c r="B47" s="23"/>
      <c r="C47" s="23"/>
      <c r="D47" s="23"/>
      <c r="E47" s="23"/>
      <c r="F47" s="24"/>
      <c r="G47" s="23"/>
      <c r="H47" s="23"/>
      <c r="I47" s="24"/>
    </row>
    <row r="48" spans="1:9">
      <c r="A48" s="23"/>
      <c r="B48" s="23"/>
      <c r="C48" s="23"/>
      <c r="D48" s="23"/>
      <c r="E48" s="23"/>
      <c r="F48" s="24"/>
      <c r="G48" s="23"/>
      <c r="H48" s="23"/>
      <c r="I48" s="24"/>
    </row>
    <row r="49" spans="1:9">
      <c r="A49" s="23"/>
      <c r="B49" s="23"/>
      <c r="C49" s="23"/>
      <c r="D49" s="23"/>
      <c r="E49" s="23"/>
      <c r="F49" s="24"/>
      <c r="G49" s="23"/>
      <c r="H49" s="23"/>
      <c r="I49" s="24"/>
    </row>
    <row r="50" spans="1:9">
      <c r="A50" s="23"/>
      <c r="B50" s="23"/>
      <c r="C50" s="23"/>
      <c r="D50" s="23"/>
      <c r="E50" s="23"/>
      <c r="F50" s="24"/>
      <c r="G50" s="23"/>
      <c r="H50" s="23"/>
      <c r="I50" s="24"/>
    </row>
    <row r="51" spans="1:9">
      <c r="A51" s="23"/>
      <c r="B51" s="23"/>
      <c r="C51" s="23"/>
      <c r="D51" s="23"/>
      <c r="E51" s="23"/>
      <c r="F51" s="24"/>
      <c r="G51" s="23"/>
      <c r="H51" s="23"/>
      <c r="I51" s="24"/>
    </row>
    <row r="52" spans="1:9">
      <c r="A52" s="23"/>
      <c r="B52" s="23"/>
      <c r="C52" s="23"/>
      <c r="D52" s="23"/>
      <c r="E52" s="23"/>
      <c r="F52" s="24"/>
      <c r="G52" s="23"/>
      <c r="H52" s="23"/>
      <c r="I52" s="24"/>
    </row>
    <row r="53" spans="1:9">
      <c r="A53" s="23"/>
      <c r="B53" s="23"/>
      <c r="C53" s="23"/>
      <c r="D53" s="23"/>
      <c r="E53" s="23"/>
      <c r="F53" s="24"/>
      <c r="G53" s="23"/>
      <c r="H53" s="23"/>
      <c r="I53" s="24"/>
    </row>
    <row r="54" spans="1:9">
      <c r="A54" s="23"/>
      <c r="B54" s="23"/>
      <c r="C54" s="23"/>
      <c r="D54" s="23"/>
      <c r="E54" s="23"/>
      <c r="F54" s="24"/>
      <c r="G54" s="23"/>
      <c r="H54" s="23"/>
      <c r="I54" s="24"/>
    </row>
    <row r="55" spans="1:9">
      <c r="A55" s="23"/>
      <c r="B55" s="23"/>
      <c r="C55" s="23"/>
      <c r="D55" s="23"/>
      <c r="E55" s="23"/>
      <c r="F55" s="24"/>
      <c r="G55" s="23"/>
      <c r="H55" s="23"/>
      <c r="I55" s="24"/>
    </row>
    <row r="56" spans="1:9">
      <c r="A56" s="23"/>
      <c r="B56" s="23"/>
      <c r="C56" s="23"/>
      <c r="D56" s="23"/>
      <c r="E56" s="23"/>
      <c r="F56" s="24"/>
      <c r="G56" s="23"/>
      <c r="H56" s="23"/>
      <c r="I56" s="24"/>
    </row>
    <row r="57" spans="1:9">
      <c r="A57" s="23"/>
      <c r="B57" s="23"/>
      <c r="C57" s="23"/>
      <c r="D57" s="23"/>
      <c r="E57" s="23"/>
      <c r="F57" s="24"/>
      <c r="G57" s="23"/>
      <c r="H57" s="23"/>
      <c r="I57" s="24"/>
    </row>
    <row r="58" spans="1:9">
      <c r="A58" s="23"/>
      <c r="B58" s="23"/>
      <c r="C58" s="23"/>
      <c r="D58" s="23"/>
      <c r="E58" s="23"/>
      <c r="F58" s="24"/>
      <c r="G58" s="23"/>
      <c r="H58" s="23"/>
      <c r="I58" s="24"/>
    </row>
    <row r="59" spans="1:9">
      <c r="A59" s="23"/>
      <c r="B59" s="23"/>
      <c r="C59" s="23"/>
      <c r="D59" s="23"/>
      <c r="E59" s="23"/>
      <c r="F59" s="24"/>
      <c r="G59" s="23"/>
      <c r="H59" s="23"/>
      <c r="I59" s="24"/>
    </row>
    <row r="60" spans="1:9">
      <c r="A60" s="23"/>
      <c r="B60" s="23"/>
      <c r="C60" s="23"/>
      <c r="D60" s="23"/>
      <c r="E60" s="23"/>
      <c r="F60" s="24"/>
      <c r="G60" s="23"/>
      <c r="H60" s="23"/>
      <c r="I60" s="24"/>
    </row>
    <row r="61" spans="1:9">
      <c r="A61" s="23"/>
      <c r="B61" s="23"/>
      <c r="C61" s="23"/>
      <c r="D61" s="23"/>
      <c r="E61" s="23"/>
      <c r="F61" s="24"/>
      <c r="G61" s="23"/>
      <c r="H61" s="23"/>
      <c r="I61" s="24"/>
    </row>
    <row r="62" spans="1:9">
      <c r="A62" s="23"/>
      <c r="B62" s="23"/>
      <c r="C62" s="23"/>
      <c r="D62" s="23"/>
      <c r="E62" s="23"/>
      <c r="F62" s="24"/>
      <c r="G62" s="23"/>
      <c r="H62" s="23"/>
      <c r="I62" s="24"/>
    </row>
    <row r="63" spans="1:9">
      <c r="A63" s="23"/>
      <c r="B63" s="23"/>
      <c r="C63" s="23"/>
      <c r="D63" s="23"/>
      <c r="E63" s="23"/>
      <c r="F63" s="24"/>
      <c r="G63" s="23"/>
      <c r="H63" s="23"/>
      <c r="I63" s="24"/>
    </row>
    <row r="64" spans="1:9">
      <c r="A64" s="23"/>
      <c r="B64" s="23"/>
      <c r="C64" s="23"/>
      <c r="D64" s="23"/>
      <c r="E64" s="23"/>
      <c r="F64" s="24"/>
      <c r="G64" s="23"/>
      <c r="H64" s="23"/>
      <c r="I64" s="24"/>
    </row>
    <row r="65" spans="1:9">
      <c r="A65" s="23"/>
      <c r="B65" s="23"/>
      <c r="C65" s="23"/>
      <c r="D65" s="23"/>
      <c r="E65" s="23"/>
      <c r="F65" s="24"/>
      <c r="G65" s="23"/>
      <c r="H65" s="23"/>
      <c r="I65" s="24"/>
    </row>
    <row r="66" spans="1:9">
      <c r="A66" s="23"/>
      <c r="B66" s="23"/>
      <c r="C66" s="23"/>
      <c r="D66" s="23"/>
      <c r="E66" s="23"/>
      <c r="F66" s="24"/>
      <c r="G66" s="23"/>
      <c r="H66" s="23"/>
      <c r="I66" s="24"/>
    </row>
    <row r="67" spans="1:9">
      <c r="A67" s="23"/>
      <c r="B67" s="23"/>
      <c r="C67" s="23"/>
      <c r="D67" s="23"/>
      <c r="E67" s="23"/>
      <c r="F67" s="24"/>
      <c r="G67" s="23"/>
      <c r="H67" s="23"/>
      <c r="I67" s="24"/>
    </row>
    <row r="68" spans="1:9">
      <c r="A68" s="23"/>
      <c r="B68" s="23"/>
      <c r="C68" s="23"/>
      <c r="D68" s="23"/>
      <c r="E68" s="23"/>
      <c r="F68" s="24"/>
      <c r="G68" s="23"/>
      <c r="H68" s="23"/>
      <c r="I68" s="24"/>
    </row>
    <row r="69" spans="1:9">
      <c r="A69" s="23"/>
      <c r="B69" s="23"/>
      <c r="C69" s="23"/>
      <c r="D69" s="23"/>
      <c r="E69" s="23"/>
      <c r="F69" s="24"/>
      <c r="G69" s="23"/>
      <c r="H69" s="23"/>
      <c r="I69" s="24"/>
    </row>
    <row r="70" spans="1:9">
      <c r="A70" s="23"/>
      <c r="B70" s="23"/>
      <c r="C70" s="23"/>
      <c r="D70" s="23"/>
      <c r="E70" s="23"/>
      <c r="F70" s="24"/>
      <c r="G70" s="23"/>
      <c r="H70" s="23"/>
      <c r="I70" s="24"/>
    </row>
    <row r="71" spans="1:9">
      <c r="A71" s="23"/>
      <c r="B71" s="23"/>
      <c r="C71" s="23"/>
      <c r="D71" s="23"/>
      <c r="E71" s="23"/>
      <c r="F71" s="24"/>
      <c r="G71" s="23"/>
      <c r="H71" s="23"/>
      <c r="I71" s="24"/>
    </row>
    <row r="72" spans="1:9">
      <c r="A72" s="23"/>
      <c r="B72" s="23"/>
      <c r="C72" s="23"/>
      <c r="D72" s="23"/>
      <c r="E72" s="23"/>
      <c r="F72" s="24"/>
      <c r="G72" s="23"/>
      <c r="H72" s="23"/>
      <c r="I72" s="24"/>
    </row>
    <row r="73" spans="1:9">
      <c r="A73" s="23"/>
      <c r="B73" s="23"/>
      <c r="C73" s="23"/>
      <c r="D73" s="23"/>
      <c r="E73" s="23"/>
      <c r="F73" s="24"/>
      <c r="G73" s="23"/>
      <c r="H73" s="23"/>
      <c r="I73" s="24"/>
    </row>
    <row r="74" spans="1:9">
      <c r="A74" s="23"/>
      <c r="B74" s="23"/>
      <c r="C74" s="23"/>
      <c r="D74" s="23"/>
      <c r="E74" s="23"/>
      <c r="F74" s="24"/>
      <c r="G74" s="23"/>
      <c r="H74" s="23"/>
      <c r="I74" s="24"/>
    </row>
    <row r="75" spans="1:9">
      <c r="A75" s="23"/>
      <c r="B75" s="23"/>
      <c r="C75" s="23"/>
      <c r="D75" s="23"/>
      <c r="E75" s="23"/>
      <c r="F75" s="24"/>
      <c r="G75" s="23"/>
      <c r="H75" s="23"/>
      <c r="I75" s="24"/>
    </row>
    <row r="76" spans="1:9">
      <c r="A76" s="23"/>
      <c r="B76" s="23"/>
      <c r="C76" s="23"/>
      <c r="D76" s="23"/>
      <c r="E76" s="23"/>
      <c r="F76" s="24"/>
      <c r="G76" s="23"/>
      <c r="H76" s="23"/>
      <c r="I76" s="24"/>
    </row>
    <row r="77" spans="1:9">
      <c r="A77" s="23"/>
      <c r="B77" s="23"/>
      <c r="C77" s="23"/>
      <c r="D77" s="23"/>
      <c r="E77" s="23"/>
      <c r="F77" s="24"/>
      <c r="G77" s="23"/>
      <c r="H77" s="23"/>
      <c r="I77" s="24"/>
    </row>
    <row r="78" spans="1:9">
      <c r="A78" s="23"/>
      <c r="B78" s="23"/>
      <c r="C78" s="23"/>
      <c r="D78" s="23"/>
      <c r="E78" s="23"/>
      <c r="F78" s="24"/>
      <c r="G78" s="23"/>
      <c r="H78" s="23"/>
      <c r="I78" s="24"/>
    </row>
    <row r="79" spans="1:9">
      <c r="A79" s="23"/>
      <c r="B79" s="23"/>
      <c r="C79" s="23"/>
      <c r="D79" s="23"/>
      <c r="E79" s="23"/>
      <c r="F79" s="24"/>
      <c r="G79" s="23"/>
      <c r="H79" s="23"/>
      <c r="I79" s="24"/>
    </row>
    <row r="80" spans="1:9">
      <c r="A80" s="23"/>
      <c r="B80" s="23"/>
      <c r="C80" s="23"/>
      <c r="D80" s="23"/>
      <c r="E80" s="23"/>
      <c r="F80" s="24"/>
      <c r="G80" s="23"/>
      <c r="H80" s="23"/>
      <c r="I80" s="24"/>
    </row>
    <row r="81" spans="1:9">
      <c r="A81" s="23"/>
      <c r="B81" s="23"/>
      <c r="C81" s="23"/>
      <c r="D81" s="23"/>
      <c r="E81" s="23"/>
      <c r="F81" s="24"/>
      <c r="G81" s="23"/>
      <c r="H81" s="23"/>
      <c r="I81" s="24"/>
    </row>
    <row r="82" spans="1:9">
      <c r="A82" s="23"/>
      <c r="B82" s="23"/>
      <c r="C82" s="23"/>
      <c r="D82" s="23"/>
      <c r="E82" s="23"/>
      <c r="F82" s="24"/>
      <c r="G82" s="23"/>
      <c r="H82" s="23"/>
      <c r="I82" s="24"/>
    </row>
    <row r="83" spans="1:9">
      <c r="A83" s="23"/>
      <c r="B83" s="23"/>
      <c r="C83" s="23"/>
      <c r="D83" s="23"/>
      <c r="E83" s="23"/>
      <c r="F83" s="24"/>
      <c r="G83" s="23"/>
      <c r="H83" s="23"/>
      <c r="I83" s="24"/>
    </row>
    <row r="84" spans="1:9">
      <c r="A84" s="23"/>
      <c r="B84" s="23"/>
      <c r="C84" s="23"/>
      <c r="D84" s="23"/>
      <c r="E84" s="23"/>
      <c r="F84" s="24"/>
      <c r="G84" s="23"/>
      <c r="H84" s="23"/>
      <c r="I84" s="24"/>
    </row>
    <row r="85" spans="1:9">
      <c r="A85" s="23"/>
      <c r="B85" s="23"/>
      <c r="C85" s="23"/>
      <c r="D85" s="23"/>
      <c r="E85" s="23"/>
      <c r="F85" s="24"/>
      <c r="G85" s="23"/>
      <c r="H85" s="23"/>
      <c r="I85" s="24"/>
    </row>
    <row r="86" spans="1:9">
      <c r="A86" s="23"/>
      <c r="B86" s="23"/>
      <c r="C86" s="23"/>
      <c r="D86" s="23"/>
      <c r="E86" s="23"/>
      <c r="F86" s="24"/>
      <c r="G86" s="23"/>
      <c r="H86" s="23"/>
      <c r="I86" s="24"/>
    </row>
    <row r="87" spans="1:9">
      <c r="A87" s="23"/>
      <c r="B87" s="23"/>
      <c r="C87" s="23"/>
      <c r="D87" s="23"/>
      <c r="E87" s="23"/>
      <c r="F87" s="24"/>
      <c r="G87" s="23"/>
      <c r="H87" s="23"/>
      <c r="I87" s="24"/>
    </row>
    <row r="88" spans="1:9">
      <c r="A88" s="23"/>
      <c r="B88" s="23"/>
      <c r="C88" s="23"/>
      <c r="D88" s="23"/>
      <c r="E88" s="23"/>
      <c r="F88" s="24"/>
      <c r="G88" s="23"/>
      <c r="H88" s="23"/>
      <c r="I88" s="24"/>
    </row>
    <row r="89" spans="1:9">
      <c r="A89" s="23"/>
      <c r="B89" s="23"/>
      <c r="C89" s="23"/>
      <c r="D89" s="23"/>
      <c r="E89" s="23"/>
      <c r="F89" s="24"/>
      <c r="G89" s="23"/>
      <c r="H89" s="23"/>
      <c r="I89" s="24"/>
    </row>
    <row r="90" spans="1:9">
      <c r="A90" s="23"/>
      <c r="B90" s="23"/>
      <c r="C90" s="23"/>
      <c r="D90" s="23"/>
      <c r="E90" s="23"/>
      <c r="F90" s="24"/>
      <c r="G90" s="23"/>
      <c r="H90" s="23"/>
      <c r="I90" s="24"/>
    </row>
    <row r="91" spans="1:9">
      <c r="A91" s="23"/>
      <c r="B91" s="23"/>
      <c r="C91" s="23"/>
      <c r="D91" s="23"/>
      <c r="E91" s="23"/>
      <c r="F91" s="24"/>
      <c r="G91" s="23"/>
      <c r="H91" s="23"/>
      <c r="I91" s="24"/>
    </row>
    <row r="92" spans="1:9">
      <c r="A92" s="23"/>
      <c r="B92" s="23"/>
      <c r="C92" s="23"/>
      <c r="D92" s="23"/>
      <c r="E92" s="23"/>
      <c r="F92" s="24"/>
      <c r="G92" s="23"/>
      <c r="H92" s="23"/>
      <c r="I92" s="24"/>
    </row>
    <row r="93" spans="1:9">
      <c r="A93" s="23"/>
      <c r="B93" s="23"/>
      <c r="C93" s="23"/>
      <c r="D93" s="23"/>
      <c r="E93" s="23"/>
      <c r="F93" s="24"/>
      <c r="G93" s="23"/>
      <c r="H93" s="23"/>
      <c r="I93" s="24"/>
    </row>
    <row r="94" spans="1:9">
      <c r="A94" s="23"/>
      <c r="B94" s="23"/>
      <c r="C94" s="23"/>
      <c r="D94" s="23"/>
      <c r="E94" s="23"/>
      <c r="F94" s="24"/>
      <c r="G94" s="23"/>
      <c r="H94" s="23"/>
      <c r="I94" s="24"/>
    </row>
    <row r="95" spans="1:9">
      <c r="A95" s="23"/>
      <c r="B95" s="23"/>
      <c r="C95" s="23"/>
      <c r="D95" s="23"/>
      <c r="E95" s="23"/>
      <c r="F95" s="24"/>
      <c r="G95" s="23"/>
      <c r="H95" s="23"/>
      <c r="I95" s="24"/>
    </row>
    <row r="96" spans="1:9">
      <c r="A96" s="23"/>
      <c r="B96" s="23"/>
      <c r="C96" s="23"/>
      <c r="D96" s="23"/>
      <c r="E96" s="23"/>
      <c r="F96" s="24"/>
      <c r="G96" s="23"/>
      <c r="H96" s="23"/>
      <c r="I96" s="24"/>
    </row>
    <row r="97" spans="1:9">
      <c r="A97" s="23"/>
      <c r="B97" s="23"/>
      <c r="C97" s="23"/>
      <c r="D97" s="23"/>
      <c r="E97" s="23"/>
      <c r="F97" s="24"/>
      <c r="G97" s="23"/>
      <c r="H97" s="23"/>
      <c r="I97" s="24"/>
    </row>
    <row r="98" spans="1:9">
      <c r="A98" s="23"/>
      <c r="B98" s="23"/>
      <c r="C98" s="23"/>
      <c r="D98" s="23"/>
      <c r="E98" s="23"/>
      <c r="F98" s="24"/>
      <c r="G98" s="23"/>
      <c r="H98" s="23"/>
      <c r="I98" s="24"/>
    </row>
    <row r="99" spans="1:9">
      <c r="A99" s="23"/>
      <c r="B99" s="23"/>
      <c r="C99" s="23"/>
      <c r="D99" s="23"/>
      <c r="E99" s="23"/>
      <c r="F99" s="24"/>
      <c r="G99" s="23"/>
      <c r="H99" s="23"/>
      <c r="I99" s="24"/>
    </row>
    <row r="100" spans="1: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>
      <c r="A332" s="23"/>
      <c r="B332" s="23"/>
      <c r="C332" s="23"/>
      <c r="D332" s="23"/>
      <c r="E332" s="23"/>
      <c r="F332" s="24"/>
      <c r="G332" s="23"/>
      <c r="H332" s="23"/>
      <c r="I332" s="24"/>
    </row>
    <row r="333" spans="1:9">
      <c r="A333" s="23"/>
      <c r="B333" s="23"/>
      <c r="C333" s="23"/>
      <c r="D333" s="23"/>
      <c r="E333" s="23"/>
      <c r="F333" s="24"/>
      <c r="G333" s="23"/>
      <c r="H333" s="23"/>
      <c r="I333" s="24"/>
    </row>
    <row r="334" spans="1:9">
      <c r="A334" s="23"/>
      <c r="B334" s="23"/>
      <c r="C334" s="23"/>
      <c r="D334" s="23"/>
      <c r="E334" s="23"/>
      <c r="F334" s="24"/>
      <c r="G334" s="23"/>
      <c r="H334" s="23"/>
      <c r="I334" s="24"/>
    </row>
    <row r="335" spans="1:9">
      <c r="A335" s="23"/>
      <c r="B335" s="23"/>
      <c r="C335" s="23"/>
      <c r="D335" s="23"/>
      <c r="E335" s="23"/>
      <c r="F335" s="24"/>
      <c r="G335" s="23"/>
      <c r="H335" s="23"/>
      <c r="I335" s="24"/>
    </row>
    <row r="336" spans="1:9">
      <c r="A336" s="23"/>
      <c r="B336" s="23"/>
      <c r="C336" s="23"/>
      <c r="D336" s="23"/>
      <c r="E336" s="23"/>
      <c r="F336" s="24"/>
      <c r="G336" s="23"/>
      <c r="H336" s="23"/>
      <c r="I336" s="24"/>
    </row>
    <row r="337" spans="1:9">
      <c r="A337" s="23"/>
      <c r="B337" s="23"/>
      <c r="C337" s="23"/>
      <c r="D337" s="23"/>
      <c r="E337" s="23"/>
      <c r="F337" s="24"/>
      <c r="G337" s="23"/>
      <c r="H337" s="23"/>
      <c r="I337" s="24"/>
    </row>
    <row r="338" spans="1:9">
      <c r="A338" s="23"/>
      <c r="B338" s="23"/>
      <c r="C338" s="23"/>
      <c r="D338" s="23"/>
      <c r="E338" s="23"/>
      <c r="F338" s="24"/>
      <c r="G338" s="23"/>
      <c r="H338" s="23"/>
      <c r="I338" s="24"/>
    </row>
    <row r="339" spans="1:9">
      <c r="A339" s="23"/>
      <c r="B339" s="23"/>
      <c r="C339" s="23"/>
      <c r="D339" s="23"/>
      <c r="E339" s="23"/>
      <c r="F339" s="24"/>
      <c r="G339" s="23"/>
      <c r="H339" s="23"/>
      <c r="I339" s="24"/>
    </row>
    <row r="340" spans="1:9">
      <c r="A340" s="23"/>
      <c r="B340" s="23"/>
      <c r="C340" s="23"/>
      <c r="D340" s="23"/>
      <c r="E340" s="23"/>
      <c r="F340" s="24"/>
      <c r="G340" s="23"/>
      <c r="H340" s="23"/>
      <c r="I340" s="24"/>
    </row>
    <row r="341" spans="1:9">
      <c r="A341" s="23"/>
      <c r="B341" s="23"/>
      <c r="C341" s="23"/>
      <c r="D341" s="23"/>
      <c r="E341" s="23"/>
      <c r="F341" s="24"/>
      <c r="G341" s="23"/>
      <c r="H341" s="23"/>
      <c r="I341" s="24"/>
    </row>
    <row r="342" spans="1:9">
      <c r="A342" s="23"/>
      <c r="B342" s="23"/>
      <c r="C342" s="23"/>
      <c r="D342" s="23"/>
      <c r="E342" s="23"/>
      <c r="F342" s="24"/>
      <c r="G342" s="23"/>
      <c r="H342" s="23"/>
      <c r="I342" s="24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100 I4:I100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42"/>
  <sheetViews>
    <sheetView workbookViewId="0">
      <pane ySplit="2" topLeftCell="A3" activePane="bottomLeft" state="frozen"/>
      <selection pane="bottomLeft" activeCell="D28" sqref="D28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1" t="str" cm="1">
        <f t="array" ref="A1">portfolio</f>
        <v>CITI</v>
      </c>
      <c r="B1" s="61"/>
      <c r="C1" s="61"/>
      <c r="D1" s="62" t="s">
        <v>12</v>
      </c>
      <c r="E1" s="62"/>
      <c r="F1" s="62"/>
      <c r="G1" s="60" t="s">
        <v>13</v>
      </c>
      <c r="H1" s="60"/>
      <c r="I1" s="60"/>
    </row>
    <row r="2" spans="1:9" ht="19.5" customHeight="1">
      <c r="A2" s="63" t="s">
        <v>2</v>
      </c>
      <c r="B2" s="63"/>
      <c r="C2" s="6">
        <f>SUM(C4:C100)</f>
        <v>0</v>
      </c>
      <c r="D2" s="6">
        <f>SUM(D4:D100)</f>
        <v>0</v>
      </c>
      <c r="E2" s="6">
        <f>C2-D2</f>
        <v>0</v>
      </c>
      <c r="F2" s="7">
        <f>IFERROR(E2/D2, 0)</f>
        <v>0</v>
      </c>
      <c r="G2" s="6">
        <f>SUM(G4:G100)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49" t="s">
        <v>6</v>
      </c>
      <c r="E3" s="49" t="s">
        <v>7</v>
      </c>
      <c r="F3" s="50" t="s">
        <v>8</v>
      </c>
      <c r="G3" s="51" t="s">
        <v>9</v>
      </c>
      <c r="H3" s="52" t="s">
        <v>7</v>
      </c>
      <c r="I3" s="53" t="s">
        <v>8</v>
      </c>
    </row>
    <row r="4" spans="1:9" ht="15.75">
      <c r="A4" s="13" t="str" cm="1">
        <f t="array" ref="A4:A22">Sites[Site]</f>
        <v>CA: Antioch Deer Valley - Citi</v>
      </c>
      <c r="B4" s="10" t="str" cm="1">
        <f t="array" ref="B4:B22">Sites[State]</f>
        <v>CA</v>
      </c>
      <c r="C4" s="26">
        <f>SUM(Apr!C4, May!C4, Jun!C4)</f>
        <v>0</v>
      </c>
      <c r="D4" s="14">
        <f>SUM(Apr!D4, May!D4, Jun!D4)</f>
        <v>0</v>
      </c>
      <c r="E4" s="14">
        <f>IF(AND(ISNUMBER(C4),ISNUMBER(D4)), C4-D4, "")</f>
        <v>0</v>
      </c>
      <c r="F4" s="15" t="str">
        <f>IFERROR(E4/D4, "")</f>
        <v/>
      </c>
      <c r="G4" s="16"/>
      <c r="H4" s="16">
        <f>SUM(Apr!H4, May!H4, Jun!H4)</f>
        <v>0</v>
      </c>
      <c r="I4" s="17" t="str">
        <f>IFERROR(H4/G4, "")</f>
        <v/>
      </c>
    </row>
    <row r="5" spans="1:9" ht="15.75">
      <c r="A5" s="19" t="str">
        <v>CA: Antioch MC CUP - Citi</v>
      </c>
      <c r="B5" s="11" t="str">
        <v>CA</v>
      </c>
      <c r="C5" s="12">
        <f>SUM(Apr!C5, May!C5, Jun!C5)</f>
        <v>0</v>
      </c>
      <c r="D5" s="20">
        <f>SUM(Apr!D5, May!D5, Jun!D5)</f>
        <v>0</v>
      </c>
      <c r="E5" s="20">
        <f t="shared" ref="E5:E15" si="0">IF(AND(ISNUMBER(C5),ISNUMBER(D5)), C5-D5, "")</f>
        <v>0</v>
      </c>
      <c r="F5" s="21" t="str">
        <f>IFERROR(E5/D5, "")</f>
        <v/>
      </c>
      <c r="G5" s="22"/>
      <c r="H5" s="22">
        <f>SUM(Apr!H5, May!H5, Jun!H5)</f>
        <v>0</v>
      </c>
      <c r="I5" s="21" t="str">
        <f>IFERROR(H5/G5, "")</f>
        <v/>
      </c>
    </row>
    <row r="6" spans="1:9" ht="15.75">
      <c r="A6" s="13" t="str">
        <v>CA: Clovis - Citi</v>
      </c>
      <c r="B6" s="10" t="str">
        <v>CA</v>
      </c>
      <c r="C6" s="26">
        <f>SUM(Apr!C6, May!C6, Jun!C6)</f>
        <v>0</v>
      </c>
      <c r="D6" s="14">
        <f>SUM(Apr!D6, May!D6, Jun!D6)</f>
        <v>0</v>
      </c>
      <c r="E6" s="14">
        <f t="shared" si="0"/>
        <v>0</v>
      </c>
      <c r="F6" s="15" t="str">
        <f t="shared" ref="F6:F15" si="1">IFERROR(E6/D6, "")</f>
        <v/>
      </c>
      <c r="G6" s="16"/>
      <c r="H6" s="16">
        <f>SUM(Apr!H6, May!H6, Jun!H6)</f>
        <v>0</v>
      </c>
      <c r="I6" s="17" t="str">
        <f t="shared" ref="I6:I15" si="2">IFERROR(H6/G6, "")</f>
        <v/>
      </c>
    </row>
    <row r="7" spans="1:9" ht="15.75">
      <c r="A7" s="19" t="str">
        <v>CA: Elk Grove MOB - Citi</v>
      </c>
      <c r="B7" s="11" t="str">
        <v>CA</v>
      </c>
      <c r="C7" s="12">
        <f>SUM(Apr!C7, May!C7, Jun!C7)</f>
        <v>0</v>
      </c>
      <c r="D7" s="20">
        <f>SUM(Apr!D7, May!D7, Jun!D7)</f>
        <v>0</v>
      </c>
      <c r="E7" s="20">
        <f t="shared" si="0"/>
        <v>0</v>
      </c>
      <c r="F7" s="21" t="str">
        <f t="shared" si="1"/>
        <v/>
      </c>
      <c r="G7" s="22"/>
      <c r="H7" s="22">
        <f>SUM(Apr!H7, May!H7, Jun!H7)</f>
        <v>0</v>
      </c>
      <c r="I7" s="21" t="str">
        <f t="shared" si="2"/>
        <v/>
      </c>
    </row>
    <row r="8" spans="1:9" ht="15.75">
      <c r="A8" s="13" t="str">
        <v>CA: Elk Grove Promenade - Citi</v>
      </c>
      <c r="B8" s="10" t="str">
        <v>CA</v>
      </c>
      <c r="C8" s="26">
        <f>SUM(Apr!C8, May!C8, Jun!C8)</f>
        <v>0</v>
      </c>
      <c r="D8" s="14">
        <f>SUM(Apr!D8, May!D8, Jun!D8)</f>
        <v>0</v>
      </c>
      <c r="E8" s="14">
        <f t="shared" si="0"/>
        <v>0</v>
      </c>
      <c r="F8" s="15" t="str">
        <f t="shared" si="1"/>
        <v/>
      </c>
      <c r="G8" s="16"/>
      <c r="H8" s="16">
        <f>SUM(Apr!H8, May!H8, Jun!H8)</f>
        <v>0</v>
      </c>
      <c r="I8" s="17" t="str">
        <f t="shared" si="2"/>
        <v/>
      </c>
    </row>
    <row r="9" spans="1:9" ht="15.75">
      <c r="A9" s="19" t="str">
        <v>CA: Fresno Sequioa - Citi</v>
      </c>
      <c r="B9" s="11" t="str">
        <v>CA</v>
      </c>
      <c r="C9" s="12">
        <f>SUM(Apr!C9, May!C9, Jun!C9)</f>
        <v>0</v>
      </c>
      <c r="D9" s="20">
        <f>SUM(Apr!D9, May!D9, Jun!D9)</f>
        <v>0</v>
      </c>
      <c r="E9" s="20">
        <f t="shared" si="0"/>
        <v>0</v>
      </c>
      <c r="F9" s="21" t="str">
        <f t="shared" si="1"/>
        <v/>
      </c>
      <c r="G9" s="22"/>
      <c r="H9" s="22">
        <f>SUM(Apr!H9, May!H9, Jun!H9)</f>
        <v>0</v>
      </c>
      <c r="I9" s="21" t="str">
        <f t="shared" si="2"/>
        <v/>
      </c>
    </row>
    <row r="10" spans="1:9" ht="15.75">
      <c r="A10" s="13" t="str">
        <v>CA: Fresno MOB - Citi</v>
      </c>
      <c r="B10" s="10" t="str">
        <v>CA</v>
      </c>
      <c r="C10" s="26">
        <f>SUM(Apr!C10, May!C10, Jun!C10)</f>
        <v>0</v>
      </c>
      <c r="D10" s="14">
        <f>SUM(Apr!D10, May!D10, Jun!D10)</f>
        <v>0</v>
      </c>
      <c r="E10" s="14">
        <f t="shared" si="0"/>
        <v>0</v>
      </c>
      <c r="F10" s="15" t="str">
        <f t="shared" si="1"/>
        <v/>
      </c>
      <c r="G10" s="16"/>
      <c r="H10" s="16">
        <f>SUM(Apr!H10, May!H10, Jun!H10)</f>
        <v>0</v>
      </c>
      <c r="I10" s="17" t="str">
        <f t="shared" si="2"/>
        <v/>
      </c>
    </row>
    <row r="11" spans="1:9" ht="15.75">
      <c r="A11" s="19" t="str">
        <v>CA: Modesto Bangs - Citi</v>
      </c>
      <c r="B11" s="11" t="str">
        <v>CA</v>
      </c>
      <c r="C11" s="12">
        <f>SUM(Apr!C11, May!C11, Jun!C11)</f>
        <v>0</v>
      </c>
      <c r="D11" s="20">
        <f>SUM(Apr!D11, May!D11, Jun!D11)</f>
        <v>0</v>
      </c>
      <c r="E11" s="20">
        <f t="shared" si="0"/>
        <v>0</v>
      </c>
      <c r="F11" s="21" t="str">
        <f t="shared" si="1"/>
        <v/>
      </c>
      <c r="G11" s="22"/>
      <c r="H11" s="22">
        <f>SUM(Apr!H11, May!H11, Jun!H11)</f>
        <v>0</v>
      </c>
      <c r="I11" s="21" t="str">
        <f t="shared" si="2"/>
        <v/>
      </c>
    </row>
    <row r="12" spans="1:9" ht="15.75">
      <c r="A12" s="13" t="str">
        <v>CA: Napa Data Center - Citi</v>
      </c>
      <c r="B12" s="10" t="str">
        <v>CA</v>
      </c>
      <c r="C12" s="26">
        <f>SUM(Apr!C12, May!C12, Jun!C12)</f>
        <v>0</v>
      </c>
      <c r="D12" s="14">
        <f>SUM(Apr!D12, May!D12, Jun!D12)</f>
        <v>0</v>
      </c>
      <c r="E12" s="14">
        <f t="shared" si="0"/>
        <v>0</v>
      </c>
      <c r="F12" s="15" t="str">
        <f t="shared" si="1"/>
        <v/>
      </c>
      <c r="G12" s="16"/>
      <c r="H12" s="16">
        <f>SUM(Apr!H12, May!H12, Jun!H12)</f>
        <v>0</v>
      </c>
      <c r="I12" s="17" t="str">
        <f t="shared" si="2"/>
        <v/>
      </c>
    </row>
    <row r="13" spans="1:9" ht="15.75">
      <c r="A13" s="19" t="str">
        <v>CA: Petaluma MOB - Citi</v>
      </c>
      <c r="B13" s="11" t="str">
        <v>CA</v>
      </c>
      <c r="C13" s="12">
        <f>SUM(Apr!C13, May!C13, Jun!C13)</f>
        <v>0</v>
      </c>
      <c r="D13" s="20">
        <f>SUM(Apr!D13, May!D13, Jun!D13)</f>
        <v>0</v>
      </c>
      <c r="E13" s="20">
        <f t="shared" si="0"/>
        <v>0</v>
      </c>
      <c r="F13" s="21" t="str">
        <f t="shared" si="1"/>
        <v/>
      </c>
      <c r="G13" s="22"/>
      <c r="H13" s="22">
        <f>SUM(Apr!H13, May!H13, Jun!H13)</f>
        <v>0</v>
      </c>
      <c r="I13" s="21" t="str">
        <f t="shared" si="2"/>
        <v/>
      </c>
    </row>
    <row r="14" spans="1:9" ht="15.75">
      <c r="A14" s="13" t="str">
        <v>CA: Pleasanton Tec Ctr - Citi</v>
      </c>
      <c r="B14" s="10" t="str">
        <v>CA</v>
      </c>
      <c r="C14" s="26">
        <f>SUM(Apr!C14, May!C14, Jun!C14)</f>
        <v>0</v>
      </c>
      <c r="D14" s="14">
        <f>SUM(Apr!D14, May!D14, Jun!D14)</f>
        <v>0</v>
      </c>
      <c r="E14" s="14">
        <f t="shared" si="0"/>
        <v>0</v>
      </c>
      <c r="F14" s="15" t="str">
        <f t="shared" si="1"/>
        <v/>
      </c>
      <c r="G14" s="16"/>
      <c r="H14" s="16">
        <f>SUM(Apr!H14, May!H14, Jun!H14)</f>
        <v>0</v>
      </c>
      <c r="I14" s="17" t="str">
        <f t="shared" si="2"/>
        <v/>
      </c>
    </row>
    <row r="15" spans="1:9" ht="15.75">
      <c r="A15" s="19" t="str">
        <v>CA: Rancho Cordova - Citi</v>
      </c>
      <c r="B15" s="11" t="str">
        <v>CA</v>
      </c>
      <c r="C15" s="12">
        <f>SUM(Apr!C15, May!C15, Jun!C15)</f>
        <v>0</v>
      </c>
      <c r="D15" s="20">
        <f>SUM(Apr!D15, May!D15, Jun!D15)</f>
        <v>0</v>
      </c>
      <c r="E15" s="20">
        <f t="shared" si="0"/>
        <v>0</v>
      </c>
      <c r="F15" s="21" t="str">
        <f t="shared" si="1"/>
        <v/>
      </c>
      <c r="G15" s="22"/>
      <c r="H15" s="22">
        <f>SUM(Apr!H15, May!H15, Jun!H15)</f>
        <v>0</v>
      </c>
      <c r="I15" s="21" t="str">
        <f t="shared" si="2"/>
        <v/>
      </c>
    </row>
    <row r="16" spans="1:9" ht="15.75">
      <c r="A16" s="13" t="str">
        <v>CA: S Sacramento Wyndham - Citi</v>
      </c>
      <c r="B16" s="10" t="str">
        <v>CA</v>
      </c>
      <c r="C16" s="37">
        <f>SUM(Apr!C16, May!C16, Jun!C16)</f>
        <v>0</v>
      </c>
      <c r="D16" s="14">
        <f>SUM(Apr!D16, May!D16, Jun!D16)</f>
        <v>0</v>
      </c>
      <c r="E16" s="14">
        <f t="shared" ref="E16:E21" si="3">IF(AND(ISNUMBER(C16),ISNUMBER(D16)), C16-D16, "")</f>
        <v>0</v>
      </c>
      <c r="F16" s="38" t="str">
        <f t="shared" ref="F16:F21" si="4">IFERROR(E16/D16, "")</f>
        <v/>
      </c>
      <c r="G16" s="39"/>
      <c r="H16" s="39">
        <f>SUM(Apr!H16, May!H16, Jun!H16)</f>
        <v>0</v>
      </c>
      <c r="I16" s="40" t="str">
        <f t="shared" ref="I16:I21" si="5">IFERROR(H16/G16, "")</f>
        <v/>
      </c>
    </row>
    <row r="17" spans="1:9" ht="15.75">
      <c r="A17" s="19" t="str">
        <v>CA: Sacramento Point West - Citi</v>
      </c>
      <c r="B17" s="11" t="str">
        <v>CA</v>
      </c>
      <c r="C17" s="42">
        <f>SUM(Apr!C17, May!C17, Jun!C17)</f>
        <v>0</v>
      </c>
      <c r="D17" s="20">
        <f>SUM(Apr!D17, May!D17, Jun!D17)</f>
        <v>0</v>
      </c>
      <c r="E17" s="20">
        <f t="shared" si="3"/>
        <v>0</v>
      </c>
      <c r="F17" s="43" t="str">
        <f t="shared" si="4"/>
        <v/>
      </c>
      <c r="G17" s="44"/>
      <c r="H17" s="44">
        <f>SUM(Apr!H17, May!H17, Jun!H17)</f>
        <v>0</v>
      </c>
      <c r="I17" s="43" t="str">
        <f t="shared" si="5"/>
        <v/>
      </c>
    </row>
    <row r="18" spans="1:9" ht="12.75" customHeight="1">
      <c r="A18" s="13" t="str">
        <v>CA: San Jose FHC - Citi</v>
      </c>
      <c r="B18" s="10" t="str">
        <v>CA</v>
      </c>
      <c r="C18" s="37">
        <f>SUM(Apr!C18, May!C18, Jun!C18)</f>
        <v>0</v>
      </c>
      <c r="D18" s="14">
        <f>SUM(Apr!D18, May!D18, Jun!D18)</f>
        <v>0</v>
      </c>
      <c r="E18" s="14">
        <f t="shared" si="3"/>
        <v>0</v>
      </c>
      <c r="F18" s="38" t="str">
        <f t="shared" si="4"/>
        <v/>
      </c>
      <c r="G18" s="39"/>
      <c r="H18" s="39">
        <f>SUM(Apr!H18, May!H18, Jun!H18)</f>
        <v>0</v>
      </c>
      <c r="I18" s="40" t="str">
        <f t="shared" si="5"/>
        <v/>
      </c>
    </row>
    <row r="19" spans="1:9" ht="15.75">
      <c r="A19" s="19" t="str">
        <v>CA: San Jose MOB - Citi</v>
      </c>
      <c r="B19" s="11" t="str">
        <v>CA</v>
      </c>
      <c r="C19" s="42">
        <f>SUM(Apr!C19, May!C19, Jun!C19)</f>
        <v>0</v>
      </c>
      <c r="D19" s="20">
        <f>SUM(Apr!D19, May!D19, Jun!D19)</f>
        <v>0</v>
      </c>
      <c r="E19" s="20">
        <f t="shared" si="3"/>
        <v>0</v>
      </c>
      <c r="F19" s="43" t="str">
        <f t="shared" si="4"/>
        <v/>
      </c>
      <c r="G19" s="44"/>
      <c r="H19" s="44">
        <f>SUM(Apr!H19, May!H19, Jun!H19)</f>
        <v>0</v>
      </c>
      <c r="I19" s="43" t="str">
        <f t="shared" si="5"/>
        <v/>
      </c>
    </row>
    <row r="20" spans="1:9" ht="15.75">
      <c r="A20" s="13" t="str">
        <v>CA: Selma - Citi</v>
      </c>
      <c r="B20" s="10" t="str">
        <v>CA</v>
      </c>
      <c r="C20" s="37">
        <f>SUM(Apr!C20, May!C20, Jun!C20)</f>
        <v>0</v>
      </c>
      <c r="D20" s="14">
        <f>SUM(Apr!D20, May!D20, Jun!D20)</f>
        <v>0</v>
      </c>
      <c r="E20" s="14">
        <f t="shared" si="3"/>
        <v>0</v>
      </c>
      <c r="F20" s="38" t="str">
        <f t="shared" si="4"/>
        <v/>
      </c>
      <c r="G20" s="39"/>
      <c r="H20" s="39">
        <f>SUM(Apr!H20, May!H20, Jun!H20)</f>
        <v>0</v>
      </c>
      <c r="I20" s="40" t="str">
        <f t="shared" si="5"/>
        <v/>
      </c>
    </row>
    <row r="21" spans="1:9" ht="15.75">
      <c r="A21" s="19" t="str">
        <v>CA: Vacaville Hospital</v>
      </c>
      <c r="B21" s="11" t="str">
        <v>CA</v>
      </c>
      <c r="C21" s="42">
        <f>SUM(Apr!C21, May!C21, Jun!C21)</f>
        <v>0</v>
      </c>
      <c r="D21" s="20">
        <f>SUM(Apr!D21, May!D21, Jun!D21)</f>
        <v>0</v>
      </c>
      <c r="E21" s="20">
        <f t="shared" si="3"/>
        <v>0</v>
      </c>
      <c r="F21" s="43" t="str">
        <f t="shared" si="4"/>
        <v/>
      </c>
      <c r="G21" s="44"/>
      <c r="H21" s="44">
        <f>SUM(Apr!H21, May!H21, Jun!H21)</f>
        <v>0</v>
      </c>
      <c r="I21" s="43" t="str">
        <f t="shared" si="5"/>
        <v/>
      </c>
    </row>
    <row r="22" spans="1:9" ht="15.75">
      <c r="A22" s="13" t="str">
        <v>CA: Manteca - KP Manteca Hospital</v>
      </c>
      <c r="B22" s="10" t="str">
        <v>CA</v>
      </c>
      <c r="C22" s="37"/>
      <c r="D22" s="14"/>
      <c r="E22" s="14"/>
      <c r="F22" s="38"/>
      <c r="G22" s="39"/>
      <c r="H22" s="39"/>
      <c r="I22" s="40"/>
    </row>
    <row r="23" spans="1:9">
      <c r="A23" s="23"/>
      <c r="B23" s="23"/>
      <c r="C23" s="23"/>
      <c r="D23" s="23"/>
      <c r="E23" s="23"/>
      <c r="F23" s="23"/>
      <c r="G23" s="23"/>
      <c r="H23" s="23"/>
      <c r="I23" s="23"/>
    </row>
    <row r="24" spans="1:9">
      <c r="A24" s="23"/>
      <c r="B24" s="23"/>
      <c r="C24" s="23"/>
      <c r="D24" s="23"/>
      <c r="E24" s="23"/>
      <c r="F24" s="23"/>
      <c r="G24" s="23"/>
      <c r="H24" s="23"/>
      <c r="I24" s="23"/>
    </row>
    <row r="25" spans="1:9">
      <c r="A25" s="23"/>
      <c r="B25" s="23"/>
      <c r="C25" s="23"/>
      <c r="D25" s="23"/>
      <c r="E25" s="23"/>
      <c r="F25" s="23"/>
      <c r="G25" s="23"/>
      <c r="H25" s="23"/>
      <c r="I25" s="23"/>
    </row>
    <row r="26" spans="1:9">
      <c r="A26" s="23"/>
      <c r="B26" s="23"/>
      <c r="C26" s="23"/>
      <c r="D26" s="23"/>
      <c r="E26" s="23"/>
      <c r="F26" s="23"/>
      <c r="G26" s="23"/>
      <c r="H26" s="23"/>
      <c r="I26" s="23"/>
    </row>
    <row r="27" spans="1:9">
      <c r="A27" s="23"/>
      <c r="B27" s="23"/>
      <c r="C27" s="23"/>
      <c r="D27" s="23"/>
      <c r="E27" s="23"/>
      <c r="F27" s="23"/>
      <c r="G27" s="23"/>
      <c r="H27" s="23"/>
      <c r="I27" s="23"/>
    </row>
    <row r="28" spans="1:9">
      <c r="A28" s="23"/>
      <c r="B28" s="23"/>
      <c r="C28" s="23"/>
      <c r="D28" s="23"/>
      <c r="E28" s="23"/>
      <c r="F28" s="23"/>
      <c r="G28" s="23"/>
      <c r="H28" s="23"/>
      <c r="I28" s="23"/>
    </row>
    <row r="29" spans="1:9">
      <c r="A29" s="23"/>
      <c r="B29" s="23"/>
      <c r="C29" s="23"/>
      <c r="D29" s="23"/>
      <c r="E29" s="23"/>
      <c r="F29" s="23"/>
      <c r="G29" s="23"/>
      <c r="H29" s="23"/>
      <c r="I29" s="23"/>
    </row>
    <row r="30" spans="1:9">
      <c r="A30" s="23"/>
      <c r="B30" s="23"/>
      <c r="C30" s="23"/>
      <c r="D30" s="23"/>
      <c r="E30" s="23"/>
      <c r="F30" s="23"/>
      <c r="G30" s="23"/>
      <c r="H30" s="23"/>
      <c r="I30" s="23"/>
    </row>
    <row r="31" spans="1:9">
      <c r="A31" s="23"/>
      <c r="B31" s="23"/>
      <c r="C31" s="23"/>
      <c r="D31" s="23"/>
      <c r="E31" s="23"/>
      <c r="F31" s="23"/>
      <c r="G31" s="23"/>
      <c r="H31" s="23"/>
      <c r="I31" s="23"/>
    </row>
    <row r="32" spans="1:9">
      <c r="A32" s="23"/>
      <c r="B32" s="23"/>
      <c r="C32" s="23"/>
      <c r="D32" s="23"/>
      <c r="E32" s="23"/>
      <c r="F32" s="23"/>
      <c r="G32" s="23"/>
      <c r="H32" s="23"/>
      <c r="I32" s="23"/>
    </row>
    <row r="33" spans="1:9">
      <c r="A33" s="23"/>
      <c r="B33" s="23"/>
      <c r="C33" s="23"/>
      <c r="D33" s="23"/>
      <c r="E33" s="23"/>
      <c r="F33" s="24"/>
      <c r="G33" s="23"/>
      <c r="H33" s="23"/>
      <c r="I33" s="24"/>
    </row>
    <row r="34" spans="1:9">
      <c r="A34" s="23"/>
      <c r="B34" s="23"/>
      <c r="C34" s="23"/>
      <c r="D34" s="23"/>
      <c r="E34" s="23"/>
      <c r="F34" s="24"/>
      <c r="G34" s="23"/>
      <c r="H34" s="23"/>
      <c r="I34" s="24"/>
    </row>
    <row r="35" spans="1:9">
      <c r="A35" s="23"/>
      <c r="B35" s="23"/>
      <c r="C35" s="23"/>
      <c r="D35" s="23"/>
      <c r="E35" s="23"/>
      <c r="F35" s="24"/>
      <c r="G35" s="23"/>
      <c r="H35" s="23"/>
      <c r="I35" s="24"/>
    </row>
    <row r="36" spans="1:9">
      <c r="A36" s="23"/>
      <c r="B36" s="23"/>
      <c r="C36" s="23"/>
      <c r="D36" s="23"/>
      <c r="E36" s="23"/>
      <c r="F36" s="24"/>
      <c r="G36" s="23"/>
      <c r="H36" s="23"/>
      <c r="I36" s="24"/>
    </row>
    <row r="37" spans="1:9">
      <c r="A37" s="23"/>
      <c r="B37" s="23"/>
      <c r="C37" s="23"/>
      <c r="D37" s="23"/>
      <c r="E37" s="23"/>
      <c r="F37" s="24"/>
      <c r="G37" s="23"/>
      <c r="H37" s="23"/>
      <c r="I37" s="24"/>
    </row>
    <row r="38" spans="1:9">
      <c r="A38" s="23"/>
      <c r="B38" s="23"/>
      <c r="C38" s="23"/>
      <c r="D38" s="23"/>
      <c r="E38" s="23"/>
      <c r="F38" s="24"/>
      <c r="G38" s="23"/>
      <c r="H38" s="23"/>
      <c r="I38" s="24"/>
    </row>
    <row r="39" spans="1:9">
      <c r="A39" s="23"/>
      <c r="B39" s="23"/>
      <c r="C39" s="23"/>
      <c r="D39" s="23"/>
      <c r="E39" s="23"/>
      <c r="F39" s="24"/>
      <c r="G39" s="23"/>
      <c r="H39" s="23"/>
      <c r="I39" s="24"/>
    </row>
    <row r="40" spans="1:9">
      <c r="A40" s="23"/>
      <c r="B40" s="23"/>
      <c r="C40" s="23"/>
      <c r="D40" s="23"/>
      <c r="E40" s="23"/>
      <c r="F40" s="24"/>
      <c r="G40" s="23"/>
      <c r="H40" s="23"/>
      <c r="I40" s="24"/>
    </row>
    <row r="41" spans="1:9">
      <c r="A41" s="23"/>
      <c r="B41" s="23"/>
      <c r="C41" s="23"/>
      <c r="D41" s="23"/>
      <c r="E41" s="23"/>
      <c r="F41" s="24"/>
      <c r="G41" s="23"/>
      <c r="H41" s="23"/>
      <c r="I41" s="24"/>
    </row>
    <row r="42" spans="1:9">
      <c r="A42" s="23"/>
      <c r="B42" s="23"/>
      <c r="C42" s="23"/>
      <c r="D42" s="23"/>
      <c r="E42" s="23"/>
      <c r="F42" s="24"/>
      <c r="G42" s="23"/>
      <c r="H42" s="23"/>
      <c r="I42" s="24"/>
    </row>
    <row r="43" spans="1:9">
      <c r="A43" s="23"/>
      <c r="B43" s="23"/>
      <c r="C43" s="23"/>
      <c r="D43" s="23"/>
      <c r="E43" s="23"/>
      <c r="F43" s="24"/>
      <c r="G43" s="23"/>
      <c r="H43" s="23"/>
      <c r="I43" s="24"/>
    </row>
    <row r="44" spans="1:9">
      <c r="A44" s="23"/>
      <c r="B44" s="23"/>
      <c r="C44" s="23"/>
      <c r="D44" s="23"/>
      <c r="E44" s="23"/>
      <c r="F44" s="24"/>
      <c r="G44" s="23"/>
      <c r="H44" s="23"/>
      <c r="I44" s="24"/>
    </row>
    <row r="45" spans="1:9">
      <c r="A45" s="23"/>
      <c r="B45" s="23"/>
      <c r="C45" s="23"/>
      <c r="D45" s="23"/>
      <c r="E45" s="23"/>
      <c r="F45" s="24"/>
      <c r="G45" s="23"/>
      <c r="H45" s="23"/>
      <c r="I45" s="24"/>
    </row>
    <row r="46" spans="1:9">
      <c r="A46" s="23"/>
      <c r="B46" s="23"/>
      <c r="C46" s="23"/>
      <c r="D46" s="23"/>
      <c r="E46" s="23"/>
      <c r="F46" s="24"/>
      <c r="G46" s="23"/>
      <c r="H46" s="23"/>
      <c r="I46" s="24"/>
    </row>
    <row r="47" spans="1:9">
      <c r="A47" s="23"/>
      <c r="B47" s="23"/>
      <c r="C47" s="23"/>
      <c r="D47" s="23"/>
      <c r="E47" s="23"/>
      <c r="F47" s="24"/>
      <c r="G47" s="23"/>
      <c r="H47" s="23"/>
      <c r="I47" s="24"/>
    </row>
    <row r="48" spans="1:9">
      <c r="A48" s="23"/>
      <c r="B48" s="23"/>
      <c r="C48" s="23"/>
      <c r="D48" s="23"/>
      <c r="E48" s="23"/>
      <c r="F48" s="24"/>
      <c r="G48" s="23"/>
      <c r="H48" s="23"/>
      <c r="I48" s="24"/>
    </row>
    <row r="49" spans="1:9">
      <c r="A49" s="23"/>
      <c r="B49" s="23"/>
      <c r="C49" s="23"/>
      <c r="D49" s="23"/>
      <c r="E49" s="23"/>
      <c r="F49" s="24"/>
      <c r="G49" s="23"/>
      <c r="H49" s="23"/>
      <c r="I49" s="24"/>
    </row>
    <row r="50" spans="1:9">
      <c r="A50" s="23"/>
      <c r="B50" s="23"/>
      <c r="C50" s="23"/>
      <c r="D50" s="23"/>
      <c r="E50" s="23"/>
      <c r="F50" s="24"/>
      <c r="G50" s="23"/>
      <c r="H50" s="23"/>
      <c r="I50" s="24"/>
    </row>
    <row r="51" spans="1:9">
      <c r="A51" s="23"/>
      <c r="B51" s="23"/>
      <c r="C51" s="23"/>
      <c r="D51" s="23"/>
      <c r="E51" s="23"/>
      <c r="F51" s="24"/>
      <c r="G51" s="23"/>
      <c r="H51" s="23"/>
      <c r="I51" s="24"/>
    </row>
    <row r="52" spans="1:9">
      <c r="A52" s="23"/>
      <c r="B52" s="23"/>
      <c r="C52" s="23"/>
      <c r="D52" s="23"/>
      <c r="E52" s="23"/>
      <c r="F52" s="24"/>
      <c r="G52" s="23"/>
      <c r="H52" s="23"/>
      <c r="I52" s="24"/>
    </row>
    <row r="53" spans="1:9">
      <c r="A53" s="23"/>
      <c r="B53" s="23"/>
      <c r="C53" s="23"/>
      <c r="D53" s="23"/>
      <c r="E53" s="23"/>
      <c r="F53" s="24"/>
      <c r="G53" s="23"/>
      <c r="H53" s="23"/>
      <c r="I53" s="24"/>
    </row>
    <row r="54" spans="1:9">
      <c r="A54" s="23"/>
      <c r="B54" s="23"/>
      <c r="C54" s="23"/>
      <c r="D54" s="23"/>
      <c r="E54" s="23"/>
      <c r="F54" s="24"/>
      <c r="G54" s="23"/>
      <c r="H54" s="23"/>
      <c r="I54" s="24"/>
    </row>
    <row r="55" spans="1:9">
      <c r="A55" s="23"/>
      <c r="B55" s="23"/>
      <c r="C55" s="23"/>
      <c r="D55" s="23"/>
      <c r="E55" s="23"/>
      <c r="F55" s="24"/>
      <c r="G55" s="23"/>
      <c r="H55" s="23"/>
      <c r="I55" s="24"/>
    </row>
    <row r="56" spans="1:9">
      <c r="A56" s="23"/>
      <c r="B56" s="23"/>
      <c r="C56" s="23"/>
      <c r="D56" s="23"/>
      <c r="E56" s="23"/>
      <c r="F56" s="24"/>
      <c r="G56" s="23"/>
      <c r="H56" s="23"/>
      <c r="I56" s="24"/>
    </row>
    <row r="57" spans="1:9">
      <c r="A57" s="23"/>
      <c r="B57" s="23"/>
      <c r="C57" s="23"/>
      <c r="D57" s="23"/>
      <c r="E57" s="23"/>
      <c r="F57" s="24"/>
      <c r="G57" s="23"/>
      <c r="H57" s="23"/>
      <c r="I57" s="24"/>
    </row>
    <row r="58" spans="1:9">
      <c r="A58" s="23"/>
      <c r="B58" s="23"/>
      <c r="C58" s="23"/>
      <c r="D58" s="23"/>
      <c r="E58" s="23"/>
      <c r="F58" s="24"/>
      <c r="G58" s="23"/>
      <c r="H58" s="23"/>
      <c r="I58" s="24"/>
    </row>
    <row r="59" spans="1:9">
      <c r="A59" s="23"/>
      <c r="B59" s="23"/>
      <c r="C59" s="23"/>
      <c r="D59" s="23"/>
      <c r="E59" s="23"/>
      <c r="F59" s="24"/>
      <c r="G59" s="23"/>
      <c r="H59" s="23"/>
      <c r="I59" s="24"/>
    </row>
    <row r="60" spans="1:9">
      <c r="A60" s="23"/>
      <c r="B60" s="23"/>
      <c r="C60" s="23"/>
      <c r="D60" s="23"/>
      <c r="E60" s="23"/>
      <c r="F60" s="24"/>
      <c r="G60" s="23"/>
      <c r="H60" s="23"/>
      <c r="I60" s="24"/>
    </row>
    <row r="61" spans="1:9">
      <c r="A61" s="23"/>
      <c r="B61" s="23"/>
      <c r="C61" s="23"/>
      <c r="D61" s="23"/>
      <c r="E61" s="23"/>
      <c r="F61" s="24"/>
      <c r="G61" s="23"/>
      <c r="H61" s="23"/>
      <c r="I61" s="24"/>
    </row>
    <row r="62" spans="1:9">
      <c r="A62" s="23"/>
      <c r="B62" s="23"/>
      <c r="C62" s="23"/>
      <c r="D62" s="23"/>
      <c r="E62" s="23"/>
      <c r="F62" s="24"/>
      <c r="G62" s="23"/>
      <c r="H62" s="23"/>
      <c r="I62" s="24"/>
    </row>
    <row r="63" spans="1:9">
      <c r="A63" s="23"/>
      <c r="B63" s="23"/>
      <c r="C63" s="23"/>
      <c r="D63" s="23"/>
      <c r="E63" s="23"/>
      <c r="F63" s="24"/>
      <c r="G63" s="23"/>
      <c r="H63" s="23"/>
      <c r="I63" s="24"/>
    </row>
    <row r="64" spans="1:9">
      <c r="A64" s="23"/>
      <c r="B64" s="23"/>
      <c r="C64" s="23"/>
      <c r="D64" s="23"/>
      <c r="E64" s="23"/>
      <c r="F64" s="24"/>
      <c r="G64" s="23"/>
      <c r="H64" s="23"/>
      <c r="I64" s="24"/>
    </row>
    <row r="65" spans="1:9">
      <c r="A65" s="23"/>
      <c r="B65" s="23"/>
      <c r="C65" s="23"/>
      <c r="D65" s="23"/>
      <c r="E65" s="23"/>
      <c r="F65" s="24"/>
      <c r="G65" s="23"/>
      <c r="H65" s="23"/>
      <c r="I65" s="24"/>
    </row>
    <row r="66" spans="1:9">
      <c r="A66" s="23"/>
      <c r="B66" s="23"/>
      <c r="C66" s="23"/>
      <c r="D66" s="23"/>
      <c r="E66" s="23"/>
      <c r="F66" s="24"/>
      <c r="G66" s="23"/>
      <c r="H66" s="23"/>
      <c r="I66" s="24"/>
    </row>
    <row r="67" spans="1:9">
      <c r="A67" s="23"/>
      <c r="B67" s="23"/>
      <c r="C67" s="23"/>
      <c r="D67" s="23"/>
      <c r="E67" s="23"/>
      <c r="F67" s="24"/>
      <c r="G67" s="23"/>
      <c r="H67" s="23"/>
      <c r="I67" s="24"/>
    </row>
    <row r="68" spans="1:9">
      <c r="A68" s="23"/>
      <c r="B68" s="23"/>
      <c r="C68" s="23"/>
      <c r="D68" s="23"/>
      <c r="E68" s="23"/>
      <c r="F68" s="24"/>
      <c r="G68" s="23"/>
      <c r="H68" s="23"/>
      <c r="I68" s="24"/>
    </row>
    <row r="69" spans="1:9">
      <c r="A69" s="23"/>
      <c r="B69" s="23"/>
      <c r="C69" s="23"/>
      <c r="D69" s="23"/>
      <c r="E69" s="23"/>
      <c r="F69" s="24"/>
      <c r="G69" s="23"/>
      <c r="H69" s="23"/>
      <c r="I69" s="24"/>
    </row>
    <row r="70" spans="1:9">
      <c r="A70" s="23"/>
      <c r="B70" s="23"/>
      <c r="C70" s="23"/>
      <c r="D70" s="23"/>
      <c r="E70" s="23"/>
      <c r="F70" s="24"/>
      <c r="G70" s="23"/>
      <c r="H70" s="23"/>
      <c r="I70" s="24"/>
    </row>
    <row r="71" spans="1:9">
      <c r="A71" s="23"/>
      <c r="B71" s="23"/>
      <c r="C71" s="23"/>
      <c r="D71" s="23"/>
      <c r="E71" s="23"/>
      <c r="F71" s="24"/>
      <c r="G71" s="23"/>
      <c r="H71" s="23"/>
      <c r="I71" s="24"/>
    </row>
    <row r="72" spans="1:9">
      <c r="A72" s="23"/>
      <c r="B72" s="23"/>
      <c r="C72" s="23"/>
      <c r="D72" s="23"/>
      <c r="E72" s="23"/>
      <c r="F72" s="24"/>
      <c r="G72" s="23"/>
      <c r="H72" s="23"/>
      <c r="I72" s="24"/>
    </row>
    <row r="73" spans="1:9">
      <c r="A73" s="23"/>
      <c r="B73" s="23"/>
      <c r="C73" s="23"/>
      <c r="D73" s="23"/>
      <c r="E73" s="23"/>
      <c r="F73" s="24"/>
      <c r="G73" s="23"/>
      <c r="H73" s="23"/>
      <c r="I73" s="24"/>
    </row>
    <row r="74" spans="1:9">
      <c r="A74" s="23"/>
      <c r="B74" s="23"/>
      <c r="C74" s="23"/>
      <c r="D74" s="23"/>
      <c r="E74" s="23"/>
      <c r="F74" s="24"/>
      <c r="G74" s="23"/>
      <c r="H74" s="23"/>
      <c r="I74" s="24"/>
    </row>
    <row r="75" spans="1:9">
      <c r="A75" s="23"/>
      <c r="B75" s="23"/>
      <c r="C75" s="23"/>
      <c r="D75" s="23"/>
      <c r="E75" s="23"/>
      <c r="F75" s="24"/>
      <c r="G75" s="23"/>
      <c r="H75" s="23"/>
      <c r="I75" s="24"/>
    </row>
    <row r="76" spans="1:9">
      <c r="A76" s="23"/>
      <c r="B76" s="23"/>
      <c r="C76" s="23"/>
      <c r="D76" s="23"/>
      <c r="E76" s="23"/>
      <c r="F76" s="24"/>
      <c r="G76" s="23"/>
      <c r="H76" s="23"/>
      <c r="I76" s="24"/>
    </row>
    <row r="77" spans="1:9">
      <c r="A77" s="23"/>
      <c r="B77" s="23"/>
      <c r="C77" s="23"/>
      <c r="D77" s="23"/>
      <c r="E77" s="23"/>
      <c r="F77" s="24"/>
      <c r="G77" s="23"/>
      <c r="H77" s="23"/>
      <c r="I77" s="24"/>
    </row>
    <row r="78" spans="1:9">
      <c r="A78" s="23"/>
      <c r="B78" s="23"/>
      <c r="C78" s="23"/>
      <c r="D78" s="23"/>
      <c r="E78" s="23"/>
      <c r="F78" s="24"/>
      <c r="G78" s="23"/>
      <c r="H78" s="23"/>
      <c r="I78" s="24"/>
    </row>
    <row r="79" spans="1:9">
      <c r="A79" s="23"/>
      <c r="B79" s="23"/>
      <c r="C79" s="23"/>
      <c r="D79" s="23"/>
      <c r="E79" s="23"/>
      <c r="F79" s="24"/>
      <c r="G79" s="23"/>
      <c r="H79" s="23"/>
      <c r="I79" s="24"/>
    </row>
    <row r="80" spans="1:9">
      <c r="A80" s="23"/>
      <c r="B80" s="23"/>
      <c r="C80" s="23"/>
      <c r="D80" s="23"/>
      <c r="E80" s="23"/>
      <c r="F80" s="24"/>
      <c r="G80" s="23"/>
      <c r="H80" s="23"/>
      <c r="I80" s="24"/>
    </row>
    <row r="81" spans="1:9">
      <c r="A81" s="23"/>
      <c r="B81" s="23"/>
      <c r="C81" s="23"/>
      <c r="D81" s="23"/>
      <c r="E81" s="23"/>
      <c r="F81" s="24"/>
      <c r="G81" s="23"/>
      <c r="H81" s="23"/>
      <c r="I81" s="24"/>
    </row>
    <row r="82" spans="1:9">
      <c r="A82" s="23"/>
      <c r="B82" s="23"/>
      <c r="C82" s="23"/>
      <c r="D82" s="23"/>
      <c r="E82" s="23"/>
      <c r="F82" s="24"/>
      <c r="G82" s="23"/>
      <c r="H82" s="23"/>
      <c r="I82" s="24"/>
    </row>
    <row r="83" spans="1:9">
      <c r="A83" s="23"/>
      <c r="B83" s="23"/>
      <c r="C83" s="23"/>
      <c r="D83" s="23"/>
      <c r="E83" s="23"/>
      <c r="F83" s="24"/>
      <c r="G83" s="23"/>
      <c r="H83" s="23"/>
      <c r="I83" s="24"/>
    </row>
    <row r="84" spans="1:9">
      <c r="A84" s="23"/>
      <c r="B84" s="23"/>
      <c r="C84" s="23"/>
      <c r="D84" s="23"/>
      <c r="E84" s="23"/>
      <c r="F84" s="24"/>
      <c r="G84" s="23"/>
      <c r="H84" s="23"/>
      <c r="I84" s="24"/>
    </row>
    <row r="85" spans="1:9">
      <c r="A85" s="23"/>
      <c r="B85" s="23"/>
      <c r="C85" s="23"/>
      <c r="D85" s="23"/>
      <c r="E85" s="23"/>
      <c r="F85" s="24"/>
      <c r="G85" s="23"/>
      <c r="H85" s="23"/>
      <c r="I85" s="24"/>
    </row>
    <row r="86" spans="1:9">
      <c r="A86" s="23"/>
      <c r="B86" s="23"/>
      <c r="C86" s="23"/>
      <c r="D86" s="23"/>
      <c r="E86" s="23"/>
      <c r="F86" s="24"/>
      <c r="G86" s="23"/>
      <c r="H86" s="23"/>
      <c r="I86" s="24"/>
    </row>
    <row r="87" spans="1:9">
      <c r="A87" s="23"/>
      <c r="B87" s="23"/>
      <c r="C87" s="23"/>
      <c r="D87" s="23"/>
      <c r="E87" s="23"/>
      <c r="F87" s="24"/>
      <c r="G87" s="23"/>
      <c r="H87" s="23"/>
      <c r="I87" s="24"/>
    </row>
    <row r="88" spans="1:9">
      <c r="A88" s="23"/>
      <c r="B88" s="23"/>
      <c r="C88" s="23"/>
      <c r="D88" s="23"/>
      <c r="E88" s="23"/>
      <c r="F88" s="24"/>
      <c r="G88" s="23"/>
      <c r="H88" s="23"/>
      <c r="I88" s="24"/>
    </row>
    <row r="89" spans="1:9">
      <c r="A89" s="23"/>
      <c r="B89" s="23"/>
      <c r="C89" s="23"/>
      <c r="D89" s="23"/>
      <c r="E89" s="23"/>
      <c r="F89" s="24"/>
      <c r="G89" s="23"/>
      <c r="H89" s="23"/>
      <c r="I89" s="24"/>
    </row>
    <row r="90" spans="1:9">
      <c r="A90" s="23"/>
      <c r="B90" s="23"/>
      <c r="C90" s="23"/>
      <c r="D90" s="23"/>
      <c r="E90" s="23"/>
      <c r="F90" s="24"/>
      <c r="G90" s="23"/>
      <c r="H90" s="23"/>
      <c r="I90" s="24"/>
    </row>
    <row r="91" spans="1:9">
      <c r="A91" s="23"/>
      <c r="B91" s="23"/>
      <c r="C91" s="23"/>
      <c r="D91" s="23"/>
      <c r="E91" s="23"/>
      <c r="F91" s="24"/>
      <c r="G91" s="23"/>
      <c r="H91" s="23"/>
      <c r="I91" s="24"/>
    </row>
    <row r="92" spans="1:9">
      <c r="A92" s="23"/>
      <c r="B92" s="23"/>
      <c r="C92" s="23"/>
      <c r="D92" s="23"/>
      <c r="E92" s="23"/>
      <c r="F92" s="24"/>
      <c r="G92" s="23"/>
      <c r="H92" s="23"/>
      <c r="I92" s="24"/>
    </row>
    <row r="93" spans="1:9">
      <c r="A93" s="23"/>
      <c r="B93" s="23"/>
      <c r="C93" s="23"/>
      <c r="D93" s="23"/>
      <c r="E93" s="23"/>
      <c r="F93" s="24"/>
      <c r="G93" s="23"/>
      <c r="H93" s="23"/>
      <c r="I93" s="24"/>
    </row>
    <row r="94" spans="1:9">
      <c r="A94" s="23"/>
      <c r="B94" s="23"/>
      <c r="C94" s="23"/>
      <c r="D94" s="23"/>
      <c r="E94" s="23"/>
      <c r="F94" s="24"/>
      <c r="G94" s="23"/>
      <c r="H94" s="23"/>
      <c r="I94" s="24"/>
    </row>
    <row r="95" spans="1:9">
      <c r="A95" s="23"/>
      <c r="B95" s="23"/>
      <c r="C95" s="23"/>
      <c r="D95" s="23"/>
      <c r="E95" s="23"/>
      <c r="F95" s="24"/>
      <c r="G95" s="23"/>
      <c r="H95" s="23"/>
      <c r="I95" s="24"/>
    </row>
    <row r="96" spans="1:9">
      <c r="A96" s="23"/>
      <c r="B96" s="23"/>
      <c r="C96" s="23"/>
      <c r="D96" s="23"/>
      <c r="E96" s="23"/>
      <c r="F96" s="24"/>
      <c r="G96" s="23"/>
      <c r="H96" s="23"/>
      <c r="I96" s="24"/>
    </row>
    <row r="97" spans="1:9">
      <c r="A97" s="23"/>
      <c r="B97" s="23"/>
      <c r="C97" s="23"/>
      <c r="D97" s="23"/>
      <c r="E97" s="23"/>
      <c r="F97" s="24"/>
      <c r="G97" s="23"/>
      <c r="H97" s="23"/>
      <c r="I97" s="24"/>
    </row>
    <row r="98" spans="1:9">
      <c r="A98" s="23"/>
      <c r="B98" s="23"/>
      <c r="C98" s="23"/>
      <c r="D98" s="23"/>
      <c r="E98" s="23"/>
      <c r="F98" s="24"/>
      <c r="G98" s="23"/>
      <c r="H98" s="23"/>
      <c r="I98" s="24"/>
    </row>
    <row r="99" spans="1:9">
      <c r="A99" s="23"/>
      <c r="B99" s="23"/>
      <c r="C99" s="23"/>
      <c r="D99" s="23"/>
      <c r="E99" s="23"/>
      <c r="F99" s="24"/>
      <c r="G99" s="23"/>
      <c r="H99" s="23"/>
      <c r="I99" s="24"/>
    </row>
    <row r="100" spans="1: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>
      <c r="A332" s="23"/>
      <c r="B332" s="23"/>
      <c r="C332" s="23"/>
      <c r="D332" s="23"/>
      <c r="E332" s="23"/>
      <c r="F332" s="24"/>
      <c r="G332" s="23"/>
      <c r="H332" s="23"/>
      <c r="I332" s="24"/>
    </row>
    <row r="333" spans="1:9">
      <c r="A333" s="23"/>
      <c r="B333" s="23"/>
      <c r="C333" s="23"/>
      <c r="D333" s="23"/>
      <c r="E333" s="23"/>
      <c r="F333" s="24"/>
      <c r="G333" s="23"/>
      <c r="H333" s="23"/>
      <c r="I333" s="24"/>
    </row>
    <row r="334" spans="1:9">
      <c r="A334" s="23"/>
      <c r="B334" s="23"/>
      <c r="C334" s="23"/>
      <c r="D334" s="23"/>
      <c r="E334" s="23"/>
      <c r="F334" s="24"/>
      <c r="G334" s="23"/>
      <c r="H334" s="23"/>
      <c r="I334" s="24"/>
    </row>
    <row r="335" spans="1:9">
      <c r="A335" s="23"/>
      <c r="B335" s="23"/>
      <c r="C335" s="23"/>
      <c r="D335" s="23"/>
      <c r="E335" s="23"/>
      <c r="F335" s="24"/>
      <c r="G335" s="23"/>
      <c r="H335" s="23"/>
      <c r="I335" s="24"/>
    </row>
    <row r="336" spans="1:9">
      <c r="A336" s="23"/>
      <c r="B336" s="23"/>
      <c r="C336" s="23"/>
      <c r="D336" s="23"/>
      <c r="E336" s="23"/>
      <c r="F336" s="24"/>
      <c r="G336" s="23"/>
      <c r="H336" s="23"/>
      <c r="I336" s="24"/>
    </row>
    <row r="337" spans="1:9">
      <c r="A337" s="23"/>
      <c r="B337" s="23"/>
      <c r="C337" s="23"/>
      <c r="D337" s="23"/>
      <c r="E337" s="23"/>
      <c r="F337" s="24"/>
      <c r="G337" s="23"/>
      <c r="H337" s="23"/>
      <c r="I337" s="24"/>
    </row>
    <row r="338" spans="1:9">
      <c r="A338" s="23"/>
      <c r="B338" s="23"/>
      <c r="C338" s="23"/>
      <c r="D338" s="23"/>
      <c r="E338" s="23"/>
      <c r="F338" s="24"/>
      <c r="G338" s="23"/>
      <c r="H338" s="23"/>
      <c r="I338" s="24"/>
    </row>
    <row r="339" spans="1:9">
      <c r="A339" s="23"/>
      <c r="B339" s="23"/>
      <c r="C339" s="23"/>
      <c r="D339" s="23"/>
      <c r="E339" s="23"/>
      <c r="F339" s="24"/>
      <c r="G339" s="23"/>
      <c r="H339" s="23"/>
      <c r="I339" s="24"/>
    </row>
    <row r="340" spans="1:9">
      <c r="A340" s="23"/>
      <c r="B340" s="23"/>
      <c r="C340" s="23"/>
      <c r="D340" s="23"/>
      <c r="E340" s="23"/>
      <c r="F340" s="24"/>
      <c r="G340" s="23"/>
      <c r="H340" s="23"/>
      <c r="I340" s="24"/>
    </row>
    <row r="341" spans="1:9">
      <c r="A341" s="23"/>
      <c r="B341" s="23"/>
      <c r="C341" s="23"/>
      <c r="D341" s="23"/>
      <c r="E341" s="23"/>
      <c r="F341" s="24"/>
      <c r="G341" s="23"/>
      <c r="H341" s="23"/>
      <c r="I341" s="24"/>
    </row>
    <row r="342" spans="1:9">
      <c r="A342" s="23"/>
      <c r="B342" s="23"/>
      <c r="C342" s="23"/>
      <c r="D342" s="23"/>
      <c r="E342" s="23"/>
      <c r="F342" s="24"/>
      <c r="G342" s="23"/>
      <c r="H342" s="23"/>
      <c r="I342" s="24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100 I4:I100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42"/>
  <sheetViews>
    <sheetView workbookViewId="0">
      <pane ySplit="2" topLeftCell="A3" activePane="bottomLeft" state="frozen"/>
      <selection pane="bottomLeft" activeCell="G23" sqref="G23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1" t="str" cm="1">
        <f t="array" ref="A1">portfolio</f>
        <v>CITI</v>
      </c>
      <c r="B1" s="61"/>
      <c r="C1" s="61"/>
      <c r="D1" s="62" t="s">
        <v>14</v>
      </c>
      <c r="E1" s="62"/>
      <c r="F1" s="62"/>
      <c r="G1" s="60" t="s">
        <v>15</v>
      </c>
      <c r="H1" s="60"/>
      <c r="I1" s="60"/>
    </row>
    <row r="2" spans="1:9" ht="19.5" customHeight="1">
      <c r="A2" s="63" t="s">
        <v>2</v>
      </c>
      <c r="B2" s="63"/>
      <c r="C2" s="6">
        <f>SUM(C4:C100)</f>
        <v>0</v>
      </c>
      <c r="D2" s="6">
        <f>SUM(D4:D100)</f>
        <v>0</v>
      </c>
      <c r="E2" s="6">
        <f>C2-D2</f>
        <v>0</v>
      </c>
      <c r="F2" s="7">
        <f>IFERROR(E2/D2, 0)</f>
        <v>0</v>
      </c>
      <c r="G2" s="6">
        <f>SUM(G4:G100)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49" t="s">
        <v>6</v>
      </c>
      <c r="E3" s="49" t="s">
        <v>7</v>
      </c>
      <c r="F3" s="50" t="s">
        <v>8</v>
      </c>
      <c r="G3" s="51" t="s">
        <v>9</v>
      </c>
      <c r="H3" s="52" t="s">
        <v>7</v>
      </c>
      <c r="I3" s="53" t="s">
        <v>8</v>
      </c>
    </row>
    <row r="4" spans="1:9" ht="15.75">
      <c r="A4" s="13" t="str" cm="1">
        <f t="array" ref="A4:A22">Sites[Site]</f>
        <v>CA: Antioch Deer Valley - Citi</v>
      </c>
      <c r="B4" s="10" t="str" cm="1">
        <f t="array" ref="B4:B22">Sites[State]</f>
        <v>CA</v>
      </c>
      <c r="C4" s="26">
        <f>SUM(Jul!C4, Aug!C4, Sep!C4)</f>
        <v>0</v>
      </c>
      <c r="D4" s="14">
        <f>SUM(Jul!D4, Aug!D4, Sep!D4)</f>
        <v>0</v>
      </c>
      <c r="E4" s="14">
        <f>IF(AND(ISNUMBER(C4),ISNUMBER(D4)), C4-D4, "")</f>
        <v>0</v>
      </c>
      <c r="F4" s="15" t="str">
        <f>IFERROR(E4/D4, "")</f>
        <v/>
      </c>
      <c r="G4" s="16"/>
      <c r="H4" s="16">
        <f>SUM(Jul!H4, Aug!H4, Sep!H4)</f>
        <v>0</v>
      </c>
      <c r="I4" s="17" t="str">
        <f>IFERROR(H4/G4, "")</f>
        <v/>
      </c>
    </row>
    <row r="5" spans="1:9" ht="15.75">
      <c r="A5" s="19" t="str">
        <v>CA: Antioch MC CUP - Citi</v>
      </c>
      <c r="B5" s="11" t="str">
        <v>CA</v>
      </c>
      <c r="C5" s="12">
        <f>SUM(Jul!C5, Aug!C5, Sep!C5)</f>
        <v>0</v>
      </c>
      <c r="D5" s="20">
        <f>SUM(Jul!D5, Aug!D5, Sep!D5)</f>
        <v>0</v>
      </c>
      <c r="E5" s="20">
        <f t="shared" ref="E5:E15" si="0">IF(AND(ISNUMBER(C5),ISNUMBER(D5)), C5-D5, "")</f>
        <v>0</v>
      </c>
      <c r="F5" s="21" t="str">
        <f>IFERROR(E5/D5, "")</f>
        <v/>
      </c>
      <c r="G5" s="22"/>
      <c r="H5" s="22">
        <f>SUM(Jul!H5, Aug!H5, Sep!H5)</f>
        <v>0</v>
      </c>
      <c r="I5" s="21" t="str">
        <f>IFERROR(H5/G5, "")</f>
        <v/>
      </c>
    </row>
    <row r="6" spans="1:9" ht="15.75">
      <c r="A6" s="13" t="str">
        <v>CA: Clovis - Citi</v>
      </c>
      <c r="B6" s="10" t="str">
        <v>CA</v>
      </c>
      <c r="C6" s="26">
        <f>SUM(Jul!C6, Aug!C6, Sep!C6)</f>
        <v>0</v>
      </c>
      <c r="D6" s="14">
        <f>SUM(Jul!D6, Aug!D6, Sep!D6)</f>
        <v>0</v>
      </c>
      <c r="E6" s="14">
        <f t="shared" si="0"/>
        <v>0</v>
      </c>
      <c r="F6" s="15" t="str">
        <f t="shared" ref="F6:F15" si="1">IFERROR(E6/D6, "")</f>
        <v/>
      </c>
      <c r="G6" s="16"/>
      <c r="H6" s="16">
        <f>SUM(Jul!H6, Aug!H6, Sep!H6)</f>
        <v>0</v>
      </c>
      <c r="I6" s="17" t="str">
        <f t="shared" ref="I6:I15" si="2">IFERROR(H6/G6, "")</f>
        <v/>
      </c>
    </row>
    <row r="7" spans="1:9" ht="15.75">
      <c r="A7" s="19" t="str">
        <v>CA: Elk Grove MOB - Citi</v>
      </c>
      <c r="B7" s="11" t="str">
        <v>CA</v>
      </c>
      <c r="C7" s="12">
        <f>SUM(Jul!C7, Aug!C7, Sep!C7)</f>
        <v>0</v>
      </c>
      <c r="D7" s="20">
        <f>SUM(Jul!D7, Aug!D7, Sep!D7)</f>
        <v>0</v>
      </c>
      <c r="E7" s="20">
        <f t="shared" si="0"/>
        <v>0</v>
      </c>
      <c r="F7" s="21" t="str">
        <f t="shared" si="1"/>
        <v/>
      </c>
      <c r="G7" s="22"/>
      <c r="H7" s="22">
        <f>SUM(Jul!H7, Aug!H7, Sep!H7)</f>
        <v>0</v>
      </c>
      <c r="I7" s="21" t="str">
        <f t="shared" si="2"/>
        <v/>
      </c>
    </row>
    <row r="8" spans="1:9" ht="15.75">
      <c r="A8" s="13" t="str">
        <v>CA: Elk Grove Promenade - Citi</v>
      </c>
      <c r="B8" s="10" t="str">
        <v>CA</v>
      </c>
      <c r="C8" s="26">
        <f>SUM(Jul!C8, Aug!C8, Sep!C8)</f>
        <v>0</v>
      </c>
      <c r="D8" s="14">
        <f>SUM(Jul!D8, Aug!D8, Sep!D8)</f>
        <v>0</v>
      </c>
      <c r="E8" s="14">
        <f t="shared" si="0"/>
        <v>0</v>
      </c>
      <c r="F8" s="15" t="str">
        <f t="shared" si="1"/>
        <v/>
      </c>
      <c r="G8" s="16"/>
      <c r="H8" s="16">
        <f>SUM(Jul!H8, Aug!H8, Sep!H8)</f>
        <v>0</v>
      </c>
      <c r="I8" s="17" t="str">
        <f t="shared" si="2"/>
        <v/>
      </c>
    </row>
    <row r="9" spans="1:9" ht="15.75">
      <c r="A9" s="19" t="str">
        <v>CA: Fresno Sequioa - Citi</v>
      </c>
      <c r="B9" s="11" t="str">
        <v>CA</v>
      </c>
      <c r="C9" s="12">
        <f>SUM(Jul!C9, Aug!C9, Sep!C9)</f>
        <v>0</v>
      </c>
      <c r="D9" s="20">
        <f>SUM(Jul!D9, Aug!D9, Sep!D9)</f>
        <v>0</v>
      </c>
      <c r="E9" s="20">
        <f t="shared" si="0"/>
        <v>0</v>
      </c>
      <c r="F9" s="21" t="str">
        <f t="shared" si="1"/>
        <v/>
      </c>
      <c r="G9" s="22"/>
      <c r="H9" s="22">
        <f>SUM(Jul!H9, Aug!H9, Sep!H9)</f>
        <v>0</v>
      </c>
      <c r="I9" s="21" t="str">
        <f t="shared" si="2"/>
        <v/>
      </c>
    </row>
    <row r="10" spans="1:9" ht="15.75">
      <c r="A10" s="13" t="str">
        <v>CA: Fresno MOB - Citi</v>
      </c>
      <c r="B10" s="10" t="str">
        <v>CA</v>
      </c>
      <c r="C10" s="26">
        <f>SUM(Jul!C10, Aug!C10, Sep!C10)</f>
        <v>0</v>
      </c>
      <c r="D10" s="14">
        <f>SUM(Jul!D10, Aug!D10, Sep!D10)</f>
        <v>0</v>
      </c>
      <c r="E10" s="14">
        <f t="shared" si="0"/>
        <v>0</v>
      </c>
      <c r="F10" s="15" t="str">
        <f t="shared" si="1"/>
        <v/>
      </c>
      <c r="G10" s="16"/>
      <c r="H10" s="16">
        <f>SUM(Jul!H10, Aug!H10, Sep!H10)</f>
        <v>0</v>
      </c>
      <c r="I10" s="17" t="str">
        <f t="shared" si="2"/>
        <v/>
      </c>
    </row>
    <row r="11" spans="1:9" ht="15.75">
      <c r="A11" s="19" t="str">
        <v>CA: Modesto Bangs - Citi</v>
      </c>
      <c r="B11" s="11" t="str">
        <v>CA</v>
      </c>
      <c r="C11" s="12">
        <f>SUM(Jul!C11, Aug!C11, Sep!C11)</f>
        <v>0</v>
      </c>
      <c r="D11" s="20">
        <f>SUM(Jul!D11, Aug!D11, Sep!D11)</f>
        <v>0</v>
      </c>
      <c r="E11" s="20">
        <f t="shared" si="0"/>
        <v>0</v>
      </c>
      <c r="F11" s="21" t="str">
        <f t="shared" si="1"/>
        <v/>
      </c>
      <c r="G11" s="22"/>
      <c r="H11" s="22">
        <f>SUM(Jul!H11, Aug!H11, Sep!H11)</f>
        <v>0</v>
      </c>
      <c r="I11" s="21" t="str">
        <f t="shared" si="2"/>
        <v/>
      </c>
    </row>
    <row r="12" spans="1:9" ht="15.75">
      <c r="A12" s="13" t="str">
        <v>CA: Napa Data Center - Citi</v>
      </c>
      <c r="B12" s="10" t="str">
        <v>CA</v>
      </c>
      <c r="C12" s="26">
        <f>SUM(Jul!C12, Aug!C12, Sep!C12)</f>
        <v>0</v>
      </c>
      <c r="D12" s="14">
        <f>SUM(Jul!D12, Aug!D12, Sep!D12)</f>
        <v>0</v>
      </c>
      <c r="E12" s="14">
        <f t="shared" si="0"/>
        <v>0</v>
      </c>
      <c r="F12" s="15" t="str">
        <f t="shared" si="1"/>
        <v/>
      </c>
      <c r="G12" s="16"/>
      <c r="H12" s="16">
        <f>SUM(Jul!H12, Aug!H12, Sep!H12)</f>
        <v>0</v>
      </c>
      <c r="I12" s="17" t="str">
        <f t="shared" si="2"/>
        <v/>
      </c>
    </row>
    <row r="13" spans="1:9" ht="15.75">
      <c r="A13" s="19" t="str">
        <v>CA: Petaluma MOB - Citi</v>
      </c>
      <c r="B13" s="11" t="str">
        <v>CA</v>
      </c>
      <c r="C13" s="12">
        <f>SUM(Jul!C13, Aug!C13, Sep!C13)</f>
        <v>0</v>
      </c>
      <c r="D13" s="20">
        <f>SUM(Jul!D13, Aug!D13, Sep!D13)</f>
        <v>0</v>
      </c>
      <c r="E13" s="20">
        <f t="shared" si="0"/>
        <v>0</v>
      </c>
      <c r="F13" s="21" t="str">
        <f t="shared" si="1"/>
        <v/>
      </c>
      <c r="G13" s="22"/>
      <c r="H13" s="22">
        <f>SUM(Jul!H13, Aug!H13, Sep!H13)</f>
        <v>0</v>
      </c>
      <c r="I13" s="21" t="str">
        <f t="shared" si="2"/>
        <v/>
      </c>
    </row>
    <row r="14" spans="1:9" ht="15.75">
      <c r="A14" s="13" t="str">
        <v>CA: Pleasanton Tec Ctr - Citi</v>
      </c>
      <c r="B14" s="10" t="str">
        <v>CA</v>
      </c>
      <c r="C14" s="26">
        <f>SUM(Jul!C14, Aug!C14, Sep!C14)</f>
        <v>0</v>
      </c>
      <c r="D14" s="14">
        <f>SUM(Jul!D14, Aug!D14, Sep!D14)</f>
        <v>0</v>
      </c>
      <c r="E14" s="14">
        <f t="shared" si="0"/>
        <v>0</v>
      </c>
      <c r="F14" s="15" t="str">
        <f t="shared" si="1"/>
        <v/>
      </c>
      <c r="G14" s="16"/>
      <c r="H14" s="16">
        <f>SUM(Jul!H14, Aug!H14, Sep!H14)</f>
        <v>0</v>
      </c>
      <c r="I14" s="17" t="str">
        <f t="shared" si="2"/>
        <v/>
      </c>
    </row>
    <row r="15" spans="1:9" ht="15.75">
      <c r="A15" s="19" t="str">
        <v>CA: Rancho Cordova - Citi</v>
      </c>
      <c r="B15" s="11" t="str">
        <v>CA</v>
      </c>
      <c r="C15" s="12">
        <f>SUM(Jul!C15, Aug!C15, Sep!C15)</f>
        <v>0</v>
      </c>
      <c r="D15" s="20">
        <f>SUM(Jul!D15, Aug!D15, Sep!D15)</f>
        <v>0</v>
      </c>
      <c r="E15" s="20">
        <f t="shared" si="0"/>
        <v>0</v>
      </c>
      <c r="F15" s="21" t="str">
        <f t="shared" si="1"/>
        <v/>
      </c>
      <c r="G15" s="22"/>
      <c r="H15" s="22">
        <f>SUM(Jul!H15, Aug!H15, Sep!H15)</f>
        <v>0</v>
      </c>
      <c r="I15" s="21" t="str">
        <f t="shared" si="2"/>
        <v/>
      </c>
    </row>
    <row r="16" spans="1:9" ht="15.75">
      <c r="A16" s="13" t="str">
        <v>CA: S Sacramento Wyndham - Citi</v>
      </c>
      <c r="B16" s="10" t="str">
        <v>CA</v>
      </c>
      <c r="C16" s="37">
        <f>SUM(Jul!C16, Aug!C16, Sep!C16)</f>
        <v>0</v>
      </c>
      <c r="D16" s="14">
        <f>SUM(Jul!D16, Aug!D16, Sep!D16)</f>
        <v>0</v>
      </c>
      <c r="E16" s="14">
        <f t="shared" ref="E16:E21" si="3">IF(AND(ISNUMBER(C16),ISNUMBER(D16)), C16-D16, "")</f>
        <v>0</v>
      </c>
      <c r="F16" s="38" t="str">
        <f t="shared" ref="F16:F21" si="4">IFERROR(E16/D16, "")</f>
        <v/>
      </c>
      <c r="G16" s="39"/>
      <c r="H16" s="39">
        <f>SUM(Jul!H16, Aug!H16, Sep!H16)</f>
        <v>0</v>
      </c>
      <c r="I16" s="40" t="str">
        <f t="shared" ref="I16:I21" si="5">IFERROR(H16/G16, "")</f>
        <v/>
      </c>
    </row>
    <row r="17" spans="1:9" ht="15.75">
      <c r="A17" s="19" t="str">
        <v>CA: Sacramento Point West - Citi</v>
      </c>
      <c r="B17" s="11" t="str">
        <v>CA</v>
      </c>
      <c r="C17" s="42">
        <f>SUM(Jul!C17, Aug!C17, Sep!C17)</f>
        <v>0</v>
      </c>
      <c r="D17" s="20">
        <f>SUM(Jul!D17, Aug!D17, Sep!D17)</f>
        <v>0</v>
      </c>
      <c r="E17" s="20">
        <f t="shared" si="3"/>
        <v>0</v>
      </c>
      <c r="F17" s="43" t="str">
        <f t="shared" si="4"/>
        <v/>
      </c>
      <c r="G17" s="44"/>
      <c r="H17" s="44">
        <f>SUM(Jul!H17, Aug!H17, Sep!H17)</f>
        <v>0</v>
      </c>
      <c r="I17" s="43" t="str">
        <f t="shared" si="5"/>
        <v/>
      </c>
    </row>
    <row r="18" spans="1:9" ht="12.75" customHeight="1">
      <c r="A18" s="13" t="str">
        <v>CA: San Jose FHC - Citi</v>
      </c>
      <c r="B18" s="10" t="str">
        <v>CA</v>
      </c>
      <c r="C18" s="37">
        <f>SUM(Jul!C18, Aug!C18, Sep!C18)</f>
        <v>0</v>
      </c>
      <c r="D18" s="14">
        <f>SUM(Jul!D18, Aug!D18, Sep!D18)</f>
        <v>0</v>
      </c>
      <c r="E18" s="14">
        <f t="shared" si="3"/>
        <v>0</v>
      </c>
      <c r="F18" s="38" t="str">
        <f t="shared" si="4"/>
        <v/>
      </c>
      <c r="G18" s="39"/>
      <c r="H18" s="39">
        <f>SUM(Jul!H18, Aug!H18, Sep!H18)</f>
        <v>0</v>
      </c>
      <c r="I18" s="40" t="str">
        <f t="shared" si="5"/>
        <v/>
      </c>
    </row>
    <row r="19" spans="1:9" ht="15.75">
      <c r="A19" s="19" t="str">
        <v>CA: San Jose MOB - Citi</v>
      </c>
      <c r="B19" s="11" t="str">
        <v>CA</v>
      </c>
      <c r="C19" s="42">
        <f>SUM(Jul!C19, Aug!C19, Sep!C19)</f>
        <v>0</v>
      </c>
      <c r="D19" s="20">
        <f>SUM(Jul!D19, Aug!D19, Sep!D19)</f>
        <v>0</v>
      </c>
      <c r="E19" s="20">
        <f t="shared" si="3"/>
        <v>0</v>
      </c>
      <c r="F19" s="43" t="str">
        <f t="shared" si="4"/>
        <v/>
      </c>
      <c r="G19" s="44"/>
      <c r="H19" s="44">
        <f>SUM(Jul!H19, Aug!H19, Sep!H19)</f>
        <v>0</v>
      </c>
      <c r="I19" s="43" t="str">
        <f t="shared" si="5"/>
        <v/>
      </c>
    </row>
    <row r="20" spans="1:9" ht="15.75">
      <c r="A20" s="13" t="str">
        <v>CA: Selma - Citi</v>
      </c>
      <c r="B20" s="10" t="str">
        <v>CA</v>
      </c>
      <c r="C20" s="37">
        <f>SUM(Jul!C20, Aug!C20, Sep!C20)</f>
        <v>0</v>
      </c>
      <c r="D20" s="14">
        <f>SUM(Jul!D20, Aug!D20, Sep!D20)</f>
        <v>0</v>
      </c>
      <c r="E20" s="14">
        <f t="shared" si="3"/>
        <v>0</v>
      </c>
      <c r="F20" s="38" t="str">
        <f t="shared" si="4"/>
        <v/>
      </c>
      <c r="G20" s="39"/>
      <c r="H20" s="39">
        <f>SUM(Jul!H20, Aug!H20, Sep!H20)</f>
        <v>0</v>
      </c>
      <c r="I20" s="40" t="str">
        <f t="shared" si="5"/>
        <v/>
      </c>
    </row>
    <row r="21" spans="1:9" ht="15.75">
      <c r="A21" s="19" t="str">
        <v>CA: Vacaville Hospital</v>
      </c>
      <c r="B21" s="11" t="str">
        <v>CA</v>
      </c>
      <c r="C21" s="42">
        <f>SUM(Jul!C21, Aug!C21, Sep!C21)</f>
        <v>0</v>
      </c>
      <c r="D21" s="20">
        <f>SUM(Jul!D21, Aug!D21, Sep!D21)</f>
        <v>0</v>
      </c>
      <c r="E21" s="20">
        <f t="shared" si="3"/>
        <v>0</v>
      </c>
      <c r="F21" s="43" t="str">
        <f t="shared" si="4"/>
        <v/>
      </c>
      <c r="G21" s="44"/>
      <c r="H21" s="44">
        <f>SUM(Jul!H21, Aug!H21, Sep!H21)</f>
        <v>0</v>
      </c>
      <c r="I21" s="43" t="str">
        <f t="shared" si="5"/>
        <v/>
      </c>
    </row>
    <row r="22" spans="1:9" ht="15.75">
      <c r="A22" s="13" t="str">
        <v>CA: Manteca - KP Manteca Hospital</v>
      </c>
      <c r="B22" s="10" t="str">
        <v>CA</v>
      </c>
      <c r="C22" s="37"/>
      <c r="D22" s="14"/>
      <c r="E22" s="14"/>
      <c r="F22" s="38"/>
      <c r="G22" s="39"/>
      <c r="H22" s="39"/>
      <c r="I22" s="40"/>
    </row>
    <row r="23" spans="1:9">
      <c r="A23" s="23"/>
      <c r="B23" s="23"/>
      <c r="C23" s="23"/>
      <c r="D23" s="23"/>
      <c r="E23" s="23"/>
      <c r="F23" s="23"/>
      <c r="G23" s="23"/>
      <c r="H23" s="23"/>
      <c r="I23" s="23"/>
    </row>
    <row r="24" spans="1:9">
      <c r="A24" s="23"/>
      <c r="B24" s="23"/>
      <c r="C24" s="23"/>
      <c r="D24" s="23"/>
      <c r="E24" s="23"/>
      <c r="F24" s="23"/>
      <c r="G24" s="23"/>
      <c r="H24" s="23"/>
      <c r="I24" s="23"/>
    </row>
    <row r="25" spans="1:9">
      <c r="A25" s="23"/>
      <c r="B25" s="23"/>
      <c r="C25" s="23"/>
      <c r="D25" s="23"/>
      <c r="E25" s="23"/>
      <c r="F25" s="23"/>
      <c r="G25" s="23"/>
      <c r="H25" s="23"/>
      <c r="I25" s="23"/>
    </row>
    <row r="26" spans="1:9">
      <c r="A26" s="23"/>
      <c r="B26" s="23"/>
      <c r="C26" s="23"/>
      <c r="D26" s="23"/>
      <c r="E26" s="23"/>
      <c r="F26" s="23"/>
      <c r="G26" s="23"/>
      <c r="H26" s="23"/>
      <c r="I26" s="23"/>
    </row>
    <row r="27" spans="1:9">
      <c r="A27" s="23"/>
      <c r="B27" s="23"/>
      <c r="C27" s="23"/>
      <c r="D27" s="23"/>
      <c r="E27" s="23"/>
      <c r="F27" s="23"/>
      <c r="G27" s="23"/>
      <c r="H27" s="23"/>
      <c r="I27" s="23"/>
    </row>
    <row r="28" spans="1:9">
      <c r="A28" s="23"/>
      <c r="B28" s="23"/>
      <c r="C28" s="23"/>
      <c r="D28" s="23"/>
      <c r="E28" s="23"/>
      <c r="F28" s="23"/>
      <c r="G28" s="23"/>
      <c r="H28" s="23"/>
      <c r="I28" s="23"/>
    </row>
    <row r="29" spans="1:9">
      <c r="A29" s="23"/>
      <c r="B29" s="23"/>
      <c r="C29" s="23"/>
      <c r="D29" s="23"/>
      <c r="E29" s="23"/>
      <c r="F29" s="23"/>
      <c r="G29" s="23"/>
      <c r="H29" s="23"/>
      <c r="I29" s="23"/>
    </row>
    <row r="30" spans="1:9">
      <c r="A30" s="23"/>
      <c r="B30" s="23"/>
      <c r="C30" s="23"/>
      <c r="D30" s="23"/>
      <c r="E30" s="23"/>
      <c r="F30" s="23"/>
      <c r="G30" s="23"/>
      <c r="H30" s="23"/>
      <c r="I30" s="23"/>
    </row>
    <row r="31" spans="1:9">
      <c r="A31" s="23"/>
      <c r="B31" s="23"/>
      <c r="C31" s="23"/>
      <c r="D31" s="23"/>
      <c r="E31" s="23"/>
      <c r="F31" s="23"/>
      <c r="G31" s="23"/>
      <c r="H31" s="23"/>
      <c r="I31" s="23"/>
    </row>
    <row r="32" spans="1:9">
      <c r="A32" s="23"/>
      <c r="B32" s="23"/>
      <c r="C32" s="23"/>
      <c r="D32" s="23"/>
      <c r="E32" s="23"/>
      <c r="F32" s="23"/>
      <c r="G32" s="23"/>
      <c r="H32" s="23"/>
      <c r="I32" s="23"/>
    </row>
    <row r="33" spans="1:9">
      <c r="A33" s="23"/>
      <c r="B33" s="23"/>
      <c r="C33" s="23"/>
      <c r="D33" s="23"/>
      <c r="E33" s="23"/>
      <c r="F33" s="24"/>
      <c r="G33" s="23"/>
      <c r="H33" s="23"/>
      <c r="I33" s="24"/>
    </row>
    <row r="34" spans="1:9">
      <c r="A34" s="23"/>
      <c r="B34" s="23"/>
      <c r="C34" s="23"/>
      <c r="D34" s="23"/>
      <c r="E34" s="23"/>
      <c r="F34" s="24"/>
      <c r="G34" s="23"/>
      <c r="H34" s="23"/>
      <c r="I34" s="24"/>
    </row>
    <row r="35" spans="1:9">
      <c r="A35" s="23"/>
      <c r="B35" s="23"/>
      <c r="C35" s="23"/>
      <c r="D35" s="23"/>
      <c r="E35" s="23"/>
      <c r="F35" s="24"/>
      <c r="G35" s="23"/>
      <c r="H35" s="23"/>
      <c r="I35" s="24"/>
    </row>
    <row r="36" spans="1:9">
      <c r="A36" s="23"/>
      <c r="B36" s="23"/>
      <c r="C36" s="23"/>
      <c r="D36" s="23"/>
      <c r="E36" s="23"/>
      <c r="F36" s="24"/>
      <c r="G36" s="23"/>
      <c r="H36" s="23"/>
      <c r="I36" s="24"/>
    </row>
    <row r="37" spans="1:9">
      <c r="A37" s="23"/>
      <c r="B37" s="23"/>
      <c r="C37" s="23"/>
      <c r="D37" s="23"/>
      <c r="E37" s="23"/>
      <c r="F37" s="24"/>
      <c r="G37" s="23"/>
      <c r="H37" s="23"/>
      <c r="I37" s="24"/>
    </row>
    <row r="38" spans="1:9">
      <c r="A38" s="23"/>
      <c r="B38" s="23"/>
      <c r="C38" s="23"/>
      <c r="D38" s="23"/>
      <c r="E38" s="23"/>
      <c r="F38" s="24"/>
      <c r="G38" s="23"/>
      <c r="H38" s="23"/>
      <c r="I38" s="24"/>
    </row>
    <row r="39" spans="1:9">
      <c r="A39" s="23"/>
      <c r="B39" s="23"/>
      <c r="C39" s="23"/>
      <c r="D39" s="23"/>
      <c r="E39" s="23"/>
      <c r="F39" s="24"/>
      <c r="G39" s="23"/>
      <c r="H39" s="23"/>
      <c r="I39" s="24"/>
    </row>
    <row r="40" spans="1:9">
      <c r="A40" s="23"/>
      <c r="B40" s="23"/>
      <c r="C40" s="23"/>
      <c r="D40" s="23"/>
      <c r="E40" s="23"/>
      <c r="F40" s="24"/>
      <c r="G40" s="23"/>
      <c r="H40" s="23"/>
      <c r="I40" s="24"/>
    </row>
    <row r="41" spans="1:9">
      <c r="A41" s="23"/>
      <c r="B41" s="23"/>
      <c r="C41" s="23"/>
      <c r="D41" s="23"/>
      <c r="E41" s="23"/>
      <c r="F41" s="24"/>
      <c r="G41" s="23"/>
      <c r="H41" s="23"/>
      <c r="I41" s="24"/>
    </row>
    <row r="42" spans="1:9">
      <c r="A42" s="23"/>
      <c r="B42" s="23"/>
      <c r="C42" s="23"/>
      <c r="D42" s="23"/>
      <c r="E42" s="23"/>
      <c r="F42" s="24"/>
      <c r="G42" s="23"/>
      <c r="H42" s="23"/>
      <c r="I42" s="24"/>
    </row>
    <row r="43" spans="1:9">
      <c r="A43" s="23"/>
      <c r="B43" s="23"/>
      <c r="C43" s="23"/>
      <c r="D43" s="23"/>
      <c r="E43" s="23"/>
      <c r="F43" s="24"/>
      <c r="G43" s="23"/>
      <c r="H43" s="23"/>
      <c r="I43" s="24"/>
    </row>
    <row r="44" spans="1:9">
      <c r="A44" s="23"/>
      <c r="B44" s="23"/>
      <c r="C44" s="23"/>
      <c r="D44" s="23"/>
      <c r="E44" s="23"/>
      <c r="F44" s="24"/>
      <c r="G44" s="23"/>
      <c r="H44" s="23"/>
      <c r="I44" s="24"/>
    </row>
    <row r="45" spans="1:9">
      <c r="A45" s="23"/>
      <c r="B45" s="23"/>
      <c r="C45" s="23"/>
      <c r="D45" s="23"/>
      <c r="E45" s="23"/>
      <c r="F45" s="24"/>
      <c r="G45" s="23"/>
      <c r="H45" s="23"/>
      <c r="I45" s="24"/>
    </row>
    <row r="46" spans="1:9">
      <c r="A46" s="23"/>
      <c r="B46" s="23"/>
      <c r="C46" s="23"/>
      <c r="D46" s="23"/>
      <c r="E46" s="23"/>
      <c r="F46" s="24"/>
      <c r="G46" s="23"/>
      <c r="H46" s="23"/>
      <c r="I46" s="24"/>
    </row>
    <row r="47" spans="1:9">
      <c r="A47" s="23"/>
      <c r="B47" s="23"/>
      <c r="C47" s="23"/>
      <c r="D47" s="23"/>
      <c r="E47" s="23"/>
      <c r="F47" s="24"/>
      <c r="G47" s="23"/>
      <c r="H47" s="23"/>
      <c r="I47" s="24"/>
    </row>
    <row r="48" spans="1:9">
      <c r="A48" s="23"/>
      <c r="B48" s="23"/>
      <c r="C48" s="23"/>
      <c r="D48" s="23"/>
      <c r="E48" s="23"/>
      <c r="F48" s="24"/>
      <c r="G48" s="23"/>
      <c r="H48" s="23"/>
      <c r="I48" s="24"/>
    </row>
    <row r="49" spans="1:9">
      <c r="A49" s="23"/>
      <c r="B49" s="23"/>
      <c r="C49" s="23"/>
      <c r="D49" s="23"/>
      <c r="E49" s="23"/>
      <c r="F49" s="24"/>
      <c r="G49" s="23"/>
      <c r="H49" s="23"/>
      <c r="I49" s="24"/>
    </row>
    <row r="50" spans="1:9">
      <c r="A50" s="23"/>
      <c r="B50" s="23"/>
      <c r="C50" s="23"/>
      <c r="D50" s="23"/>
      <c r="E50" s="23"/>
      <c r="F50" s="24"/>
      <c r="G50" s="23"/>
      <c r="H50" s="23"/>
      <c r="I50" s="24"/>
    </row>
    <row r="51" spans="1:9">
      <c r="A51" s="23"/>
      <c r="B51" s="23"/>
      <c r="C51" s="23"/>
      <c r="D51" s="23"/>
      <c r="E51" s="23"/>
      <c r="F51" s="24"/>
      <c r="G51" s="23"/>
      <c r="H51" s="23"/>
      <c r="I51" s="24"/>
    </row>
    <row r="52" spans="1:9">
      <c r="A52" s="23"/>
      <c r="B52" s="23"/>
      <c r="C52" s="23"/>
      <c r="D52" s="23"/>
      <c r="E52" s="23"/>
      <c r="F52" s="24"/>
      <c r="G52" s="23"/>
      <c r="H52" s="23"/>
      <c r="I52" s="24"/>
    </row>
    <row r="53" spans="1:9">
      <c r="A53" s="23"/>
      <c r="B53" s="23"/>
      <c r="C53" s="23"/>
      <c r="D53" s="23"/>
      <c r="E53" s="23"/>
      <c r="F53" s="24"/>
      <c r="G53" s="23"/>
      <c r="H53" s="23"/>
      <c r="I53" s="24"/>
    </row>
    <row r="54" spans="1:9">
      <c r="A54" s="23"/>
      <c r="B54" s="23"/>
      <c r="C54" s="23"/>
      <c r="D54" s="23"/>
      <c r="E54" s="23"/>
      <c r="F54" s="24"/>
      <c r="G54" s="23"/>
      <c r="H54" s="23"/>
      <c r="I54" s="24"/>
    </row>
    <row r="55" spans="1:9">
      <c r="A55" s="23"/>
      <c r="B55" s="23"/>
      <c r="C55" s="23"/>
      <c r="D55" s="23"/>
      <c r="E55" s="23"/>
      <c r="F55" s="24"/>
      <c r="G55" s="23"/>
      <c r="H55" s="23"/>
      <c r="I55" s="24"/>
    </row>
    <row r="56" spans="1:9">
      <c r="A56" s="23"/>
      <c r="B56" s="23"/>
      <c r="C56" s="23"/>
      <c r="D56" s="23"/>
      <c r="E56" s="23"/>
      <c r="F56" s="24"/>
      <c r="G56" s="23"/>
      <c r="H56" s="23"/>
      <c r="I56" s="24"/>
    </row>
    <row r="57" spans="1:9">
      <c r="A57" s="23"/>
      <c r="B57" s="23"/>
      <c r="C57" s="23"/>
      <c r="D57" s="23"/>
      <c r="E57" s="23"/>
      <c r="F57" s="24"/>
      <c r="G57" s="23"/>
      <c r="H57" s="23"/>
      <c r="I57" s="24"/>
    </row>
    <row r="58" spans="1:9">
      <c r="A58" s="23"/>
      <c r="B58" s="23"/>
      <c r="C58" s="23"/>
      <c r="D58" s="23"/>
      <c r="E58" s="23"/>
      <c r="F58" s="24"/>
      <c r="G58" s="23"/>
      <c r="H58" s="23"/>
      <c r="I58" s="24"/>
    </row>
    <row r="59" spans="1:9">
      <c r="A59" s="23"/>
      <c r="B59" s="23"/>
      <c r="C59" s="23"/>
      <c r="D59" s="23"/>
      <c r="E59" s="23"/>
      <c r="F59" s="24"/>
      <c r="G59" s="23"/>
      <c r="H59" s="23"/>
      <c r="I59" s="24"/>
    </row>
    <row r="60" spans="1:9">
      <c r="A60" s="23"/>
      <c r="B60" s="23"/>
      <c r="C60" s="23"/>
      <c r="D60" s="23"/>
      <c r="E60" s="23"/>
      <c r="F60" s="24"/>
      <c r="G60" s="23"/>
      <c r="H60" s="23"/>
      <c r="I60" s="24"/>
    </row>
    <row r="61" spans="1:9">
      <c r="A61" s="23"/>
      <c r="B61" s="23"/>
      <c r="C61" s="23"/>
      <c r="D61" s="23"/>
      <c r="E61" s="23"/>
      <c r="F61" s="24"/>
      <c r="G61" s="23"/>
      <c r="H61" s="23"/>
      <c r="I61" s="24"/>
    </row>
    <row r="62" spans="1:9">
      <c r="A62" s="23"/>
      <c r="B62" s="23"/>
      <c r="C62" s="23"/>
      <c r="D62" s="23"/>
      <c r="E62" s="23"/>
      <c r="F62" s="24"/>
      <c r="G62" s="23"/>
      <c r="H62" s="23"/>
      <c r="I62" s="24"/>
    </row>
    <row r="63" spans="1:9">
      <c r="A63" s="23"/>
      <c r="B63" s="23"/>
      <c r="C63" s="23"/>
      <c r="D63" s="23"/>
      <c r="E63" s="23"/>
      <c r="F63" s="24"/>
      <c r="G63" s="23"/>
      <c r="H63" s="23"/>
      <c r="I63" s="24"/>
    </row>
    <row r="64" spans="1:9">
      <c r="A64" s="23"/>
      <c r="B64" s="23"/>
      <c r="C64" s="23"/>
      <c r="D64" s="23"/>
      <c r="E64" s="23"/>
      <c r="F64" s="24"/>
      <c r="G64" s="23"/>
      <c r="H64" s="23"/>
      <c r="I64" s="24"/>
    </row>
    <row r="65" spans="1:9">
      <c r="A65" s="23"/>
      <c r="B65" s="23"/>
      <c r="C65" s="23"/>
      <c r="D65" s="23"/>
      <c r="E65" s="23"/>
      <c r="F65" s="24"/>
      <c r="G65" s="23"/>
      <c r="H65" s="23"/>
      <c r="I65" s="24"/>
    </row>
    <row r="66" spans="1:9">
      <c r="A66" s="23"/>
      <c r="B66" s="23"/>
      <c r="C66" s="23"/>
      <c r="D66" s="23"/>
      <c r="E66" s="23"/>
      <c r="F66" s="24"/>
      <c r="G66" s="23"/>
      <c r="H66" s="23"/>
      <c r="I66" s="24"/>
    </row>
    <row r="67" spans="1:9">
      <c r="A67" s="23"/>
      <c r="B67" s="23"/>
      <c r="C67" s="23"/>
      <c r="D67" s="23"/>
      <c r="E67" s="23"/>
      <c r="F67" s="24"/>
      <c r="G67" s="23"/>
      <c r="H67" s="23"/>
      <c r="I67" s="24"/>
    </row>
    <row r="68" spans="1:9">
      <c r="A68" s="23"/>
      <c r="B68" s="23"/>
      <c r="C68" s="23"/>
      <c r="D68" s="23"/>
      <c r="E68" s="23"/>
      <c r="F68" s="24"/>
      <c r="G68" s="23"/>
      <c r="H68" s="23"/>
      <c r="I68" s="24"/>
    </row>
    <row r="69" spans="1:9">
      <c r="A69" s="23"/>
      <c r="B69" s="23"/>
      <c r="C69" s="23"/>
      <c r="D69" s="23"/>
      <c r="E69" s="23"/>
      <c r="F69" s="24"/>
      <c r="G69" s="23"/>
      <c r="H69" s="23"/>
      <c r="I69" s="24"/>
    </row>
    <row r="70" spans="1:9">
      <c r="A70" s="23"/>
      <c r="B70" s="23"/>
      <c r="C70" s="23"/>
      <c r="D70" s="23"/>
      <c r="E70" s="23"/>
      <c r="F70" s="24"/>
      <c r="G70" s="23"/>
      <c r="H70" s="23"/>
      <c r="I70" s="24"/>
    </row>
    <row r="71" spans="1:9">
      <c r="A71" s="23"/>
      <c r="B71" s="23"/>
      <c r="C71" s="23"/>
      <c r="D71" s="23"/>
      <c r="E71" s="23"/>
      <c r="F71" s="24"/>
      <c r="G71" s="23"/>
      <c r="H71" s="23"/>
      <c r="I71" s="24"/>
    </row>
    <row r="72" spans="1:9">
      <c r="A72" s="23"/>
      <c r="B72" s="23"/>
      <c r="C72" s="23"/>
      <c r="D72" s="23"/>
      <c r="E72" s="23"/>
      <c r="F72" s="24"/>
      <c r="G72" s="23"/>
      <c r="H72" s="23"/>
      <c r="I72" s="24"/>
    </row>
    <row r="73" spans="1:9">
      <c r="A73" s="23"/>
      <c r="B73" s="23"/>
      <c r="C73" s="23"/>
      <c r="D73" s="23"/>
      <c r="E73" s="23"/>
      <c r="F73" s="24"/>
      <c r="G73" s="23"/>
      <c r="H73" s="23"/>
      <c r="I73" s="24"/>
    </row>
    <row r="74" spans="1:9">
      <c r="A74" s="23"/>
      <c r="B74" s="23"/>
      <c r="C74" s="23"/>
      <c r="D74" s="23"/>
      <c r="E74" s="23"/>
      <c r="F74" s="24"/>
      <c r="G74" s="23"/>
      <c r="H74" s="23"/>
      <c r="I74" s="24"/>
    </row>
    <row r="75" spans="1:9">
      <c r="A75" s="23"/>
      <c r="B75" s="23"/>
      <c r="C75" s="23"/>
      <c r="D75" s="23"/>
      <c r="E75" s="23"/>
      <c r="F75" s="24"/>
      <c r="G75" s="23"/>
      <c r="H75" s="23"/>
      <c r="I75" s="24"/>
    </row>
    <row r="76" spans="1:9">
      <c r="A76" s="23"/>
      <c r="B76" s="23"/>
      <c r="C76" s="23"/>
      <c r="D76" s="23"/>
      <c r="E76" s="23"/>
      <c r="F76" s="24"/>
      <c r="G76" s="23"/>
      <c r="H76" s="23"/>
      <c r="I76" s="24"/>
    </row>
    <row r="77" spans="1:9">
      <c r="A77" s="23"/>
      <c r="B77" s="23"/>
      <c r="C77" s="23"/>
      <c r="D77" s="23"/>
      <c r="E77" s="23"/>
      <c r="F77" s="24"/>
      <c r="G77" s="23"/>
      <c r="H77" s="23"/>
      <c r="I77" s="24"/>
    </row>
    <row r="78" spans="1:9">
      <c r="A78" s="23"/>
      <c r="B78" s="23"/>
      <c r="C78" s="23"/>
      <c r="D78" s="23"/>
      <c r="E78" s="23"/>
      <c r="F78" s="24"/>
      <c r="G78" s="23"/>
      <c r="H78" s="23"/>
      <c r="I78" s="24"/>
    </row>
    <row r="79" spans="1:9">
      <c r="A79" s="23"/>
      <c r="B79" s="23"/>
      <c r="C79" s="23"/>
      <c r="D79" s="23"/>
      <c r="E79" s="23"/>
      <c r="F79" s="24"/>
      <c r="G79" s="23"/>
      <c r="H79" s="23"/>
      <c r="I79" s="24"/>
    </row>
    <row r="80" spans="1:9">
      <c r="A80" s="23"/>
      <c r="B80" s="23"/>
      <c r="C80" s="23"/>
      <c r="D80" s="23"/>
      <c r="E80" s="23"/>
      <c r="F80" s="24"/>
      <c r="G80" s="23"/>
      <c r="H80" s="23"/>
      <c r="I80" s="24"/>
    </row>
    <row r="81" spans="1:9">
      <c r="A81" s="23"/>
      <c r="B81" s="23"/>
      <c r="C81" s="23"/>
      <c r="D81" s="23"/>
      <c r="E81" s="23"/>
      <c r="F81" s="24"/>
      <c r="G81" s="23"/>
      <c r="H81" s="23"/>
      <c r="I81" s="24"/>
    </row>
    <row r="82" spans="1:9">
      <c r="A82" s="23"/>
      <c r="B82" s="23"/>
      <c r="C82" s="23"/>
      <c r="D82" s="23"/>
      <c r="E82" s="23"/>
      <c r="F82" s="24"/>
      <c r="G82" s="23"/>
      <c r="H82" s="23"/>
      <c r="I82" s="24"/>
    </row>
    <row r="83" spans="1:9">
      <c r="A83" s="23"/>
      <c r="B83" s="23"/>
      <c r="C83" s="23"/>
      <c r="D83" s="23"/>
      <c r="E83" s="23"/>
      <c r="F83" s="24"/>
      <c r="G83" s="23"/>
      <c r="H83" s="23"/>
      <c r="I83" s="24"/>
    </row>
    <row r="84" spans="1:9">
      <c r="A84" s="23"/>
      <c r="B84" s="23"/>
      <c r="C84" s="23"/>
      <c r="D84" s="23"/>
      <c r="E84" s="23"/>
      <c r="F84" s="24"/>
      <c r="G84" s="23"/>
      <c r="H84" s="23"/>
      <c r="I84" s="24"/>
    </row>
    <row r="85" spans="1:9">
      <c r="A85" s="23"/>
      <c r="B85" s="23"/>
      <c r="C85" s="23"/>
      <c r="D85" s="23"/>
      <c r="E85" s="23"/>
      <c r="F85" s="24"/>
      <c r="G85" s="23"/>
      <c r="H85" s="23"/>
      <c r="I85" s="24"/>
    </row>
    <row r="86" spans="1:9">
      <c r="A86" s="23"/>
      <c r="B86" s="23"/>
      <c r="C86" s="23"/>
      <c r="D86" s="23"/>
      <c r="E86" s="23"/>
      <c r="F86" s="24"/>
      <c r="G86" s="23"/>
      <c r="H86" s="23"/>
      <c r="I86" s="24"/>
    </row>
    <row r="87" spans="1:9">
      <c r="A87" s="23"/>
      <c r="B87" s="23"/>
      <c r="C87" s="23"/>
      <c r="D87" s="23"/>
      <c r="E87" s="23"/>
      <c r="F87" s="24"/>
      <c r="G87" s="23"/>
      <c r="H87" s="23"/>
      <c r="I87" s="24"/>
    </row>
    <row r="88" spans="1:9">
      <c r="A88" s="23"/>
      <c r="B88" s="23"/>
      <c r="C88" s="23"/>
      <c r="D88" s="23"/>
      <c r="E88" s="23"/>
      <c r="F88" s="24"/>
      <c r="G88" s="23"/>
      <c r="H88" s="23"/>
      <c r="I88" s="24"/>
    </row>
    <row r="89" spans="1:9">
      <c r="A89" s="23"/>
      <c r="B89" s="23"/>
      <c r="C89" s="23"/>
      <c r="D89" s="23"/>
      <c r="E89" s="23"/>
      <c r="F89" s="24"/>
      <c r="G89" s="23"/>
      <c r="H89" s="23"/>
      <c r="I89" s="24"/>
    </row>
    <row r="90" spans="1:9">
      <c r="A90" s="23"/>
      <c r="B90" s="23"/>
      <c r="C90" s="23"/>
      <c r="D90" s="23"/>
      <c r="E90" s="23"/>
      <c r="F90" s="24"/>
      <c r="G90" s="23"/>
      <c r="H90" s="23"/>
      <c r="I90" s="24"/>
    </row>
    <row r="91" spans="1:9">
      <c r="A91" s="23"/>
      <c r="B91" s="23"/>
      <c r="C91" s="23"/>
      <c r="D91" s="23"/>
      <c r="E91" s="23"/>
      <c r="F91" s="24"/>
      <c r="G91" s="23"/>
      <c r="H91" s="23"/>
      <c r="I91" s="24"/>
    </row>
    <row r="92" spans="1:9">
      <c r="A92" s="23"/>
      <c r="B92" s="23"/>
      <c r="C92" s="23"/>
      <c r="D92" s="23"/>
      <c r="E92" s="23"/>
      <c r="F92" s="24"/>
      <c r="G92" s="23"/>
      <c r="H92" s="23"/>
      <c r="I92" s="24"/>
    </row>
    <row r="93" spans="1:9">
      <c r="A93" s="23"/>
      <c r="B93" s="23"/>
      <c r="C93" s="23"/>
      <c r="D93" s="23"/>
      <c r="E93" s="23"/>
      <c r="F93" s="24"/>
      <c r="G93" s="23"/>
      <c r="H93" s="23"/>
      <c r="I93" s="24"/>
    </row>
    <row r="94" spans="1:9">
      <c r="A94" s="23"/>
      <c r="B94" s="23"/>
      <c r="C94" s="23"/>
      <c r="D94" s="23"/>
      <c r="E94" s="23"/>
      <c r="F94" s="24"/>
      <c r="G94" s="23"/>
      <c r="H94" s="23"/>
      <c r="I94" s="24"/>
    </row>
    <row r="95" spans="1:9">
      <c r="A95" s="23"/>
      <c r="B95" s="23"/>
      <c r="C95" s="23"/>
      <c r="D95" s="23"/>
      <c r="E95" s="23"/>
      <c r="F95" s="24"/>
      <c r="G95" s="23"/>
      <c r="H95" s="23"/>
      <c r="I95" s="24"/>
    </row>
    <row r="96" spans="1:9">
      <c r="A96" s="23"/>
      <c r="B96" s="23"/>
      <c r="C96" s="23"/>
      <c r="D96" s="23"/>
      <c r="E96" s="23"/>
      <c r="F96" s="24"/>
      <c r="G96" s="23"/>
      <c r="H96" s="23"/>
      <c r="I96" s="24"/>
    </row>
    <row r="97" spans="1:9">
      <c r="A97" s="23"/>
      <c r="B97" s="23"/>
      <c r="C97" s="23"/>
      <c r="D97" s="23"/>
      <c r="E97" s="23"/>
      <c r="F97" s="24"/>
      <c r="G97" s="23"/>
      <c r="H97" s="23"/>
      <c r="I97" s="24"/>
    </row>
    <row r="98" spans="1:9">
      <c r="A98" s="23"/>
      <c r="B98" s="23"/>
      <c r="C98" s="23"/>
      <c r="D98" s="23"/>
      <c r="E98" s="23"/>
      <c r="F98" s="24"/>
      <c r="G98" s="23"/>
      <c r="H98" s="23"/>
      <c r="I98" s="24"/>
    </row>
    <row r="99" spans="1:9">
      <c r="A99" s="23"/>
      <c r="B99" s="23"/>
      <c r="C99" s="23"/>
      <c r="D99" s="23"/>
      <c r="E99" s="23"/>
      <c r="F99" s="24"/>
      <c r="G99" s="23"/>
      <c r="H99" s="23"/>
      <c r="I99" s="24"/>
    </row>
    <row r="100" spans="1: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>
      <c r="A332" s="23"/>
      <c r="B332" s="23"/>
      <c r="C332" s="23"/>
      <c r="D332" s="23"/>
      <c r="E332" s="23"/>
      <c r="F332" s="24"/>
      <c r="G332" s="23"/>
      <c r="H332" s="23"/>
      <c r="I332" s="24"/>
    </row>
    <row r="333" spans="1:9">
      <c r="A333" s="23"/>
      <c r="B333" s="23"/>
      <c r="C333" s="23"/>
      <c r="D333" s="23"/>
      <c r="E333" s="23"/>
      <c r="F333" s="24"/>
      <c r="G333" s="23"/>
      <c r="H333" s="23"/>
      <c r="I333" s="24"/>
    </row>
    <row r="334" spans="1:9">
      <c r="A334" s="23"/>
      <c r="B334" s="23"/>
      <c r="C334" s="23"/>
      <c r="D334" s="23"/>
      <c r="E334" s="23"/>
      <c r="F334" s="24"/>
      <c r="G334" s="23"/>
      <c r="H334" s="23"/>
      <c r="I334" s="24"/>
    </row>
    <row r="335" spans="1:9">
      <c r="A335" s="23"/>
      <c r="B335" s="23"/>
      <c r="C335" s="23"/>
      <c r="D335" s="23"/>
      <c r="E335" s="23"/>
      <c r="F335" s="24"/>
      <c r="G335" s="23"/>
      <c r="H335" s="23"/>
      <c r="I335" s="24"/>
    </row>
    <row r="336" spans="1:9">
      <c r="A336" s="23"/>
      <c r="B336" s="23"/>
      <c r="C336" s="23"/>
      <c r="D336" s="23"/>
      <c r="E336" s="23"/>
      <c r="F336" s="24"/>
      <c r="G336" s="23"/>
      <c r="H336" s="23"/>
      <c r="I336" s="24"/>
    </row>
    <row r="337" spans="1:9">
      <c r="A337" s="23"/>
      <c r="B337" s="23"/>
      <c r="C337" s="23"/>
      <c r="D337" s="23"/>
      <c r="E337" s="23"/>
      <c r="F337" s="24"/>
      <c r="G337" s="23"/>
      <c r="H337" s="23"/>
      <c r="I337" s="24"/>
    </row>
    <row r="338" spans="1:9">
      <c r="A338" s="23"/>
      <c r="B338" s="23"/>
      <c r="C338" s="23"/>
      <c r="D338" s="23"/>
      <c r="E338" s="23"/>
      <c r="F338" s="24"/>
      <c r="G338" s="23"/>
      <c r="H338" s="23"/>
      <c r="I338" s="24"/>
    </row>
    <row r="339" spans="1:9">
      <c r="A339" s="23"/>
      <c r="B339" s="23"/>
      <c r="C339" s="23"/>
      <c r="D339" s="23"/>
      <c r="E339" s="23"/>
      <c r="F339" s="24"/>
      <c r="G339" s="23"/>
      <c r="H339" s="23"/>
      <c r="I339" s="24"/>
    </row>
    <row r="340" spans="1:9">
      <c r="A340" s="23"/>
      <c r="B340" s="23"/>
      <c r="C340" s="23"/>
      <c r="D340" s="23"/>
      <c r="E340" s="23"/>
      <c r="F340" s="24"/>
      <c r="G340" s="23"/>
      <c r="H340" s="23"/>
      <c r="I340" s="24"/>
    </row>
    <row r="341" spans="1:9">
      <c r="A341" s="23"/>
      <c r="B341" s="23"/>
      <c r="C341" s="23"/>
      <c r="D341" s="23"/>
      <c r="E341" s="23"/>
      <c r="F341" s="24"/>
      <c r="G341" s="23"/>
      <c r="H341" s="23"/>
      <c r="I341" s="24"/>
    </row>
    <row r="342" spans="1:9">
      <c r="A342" s="23"/>
      <c r="B342" s="23"/>
      <c r="C342" s="23"/>
      <c r="D342" s="23"/>
      <c r="E342" s="23"/>
      <c r="F342" s="24"/>
      <c r="G342" s="23"/>
      <c r="H342" s="23"/>
      <c r="I342" s="24"/>
    </row>
  </sheetData>
  <mergeCells count="4">
    <mergeCell ref="G1:I1"/>
    <mergeCell ref="A1:C1"/>
    <mergeCell ref="D1:F1"/>
    <mergeCell ref="A2:B2"/>
  </mergeCells>
  <conditionalFormatting sqref="F2 I2 F4:F100 I4:I100">
    <cfRule type="cellIs" dxfId="28" priority="1" stopIfTrue="1" operator="lessThanOrEqual">
      <formula>-0.1</formula>
    </cfRule>
    <cfRule type="expression" dxfId="2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42"/>
  <sheetViews>
    <sheetView workbookViewId="0">
      <pane ySplit="2" topLeftCell="A3" activePane="bottomLeft" state="frozen"/>
      <selection pane="bottomLeft" activeCell="A22" sqref="A22:XFD22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1" t="str" cm="1">
        <f t="array" ref="A1">portfolio</f>
        <v>CITI</v>
      </c>
      <c r="B1" s="61"/>
      <c r="C1" s="61"/>
      <c r="D1" s="62" t="s">
        <v>16</v>
      </c>
      <c r="E1" s="62"/>
      <c r="F1" s="62"/>
      <c r="G1" s="60" t="s">
        <v>17</v>
      </c>
      <c r="H1" s="60"/>
      <c r="I1" s="60"/>
    </row>
    <row r="2" spans="1:9" ht="19.5" customHeight="1">
      <c r="A2" s="63" t="s">
        <v>2</v>
      </c>
      <c r="B2" s="63"/>
      <c r="C2" s="6">
        <f>SUM(C4:C100)</f>
        <v>0</v>
      </c>
      <c r="D2" s="6">
        <f>SUM(D4:D100)</f>
        <v>0</v>
      </c>
      <c r="E2" s="6">
        <f>C2-D2</f>
        <v>0</v>
      </c>
      <c r="F2" s="7">
        <f>IFERROR(E2/D2, 0)</f>
        <v>0</v>
      </c>
      <c r="G2" s="6">
        <f>SUM(G4:G100)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49" t="s">
        <v>6</v>
      </c>
      <c r="E3" s="49" t="s">
        <v>7</v>
      </c>
      <c r="F3" s="50" t="s">
        <v>8</v>
      </c>
      <c r="G3" s="51" t="s">
        <v>9</v>
      </c>
      <c r="H3" s="52" t="s">
        <v>7</v>
      </c>
      <c r="I3" s="53" t="s">
        <v>8</v>
      </c>
    </row>
    <row r="4" spans="1:9" ht="15.75">
      <c r="A4" s="13" t="str" cm="1">
        <f t="array" ref="A4:A22">Sites[Site]</f>
        <v>CA: Antioch Deer Valley - Citi</v>
      </c>
      <c r="B4" s="10" t="str" cm="1">
        <f t="array" ref="B4:B22">Sites[State]</f>
        <v>CA</v>
      </c>
      <c r="C4" s="26">
        <f>SUM(Oct!C4, Nov!C4, Dec!C4)</f>
        <v>0</v>
      </c>
      <c r="D4" s="14">
        <f>SUM(Oct!D4, Nov!D4, Dec!D4)</f>
        <v>0</v>
      </c>
      <c r="E4" s="14">
        <f>IF(AND(ISNUMBER(C4),ISNUMBER(D4)), C4-D4, "")</f>
        <v>0</v>
      </c>
      <c r="F4" s="15" t="str">
        <f>IFERROR(E4/D4, "")</f>
        <v/>
      </c>
      <c r="G4" s="16"/>
      <c r="H4" s="16">
        <f>SUM(Oct!H4, Nov!H4, Dec!H4)</f>
        <v>0</v>
      </c>
      <c r="I4" s="17" t="str">
        <f>IFERROR(H4/G4, "")</f>
        <v/>
      </c>
    </row>
    <row r="5" spans="1:9" ht="15.75">
      <c r="A5" s="19" t="str">
        <v>CA: Antioch MC CUP - Citi</v>
      </c>
      <c r="B5" s="11" t="str">
        <v>CA</v>
      </c>
      <c r="C5" s="12">
        <f>SUM(Oct!C5, Nov!C5, Dec!C5)</f>
        <v>0</v>
      </c>
      <c r="D5" s="20">
        <f>SUM(Oct!D5, Nov!D5, Dec!D5)</f>
        <v>0</v>
      </c>
      <c r="E5" s="20">
        <f t="shared" ref="E5:E15" si="0">IF(AND(ISNUMBER(C5),ISNUMBER(D5)), C5-D5, "")</f>
        <v>0</v>
      </c>
      <c r="F5" s="21" t="str">
        <f>IFERROR(E5/D5, "")</f>
        <v/>
      </c>
      <c r="G5" s="22"/>
      <c r="H5" s="22">
        <f>SUM(Oct!H5, Nov!H5, Dec!H5)</f>
        <v>0</v>
      </c>
      <c r="I5" s="21" t="str">
        <f>IFERROR(H5/G5, "")</f>
        <v/>
      </c>
    </row>
    <row r="6" spans="1:9" ht="15.75">
      <c r="A6" s="13" t="str">
        <v>CA: Clovis - Citi</v>
      </c>
      <c r="B6" s="10" t="str">
        <v>CA</v>
      </c>
      <c r="C6" s="26">
        <f>SUM(Oct!C6, Nov!C6, Dec!C6)</f>
        <v>0</v>
      </c>
      <c r="D6" s="14">
        <f>SUM(Oct!D6, Nov!D6, Dec!D6)</f>
        <v>0</v>
      </c>
      <c r="E6" s="14">
        <f t="shared" si="0"/>
        <v>0</v>
      </c>
      <c r="F6" s="15" t="str">
        <f t="shared" ref="F6:F15" si="1">IFERROR(E6/D6, "")</f>
        <v/>
      </c>
      <c r="G6" s="16"/>
      <c r="H6" s="16">
        <f>SUM(Oct!H6, Nov!H6, Dec!H6)</f>
        <v>0</v>
      </c>
      <c r="I6" s="17" t="str">
        <f t="shared" ref="I6:I15" si="2">IFERROR(H6/G6, "")</f>
        <v/>
      </c>
    </row>
    <row r="7" spans="1:9" ht="15.75">
      <c r="A7" s="19" t="str">
        <v>CA: Elk Grove MOB - Citi</v>
      </c>
      <c r="B7" s="11" t="str">
        <v>CA</v>
      </c>
      <c r="C7" s="12">
        <f>SUM(Oct!C7, Nov!C7, Dec!C7)</f>
        <v>0</v>
      </c>
      <c r="D7" s="20">
        <f>SUM(Oct!D7, Nov!D7, Dec!D7)</f>
        <v>0</v>
      </c>
      <c r="E7" s="20">
        <f t="shared" si="0"/>
        <v>0</v>
      </c>
      <c r="F7" s="21" t="str">
        <f t="shared" si="1"/>
        <v/>
      </c>
      <c r="G7" s="22"/>
      <c r="H7" s="22">
        <f>SUM(Oct!H7, Nov!H7, Dec!H7)</f>
        <v>0</v>
      </c>
      <c r="I7" s="21" t="str">
        <f t="shared" si="2"/>
        <v/>
      </c>
    </row>
    <row r="8" spans="1:9" ht="15.75">
      <c r="A8" s="13" t="str">
        <v>CA: Elk Grove Promenade - Citi</v>
      </c>
      <c r="B8" s="10" t="str">
        <v>CA</v>
      </c>
      <c r="C8" s="26">
        <f>SUM(Oct!C8, Nov!C8, Dec!C8)</f>
        <v>0</v>
      </c>
      <c r="D8" s="14">
        <f>SUM(Oct!D8, Nov!D8, Dec!D8)</f>
        <v>0</v>
      </c>
      <c r="E8" s="14">
        <f t="shared" si="0"/>
        <v>0</v>
      </c>
      <c r="F8" s="15" t="str">
        <f t="shared" si="1"/>
        <v/>
      </c>
      <c r="G8" s="16"/>
      <c r="H8" s="16">
        <f>SUM(Oct!H8, Nov!H8, Dec!H8)</f>
        <v>0</v>
      </c>
      <c r="I8" s="17" t="str">
        <f t="shared" si="2"/>
        <v/>
      </c>
    </row>
    <row r="9" spans="1:9" ht="15.75">
      <c r="A9" s="19" t="str">
        <v>CA: Fresno Sequioa - Citi</v>
      </c>
      <c r="B9" s="11" t="str">
        <v>CA</v>
      </c>
      <c r="C9" s="12">
        <f>SUM(Oct!C9, Nov!C9, Dec!C9)</f>
        <v>0</v>
      </c>
      <c r="D9" s="20">
        <f>SUM(Oct!D9, Nov!D9, Dec!D9)</f>
        <v>0</v>
      </c>
      <c r="E9" s="20">
        <f t="shared" si="0"/>
        <v>0</v>
      </c>
      <c r="F9" s="21" t="str">
        <f t="shared" si="1"/>
        <v/>
      </c>
      <c r="G9" s="22"/>
      <c r="H9" s="22">
        <f>SUM(Oct!H9, Nov!H9, Dec!H9)</f>
        <v>0</v>
      </c>
      <c r="I9" s="21" t="str">
        <f t="shared" si="2"/>
        <v/>
      </c>
    </row>
    <row r="10" spans="1:9" ht="15.75">
      <c r="A10" s="13" t="str">
        <v>CA: Fresno MOB - Citi</v>
      </c>
      <c r="B10" s="10" t="str">
        <v>CA</v>
      </c>
      <c r="C10" s="26">
        <f>SUM(Oct!C10, Nov!C10, Dec!C10)</f>
        <v>0</v>
      </c>
      <c r="D10" s="14">
        <f>SUM(Oct!D10, Nov!D10, Dec!D10)</f>
        <v>0</v>
      </c>
      <c r="E10" s="14">
        <f t="shared" si="0"/>
        <v>0</v>
      </c>
      <c r="F10" s="15" t="str">
        <f t="shared" si="1"/>
        <v/>
      </c>
      <c r="G10" s="16"/>
      <c r="H10" s="16">
        <f>SUM(Oct!H10, Nov!H10, Dec!H10)</f>
        <v>0</v>
      </c>
      <c r="I10" s="17" t="str">
        <f t="shared" si="2"/>
        <v/>
      </c>
    </row>
    <row r="11" spans="1:9" ht="15.75">
      <c r="A11" s="19" t="str">
        <v>CA: Modesto Bangs - Citi</v>
      </c>
      <c r="B11" s="11" t="str">
        <v>CA</v>
      </c>
      <c r="C11" s="12">
        <f>SUM(Oct!C11, Nov!C11, Dec!C11)</f>
        <v>0</v>
      </c>
      <c r="D11" s="20">
        <f>SUM(Oct!D11, Nov!D11, Dec!D11)</f>
        <v>0</v>
      </c>
      <c r="E11" s="20">
        <f t="shared" si="0"/>
        <v>0</v>
      </c>
      <c r="F11" s="21" t="str">
        <f t="shared" si="1"/>
        <v/>
      </c>
      <c r="G11" s="22"/>
      <c r="H11" s="22">
        <f>SUM(Oct!H11, Nov!H11, Dec!H11)</f>
        <v>0</v>
      </c>
      <c r="I11" s="21" t="str">
        <f t="shared" si="2"/>
        <v/>
      </c>
    </row>
    <row r="12" spans="1:9" ht="15.75">
      <c r="A12" s="13" t="str">
        <v>CA: Napa Data Center - Citi</v>
      </c>
      <c r="B12" s="10" t="str">
        <v>CA</v>
      </c>
      <c r="C12" s="26">
        <f>SUM(Oct!C12, Nov!C12, Dec!C12)</f>
        <v>0</v>
      </c>
      <c r="D12" s="14">
        <f>SUM(Oct!D12, Nov!D12, Dec!D12)</f>
        <v>0</v>
      </c>
      <c r="E12" s="14">
        <f t="shared" si="0"/>
        <v>0</v>
      </c>
      <c r="F12" s="15" t="str">
        <f t="shared" si="1"/>
        <v/>
      </c>
      <c r="G12" s="16"/>
      <c r="H12" s="16">
        <f>SUM(Oct!H12, Nov!H12, Dec!H12)</f>
        <v>0</v>
      </c>
      <c r="I12" s="17" t="str">
        <f t="shared" si="2"/>
        <v/>
      </c>
    </row>
    <row r="13" spans="1:9" ht="15.75">
      <c r="A13" s="19" t="str">
        <v>CA: Petaluma MOB - Citi</v>
      </c>
      <c r="B13" s="11" t="str">
        <v>CA</v>
      </c>
      <c r="C13" s="12">
        <f>SUM(Oct!C13, Nov!C13, Dec!C13)</f>
        <v>0</v>
      </c>
      <c r="D13" s="20">
        <f>SUM(Oct!D13, Nov!D13, Dec!D13)</f>
        <v>0</v>
      </c>
      <c r="E13" s="20">
        <f t="shared" si="0"/>
        <v>0</v>
      </c>
      <c r="F13" s="21" t="str">
        <f t="shared" si="1"/>
        <v/>
      </c>
      <c r="G13" s="22"/>
      <c r="H13" s="22">
        <f>SUM(Oct!H13, Nov!H13, Dec!H13)</f>
        <v>0</v>
      </c>
      <c r="I13" s="21" t="str">
        <f t="shared" si="2"/>
        <v/>
      </c>
    </row>
    <row r="14" spans="1:9" ht="15.75">
      <c r="A14" s="13" t="str">
        <v>CA: Pleasanton Tec Ctr - Citi</v>
      </c>
      <c r="B14" s="10" t="str">
        <v>CA</v>
      </c>
      <c r="C14" s="26">
        <f>SUM(Oct!C14, Nov!C14, Dec!C14)</f>
        <v>0</v>
      </c>
      <c r="D14" s="14">
        <f>SUM(Oct!D14, Nov!D14, Dec!D14)</f>
        <v>0</v>
      </c>
      <c r="E14" s="14">
        <f t="shared" si="0"/>
        <v>0</v>
      </c>
      <c r="F14" s="15" t="str">
        <f t="shared" si="1"/>
        <v/>
      </c>
      <c r="G14" s="16"/>
      <c r="H14" s="16">
        <f>SUM(Oct!H14, Nov!H14, Dec!H14)</f>
        <v>0</v>
      </c>
      <c r="I14" s="17" t="str">
        <f t="shared" si="2"/>
        <v/>
      </c>
    </row>
    <row r="15" spans="1:9" ht="15.75">
      <c r="A15" s="19" t="str">
        <v>CA: Rancho Cordova - Citi</v>
      </c>
      <c r="B15" s="11" t="str">
        <v>CA</v>
      </c>
      <c r="C15" s="12">
        <f>SUM(Oct!C15, Nov!C15, Dec!C15)</f>
        <v>0</v>
      </c>
      <c r="D15" s="20">
        <f>SUM(Oct!D15, Nov!D15, Dec!D15)</f>
        <v>0</v>
      </c>
      <c r="E15" s="20">
        <f t="shared" si="0"/>
        <v>0</v>
      </c>
      <c r="F15" s="21" t="str">
        <f t="shared" si="1"/>
        <v/>
      </c>
      <c r="G15" s="22"/>
      <c r="H15" s="22">
        <f>SUM(Oct!H15, Nov!H15, Dec!H15)</f>
        <v>0</v>
      </c>
      <c r="I15" s="21" t="str">
        <f t="shared" si="2"/>
        <v/>
      </c>
    </row>
    <row r="16" spans="1:9" ht="15.75">
      <c r="A16" s="13" t="str">
        <v>CA: S Sacramento Wyndham - Citi</v>
      </c>
      <c r="B16" s="10" t="str">
        <v>CA</v>
      </c>
      <c r="C16" s="37">
        <f>SUM(Oct!C16, Nov!C16, Dec!C16)</f>
        <v>0</v>
      </c>
      <c r="D16" s="14">
        <f>SUM(Oct!D16, Nov!D16, Dec!D16)</f>
        <v>0</v>
      </c>
      <c r="E16" s="14">
        <f t="shared" ref="E16:E21" si="3">IF(AND(ISNUMBER(C16),ISNUMBER(D16)), C16-D16, "")</f>
        <v>0</v>
      </c>
      <c r="F16" s="38" t="str">
        <f t="shared" ref="F16:F21" si="4">IFERROR(E16/D16, "")</f>
        <v/>
      </c>
      <c r="G16" s="39"/>
      <c r="H16" s="39">
        <f>SUM(Oct!H16, Nov!H16, Dec!H16)</f>
        <v>0</v>
      </c>
      <c r="I16" s="40" t="str">
        <f t="shared" ref="I16:I21" si="5">IFERROR(H16/G16, "")</f>
        <v/>
      </c>
    </row>
    <row r="17" spans="1:9" ht="15.75">
      <c r="A17" s="19" t="str">
        <v>CA: Sacramento Point West - Citi</v>
      </c>
      <c r="B17" s="11" t="str">
        <v>CA</v>
      </c>
      <c r="C17" s="42">
        <f>SUM(Oct!C17, Nov!C17, Dec!C17)</f>
        <v>0</v>
      </c>
      <c r="D17" s="20">
        <f>SUM(Oct!D17, Nov!D17, Dec!D17)</f>
        <v>0</v>
      </c>
      <c r="E17" s="20">
        <f t="shared" si="3"/>
        <v>0</v>
      </c>
      <c r="F17" s="43" t="str">
        <f t="shared" si="4"/>
        <v/>
      </c>
      <c r="G17" s="44"/>
      <c r="H17" s="44">
        <f>SUM(Oct!H17, Nov!H17, Dec!H17)</f>
        <v>0</v>
      </c>
      <c r="I17" s="43" t="str">
        <f t="shared" si="5"/>
        <v/>
      </c>
    </row>
    <row r="18" spans="1:9" ht="12.75" customHeight="1">
      <c r="A18" s="13" t="str">
        <v>CA: San Jose FHC - Citi</v>
      </c>
      <c r="B18" s="10" t="str">
        <v>CA</v>
      </c>
      <c r="C18" s="37">
        <f>SUM(Oct!C18, Nov!C18, Dec!C18)</f>
        <v>0</v>
      </c>
      <c r="D18" s="14">
        <f>SUM(Oct!D18, Nov!D18, Dec!D18)</f>
        <v>0</v>
      </c>
      <c r="E18" s="14">
        <f t="shared" si="3"/>
        <v>0</v>
      </c>
      <c r="F18" s="38" t="str">
        <f t="shared" si="4"/>
        <v/>
      </c>
      <c r="G18" s="39"/>
      <c r="H18" s="39">
        <f>SUM(Oct!H18, Nov!H18, Dec!H18)</f>
        <v>0</v>
      </c>
      <c r="I18" s="40" t="str">
        <f t="shared" si="5"/>
        <v/>
      </c>
    </row>
    <row r="19" spans="1:9" ht="15.75">
      <c r="A19" s="19" t="str">
        <v>CA: San Jose MOB - Citi</v>
      </c>
      <c r="B19" s="11" t="str">
        <v>CA</v>
      </c>
      <c r="C19" s="42">
        <f>SUM(Oct!C19, Nov!C19, Dec!C19)</f>
        <v>0</v>
      </c>
      <c r="D19" s="20">
        <f>SUM(Oct!D19, Nov!D19, Dec!D19)</f>
        <v>0</v>
      </c>
      <c r="E19" s="20">
        <f t="shared" si="3"/>
        <v>0</v>
      </c>
      <c r="F19" s="43" t="str">
        <f t="shared" si="4"/>
        <v/>
      </c>
      <c r="G19" s="44"/>
      <c r="H19" s="44">
        <f>SUM(Oct!H19, Nov!H19, Dec!H19)</f>
        <v>0</v>
      </c>
      <c r="I19" s="43" t="str">
        <f t="shared" si="5"/>
        <v/>
      </c>
    </row>
    <row r="20" spans="1:9" ht="15.75">
      <c r="A20" s="13" t="str">
        <v>CA: Selma - Citi</v>
      </c>
      <c r="B20" s="10" t="str">
        <v>CA</v>
      </c>
      <c r="C20" s="37">
        <f>SUM(Oct!C20, Nov!C20, Dec!C20)</f>
        <v>0</v>
      </c>
      <c r="D20" s="14">
        <f>SUM(Oct!D20, Nov!D20, Dec!D20)</f>
        <v>0</v>
      </c>
      <c r="E20" s="14">
        <f t="shared" si="3"/>
        <v>0</v>
      </c>
      <c r="F20" s="38" t="str">
        <f t="shared" si="4"/>
        <v/>
      </c>
      <c r="G20" s="39"/>
      <c r="H20" s="39">
        <f>SUM(Oct!H20, Nov!H20, Dec!H20)</f>
        <v>0</v>
      </c>
      <c r="I20" s="40" t="str">
        <f t="shared" si="5"/>
        <v/>
      </c>
    </row>
    <row r="21" spans="1:9" ht="15.75">
      <c r="A21" s="19" t="str">
        <v>CA: Vacaville Hospital</v>
      </c>
      <c r="B21" s="11" t="str">
        <v>CA</v>
      </c>
      <c r="C21" s="42">
        <f>SUM(Oct!C21, Nov!C21, Dec!C21)</f>
        <v>0</v>
      </c>
      <c r="D21" s="20">
        <f>SUM(Oct!D21, Nov!D21, Dec!D21)</f>
        <v>0</v>
      </c>
      <c r="E21" s="20">
        <f t="shared" si="3"/>
        <v>0</v>
      </c>
      <c r="F21" s="43" t="str">
        <f t="shared" si="4"/>
        <v/>
      </c>
      <c r="G21" s="44"/>
      <c r="H21" s="44">
        <f>SUM(Oct!H21, Nov!H21, Dec!H21)</f>
        <v>0</v>
      </c>
      <c r="I21" s="43" t="str">
        <f t="shared" si="5"/>
        <v/>
      </c>
    </row>
    <row r="22" spans="1:9" ht="15.75">
      <c r="A22" s="13" t="str">
        <v>CA: Manteca - KP Manteca Hospital</v>
      </c>
      <c r="B22" s="10" t="str">
        <v>CA</v>
      </c>
      <c r="C22" s="37"/>
      <c r="D22" s="14"/>
      <c r="E22" s="14"/>
      <c r="F22" s="38"/>
      <c r="G22" s="39"/>
      <c r="H22" s="39"/>
      <c r="I22" s="40"/>
    </row>
    <row r="23" spans="1:9">
      <c r="A23" s="23"/>
      <c r="B23" s="23"/>
      <c r="C23" s="23"/>
      <c r="D23" s="23"/>
      <c r="E23" s="23"/>
      <c r="F23" s="23"/>
      <c r="G23" s="23"/>
      <c r="H23" s="23"/>
      <c r="I23" s="23"/>
    </row>
    <row r="24" spans="1:9">
      <c r="A24" s="23"/>
      <c r="B24" s="23"/>
      <c r="C24" s="23"/>
      <c r="D24" s="23"/>
      <c r="E24" s="23"/>
      <c r="F24" s="23"/>
      <c r="G24" s="23"/>
      <c r="H24" s="23"/>
      <c r="I24" s="23"/>
    </row>
    <row r="25" spans="1:9">
      <c r="A25" s="23"/>
      <c r="B25" s="23"/>
      <c r="C25" s="23"/>
      <c r="D25" s="23"/>
      <c r="E25" s="23"/>
      <c r="F25" s="23"/>
      <c r="G25" s="23"/>
      <c r="H25" s="23"/>
      <c r="I25" s="23"/>
    </row>
    <row r="26" spans="1:9">
      <c r="A26" s="23"/>
      <c r="B26" s="23"/>
      <c r="C26" s="23"/>
      <c r="D26" s="23"/>
      <c r="E26" s="23"/>
      <c r="F26" s="23"/>
      <c r="G26" s="23"/>
      <c r="H26" s="23"/>
      <c r="I26" s="23"/>
    </row>
    <row r="27" spans="1:9">
      <c r="A27" s="23"/>
      <c r="B27" s="23"/>
      <c r="C27" s="23"/>
      <c r="D27" s="23"/>
      <c r="E27" s="23"/>
      <c r="F27" s="23"/>
      <c r="G27" s="23"/>
      <c r="H27" s="23"/>
      <c r="I27" s="23"/>
    </row>
    <row r="28" spans="1:9">
      <c r="A28" s="23"/>
      <c r="B28" s="23"/>
      <c r="C28" s="23"/>
      <c r="D28" s="23"/>
      <c r="E28" s="23"/>
      <c r="F28" s="23"/>
      <c r="G28" s="23"/>
      <c r="H28" s="23"/>
      <c r="I28" s="23"/>
    </row>
    <row r="29" spans="1:9">
      <c r="A29" s="23"/>
      <c r="B29" s="23"/>
      <c r="C29" s="23"/>
      <c r="D29" s="23"/>
      <c r="E29" s="23"/>
      <c r="F29" s="23"/>
      <c r="G29" s="23"/>
      <c r="H29" s="23"/>
      <c r="I29" s="23"/>
    </row>
    <row r="30" spans="1:9">
      <c r="A30" s="23"/>
      <c r="B30" s="23"/>
      <c r="C30" s="23"/>
      <c r="D30" s="23"/>
      <c r="E30" s="23"/>
      <c r="F30" s="23"/>
      <c r="G30" s="23"/>
      <c r="H30" s="23"/>
      <c r="I30" s="23"/>
    </row>
    <row r="31" spans="1:9">
      <c r="A31" s="23"/>
      <c r="B31" s="23"/>
      <c r="C31" s="23"/>
      <c r="D31" s="23"/>
      <c r="E31" s="23"/>
      <c r="F31" s="23"/>
      <c r="G31" s="23"/>
      <c r="H31" s="23"/>
      <c r="I31" s="23"/>
    </row>
    <row r="32" spans="1:9">
      <c r="A32" s="23"/>
      <c r="B32" s="23"/>
      <c r="C32" s="23"/>
      <c r="D32" s="23"/>
      <c r="E32" s="23"/>
      <c r="F32" s="23"/>
      <c r="G32" s="23"/>
      <c r="H32" s="23"/>
      <c r="I32" s="23"/>
    </row>
    <row r="33" spans="1:9">
      <c r="A33" s="23"/>
      <c r="B33" s="23"/>
      <c r="C33" s="23"/>
      <c r="D33" s="23"/>
      <c r="E33" s="23"/>
      <c r="F33" s="24"/>
      <c r="G33" s="23"/>
      <c r="H33" s="23"/>
      <c r="I33" s="24"/>
    </row>
    <row r="34" spans="1:9">
      <c r="A34" s="23"/>
      <c r="B34" s="23"/>
      <c r="C34" s="23"/>
      <c r="D34" s="23"/>
      <c r="E34" s="23"/>
      <c r="F34" s="24"/>
      <c r="G34" s="23"/>
      <c r="H34" s="23"/>
      <c r="I34" s="24"/>
    </row>
    <row r="35" spans="1:9">
      <c r="A35" s="23"/>
      <c r="B35" s="23"/>
      <c r="C35" s="23"/>
      <c r="D35" s="23"/>
      <c r="E35" s="23"/>
      <c r="F35" s="24"/>
      <c r="G35" s="23"/>
      <c r="H35" s="23"/>
      <c r="I35" s="24"/>
    </row>
    <row r="36" spans="1:9">
      <c r="A36" s="23"/>
      <c r="B36" s="23"/>
      <c r="C36" s="23"/>
      <c r="D36" s="23"/>
      <c r="E36" s="23"/>
      <c r="F36" s="24"/>
      <c r="G36" s="23"/>
      <c r="H36" s="23"/>
      <c r="I36" s="24"/>
    </row>
    <row r="37" spans="1:9">
      <c r="A37" s="23"/>
      <c r="B37" s="23"/>
      <c r="C37" s="23"/>
      <c r="D37" s="23"/>
      <c r="E37" s="23"/>
      <c r="F37" s="24"/>
      <c r="G37" s="23"/>
      <c r="H37" s="23"/>
      <c r="I37" s="24"/>
    </row>
    <row r="38" spans="1:9">
      <c r="A38" s="23"/>
      <c r="B38" s="23"/>
      <c r="C38" s="23"/>
      <c r="D38" s="23"/>
      <c r="E38" s="23"/>
      <c r="F38" s="24"/>
      <c r="G38" s="23"/>
      <c r="H38" s="23"/>
      <c r="I38" s="24"/>
    </row>
    <row r="39" spans="1:9">
      <c r="A39" s="23"/>
      <c r="B39" s="23"/>
      <c r="C39" s="23"/>
      <c r="D39" s="23"/>
      <c r="E39" s="23"/>
      <c r="F39" s="24"/>
      <c r="G39" s="23"/>
      <c r="H39" s="23"/>
      <c r="I39" s="24"/>
    </row>
    <row r="40" spans="1:9">
      <c r="A40" s="23"/>
      <c r="B40" s="23"/>
      <c r="C40" s="23"/>
      <c r="D40" s="23"/>
      <c r="E40" s="23"/>
      <c r="F40" s="24"/>
      <c r="G40" s="23"/>
      <c r="H40" s="23"/>
      <c r="I40" s="24"/>
    </row>
    <row r="41" spans="1:9">
      <c r="A41" s="23"/>
      <c r="B41" s="23"/>
      <c r="C41" s="23"/>
      <c r="D41" s="23"/>
      <c r="E41" s="23"/>
      <c r="F41" s="24"/>
      <c r="G41" s="23"/>
      <c r="H41" s="23"/>
      <c r="I41" s="24"/>
    </row>
    <row r="42" spans="1:9">
      <c r="A42" s="23"/>
      <c r="B42" s="23"/>
      <c r="C42" s="23"/>
      <c r="D42" s="23"/>
      <c r="E42" s="23"/>
      <c r="F42" s="24"/>
      <c r="G42" s="23"/>
      <c r="H42" s="23"/>
      <c r="I42" s="24"/>
    </row>
    <row r="43" spans="1:9">
      <c r="A43" s="23"/>
      <c r="B43" s="23"/>
      <c r="C43" s="23"/>
      <c r="D43" s="23"/>
      <c r="E43" s="23"/>
      <c r="F43" s="24"/>
      <c r="G43" s="23"/>
      <c r="H43" s="23"/>
      <c r="I43" s="24"/>
    </row>
    <row r="44" spans="1:9">
      <c r="A44" s="23"/>
      <c r="B44" s="23"/>
      <c r="C44" s="23"/>
      <c r="D44" s="23"/>
      <c r="E44" s="23"/>
      <c r="F44" s="24"/>
      <c r="G44" s="23"/>
      <c r="H44" s="23"/>
      <c r="I44" s="24"/>
    </row>
    <row r="45" spans="1:9">
      <c r="A45" s="23"/>
      <c r="B45" s="23"/>
      <c r="C45" s="23"/>
      <c r="D45" s="23"/>
      <c r="E45" s="23"/>
      <c r="F45" s="24"/>
      <c r="G45" s="23"/>
      <c r="H45" s="23"/>
      <c r="I45" s="24"/>
    </row>
    <row r="46" spans="1:9">
      <c r="A46" s="23"/>
      <c r="B46" s="23"/>
      <c r="C46" s="23"/>
      <c r="D46" s="23"/>
      <c r="E46" s="23"/>
      <c r="F46" s="24"/>
      <c r="G46" s="23"/>
      <c r="H46" s="23"/>
      <c r="I46" s="24"/>
    </row>
    <row r="47" spans="1:9">
      <c r="A47" s="23"/>
      <c r="B47" s="23"/>
      <c r="C47" s="23"/>
      <c r="D47" s="23"/>
      <c r="E47" s="23"/>
      <c r="F47" s="24"/>
      <c r="G47" s="23"/>
      <c r="H47" s="23"/>
      <c r="I47" s="24"/>
    </row>
    <row r="48" spans="1:9">
      <c r="A48" s="23"/>
      <c r="B48" s="23"/>
      <c r="C48" s="23"/>
      <c r="D48" s="23"/>
      <c r="E48" s="23"/>
      <c r="F48" s="24"/>
      <c r="G48" s="23"/>
      <c r="H48" s="23"/>
      <c r="I48" s="24"/>
    </row>
    <row r="49" spans="1:9">
      <c r="A49" s="23"/>
      <c r="B49" s="23"/>
      <c r="C49" s="23"/>
      <c r="D49" s="23"/>
      <c r="E49" s="23"/>
      <c r="F49" s="24"/>
      <c r="G49" s="23"/>
      <c r="H49" s="23"/>
      <c r="I49" s="24"/>
    </row>
    <row r="50" spans="1:9">
      <c r="A50" s="23"/>
      <c r="B50" s="23"/>
      <c r="C50" s="23"/>
      <c r="D50" s="23"/>
      <c r="E50" s="23"/>
      <c r="F50" s="24"/>
      <c r="G50" s="23"/>
      <c r="H50" s="23"/>
      <c r="I50" s="24"/>
    </row>
    <row r="51" spans="1:9">
      <c r="A51" s="23"/>
      <c r="B51" s="23"/>
      <c r="C51" s="23"/>
      <c r="D51" s="23"/>
      <c r="E51" s="23"/>
      <c r="F51" s="24"/>
      <c r="G51" s="23"/>
      <c r="H51" s="23"/>
      <c r="I51" s="24"/>
    </row>
    <row r="52" spans="1:9">
      <c r="A52" s="23"/>
      <c r="B52" s="23"/>
      <c r="C52" s="23"/>
      <c r="D52" s="23"/>
      <c r="E52" s="23"/>
      <c r="F52" s="24"/>
      <c r="G52" s="23"/>
      <c r="H52" s="23"/>
      <c r="I52" s="24"/>
    </row>
    <row r="53" spans="1:9">
      <c r="A53" s="23"/>
      <c r="B53" s="23"/>
      <c r="C53" s="23"/>
      <c r="D53" s="23"/>
      <c r="E53" s="23"/>
      <c r="F53" s="24"/>
      <c r="G53" s="23"/>
      <c r="H53" s="23"/>
      <c r="I53" s="24"/>
    </row>
    <row r="54" spans="1:9">
      <c r="A54" s="23"/>
      <c r="B54" s="23"/>
      <c r="C54" s="23"/>
      <c r="D54" s="23"/>
      <c r="E54" s="23"/>
      <c r="F54" s="24"/>
      <c r="G54" s="23"/>
      <c r="H54" s="23"/>
      <c r="I54" s="24"/>
    </row>
    <row r="55" spans="1:9">
      <c r="A55" s="23"/>
      <c r="B55" s="23"/>
      <c r="C55" s="23"/>
      <c r="D55" s="23"/>
      <c r="E55" s="23"/>
      <c r="F55" s="24"/>
      <c r="G55" s="23"/>
      <c r="H55" s="23"/>
      <c r="I55" s="24"/>
    </row>
    <row r="56" spans="1:9">
      <c r="A56" s="23"/>
      <c r="B56" s="23"/>
      <c r="C56" s="23"/>
      <c r="D56" s="23"/>
      <c r="E56" s="23"/>
      <c r="F56" s="24"/>
      <c r="G56" s="23"/>
      <c r="H56" s="23"/>
      <c r="I56" s="24"/>
    </row>
    <row r="57" spans="1:9">
      <c r="A57" s="23"/>
      <c r="B57" s="23"/>
      <c r="C57" s="23"/>
      <c r="D57" s="23"/>
      <c r="E57" s="23"/>
      <c r="F57" s="24"/>
      <c r="G57" s="23"/>
      <c r="H57" s="23"/>
      <c r="I57" s="24"/>
    </row>
    <row r="58" spans="1:9">
      <c r="A58" s="23"/>
      <c r="B58" s="23"/>
      <c r="C58" s="23"/>
      <c r="D58" s="23"/>
      <c r="E58" s="23"/>
      <c r="F58" s="24"/>
      <c r="G58" s="23"/>
      <c r="H58" s="23"/>
      <c r="I58" s="24"/>
    </row>
    <row r="59" spans="1:9">
      <c r="A59" s="23"/>
      <c r="B59" s="23"/>
      <c r="C59" s="23"/>
      <c r="D59" s="23"/>
      <c r="E59" s="23"/>
      <c r="F59" s="24"/>
      <c r="G59" s="23"/>
      <c r="H59" s="23"/>
      <c r="I59" s="24"/>
    </row>
    <row r="60" spans="1:9">
      <c r="A60" s="23"/>
      <c r="B60" s="23"/>
      <c r="C60" s="23"/>
      <c r="D60" s="23"/>
      <c r="E60" s="23"/>
      <c r="F60" s="24"/>
      <c r="G60" s="23"/>
      <c r="H60" s="23"/>
      <c r="I60" s="24"/>
    </row>
    <row r="61" spans="1:9">
      <c r="A61" s="23"/>
      <c r="B61" s="23"/>
      <c r="C61" s="23"/>
      <c r="D61" s="23"/>
      <c r="E61" s="23"/>
      <c r="F61" s="24"/>
      <c r="G61" s="23"/>
      <c r="H61" s="23"/>
      <c r="I61" s="24"/>
    </row>
    <row r="62" spans="1:9">
      <c r="A62" s="23"/>
      <c r="B62" s="23"/>
      <c r="C62" s="23"/>
      <c r="D62" s="23"/>
      <c r="E62" s="23"/>
      <c r="F62" s="24"/>
      <c r="G62" s="23"/>
      <c r="H62" s="23"/>
      <c r="I62" s="24"/>
    </row>
    <row r="63" spans="1:9">
      <c r="A63" s="23"/>
      <c r="B63" s="23"/>
      <c r="C63" s="23"/>
      <c r="D63" s="23"/>
      <c r="E63" s="23"/>
      <c r="F63" s="24"/>
      <c r="G63" s="23"/>
      <c r="H63" s="23"/>
      <c r="I63" s="24"/>
    </row>
    <row r="64" spans="1:9">
      <c r="A64" s="23"/>
      <c r="B64" s="23"/>
      <c r="C64" s="23"/>
      <c r="D64" s="23"/>
      <c r="E64" s="23"/>
      <c r="F64" s="24"/>
      <c r="G64" s="23"/>
      <c r="H64" s="23"/>
      <c r="I64" s="24"/>
    </row>
    <row r="65" spans="1:9">
      <c r="A65" s="23"/>
      <c r="B65" s="23"/>
      <c r="C65" s="23"/>
      <c r="D65" s="23"/>
      <c r="E65" s="23"/>
      <c r="F65" s="24"/>
      <c r="G65" s="23"/>
      <c r="H65" s="23"/>
      <c r="I65" s="24"/>
    </row>
    <row r="66" spans="1:9">
      <c r="A66" s="23"/>
      <c r="B66" s="23"/>
      <c r="C66" s="23"/>
      <c r="D66" s="23"/>
      <c r="E66" s="23"/>
      <c r="F66" s="24"/>
      <c r="G66" s="23"/>
      <c r="H66" s="23"/>
      <c r="I66" s="24"/>
    </row>
    <row r="67" spans="1:9">
      <c r="A67" s="23"/>
      <c r="B67" s="23"/>
      <c r="C67" s="23"/>
      <c r="D67" s="23"/>
      <c r="E67" s="23"/>
      <c r="F67" s="24"/>
      <c r="G67" s="23"/>
      <c r="H67" s="23"/>
      <c r="I67" s="24"/>
    </row>
    <row r="68" spans="1:9">
      <c r="A68" s="23"/>
      <c r="B68" s="23"/>
      <c r="C68" s="23"/>
      <c r="D68" s="23"/>
      <c r="E68" s="23"/>
      <c r="F68" s="24"/>
      <c r="G68" s="23"/>
      <c r="H68" s="23"/>
      <c r="I68" s="24"/>
    </row>
    <row r="69" spans="1:9">
      <c r="A69" s="23"/>
      <c r="B69" s="23"/>
      <c r="C69" s="23"/>
      <c r="D69" s="23"/>
      <c r="E69" s="23"/>
      <c r="F69" s="24"/>
      <c r="G69" s="23"/>
      <c r="H69" s="23"/>
      <c r="I69" s="24"/>
    </row>
    <row r="70" spans="1:9">
      <c r="A70" s="23"/>
      <c r="B70" s="23"/>
      <c r="C70" s="23"/>
      <c r="D70" s="23"/>
      <c r="E70" s="23"/>
      <c r="F70" s="24"/>
      <c r="G70" s="23"/>
      <c r="H70" s="23"/>
      <c r="I70" s="24"/>
    </row>
    <row r="71" spans="1:9">
      <c r="A71" s="23"/>
      <c r="B71" s="23"/>
      <c r="C71" s="23"/>
      <c r="D71" s="23"/>
      <c r="E71" s="23"/>
      <c r="F71" s="24"/>
      <c r="G71" s="23"/>
      <c r="H71" s="23"/>
      <c r="I71" s="24"/>
    </row>
    <row r="72" spans="1:9">
      <c r="A72" s="23"/>
      <c r="B72" s="23"/>
      <c r="C72" s="23"/>
      <c r="D72" s="23"/>
      <c r="E72" s="23"/>
      <c r="F72" s="24"/>
      <c r="G72" s="23"/>
      <c r="H72" s="23"/>
      <c r="I72" s="24"/>
    </row>
    <row r="73" spans="1:9">
      <c r="A73" s="23"/>
      <c r="B73" s="23"/>
      <c r="C73" s="23"/>
      <c r="D73" s="23"/>
      <c r="E73" s="23"/>
      <c r="F73" s="24"/>
      <c r="G73" s="23"/>
      <c r="H73" s="23"/>
      <c r="I73" s="24"/>
    </row>
    <row r="74" spans="1:9">
      <c r="A74" s="23"/>
      <c r="B74" s="23"/>
      <c r="C74" s="23"/>
      <c r="D74" s="23"/>
      <c r="E74" s="23"/>
      <c r="F74" s="24"/>
      <c r="G74" s="23"/>
      <c r="H74" s="23"/>
      <c r="I74" s="24"/>
    </row>
    <row r="75" spans="1:9">
      <c r="A75" s="23"/>
      <c r="B75" s="23"/>
      <c r="C75" s="23"/>
      <c r="D75" s="23"/>
      <c r="E75" s="23"/>
      <c r="F75" s="24"/>
      <c r="G75" s="23"/>
      <c r="H75" s="23"/>
      <c r="I75" s="24"/>
    </row>
    <row r="76" spans="1:9">
      <c r="A76" s="23"/>
      <c r="B76" s="23"/>
      <c r="C76" s="23"/>
      <c r="D76" s="23"/>
      <c r="E76" s="23"/>
      <c r="F76" s="24"/>
      <c r="G76" s="23"/>
      <c r="H76" s="23"/>
      <c r="I76" s="24"/>
    </row>
    <row r="77" spans="1:9">
      <c r="A77" s="23"/>
      <c r="B77" s="23"/>
      <c r="C77" s="23"/>
      <c r="D77" s="23"/>
      <c r="E77" s="23"/>
      <c r="F77" s="24"/>
      <c r="G77" s="23"/>
      <c r="H77" s="23"/>
      <c r="I77" s="24"/>
    </row>
    <row r="78" spans="1:9">
      <c r="A78" s="23"/>
      <c r="B78" s="23"/>
      <c r="C78" s="23"/>
      <c r="D78" s="23"/>
      <c r="E78" s="23"/>
      <c r="F78" s="24"/>
      <c r="G78" s="23"/>
      <c r="H78" s="23"/>
      <c r="I78" s="24"/>
    </row>
    <row r="79" spans="1:9">
      <c r="A79" s="23"/>
      <c r="B79" s="23"/>
      <c r="C79" s="23"/>
      <c r="D79" s="23"/>
      <c r="E79" s="23"/>
      <c r="F79" s="24"/>
      <c r="G79" s="23"/>
      <c r="H79" s="23"/>
      <c r="I79" s="24"/>
    </row>
    <row r="80" spans="1:9">
      <c r="A80" s="23"/>
      <c r="B80" s="23"/>
      <c r="C80" s="23"/>
      <c r="D80" s="23"/>
      <c r="E80" s="23"/>
      <c r="F80" s="24"/>
      <c r="G80" s="23"/>
      <c r="H80" s="23"/>
      <c r="I80" s="24"/>
    </row>
    <row r="81" spans="1:9">
      <c r="A81" s="23"/>
      <c r="B81" s="23"/>
      <c r="C81" s="23"/>
      <c r="D81" s="23"/>
      <c r="E81" s="23"/>
      <c r="F81" s="24"/>
      <c r="G81" s="23"/>
      <c r="H81" s="23"/>
      <c r="I81" s="24"/>
    </row>
    <row r="82" spans="1:9">
      <c r="A82" s="23"/>
      <c r="B82" s="23"/>
      <c r="C82" s="23"/>
      <c r="D82" s="23"/>
      <c r="E82" s="23"/>
      <c r="F82" s="24"/>
      <c r="G82" s="23"/>
      <c r="H82" s="23"/>
      <c r="I82" s="24"/>
    </row>
    <row r="83" spans="1:9">
      <c r="A83" s="23"/>
      <c r="B83" s="23"/>
      <c r="C83" s="23"/>
      <c r="D83" s="23"/>
      <c r="E83" s="23"/>
      <c r="F83" s="24"/>
      <c r="G83" s="23"/>
      <c r="H83" s="23"/>
      <c r="I83" s="24"/>
    </row>
    <row r="84" spans="1:9">
      <c r="A84" s="23"/>
      <c r="B84" s="23"/>
      <c r="C84" s="23"/>
      <c r="D84" s="23"/>
      <c r="E84" s="23"/>
      <c r="F84" s="24"/>
      <c r="G84" s="23"/>
      <c r="H84" s="23"/>
      <c r="I84" s="24"/>
    </row>
    <row r="85" spans="1:9">
      <c r="A85" s="23"/>
      <c r="B85" s="23"/>
      <c r="C85" s="23"/>
      <c r="D85" s="23"/>
      <c r="E85" s="23"/>
      <c r="F85" s="24"/>
      <c r="G85" s="23"/>
      <c r="H85" s="23"/>
      <c r="I85" s="24"/>
    </row>
    <row r="86" spans="1:9">
      <c r="A86" s="23"/>
      <c r="B86" s="23"/>
      <c r="C86" s="23"/>
      <c r="D86" s="23"/>
      <c r="E86" s="23"/>
      <c r="F86" s="24"/>
      <c r="G86" s="23"/>
      <c r="H86" s="23"/>
      <c r="I86" s="24"/>
    </row>
    <row r="87" spans="1:9">
      <c r="A87" s="23"/>
      <c r="B87" s="23"/>
      <c r="C87" s="23"/>
      <c r="D87" s="23"/>
      <c r="E87" s="23"/>
      <c r="F87" s="24"/>
      <c r="G87" s="23"/>
      <c r="H87" s="23"/>
      <c r="I87" s="24"/>
    </row>
    <row r="88" spans="1:9">
      <c r="A88" s="23"/>
      <c r="B88" s="23"/>
      <c r="C88" s="23"/>
      <c r="D88" s="23"/>
      <c r="E88" s="23"/>
      <c r="F88" s="24"/>
      <c r="G88" s="23"/>
      <c r="H88" s="23"/>
      <c r="I88" s="24"/>
    </row>
    <row r="89" spans="1:9">
      <c r="A89" s="23"/>
      <c r="B89" s="23"/>
      <c r="C89" s="23"/>
      <c r="D89" s="23"/>
      <c r="E89" s="23"/>
      <c r="F89" s="24"/>
      <c r="G89" s="23"/>
      <c r="H89" s="23"/>
      <c r="I89" s="24"/>
    </row>
    <row r="90" spans="1:9">
      <c r="A90" s="23"/>
      <c r="B90" s="23"/>
      <c r="C90" s="23"/>
      <c r="D90" s="23"/>
      <c r="E90" s="23"/>
      <c r="F90" s="24"/>
      <c r="G90" s="23"/>
      <c r="H90" s="23"/>
      <c r="I90" s="24"/>
    </row>
    <row r="91" spans="1:9">
      <c r="A91" s="23"/>
      <c r="B91" s="23"/>
      <c r="C91" s="23"/>
      <c r="D91" s="23"/>
      <c r="E91" s="23"/>
      <c r="F91" s="24"/>
      <c r="G91" s="23"/>
      <c r="H91" s="23"/>
      <c r="I91" s="24"/>
    </row>
    <row r="92" spans="1:9">
      <c r="A92" s="23"/>
      <c r="B92" s="23"/>
      <c r="C92" s="23"/>
      <c r="D92" s="23"/>
      <c r="E92" s="23"/>
      <c r="F92" s="24"/>
      <c r="G92" s="23"/>
      <c r="H92" s="23"/>
      <c r="I92" s="24"/>
    </row>
    <row r="93" spans="1:9">
      <c r="A93" s="23"/>
      <c r="B93" s="23"/>
      <c r="C93" s="23"/>
      <c r="D93" s="23"/>
      <c r="E93" s="23"/>
      <c r="F93" s="24"/>
      <c r="G93" s="23"/>
      <c r="H93" s="23"/>
      <c r="I93" s="24"/>
    </row>
    <row r="94" spans="1:9">
      <c r="A94" s="23"/>
      <c r="B94" s="23"/>
      <c r="C94" s="23"/>
      <c r="D94" s="23"/>
      <c r="E94" s="23"/>
      <c r="F94" s="24"/>
      <c r="G94" s="23"/>
      <c r="H94" s="23"/>
      <c r="I94" s="24"/>
    </row>
    <row r="95" spans="1:9">
      <c r="A95" s="23"/>
      <c r="B95" s="23"/>
      <c r="C95" s="23"/>
      <c r="D95" s="23"/>
      <c r="E95" s="23"/>
      <c r="F95" s="24"/>
      <c r="G95" s="23"/>
      <c r="H95" s="23"/>
      <c r="I95" s="24"/>
    </row>
    <row r="96" spans="1:9">
      <c r="A96" s="23"/>
      <c r="B96" s="23"/>
      <c r="C96" s="23"/>
      <c r="D96" s="23"/>
      <c r="E96" s="23"/>
      <c r="F96" s="24"/>
      <c r="G96" s="23"/>
      <c r="H96" s="23"/>
      <c r="I96" s="24"/>
    </row>
    <row r="97" spans="1:9">
      <c r="A97" s="23"/>
      <c r="B97" s="23"/>
      <c r="C97" s="23"/>
      <c r="D97" s="23"/>
      <c r="E97" s="23"/>
      <c r="F97" s="24"/>
      <c r="G97" s="23"/>
      <c r="H97" s="23"/>
      <c r="I97" s="24"/>
    </row>
    <row r="98" spans="1:9">
      <c r="A98" s="23"/>
      <c r="B98" s="23"/>
      <c r="C98" s="23"/>
      <c r="D98" s="23"/>
      <c r="E98" s="23"/>
      <c r="F98" s="24"/>
      <c r="G98" s="23"/>
      <c r="H98" s="23"/>
      <c r="I98" s="24"/>
    </row>
    <row r="99" spans="1:9">
      <c r="A99" s="23"/>
      <c r="B99" s="23"/>
      <c r="C99" s="23"/>
      <c r="D99" s="23"/>
      <c r="E99" s="23"/>
      <c r="F99" s="24"/>
      <c r="G99" s="23"/>
      <c r="H99" s="23"/>
      <c r="I99" s="24"/>
    </row>
    <row r="100" spans="1: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>
      <c r="A332" s="23"/>
      <c r="B332" s="23"/>
      <c r="C332" s="23"/>
      <c r="D332" s="23"/>
      <c r="E332" s="23"/>
      <c r="F332" s="24"/>
      <c r="G332" s="23"/>
      <c r="H332" s="23"/>
      <c r="I332" s="24"/>
    </row>
    <row r="333" spans="1:9">
      <c r="A333" s="23"/>
      <c r="B333" s="23"/>
      <c r="C333" s="23"/>
      <c r="D333" s="23"/>
      <c r="E333" s="23"/>
      <c r="F333" s="24"/>
      <c r="G333" s="23"/>
      <c r="H333" s="23"/>
      <c r="I333" s="24"/>
    </row>
    <row r="334" spans="1:9">
      <c r="A334" s="23"/>
      <c r="B334" s="23"/>
      <c r="C334" s="23"/>
      <c r="D334" s="23"/>
      <c r="E334" s="23"/>
      <c r="F334" s="24"/>
      <c r="G334" s="23"/>
      <c r="H334" s="23"/>
      <c r="I334" s="24"/>
    </row>
    <row r="335" spans="1:9">
      <c r="A335" s="23"/>
      <c r="B335" s="23"/>
      <c r="C335" s="23"/>
      <c r="D335" s="23"/>
      <c r="E335" s="23"/>
      <c r="F335" s="24"/>
      <c r="G335" s="23"/>
      <c r="H335" s="23"/>
      <c r="I335" s="24"/>
    </row>
    <row r="336" spans="1:9">
      <c r="A336" s="23"/>
      <c r="B336" s="23"/>
      <c r="C336" s="23"/>
      <c r="D336" s="23"/>
      <c r="E336" s="23"/>
      <c r="F336" s="24"/>
      <c r="G336" s="23"/>
      <c r="H336" s="23"/>
      <c r="I336" s="24"/>
    </row>
    <row r="337" spans="1:9">
      <c r="A337" s="23"/>
      <c r="B337" s="23"/>
      <c r="C337" s="23"/>
      <c r="D337" s="23"/>
      <c r="E337" s="23"/>
      <c r="F337" s="24"/>
      <c r="G337" s="23"/>
      <c r="H337" s="23"/>
      <c r="I337" s="24"/>
    </row>
    <row r="338" spans="1:9">
      <c r="A338" s="23"/>
      <c r="B338" s="23"/>
      <c r="C338" s="23"/>
      <c r="D338" s="23"/>
      <c r="E338" s="23"/>
      <c r="F338" s="24"/>
      <c r="G338" s="23"/>
      <c r="H338" s="23"/>
      <c r="I338" s="24"/>
    </row>
    <row r="339" spans="1:9">
      <c r="A339" s="23"/>
      <c r="B339" s="23"/>
      <c r="C339" s="23"/>
      <c r="D339" s="23"/>
      <c r="E339" s="23"/>
      <c r="F339" s="24"/>
      <c r="G339" s="23"/>
      <c r="H339" s="23"/>
      <c r="I339" s="24"/>
    </row>
    <row r="340" spans="1:9">
      <c r="A340" s="23"/>
      <c r="B340" s="23"/>
      <c r="C340" s="23"/>
      <c r="D340" s="23"/>
      <c r="E340" s="23"/>
      <c r="F340" s="24"/>
      <c r="G340" s="23"/>
      <c r="H340" s="23"/>
      <c r="I340" s="24"/>
    </row>
    <row r="341" spans="1:9">
      <c r="A341" s="23"/>
      <c r="B341" s="23"/>
      <c r="C341" s="23"/>
      <c r="D341" s="23"/>
      <c r="E341" s="23"/>
      <c r="F341" s="24"/>
      <c r="G341" s="23"/>
      <c r="H341" s="23"/>
      <c r="I341" s="24"/>
    </row>
    <row r="342" spans="1:9">
      <c r="A342" s="23"/>
      <c r="B342" s="23"/>
      <c r="C342" s="23"/>
      <c r="D342" s="23"/>
      <c r="E342" s="23"/>
      <c r="F342" s="24"/>
      <c r="G342" s="23"/>
      <c r="H342" s="23"/>
      <c r="I342" s="24"/>
    </row>
  </sheetData>
  <mergeCells count="4">
    <mergeCell ref="G1:I1"/>
    <mergeCell ref="A1:C1"/>
    <mergeCell ref="D1:F1"/>
    <mergeCell ref="A2:B2"/>
  </mergeCells>
  <conditionalFormatting sqref="F2 I2 F4:F100 I4:I100">
    <cfRule type="cellIs" dxfId="26" priority="1" stopIfTrue="1" operator="lessThanOrEqual">
      <formula>-0.1</formula>
    </cfRule>
    <cfRule type="expression" dxfId="25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41"/>
  <sheetViews>
    <sheetView topLeftCell="B1" workbookViewId="0">
      <pane ySplit="3" topLeftCell="A6" activePane="bottomLeft" state="frozen"/>
      <selection pane="bottomLeft" activeCell="K19" sqref="K19"/>
    </sheetView>
  </sheetViews>
  <sheetFormatPr defaultRowHeight="14.25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1" t="str" cm="1">
        <f t="array" ref="A1">portfolio</f>
        <v>CITI</v>
      </c>
      <c r="B1" s="61"/>
      <c r="C1" s="61"/>
      <c r="D1" s="62" t="s">
        <v>18</v>
      </c>
      <c r="E1" s="62"/>
      <c r="F1" s="62"/>
      <c r="G1" s="60" t="s">
        <v>19</v>
      </c>
      <c r="H1" s="60"/>
      <c r="I1" s="60"/>
      <c r="J1" s="5"/>
      <c r="K1" s="5"/>
    </row>
    <row r="2" spans="1:11" ht="19.5" customHeight="1">
      <c r="A2" s="63" t="s">
        <v>2</v>
      </c>
      <c r="B2" s="63"/>
      <c r="C2" s="6">
        <f>SUM(C4:C99)</f>
        <v>761476.62</v>
      </c>
      <c r="D2" s="6">
        <f>SUM(D4:D99)</f>
        <v>875402.63500000001</v>
      </c>
      <c r="E2" s="6">
        <f>C2-D2</f>
        <v>-113926.01500000001</v>
      </c>
      <c r="F2" s="7">
        <f>IFERROR(E2/D2, 0)</f>
        <v>-0.13014127493459055</v>
      </c>
      <c r="G2" s="6">
        <f>SUM(G4:G99)</f>
        <v>819042.32600000012</v>
      </c>
      <c r="H2" s="8">
        <f>C2-G2</f>
        <v>-57565.706000000122</v>
      </c>
      <c r="I2" s="7">
        <f>IFERROR(H2/G2, 0)</f>
        <v>-7.028416502128379E-2</v>
      </c>
      <c r="J2" s="28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29" t="s">
        <v>3</v>
      </c>
      <c r="B3" s="9" t="s">
        <v>4</v>
      </c>
      <c r="C3" s="25" t="s">
        <v>5</v>
      </c>
      <c r="D3" s="49" t="s">
        <v>6</v>
      </c>
      <c r="E3" s="49" t="s">
        <v>7</v>
      </c>
      <c r="F3" s="50" t="s">
        <v>8</v>
      </c>
      <c r="G3" s="54" t="s">
        <v>9</v>
      </c>
      <c r="H3" s="52" t="s">
        <v>7</v>
      </c>
      <c r="I3" s="53" t="s">
        <v>8</v>
      </c>
      <c r="J3" s="27" t="s">
        <v>20</v>
      </c>
      <c r="K3" s="27" t="s">
        <v>21</v>
      </c>
    </row>
    <row r="4" spans="1:11" ht="15.75">
      <c r="A4" s="34" t="str" cm="1">
        <f t="array" ref="A4:A22">Sites[Site]</f>
        <v>CA: Antioch Deer Valley - Citi</v>
      </c>
      <c r="B4" s="31" t="str" cm="1">
        <f t="array" ref="B4:B22">Sites[State]</f>
        <v>CA</v>
      </c>
      <c r="C4" s="26">
        <v>23783.25</v>
      </c>
      <c r="D4" s="14">
        <v>26802</v>
      </c>
      <c r="E4" s="14">
        <f>IF(AND(ISNUMBER(C4),ISNUMBER(D4)), C4-D4, "")</f>
        <v>-3018.75</v>
      </c>
      <c r="F4" s="15">
        <f>IFERROR(E4/D4, "")</f>
        <v>-0.11263152003581822</v>
      </c>
      <c r="G4" s="16">
        <v>25333.654999999999</v>
      </c>
      <c r="H4" s="16">
        <f>IF(AND(ISNUMBER(C4),ISNUMBER(G4)), C4-G4, "")</f>
        <v>-1550.4049999999988</v>
      </c>
      <c r="I4" s="17">
        <f>IFERROR(H4/G4, "")</f>
        <v>-6.1199420296834346E-2</v>
      </c>
      <c r="J4" s="18"/>
      <c r="K4" s="18"/>
    </row>
    <row r="5" spans="1:11" ht="15.75">
      <c r="A5" s="32" t="str">
        <v>CA: Antioch MC CUP - Citi</v>
      </c>
      <c r="B5" s="33" t="str">
        <v>CA</v>
      </c>
      <c r="C5" s="12">
        <v>77142</v>
      </c>
      <c r="D5" s="20">
        <v>87662</v>
      </c>
      <c r="E5" s="20">
        <f t="shared" ref="E5:E6" si="0">IF(AND(ISNUMBER(C5),ISNUMBER(D5)), C5-D5, "")</f>
        <v>-10520</v>
      </c>
      <c r="F5" s="21">
        <f>IFERROR(E5/D5, "")</f>
        <v>-0.12000638817275444</v>
      </c>
      <c r="G5" s="22">
        <v>82559.584000000003</v>
      </c>
      <c r="H5" s="22">
        <f t="shared" ref="H5:H6" si="1">IF(AND(ISNUMBER(C5),ISNUMBER(G5)), C5-G5, "")</f>
        <v>-5417.5840000000026</v>
      </c>
      <c r="I5" s="21">
        <f t="shared" ref="I5:I6" si="2">IFERROR(H5/G5, "")</f>
        <v>-6.5620291885191695E-2</v>
      </c>
      <c r="J5" s="11"/>
      <c r="K5" s="19"/>
    </row>
    <row r="6" spans="1:11" ht="15.75">
      <c r="A6" s="30" t="str">
        <v>CA: Clovis - Citi</v>
      </c>
      <c r="B6" s="31" t="str">
        <v>CA</v>
      </c>
      <c r="C6" s="26">
        <v>32833</v>
      </c>
      <c r="D6" s="14">
        <v>29586</v>
      </c>
      <c r="E6" s="14">
        <f t="shared" si="0"/>
        <v>3247</v>
      </c>
      <c r="F6" s="15">
        <f t="shared" ref="F6:F15" si="3">IFERROR(E6/D6, "")</f>
        <v>0.10974785371459474</v>
      </c>
      <c r="G6" s="16">
        <v>39905.663</v>
      </c>
      <c r="H6" s="16">
        <f t="shared" si="1"/>
        <v>-7072.6630000000005</v>
      </c>
      <c r="I6" s="17">
        <f t="shared" si="2"/>
        <v>-0.1772345694394302</v>
      </c>
      <c r="J6" s="18"/>
      <c r="K6" s="18"/>
    </row>
    <row r="7" spans="1:11" ht="15.75">
      <c r="A7" s="32" t="str">
        <v>CA: Elk Grove MOB - Citi</v>
      </c>
      <c r="B7" s="33" t="str">
        <v>CA</v>
      </c>
      <c r="C7" s="12">
        <v>45130</v>
      </c>
      <c r="D7" s="20">
        <v>54986</v>
      </c>
      <c r="E7" s="20">
        <f t="shared" ref="E7:E15" si="4">IF(AND(ISNUMBER(C7),ISNUMBER(D7)), C7-D7, "")</f>
        <v>-9856</v>
      </c>
      <c r="F7" s="21">
        <f t="shared" si="3"/>
        <v>-0.17924562615938602</v>
      </c>
      <c r="G7" s="22">
        <v>50117.35</v>
      </c>
      <c r="H7" s="22">
        <f t="shared" ref="H7:H15" si="5">IF(AND(ISNUMBER(C7),ISNUMBER(G7)), C7-G7, "")</f>
        <v>-4987.3499999999985</v>
      </c>
      <c r="I7" s="21">
        <f t="shared" ref="I7:I15" si="6">IFERROR(H7/G7, "")</f>
        <v>-9.9513441951739237E-2</v>
      </c>
      <c r="J7" s="11"/>
      <c r="K7" s="19"/>
    </row>
    <row r="8" spans="1:11" ht="15.75">
      <c r="A8" s="30" t="str">
        <v>CA: Elk Grove Promenade - Citi</v>
      </c>
      <c r="B8" s="31" t="str">
        <v>CA</v>
      </c>
      <c r="C8" s="26">
        <v>22326</v>
      </c>
      <c r="D8" s="14">
        <v>30384.634999999998</v>
      </c>
      <c r="E8" s="14">
        <f t="shared" si="4"/>
        <v>-8058.6349999999984</v>
      </c>
      <c r="F8" s="15">
        <f t="shared" si="3"/>
        <v>-0.26522072751573283</v>
      </c>
      <c r="G8" s="16">
        <v>28265.13</v>
      </c>
      <c r="H8" s="16">
        <f t="shared" si="5"/>
        <v>-5939.130000000001</v>
      </c>
      <c r="I8" s="17">
        <f t="shared" si="6"/>
        <v>-0.21012215404634618</v>
      </c>
      <c r="J8" s="18" t="s">
        <v>22</v>
      </c>
      <c r="K8" s="18" t="s">
        <v>23</v>
      </c>
    </row>
    <row r="9" spans="1:11" ht="15.75">
      <c r="A9" s="32" t="str">
        <v>CA: Fresno Sequioa - Citi</v>
      </c>
      <c r="B9" s="33" t="str">
        <v>CA</v>
      </c>
      <c r="C9" s="12">
        <v>54028.75</v>
      </c>
      <c r="D9" s="20">
        <v>54179</v>
      </c>
      <c r="E9" s="20">
        <f t="shared" si="4"/>
        <v>-150.25</v>
      </c>
      <c r="F9" s="21">
        <f t="shared" si="3"/>
        <v>-2.7732147141881539E-3</v>
      </c>
      <c r="G9" s="22">
        <v>60597.623</v>
      </c>
      <c r="H9" s="22">
        <f t="shared" si="5"/>
        <v>-6568.8729999999996</v>
      </c>
      <c r="I9" s="21">
        <f t="shared" si="6"/>
        <v>-0.10840149621050317</v>
      </c>
      <c r="J9" s="11"/>
      <c r="K9" s="19"/>
    </row>
    <row r="10" spans="1:11" ht="15.75">
      <c r="A10" s="30" t="str">
        <v>CA: Fresno MOB - Citi</v>
      </c>
      <c r="B10" s="31" t="str">
        <v>CA</v>
      </c>
      <c r="C10" s="26">
        <v>23116</v>
      </c>
      <c r="D10" s="14">
        <v>21868</v>
      </c>
      <c r="E10" s="14">
        <f t="shared" si="4"/>
        <v>1248</v>
      </c>
      <c r="F10" s="15">
        <f t="shared" si="3"/>
        <v>5.7069690872507774E-2</v>
      </c>
      <c r="G10" s="16">
        <v>24310.019</v>
      </c>
      <c r="H10" s="16">
        <f t="shared" si="5"/>
        <v>-1194.0190000000002</v>
      </c>
      <c r="I10" s="17">
        <f t="shared" si="6"/>
        <v>-4.9116333475510664E-2</v>
      </c>
      <c r="J10" s="45"/>
      <c r="K10" s="45"/>
    </row>
    <row r="11" spans="1:11" ht="15.75">
      <c r="A11" s="32" t="str">
        <v>CA: Modesto Bangs - Citi</v>
      </c>
      <c r="B11" s="33" t="str">
        <v>CA</v>
      </c>
      <c r="C11" s="12">
        <v>12386.25</v>
      </c>
      <c r="D11" s="20">
        <v>12166</v>
      </c>
      <c r="E11" s="20">
        <f t="shared" si="4"/>
        <v>220.25</v>
      </c>
      <c r="F11" s="21">
        <f t="shared" si="3"/>
        <v>1.8103731711326648E-2</v>
      </c>
      <c r="G11" s="22">
        <v>13154.418</v>
      </c>
      <c r="H11" s="22">
        <f t="shared" si="5"/>
        <v>-768.16799999999967</v>
      </c>
      <c r="I11" s="21">
        <f t="shared" si="6"/>
        <v>-5.8396198144228022E-2</v>
      </c>
      <c r="J11" s="46"/>
      <c r="K11" s="47"/>
    </row>
    <row r="12" spans="1:11" ht="30">
      <c r="A12" s="30" t="str">
        <v>CA: Napa Data Center - Citi</v>
      </c>
      <c r="B12" s="31" t="str">
        <v>CA</v>
      </c>
      <c r="C12" s="26">
        <v>13910.87</v>
      </c>
      <c r="D12" s="14">
        <v>18187</v>
      </c>
      <c r="E12" s="14">
        <f t="shared" si="4"/>
        <v>-4276.1299999999992</v>
      </c>
      <c r="F12" s="15">
        <f t="shared" si="3"/>
        <v>-0.23512014075988338</v>
      </c>
      <c r="G12" s="16">
        <v>17420.203000000001</v>
      </c>
      <c r="H12" s="16">
        <f t="shared" si="5"/>
        <v>-3509.3330000000005</v>
      </c>
      <c r="I12" s="17">
        <f t="shared" si="6"/>
        <v>-0.20145190041700434</v>
      </c>
      <c r="J12" s="45" t="s">
        <v>24</v>
      </c>
      <c r="K12" s="45" t="s">
        <v>25</v>
      </c>
    </row>
    <row r="13" spans="1:11" ht="15.75">
      <c r="A13" s="32" t="str">
        <v>CA: Petaluma MOB - Citi</v>
      </c>
      <c r="B13" s="33" t="str">
        <v>CA</v>
      </c>
      <c r="C13" s="12">
        <v>33858.75</v>
      </c>
      <c r="D13" s="20">
        <v>43911</v>
      </c>
      <c r="E13" s="20">
        <f t="shared" si="4"/>
        <v>-10052.25</v>
      </c>
      <c r="F13" s="21">
        <f t="shared" si="3"/>
        <v>-0.22892327662772427</v>
      </c>
      <c r="G13" s="22">
        <v>41451.396000000001</v>
      </c>
      <c r="H13" s="22">
        <f t="shared" si="5"/>
        <v>-7592.6460000000006</v>
      </c>
      <c r="I13" s="21">
        <f t="shared" si="6"/>
        <v>-0.18316985029888982</v>
      </c>
      <c r="J13" s="46" t="s">
        <v>26</v>
      </c>
      <c r="K13" s="46" t="s">
        <v>27</v>
      </c>
    </row>
    <row r="14" spans="1:11" ht="15.75">
      <c r="A14" s="30" t="str">
        <v>CA: Pleasanton Tec Ctr - Citi</v>
      </c>
      <c r="B14" s="31" t="str">
        <v>CA</v>
      </c>
      <c r="C14" s="26">
        <v>45268</v>
      </c>
      <c r="D14" s="14">
        <v>60582</v>
      </c>
      <c r="E14" s="14">
        <f t="shared" si="4"/>
        <v>-15314</v>
      </c>
      <c r="F14" s="15">
        <f t="shared" si="3"/>
        <v>-0.25278135419761644</v>
      </c>
      <c r="G14" s="16">
        <v>54214.860999999997</v>
      </c>
      <c r="H14" s="16">
        <f t="shared" si="5"/>
        <v>-8946.8609999999971</v>
      </c>
      <c r="I14" s="17">
        <f t="shared" si="6"/>
        <v>-0.16502598798510243</v>
      </c>
      <c r="J14" s="45"/>
      <c r="K14" s="45"/>
    </row>
    <row r="15" spans="1:11" ht="15.75">
      <c r="A15" s="32" t="str">
        <v>CA: Rancho Cordova - Citi</v>
      </c>
      <c r="B15" s="33" t="str">
        <v>CA</v>
      </c>
      <c r="C15" s="12">
        <v>81162.5</v>
      </c>
      <c r="D15" s="20">
        <v>89248</v>
      </c>
      <c r="E15" s="20">
        <f t="shared" si="4"/>
        <v>-8085.5</v>
      </c>
      <c r="F15" s="21">
        <f t="shared" si="3"/>
        <v>-9.0595867694514165E-2</v>
      </c>
      <c r="G15" s="22">
        <v>85149.357999999993</v>
      </c>
      <c r="H15" s="22">
        <f t="shared" si="5"/>
        <v>-3986.8579999999929</v>
      </c>
      <c r="I15" s="21">
        <f t="shared" si="6"/>
        <v>-4.6821938457833036E-2</v>
      </c>
      <c r="J15" s="46"/>
      <c r="K15" s="47"/>
    </row>
    <row r="16" spans="1:11" ht="15.75">
      <c r="A16" s="30" t="str">
        <v>CA: S Sacramento Wyndham - Citi</v>
      </c>
      <c r="B16" s="31" t="str">
        <v>CA</v>
      </c>
      <c r="C16" s="37">
        <v>38853.75</v>
      </c>
      <c r="D16" s="14">
        <v>47087</v>
      </c>
      <c r="E16" s="14">
        <f t="shared" ref="E16:E21" si="7">IF(AND(ISNUMBER(C16),ISNUMBER(D16)), C16-D16, "")</f>
        <v>-8233.25</v>
      </c>
      <c r="F16" s="38">
        <f t="shared" ref="F16:F21" si="8">IFERROR(E16/D16, "")</f>
        <v>-0.17485186994287172</v>
      </c>
      <c r="G16" s="39">
        <v>39156.317000000003</v>
      </c>
      <c r="H16" s="39">
        <f t="shared" ref="H16:H21" si="9">IF(AND(ISNUMBER(C16),ISNUMBER(G16)), C16-G16, "")</f>
        <v>-302.56700000000274</v>
      </c>
      <c r="I16" s="40">
        <f t="shared" ref="I16:I21" si="10">IFERROR(H16/G16, "")</f>
        <v>-7.7271567701324593E-3</v>
      </c>
      <c r="J16" s="48"/>
      <c r="K16" s="48"/>
    </row>
    <row r="17" spans="1:11" ht="45">
      <c r="A17" s="32" t="str">
        <v>CA: Sacramento Point West - Citi</v>
      </c>
      <c r="B17" s="33" t="str">
        <v>CA</v>
      </c>
      <c r="C17" s="42">
        <v>61132.5</v>
      </c>
      <c r="D17" s="20">
        <v>90683</v>
      </c>
      <c r="E17" s="20">
        <f t="shared" si="7"/>
        <v>-29550.5</v>
      </c>
      <c r="F17" s="43">
        <f t="shared" si="8"/>
        <v>-0.32586592856433949</v>
      </c>
      <c r="G17" s="44">
        <v>84913.76</v>
      </c>
      <c r="H17" s="44">
        <f t="shared" si="9"/>
        <v>-23781.259999999995</v>
      </c>
      <c r="I17" s="43">
        <f t="shared" si="10"/>
        <v>-0.28006367872533255</v>
      </c>
      <c r="J17" s="55" t="s">
        <v>28</v>
      </c>
      <c r="K17" s="47" t="s">
        <v>29</v>
      </c>
    </row>
    <row r="18" spans="1:11" ht="15.75">
      <c r="A18" s="30" t="str">
        <v>CA: San Jose FHC - Citi</v>
      </c>
      <c r="B18" s="31" t="str">
        <v>CA</v>
      </c>
      <c r="C18" s="37">
        <v>16855.75</v>
      </c>
      <c r="D18" s="14">
        <v>23498</v>
      </c>
      <c r="E18" s="14">
        <f t="shared" si="7"/>
        <v>-6642.25</v>
      </c>
      <c r="F18" s="38">
        <f t="shared" si="8"/>
        <v>-0.28267299344625074</v>
      </c>
      <c r="G18" s="39">
        <v>19495.032999999999</v>
      </c>
      <c r="H18" s="39">
        <f t="shared" si="9"/>
        <v>-2639.2829999999994</v>
      </c>
      <c r="I18" s="40">
        <f t="shared" si="10"/>
        <v>-0.13538233046335441</v>
      </c>
      <c r="J18" s="48" t="s">
        <v>30</v>
      </c>
      <c r="K18" s="48" t="s">
        <v>31</v>
      </c>
    </row>
    <row r="19" spans="1:11" ht="15.75">
      <c r="A19" s="32" t="str">
        <v>CA: San Jose MOB - Citi</v>
      </c>
      <c r="B19" s="33" t="str">
        <v>CA</v>
      </c>
      <c r="C19" s="42">
        <v>22890.75</v>
      </c>
      <c r="D19" s="20">
        <v>38233</v>
      </c>
      <c r="E19" s="20">
        <f t="shared" si="7"/>
        <v>-15342.25</v>
      </c>
      <c r="F19" s="43">
        <f t="shared" si="8"/>
        <v>-0.40128292312923391</v>
      </c>
      <c r="G19" s="44">
        <v>30904.094000000001</v>
      </c>
      <c r="H19" s="44">
        <f t="shared" si="9"/>
        <v>-8013.344000000001</v>
      </c>
      <c r="I19" s="43">
        <f t="shared" si="10"/>
        <v>-0.25929716625894295</v>
      </c>
      <c r="J19" s="46" t="s">
        <v>32</v>
      </c>
      <c r="K19" s="47" t="s">
        <v>33</v>
      </c>
    </row>
    <row r="20" spans="1:11" ht="15.75">
      <c r="A20" s="30" t="str">
        <v>CA: Selma - Citi</v>
      </c>
      <c r="B20" s="31" t="str">
        <v>CA</v>
      </c>
      <c r="C20" s="37">
        <v>16830.5</v>
      </c>
      <c r="D20" s="14">
        <v>15271</v>
      </c>
      <c r="E20" s="14">
        <f t="shared" si="7"/>
        <v>1559.5</v>
      </c>
      <c r="F20" s="38">
        <f t="shared" si="8"/>
        <v>0.10212166852203523</v>
      </c>
      <c r="G20" s="39">
        <v>19231.669999999998</v>
      </c>
      <c r="H20" s="39">
        <f t="shared" si="9"/>
        <v>-2401.1699999999983</v>
      </c>
      <c r="I20" s="40">
        <f t="shared" si="10"/>
        <v>-0.12485499179218437</v>
      </c>
      <c r="J20" s="48"/>
      <c r="K20" s="48"/>
    </row>
    <row r="21" spans="1:11" ht="15.75">
      <c r="A21" s="32" t="str">
        <v>CA: Vacaville Hospital</v>
      </c>
      <c r="B21" s="33" t="str">
        <v>CA</v>
      </c>
      <c r="C21" s="42">
        <v>105587</v>
      </c>
      <c r="D21" s="20">
        <v>131069</v>
      </c>
      <c r="E21" s="20">
        <f t="shared" si="7"/>
        <v>-25482</v>
      </c>
      <c r="F21" s="43">
        <f t="shared" si="8"/>
        <v>-0.19441668129000755</v>
      </c>
      <c r="G21" s="44">
        <v>102862.192</v>
      </c>
      <c r="H21" s="44">
        <f t="shared" si="9"/>
        <v>2724.8080000000045</v>
      </c>
      <c r="I21" s="43">
        <f t="shared" si="10"/>
        <v>2.6489888529694222E-2</v>
      </c>
      <c r="J21" s="11"/>
      <c r="K21" s="19"/>
    </row>
    <row r="22" spans="1:11" ht="15.75">
      <c r="A22" s="30" t="str">
        <v>CA: Manteca - KP Manteca Hospital</v>
      </c>
      <c r="B22" s="31" t="str">
        <v>CA</v>
      </c>
      <c r="C22" s="37">
        <v>34381</v>
      </c>
      <c r="D22" s="14">
        <v>0</v>
      </c>
      <c r="E22" s="14">
        <f>IF(AND(ISNUMBER(C22),ISNUMBER(D22)), C22-D22, "")</f>
        <v>34381</v>
      </c>
      <c r="F22" s="38">
        <f>IFERROR(E22/D22, 0)</f>
        <v>0</v>
      </c>
      <c r="G22" s="39">
        <v>0</v>
      </c>
      <c r="H22" s="39">
        <f>IF(AND(ISNUMBER(C22),ISNUMBER(G22)), C22-G22, "")</f>
        <v>34381</v>
      </c>
      <c r="I22" s="40">
        <f>IFERROR(H22/G22, 0)</f>
        <v>0</v>
      </c>
      <c r="J22" s="48"/>
      <c r="K22" s="48"/>
    </row>
    <row r="23" spans="1:11" ht="1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>
      <c r="A25" s="23"/>
      <c r="K25" s="23"/>
    </row>
    <row r="26" spans="1:11">
      <c r="A26" s="23"/>
      <c r="K26" s="23"/>
    </row>
    <row r="27" spans="1:11" ht="15">
      <c r="A27" s="23"/>
      <c r="B27" s="35"/>
      <c r="C27" s="23"/>
      <c r="D27" s="23"/>
      <c r="E27" s="23"/>
      <c r="F27" s="23"/>
      <c r="G27" s="23"/>
      <c r="H27" s="23"/>
      <c r="I27" s="23"/>
      <c r="J27" s="23"/>
      <c r="K27" s="23"/>
    </row>
    <row r="28" spans="1:11" ht="15">
      <c r="A28" s="23"/>
      <c r="B28" s="35"/>
      <c r="C28" s="23"/>
      <c r="D28" s="23"/>
      <c r="E28" s="23"/>
      <c r="F28" s="23"/>
      <c r="G28" s="23"/>
      <c r="H28" s="23"/>
      <c r="I28" s="23"/>
      <c r="J28" s="23"/>
      <c r="K28" s="23"/>
    </row>
    <row r="29" spans="1:11" ht="15">
      <c r="A29" s="23"/>
      <c r="B29" s="35"/>
      <c r="C29" s="35"/>
      <c r="D29" s="23"/>
      <c r="E29" s="23"/>
      <c r="F29" s="23"/>
      <c r="G29" s="23"/>
      <c r="H29" s="23"/>
      <c r="I29" s="23"/>
      <c r="J29" s="23"/>
      <c r="K29" s="23"/>
    </row>
    <row r="30" spans="1:11" ht="15">
      <c r="A30" s="23"/>
      <c r="B30" s="35"/>
      <c r="C30" s="35"/>
      <c r="D30" s="23"/>
      <c r="E30" s="23"/>
      <c r="F30" s="23"/>
      <c r="G30" s="23"/>
      <c r="H30" s="23"/>
      <c r="I30" s="23"/>
      <c r="J30" s="23"/>
      <c r="K30" s="23"/>
    </row>
    <row r="31" spans="1:11" ht="15">
      <c r="A31" s="23"/>
      <c r="B31" s="35"/>
      <c r="C31" s="23"/>
      <c r="D31" s="23"/>
      <c r="E31" s="23"/>
      <c r="F31" s="23"/>
      <c r="G31" s="23"/>
      <c r="H31" s="23"/>
      <c r="I31" s="23"/>
      <c r="J31" s="23"/>
      <c r="K31" s="23"/>
    </row>
    <row r="32" spans="1:11" ht="1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5">
      <c r="A335" s="23"/>
      <c r="B335" s="35"/>
      <c r="C335" s="23"/>
      <c r="D335" s="23"/>
      <c r="E335" s="23"/>
      <c r="F335" s="24"/>
      <c r="G335" s="23"/>
      <c r="H335" s="23"/>
      <c r="I335" s="24"/>
      <c r="J335" s="23"/>
      <c r="K335" s="23"/>
    </row>
    <row r="336" spans="1:11" ht="15">
      <c r="A336" s="23"/>
      <c r="B336" s="35"/>
      <c r="C336" s="23"/>
      <c r="D336" s="23"/>
      <c r="E336" s="23"/>
      <c r="F336" s="24"/>
      <c r="G336" s="23"/>
      <c r="H336" s="23"/>
      <c r="I336" s="24"/>
      <c r="J336" s="23"/>
      <c r="K336" s="23"/>
    </row>
    <row r="337" spans="1:11" ht="15">
      <c r="A337" s="23"/>
      <c r="B337" s="35"/>
      <c r="C337" s="23"/>
      <c r="D337" s="23"/>
      <c r="E337" s="23"/>
      <c r="F337" s="24"/>
      <c r="G337" s="23"/>
      <c r="H337" s="23"/>
      <c r="I337" s="24"/>
      <c r="J337" s="23"/>
      <c r="K337" s="23"/>
    </row>
    <row r="338" spans="1:11" ht="15">
      <c r="A338" s="23"/>
      <c r="B338" s="35"/>
      <c r="C338" s="23"/>
      <c r="D338" s="23"/>
      <c r="E338" s="23"/>
      <c r="F338" s="24"/>
      <c r="G338" s="23"/>
      <c r="H338" s="23"/>
      <c r="I338" s="24"/>
      <c r="J338" s="23"/>
      <c r="K338" s="23"/>
    </row>
    <row r="339" spans="1:11" ht="15">
      <c r="A339" s="23"/>
      <c r="B339" s="35"/>
      <c r="C339" s="23"/>
      <c r="D339" s="23"/>
      <c r="E339" s="23"/>
      <c r="F339" s="24"/>
      <c r="G339" s="23"/>
      <c r="H339" s="23"/>
      <c r="I339" s="24"/>
      <c r="J339" s="23"/>
      <c r="K339" s="23"/>
    </row>
    <row r="340" spans="1:11" ht="15">
      <c r="A340" s="23"/>
      <c r="B340" s="35"/>
      <c r="C340" s="23"/>
      <c r="D340" s="23"/>
      <c r="E340" s="23"/>
      <c r="F340" s="24"/>
      <c r="G340" s="23"/>
      <c r="H340" s="23"/>
      <c r="I340" s="24"/>
      <c r="J340" s="23"/>
      <c r="K340" s="23"/>
    </row>
    <row r="341" spans="1:11" ht="15">
      <c r="A341" s="23"/>
      <c r="B341" s="35"/>
      <c r="C341" s="23"/>
      <c r="D341" s="23"/>
      <c r="E341" s="23"/>
      <c r="F341" s="24"/>
      <c r="G341" s="23"/>
      <c r="H341" s="23"/>
      <c r="I341" s="24"/>
      <c r="J341" s="23"/>
      <c r="K341" s="23"/>
    </row>
  </sheetData>
  <mergeCells count="4">
    <mergeCell ref="D1:F1"/>
    <mergeCell ref="A1:C1"/>
    <mergeCell ref="G1:I1"/>
    <mergeCell ref="A2:B2"/>
  </mergeCells>
  <conditionalFormatting sqref="F2 I2 F4:F24 I4:I24 F27:F28 I27:I28 G29:G30 J29:J30 F31:F99 I31:I99">
    <cfRule type="cellIs" dxfId="24" priority="2" stopIfTrue="1" operator="lessThanOrEqual">
      <formula>-0.1</formula>
    </cfRule>
    <cfRule type="expression" dxfId="23" priority="3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42"/>
  <sheetViews>
    <sheetView tabSelected="1" topLeftCell="B1" workbookViewId="0">
      <pane ySplit="2" topLeftCell="A3" activePane="bottomLeft" state="frozen"/>
      <selection pane="bottomLeft" activeCell="J26" sqref="J26"/>
    </sheetView>
  </sheetViews>
  <sheetFormatPr defaultRowHeight="14.25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1" t="str" cm="1">
        <f t="array" ref="A1">portfolio</f>
        <v>CITI</v>
      </c>
      <c r="B1" s="61"/>
      <c r="C1" s="61"/>
      <c r="D1" s="62" t="s">
        <v>34</v>
      </c>
      <c r="E1" s="62"/>
      <c r="F1" s="62"/>
      <c r="G1" s="60" t="s">
        <v>35</v>
      </c>
      <c r="H1" s="60"/>
      <c r="I1" s="60"/>
      <c r="J1" s="5"/>
      <c r="K1" s="5"/>
    </row>
    <row r="2" spans="1:11" ht="19.5" customHeight="1">
      <c r="A2" s="63" t="s">
        <v>2</v>
      </c>
      <c r="B2" s="63"/>
      <c r="C2" s="6">
        <f>SUM(C4:C100)</f>
        <v>1148130.9000000001</v>
      </c>
      <c r="D2" s="6">
        <f>SUM(D4:D100)</f>
        <v>1139799.1600000001</v>
      </c>
      <c r="E2" s="6">
        <f>C2-D2</f>
        <v>8331.7399999999907</v>
      </c>
      <c r="F2" s="7">
        <f>IFERROR(E2/D2, 0)</f>
        <v>7.3098316724500741E-3</v>
      </c>
      <c r="G2" s="6">
        <f>SUM(G4:G100)</f>
        <v>1229355.344</v>
      </c>
      <c r="H2" s="8">
        <f>C2-G2</f>
        <v>-81224.443999999901</v>
      </c>
      <c r="I2" s="7">
        <f>IFERROR(H2/G2, 0)</f>
        <v>-6.6070761717858445E-2</v>
      </c>
      <c r="J2" s="28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49" t="s">
        <v>6</v>
      </c>
      <c r="E3" s="49" t="s">
        <v>7</v>
      </c>
      <c r="F3" s="50" t="s">
        <v>8</v>
      </c>
      <c r="G3" s="51" t="s">
        <v>9</v>
      </c>
      <c r="H3" s="52" t="s">
        <v>7</v>
      </c>
      <c r="I3" s="53" t="s">
        <v>8</v>
      </c>
      <c r="J3" s="27" t="s">
        <v>20</v>
      </c>
      <c r="K3" s="27" t="s">
        <v>21</v>
      </c>
    </row>
    <row r="4" spans="1:11" ht="15.75">
      <c r="A4" s="34" t="str" cm="1">
        <f t="array" ref="A4:A22">Sites[Site]</f>
        <v>CA: Antioch Deer Valley - Citi</v>
      </c>
      <c r="B4" s="31" t="str" cm="1">
        <f t="array" ref="B4:B22">Sites[State]</f>
        <v>CA</v>
      </c>
      <c r="C4" s="26">
        <v>33559</v>
      </c>
      <c r="D4" s="14">
        <v>33671</v>
      </c>
      <c r="E4" s="14">
        <f>IF(AND(ISNUMBER(C4),ISNUMBER(D4)), C4-D4, "")</f>
        <v>-112</v>
      </c>
      <c r="F4" s="15">
        <f>IFERROR(E4/D4, "")</f>
        <v>-3.3263045350598436E-3</v>
      </c>
      <c r="G4" s="16">
        <v>34392.864999999998</v>
      </c>
      <c r="H4" s="16">
        <f>IF(AND(ISNUMBER(C4),ISNUMBER(G4)), C4-G4, "")</f>
        <v>-833.86499999999796</v>
      </c>
      <c r="I4" s="17">
        <f>IFERROR(H4/G4, "")</f>
        <v>-2.4245290411252392E-2</v>
      </c>
      <c r="J4" s="18"/>
      <c r="K4" s="18"/>
    </row>
    <row r="5" spans="1:11" ht="15.75">
      <c r="A5" s="32" t="str">
        <v>CA: Antioch MC CUP - Citi</v>
      </c>
      <c r="B5" s="33" t="str">
        <v>CA</v>
      </c>
      <c r="C5" s="12">
        <v>110890</v>
      </c>
      <c r="D5" s="20">
        <v>111096</v>
      </c>
      <c r="E5" s="20">
        <f t="shared" ref="E5:E15" si="0">IF(AND(ISNUMBER(C5),ISNUMBER(D5)), C5-D5, "")</f>
        <v>-206</v>
      </c>
      <c r="F5" s="21">
        <f>IFERROR(E5/D5, "")</f>
        <v>-1.8542521782962482E-3</v>
      </c>
      <c r="G5" s="22">
        <v>113606.749</v>
      </c>
      <c r="H5" s="22">
        <f t="shared" ref="H5:H15" si="1">IF(AND(ISNUMBER(C5),ISNUMBER(G5)), C5-G5, "")</f>
        <v>-2716.7489999999962</v>
      </c>
      <c r="I5" s="21">
        <f t="shared" ref="I5:I15" si="2">IFERROR(H5/G5, "")</f>
        <v>-2.3913623300672007E-2</v>
      </c>
      <c r="J5" s="11"/>
      <c r="K5" s="19"/>
    </row>
    <row r="6" spans="1:11" ht="15.75">
      <c r="A6" s="30" t="str">
        <v>CA: Clovis - Citi</v>
      </c>
      <c r="B6" s="31" t="str">
        <v>CA</v>
      </c>
      <c r="C6" s="26">
        <v>48875.75</v>
      </c>
      <c r="D6" s="14">
        <v>45628</v>
      </c>
      <c r="E6" s="14">
        <f t="shared" si="0"/>
        <v>3247.75</v>
      </c>
      <c r="F6" s="15">
        <f t="shared" ref="F6:F15" si="3">IFERROR(E6/D6, "")</f>
        <v>7.1178881388621024E-2</v>
      </c>
      <c r="G6" s="16">
        <v>55784.006000000001</v>
      </c>
      <c r="H6" s="16">
        <f t="shared" si="1"/>
        <v>-6908.2560000000012</v>
      </c>
      <c r="I6" s="17">
        <f t="shared" si="2"/>
        <v>-0.12383936714763728</v>
      </c>
      <c r="J6" s="18"/>
      <c r="K6" s="18"/>
    </row>
    <row r="7" spans="1:11" ht="15.75">
      <c r="A7" s="32" t="str">
        <v>CA: Elk Grove MOB - Citi</v>
      </c>
      <c r="B7" s="33" t="str">
        <v>CA</v>
      </c>
      <c r="C7" s="12">
        <v>72294.5</v>
      </c>
      <c r="D7" s="20">
        <v>73903</v>
      </c>
      <c r="E7" s="20">
        <f t="shared" si="0"/>
        <v>-1608.5</v>
      </c>
      <c r="F7" s="21">
        <f t="shared" si="3"/>
        <v>-2.1765016305156759E-2</v>
      </c>
      <c r="G7" s="22">
        <v>76074.414999999994</v>
      </c>
      <c r="H7" s="22">
        <f t="shared" si="1"/>
        <v>-3779.9149999999936</v>
      </c>
      <c r="I7" s="21">
        <f t="shared" si="2"/>
        <v>-4.9687072848341902E-2</v>
      </c>
      <c r="J7" s="11"/>
      <c r="K7" s="11"/>
    </row>
    <row r="8" spans="1:11" ht="15.75">
      <c r="A8" s="30" t="str">
        <v>CA: Elk Grove Promenade - Citi</v>
      </c>
      <c r="B8" s="31" t="str">
        <v>CA</v>
      </c>
      <c r="C8" s="26">
        <v>34178.25</v>
      </c>
      <c r="D8" s="14">
        <v>40382.160000000003</v>
      </c>
      <c r="E8" s="14">
        <f t="shared" si="0"/>
        <v>-6203.9100000000035</v>
      </c>
      <c r="F8" s="15">
        <f t="shared" si="3"/>
        <v>-0.15362996927356048</v>
      </c>
      <c r="G8" s="16">
        <v>42366.747000000003</v>
      </c>
      <c r="H8" s="16">
        <f t="shared" si="1"/>
        <v>-8188.497000000003</v>
      </c>
      <c r="I8" s="17">
        <f t="shared" si="2"/>
        <v>-0.19327650999497323</v>
      </c>
      <c r="J8" s="18"/>
      <c r="K8" s="18"/>
    </row>
    <row r="9" spans="1:11" ht="15.75">
      <c r="A9" s="32" t="str">
        <v>CA: Fresno Sequioa - Citi</v>
      </c>
      <c r="B9" s="33" t="str">
        <v>CA</v>
      </c>
      <c r="C9" s="12">
        <v>87690.75</v>
      </c>
      <c r="D9" s="20">
        <v>83436</v>
      </c>
      <c r="E9" s="20">
        <f t="shared" si="0"/>
        <v>4254.75</v>
      </c>
      <c r="F9" s="21">
        <f t="shared" si="3"/>
        <v>5.0994175176182946E-2</v>
      </c>
      <c r="G9" s="22">
        <v>90443.702999999994</v>
      </c>
      <c r="H9" s="22">
        <f t="shared" si="1"/>
        <v>-2752.9529999999941</v>
      </c>
      <c r="I9" s="21">
        <f t="shared" si="2"/>
        <v>-3.0438304809346364E-2</v>
      </c>
      <c r="J9" s="11"/>
      <c r="K9" s="11"/>
    </row>
    <row r="10" spans="1:11" ht="15.75">
      <c r="A10" s="30" t="str">
        <v>CA: Fresno MOB - Citi</v>
      </c>
      <c r="B10" s="31" t="str">
        <v>CA</v>
      </c>
      <c r="C10" s="26">
        <v>33643.129999999997</v>
      </c>
      <c r="D10" s="14">
        <v>33625</v>
      </c>
      <c r="E10" s="14">
        <f t="shared" si="0"/>
        <v>18.129999999997381</v>
      </c>
      <c r="F10" s="15">
        <f t="shared" si="3"/>
        <v>5.3918215613375114E-4</v>
      </c>
      <c r="G10" s="16">
        <v>33875.379000000001</v>
      </c>
      <c r="H10" s="16">
        <f t="shared" si="1"/>
        <v>-232.24900000000343</v>
      </c>
      <c r="I10" s="17">
        <f t="shared" si="2"/>
        <v>-6.8559823345446091E-3</v>
      </c>
      <c r="J10" s="18"/>
      <c r="K10" s="18"/>
    </row>
    <row r="11" spans="1:11" ht="15.75">
      <c r="A11" s="32" t="str">
        <v>CA: Modesto Bangs - Citi</v>
      </c>
      <c r="B11" s="33" t="str">
        <v>CA</v>
      </c>
      <c r="C11" s="12">
        <v>18676.37</v>
      </c>
      <c r="D11" s="20">
        <v>20450</v>
      </c>
      <c r="E11" s="20">
        <f t="shared" si="0"/>
        <v>-1773.630000000001</v>
      </c>
      <c r="F11" s="21">
        <f t="shared" si="3"/>
        <v>-8.6730073349633299E-2</v>
      </c>
      <c r="G11" s="22">
        <v>19457.063999999998</v>
      </c>
      <c r="H11" s="22">
        <f t="shared" si="1"/>
        <v>-780.69399999999951</v>
      </c>
      <c r="I11" s="21">
        <f t="shared" si="2"/>
        <v>-4.0123936478802739E-2</v>
      </c>
      <c r="J11" s="11"/>
      <c r="K11" s="11"/>
    </row>
    <row r="12" spans="1:11" ht="15.75">
      <c r="A12" s="30" t="str">
        <v>CA: Napa Data Center - Citi</v>
      </c>
      <c r="B12" s="31" t="str">
        <v>CA</v>
      </c>
      <c r="C12" s="26">
        <v>19292</v>
      </c>
      <c r="D12" s="14">
        <v>22187</v>
      </c>
      <c r="E12" s="14">
        <f t="shared" si="0"/>
        <v>-2895</v>
      </c>
      <c r="F12" s="15">
        <f t="shared" si="3"/>
        <v>-0.13048181367467435</v>
      </c>
      <c r="G12" s="16">
        <v>23401.866000000002</v>
      </c>
      <c r="H12" s="16">
        <f t="shared" si="1"/>
        <v>-4109.8660000000018</v>
      </c>
      <c r="I12" s="17">
        <f t="shared" si="2"/>
        <v>-0.17562129447284253</v>
      </c>
      <c r="J12" s="58" t="s">
        <v>36</v>
      </c>
      <c r="K12" s="58" t="s">
        <v>37</v>
      </c>
    </row>
    <row r="13" spans="1:11" ht="15.75">
      <c r="A13" s="32" t="str">
        <v>CA: Petaluma MOB - Citi</v>
      </c>
      <c r="B13" s="33" t="str">
        <v>CA</v>
      </c>
      <c r="C13" s="12">
        <v>45005</v>
      </c>
      <c r="D13" s="20">
        <v>50968</v>
      </c>
      <c r="E13" s="20">
        <f t="shared" si="0"/>
        <v>-5963</v>
      </c>
      <c r="F13" s="21">
        <f t="shared" si="3"/>
        <v>-0.11699497724062156</v>
      </c>
      <c r="G13" s="22">
        <v>53496.512999999999</v>
      </c>
      <c r="H13" s="22">
        <f t="shared" si="1"/>
        <v>-8491.512999999999</v>
      </c>
      <c r="I13" s="21">
        <f t="shared" si="2"/>
        <v>-0.15873021480858013</v>
      </c>
      <c r="J13" s="59" t="s">
        <v>38</v>
      </c>
      <c r="K13" s="59" t="s">
        <v>39</v>
      </c>
    </row>
    <row r="14" spans="1:11" ht="15.75">
      <c r="A14" s="30" t="str">
        <v>CA: Pleasanton Tec Ctr - Citi</v>
      </c>
      <c r="B14" s="31" t="str">
        <v>CA</v>
      </c>
      <c r="C14" s="26">
        <v>61506.5</v>
      </c>
      <c r="D14" s="14">
        <v>71319</v>
      </c>
      <c r="E14" s="14">
        <f t="shared" si="0"/>
        <v>-9812.5</v>
      </c>
      <c r="F14" s="15">
        <f t="shared" si="3"/>
        <v>-0.13758605701145557</v>
      </c>
      <c r="G14" s="16">
        <v>73097.040999999997</v>
      </c>
      <c r="H14" s="16">
        <f t="shared" si="1"/>
        <v>-11590.540999999997</v>
      </c>
      <c r="I14" s="17">
        <f t="shared" si="2"/>
        <v>-0.15856375089109281</v>
      </c>
      <c r="J14" s="18" t="s">
        <v>40</v>
      </c>
      <c r="K14" s="18"/>
    </row>
    <row r="15" spans="1:11" ht="15.75">
      <c r="A15" s="32" t="str">
        <v>CA: Rancho Cordova - Citi</v>
      </c>
      <c r="B15" s="33" t="str">
        <v>CA</v>
      </c>
      <c r="C15" s="12">
        <v>122166.5</v>
      </c>
      <c r="D15" s="20">
        <v>116239</v>
      </c>
      <c r="E15" s="20">
        <f t="shared" si="0"/>
        <v>5927.5</v>
      </c>
      <c r="F15" s="21">
        <f t="shared" si="3"/>
        <v>5.0994072557403278E-2</v>
      </c>
      <c r="G15" s="22">
        <v>124611.564</v>
      </c>
      <c r="H15" s="22">
        <f t="shared" si="1"/>
        <v>-2445.0639999999985</v>
      </c>
      <c r="I15" s="21">
        <f t="shared" si="2"/>
        <v>-1.9621485530829215E-2</v>
      </c>
      <c r="J15" s="11"/>
      <c r="K15" s="11"/>
    </row>
    <row r="16" spans="1:11" ht="15.75">
      <c r="A16" s="30" t="str">
        <v>CA: S Sacramento Wyndham - Citi</v>
      </c>
      <c r="B16" s="31" t="str">
        <v>CA</v>
      </c>
      <c r="C16" s="37">
        <v>59864.25</v>
      </c>
      <c r="D16" s="14">
        <v>63439</v>
      </c>
      <c r="E16" s="14">
        <f t="shared" ref="E16:E22" si="4">IF(AND(ISNUMBER(C16),ISNUMBER(D16)), C16-D16, "")</f>
        <v>-3574.75</v>
      </c>
      <c r="F16" s="38">
        <f t="shared" ref="F16:F22" si="5">IFERROR(E16/D16, "")</f>
        <v>-5.6349406516496163E-2</v>
      </c>
      <c r="G16" s="39">
        <v>60517.139000000003</v>
      </c>
      <c r="H16" s="39">
        <f t="shared" ref="H16:H23" si="6">IF(AND(ISNUMBER(C16),ISNUMBER(G16)), C16-G16, "")</f>
        <v>-652.88900000000285</v>
      </c>
      <c r="I16" s="40">
        <f t="shared" ref="I16:I22" si="7">IFERROR(H16/G16, "")</f>
        <v>-1.0788497453589186E-2</v>
      </c>
      <c r="J16" s="41"/>
      <c r="K16" s="41"/>
    </row>
    <row r="17" spans="1:11" ht="15.75">
      <c r="A17" s="32" t="str">
        <v>CA: Sacramento Point West - Citi</v>
      </c>
      <c r="B17" s="33" t="str">
        <v>CA</v>
      </c>
      <c r="C17" s="42">
        <v>112885.5</v>
      </c>
      <c r="D17" s="20">
        <v>122195</v>
      </c>
      <c r="E17" s="20">
        <f t="shared" si="4"/>
        <v>-9309.5</v>
      </c>
      <c r="F17" s="43">
        <f t="shared" si="5"/>
        <v>-7.6185604975653673E-2</v>
      </c>
      <c r="G17" s="44">
        <v>126300.285</v>
      </c>
      <c r="H17" s="44">
        <f t="shared" si="6"/>
        <v>-13414.785000000003</v>
      </c>
      <c r="I17" s="43">
        <f t="shared" si="7"/>
        <v>-0.10621341828326043</v>
      </c>
      <c r="J17" s="11"/>
      <c r="K17" s="11"/>
    </row>
    <row r="18" spans="1:11" ht="31.9" customHeight="1">
      <c r="A18" s="30" t="str">
        <v>CA: San Jose FHC - Citi</v>
      </c>
      <c r="B18" s="31" t="str">
        <v>CA</v>
      </c>
      <c r="C18" s="37">
        <v>22462.87</v>
      </c>
      <c r="D18" s="14">
        <v>26589</v>
      </c>
      <c r="E18" s="14">
        <f t="shared" si="4"/>
        <v>-4126.130000000001</v>
      </c>
      <c r="F18" s="38">
        <f t="shared" si="5"/>
        <v>-0.15518184211516045</v>
      </c>
      <c r="G18" s="39">
        <v>26197.633999999998</v>
      </c>
      <c r="H18" s="39">
        <f t="shared" si="6"/>
        <v>-3734.7639999999992</v>
      </c>
      <c r="I18" s="40">
        <f t="shared" si="7"/>
        <v>-0.14256111830556911</v>
      </c>
      <c r="J18" s="41" t="s">
        <v>41</v>
      </c>
      <c r="K18" s="41" t="s">
        <v>31</v>
      </c>
    </row>
    <row r="19" spans="1:11" ht="15.75">
      <c r="A19" s="32" t="str">
        <v>CA: San Jose MOB - Citi</v>
      </c>
      <c r="B19" s="33" t="str">
        <v>CA</v>
      </c>
      <c r="C19" s="42">
        <v>35183</v>
      </c>
      <c r="D19" s="20">
        <v>42352</v>
      </c>
      <c r="E19" s="20">
        <f t="shared" si="4"/>
        <v>-7169</v>
      </c>
      <c r="F19" s="43">
        <f t="shared" si="5"/>
        <v>-0.16927181715149225</v>
      </c>
      <c r="G19" s="44">
        <v>42492.879000000001</v>
      </c>
      <c r="H19" s="44">
        <f t="shared" si="6"/>
        <v>-7309.8790000000008</v>
      </c>
      <c r="I19" s="43">
        <f t="shared" si="7"/>
        <v>-0.17202597639948097</v>
      </c>
      <c r="J19" s="57" t="s">
        <v>42</v>
      </c>
      <c r="K19" s="57" t="s">
        <v>43</v>
      </c>
    </row>
    <row r="20" spans="1:11" ht="15.75">
      <c r="A20" s="30" t="str">
        <v>CA: Selma - Citi</v>
      </c>
      <c r="B20" s="31" t="str">
        <v>CA</v>
      </c>
      <c r="C20" s="37">
        <v>24445.75</v>
      </c>
      <c r="D20" s="14">
        <v>23641</v>
      </c>
      <c r="E20" s="14">
        <f t="shared" si="4"/>
        <v>804.75</v>
      </c>
      <c r="F20" s="38">
        <f t="shared" si="5"/>
        <v>3.4040438221733429E-2</v>
      </c>
      <c r="G20" s="39">
        <v>27180.012999999999</v>
      </c>
      <c r="H20" s="39">
        <f t="shared" si="6"/>
        <v>-2734.262999999999</v>
      </c>
      <c r="I20" s="40">
        <f t="shared" si="7"/>
        <v>-0.10059829625541383</v>
      </c>
      <c r="J20" s="41"/>
      <c r="K20" s="41"/>
    </row>
    <row r="21" spans="1:11" ht="15.75">
      <c r="A21" s="32" t="str">
        <v>CA: Vacaville Hospital</v>
      </c>
      <c r="B21" s="33" t="str">
        <v>CA</v>
      </c>
      <c r="C21" s="42">
        <v>153862.75</v>
      </c>
      <c r="D21" s="20">
        <v>158679</v>
      </c>
      <c r="E21" s="20">
        <f t="shared" si="4"/>
        <v>-4816.25</v>
      </c>
      <c r="F21" s="43">
        <f t="shared" si="5"/>
        <v>-3.0352157500362367E-2</v>
      </c>
      <c r="G21" s="44">
        <v>151744.47899999999</v>
      </c>
      <c r="H21" s="44">
        <f t="shared" si="6"/>
        <v>2118.2710000000079</v>
      </c>
      <c r="I21" s="17">
        <f t="shared" si="7"/>
        <v>1.3959460100027811E-2</v>
      </c>
      <c r="J21" s="11"/>
      <c r="K21" s="11"/>
    </row>
    <row r="22" spans="1:11" ht="15.75">
      <c r="A22" s="30" t="str">
        <v>CA: Manteca - KP Manteca Hospital</v>
      </c>
      <c r="B22" s="31" t="str">
        <v>CA</v>
      </c>
      <c r="C22" s="37">
        <v>51649.03</v>
      </c>
      <c r="D22" s="14">
        <v>0</v>
      </c>
      <c r="E22" s="14">
        <f t="shared" si="4"/>
        <v>51649.03</v>
      </c>
      <c r="F22" s="38" t="str">
        <f t="shared" si="5"/>
        <v/>
      </c>
      <c r="G22" s="39">
        <v>54315.002999999997</v>
      </c>
      <c r="H22" s="39">
        <f t="shared" si="6"/>
        <v>-2665.9729999999981</v>
      </c>
      <c r="I22" s="43">
        <f t="shared" si="7"/>
        <v>-4.9083546952947754E-2</v>
      </c>
      <c r="J22" s="41"/>
      <c r="K22" s="41"/>
    </row>
    <row r="23" spans="1:11" ht="15">
      <c r="A23" s="23"/>
      <c r="B23" s="35"/>
      <c r="C23" s="23"/>
      <c r="D23" s="23"/>
      <c r="E23" s="23"/>
      <c r="F23" s="23"/>
      <c r="G23" s="23"/>
      <c r="H23" s="44" t="str">
        <f t="shared" si="6"/>
        <v/>
      </c>
      <c r="I23" s="23"/>
      <c r="J23" s="35"/>
      <c r="K23" s="35"/>
    </row>
    <row r="24" spans="1:11" ht="1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5">
      <c r="A26" s="23"/>
      <c r="B26" s="35"/>
      <c r="C26" s="23"/>
      <c r="D26" s="23"/>
      <c r="E26" s="23"/>
      <c r="F26" s="23"/>
      <c r="G26" s="23"/>
      <c r="H26" s="23"/>
      <c r="I26" s="23"/>
      <c r="J26" s="23"/>
      <c r="K26" s="23"/>
    </row>
    <row r="27" spans="1:11" ht="15">
      <c r="A27" s="23"/>
      <c r="B27" s="35"/>
      <c r="C27" s="23"/>
      <c r="D27" s="23"/>
      <c r="E27" s="23"/>
      <c r="F27" s="23"/>
      <c r="G27" s="23"/>
      <c r="H27" s="23"/>
      <c r="I27" s="23"/>
      <c r="J27" s="23"/>
      <c r="K27" s="23"/>
    </row>
    <row r="28" spans="1:11" ht="15">
      <c r="A28" s="23"/>
      <c r="B28" s="35"/>
      <c r="C28" s="23"/>
      <c r="D28" s="23"/>
      <c r="E28" s="23"/>
      <c r="F28" s="23"/>
      <c r="G28" s="23"/>
      <c r="H28" s="23"/>
      <c r="I28" s="23"/>
      <c r="J28" s="23"/>
      <c r="K28" s="23"/>
    </row>
    <row r="29" spans="1:11" ht="15">
      <c r="A29" s="23"/>
      <c r="B29" s="35"/>
      <c r="C29" s="23"/>
      <c r="D29" s="23"/>
      <c r="E29" s="23"/>
      <c r="F29" s="23"/>
      <c r="G29" s="23"/>
      <c r="H29" s="23"/>
      <c r="I29" s="23"/>
      <c r="J29" s="23"/>
      <c r="K29" s="23"/>
    </row>
    <row r="30" spans="1:11" ht="15">
      <c r="A30" s="23"/>
      <c r="B30" s="35"/>
      <c r="C30" s="23"/>
      <c r="D30" s="23"/>
      <c r="E30" s="23"/>
      <c r="F30" s="23"/>
      <c r="G30" s="23"/>
      <c r="H30" s="23"/>
      <c r="I30" s="23"/>
      <c r="J30" s="23"/>
      <c r="K30" s="23"/>
    </row>
    <row r="31" spans="1:11" ht="15">
      <c r="A31" s="23"/>
      <c r="B31" s="35"/>
      <c r="C31" s="23"/>
      <c r="D31" s="23"/>
      <c r="E31" s="23"/>
      <c r="F31" s="23"/>
      <c r="G31" s="23"/>
      <c r="H31" s="23"/>
      <c r="I31" s="23"/>
      <c r="J31" s="23"/>
      <c r="K31" s="23"/>
    </row>
    <row r="32" spans="1:11" ht="15">
      <c r="A32" s="23"/>
      <c r="B32" s="35"/>
      <c r="C32" s="23"/>
      <c r="D32" s="23"/>
      <c r="E32" s="23"/>
      <c r="F32" s="23"/>
      <c r="G32" s="23"/>
      <c r="H32" s="23"/>
      <c r="I32" s="23"/>
      <c r="J32" s="23"/>
      <c r="K32" s="23"/>
    </row>
    <row r="33" spans="1:11" ht="1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5">
      <c r="A335" s="23"/>
      <c r="B335" s="35"/>
      <c r="C335" s="23"/>
      <c r="D335" s="23"/>
      <c r="E335" s="23"/>
      <c r="F335" s="24"/>
      <c r="G335" s="23"/>
      <c r="H335" s="23"/>
      <c r="I335" s="24"/>
      <c r="J335" s="23"/>
      <c r="K335" s="23"/>
    </row>
    <row r="336" spans="1:11" ht="15">
      <c r="A336" s="23"/>
      <c r="B336" s="35"/>
      <c r="C336" s="23"/>
      <c r="D336" s="23"/>
      <c r="E336" s="23"/>
      <c r="F336" s="24"/>
      <c r="G336" s="23"/>
      <c r="H336" s="23"/>
      <c r="I336" s="24"/>
      <c r="J336" s="23"/>
      <c r="K336" s="23"/>
    </row>
    <row r="337" spans="1:11" ht="15">
      <c r="A337" s="23"/>
      <c r="B337" s="35"/>
      <c r="C337" s="23"/>
      <c r="D337" s="23"/>
      <c r="E337" s="23"/>
      <c r="F337" s="24"/>
      <c r="G337" s="23"/>
      <c r="H337" s="23"/>
      <c r="I337" s="24"/>
      <c r="J337" s="23"/>
      <c r="K337" s="23"/>
    </row>
    <row r="338" spans="1:11" ht="15">
      <c r="A338" s="23"/>
      <c r="B338" s="35"/>
      <c r="C338" s="23"/>
      <c r="D338" s="23"/>
      <c r="E338" s="23"/>
      <c r="F338" s="24"/>
      <c r="G338" s="23"/>
      <c r="H338" s="23"/>
      <c r="I338" s="24"/>
      <c r="J338" s="23"/>
      <c r="K338" s="23"/>
    </row>
    <row r="339" spans="1:11" ht="15">
      <c r="A339" s="23"/>
      <c r="B339" s="35"/>
      <c r="C339" s="23"/>
      <c r="D339" s="23"/>
      <c r="E339" s="23"/>
      <c r="F339" s="24"/>
      <c r="G339" s="23"/>
      <c r="H339" s="23"/>
      <c r="I339" s="24"/>
      <c r="J339" s="23"/>
      <c r="K339" s="23"/>
    </row>
    <row r="340" spans="1:11" ht="15">
      <c r="A340" s="23"/>
      <c r="B340" s="35"/>
      <c r="C340" s="23"/>
      <c r="D340" s="23"/>
      <c r="E340" s="23"/>
      <c r="F340" s="24"/>
      <c r="G340" s="23"/>
      <c r="H340" s="23"/>
      <c r="I340" s="24"/>
      <c r="J340" s="23"/>
      <c r="K340" s="23"/>
    </row>
    <row r="341" spans="1:11" ht="15">
      <c r="A341" s="23"/>
      <c r="B341" s="35"/>
      <c r="C341" s="23"/>
      <c r="D341" s="23"/>
      <c r="E341" s="23"/>
      <c r="F341" s="24"/>
      <c r="G341" s="23"/>
      <c r="H341" s="23"/>
      <c r="I341" s="24"/>
      <c r="J341" s="23"/>
      <c r="K341" s="23"/>
    </row>
    <row r="342" spans="1:11">
      <c r="C342" s="23"/>
      <c r="D342" s="23"/>
      <c r="E342" s="23"/>
      <c r="F342" s="24"/>
      <c r="G342" s="23"/>
      <c r="H342" s="23"/>
      <c r="I342" s="24"/>
      <c r="J342" s="23"/>
      <c r="K342" s="23"/>
    </row>
  </sheetData>
  <mergeCells count="4">
    <mergeCell ref="G1:I1"/>
    <mergeCell ref="A1:C1"/>
    <mergeCell ref="D1:F1"/>
    <mergeCell ref="A2:B2"/>
  </mergeCells>
  <conditionalFormatting sqref="F2 I2 F4:F100 I4:I100">
    <cfRule type="cellIs" dxfId="22" priority="1" stopIfTrue="1" operator="lessThanOrEqual">
      <formula>-0.1</formula>
    </cfRule>
    <cfRule type="expression" dxfId="21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42"/>
  <sheetViews>
    <sheetView workbookViewId="0">
      <pane ySplit="2" topLeftCell="A3" activePane="bottomLeft" state="frozen"/>
      <selection pane="bottomLeft" activeCell="A22" sqref="A22:XFD22"/>
    </sheetView>
  </sheetViews>
  <sheetFormatPr defaultRowHeight="14.25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1" t="str" cm="1">
        <f t="array" ref="A1">portfolio</f>
        <v>CITI</v>
      </c>
      <c r="B1" s="61"/>
      <c r="C1" s="61"/>
      <c r="D1" s="62" t="s">
        <v>44</v>
      </c>
      <c r="E1" s="62"/>
      <c r="F1" s="62"/>
      <c r="G1" s="60" t="s">
        <v>45</v>
      </c>
      <c r="H1" s="60"/>
      <c r="I1" s="60"/>
      <c r="J1" s="5"/>
      <c r="K1" s="5"/>
    </row>
    <row r="2" spans="1:11" ht="19.5" customHeight="1">
      <c r="A2" s="63" t="s">
        <v>2</v>
      </c>
      <c r="B2" s="63"/>
      <c r="C2" s="6">
        <f>SUM(C4:C100)</f>
        <v>0</v>
      </c>
      <c r="D2" s="6">
        <f>SUM(D4:D100)</f>
        <v>0</v>
      </c>
      <c r="E2" s="6">
        <f>C2-D2</f>
        <v>0</v>
      </c>
      <c r="F2" s="7">
        <f>IFERROR(E2/D2, 0)</f>
        <v>0</v>
      </c>
      <c r="G2" s="6">
        <f>SUM(G4:G100)</f>
        <v>0</v>
      </c>
      <c r="H2" s="8">
        <f>C2-G2</f>
        <v>0</v>
      </c>
      <c r="I2" s="7">
        <f>IFERROR(H2/G2, 0)</f>
        <v>0</v>
      </c>
      <c r="J2" s="28" t="str">
        <f ca="1">IF(AND(TODAY()&gt;DATE(2024, 3,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49" t="s">
        <v>6</v>
      </c>
      <c r="E3" s="49" t="s">
        <v>7</v>
      </c>
      <c r="F3" s="50" t="s">
        <v>8</v>
      </c>
      <c r="G3" s="51" t="s">
        <v>9</v>
      </c>
      <c r="H3" s="52" t="s">
        <v>7</v>
      </c>
      <c r="I3" s="53" t="s">
        <v>8</v>
      </c>
      <c r="J3" s="27" t="s">
        <v>20</v>
      </c>
      <c r="K3" s="27" t="s">
        <v>21</v>
      </c>
    </row>
    <row r="4" spans="1:11" ht="15.75">
      <c r="A4" s="34" t="str" cm="1">
        <f t="array" ref="A4:A22">Sites[Site]</f>
        <v>CA: Antioch Deer Valley - Citi</v>
      </c>
      <c r="B4" s="31" t="str" cm="1">
        <f t="array" ref="B4:B22">Sites[State]</f>
        <v>CA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2" t="str">
        <v>CA: Antioch MC CUP - Citi</v>
      </c>
      <c r="B5" s="33" t="str">
        <v>CA</v>
      </c>
      <c r="C5" s="12"/>
      <c r="D5" s="20"/>
      <c r="E5" s="20" t="str">
        <f t="shared" ref="E5:E15" si="0">IF(AND(ISNUMBER(C5),ISNUMBER(D5)), C5-D5, "")</f>
        <v/>
      </c>
      <c r="F5" s="21" t="str">
        <f>IFERROR(E5/D5, "")</f>
        <v/>
      </c>
      <c r="G5" s="22"/>
      <c r="H5" s="22" t="str">
        <f t="shared" ref="H5:H15" si="1">IF(AND(ISNUMBER(C5),ISNUMBER(G5)), C5-G5, "")</f>
        <v/>
      </c>
      <c r="I5" s="21" t="str">
        <f t="shared" ref="I5:I15" si="2">IFERROR(H5/G5, "")</f>
        <v/>
      </c>
      <c r="J5" s="11"/>
      <c r="K5" s="19"/>
    </row>
    <row r="6" spans="1:11" ht="15.75">
      <c r="A6" s="30" t="str">
        <v>CA: Clovis - Citi</v>
      </c>
      <c r="B6" s="31" t="str">
        <v>CA</v>
      </c>
      <c r="C6" s="26"/>
      <c r="D6" s="14"/>
      <c r="E6" s="14" t="str">
        <f t="shared" si="0"/>
        <v/>
      </c>
      <c r="F6" s="15" t="str">
        <f t="shared" ref="F6:F15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5.75">
      <c r="A7" s="32" t="str">
        <v>CA: Elk Grove MOB - Citi</v>
      </c>
      <c r="B7" s="33" t="str">
        <v>CA</v>
      </c>
      <c r="C7" s="12"/>
      <c r="D7" s="20"/>
      <c r="E7" s="20" t="str">
        <f t="shared" si="0"/>
        <v/>
      </c>
      <c r="F7" s="21" t="str">
        <f t="shared" si="3"/>
        <v/>
      </c>
      <c r="G7" s="22"/>
      <c r="H7" s="22" t="str">
        <f t="shared" si="1"/>
        <v/>
      </c>
      <c r="I7" s="21" t="str">
        <f t="shared" si="2"/>
        <v/>
      </c>
      <c r="J7" s="11"/>
      <c r="K7" s="19"/>
    </row>
    <row r="8" spans="1:11" ht="15.75">
      <c r="A8" s="30" t="str">
        <v>CA: Elk Grove Promenade - Citi</v>
      </c>
      <c r="B8" s="31" t="str">
        <v>CA</v>
      </c>
      <c r="C8" s="26"/>
      <c r="D8" s="14"/>
      <c r="E8" s="14" t="str">
        <f t="shared" si="0"/>
        <v/>
      </c>
      <c r="F8" s="15" t="str">
        <f t="shared" si="3"/>
        <v/>
      </c>
      <c r="G8" s="16"/>
      <c r="H8" s="16" t="str">
        <f t="shared" si="1"/>
        <v/>
      </c>
      <c r="I8" s="17" t="str">
        <f t="shared" si="2"/>
        <v/>
      </c>
      <c r="J8" s="18"/>
      <c r="K8" s="18"/>
    </row>
    <row r="9" spans="1:11" ht="15.75">
      <c r="A9" s="32" t="str">
        <v>CA: Fresno Sequioa - Citi</v>
      </c>
      <c r="B9" s="33" t="str">
        <v>CA</v>
      </c>
      <c r="C9" s="12"/>
      <c r="D9" s="20"/>
      <c r="E9" s="20" t="str">
        <f t="shared" si="0"/>
        <v/>
      </c>
      <c r="F9" s="21" t="str">
        <f t="shared" si="3"/>
        <v/>
      </c>
      <c r="G9" s="22"/>
      <c r="H9" s="22" t="str">
        <f t="shared" si="1"/>
        <v/>
      </c>
      <c r="I9" s="21" t="str">
        <f t="shared" si="2"/>
        <v/>
      </c>
      <c r="J9" s="11"/>
      <c r="K9" s="19"/>
    </row>
    <row r="10" spans="1:11" ht="15.75">
      <c r="A10" s="30" t="str">
        <v>CA: Fresno MOB - Citi</v>
      </c>
      <c r="B10" s="31" t="str">
        <v>CA</v>
      </c>
      <c r="C10" s="26"/>
      <c r="D10" s="14"/>
      <c r="E10" s="14" t="str">
        <f t="shared" si="0"/>
        <v/>
      </c>
      <c r="F10" s="15" t="str">
        <f t="shared" si="3"/>
        <v/>
      </c>
      <c r="G10" s="16"/>
      <c r="H10" s="16" t="str">
        <f t="shared" si="1"/>
        <v/>
      </c>
      <c r="I10" s="17" t="str">
        <f t="shared" si="2"/>
        <v/>
      </c>
      <c r="J10" s="18"/>
      <c r="K10" s="18"/>
    </row>
    <row r="11" spans="1:11" ht="15.75">
      <c r="A11" s="32" t="str">
        <v>CA: Modesto Bangs - Citi</v>
      </c>
      <c r="B11" s="33" t="str">
        <v>CA</v>
      </c>
      <c r="C11" s="12"/>
      <c r="D11" s="20"/>
      <c r="E11" s="20" t="str">
        <f t="shared" si="0"/>
        <v/>
      </c>
      <c r="F11" s="21" t="str">
        <f t="shared" si="3"/>
        <v/>
      </c>
      <c r="G11" s="22"/>
      <c r="H11" s="22" t="str">
        <f t="shared" si="1"/>
        <v/>
      </c>
      <c r="I11" s="21" t="str">
        <f t="shared" si="2"/>
        <v/>
      </c>
      <c r="J11" s="11"/>
      <c r="K11" s="19"/>
    </row>
    <row r="12" spans="1:11" ht="15.75">
      <c r="A12" s="30" t="str">
        <v>CA: Napa Data Center - Citi</v>
      </c>
      <c r="B12" s="31" t="str">
        <v>CA</v>
      </c>
      <c r="C12" s="26"/>
      <c r="D12" s="14"/>
      <c r="E12" s="14" t="str">
        <f t="shared" si="0"/>
        <v/>
      </c>
      <c r="F12" s="15" t="str">
        <f t="shared" si="3"/>
        <v/>
      </c>
      <c r="G12" s="16"/>
      <c r="H12" s="16" t="str">
        <f t="shared" si="1"/>
        <v/>
      </c>
      <c r="I12" s="17" t="str">
        <f t="shared" si="2"/>
        <v/>
      </c>
      <c r="J12" s="18"/>
      <c r="K12" s="18"/>
    </row>
    <row r="13" spans="1:11" ht="15.75">
      <c r="A13" s="32" t="str">
        <v>CA: Petaluma MOB - Citi</v>
      </c>
      <c r="B13" s="33" t="str">
        <v>CA</v>
      </c>
      <c r="C13" s="12"/>
      <c r="D13" s="20"/>
      <c r="E13" s="20" t="str">
        <f t="shared" si="0"/>
        <v/>
      </c>
      <c r="F13" s="21" t="str">
        <f t="shared" si="3"/>
        <v/>
      </c>
      <c r="G13" s="22"/>
      <c r="H13" s="22" t="str">
        <f t="shared" si="1"/>
        <v/>
      </c>
      <c r="I13" s="21" t="str">
        <f t="shared" si="2"/>
        <v/>
      </c>
      <c r="J13" s="11"/>
      <c r="K13" s="19"/>
    </row>
    <row r="14" spans="1:11" ht="15.75">
      <c r="A14" s="30" t="str">
        <v>CA: Pleasanton Tec Ctr - Citi</v>
      </c>
      <c r="B14" s="31" t="str">
        <v>CA</v>
      </c>
      <c r="C14" s="26"/>
      <c r="D14" s="14"/>
      <c r="E14" s="14" t="str">
        <f t="shared" si="0"/>
        <v/>
      </c>
      <c r="F14" s="15" t="str">
        <f t="shared" si="3"/>
        <v/>
      </c>
      <c r="G14" s="16"/>
      <c r="H14" s="16" t="str">
        <f t="shared" si="1"/>
        <v/>
      </c>
      <c r="I14" s="17" t="str">
        <f t="shared" si="2"/>
        <v/>
      </c>
      <c r="J14" s="18"/>
      <c r="K14" s="18"/>
    </row>
    <row r="15" spans="1:11" ht="15.75">
      <c r="A15" s="32" t="str">
        <v>CA: Rancho Cordova - Citi</v>
      </c>
      <c r="B15" s="33" t="str">
        <v>CA</v>
      </c>
      <c r="C15" s="12"/>
      <c r="D15" s="20"/>
      <c r="E15" s="20" t="str">
        <f t="shared" si="0"/>
        <v/>
      </c>
      <c r="F15" s="21" t="str">
        <f t="shared" si="3"/>
        <v/>
      </c>
      <c r="G15" s="22"/>
      <c r="H15" s="22" t="str">
        <f t="shared" si="1"/>
        <v/>
      </c>
      <c r="I15" s="21" t="str">
        <f t="shared" si="2"/>
        <v/>
      </c>
      <c r="J15" s="11"/>
      <c r="K15" s="19"/>
    </row>
    <row r="16" spans="1:11" ht="15.75">
      <c r="A16" s="30" t="str">
        <v>CA: S Sacramento Wyndham - Citi</v>
      </c>
      <c r="B16" s="31" t="str">
        <v>CA</v>
      </c>
      <c r="C16" s="37"/>
      <c r="D16" s="14"/>
      <c r="E16" s="14" t="str">
        <f t="shared" ref="E16:E21" si="4">IF(AND(ISNUMBER(C16),ISNUMBER(D16)), C16-D16, "")</f>
        <v/>
      </c>
      <c r="F16" s="38" t="str">
        <f t="shared" ref="F16:F21" si="5">IFERROR(E16/D16, "")</f>
        <v/>
      </c>
      <c r="G16" s="39"/>
      <c r="H16" s="39" t="str">
        <f t="shared" ref="H16:H21" si="6">IF(AND(ISNUMBER(C16),ISNUMBER(G16)), C16-G16, "")</f>
        <v/>
      </c>
      <c r="I16" s="40" t="str">
        <f t="shared" ref="I16:I21" si="7">IFERROR(H16/G16, "")</f>
        <v/>
      </c>
      <c r="J16" s="41"/>
      <c r="K16" s="41"/>
    </row>
    <row r="17" spans="1:11" ht="15.75">
      <c r="A17" s="32" t="str">
        <v>CA: Sacramento Point West - Citi</v>
      </c>
      <c r="B17" s="33" t="str">
        <v>CA</v>
      </c>
      <c r="C17" s="42"/>
      <c r="D17" s="20"/>
      <c r="E17" s="20" t="str">
        <f t="shared" si="4"/>
        <v/>
      </c>
      <c r="F17" s="43" t="str">
        <f t="shared" si="5"/>
        <v/>
      </c>
      <c r="G17" s="44"/>
      <c r="H17" s="44" t="str">
        <f t="shared" si="6"/>
        <v/>
      </c>
      <c r="I17" s="43" t="str">
        <f t="shared" si="7"/>
        <v/>
      </c>
      <c r="J17" s="11"/>
      <c r="K17" s="19"/>
    </row>
    <row r="18" spans="1:11" ht="12.75" customHeight="1">
      <c r="A18" s="30" t="str">
        <v>CA: San Jose FHC - Citi</v>
      </c>
      <c r="B18" s="31" t="str">
        <v>CA</v>
      </c>
      <c r="C18" s="37"/>
      <c r="D18" s="14"/>
      <c r="E18" s="14" t="str">
        <f t="shared" si="4"/>
        <v/>
      </c>
      <c r="F18" s="38" t="str">
        <f t="shared" si="5"/>
        <v/>
      </c>
      <c r="G18" s="39"/>
      <c r="H18" s="39" t="str">
        <f t="shared" si="6"/>
        <v/>
      </c>
      <c r="I18" s="40" t="str">
        <f t="shared" si="7"/>
        <v/>
      </c>
      <c r="J18" s="41"/>
      <c r="K18" s="41"/>
    </row>
    <row r="19" spans="1:11" ht="15.75">
      <c r="A19" s="32" t="str">
        <v>CA: San Jose MOB - Citi</v>
      </c>
      <c r="B19" s="33" t="str">
        <v>CA</v>
      </c>
      <c r="C19" s="42"/>
      <c r="D19" s="20"/>
      <c r="E19" s="20" t="str">
        <f t="shared" si="4"/>
        <v/>
      </c>
      <c r="F19" s="43" t="str">
        <f t="shared" si="5"/>
        <v/>
      </c>
      <c r="G19" s="44"/>
      <c r="H19" s="44" t="str">
        <f t="shared" si="6"/>
        <v/>
      </c>
      <c r="I19" s="43" t="str">
        <f t="shared" si="7"/>
        <v/>
      </c>
      <c r="J19" s="11"/>
      <c r="K19" s="19"/>
    </row>
    <row r="20" spans="1:11" ht="15.75">
      <c r="A20" s="30" t="str">
        <v>CA: Selma - Citi</v>
      </c>
      <c r="B20" s="31" t="str">
        <v>CA</v>
      </c>
      <c r="C20" s="37"/>
      <c r="D20" s="14"/>
      <c r="E20" s="14" t="str">
        <f t="shared" si="4"/>
        <v/>
      </c>
      <c r="F20" s="38" t="str">
        <f t="shared" si="5"/>
        <v/>
      </c>
      <c r="G20" s="39"/>
      <c r="H20" s="39" t="str">
        <f t="shared" si="6"/>
        <v/>
      </c>
      <c r="I20" s="40" t="str">
        <f t="shared" si="7"/>
        <v/>
      </c>
      <c r="J20" s="41"/>
      <c r="K20" s="41"/>
    </row>
    <row r="21" spans="1:11" ht="15.75">
      <c r="A21" s="32" t="str">
        <v>CA: Vacaville Hospital</v>
      </c>
      <c r="B21" s="33" t="str">
        <v>CA</v>
      </c>
      <c r="C21" s="42"/>
      <c r="D21" s="20"/>
      <c r="E21" s="20" t="str">
        <f t="shared" si="4"/>
        <v/>
      </c>
      <c r="F21" s="43" t="str">
        <f t="shared" si="5"/>
        <v/>
      </c>
      <c r="G21" s="44"/>
      <c r="H21" s="44" t="str">
        <f t="shared" si="6"/>
        <v/>
      </c>
      <c r="I21" s="43" t="str">
        <f t="shared" si="7"/>
        <v/>
      </c>
      <c r="J21" s="11"/>
      <c r="K21" s="19"/>
    </row>
    <row r="22" spans="1:11" ht="15.75">
      <c r="A22" s="30" t="str">
        <v>CA: Manteca - KP Manteca Hospital</v>
      </c>
      <c r="B22" s="31" t="str">
        <v>CA</v>
      </c>
      <c r="C22" s="37"/>
      <c r="D22" s="14"/>
      <c r="E22" s="14"/>
      <c r="F22" s="38"/>
      <c r="G22" s="39"/>
      <c r="H22" s="39"/>
      <c r="I22" s="40"/>
      <c r="J22" s="41"/>
      <c r="K22" s="41"/>
    </row>
    <row r="23" spans="1:11" ht="1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5">
      <c r="A26" s="23"/>
      <c r="B26" s="35"/>
      <c r="C26" s="23"/>
      <c r="D26" s="23"/>
      <c r="E26" s="23"/>
      <c r="F26" s="23"/>
      <c r="G26" s="23"/>
      <c r="H26" s="23"/>
      <c r="I26" s="23"/>
      <c r="J26" s="23"/>
      <c r="K26" s="23"/>
    </row>
    <row r="27" spans="1:11" ht="15">
      <c r="A27" s="23"/>
      <c r="B27" s="35"/>
      <c r="C27" s="23"/>
      <c r="D27" s="23"/>
      <c r="E27" s="23"/>
      <c r="F27" s="23"/>
      <c r="G27" s="23"/>
      <c r="H27" s="23"/>
      <c r="I27" s="23"/>
      <c r="J27" s="23"/>
      <c r="K27" s="23"/>
    </row>
    <row r="28" spans="1:11" ht="15">
      <c r="A28" s="23"/>
      <c r="B28" s="35"/>
      <c r="C28" s="23"/>
      <c r="D28" s="23"/>
      <c r="E28" s="23"/>
      <c r="F28" s="23"/>
      <c r="G28" s="23"/>
      <c r="H28" s="23"/>
      <c r="I28" s="23"/>
      <c r="J28" s="23"/>
      <c r="K28" s="23"/>
    </row>
    <row r="29" spans="1:11" ht="15">
      <c r="A29" s="23"/>
      <c r="B29" s="35"/>
      <c r="C29" s="23"/>
      <c r="D29" s="23"/>
      <c r="E29" s="23"/>
      <c r="F29" s="23"/>
      <c r="G29" s="23"/>
      <c r="H29" s="23"/>
      <c r="I29" s="23"/>
      <c r="J29" s="23"/>
      <c r="K29" s="23"/>
    </row>
    <row r="30" spans="1:11" ht="15">
      <c r="A30" s="23"/>
      <c r="B30" s="35"/>
      <c r="C30" s="23"/>
      <c r="D30" s="23"/>
      <c r="E30" s="23"/>
      <c r="F30" s="23"/>
      <c r="G30" s="23"/>
      <c r="H30" s="23"/>
      <c r="I30" s="23"/>
      <c r="J30" s="23"/>
      <c r="K30" s="23"/>
    </row>
    <row r="31" spans="1:11" ht="15">
      <c r="A31" s="23"/>
      <c r="B31" s="35"/>
      <c r="C31" s="23"/>
      <c r="D31" s="23"/>
      <c r="E31" s="23"/>
      <c r="F31" s="23"/>
      <c r="G31" s="23"/>
      <c r="H31" s="23"/>
      <c r="I31" s="23"/>
      <c r="J31" s="23"/>
      <c r="K31" s="23"/>
    </row>
    <row r="32" spans="1:11" ht="15">
      <c r="A32" s="23"/>
      <c r="B32" s="35"/>
      <c r="C32" s="23"/>
      <c r="D32" s="23"/>
      <c r="E32" s="23"/>
      <c r="F32" s="23"/>
      <c r="G32" s="23"/>
      <c r="H32" s="23"/>
      <c r="I32" s="23"/>
      <c r="J32" s="23"/>
      <c r="K32" s="23"/>
    </row>
    <row r="33" spans="1:11" ht="1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5">
      <c r="A335" s="23"/>
      <c r="B335" s="35"/>
      <c r="C335" s="23"/>
      <c r="D335" s="23"/>
      <c r="E335" s="23"/>
      <c r="F335" s="24"/>
      <c r="G335" s="23"/>
      <c r="H335" s="23"/>
      <c r="I335" s="24"/>
      <c r="J335" s="23"/>
      <c r="K335" s="23"/>
    </row>
    <row r="336" spans="1:11" ht="15">
      <c r="A336" s="23"/>
      <c r="B336" s="35"/>
      <c r="C336" s="23"/>
      <c r="D336" s="23"/>
      <c r="E336" s="23"/>
      <c r="F336" s="24"/>
      <c r="G336" s="23"/>
      <c r="H336" s="23"/>
      <c r="I336" s="24"/>
      <c r="J336" s="23"/>
      <c r="K336" s="23"/>
    </row>
    <row r="337" spans="1:11" ht="15">
      <c r="A337" s="23"/>
      <c r="B337" s="35"/>
      <c r="C337" s="23"/>
      <c r="D337" s="23"/>
      <c r="E337" s="23"/>
      <c r="F337" s="24"/>
      <c r="G337" s="23"/>
      <c r="H337" s="23"/>
      <c r="I337" s="24"/>
      <c r="J337" s="23"/>
      <c r="K337" s="23"/>
    </row>
    <row r="338" spans="1:11" ht="15">
      <c r="A338" s="23"/>
      <c r="B338" s="35"/>
      <c r="C338" s="23"/>
      <c r="D338" s="23"/>
      <c r="E338" s="23"/>
      <c r="F338" s="24"/>
      <c r="G338" s="23"/>
      <c r="H338" s="23"/>
      <c r="I338" s="24"/>
      <c r="J338" s="23"/>
      <c r="K338" s="23"/>
    </row>
    <row r="339" spans="1:11" ht="15">
      <c r="A339" s="23"/>
      <c r="B339" s="35"/>
      <c r="C339" s="23"/>
      <c r="D339" s="23"/>
      <c r="E339" s="23"/>
      <c r="F339" s="24"/>
      <c r="G339" s="23"/>
      <c r="H339" s="23"/>
      <c r="I339" s="24"/>
      <c r="J339" s="23"/>
      <c r="K339" s="23"/>
    </row>
    <row r="340" spans="1:11" ht="15">
      <c r="A340" s="23"/>
      <c r="B340" s="35"/>
      <c r="C340" s="23"/>
      <c r="D340" s="23"/>
      <c r="E340" s="23"/>
      <c r="F340" s="24"/>
      <c r="G340" s="23"/>
      <c r="H340" s="23"/>
      <c r="I340" s="24"/>
      <c r="J340" s="23"/>
      <c r="K340" s="23"/>
    </row>
    <row r="341" spans="1:11" ht="15">
      <c r="A341" s="23"/>
      <c r="B341" s="35"/>
      <c r="C341" s="23"/>
      <c r="D341" s="23"/>
      <c r="E341" s="23"/>
      <c r="F341" s="24"/>
      <c r="G341" s="23"/>
      <c r="H341" s="23"/>
      <c r="I341" s="24"/>
      <c r="J341" s="23"/>
      <c r="K341" s="23"/>
    </row>
    <row r="342" spans="1:11">
      <c r="C342" s="23"/>
      <c r="D342" s="23"/>
      <c r="E342" s="23"/>
      <c r="F342" s="24"/>
      <c r="G342" s="23"/>
      <c r="H342" s="23"/>
      <c r="I342" s="24"/>
      <c r="J342" s="23"/>
      <c r="K342" s="23"/>
    </row>
  </sheetData>
  <mergeCells count="4">
    <mergeCell ref="G1:I1"/>
    <mergeCell ref="A1:C1"/>
    <mergeCell ref="D1:F1"/>
    <mergeCell ref="A2:B2"/>
  </mergeCells>
  <conditionalFormatting sqref="F2 I2 F4:F100 I4:I100">
    <cfRule type="cellIs" dxfId="20" priority="1" stopIfTrue="1" operator="lessThanOrEqual">
      <formula>-0.1</formula>
    </cfRule>
    <cfRule type="expression" dxfId="1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42"/>
  <sheetViews>
    <sheetView workbookViewId="0">
      <pane ySplit="2" topLeftCell="A3" activePane="bottomLeft" state="frozen"/>
      <selection pane="bottomLeft" activeCell="A22" sqref="A22:XFD22"/>
    </sheetView>
  </sheetViews>
  <sheetFormatPr defaultRowHeight="14.25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1" t="str" cm="1">
        <f t="array" ref="A1">portfolio</f>
        <v>CITI</v>
      </c>
      <c r="B1" s="61"/>
      <c r="C1" s="61"/>
      <c r="D1" s="62" t="s">
        <v>46</v>
      </c>
      <c r="E1" s="62"/>
      <c r="F1" s="62"/>
      <c r="G1" s="60" t="s">
        <v>47</v>
      </c>
      <c r="H1" s="60"/>
      <c r="I1" s="60"/>
      <c r="J1" s="5"/>
      <c r="K1" s="5"/>
    </row>
    <row r="2" spans="1:11" ht="19.5" customHeight="1">
      <c r="A2" s="63" t="s">
        <v>2</v>
      </c>
      <c r="B2" s="63"/>
      <c r="C2" s="6">
        <f>SUM(C4:C100)</f>
        <v>0</v>
      </c>
      <c r="D2" s="6">
        <f>SUM(D4:D100)</f>
        <v>0</v>
      </c>
      <c r="E2" s="6">
        <f>C2-D2</f>
        <v>0</v>
      </c>
      <c r="F2" s="7">
        <f>IFERROR(E2/D2, 0)</f>
        <v>0</v>
      </c>
      <c r="G2" s="6">
        <f>SUM(G4:G100)</f>
        <v>0</v>
      </c>
      <c r="H2" s="8">
        <f>C2-G2</f>
        <v>0</v>
      </c>
      <c r="I2" s="7">
        <f>IFERROR(H2/G2, 0)</f>
        <v>0</v>
      </c>
      <c r="J2" s="28" t="str">
        <f ca="1">IF(AND(TODAY()&gt;DATE(2024, 4,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49" t="s">
        <v>6</v>
      </c>
      <c r="E3" s="49" t="s">
        <v>7</v>
      </c>
      <c r="F3" s="50" t="s">
        <v>8</v>
      </c>
      <c r="G3" s="51" t="s">
        <v>9</v>
      </c>
      <c r="H3" s="52" t="s">
        <v>7</v>
      </c>
      <c r="I3" s="53" t="s">
        <v>8</v>
      </c>
      <c r="J3" s="27" t="s">
        <v>20</v>
      </c>
      <c r="K3" s="27" t="s">
        <v>21</v>
      </c>
    </row>
    <row r="4" spans="1:11" ht="15.75">
      <c r="A4" s="34" t="str" cm="1">
        <f t="array" ref="A4:A22">Sites[Site]</f>
        <v>CA: Antioch Deer Valley - Citi</v>
      </c>
      <c r="B4" s="31" t="str" cm="1">
        <f t="array" ref="B4:B22">Sites[State]</f>
        <v>CA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2" t="str">
        <v>CA: Antioch MC CUP - Citi</v>
      </c>
      <c r="B5" s="33" t="str">
        <v>CA</v>
      </c>
      <c r="C5" s="12"/>
      <c r="D5" s="20"/>
      <c r="E5" s="20" t="str">
        <f t="shared" ref="E5:E15" si="0">IF(AND(ISNUMBER(C5),ISNUMBER(D5)), C5-D5, "")</f>
        <v/>
      </c>
      <c r="F5" s="21" t="str">
        <f>IFERROR(E5/D5, "")</f>
        <v/>
      </c>
      <c r="G5" s="22"/>
      <c r="H5" s="22" t="str">
        <f t="shared" ref="H5:H15" si="1">IF(AND(ISNUMBER(C5),ISNUMBER(G5)), C5-G5, "")</f>
        <v/>
      </c>
      <c r="I5" s="21" t="str">
        <f t="shared" ref="I5:I15" si="2">IFERROR(H5/G5, "")</f>
        <v/>
      </c>
      <c r="J5" s="11"/>
      <c r="K5" s="19"/>
    </row>
    <row r="6" spans="1:11" ht="15.75">
      <c r="A6" s="30" t="str">
        <v>CA: Clovis - Citi</v>
      </c>
      <c r="B6" s="31" t="str">
        <v>CA</v>
      </c>
      <c r="C6" s="26"/>
      <c r="D6" s="14"/>
      <c r="E6" s="14" t="str">
        <f t="shared" si="0"/>
        <v/>
      </c>
      <c r="F6" s="15" t="str">
        <f t="shared" ref="F6:F15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5.75">
      <c r="A7" s="32" t="str">
        <v>CA: Elk Grove MOB - Citi</v>
      </c>
      <c r="B7" s="33" t="str">
        <v>CA</v>
      </c>
      <c r="C7" s="12"/>
      <c r="D7" s="20"/>
      <c r="E7" s="20" t="str">
        <f t="shared" si="0"/>
        <v/>
      </c>
      <c r="F7" s="21" t="str">
        <f t="shared" si="3"/>
        <v/>
      </c>
      <c r="G7" s="22"/>
      <c r="H7" s="22" t="str">
        <f t="shared" si="1"/>
        <v/>
      </c>
      <c r="I7" s="21" t="str">
        <f t="shared" si="2"/>
        <v/>
      </c>
      <c r="J7" s="11"/>
      <c r="K7" s="19"/>
    </row>
    <row r="8" spans="1:11" ht="15.75">
      <c r="A8" s="30" t="str">
        <v>CA: Elk Grove Promenade - Citi</v>
      </c>
      <c r="B8" s="31" t="str">
        <v>CA</v>
      </c>
      <c r="C8" s="26"/>
      <c r="D8" s="14"/>
      <c r="E8" s="14" t="str">
        <f t="shared" si="0"/>
        <v/>
      </c>
      <c r="F8" s="15" t="str">
        <f t="shared" si="3"/>
        <v/>
      </c>
      <c r="G8" s="16"/>
      <c r="H8" s="16" t="str">
        <f t="shared" si="1"/>
        <v/>
      </c>
      <c r="I8" s="17" t="str">
        <f t="shared" si="2"/>
        <v/>
      </c>
      <c r="J8" s="18"/>
      <c r="K8" s="18"/>
    </row>
    <row r="9" spans="1:11" ht="15.75">
      <c r="A9" s="32" t="str">
        <v>CA: Fresno Sequioa - Citi</v>
      </c>
      <c r="B9" s="33" t="str">
        <v>CA</v>
      </c>
      <c r="C9" s="12"/>
      <c r="D9" s="20"/>
      <c r="E9" s="20" t="str">
        <f t="shared" si="0"/>
        <v/>
      </c>
      <c r="F9" s="21" t="str">
        <f t="shared" si="3"/>
        <v/>
      </c>
      <c r="G9" s="22"/>
      <c r="H9" s="22" t="str">
        <f t="shared" si="1"/>
        <v/>
      </c>
      <c r="I9" s="21" t="str">
        <f t="shared" si="2"/>
        <v/>
      </c>
      <c r="J9" s="11"/>
      <c r="K9" s="19"/>
    </row>
    <row r="10" spans="1:11" ht="15.75">
      <c r="A10" s="30" t="str">
        <v>CA: Fresno MOB - Citi</v>
      </c>
      <c r="B10" s="31" t="str">
        <v>CA</v>
      </c>
      <c r="C10" s="26"/>
      <c r="D10" s="14"/>
      <c r="E10" s="14" t="str">
        <f t="shared" si="0"/>
        <v/>
      </c>
      <c r="F10" s="15" t="str">
        <f t="shared" si="3"/>
        <v/>
      </c>
      <c r="G10" s="16"/>
      <c r="H10" s="16" t="str">
        <f t="shared" si="1"/>
        <v/>
      </c>
      <c r="I10" s="17" t="str">
        <f t="shared" si="2"/>
        <v/>
      </c>
      <c r="J10" s="18"/>
      <c r="K10" s="18"/>
    </row>
    <row r="11" spans="1:11" ht="15.75">
      <c r="A11" s="32" t="str">
        <v>CA: Modesto Bangs - Citi</v>
      </c>
      <c r="B11" s="33" t="str">
        <v>CA</v>
      </c>
      <c r="C11" s="12"/>
      <c r="D11" s="20"/>
      <c r="E11" s="20" t="str">
        <f t="shared" si="0"/>
        <v/>
      </c>
      <c r="F11" s="21" t="str">
        <f t="shared" si="3"/>
        <v/>
      </c>
      <c r="G11" s="22"/>
      <c r="H11" s="22" t="str">
        <f t="shared" si="1"/>
        <v/>
      </c>
      <c r="I11" s="21" t="str">
        <f t="shared" si="2"/>
        <v/>
      </c>
      <c r="J11" s="11"/>
      <c r="K11" s="19"/>
    </row>
    <row r="12" spans="1:11" ht="15.75">
      <c r="A12" s="30" t="str">
        <v>CA: Napa Data Center - Citi</v>
      </c>
      <c r="B12" s="31" t="str">
        <v>CA</v>
      </c>
      <c r="C12" s="26"/>
      <c r="D12" s="14"/>
      <c r="E12" s="14" t="str">
        <f t="shared" si="0"/>
        <v/>
      </c>
      <c r="F12" s="15" t="str">
        <f t="shared" si="3"/>
        <v/>
      </c>
      <c r="G12" s="16"/>
      <c r="H12" s="16" t="str">
        <f t="shared" si="1"/>
        <v/>
      </c>
      <c r="I12" s="17" t="str">
        <f t="shared" si="2"/>
        <v/>
      </c>
      <c r="J12" s="18"/>
      <c r="K12" s="18"/>
    </row>
    <row r="13" spans="1:11" ht="15.75">
      <c r="A13" s="32" t="str">
        <v>CA: Petaluma MOB - Citi</v>
      </c>
      <c r="B13" s="33" t="str">
        <v>CA</v>
      </c>
      <c r="C13" s="12"/>
      <c r="D13" s="20"/>
      <c r="E13" s="20" t="str">
        <f t="shared" si="0"/>
        <v/>
      </c>
      <c r="F13" s="21" t="str">
        <f t="shared" si="3"/>
        <v/>
      </c>
      <c r="G13" s="22"/>
      <c r="H13" s="22" t="str">
        <f t="shared" si="1"/>
        <v/>
      </c>
      <c r="I13" s="21" t="str">
        <f t="shared" si="2"/>
        <v/>
      </c>
      <c r="J13" s="11"/>
      <c r="K13" s="19"/>
    </row>
    <row r="14" spans="1:11" ht="15.75">
      <c r="A14" s="30" t="str">
        <v>CA: Pleasanton Tec Ctr - Citi</v>
      </c>
      <c r="B14" s="31" t="str">
        <v>CA</v>
      </c>
      <c r="C14" s="26"/>
      <c r="D14" s="14"/>
      <c r="E14" s="14" t="str">
        <f t="shared" si="0"/>
        <v/>
      </c>
      <c r="F14" s="15" t="str">
        <f t="shared" si="3"/>
        <v/>
      </c>
      <c r="G14" s="16"/>
      <c r="H14" s="16" t="str">
        <f t="shared" si="1"/>
        <v/>
      </c>
      <c r="I14" s="17" t="str">
        <f t="shared" si="2"/>
        <v/>
      </c>
      <c r="J14" s="18"/>
      <c r="K14" s="18"/>
    </row>
    <row r="15" spans="1:11" ht="15.75">
      <c r="A15" s="32" t="str">
        <v>CA: Rancho Cordova - Citi</v>
      </c>
      <c r="B15" s="33" t="str">
        <v>CA</v>
      </c>
      <c r="C15" s="12"/>
      <c r="D15" s="20"/>
      <c r="E15" s="20" t="str">
        <f t="shared" si="0"/>
        <v/>
      </c>
      <c r="F15" s="21" t="str">
        <f t="shared" si="3"/>
        <v/>
      </c>
      <c r="G15" s="22"/>
      <c r="H15" s="22" t="str">
        <f t="shared" si="1"/>
        <v/>
      </c>
      <c r="I15" s="21" t="str">
        <f t="shared" si="2"/>
        <v/>
      </c>
      <c r="J15" s="11"/>
      <c r="K15" s="19"/>
    </row>
    <row r="16" spans="1:11" ht="15.75">
      <c r="A16" s="30" t="str">
        <v>CA: S Sacramento Wyndham - Citi</v>
      </c>
      <c r="B16" s="31" t="str">
        <v>CA</v>
      </c>
      <c r="C16" s="37"/>
      <c r="D16" s="14"/>
      <c r="E16" s="14" t="str">
        <f t="shared" ref="E16:E21" si="4">IF(AND(ISNUMBER(C16),ISNUMBER(D16)), C16-D16, "")</f>
        <v/>
      </c>
      <c r="F16" s="38" t="str">
        <f t="shared" ref="F16:F21" si="5">IFERROR(E16/D16, "")</f>
        <v/>
      </c>
      <c r="G16" s="39"/>
      <c r="H16" s="39" t="str">
        <f t="shared" ref="H16:H21" si="6">IF(AND(ISNUMBER(C16),ISNUMBER(G16)), C16-G16, "")</f>
        <v/>
      </c>
      <c r="I16" s="40" t="str">
        <f t="shared" ref="I16:I21" si="7">IFERROR(H16/G16, "")</f>
        <v/>
      </c>
      <c r="J16" s="41"/>
      <c r="K16" s="41"/>
    </row>
    <row r="17" spans="1:11" ht="15.75">
      <c r="A17" s="32" t="str">
        <v>CA: Sacramento Point West - Citi</v>
      </c>
      <c r="B17" s="33" t="str">
        <v>CA</v>
      </c>
      <c r="C17" s="42"/>
      <c r="D17" s="20"/>
      <c r="E17" s="20" t="str">
        <f t="shared" si="4"/>
        <v/>
      </c>
      <c r="F17" s="43" t="str">
        <f t="shared" si="5"/>
        <v/>
      </c>
      <c r="G17" s="44"/>
      <c r="H17" s="44" t="str">
        <f t="shared" si="6"/>
        <v/>
      </c>
      <c r="I17" s="43" t="str">
        <f t="shared" si="7"/>
        <v/>
      </c>
      <c r="J17" s="11"/>
      <c r="K17" s="19"/>
    </row>
    <row r="18" spans="1:11" ht="12.75" customHeight="1">
      <c r="A18" s="30" t="str">
        <v>CA: San Jose FHC - Citi</v>
      </c>
      <c r="B18" s="31" t="str">
        <v>CA</v>
      </c>
      <c r="C18" s="37"/>
      <c r="D18" s="14"/>
      <c r="E18" s="14" t="str">
        <f t="shared" si="4"/>
        <v/>
      </c>
      <c r="F18" s="38" t="str">
        <f t="shared" si="5"/>
        <v/>
      </c>
      <c r="G18" s="39"/>
      <c r="H18" s="39" t="str">
        <f t="shared" si="6"/>
        <v/>
      </c>
      <c r="I18" s="40" t="str">
        <f t="shared" si="7"/>
        <v/>
      </c>
      <c r="J18" s="41"/>
      <c r="K18" s="41"/>
    </row>
    <row r="19" spans="1:11" ht="15.75">
      <c r="A19" s="32" t="str">
        <v>CA: San Jose MOB - Citi</v>
      </c>
      <c r="B19" s="33" t="str">
        <v>CA</v>
      </c>
      <c r="C19" s="42"/>
      <c r="D19" s="20"/>
      <c r="E19" s="20" t="str">
        <f t="shared" si="4"/>
        <v/>
      </c>
      <c r="F19" s="43" t="str">
        <f t="shared" si="5"/>
        <v/>
      </c>
      <c r="G19" s="44"/>
      <c r="H19" s="44" t="str">
        <f t="shared" si="6"/>
        <v/>
      </c>
      <c r="I19" s="43" t="str">
        <f t="shared" si="7"/>
        <v/>
      </c>
      <c r="J19" s="11"/>
      <c r="K19" s="19"/>
    </row>
    <row r="20" spans="1:11" ht="15.75">
      <c r="A20" s="30" t="str">
        <v>CA: Selma - Citi</v>
      </c>
      <c r="B20" s="31" t="str">
        <v>CA</v>
      </c>
      <c r="C20" s="37"/>
      <c r="D20" s="14"/>
      <c r="E20" s="14" t="str">
        <f t="shared" si="4"/>
        <v/>
      </c>
      <c r="F20" s="38" t="str">
        <f t="shared" si="5"/>
        <v/>
      </c>
      <c r="G20" s="39"/>
      <c r="H20" s="39" t="str">
        <f t="shared" si="6"/>
        <v/>
      </c>
      <c r="I20" s="40" t="str">
        <f t="shared" si="7"/>
        <v/>
      </c>
      <c r="J20" s="41"/>
      <c r="K20" s="41"/>
    </row>
    <row r="21" spans="1:11" ht="15.75">
      <c r="A21" s="32" t="str">
        <v>CA: Vacaville Hospital</v>
      </c>
      <c r="B21" s="33" t="str">
        <v>CA</v>
      </c>
      <c r="C21" s="42"/>
      <c r="D21" s="20"/>
      <c r="E21" s="20" t="str">
        <f t="shared" si="4"/>
        <v/>
      </c>
      <c r="F21" s="43" t="str">
        <f t="shared" si="5"/>
        <v/>
      </c>
      <c r="G21" s="44"/>
      <c r="H21" s="44" t="str">
        <f t="shared" si="6"/>
        <v/>
      </c>
      <c r="I21" s="43" t="str">
        <f t="shared" si="7"/>
        <v/>
      </c>
      <c r="J21" s="11"/>
      <c r="K21" s="19"/>
    </row>
    <row r="22" spans="1:11" ht="15.75">
      <c r="A22" s="30" t="str">
        <v>CA: Manteca - KP Manteca Hospital</v>
      </c>
      <c r="B22" s="31" t="str">
        <v>CA</v>
      </c>
      <c r="C22" s="37"/>
      <c r="D22" s="14"/>
      <c r="E22" s="14"/>
      <c r="F22" s="38"/>
      <c r="G22" s="39"/>
      <c r="H22" s="39"/>
      <c r="I22" s="40"/>
      <c r="J22" s="41"/>
      <c r="K22" s="41"/>
    </row>
    <row r="23" spans="1:11" ht="1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5">
      <c r="A26" s="23"/>
      <c r="B26" s="35"/>
      <c r="C26" s="23"/>
      <c r="D26" s="23"/>
      <c r="E26" s="23"/>
      <c r="F26" s="23"/>
      <c r="G26" s="23"/>
      <c r="H26" s="23"/>
      <c r="I26" s="23"/>
      <c r="J26" s="23"/>
      <c r="K26" s="23"/>
    </row>
    <row r="27" spans="1:11" ht="15">
      <c r="A27" s="23"/>
      <c r="B27" s="35"/>
      <c r="C27" s="23"/>
      <c r="D27" s="23"/>
      <c r="E27" s="23"/>
      <c r="F27" s="23"/>
      <c r="G27" s="23"/>
      <c r="H27" s="23"/>
      <c r="I27" s="23"/>
      <c r="J27" s="23"/>
      <c r="K27" s="23"/>
    </row>
    <row r="28" spans="1:11" ht="15">
      <c r="A28" s="23"/>
      <c r="B28" s="35"/>
      <c r="C28" s="23"/>
      <c r="D28" s="23"/>
      <c r="E28" s="23"/>
      <c r="F28" s="23"/>
      <c r="G28" s="23"/>
      <c r="H28" s="23"/>
      <c r="I28" s="23"/>
      <c r="J28" s="23"/>
      <c r="K28" s="23"/>
    </row>
    <row r="29" spans="1:11" ht="15">
      <c r="A29" s="23"/>
      <c r="B29" s="35"/>
      <c r="C29" s="23"/>
      <c r="D29" s="23"/>
      <c r="E29" s="23"/>
      <c r="F29" s="23"/>
      <c r="G29" s="23"/>
      <c r="H29" s="23"/>
      <c r="I29" s="23"/>
      <c r="J29" s="23"/>
      <c r="K29" s="23"/>
    </row>
    <row r="30" spans="1:11" ht="15">
      <c r="A30" s="23"/>
      <c r="B30" s="35"/>
      <c r="C30" s="23"/>
      <c r="D30" s="23"/>
      <c r="E30" s="23"/>
      <c r="F30" s="23"/>
      <c r="G30" s="23"/>
      <c r="H30" s="23"/>
      <c r="I30" s="23"/>
      <c r="J30" s="23"/>
      <c r="K30" s="23"/>
    </row>
    <row r="31" spans="1:11" ht="15">
      <c r="A31" s="23"/>
      <c r="B31" s="35"/>
      <c r="C31" s="23"/>
      <c r="D31" s="23"/>
      <c r="E31" s="23"/>
      <c r="F31" s="23"/>
      <c r="G31" s="23"/>
      <c r="H31" s="23"/>
      <c r="I31" s="23"/>
      <c r="J31" s="23"/>
      <c r="K31" s="23"/>
    </row>
    <row r="32" spans="1:11" ht="15">
      <c r="A32" s="23"/>
      <c r="B32" s="35"/>
      <c r="C32" s="23"/>
      <c r="D32" s="23"/>
      <c r="E32" s="23"/>
      <c r="F32" s="23"/>
      <c r="G32" s="23"/>
      <c r="H32" s="23"/>
      <c r="I32" s="23"/>
      <c r="J32" s="23"/>
      <c r="K32" s="23"/>
    </row>
    <row r="33" spans="1:11" ht="1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5">
      <c r="A335" s="23"/>
      <c r="B335" s="35"/>
      <c r="C335" s="23"/>
      <c r="D335" s="23"/>
      <c r="E335" s="23"/>
      <c r="F335" s="24"/>
      <c r="G335" s="23"/>
      <c r="H335" s="23"/>
      <c r="I335" s="24"/>
      <c r="J335" s="23"/>
      <c r="K335" s="23"/>
    </row>
    <row r="336" spans="1:11" ht="15">
      <c r="A336" s="23"/>
      <c r="B336" s="35"/>
      <c r="C336" s="23"/>
      <c r="D336" s="23"/>
      <c r="E336" s="23"/>
      <c r="F336" s="24"/>
      <c r="G336" s="23"/>
      <c r="H336" s="23"/>
      <c r="I336" s="24"/>
      <c r="J336" s="23"/>
      <c r="K336" s="23"/>
    </row>
    <row r="337" spans="1:11" ht="15">
      <c r="A337" s="23"/>
      <c r="B337" s="35"/>
      <c r="C337" s="23"/>
      <c r="D337" s="23"/>
      <c r="E337" s="23"/>
      <c r="F337" s="24"/>
      <c r="G337" s="23"/>
      <c r="H337" s="23"/>
      <c r="I337" s="24"/>
      <c r="J337" s="23"/>
      <c r="K337" s="23"/>
    </row>
    <row r="338" spans="1:11" ht="15">
      <c r="A338" s="23"/>
      <c r="B338" s="35"/>
      <c r="C338" s="23"/>
      <c r="D338" s="23"/>
      <c r="E338" s="23"/>
      <c r="F338" s="24"/>
      <c r="G338" s="23"/>
      <c r="H338" s="23"/>
      <c r="I338" s="24"/>
      <c r="J338" s="23"/>
      <c r="K338" s="23"/>
    </row>
    <row r="339" spans="1:11" ht="15">
      <c r="A339" s="23"/>
      <c r="B339" s="35"/>
      <c r="C339" s="23"/>
      <c r="D339" s="23"/>
      <c r="E339" s="23"/>
      <c r="F339" s="24"/>
      <c r="G339" s="23"/>
      <c r="H339" s="23"/>
      <c r="I339" s="24"/>
      <c r="J339" s="23"/>
      <c r="K339" s="23"/>
    </row>
    <row r="340" spans="1:11" ht="15">
      <c r="A340" s="23"/>
      <c r="B340" s="35"/>
      <c r="C340" s="23"/>
      <c r="D340" s="23"/>
      <c r="E340" s="23"/>
      <c r="F340" s="24"/>
      <c r="G340" s="23"/>
      <c r="H340" s="23"/>
      <c r="I340" s="24"/>
      <c r="J340" s="23"/>
      <c r="K340" s="23"/>
    </row>
    <row r="341" spans="1:11" ht="15">
      <c r="A341" s="23"/>
      <c r="B341" s="35"/>
      <c r="C341" s="23"/>
      <c r="D341" s="23"/>
      <c r="E341" s="23"/>
      <c r="F341" s="24"/>
      <c r="G341" s="23"/>
      <c r="H341" s="23"/>
      <c r="I341" s="24"/>
      <c r="J341" s="23"/>
      <c r="K341" s="23"/>
    </row>
    <row r="342" spans="1:11">
      <c r="C342" s="23"/>
      <c r="D342" s="23"/>
      <c r="E342" s="23"/>
      <c r="F342" s="24"/>
      <c r="G342" s="23"/>
      <c r="H342" s="23"/>
      <c r="I342" s="24"/>
      <c r="J342" s="23"/>
      <c r="K342" s="23"/>
    </row>
  </sheetData>
  <mergeCells count="4">
    <mergeCell ref="G1:I1"/>
    <mergeCell ref="A1:C1"/>
    <mergeCell ref="D1:F1"/>
    <mergeCell ref="A2:B2"/>
  </mergeCells>
  <conditionalFormatting sqref="F2 I2 F4:F100 I4:I100">
    <cfRule type="cellIs" dxfId="18" priority="1" stopIfTrue="1" operator="lessThanOrEqual">
      <formula>-0.1</formula>
    </cfRule>
    <cfRule type="expression" dxfId="1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42"/>
  <sheetViews>
    <sheetView workbookViewId="0">
      <pane ySplit="2" topLeftCell="A3" activePane="bottomLeft" state="frozen"/>
      <selection pane="bottomLeft" activeCell="A22" sqref="A22:XFD22"/>
    </sheetView>
  </sheetViews>
  <sheetFormatPr defaultRowHeight="14.25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1" t="str" cm="1">
        <f t="array" ref="A1">portfolio</f>
        <v>CITI</v>
      </c>
      <c r="B1" s="61"/>
      <c r="C1" s="61"/>
      <c r="D1" s="62" t="s">
        <v>48</v>
      </c>
      <c r="E1" s="62"/>
      <c r="F1" s="62"/>
      <c r="G1" s="60" t="s">
        <v>49</v>
      </c>
      <c r="H1" s="60"/>
      <c r="I1" s="60"/>
      <c r="J1" s="5"/>
      <c r="K1" s="5"/>
    </row>
    <row r="2" spans="1:11" ht="19.5" customHeight="1">
      <c r="A2" s="63" t="s">
        <v>2</v>
      </c>
      <c r="B2" s="63"/>
      <c r="C2" s="6">
        <f>SUM(C4:C100)</f>
        <v>0</v>
      </c>
      <c r="D2" s="6">
        <f>SUM(D4:D100)</f>
        <v>0</v>
      </c>
      <c r="E2" s="6">
        <f>C2-D2</f>
        <v>0</v>
      </c>
      <c r="F2" s="7">
        <f>IFERROR(E2/D2, 0)</f>
        <v>0</v>
      </c>
      <c r="G2" s="6">
        <f>SUM(G4:G100)</f>
        <v>0</v>
      </c>
      <c r="H2" s="8">
        <f>C2-G2</f>
        <v>0</v>
      </c>
      <c r="I2" s="7">
        <f>IFERROR(H2/G2, 0)</f>
        <v>0</v>
      </c>
      <c r="J2" s="28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49" t="s">
        <v>6</v>
      </c>
      <c r="E3" s="49" t="s">
        <v>7</v>
      </c>
      <c r="F3" s="50" t="s">
        <v>8</v>
      </c>
      <c r="G3" s="51" t="s">
        <v>9</v>
      </c>
      <c r="H3" s="52" t="s">
        <v>7</v>
      </c>
      <c r="I3" s="53" t="s">
        <v>8</v>
      </c>
      <c r="J3" s="27" t="s">
        <v>20</v>
      </c>
      <c r="K3" s="27" t="s">
        <v>21</v>
      </c>
    </row>
    <row r="4" spans="1:11" ht="15.75">
      <c r="A4" s="34" t="str" cm="1">
        <f t="array" ref="A4:A22">Sites[Site]</f>
        <v>CA: Antioch Deer Valley - Citi</v>
      </c>
      <c r="B4" s="31" t="str" cm="1">
        <f t="array" ref="B4:B22">Sites[State]</f>
        <v>CA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2" t="str">
        <v>CA: Antioch MC CUP - Citi</v>
      </c>
      <c r="B5" s="33" t="str">
        <v>CA</v>
      </c>
      <c r="C5" s="12"/>
      <c r="D5" s="20"/>
      <c r="E5" s="20" t="str">
        <f t="shared" ref="E5:E15" si="0">IF(AND(ISNUMBER(C5),ISNUMBER(D5)), C5-D5, "")</f>
        <v/>
      </c>
      <c r="F5" s="21" t="str">
        <f>IFERROR(E5/D5, "")</f>
        <v/>
      </c>
      <c r="G5" s="22"/>
      <c r="H5" s="22" t="str">
        <f t="shared" ref="H5:H15" si="1">IF(AND(ISNUMBER(C5),ISNUMBER(G5)), C5-G5, "")</f>
        <v/>
      </c>
      <c r="I5" s="21" t="str">
        <f t="shared" ref="I5:I15" si="2">IFERROR(H5/G5, "")</f>
        <v/>
      </c>
      <c r="J5" s="11"/>
      <c r="K5" s="19"/>
    </row>
    <row r="6" spans="1:11" ht="15.75">
      <c r="A6" s="30" t="str">
        <v>CA: Clovis - Citi</v>
      </c>
      <c r="B6" s="31" t="str">
        <v>CA</v>
      </c>
      <c r="C6" s="26"/>
      <c r="D6" s="14"/>
      <c r="E6" s="14" t="str">
        <f t="shared" si="0"/>
        <v/>
      </c>
      <c r="F6" s="15" t="str">
        <f t="shared" ref="F6:F15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5.75">
      <c r="A7" s="32" t="str">
        <v>CA: Elk Grove MOB - Citi</v>
      </c>
      <c r="B7" s="33" t="str">
        <v>CA</v>
      </c>
      <c r="C7" s="12"/>
      <c r="D7" s="20"/>
      <c r="E7" s="20" t="str">
        <f t="shared" si="0"/>
        <v/>
      </c>
      <c r="F7" s="21" t="str">
        <f t="shared" si="3"/>
        <v/>
      </c>
      <c r="G7" s="22"/>
      <c r="H7" s="22" t="str">
        <f t="shared" si="1"/>
        <v/>
      </c>
      <c r="I7" s="21" t="str">
        <f t="shared" si="2"/>
        <v/>
      </c>
      <c r="J7" s="11"/>
      <c r="K7" s="19"/>
    </row>
    <row r="8" spans="1:11" ht="15.75">
      <c r="A8" s="30" t="str">
        <v>CA: Elk Grove Promenade - Citi</v>
      </c>
      <c r="B8" s="31" t="str">
        <v>CA</v>
      </c>
      <c r="C8" s="26"/>
      <c r="D8" s="14"/>
      <c r="E8" s="14" t="str">
        <f t="shared" si="0"/>
        <v/>
      </c>
      <c r="F8" s="15" t="str">
        <f t="shared" si="3"/>
        <v/>
      </c>
      <c r="G8" s="16"/>
      <c r="H8" s="16" t="str">
        <f t="shared" si="1"/>
        <v/>
      </c>
      <c r="I8" s="17" t="str">
        <f t="shared" si="2"/>
        <v/>
      </c>
      <c r="J8" s="18"/>
      <c r="K8" s="18"/>
    </row>
    <row r="9" spans="1:11" ht="15.75">
      <c r="A9" s="32" t="str">
        <v>CA: Fresno Sequioa - Citi</v>
      </c>
      <c r="B9" s="33" t="str">
        <v>CA</v>
      </c>
      <c r="C9" s="12"/>
      <c r="D9" s="20"/>
      <c r="E9" s="20" t="str">
        <f t="shared" si="0"/>
        <v/>
      </c>
      <c r="F9" s="21" t="str">
        <f t="shared" si="3"/>
        <v/>
      </c>
      <c r="G9" s="22"/>
      <c r="H9" s="22" t="str">
        <f t="shared" si="1"/>
        <v/>
      </c>
      <c r="I9" s="21" t="str">
        <f t="shared" si="2"/>
        <v/>
      </c>
      <c r="J9" s="11"/>
      <c r="K9" s="19"/>
    </row>
    <row r="10" spans="1:11" ht="15.75">
      <c r="A10" s="30" t="str">
        <v>CA: Fresno MOB - Citi</v>
      </c>
      <c r="B10" s="31" t="str">
        <v>CA</v>
      </c>
      <c r="C10" s="26"/>
      <c r="D10" s="14"/>
      <c r="E10" s="14" t="str">
        <f t="shared" si="0"/>
        <v/>
      </c>
      <c r="F10" s="15" t="str">
        <f t="shared" si="3"/>
        <v/>
      </c>
      <c r="G10" s="16"/>
      <c r="H10" s="16" t="str">
        <f t="shared" si="1"/>
        <v/>
      </c>
      <c r="I10" s="17" t="str">
        <f t="shared" si="2"/>
        <v/>
      </c>
      <c r="J10" s="18"/>
      <c r="K10" s="18"/>
    </row>
    <row r="11" spans="1:11" ht="15.75">
      <c r="A11" s="32" t="str">
        <v>CA: Modesto Bangs - Citi</v>
      </c>
      <c r="B11" s="33" t="str">
        <v>CA</v>
      </c>
      <c r="C11" s="12"/>
      <c r="D11" s="20"/>
      <c r="E11" s="20" t="str">
        <f t="shared" si="0"/>
        <v/>
      </c>
      <c r="F11" s="21" t="str">
        <f t="shared" si="3"/>
        <v/>
      </c>
      <c r="G11" s="22"/>
      <c r="H11" s="22" t="str">
        <f t="shared" si="1"/>
        <v/>
      </c>
      <c r="I11" s="21" t="str">
        <f t="shared" si="2"/>
        <v/>
      </c>
      <c r="J11" s="11"/>
      <c r="K11" s="19"/>
    </row>
    <row r="12" spans="1:11" ht="15.75">
      <c r="A12" s="30" t="str">
        <v>CA: Napa Data Center - Citi</v>
      </c>
      <c r="B12" s="31" t="str">
        <v>CA</v>
      </c>
      <c r="C12" s="26"/>
      <c r="D12" s="14"/>
      <c r="E12" s="14" t="str">
        <f t="shared" si="0"/>
        <v/>
      </c>
      <c r="F12" s="15" t="str">
        <f t="shared" si="3"/>
        <v/>
      </c>
      <c r="G12" s="16"/>
      <c r="H12" s="16" t="str">
        <f t="shared" si="1"/>
        <v/>
      </c>
      <c r="I12" s="17" t="str">
        <f t="shared" si="2"/>
        <v/>
      </c>
      <c r="J12" s="18"/>
      <c r="K12" s="18"/>
    </row>
    <row r="13" spans="1:11" ht="15.75">
      <c r="A13" s="32" t="str">
        <v>CA: Petaluma MOB - Citi</v>
      </c>
      <c r="B13" s="33" t="str">
        <v>CA</v>
      </c>
      <c r="C13" s="12"/>
      <c r="D13" s="20"/>
      <c r="E13" s="20" t="str">
        <f t="shared" si="0"/>
        <v/>
      </c>
      <c r="F13" s="21" t="str">
        <f t="shared" si="3"/>
        <v/>
      </c>
      <c r="G13" s="22"/>
      <c r="H13" s="22" t="str">
        <f t="shared" si="1"/>
        <v/>
      </c>
      <c r="I13" s="21" t="str">
        <f t="shared" si="2"/>
        <v/>
      </c>
      <c r="J13" s="11"/>
      <c r="K13" s="19"/>
    </row>
    <row r="14" spans="1:11" ht="15.75">
      <c r="A14" s="30" t="str">
        <v>CA: Pleasanton Tec Ctr - Citi</v>
      </c>
      <c r="B14" s="31" t="str">
        <v>CA</v>
      </c>
      <c r="C14" s="26"/>
      <c r="D14" s="14"/>
      <c r="E14" s="14" t="str">
        <f t="shared" si="0"/>
        <v/>
      </c>
      <c r="F14" s="15" t="str">
        <f t="shared" si="3"/>
        <v/>
      </c>
      <c r="G14" s="16"/>
      <c r="H14" s="16" t="str">
        <f t="shared" si="1"/>
        <v/>
      </c>
      <c r="I14" s="17" t="str">
        <f t="shared" si="2"/>
        <v/>
      </c>
      <c r="J14" s="18"/>
      <c r="K14" s="18"/>
    </row>
    <row r="15" spans="1:11" ht="15.75">
      <c r="A15" s="32" t="str">
        <v>CA: Rancho Cordova - Citi</v>
      </c>
      <c r="B15" s="33" t="str">
        <v>CA</v>
      </c>
      <c r="C15" s="12"/>
      <c r="D15" s="20"/>
      <c r="E15" s="20" t="str">
        <f t="shared" si="0"/>
        <v/>
      </c>
      <c r="F15" s="21" t="str">
        <f t="shared" si="3"/>
        <v/>
      </c>
      <c r="G15" s="22"/>
      <c r="H15" s="22" t="str">
        <f t="shared" si="1"/>
        <v/>
      </c>
      <c r="I15" s="21" t="str">
        <f t="shared" si="2"/>
        <v/>
      </c>
      <c r="J15" s="11"/>
      <c r="K15" s="19"/>
    </row>
    <row r="16" spans="1:11" ht="15.75">
      <c r="A16" s="30" t="str">
        <v>CA: S Sacramento Wyndham - Citi</v>
      </c>
      <c r="B16" s="31" t="str">
        <v>CA</v>
      </c>
      <c r="C16" s="37"/>
      <c r="D16" s="14"/>
      <c r="E16" s="14" t="str">
        <f t="shared" ref="E16:E21" si="4">IF(AND(ISNUMBER(C16),ISNUMBER(D16)), C16-D16, "")</f>
        <v/>
      </c>
      <c r="F16" s="38" t="str">
        <f t="shared" ref="F16:F21" si="5">IFERROR(E16/D16, "")</f>
        <v/>
      </c>
      <c r="G16" s="39"/>
      <c r="H16" s="39" t="str">
        <f t="shared" ref="H16:H21" si="6">IF(AND(ISNUMBER(C16),ISNUMBER(G16)), C16-G16, "")</f>
        <v/>
      </c>
      <c r="I16" s="40" t="str">
        <f t="shared" ref="I16:I21" si="7">IFERROR(H16/G16, "")</f>
        <v/>
      </c>
      <c r="J16" s="41"/>
      <c r="K16" s="41"/>
    </row>
    <row r="17" spans="1:11" ht="15.75">
      <c r="A17" s="32" t="str">
        <v>CA: Sacramento Point West - Citi</v>
      </c>
      <c r="B17" s="33" t="str">
        <v>CA</v>
      </c>
      <c r="C17" s="42"/>
      <c r="D17" s="20"/>
      <c r="E17" s="20" t="str">
        <f t="shared" si="4"/>
        <v/>
      </c>
      <c r="F17" s="43" t="str">
        <f t="shared" si="5"/>
        <v/>
      </c>
      <c r="G17" s="44"/>
      <c r="H17" s="44" t="str">
        <f t="shared" si="6"/>
        <v/>
      </c>
      <c r="I17" s="43" t="str">
        <f t="shared" si="7"/>
        <v/>
      </c>
      <c r="J17" s="11"/>
      <c r="K17" s="19"/>
    </row>
    <row r="18" spans="1:11" ht="12.75" customHeight="1">
      <c r="A18" s="30" t="str">
        <v>CA: San Jose FHC - Citi</v>
      </c>
      <c r="B18" s="31" t="str">
        <v>CA</v>
      </c>
      <c r="C18" s="37"/>
      <c r="D18" s="14"/>
      <c r="E18" s="14" t="str">
        <f t="shared" si="4"/>
        <v/>
      </c>
      <c r="F18" s="38" t="str">
        <f t="shared" si="5"/>
        <v/>
      </c>
      <c r="G18" s="39"/>
      <c r="H18" s="39" t="str">
        <f t="shared" si="6"/>
        <v/>
      </c>
      <c r="I18" s="40" t="str">
        <f t="shared" si="7"/>
        <v/>
      </c>
      <c r="J18" s="41"/>
      <c r="K18" s="41"/>
    </row>
    <row r="19" spans="1:11" ht="15.75">
      <c r="A19" s="32" t="str">
        <v>CA: San Jose MOB - Citi</v>
      </c>
      <c r="B19" s="33" t="str">
        <v>CA</v>
      </c>
      <c r="C19" s="42"/>
      <c r="D19" s="20"/>
      <c r="E19" s="20" t="str">
        <f t="shared" si="4"/>
        <v/>
      </c>
      <c r="F19" s="43" t="str">
        <f t="shared" si="5"/>
        <v/>
      </c>
      <c r="G19" s="44"/>
      <c r="H19" s="44" t="str">
        <f t="shared" si="6"/>
        <v/>
      </c>
      <c r="I19" s="43" t="str">
        <f t="shared" si="7"/>
        <v/>
      </c>
      <c r="J19" s="11"/>
      <c r="K19" s="19"/>
    </row>
    <row r="20" spans="1:11" ht="15.75">
      <c r="A20" s="30" t="str">
        <v>CA: Selma - Citi</v>
      </c>
      <c r="B20" s="31" t="str">
        <v>CA</v>
      </c>
      <c r="C20" s="37"/>
      <c r="D20" s="14"/>
      <c r="E20" s="14" t="str">
        <f t="shared" si="4"/>
        <v/>
      </c>
      <c r="F20" s="38" t="str">
        <f t="shared" si="5"/>
        <v/>
      </c>
      <c r="G20" s="39"/>
      <c r="H20" s="39" t="str">
        <f t="shared" si="6"/>
        <v/>
      </c>
      <c r="I20" s="40" t="str">
        <f t="shared" si="7"/>
        <v/>
      </c>
      <c r="J20" s="41"/>
      <c r="K20" s="41"/>
    </row>
    <row r="21" spans="1:11" ht="15.75">
      <c r="A21" s="32" t="str">
        <v>CA: Vacaville Hospital</v>
      </c>
      <c r="B21" s="33" t="str">
        <v>CA</v>
      </c>
      <c r="C21" s="42"/>
      <c r="D21" s="20"/>
      <c r="E21" s="20" t="str">
        <f t="shared" si="4"/>
        <v/>
      </c>
      <c r="F21" s="43" t="str">
        <f t="shared" si="5"/>
        <v/>
      </c>
      <c r="G21" s="44"/>
      <c r="H21" s="44" t="str">
        <f t="shared" si="6"/>
        <v/>
      </c>
      <c r="I21" s="43" t="str">
        <f t="shared" si="7"/>
        <v/>
      </c>
      <c r="J21" s="11"/>
      <c r="K21" s="19"/>
    </row>
    <row r="22" spans="1:11" ht="15.75">
      <c r="A22" s="30" t="str">
        <v>CA: Manteca - KP Manteca Hospital</v>
      </c>
      <c r="B22" s="31" t="str">
        <v>CA</v>
      </c>
      <c r="C22" s="37"/>
      <c r="D22" s="14"/>
      <c r="E22" s="14"/>
      <c r="F22" s="38"/>
      <c r="G22" s="39"/>
      <c r="H22" s="39"/>
      <c r="I22" s="40"/>
      <c r="J22" s="41"/>
      <c r="K22" s="41"/>
    </row>
    <row r="23" spans="1:11" ht="1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5">
      <c r="A26" s="23"/>
      <c r="B26" s="35"/>
      <c r="C26" s="23"/>
      <c r="D26" s="23"/>
      <c r="E26" s="23"/>
      <c r="F26" s="23"/>
      <c r="G26" s="23"/>
      <c r="H26" s="23"/>
      <c r="I26" s="23"/>
      <c r="J26" s="23"/>
      <c r="K26" s="23"/>
    </row>
    <row r="27" spans="1:11" ht="15">
      <c r="A27" s="23"/>
      <c r="B27" s="35"/>
      <c r="C27" s="23"/>
      <c r="D27" s="23"/>
      <c r="E27" s="23"/>
      <c r="F27" s="23"/>
      <c r="G27" s="23"/>
      <c r="H27" s="23"/>
      <c r="I27" s="23"/>
      <c r="J27" s="23"/>
      <c r="K27" s="23"/>
    </row>
    <row r="28" spans="1:11" ht="15">
      <c r="A28" s="23"/>
      <c r="B28" s="35"/>
      <c r="C28" s="23"/>
      <c r="D28" s="23"/>
      <c r="E28" s="23"/>
      <c r="F28" s="23"/>
      <c r="G28" s="23"/>
      <c r="H28" s="23"/>
      <c r="I28" s="23"/>
      <c r="J28" s="23"/>
      <c r="K28" s="23"/>
    </row>
    <row r="29" spans="1:11" ht="15">
      <c r="A29" s="23"/>
      <c r="B29" s="35"/>
      <c r="C29" s="23"/>
      <c r="D29" s="23"/>
      <c r="E29" s="23"/>
      <c r="F29" s="23"/>
      <c r="G29" s="23"/>
      <c r="H29" s="23"/>
      <c r="I29" s="23"/>
      <c r="J29" s="23"/>
      <c r="K29" s="23"/>
    </row>
    <row r="30" spans="1:11" ht="15">
      <c r="A30" s="23"/>
      <c r="B30" s="35"/>
      <c r="C30" s="23"/>
      <c r="D30" s="23"/>
      <c r="E30" s="23"/>
      <c r="F30" s="23"/>
      <c r="G30" s="23"/>
      <c r="H30" s="23"/>
      <c r="I30" s="23"/>
      <c r="J30" s="23"/>
      <c r="K30" s="23"/>
    </row>
    <row r="31" spans="1:11" ht="15">
      <c r="A31" s="23"/>
      <c r="B31" s="35"/>
      <c r="C31" s="23"/>
      <c r="D31" s="23"/>
      <c r="E31" s="23"/>
      <c r="F31" s="23"/>
      <c r="G31" s="23"/>
      <c r="H31" s="23"/>
      <c r="I31" s="23"/>
      <c r="J31" s="23"/>
      <c r="K31" s="23"/>
    </row>
    <row r="32" spans="1:11" ht="15">
      <c r="A32" s="23"/>
      <c r="B32" s="35"/>
      <c r="C32" s="23"/>
      <c r="D32" s="23"/>
      <c r="E32" s="23"/>
      <c r="F32" s="23"/>
      <c r="G32" s="23"/>
      <c r="H32" s="23"/>
      <c r="I32" s="23"/>
      <c r="J32" s="23"/>
      <c r="K32" s="23"/>
    </row>
    <row r="33" spans="1:11" ht="1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5">
      <c r="A335" s="23"/>
      <c r="B335" s="35"/>
      <c r="C335" s="23"/>
      <c r="D335" s="23"/>
      <c r="E335" s="23"/>
      <c r="F335" s="24"/>
      <c r="G335" s="23"/>
      <c r="H335" s="23"/>
      <c r="I335" s="24"/>
      <c r="J335" s="23"/>
      <c r="K335" s="23"/>
    </row>
    <row r="336" spans="1:11" ht="15">
      <c r="A336" s="23"/>
      <c r="B336" s="35"/>
      <c r="C336" s="23"/>
      <c r="D336" s="23"/>
      <c r="E336" s="23"/>
      <c r="F336" s="24"/>
      <c r="G336" s="23"/>
      <c r="H336" s="23"/>
      <c r="I336" s="24"/>
      <c r="J336" s="23"/>
      <c r="K336" s="23"/>
    </row>
    <row r="337" spans="1:11" ht="15">
      <c r="A337" s="23"/>
      <c r="B337" s="35"/>
      <c r="C337" s="23"/>
      <c r="D337" s="23"/>
      <c r="E337" s="23"/>
      <c r="F337" s="24"/>
      <c r="G337" s="23"/>
      <c r="H337" s="23"/>
      <c r="I337" s="24"/>
      <c r="J337" s="23"/>
      <c r="K337" s="23"/>
    </row>
    <row r="338" spans="1:11" ht="15">
      <c r="A338" s="23"/>
      <c r="B338" s="35"/>
      <c r="C338" s="23"/>
      <c r="D338" s="23"/>
      <c r="E338" s="23"/>
      <c r="F338" s="24"/>
      <c r="G338" s="23"/>
      <c r="H338" s="23"/>
      <c r="I338" s="24"/>
      <c r="J338" s="23"/>
      <c r="K338" s="23"/>
    </row>
    <row r="339" spans="1:11" ht="15">
      <c r="A339" s="23"/>
      <c r="B339" s="35"/>
      <c r="C339" s="23"/>
      <c r="D339" s="23"/>
      <c r="E339" s="23"/>
      <c r="F339" s="24"/>
      <c r="G339" s="23"/>
      <c r="H339" s="23"/>
      <c r="I339" s="24"/>
      <c r="J339" s="23"/>
      <c r="K339" s="23"/>
    </row>
    <row r="340" spans="1:11" ht="15">
      <c r="A340" s="23"/>
      <c r="B340" s="35"/>
      <c r="C340" s="23"/>
      <c r="D340" s="23"/>
      <c r="E340" s="23"/>
      <c r="F340" s="24"/>
      <c r="G340" s="23"/>
      <c r="H340" s="23"/>
      <c r="I340" s="24"/>
      <c r="J340" s="23"/>
      <c r="K340" s="23"/>
    </row>
    <row r="341" spans="1:11" ht="15">
      <c r="A341" s="23"/>
      <c r="B341" s="35"/>
      <c r="C341" s="23"/>
      <c r="D341" s="23"/>
      <c r="E341" s="23"/>
      <c r="F341" s="24"/>
      <c r="G341" s="23"/>
      <c r="H341" s="23"/>
      <c r="I341" s="24"/>
      <c r="J341" s="23"/>
      <c r="K341" s="23"/>
    </row>
    <row r="342" spans="1:11">
      <c r="C342" s="23"/>
      <c r="D342" s="23"/>
      <c r="E342" s="23"/>
      <c r="F342" s="24"/>
      <c r="G342" s="23"/>
      <c r="H342" s="23"/>
      <c r="I342" s="24"/>
      <c r="J342" s="23"/>
      <c r="K342" s="23"/>
    </row>
  </sheetData>
  <mergeCells count="4">
    <mergeCell ref="G1:I1"/>
    <mergeCell ref="A1:C1"/>
    <mergeCell ref="D1:F1"/>
    <mergeCell ref="A2:B2"/>
  </mergeCells>
  <conditionalFormatting sqref="F2 I2 F4:F100 I4:I100">
    <cfRule type="cellIs" dxfId="16" priority="1" stopIfTrue="1" operator="lessThanOrEqual">
      <formula>-0.1</formula>
    </cfRule>
    <cfRule type="expression" dxfId="15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42"/>
  <sheetViews>
    <sheetView workbookViewId="0">
      <pane ySplit="2" topLeftCell="A3" activePane="bottomLeft" state="frozen"/>
      <selection pane="bottomLeft" activeCell="A22" sqref="A22:XFD22"/>
    </sheetView>
  </sheetViews>
  <sheetFormatPr defaultRowHeight="14.25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1" t="str" cm="1">
        <f t="array" ref="A1">portfolio</f>
        <v>CITI</v>
      </c>
      <c r="B1" s="61"/>
      <c r="C1" s="61"/>
      <c r="D1" s="62" t="s">
        <v>50</v>
      </c>
      <c r="E1" s="62"/>
      <c r="F1" s="62"/>
      <c r="G1" s="60" t="s">
        <v>51</v>
      </c>
      <c r="H1" s="60"/>
      <c r="I1" s="60"/>
      <c r="J1" s="5"/>
      <c r="K1" s="5"/>
    </row>
    <row r="2" spans="1:11" ht="19.5" customHeight="1">
      <c r="A2" s="63" t="s">
        <v>2</v>
      </c>
      <c r="B2" s="63"/>
      <c r="C2" s="6">
        <f>SUM(C4:C100)</f>
        <v>0</v>
      </c>
      <c r="D2" s="6">
        <f>SUM(D4:D100)</f>
        <v>0</v>
      </c>
      <c r="E2" s="6">
        <f>C2-D2</f>
        <v>0</v>
      </c>
      <c r="F2" s="7">
        <f>IFERROR(E2/D2, 0)</f>
        <v>0</v>
      </c>
      <c r="G2" s="6">
        <f>SUM(G4:G100)</f>
        <v>0</v>
      </c>
      <c r="H2" s="8">
        <f>C2-G2</f>
        <v>0</v>
      </c>
      <c r="I2" s="7">
        <f>IFERROR(H2/G2, 0)</f>
        <v>0</v>
      </c>
      <c r="J2" s="28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49" t="s">
        <v>6</v>
      </c>
      <c r="E3" s="49" t="s">
        <v>7</v>
      </c>
      <c r="F3" s="50" t="s">
        <v>8</v>
      </c>
      <c r="G3" s="51" t="s">
        <v>9</v>
      </c>
      <c r="H3" s="52" t="s">
        <v>7</v>
      </c>
      <c r="I3" s="53" t="s">
        <v>8</v>
      </c>
      <c r="J3" s="27" t="s">
        <v>20</v>
      </c>
      <c r="K3" s="27" t="s">
        <v>21</v>
      </c>
    </row>
    <row r="4" spans="1:11" ht="15.75">
      <c r="A4" s="34" t="str" cm="1">
        <f t="array" ref="A4:A22">Sites[Site]</f>
        <v>CA: Antioch Deer Valley - Citi</v>
      </c>
      <c r="B4" s="31" t="str" cm="1">
        <f t="array" ref="B4:B22">Sites[State]</f>
        <v>CA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2" t="str">
        <v>CA: Antioch MC CUP - Citi</v>
      </c>
      <c r="B5" s="33" t="str">
        <v>CA</v>
      </c>
      <c r="C5" s="12"/>
      <c r="D5" s="20"/>
      <c r="E5" s="20" t="str">
        <f t="shared" ref="E5:E15" si="0">IF(AND(ISNUMBER(C5),ISNUMBER(D5)), C5-D5, "")</f>
        <v/>
      </c>
      <c r="F5" s="21" t="str">
        <f>IFERROR(E5/D5, "")</f>
        <v/>
      </c>
      <c r="G5" s="22"/>
      <c r="H5" s="22" t="str">
        <f t="shared" ref="H5:H15" si="1">IF(AND(ISNUMBER(C5),ISNUMBER(G5)), C5-G5, "")</f>
        <v/>
      </c>
      <c r="I5" s="21" t="str">
        <f t="shared" ref="I5:I15" si="2">IFERROR(H5/G5, "")</f>
        <v/>
      </c>
      <c r="J5" s="11"/>
      <c r="K5" s="19"/>
    </row>
    <row r="6" spans="1:11" ht="15.75">
      <c r="A6" s="30" t="str">
        <v>CA: Clovis - Citi</v>
      </c>
      <c r="B6" s="31" t="str">
        <v>CA</v>
      </c>
      <c r="C6" s="26"/>
      <c r="D6" s="14"/>
      <c r="E6" s="14" t="str">
        <f t="shared" si="0"/>
        <v/>
      </c>
      <c r="F6" s="15" t="str">
        <f t="shared" ref="F6:F15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5.75">
      <c r="A7" s="32" t="str">
        <v>CA: Elk Grove MOB - Citi</v>
      </c>
      <c r="B7" s="33" t="str">
        <v>CA</v>
      </c>
      <c r="C7" s="12"/>
      <c r="D7" s="20"/>
      <c r="E7" s="20" t="str">
        <f t="shared" si="0"/>
        <v/>
      </c>
      <c r="F7" s="21" t="str">
        <f t="shared" si="3"/>
        <v/>
      </c>
      <c r="G7" s="22"/>
      <c r="H7" s="22" t="str">
        <f t="shared" si="1"/>
        <v/>
      </c>
      <c r="I7" s="21" t="str">
        <f t="shared" si="2"/>
        <v/>
      </c>
      <c r="J7" s="11"/>
      <c r="K7" s="19"/>
    </row>
    <row r="8" spans="1:11" ht="15.75">
      <c r="A8" s="30" t="str">
        <v>CA: Elk Grove Promenade - Citi</v>
      </c>
      <c r="B8" s="31" t="str">
        <v>CA</v>
      </c>
      <c r="C8" s="26"/>
      <c r="D8" s="14"/>
      <c r="E8" s="14" t="str">
        <f t="shared" si="0"/>
        <v/>
      </c>
      <c r="F8" s="15" t="str">
        <f t="shared" si="3"/>
        <v/>
      </c>
      <c r="G8" s="16"/>
      <c r="H8" s="16" t="str">
        <f t="shared" si="1"/>
        <v/>
      </c>
      <c r="I8" s="17" t="str">
        <f t="shared" si="2"/>
        <v/>
      </c>
      <c r="J8" s="18"/>
      <c r="K8" s="18"/>
    </row>
    <row r="9" spans="1:11" ht="15.75">
      <c r="A9" s="32" t="str">
        <v>CA: Fresno Sequioa - Citi</v>
      </c>
      <c r="B9" s="33" t="str">
        <v>CA</v>
      </c>
      <c r="C9" s="12"/>
      <c r="D9" s="20"/>
      <c r="E9" s="20" t="str">
        <f t="shared" si="0"/>
        <v/>
      </c>
      <c r="F9" s="21" t="str">
        <f t="shared" si="3"/>
        <v/>
      </c>
      <c r="G9" s="22"/>
      <c r="H9" s="22" t="str">
        <f t="shared" si="1"/>
        <v/>
      </c>
      <c r="I9" s="21" t="str">
        <f t="shared" si="2"/>
        <v/>
      </c>
      <c r="J9" s="11"/>
      <c r="K9" s="19"/>
    </row>
    <row r="10" spans="1:11" ht="15.75">
      <c r="A10" s="30" t="str">
        <v>CA: Fresno MOB - Citi</v>
      </c>
      <c r="B10" s="31" t="str">
        <v>CA</v>
      </c>
      <c r="C10" s="26"/>
      <c r="D10" s="14"/>
      <c r="E10" s="14" t="str">
        <f t="shared" si="0"/>
        <v/>
      </c>
      <c r="F10" s="15" t="str">
        <f t="shared" si="3"/>
        <v/>
      </c>
      <c r="G10" s="16"/>
      <c r="H10" s="16" t="str">
        <f t="shared" si="1"/>
        <v/>
      </c>
      <c r="I10" s="17" t="str">
        <f t="shared" si="2"/>
        <v/>
      </c>
      <c r="J10" s="18"/>
      <c r="K10" s="18"/>
    </row>
    <row r="11" spans="1:11" ht="15.75">
      <c r="A11" s="32" t="str">
        <v>CA: Modesto Bangs - Citi</v>
      </c>
      <c r="B11" s="33" t="str">
        <v>CA</v>
      </c>
      <c r="C11" s="12"/>
      <c r="D11" s="20"/>
      <c r="E11" s="20" t="str">
        <f t="shared" si="0"/>
        <v/>
      </c>
      <c r="F11" s="21" t="str">
        <f t="shared" si="3"/>
        <v/>
      </c>
      <c r="G11" s="22"/>
      <c r="H11" s="22" t="str">
        <f t="shared" si="1"/>
        <v/>
      </c>
      <c r="I11" s="21" t="str">
        <f t="shared" si="2"/>
        <v/>
      </c>
      <c r="J11" s="11"/>
      <c r="K11" s="19"/>
    </row>
    <row r="12" spans="1:11" ht="15.75">
      <c r="A12" s="30" t="str">
        <v>CA: Napa Data Center - Citi</v>
      </c>
      <c r="B12" s="31" t="str">
        <v>CA</v>
      </c>
      <c r="C12" s="26"/>
      <c r="D12" s="14"/>
      <c r="E12" s="14" t="str">
        <f t="shared" si="0"/>
        <v/>
      </c>
      <c r="F12" s="15" t="str">
        <f t="shared" si="3"/>
        <v/>
      </c>
      <c r="G12" s="16"/>
      <c r="H12" s="16" t="str">
        <f t="shared" si="1"/>
        <v/>
      </c>
      <c r="I12" s="17" t="str">
        <f t="shared" si="2"/>
        <v/>
      </c>
      <c r="J12" s="18"/>
      <c r="K12" s="18"/>
    </row>
    <row r="13" spans="1:11" ht="15.75">
      <c r="A13" s="32" t="str">
        <v>CA: Petaluma MOB - Citi</v>
      </c>
      <c r="B13" s="33" t="str">
        <v>CA</v>
      </c>
      <c r="C13" s="12"/>
      <c r="D13" s="20"/>
      <c r="E13" s="20" t="str">
        <f t="shared" si="0"/>
        <v/>
      </c>
      <c r="F13" s="21" t="str">
        <f t="shared" si="3"/>
        <v/>
      </c>
      <c r="G13" s="22"/>
      <c r="H13" s="22" t="str">
        <f t="shared" si="1"/>
        <v/>
      </c>
      <c r="I13" s="21" t="str">
        <f t="shared" si="2"/>
        <v/>
      </c>
      <c r="J13" s="11"/>
      <c r="K13" s="19"/>
    </row>
    <row r="14" spans="1:11" ht="15.75">
      <c r="A14" s="30" t="str">
        <v>CA: Pleasanton Tec Ctr - Citi</v>
      </c>
      <c r="B14" s="31" t="str">
        <v>CA</v>
      </c>
      <c r="C14" s="26"/>
      <c r="D14" s="14"/>
      <c r="E14" s="14" t="str">
        <f t="shared" si="0"/>
        <v/>
      </c>
      <c r="F14" s="15" t="str">
        <f t="shared" si="3"/>
        <v/>
      </c>
      <c r="G14" s="16"/>
      <c r="H14" s="16" t="str">
        <f t="shared" si="1"/>
        <v/>
      </c>
      <c r="I14" s="17" t="str">
        <f t="shared" si="2"/>
        <v/>
      </c>
      <c r="J14" s="18"/>
      <c r="K14" s="18"/>
    </row>
    <row r="15" spans="1:11" ht="15.75">
      <c r="A15" s="32" t="str">
        <v>CA: Rancho Cordova - Citi</v>
      </c>
      <c r="B15" s="33" t="str">
        <v>CA</v>
      </c>
      <c r="C15" s="12"/>
      <c r="D15" s="20"/>
      <c r="E15" s="20" t="str">
        <f t="shared" si="0"/>
        <v/>
      </c>
      <c r="F15" s="21" t="str">
        <f t="shared" si="3"/>
        <v/>
      </c>
      <c r="G15" s="22"/>
      <c r="H15" s="22" t="str">
        <f t="shared" si="1"/>
        <v/>
      </c>
      <c r="I15" s="21" t="str">
        <f t="shared" si="2"/>
        <v/>
      </c>
      <c r="J15" s="11"/>
      <c r="K15" s="19"/>
    </row>
    <row r="16" spans="1:11" ht="15.75">
      <c r="A16" s="30" t="str">
        <v>CA: S Sacramento Wyndham - Citi</v>
      </c>
      <c r="B16" s="31" t="str">
        <v>CA</v>
      </c>
      <c r="C16" s="37"/>
      <c r="D16" s="14"/>
      <c r="E16" s="14" t="str">
        <f t="shared" ref="E16:E21" si="4">IF(AND(ISNUMBER(C16),ISNUMBER(D16)), C16-D16, "")</f>
        <v/>
      </c>
      <c r="F16" s="38" t="str">
        <f t="shared" ref="F16:F21" si="5">IFERROR(E16/D16, "")</f>
        <v/>
      </c>
      <c r="G16" s="39"/>
      <c r="H16" s="39" t="str">
        <f t="shared" ref="H16:H21" si="6">IF(AND(ISNUMBER(C16),ISNUMBER(G16)), C16-G16, "")</f>
        <v/>
      </c>
      <c r="I16" s="40" t="str">
        <f t="shared" ref="I16:I21" si="7">IFERROR(H16/G16, "")</f>
        <v/>
      </c>
      <c r="J16" s="41"/>
      <c r="K16" s="41"/>
    </row>
    <row r="17" spans="1:11" ht="15.75">
      <c r="A17" s="32" t="str">
        <v>CA: Sacramento Point West - Citi</v>
      </c>
      <c r="B17" s="33" t="str">
        <v>CA</v>
      </c>
      <c r="C17" s="42"/>
      <c r="D17" s="20"/>
      <c r="E17" s="20" t="str">
        <f t="shared" si="4"/>
        <v/>
      </c>
      <c r="F17" s="43" t="str">
        <f t="shared" si="5"/>
        <v/>
      </c>
      <c r="G17" s="44"/>
      <c r="H17" s="44" t="str">
        <f t="shared" si="6"/>
        <v/>
      </c>
      <c r="I17" s="43" t="str">
        <f t="shared" si="7"/>
        <v/>
      </c>
      <c r="J17" s="11"/>
      <c r="K17" s="19"/>
    </row>
    <row r="18" spans="1:11" ht="12.75" customHeight="1">
      <c r="A18" s="30" t="str">
        <v>CA: San Jose FHC - Citi</v>
      </c>
      <c r="B18" s="31" t="str">
        <v>CA</v>
      </c>
      <c r="C18" s="37"/>
      <c r="D18" s="14"/>
      <c r="E18" s="14" t="str">
        <f t="shared" si="4"/>
        <v/>
      </c>
      <c r="F18" s="38" t="str">
        <f t="shared" si="5"/>
        <v/>
      </c>
      <c r="G18" s="39"/>
      <c r="H18" s="39" t="str">
        <f t="shared" si="6"/>
        <v/>
      </c>
      <c r="I18" s="40" t="str">
        <f t="shared" si="7"/>
        <v/>
      </c>
      <c r="J18" s="41"/>
      <c r="K18" s="41"/>
    </row>
    <row r="19" spans="1:11" ht="15.75">
      <c r="A19" s="32" t="str">
        <v>CA: San Jose MOB - Citi</v>
      </c>
      <c r="B19" s="33" t="str">
        <v>CA</v>
      </c>
      <c r="C19" s="42"/>
      <c r="D19" s="20"/>
      <c r="E19" s="20" t="str">
        <f t="shared" si="4"/>
        <v/>
      </c>
      <c r="F19" s="43" t="str">
        <f t="shared" si="5"/>
        <v/>
      </c>
      <c r="G19" s="44"/>
      <c r="H19" s="44" t="str">
        <f t="shared" si="6"/>
        <v/>
      </c>
      <c r="I19" s="43" t="str">
        <f t="shared" si="7"/>
        <v/>
      </c>
      <c r="J19" s="11"/>
      <c r="K19" s="19"/>
    </row>
    <row r="20" spans="1:11" ht="15.75">
      <c r="A20" s="30" t="str">
        <v>CA: Selma - Citi</v>
      </c>
      <c r="B20" s="31" t="str">
        <v>CA</v>
      </c>
      <c r="C20" s="37"/>
      <c r="D20" s="14"/>
      <c r="E20" s="14" t="str">
        <f t="shared" si="4"/>
        <v/>
      </c>
      <c r="F20" s="38" t="str">
        <f t="shared" si="5"/>
        <v/>
      </c>
      <c r="G20" s="39"/>
      <c r="H20" s="39" t="str">
        <f t="shared" si="6"/>
        <v/>
      </c>
      <c r="I20" s="40" t="str">
        <f t="shared" si="7"/>
        <v/>
      </c>
      <c r="J20" s="41"/>
      <c r="K20" s="41"/>
    </row>
    <row r="21" spans="1:11" ht="15.75">
      <c r="A21" s="32" t="str">
        <v>CA: Vacaville Hospital</v>
      </c>
      <c r="B21" s="33" t="str">
        <v>CA</v>
      </c>
      <c r="C21" s="42"/>
      <c r="D21" s="20"/>
      <c r="E21" s="20" t="str">
        <f t="shared" si="4"/>
        <v/>
      </c>
      <c r="F21" s="43" t="str">
        <f t="shared" si="5"/>
        <v/>
      </c>
      <c r="G21" s="44"/>
      <c r="H21" s="44" t="str">
        <f t="shared" si="6"/>
        <v/>
      </c>
      <c r="I21" s="43" t="str">
        <f t="shared" si="7"/>
        <v/>
      </c>
      <c r="J21" s="11"/>
      <c r="K21" s="19"/>
    </row>
    <row r="22" spans="1:11" ht="15.75">
      <c r="A22" s="30" t="str">
        <v>CA: Manteca - KP Manteca Hospital</v>
      </c>
      <c r="B22" s="31" t="str">
        <v>CA</v>
      </c>
      <c r="C22" s="37"/>
      <c r="D22" s="14"/>
      <c r="E22" s="14"/>
      <c r="F22" s="38"/>
      <c r="G22" s="39"/>
      <c r="H22" s="39"/>
      <c r="I22" s="40"/>
      <c r="J22" s="41"/>
      <c r="K22" s="41"/>
    </row>
    <row r="23" spans="1:11" ht="1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5">
      <c r="A26" s="23"/>
      <c r="B26" s="35"/>
      <c r="C26" s="23"/>
      <c r="D26" s="23"/>
      <c r="E26" s="23"/>
      <c r="F26" s="23"/>
      <c r="G26" s="23"/>
      <c r="H26" s="23"/>
      <c r="I26" s="23"/>
      <c r="J26" s="23"/>
      <c r="K26" s="23"/>
    </row>
    <row r="27" spans="1:11" ht="15">
      <c r="A27" s="23"/>
      <c r="B27" s="35"/>
      <c r="C27" s="23"/>
      <c r="D27" s="23"/>
      <c r="E27" s="23"/>
      <c r="F27" s="23"/>
      <c r="G27" s="23"/>
      <c r="H27" s="23"/>
      <c r="I27" s="23"/>
      <c r="J27" s="23"/>
      <c r="K27" s="23"/>
    </row>
    <row r="28" spans="1:11" ht="15">
      <c r="A28" s="23"/>
      <c r="B28" s="35"/>
      <c r="C28" s="23"/>
      <c r="D28" s="23"/>
      <c r="E28" s="23"/>
      <c r="F28" s="23"/>
      <c r="G28" s="23"/>
      <c r="H28" s="23"/>
      <c r="I28" s="23"/>
      <c r="J28" s="23"/>
      <c r="K28" s="23"/>
    </row>
    <row r="29" spans="1:11" ht="15">
      <c r="A29" s="23"/>
      <c r="B29" s="35"/>
      <c r="C29" s="23"/>
      <c r="D29" s="23"/>
      <c r="E29" s="23"/>
      <c r="F29" s="23"/>
      <c r="G29" s="23"/>
      <c r="H29" s="23"/>
      <c r="I29" s="23"/>
      <c r="J29" s="23"/>
      <c r="K29" s="23"/>
    </row>
    <row r="30" spans="1:11" ht="15">
      <c r="A30" s="23"/>
      <c r="B30" s="35"/>
      <c r="C30" s="23"/>
      <c r="D30" s="23"/>
      <c r="E30" s="23"/>
      <c r="F30" s="23"/>
      <c r="G30" s="23"/>
      <c r="H30" s="23"/>
      <c r="I30" s="23"/>
      <c r="J30" s="23"/>
      <c r="K30" s="23"/>
    </row>
    <row r="31" spans="1:11" ht="15">
      <c r="A31" s="23"/>
      <c r="B31" s="35"/>
      <c r="C31" s="23"/>
      <c r="D31" s="23"/>
      <c r="E31" s="23"/>
      <c r="F31" s="23"/>
      <c r="G31" s="23"/>
      <c r="H31" s="23"/>
      <c r="I31" s="23"/>
      <c r="J31" s="23"/>
      <c r="K31" s="23"/>
    </row>
    <row r="32" spans="1:11" ht="15">
      <c r="A32" s="23"/>
      <c r="B32" s="35"/>
      <c r="C32" s="23"/>
      <c r="D32" s="23"/>
      <c r="E32" s="23"/>
      <c r="F32" s="23"/>
      <c r="G32" s="23"/>
      <c r="H32" s="23"/>
      <c r="I32" s="23"/>
      <c r="J32" s="23"/>
      <c r="K32" s="23"/>
    </row>
    <row r="33" spans="1:11" ht="1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5">
      <c r="A335" s="23"/>
      <c r="B335" s="35"/>
      <c r="C335" s="23"/>
      <c r="D335" s="23"/>
      <c r="E335" s="23"/>
      <c r="F335" s="24"/>
      <c r="G335" s="23"/>
      <c r="H335" s="23"/>
      <c r="I335" s="24"/>
      <c r="J335" s="23"/>
      <c r="K335" s="23"/>
    </row>
    <row r="336" spans="1:11" ht="15">
      <c r="A336" s="23"/>
      <c r="B336" s="35"/>
      <c r="C336" s="23"/>
      <c r="D336" s="23"/>
      <c r="E336" s="23"/>
      <c r="F336" s="24"/>
      <c r="G336" s="23"/>
      <c r="H336" s="23"/>
      <c r="I336" s="24"/>
      <c r="J336" s="23"/>
      <c r="K336" s="23"/>
    </row>
    <row r="337" spans="1:11" ht="15">
      <c r="A337" s="23"/>
      <c r="B337" s="35"/>
      <c r="C337" s="23"/>
      <c r="D337" s="23"/>
      <c r="E337" s="23"/>
      <c r="F337" s="24"/>
      <c r="G337" s="23"/>
      <c r="H337" s="23"/>
      <c r="I337" s="24"/>
      <c r="J337" s="23"/>
      <c r="K337" s="23"/>
    </row>
    <row r="338" spans="1:11" ht="15">
      <c r="A338" s="23"/>
      <c r="B338" s="35"/>
      <c r="C338" s="23"/>
      <c r="D338" s="23"/>
      <c r="E338" s="23"/>
      <c r="F338" s="24"/>
      <c r="G338" s="23"/>
      <c r="H338" s="23"/>
      <c r="I338" s="24"/>
      <c r="J338" s="23"/>
      <c r="K338" s="23"/>
    </row>
    <row r="339" spans="1:11" ht="15">
      <c r="A339" s="23"/>
      <c r="B339" s="35"/>
      <c r="C339" s="23"/>
      <c r="D339" s="23"/>
      <c r="E339" s="23"/>
      <c r="F339" s="24"/>
      <c r="G339" s="23"/>
      <c r="H339" s="23"/>
      <c r="I339" s="24"/>
      <c r="J339" s="23"/>
      <c r="K339" s="23"/>
    </row>
    <row r="340" spans="1:11" ht="15">
      <c r="A340" s="23"/>
      <c r="B340" s="35"/>
      <c r="C340" s="23"/>
      <c r="D340" s="23"/>
      <c r="E340" s="23"/>
      <c r="F340" s="24"/>
      <c r="G340" s="23"/>
      <c r="H340" s="23"/>
      <c r="I340" s="24"/>
      <c r="J340" s="23"/>
      <c r="K340" s="23"/>
    </row>
    <row r="341" spans="1:11" ht="15">
      <c r="A341" s="23"/>
      <c r="B341" s="35"/>
      <c r="C341" s="23"/>
      <c r="D341" s="23"/>
      <c r="E341" s="23"/>
      <c r="F341" s="24"/>
      <c r="G341" s="23"/>
      <c r="H341" s="23"/>
      <c r="I341" s="24"/>
      <c r="J341" s="23"/>
      <c r="K341" s="23"/>
    </row>
    <row r="342" spans="1:11">
      <c r="C342" s="23"/>
      <c r="D342" s="23"/>
      <c r="E342" s="23"/>
      <c r="F342" s="24"/>
      <c r="G342" s="23"/>
      <c r="H342" s="23"/>
      <c r="I342" s="24"/>
      <c r="J342" s="23"/>
      <c r="K342" s="23"/>
    </row>
  </sheetData>
  <mergeCells count="4">
    <mergeCell ref="G1:I1"/>
    <mergeCell ref="A1:C1"/>
    <mergeCell ref="D1:F1"/>
    <mergeCell ref="A2:B2"/>
  </mergeCells>
  <conditionalFormatting sqref="F2 I2 F4:F100 I4:I100">
    <cfRule type="cellIs" dxfId="14" priority="1" stopIfTrue="1" operator="lessThanOrEqual">
      <formula>-0.1</formula>
    </cfRule>
    <cfRule type="expression" dxfId="1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42"/>
  <sheetViews>
    <sheetView workbookViewId="0">
      <pane ySplit="2" topLeftCell="A3" activePane="bottomLeft" state="frozen"/>
      <selection pane="bottomLeft" activeCell="A22" sqref="A22:XFD22"/>
    </sheetView>
  </sheetViews>
  <sheetFormatPr defaultRowHeight="14.25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1" t="str" cm="1">
        <f t="array" ref="A1">portfolio</f>
        <v>CITI</v>
      </c>
      <c r="B1" s="61"/>
      <c r="C1" s="61"/>
      <c r="D1" s="62" t="s">
        <v>52</v>
      </c>
      <c r="E1" s="62"/>
      <c r="F1" s="62"/>
      <c r="G1" s="60" t="s">
        <v>53</v>
      </c>
      <c r="H1" s="60"/>
      <c r="I1" s="60"/>
      <c r="J1" s="5"/>
      <c r="K1" s="5"/>
    </row>
    <row r="2" spans="1:11" ht="19.5" customHeight="1">
      <c r="A2" s="63" t="s">
        <v>2</v>
      </c>
      <c r="B2" s="63"/>
      <c r="C2" s="6">
        <f>SUM(C4:C100)</f>
        <v>0</v>
      </c>
      <c r="D2" s="6">
        <f>SUM(D4:D100)</f>
        <v>0</v>
      </c>
      <c r="E2" s="6">
        <f>C2-D2</f>
        <v>0</v>
      </c>
      <c r="F2" s="7">
        <f>IFERROR(E2/D2, 0)</f>
        <v>0</v>
      </c>
      <c r="G2" s="6">
        <f>SUM(G4:G100)</f>
        <v>0</v>
      </c>
      <c r="H2" s="8">
        <f>C2-G2</f>
        <v>0</v>
      </c>
      <c r="I2" s="7">
        <f>IFERROR(H2/G2, 0)</f>
        <v>0</v>
      </c>
      <c r="J2" s="28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49" t="s">
        <v>6</v>
      </c>
      <c r="E3" s="49" t="s">
        <v>7</v>
      </c>
      <c r="F3" s="50" t="s">
        <v>8</v>
      </c>
      <c r="G3" s="51" t="s">
        <v>9</v>
      </c>
      <c r="H3" s="52" t="s">
        <v>7</v>
      </c>
      <c r="I3" s="53" t="s">
        <v>8</v>
      </c>
      <c r="J3" s="27" t="s">
        <v>20</v>
      </c>
      <c r="K3" s="27" t="s">
        <v>21</v>
      </c>
    </row>
    <row r="4" spans="1:11" ht="15.75">
      <c r="A4" s="34" t="str" cm="1">
        <f t="array" ref="A4:A22">Sites[Site]</f>
        <v>CA: Antioch Deer Valley - Citi</v>
      </c>
      <c r="B4" s="31" t="str" cm="1">
        <f t="array" ref="B4:B22">Sites[State]</f>
        <v>CA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2" t="str">
        <v>CA: Antioch MC CUP - Citi</v>
      </c>
      <c r="B5" s="33" t="str">
        <v>CA</v>
      </c>
      <c r="C5" s="12"/>
      <c r="D5" s="20"/>
      <c r="E5" s="20" t="str">
        <f t="shared" ref="E5:E15" si="0">IF(AND(ISNUMBER(C5),ISNUMBER(D5)), C5-D5, "")</f>
        <v/>
      </c>
      <c r="F5" s="21" t="str">
        <f>IFERROR(E5/D5, "")</f>
        <v/>
      </c>
      <c r="G5" s="22"/>
      <c r="H5" s="22" t="str">
        <f t="shared" ref="H5:H15" si="1">IF(AND(ISNUMBER(C5),ISNUMBER(G5)), C5-G5, "")</f>
        <v/>
      </c>
      <c r="I5" s="21" t="str">
        <f t="shared" ref="I5:I15" si="2">IFERROR(H5/G5, "")</f>
        <v/>
      </c>
      <c r="J5" s="11"/>
      <c r="K5" s="19"/>
    </row>
    <row r="6" spans="1:11" ht="15.75">
      <c r="A6" s="30" t="str">
        <v>CA: Clovis - Citi</v>
      </c>
      <c r="B6" s="31" t="str">
        <v>CA</v>
      </c>
      <c r="C6" s="26"/>
      <c r="D6" s="14"/>
      <c r="E6" s="14" t="str">
        <f t="shared" si="0"/>
        <v/>
      </c>
      <c r="F6" s="15" t="str">
        <f t="shared" ref="F6:F15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5.75">
      <c r="A7" s="32" t="str">
        <v>CA: Elk Grove MOB - Citi</v>
      </c>
      <c r="B7" s="33" t="str">
        <v>CA</v>
      </c>
      <c r="C7" s="12"/>
      <c r="D7" s="20"/>
      <c r="E7" s="20" t="str">
        <f t="shared" si="0"/>
        <v/>
      </c>
      <c r="F7" s="21" t="str">
        <f t="shared" si="3"/>
        <v/>
      </c>
      <c r="G7" s="22"/>
      <c r="H7" s="22" t="str">
        <f t="shared" si="1"/>
        <v/>
      </c>
      <c r="I7" s="21" t="str">
        <f t="shared" si="2"/>
        <v/>
      </c>
      <c r="J7" s="11"/>
      <c r="K7" s="19"/>
    </row>
    <row r="8" spans="1:11" ht="15.75">
      <c r="A8" s="30" t="str">
        <v>CA: Elk Grove Promenade - Citi</v>
      </c>
      <c r="B8" s="31" t="str">
        <v>CA</v>
      </c>
      <c r="C8" s="26"/>
      <c r="D8" s="14"/>
      <c r="E8" s="14" t="str">
        <f t="shared" si="0"/>
        <v/>
      </c>
      <c r="F8" s="15" t="str">
        <f t="shared" si="3"/>
        <v/>
      </c>
      <c r="G8" s="16"/>
      <c r="H8" s="16" t="str">
        <f t="shared" si="1"/>
        <v/>
      </c>
      <c r="I8" s="17" t="str">
        <f t="shared" si="2"/>
        <v/>
      </c>
      <c r="J8" s="18"/>
      <c r="K8" s="18"/>
    </row>
    <row r="9" spans="1:11" ht="15.75">
      <c r="A9" s="32" t="str">
        <v>CA: Fresno Sequioa - Citi</v>
      </c>
      <c r="B9" s="33" t="str">
        <v>CA</v>
      </c>
      <c r="C9" s="12"/>
      <c r="D9" s="20"/>
      <c r="E9" s="20" t="str">
        <f t="shared" si="0"/>
        <v/>
      </c>
      <c r="F9" s="21" t="str">
        <f t="shared" si="3"/>
        <v/>
      </c>
      <c r="G9" s="22"/>
      <c r="H9" s="22" t="str">
        <f t="shared" si="1"/>
        <v/>
      </c>
      <c r="I9" s="21" t="str">
        <f t="shared" si="2"/>
        <v/>
      </c>
      <c r="J9" s="11"/>
      <c r="K9" s="19"/>
    </row>
    <row r="10" spans="1:11" ht="15.75">
      <c r="A10" s="30" t="str">
        <v>CA: Fresno MOB - Citi</v>
      </c>
      <c r="B10" s="31" t="str">
        <v>CA</v>
      </c>
      <c r="C10" s="26"/>
      <c r="D10" s="14"/>
      <c r="E10" s="14" t="str">
        <f t="shared" si="0"/>
        <v/>
      </c>
      <c r="F10" s="15" t="str">
        <f t="shared" si="3"/>
        <v/>
      </c>
      <c r="G10" s="16"/>
      <c r="H10" s="16" t="str">
        <f t="shared" si="1"/>
        <v/>
      </c>
      <c r="I10" s="17" t="str">
        <f t="shared" si="2"/>
        <v/>
      </c>
      <c r="J10" s="18"/>
      <c r="K10" s="18"/>
    </row>
    <row r="11" spans="1:11" ht="15.75">
      <c r="A11" s="32" t="str">
        <v>CA: Modesto Bangs - Citi</v>
      </c>
      <c r="B11" s="33" t="str">
        <v>CA</v>
      </c>
      <c r="C11" s="12"/>
      <c r="D11" s="20"/>
      <c r="E11" s="20" t="str">
        <f t="shared" si="0"/>
        <v/>
      </c>
      <c r="F11" s="21" t="str">
        <f t="shared" si="3"/>
        <v/>
      </c>
      <c r="G11" s="22"/>
      <c r="H11" s="22" t="str">
        <f t="shared" si="1"/>
        <v/>
      </c>
      <c r="I11" s="21" t="str">
        <f t="shared" si="2"/>
        <v/>
      </c>
      <c r="J11" s="11"/>
      <c r="K11" s="19"/>
    </row>
    <row r="12" spans="1:11" ht="15.75">
      <c r="A12" s="30" t="str">
        <v>CA: Napa Data Center - Citi</v>
      </c>
      <c r="B12" s="31" t="str">
        <v>CA</v>
      </c>
      <c r="C12" s="26"/>
      <c r="D12" s="14"/>
      <c r="E12" s="14" t="str">
        <f t="shared" si="0"/>
        <v/>
      </c>
      <c r="F12" s="15" t="str">
        <f t="shared" si="3"/>
        <v/>
      </c>
      <c r="G12" s="16"/>
      <c r="H12" s="16" t="str">
        <f t="shared" si="1"/>
        <v/>
      </c>
      <c r="I12" s="17" t="str">
        <f t="shared" si="2"/>
        <v/>
      </c>
      <c r="J12" s="18"/>
      <c r="K12" s="18"/>
    </row>
    <row r="13" spans="1:11" ht="15.75">
      <c r="A13" s="32" t="str">
        <v>CA: Petaluma MOB - Citi</v>
      </c>
      <c r="B13" s="33" t="str">
        <v>CA</v>
      </c>
      <c r="C13" s="12"/>
      <c r="D13" s="20"/>
      <c r="E13" s="20" t="str">
        <f t="shared" si="0"/>
        <v/>
      </c>
      <c r="F13" s="21" t="str">
        <f t="shared" si="3"/>
        <v/>
      </c>
      <c r="G13" s="22"/>
      <c r="H13" s="22" t="str">
        <f t="shared" si="1"/>
        <v/>
      </c>
      <c r="I13" s="21" t="str">
        <f t="shared" si="2"/>
        <v/>
      </c>
      <c r="J13" s="11"/>
      <c r="K13" s="19"/>
    </row>
    <row r="14" spans="1:11" ht="15.75">
      <c r="A14" s="30" t="str">
        <v>CA: Pleasanton Tec Ctr - Citi</v>
      </c>
      <c r="B14" s="31" t="str">
        <v>CA</v>
      </c>
      <c r="C14" s="26"/>
      <c r="D14" s="14"/>
      <c r="E14" s="14" t="str">
        <f t="shared" si="0"/>
        <v/>
      </c>
      <c r="F14" s="15" t="str">
        <f t="shared" si="3"/>
        <v/>
      </c>
      <c r="G14" s="16"/>
      <c r="H14" s="16" t="str">
        <f t="shared" si="1"/>
        <v/>
      </c>
      <c r="I14" s="17" t="str">
        <f t="shared" si="2"/>
        <v/>
      </c>
      <c r="J14" s="18"/>
      <c r="K14" s="18"/>
    </row>
    <row r="15" spans="1:11" ht="15.75">
      <c r="A15" s="32" t="str">
        <v>CA: Rancho Cordova - Citi</v>
      </c>
      <c r="B15" s="33" t="str">
        <v>CA</v>
      </c>
      <c r="C15" s="12"/>
      <c r="D15" s="20"/>
      <c r="E15" s="20" t="str">
        <f t="shared" si="0"/>
        <v/>
      </c>
      <c r="F15" s="21" t="str">
        <f t="shared" si="3"/>
        <v/>
      </c>
      <c r="G15" s="22"/>
      <c r="H15" s="22" t="str">
        <f t="shared" si="1"/>
        <v/>
      </c>
      <c r="I15" s="21" t="str">
        <f t="shared" si="2"/>
        <v/>
      </c>
      <c r="J15" s="11"/>
      <c r="K15" s="19"/>
    </row>
    <row r="16" spans="1:11" ht="15.75">
      <c r="A16" s="30" t="str">
        <v>CA: S Sacramento Wyndham - Citi</v>
      </c>
      <c r="B16" s="31" t="str">
        <v>CA</v>
      </c>
      <c r="C16" s="37"/>
      <c r="D16" s="14"/>
      <c r="E16" s="14" t="str">
        <f t="shared" ref="E16:E21" si="4">IF(AND(ISNUMBER(C16),ISNUMBER(D16)), C16-D16, "")</f>
        <v/>
      </c>
      <c r="F16" s="38" t="str">
        <f t="shared" ref="F16:F21" si="5">IFERROR(E16/D16, "")</f>
        <v/>
      </c>
      <c r="G16" s="39"/>
      <c r="H16" s="39" t="str">
        <f t="shared" ref="H16:H21" si="6">IF(AND(ISNUMBER(C16),ISNUMBER(G16)), C16-G16, "")</f>
        <v/>
      </c>
      <c r="I16" s="40" t="str">
        <f t="shared" ref="I16:I21" si="7">IFERROR(H16/G16, "")</f>
        <v/>
      </c>
      <c r="J16" s="41"/>
      <c r="K16" s="41"/>
    </row>
    <row r="17" spans="1:11" ht="15.75">
      <c r="A17" s="32" t="str">
        <v>CA: Sacramento Point West - Citi</v>
      </c>
      <c r="B17" s="33" t="str">
        <v>CA</v>
      </c>
      <c r="C17" s="42"/>
      <c r="D17" s="20"/>
      <c r="E17" s="20" t="str">
        <f t="shared" si="4"/>
        <v/>
      </c>
      <c r="F17" s="43" t="str">
        <f t="shared" si="5"/>
        <v/>
      </c>
      <c r="G17" s="44"/>
      <c r="H17" s="44" t="str">
        <f t="shared" si="6"/>
        <v/>
      </c>
      <c r="I17" s="43" t="str">
        <f t="shared" si="7"/>
        <v/>
      </c>
      <c r="J17" s="11"/>
      <c r="K17" s="19"/>
    </row>
    <row r="18" spans="1:11" ht="12.75" customHeight="1">
      <c r="A18" s="30" t="str">
        <v>CA: San Jose FHC - Citi</v>
      </c>
      <c r="B18" s="31" t="str">
        <v>CA</v>
      </c>
      <c r="C18" s="37"/>
      <c r="D18" s="14"/>
      <c r="E18" s="14" t="str">
        <f t="shared" si="4"/>
        <v/>
      </c>
      <c r="F18" s="38" t="str">
        <f t="shared" si="5"/>
        <v/>
      </c>
      <c r="G18" s="39"/>
      <c r="H18" s="39" t="str">
        <f t="shared" si="6"/>
        <v/>
      </c>
      <c r="I18" s="40" t="str">
        <f t="shared" si="7"/>
        <v/>
      </c>
      <c r="J18" s="41"/>
      <c r="K18" s="41"/>
    </row>
    <row r="19" spans="1:11" ht="15.75">
      <c r="A19" s="32" t="str">
        <v>CA: San Jose MOB - Citi</v>
      </c>
      <c r="B19" s="33" t="str">
        <v>CA</v>
      </c>
      <c r="C19" s="42"/>
      <c r="D19" s="20"/>
      <c r="E19" s="20" t="str">
        <f t="shared" si="4"/>
        <v/>
      </c>
      <c r="F19" s="43" t="str">
        <f t="shared" si="5"/>
        <v/>
      </c>
      <c r="G19" s="44"/>
      <c r="H19" s="44" t="str">
        <f t="shared" si="6"/>
        <v/>
      </c>
      <c r="I19" s="43" t="str">
        <f t="shared" si="7"/>
        <v/>
      </c>
      <c r="J19" s="11"/>
      <c r="K19" s="19"/>
    </row>
    <row r="20" spans="1:11" ht="15.75">
      <c r="A20" s="30" t="str">
        <v>CA: Selma - Citi</v>
      </c>
      <c r="B20" s="31" t="str">
        <v>CA</v>
      </c>
      <c r="C20" s="37"/>
      <c r="D20" s="14"/>
      <c r="E20" s="14" t="str">
        <f t="shared" si="4"/>
        <v/>
      </c>
      <c r="F20" s="38" t="str">
        <f t="shared" si="5"/>
        <v/>
      </c>
      <c r="G20" s="39"/>
      <c r="H20" s="39" t="str">
        <f t="shared" si="6"/>
        <v/>
      </c>
      <c r="I20" s="40" t="str">
        <f t="shared" si="7"/>
        <v/>
      </c>
      <c r="J20" s="41"/>
      <c r="K20" s="41"/>
    </row>
    <row r="21" spans="1:11" ht="15.75">
      <c r="A21" s="32" t="str">
        <v>CA: Vacaville Hospital</v>
      </c>
      <c r="B21" s="33" t="str">
        <v>CA</v>
      </c>
      <c r="C21" s="42"/>
      <c r="D21" s="20"/>
      <c r="E21" s="20" t="str">
        <f t="shared" si="4"/>
        <v/>
      </c>
      <c r="F21" s="43" t="str">
        <f t="shared" si="5"/>
        <v/>
      </c>
      <c r="G21" s="44"/>
      <c r="H21" s="44" t="str">
        <f t="shared" si="6"/>
        <v/>
      </c>
      <c r="I21" s="43" t="str">
        <f t="shared" si="7"/>
        <v/>
      </c>
      <c r="J21" s="11"/>
      <c r="K21" s="19"/>
    </row>
    <row r="22" spans="1:11" ht="15.75">
      <c r="A22" s="30" t="str">
        <v>CA: Manteca - KP Manteca Hospital</v>
      </c>
      <c r="B22" s="31" t="str">
        <v>CA</v>
      </c>
      <c r="C22" s="37"/>
      <c r="D22" s="14"/>
      <c r="E22" s="14"/>
      <c r="F22" s="38"/>
      <c r="G22" s="39"/>
      <c r="H22" s="39"/>
      <c r="I22" s="40"/>
      <c r="J22" s="41"/>
      <c r="K22" s="41"/>
    </row>
    <row r="23" spans="1:11" ht="1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5">
      <c r="A26" s="23"/>
      <c r="B26" s="35"/>
      <c r="C26" s="23"/>
      <c r="D26" s="23"/>
      <c r="E26" s="23"/>
      <c r="F26" s="23"/>
      <c r="G26" s="23"/>
      <c r="H26" s="23"/>
      <c r="I26" s="23"/>
      <c r="J26" s="23"/>
      <c r="K26" s="23"/>
    </row>
    <row r="27" spans="1:11" ht="15">
      <c r="A27" s="23"/>
      <c r="B27" s="35"/>
      <c r="C27" s="23"/>
      <c r="D27" s="23"/>
      <c r="E27" s="23"/>
      <c r="F27" s="23"/>
      <c r="G27" s="23"/>
      <c r="H27" s="23"/>
      <c r="I27" s="23"/>
      <c r="J27" s="23"/>
      <c r="K27" s="23"/>
    </row>
    <row r="28" spans="1:11" ht="15">
      <c r="A28" s="23"/>
      <c r="B28" s="35"/>
      <c r="C28" s="23"/>
      <c r="D28" s="23"/>
      <c r="E28" s="23"/>
      <c r="F28" s="23"/>
      <c r="G28" s="23"/>
      <c r="H28" s="23"/>
      <c r="I28" s="23"/>
      <c r="J28" s="23"/>
      <c r="K28" s="23"/>
    </row>
    <row r="29" spans="1:11" ht="15">
      <c r="A29" s="23"/>
      <c r="B29" s="35"/>
      <c r="C29" s="23"/>
      <c r="D29" s="23"/>
      <c r="E29" s="23"/>
      <c r="F29" s="23"/>
      <c r="G29" s="23"/>
      <c r="H29" s="23"/>
      <c r="I29" s="23"/>
      <c r="J29" s="23"/>
      <c r="K29" s="23"/>
    </row>
    <row r="30" spans="1:11" ht="15">
      <c r="A30" s="23"/>
      <c r="B30" s="35"/>
      <c r="C30" s="23"/>
      <c r="D30" s="23"/>
      <c r="E30" s="23"/>
      <c r="F30" s="23"/>
      <c r="G30" s="23"/>
      <c r="H30" s="23"/>
      <c r="I30" s="23"/>
      <c r="J30" s="23"/>
      <c r="K30" s="23"/>
    </row>
    <row r="31" spans="1:11" ht="15">
      <c r="A31" s="23"/>
      <c r="B31" s="35"/>
      <c r="C31" s="23"/>
      <c r="D31" s="23"/>
      <c r="E31" s="23"/>
      <c r="F31" s="23"/>
      <c r="G31" s="23"/>
      <c r="H31" s="23"/>
      <c r="I31" s="23"/>
      <c r="J31" s="23"/>
      <c r="K31" s="23"/>
    </row>
    <row r="32" spans="1:11" ht="15">
      <c r="A32" s="23"/>
      <c r="B32" s="35"/>
      <c r="C32" s="23"/>
      <c r="D32" s="23"/>
      <c r="E32" s="23"/>
      <c r="F32" s="23"/>
      <c r="G32" s="23"/>
      <c r="H32" s="23"/>
      <c r="I32" s="23"/>
      <c r="J32" s="23"/>
      <c r="K32" s="23"/>
    </row>
    <row r="33" spans="1:11" ht="1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5">
      <c r="A335" s="23"/>
      <c r="B335" s="35"/>
      <c r="C335" s="23"/>
      <c r="D335" s="23"/>
      <c r="E335" s="23"/>
      <c r="F335" s="24"/>
      <c r="G335" s="23"/>
      <c r="H335" s="23"/>
      <c r="I335" s="24"/>
      <c r="J335" s="23"/>
      <c r="K335" s="23"/>
    </row>
    <row r="336" spans="1:11" ht="15">
      <c r="A336" s="23"/>
      <c r="B336" s="35"/>
      <c r="C336" s="23"/>
      <c r="D336" s="23"/>
      <c r="E336" s="23"/>
      <c r="F336" s="24"/>
      <c r="G336" s="23"/>
      <c r="H336" s="23"/>
      <c r="I336" s="24"/>
      <c r="J336" s="23"/>
      <c r="K336" s="23"/>
    </row>
    <row r="337" spans="1:11" ht="15">
      <c r="A337" s="23"/>
      <c r="B337" s="35"/>
      <c r="C337" s="23"/>
      <c r="D337" s="23"/>
      <c r="E337" s="23"/>
      <c r="F337" s="24"/>
      <c r="G337" s="23"/>
      <c r="H337" s="23"/>
      <c r="I337" s="24"/>
      <c r="J337" s="23"/>
      <c r="K337" s="23"/>
    </row>
    <row r="338" spans="1:11" ht="15">
      <c r="A338" s="23"/>
      <c r="B338" s="35"/>
      <c r="C338" s="23"/>
      <c r="D338" s="23"/>
      <c r="E338" s="23"/>
      <c r="F338" s="24"/>
      <c r="G338" s="23"/>
      <c r="H338" s="23"/>
      <c r="I338" s="24"/>
      <c r="J338" s="23"/>
      <c r="K338" s="23"/>
    </row>
    <row r="339" spans="1:11" ht="15">
      <c r="A339" s="23"/>
      <c r="B339" s="35"/>
      <c r="C339" s="23"/>
      <c r="D339" s="23"/>
      <c r="E339" s="23"/>
      <c r="F339" s="24"/>
      <c r="G339" s="23"/>
      <c r="H339" s="23"/>
      <c r="I339" s="24"/>
      <c r="J339" s="23"/>
      <c r="K339" s="23"/>
    </row>
    <row r="340" spans="1:11" ht="15">
      <c r="A340" s="23"/>
      <c r="B340" s="35"/>
      <c r="C340" s="23"/>
      <c r="D340" s="23"/>
      <c r="E340" s="23"/>
      <c r="F340" s="24"/>
      <c r="G340" s="23"/>
      <c r="H340" s="23"/>
      <c r="I340" s="24"/>
      <c r="J340" s="23"/>
      <c r="K340" s="23"/>
    </row>
    <row r="341" spans="1:11" ht="15">
      <c r="A341" s="23"/>
      <c r="B341" s="35"/>
      <c r="C341" s="23"/>
      <c r="D341" s="23"/>
      <c r="E341" s="23"/>
      <c r="F341" s="24"/>
      <c r="G341" s="23"/>
      <c r="H341" s="23"/>
      <c r="I341" s="24"/>
      <c r="J341" s="23"/>
      <c r="K341" s="23"/>
    </row>
    <row r="342" spans="1:11">
      <c r="C342" s="23"/>
      <c r="D342" s="23"/>
      <c r="E342" s="23"/>
      <c r="F342" s="24"/>
      <c r="G342" s="23"/>
      <c r="H342" s="23"/>
      <c r="I342" s="24"/>
      <c r="J342" s="23"/>
      <c r="K342" s="23"/>
    </row>
  </sheetData>
  <sortState xmlns:xlrd2="http://schemas.microsoft.com/office/spreadsheetml/2017/richdata2" ref="A3:K15">
    <sortCondition ref="A3:A15"/>
  </sortState>
  <mergeCells count="4">
    <mergeCell ref="G1:I1"/>
    <mergeCell ref="A1:C1"/>
    <mergeCell ref="D1:F1"/>
    <mergeCell ref="A2:B2"/>
  </mergeCells>
  <conditionalFormatting sqref="F2 I2 F4:F100 I4:I100">
    <cfRule type="cellIs" dxfId="12" priority="1" stopIfTrue="1" operator="lessThanOrEqual">
      <formula>-0.1</formula>
    </cfRule>
    <cfRule type="expression" dxfId="1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42"/>
  <sheetViews>
    <sheetView workbookViewId="0">
      <pane ySplit="2" topLeftCell="A4" activePane="bottomLeft" state="frozen"/>
      <selection pane="bottomLeft" activeCell="A22" sqref="A22:XFD22"/>
    </sheetView>
  </sheetViews>
  <sheetFormatPr defaultRowHeight="14.25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1" t="str" cm="1">
        <f t="array" ref="A1">portfolio</f>
        <v>CITI</v>
      </c>
      <c r="B1" s="61"/>
      <c r="C1" s="61"/>
      <c r="D1" s="62" t="s">
        <v>54</v>
      </c>
      <c r="E1" s="62"/>
      <c r="F1" s="62"/>
      <c r="G1" s="60" t="s">
        <v>55</v>
      </c>
      <c r="H1" s="60"/>
      <c r="I1" s="60"/>
      <c r="J1" s="5"/>
      <c r="K1" s="5"/>
    </row>
    <row r="2" spans="1:11" ht="19.5" customHeight="1">
      <c r="A2" s="63" t="s">
        <v>2</v>
      </c>
      <c r="B2" s="63"/>
      <c r="C2" s="6">
        <f>SUM(C4:C100)</f>
        <v>0</v>
      </c>
      <c r="D2" s="6">
        <f>SUM(D4:D100)</f>
        <v>0</v>
      </c>
      <c r="E2" s="6">
        <f>C2-D2</f>
        <v>0</v>
      </c>
      <c r="F2" s="7">
        <f>IFERROR(E2/D2, 0)</f>
        <v>0</v>
      </c>
      <c r="G2" s="6">
        <f>SUM(G4:G100)</f>
        <v>0</v>
      </c>
      <c r="H2" s="8">
        <f>C2-G2</f>
        <v>0</v>
      </c>
      <c r="I2" s="7">
        <f>IFERROR(H2/G2, 0)</f>
        <v>0</v>
      </c>
      <c r="J2" s="28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49" t="s">
        <v>6</v>
      </c>
      <c r="E3" s="49" t="s">
        <v>7</v>
      </c>
      <c r="F3" s="50" t="s">
        <v>8</v>
      </c>
      <c r="G3" s="51" t="s">
        <v>9</v>
      </c>
      <c r="H3" s="52" t="s">
        <v>7</v>
      </c>
      <c r="I3" s="53" t="s">
        <v>8</v>
      </c>
      <c r="J3" s="27" t="s">
        <v>20</v>
      </c>
      <c r="K3" s="27" t="s">
        <v>21</v>
      </c>
    </row>
    <row r="4" spans="1:11" ht="15.75">
      <c r="A4" s="34" t="str" cm="1">
        <f t="array" ref="A4:A22">Sites[Site]</f>
        <v>CA: Antioch Deer Valley - Citi</v>
      </c>
      <c r="B4" s="31" t="str" cm="1">
        <f t="array" ref="B4:B22">Sites[State]</f>
        <v>CA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2" t="str">
        <v>CA: Antioch MC CUP - Citi</v>
      </c>
      <c r="B5" s="33" t="str">
        <v>CA</v>
      </c>
      <c r="C5" s="12"/>
      <c r="D5" s="20"/>
      <c r="E5" s="20" t="str">
        <f t="shared" ref="E5:E15" si="0">IF(AND(ISNUMBER(C5),ISNUMBER(D5)), C5-D5, "")</f>
        <v/>
      </c>
      <c r="F5" s="21" t="str">
        <f>IFERROR(E5/D5, "")</f>
        <v/>
      </c>
      <c r="G5" s="22"/>
      <c r="H5" s="22" t="str">
        <f t="shared" ref="H5:H15" si="1">IF(AND(ISNUMBER(C5),ISNUMBER(G5)), C5-G5, "")</f>
        <v/>
      </c>
      <c r="I5" s="21" t="str">
        <f t="shared" ref="I5:I15" si="2">IFERROR(H5/G5, "")</f>
        <v/>
      </c>
      <c r="J5" s="11"/>
      <c r="K5" s="19"/>
    </row>
    <row r="6" spans="1:11" ht="15.75">
      <c r="A6" s="30" t="str">
        <v>CA: Clovis - Citi</v>
      </c>
      <c r="B6" s="31" t="str">
        <v>CA</v>
      </c>
      <c r="C6" s="26"/>
      <c r="D6" s="14"/>
      <c r="E6" s="14" t="str">
        <f t="shared" si="0"/>
        <v/>
      </c>
      <c r="F6" s="15" t="str">
        <f t="shared" ref="F6:F15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5.75">
      <c r="A7" s="32" t="str">
        <v>CA: Elk Grove MOB - Citi</v>
      </c>
      <c r="B7" s="33" t="str">
        <v>CA</v>
      </c>
      <c r="C7" s="12"/>
      <c r="D7" s="20"/>
      <c r="E7" s="20" t="str">
        <f t="shared" si="0"/>
        <v/>
      </c>
      <c r="F7" s="21" t="str">
        <f t="shared" si="3"/>
        <v/>
      </c>
      <c r="G7" s="22"/>
      <c r="H7" s="22" t="str">
        <f t="shared" si="1"/>
        <v/>
      </c>
      <c r="I7" s="21" t="str">
        <f t="shared" si="2"/>
        <v/>
      </c>
      <c r="J7" s="11"/>
      <c r="K7" s="19"/>
    </row>
    <row r="8" spans="1:11" ht="15.75">
      <c r="A8" s="30" t="str">
        <v>CA: Elk Grove Promenade - Citi</v>
      </c>
      <c r="B8" s="31" t="str">
        <v>CA</v>
      </c>
      <c r="C8" s="26"/>
      <c r="D8" s="14"/>
      <c r="E8" s="14" t="str">
        <f t="shared" si="0"/>
        <v/>
      </c>
      <c r="F8" s="15" t="str">
        <f t="shared" si="3"/>
        <v/>
      </c>
      <c r="G8" s="16"/>
      <c r="H8" s="16" t="str">
        <f t="shared" si="1"/>
        <v/>
      </c>
      <c r="I8" s="17" t="str">
        <f t="shared" si="2"/>
        <v/>
      </c>
      <c r="J8" s="18"/>
      <c r="K8" s="18"/>
    </row>
    <row r="9" spans="1:11" ht="15.75">
      <c r="A9" s="32" t="str">
        <v>CA: Fresno Sequioa - Citi</v>
      </c>
      <c r="B9" s="33" t="str">
        <v>CA</v>
      </c>
      <c r="C9" s="12"/>
      <c r="D9" s="20"/>
      <c r="E9" s="20" t="str">
        <f t="shared" si="0"/>
        <v/>
      </c>
      <c r="F9" s="21" t="str">
        <f t="shared" si="3"/>
        <v/>
      </c>
      <c r="G9" s="22"/>
      <c r="H9" s="22" t="str">
        <f t="shared" si="1"/>
        <v/>
      </c>
      <c r="I9" s="21" t="str">
        <f t="shared" si="2"/>
        <v/>
      </c>
      <c r="J9" s="11"/>
      <c r="K9" s="19"/>
    </row>
    <row r="10" spans="1:11" ht="15.75">
      <c r="A10" s="30" t="str">
        <v>CA: Fresno MOB - Citi</v>
      </c>
      <c r="B10" s="31" t="str">
        <v>CA</v>
      </c>
      <c r="C10" s="26"/>
      <c r="D10" s="14"/>
      <c r="E10" s="14" t="str">
        <f t="shared" si="0"/>
        <v/>
      </c>
      <c r="F10" s="15" t="str">
        <f t="shared" si="3"/>
        <v/>
      </c>
      <c r="G10" s="16"/>
      <c r="H10" s="16" t="str">
        <f t="shared" si="1"/>
        <v/>
      </c>
      <c r="I10" s="17" t="str">
        <f t="shared" si="2"/>
        <v/>
      </c>
      <c r="J10" s="18"/>
      <c r="K10" s="18"/>
    </row>
    <row r="11" spans="1:11" ht="15.75">
      <c r="A11" s="32" t="str">
        <v>CA: Modesto Bangs - Citi</v>
      </c>
      <c r="B11" s="33" t="str">
        <v>CA</v>
      </c>
      <c r="C11" s="12"/>
      <c r="D11" s="20"/>
      <c r="E11" s="20" t="str">
        <f t="shared" si="0"/>
        <v/>
      </c>
      <c r="F11" s="21" t="str">
        <f t="shared" si="3"/>
        <v/>
      </c>
      <c r="G11" s="22"/>
      <c r="H11" s="22" t="str">
        <f t="shared" si="1"/>
        <v/>
      </c>
      <c r="I11" s="21" t="str">
        <f t="shared" si="2"/>
        <v/>
      </c>
      <c r="J11" s="11"/>
      <c r="K11" s="19"/>
    </row>
    <row r="12" spans="1:11" ht="15.75">
      <c r="A12" s="30" t="str">
        <v>CA: Napa Data Center - Citi</v>
      </c>
      <c r="B12" s="31" t="str">
        <v>CA</v>
      </c>
      <c r="C12" s="26"/>
      <c r="D12" s="14"/>
      <c r="E12" s="14" t="str">
        <f t="shared" si="0"/>
        <v/>
      </c>
      <c r="F12" s="15" t="str">
        <f t="shared" si="3"/>
        <v/>
      </c>
      <c r="G12" s="16"/>
      <c r="H12" s="16" t="str">
        <f t="shared" si="1"/>
        <v/>
      </c>
      <c r="I12" s="17" t="str">
        <f t="shared" si="2"/>
        <v/>
      </c>
      <c r="J12" s="18"/>
      <c r="K12" s="18"/>
    </row>
    <row r="13" spans="1:11" ht="15.75">
      <c r="A13" s="32" t="str">
        <v>CA: Petaluma MOB - Citi</v>
      </c>
      <c r="B13" s="33" t="str">
        <v>CA</v>
      </c>
      <c r="C13" s="12"/>
      <c r="D13" s="20"/>
      <c r="E13" s="20" t="str">
        <f t="shared" si="0"/>
        <v/>
      </c>
      <c r="F13" s="21" t="str">
        <f t="shared" si="3"/>
        <v/>
      </c>
      <c r="G13" s="22"/>
      <c r="H13" s="22" t="str">
        <f t="shared" si="1"/>
        <v/>
      </c>
      <c r="I13" s="21" t="str">
        <f t="shared" si="2"/>
        <v/>
      </c>
      <c r="J13" s="11"/>
      <c r="K13" s="19"/>
    </row>
    <row r="14" spans="1:11" ht="15.75">
      <c r="A14" s="30" t="str">
        <v>CA: Pleasanton Tec Ctr - Citi</v>
      </c>
      <c r="B14" s="31" t="str">
        <v>CA</v>
      </c>
      <c r="C14" s="26"/>
      <c r="D14" s="14"/>
      <c r="E14" s="14" t="str">
        <f t="shared" si="0"/>
        <v/>
      </c>
      <c r="F14" s="15" t="str">
        <f t="shared" si="3"/>
        <v/>
      </c>
      <c r="G14" s="16"/>
      <c r="H14" s="16" t="str">
        <f t="shared" si="1"/>
        <v/>
      </c>
      <c r="I14" s="17" t="str">
        <f t="shared" si="2"/>
        <v/>
      </c>
      <c r="J14" s="18"/>
      <c r="K14" s="18"/>
    </row>
    <row r="15" spans="1:11" ht="15.75">
      <c r="A15" s="32" t="str">
        <v>CA: Rancho Cordova - Citi</v>
      </c>
      <c r="B15" s="33" t="str">
        <v>CA</v>
      </c>
      <c r="C15" s="12"/>
      <c r="D15" s="20"/>
      <c r="E15" s="20" t="str">
        <f t="shared" si="0"/>
        <v/>
      </c>
      <c r="F15" s="21" t="str">
        <f t="shared" si="3"/>
        <v/>
      </c>
      <c r="G15" s="22"/>
      <c r="H15" s="22" t="str">
        <f t="shared" si="1"/>
        <v/>
      </c>
      <c r="I15" s="21" t="str">
        <f t="shared" si="2"/>
        <v/>
      </c>
      <c r="J15" s="11"/>
      <c r="K15" s="19"/>
    </row>
    <row r="16" spans="1:11" ht="15.75">
      <c r="A16" s="30" t="str">
        <v>CA: S Sacramento Wyndham - Citi</v>
      </c>
      <c r="B16" s="31" t="str">
        <v>CA</v>
      </c>
      <c r="C16" s="37"/>
      <c r="D16" s="14"/>
      <c r="E16" s="14" t="str">
        <f t="shared" ref="E16:E21" si="4">IF(AND(ISNUMBER(C16),ISNUMBER(D16)), C16-D16, "")</f>
        <v/>
      </c>
      <c r="F16" s="38" t="str">
        <f t="shared" ref="F16:F21" si="5">IFERROR(E16/D16, "")</f>
        <v/>
      </c>
      <c r="G16" s="39"/>
      <c r="H16" s="39" t="str">
        <f t="shared" ref="H16:H21" si="6">IF(AND(ISNUMBER(C16),ISNUMBER(G16)), C16-G16, "")</f>
        <v/>
      </c>
      <c r="I16" s="40" t="str">
        <f t="shared" ref="I16:I21" si="7">IFERROR(H16/G16, "")</f>
        <v/>
      </c>
      <c r="J16" s="41"/>
      <c r="K16" s="41"/>
    </row>
    <row r="17" spans="1:11" ht="15.75">
      <c r="A17" s="32" t="str">
        <v>CA: Sacramento Point West - Citi</v>
      </c>
      <c r="B17" s="33" t="str">
        <v>CA</v>
      </c>
      <c r="C17" s="42"/>
      <c r="D17" s="20"/>
      <c r="E17" s="20" t="str">
        <f t="shared" si="4"/>
        <v/>
      </c>
      <c r="F17" s="43" t="str">
        <f t="shared" si="5"/>
        <v/>
      </c>
      <c r="G17" s="44"/>
      <c r="H17" s="44" t="str">
        <f t="shared" si="6"/>
        <v/>
      </c>
      <c r="I17" s="43" t="str">
        <f t="shared" si="7"/>
        <v/>
      </c>
      <c r="J17" s="11"/>
      <c r="K17" s="19"/>
    </row>
    <row r="18" spans="1:11" ht="12.75" customHeight="1">
      <c r="A18" s="30" t="str">
        <v>CA: San Jose FHC - Citi</v>
      </c>
      <c r="B18" s="31" t="str">
        <v>CA</v>
      </c>
      <c r="C18" s="37"/>
      <c r="D18" s="14"/>
      <c r="E18" s="14" t="str">
        <f t="shared" si="4"/>
        <v/>
      </c>
      <c r="F18" s="38" t="str">
        <f t="shared" si="5"/>
        <v/>
      </c>
      <c r="G18" s="39"/>
      <c r="H18" s="39" t="str">
        <f t="shared" si="6"/>
        <v/>
      </c>
      <c r="I18" s="40" t="str">
        <f t="shared" si="7"/>
        <v/>
      </c>
      <c r="J18" s="41"/>
      <c r="K18" s="41"/>
    </row>
    <row r="19" spans="1:11" ht="15.75">
      <c r="A19" s="32" t="str">
        <v>CA: San Jose MOB - Citi</v>
      </c>
      <c r="B19" s="33" t="str">
        <v>CA</v>
      </c>
      <c r="C19" s="42"/>
      <c r="D19" s="20"/>
      <c r="E19" s="20" t="str">
        <f t="shared" si="4"/>
        <v/>
      </c>
      <c r="F19" s="43" t="str">
        <f t="shared" si="5"/>
        <v/>
      </c>
      <c r="G19" s="44"/>
      <c r="H19" s="44" t="str">
        <f t="shared" si="6"/>
        <v/>
      </c>
      <c r="I19" s="43" t="str">
        <f t="shared" si="7"/>
        <v/>
      </c>
      <c r="J19" s="11"/>
      <c r="K19" s="19"/>
    </row>
    <row r="20" spans="1:11" ht="15.75">
      <c r="A20" s="30" t="str">
        <v>CA: Selma - Citi</v>
      </c>
      <c r="B20" s="31" t="str">
        <v>CA</v>
      </c>
      <c r="C20" s="37"/>
      <c r="D20" s="14"/>
      <c r="E20" s="14" t="str">
        <f t="shared" si="4"/>
        <v/>
      </c>
      <c r="F20" s="38" t="str">
        <f t="shared" si="5"/>
        <v/>
      </c>
      <c r="G20" s="39"/>
      <c r="H20" s="39" t="str">
        <f t="shared" si="6"/>
        <v/>
      </c>
      <c r="I20" s="40" t="str">
        <f t="shared" si="7"/>
        <v/>
      </c>
      <c r="J20" s="41"/>
      <c r="K20" s="41"/>
    </row>
    <row r="21" spans="1:11" ht="15.75">
      <c r="A21" s="32" t="str">
        <v>CA: Vacaville Hospital</v>
      </c>
      <c r="B21" s="33" t="str">
        <v>CA</v>
      </c>
      <c r="C21" s="42"/>
      <c r="D21" s="20"/>
      <c r="E21" s="20" t="str">
        <f t="shared" si="4"/>
        <v/>
      </c>
      <c r="F21" s="43" t="str">
        <f t="shared" si="5"/>
        <v/>
      </c>
      <c r="G21" s="44"/>
      <c r="H21" s="44" t="str">
        <f t="shared" si="6"/>
        <v/>
      </c>
      <c r="I21" s="43" t="str">
        <f t="shared" si="7"/>
        <v/>
      </c>
      <c r="J21" s="11"/>
      <c r="K21" s="19"/>
    </row>
    <row r="22" spans="1:11" ht="15.75">
      <c r="A22" s="30" t="str">
        <v>CA: Manteca - KP Manteca Hospital</v>
      </c>
      <c r="B22" s="31" t="str">
        <v>CA</v>
      </c>
      <c r="C22" s="37"/>
      <c r="D22" s="14"/>
      <c r="E22" s="14"/>
      <c r="F22" s="38"/>
      <c r="G22" s="39"/>
      <c r="H22" s="39"/>
      <c r="I22" s="40"/>
      <c r="J22" s="41"/>
      <c r="K22" s="41"/>
    </row>
    <row r="23" spans="1:11" ht="1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5">
      <c r="A26" s="23"/>
      <c r="B26" s="35"/>
      <c r="C26" s="23"/>
      <c r="D26" s="23"/>
      <c r="E26" s="23"/>
      <c r="F26" s="23"/>
      <c r="G26" s="23"/>
      <c r="H26" s="23"/>
      <c r="I26" s="23"/>
      <c r="J26" s="23"/>
      <c r="K26" s="23"/>
    </row>
    <row r="27" spans="1:11" ht="15">
      <c r="A27" s="23"/>
      <c r="B27" s="35"/>
      <c r="C27" s="23"/>
      <c r="D27" s="23"/>
      <c r="E27" s="23"/>
      <c r="F27" s="23"/>
      <c r="G27" s="23"/>
      <c r="H27" s="23"/>
      <c r="I27" s="23"/>
      <c r="J27" s="23"/>
      <c r="K27" s="23"/>
    </row>
    <row r="28" spans="1:11" ht="15">
      <c r="A28" s="23"/>
      <c r="B28" s="35"/>
      <c r="C28" s="23"/>
      <c r="D28" s="23"/>
      <c r="E28" s="23"/>
      <c r="F28" s="23"/>
      <c r="G28" s="23"/>
      <c r="H28" s="23"/>
      <c r="I28" s="23"/>
      <c r="J28" s="23"/>
      <c r="K28" s="23"/>
    </row>
    <row r="29" spans="1:11" ht="15">
      <c r="A29" s="23"/>
      <c r="B29" s="35"/>
      <c r="C29" s="23"/>
      <c r="D29" s="23"/>
      <c r="E29" s="23"/>
      <c r="F29" s="23"/>
      <c r="G29" s="23"/>
      <c r="H29" s="23"/>
      <c r="I29" s="23"/>
      <c r="J29" s="23"/>
      <c r="K29" s="23"/>
    </row>
    <row r="30" spans="1:11" ht="15">
      <c r="A30" s="23"/>
      <c r="B30" s="35"/>
      <c r="C30" s="23"/>
      <c r="D30" s="23"/>
      <c r="E30" s="23"/>
      <c r="F30" s="23"/>
      <c r="G30" s="23"/>
      <c r="H30" s="23"/>
      <c r="I30" s="23"/>
      <c r="J30" s="23"/>
      <c r="K30" s="23"/>
    </row>
    <row r="31" spans="1:11" ht="15">
      <c r="A31" s="23"/>
      <c r="B31" s="35"/>
      <c r="C31" s="23"/>
      <c r="D31" s="23"/>
      <c r="E31" s="23"/>
      <c r="F31" s="23"/>
      <c r="G31" s="23"/>
      <c r="H31" s="23"/>
      <c r="I31" s="23"/>
      <c r="J31" s="23"/>
      <c r="K31" s="23"/>
    </row>
    <row r="32" spans="1:11" ht="15">
      <c r="A32" s="23"/>
      <c r="B32" s="35"/>
      <c r="C32" s="23"/>
      <c r="D32" s="23"/>
      <c r="E32" s="23"/>
      <c r="F32" s="23"/>
      <c r="G32" s="23"/>
      <c r="H32" s="23"/>
      <c r="I32" s="23"/>
      <c r="J32" s="23"/>
      <c r="K32" s="23"/>
    </row>
    <row r="33" spans="1:11" ht="1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5">
      <c r="A335" s="23"/>
      <c r="B335" s="35"/>
      <c r="C335" s="23"/>
      <c r="D335" s="23"/>
      <c r="E335" s="23"/>
      <c r="F335" s="24"/>
      <c r="G335" s="23"/>
      <c r="H335" s="23"/>
      <c r="I335" s="24"/>
      <c r="J335" s="23"/>
      <c r="K335" s="23"/>
    </row>
    <row r="336" spans="1:11" ht="15">
      <c r="A336" s="23"/>
      <c r="B336" s="35"/>
      <c r="C336" s="23"/>
      <c r="D336" s="23"/>
      <c r="E336" s="23"/>
      <c r="F336" s="24"/>
      <c r="G336" s="23"/>
      <c r="H336" s="23"/>
      <c r="I336" s="24"/>
      <c r="J336" s="23"/>
      <c r="K336" s="23"/>
    </row>
    <row r="337" spans="1:11" ht="15">
      <c r="A337" s="23"/>
      <c r="B337" s="35"/>
      <c r="C337" s="23"/>
      <c r="D337" s="23"/>
      <c r="E337" s="23"/>
      <c r="F337" s="24"/>
      <c r="G337" s="23"/>
      <c r="H337" s="23"/>
      <c r="I337" s="24"/>
      <c r="J337" s="23"/>
      <c r="K337" s="23"/>
    </row>
    <row r="338" spans="1:11" ht="15">
      <c r="A338" s="23"/>
      <c r="B338" s="35"/>
      <c r="C338" s="23"/>
      <c r="D338" s="23"/>
      <c r="E338" s="23"/>
      <c r="F338" s="24"/>
      <c r="G338" s="23"/>
      <c r="H338" s="23"/>
      <c r="I338" s="24"/>
      <c r="J338" s="23"/>
      <c r="K338" s="23"/>
    </row>
    <row r="339" spans="1:11" ht="15">
      <c r="A339" s="23"/>
      <c r="B339" s="35"/>
      <c r="C339" s="23"/>
      <c r="D339" s="23"/>
      <c r="E339" s="23"/>
      <c r="F339" s="24"/>
      <c r="G339" s="23"/>
      <c r="H339" s="23"/>
      <c r="I339" s="24"/>
      <c r="J339" s="23"/>
      <c r="K339" s="23"/>
    </row>
    <row r="340" spans="1:11" ht="15">
      <c r="A340" s="23"/>
      <c r="B340" s="35"/>
      <c r="C340" s="23"/>
      <c r="D340" s="23"/>
      <c r="E340" s="23"/>
      <c r="F340" s="24"/>
      <c r="G340" s="23"/>
      <c r="H340" s="23"/>
      <c r="I340" s="24"/>
      <c r="J340" s="23"/>
      <c r="K340" s="23"/>
    </row>
    <row r="341" spans="1:11" ht="15">
      <c r="A341" s="23"/>
      <c r="B341" s="35"/>
      <c r="C341" s="23"/>
      <c r="D341" s="23"/>
      <c r="E341" s="23"/>
      <c r="F341" s="24"/>
      <c r="G341" s="23"/>
      <c r="H341" s="23"/>
      <c r="I341" s="24"/>
      <c r="J341" s="23"/>
      <c r="K341" s="23"/>
    </row>
    <row r="342" spans="1:11">
      <c r="C342" s="23"/>
      <c r="D342" s="23"/>
      <c r="E342" s="23"/>
      <c r="F342" s="24"/>
      <c r="G342" s="23"/>
      <c r="H342" s="23"/>
      <c r="I342" s="24"/>
      <c r="J342" s="23"/>
      <c r="K342" s="23"/>
    </row>
  </sheetData>
  <mergeCells count="4">
    <mergeCell ref="G1:I1"/>
    <mergeCell ref="A1:C1"/>
    <mergeCell ref="D1:F1"/>
    <mergeCell ref="A2:B2"/>
  </mergeCells>
  <conditionalFormatting sqref="F2 I2 F4:F100 I4:I100">
    <cfRule type="cellIs" dxfId="10" priority="1" stopIfTrue="1" operator="lessThanOrEqual">
      <formula>-0.1</formula>
    </cfRule>
    <cfRule type="expression" dxfId="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42"/>
  <sheetViews>
    <sheetView workbookViewId="0">
      <pane ySplit="2" topLeftCell="A3" activePane="bottomLeft" state="frozen"/>
      <selection pane="bottomLeft" activeCell="A22" sqref="A22:XFD22"/>
    </sheetView>
  </sheetViews>
  <sheetFormatPr defaultRowHeight="14.25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1" t="str" cm="1">
        <f t="array" ref="A1">portfolio</f>
        <v>CITI</v>
      </c>
      <c r="B1" s="61"/>
      <c r="C1" s="61"/>
      <c r="D1" s="62" t="s">
        <v>56</v>
      </c>
      <c r="E1" s="62"/>
      <c r="F1" s="62"/>
      <c r="G1" s="60" t="s">
        <v>57</v>
      </c>
      <c r="H1" s="60"/>
      <c r="I1" s="60"/>
      <c r="J1" s="5"/>
      <c r="K1" s="5"/>
    </row>
    <row r="2" spans="1:11" ht="19.5" customHeight="1">
      <c r="A2" s="63" t="s">
        <v>2</v>
      </c>
      <c r="B2" s="63"/>
      <c r="C2" s="6">
        <f>SUM(C4:C100)</f>
        <v>0</v>
      </c>
      <c r="D2" s="6">
        <f>SUM(D4:D100)</f>
        <v>0</v>
      </c>
      <c r="E2" s="6">
        <f>C2-D2</f>
        <v>0</v>
      </c>
      <c r="F2" s="7">
        <f>IFERROR(E2/D2, 0)</f>
        <v>0</v>
      </c>
      <c r="G2" s="6">
        <f>SUM(G4:G100)</f>
        <v>0</v>
      </c>
      <c r="H2" s="8">
        <f>C2-G2</f>
        <v>0</v>
      </c>
      <c r="I2" s="7">
        <f>IFERROR(H2/G2, 0)</f>
        <v>0</v>
      </c>
      <c r="J2" s="28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49" t="s">
        <v>6</v>
      </c>
      <c r="E3" s="49" t="s">
        <v>7</v>
      </c>
      <c r="F3" s="50" t="s">
        <v>8</v>
      </c>
      <c r="G3" s="51" t="s">
        <v>9</v>
      </c>
      <c r="H3" s="52" t="s">
        <v>7</v>
      </c>
      <c r="I3" s="53" t="s">
        <v>8</v>
      </c>
      <c r="J3" s="27" t="s">
        <v>20</v>
      </c>
      <c r="K3" s="27" t="s">
        <v>21</v>
      </c>
    </row>
    <row r="4" spans="1:11" ht="15.75">
      <c r="A4" s="34" t="str" cm="1">
        <f t="array" ref="A4:A22">Sites[Site]</f>
        <v>CA: Antioch Deer Valley - Citi</v>
      </c>
      <c r="B4" s="31" t="str" cm="1">
        <f t="array" ref="B4:B22">Sites[State]</f>
        <v>CA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2" t="str">
        <v>CA: Antioch MC CUP - Citi</v>
      </c>
      <c r="B5" s="33" t="str">
        <v>CA</v>
      </c>
      <c r="C5" s="12"/>
      <c r="D5" s="20"/>
      <c r="E5" s="20" t="str">
        <f t="shared" ref="E5:E15" si="0">IF(AND(ISNUMBER(C5),ISNUMBER(D5)), C5-D5, "")</f>
        <v/>
      </c>
      <c r="F5" s="21" t="str">
        <f>IFERROR(E5/D5, "")</f>
        <v/>
      </c>
      <c r="G5" s="22"/>
      <c r="H5" s="22" t="str">
        <f t="shared" ref="H5:H15" si="1">IF(AND(ISNUMBER(C5),ISNUMBER(G5)), C5-G5, "")</f>
        <v/>
      </c>
      <c r="I5" s="21" t="str">
        <f t="shared" ref="I5:I15" si="2">IFERROR(H5/G5, "")</f>
        <v/>
      </c>
      <c r="J5" s="11"/>
      <c r="K5" s="19"/>
    </row>
    <row r="6" spans="1:11" ht="15.75">
      <c r="A6" s="30" t="str">
        <v>CA: Clovis - Citi</v>
      </c>
      <c r="B6" s="31" t="str">
        <v>CA</v>
      </c>
      <c r="C6" s="26"/>
      <c r="D6" s="14"/>
      <c r="E6" s="14" t="str">
        <f t="shared" si="0"/>
        <v/>
      </c>
      <c r="F6" s="15" t="str">
        <f t="shared" ref="F6:F15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5.75">
      <c r="A7" s="32" t="str">
        <v>CA: Elk Grove MOB - Citi</v>
      </c>
      <c r="B7" s="33" t="str">
        <v>CA</v>
      </c>
      <c r="C7" s="12"/>
      <c r="D7" s="20"/>
      <c r="E7" s="20" t="str">
        <f t="shared" si="0"/>
        <v/>
      </c>
      <c r="F7" s="21" t="str">
        <f t="shared" si="3"/>
        <v/>
      </c>
      <c r="G7" s="22"/>
      <c r="H7" s="22" t="str">
        <f t="shared" si="1"/>
        <v/>
      </c>
      <c r="I7" s="21" t="str">
        <f t="shared" si="2"/>
        <v/>
      </c>
      <c r="J7" s="11"/>
      <c r="K7" s="19"/>
    </row>
    <row r="8" spans="1:11" ht="15.75">
      <c r="A8" s="30" t="str">
        <v>CA: Elk Grove Promenade - Citi</v>
      </c>
      <c r="B8" s="31" t="str">
        <v>CA</v>
      </c>
      <c r="C8" s="26"/>
      <c r="D8" s="14"/>
      <c r="E8" s="14" t="str">
        <f t="shared" si="0"/>
        <v/>
      </c>
      <c r="F8" s="15" t="str">
        <f t="shared" si="3"/>
        <v/>
      </c>
      <c r="G8" s="16"/>
      <c r="H8" s="16" t="str">
        <f t="shared" si="1"/>
        <v/>
      </c>
      <c r="I8" s="17" t="str">
        <f t="shared" si="2"/>
        <v/>
      </c>
      <c r="J8" s="18"/>
      <c r="K8" s="18"/>
    </row>
    <row r="9" spans="1:11" ht="15.75">
      <c r="A9" s="32" t="str">
        <v>CA: Fresno Sequioa - Citi</v>
      </c>
      <c r="B9" s="33" t="str">
        <v>CA</v>
      </c>
      <c r="C9" s="12"/>
      <c r="D9" s="20"/>
      <c r="E9" s="20" t="str">
        <f t="shared" si="0"/>
        <v/>
      </c>
      <c r="F9" s="21" t="str">
        <f t="shared" si="3"/>
        <v/>
      </c>
      <c r="G9" s="22"/>
      <c r="H9" s="22" t="str">
        <f t="shared" si="1"/>
        <v/>
      </c>
      <c r="I9" s="21" t="str">
        <f t="shared" si="2"/>
        <v/>
      </c>
      <c r="J9" s="11"/>
      <c r="K9" s="19"/>
    </row>
    <row r="10" spans="1:11" ht="15.75">
      <c r="A10" s="30" t="str">
        <v>CA: Fresno MOB - Citi</v>
      </c>
      <c r="B10" s="31" t="str">
        <v>CA</v>
      </c>
      <c r="C10" s="26"/>
      <c r="D10" s="14"/>
      <c r="E10" s="14" t="str">
        <f t="shared" si="0"/>
        <v/>
      </c>
      <c r="F10" s="15" t="str">
        <f t="shared" si="3"/>
        <v/>
      </c>
      <c r="G10" s="16"/>
      <c r="H10" s="16" t="str">
        <f t="shared" si="1"/>
        <v/>
      </c>
      <c r="I10" s="17" t="str">
        <f t="shared" si="2"/>
        <v/>
      </c>
      <c r="J10" s="18"/>
      <c r="K10" s="18"/>
    </row>
    <row r="11" spans="1:11" ht="15.75">
      <c r="A11" s="32" t="str">
        <v>CA: Modesto Bangs - Citi</v>
      </c>
      <c r="B11" s="33" t="str">
        <v>CA</v>
      </c>
      <c r="C11" s="12"/>
      <c r="D11" s="20"/>
      <c r="E11" s="20" t="str">
        <f t="shared" si="0"/>
        <v/>
      </c>
      <c r="F11" s="21" t="str">
        <f t="shared" si="3"/>
        <v/>
      </c>
      <c r="G11" s="22"/>
      <c r="H11" s="22" t="str">
        <f t="shared" si="1"/>
        <v/>
      </c>
      <c r="I11" s="21" t="str">
        <f t="shared" si="2"/>
        <v/>
      </c>
      <c r="J11" s="11"/>
      <c r="K11" s="19"/>
    </row>
    <row r="12" spans="1:11" ht="15.75">
      <c r="A12" s="30" t="str">
        <v>CA: Napa Data Center - Citi</v>
      </c>
      <c r="B12" s="31" t="str">
        <v>CA</v>
      </c>
      <c r="C12" s="26"/>
      <c r="D12" s="14"/>
      <c r="E12" s="14" t="str">
        <f t="shared" si="0"/>
        <v/>
      </c>
      <c r="F12" s="15" t="str">
        <f t="shared" si="3"/>
        <v/>
      </c>
      <c r="G12" s="16"/>
      <c r="H12" s="16" t="str">
        <f t="shared" si="1"/>
        <v/>
      </c>
      <c r="I12" s="17" t="str">
        <f t="shared" si="2"/>
        <v/>
      </c>
      <c r="J12" s="18"/>
      <c r="K12" s="18"/>
    </row>
    <row r="13" spans="1:11" ht="15.75">
      <c r="A13" s="32" t="str">
        <v>CA: Petaluma MOB - Citi</v>
      </c>
      <c r="B13" s="33" t="str">
        <v>CA</v>
      </c>
      <c r="C13" s="12"/>
      <c r="D13" s="20"/>
      <c r="E13" s="20" t="str">
        <f t="shared" si="0"/>
        <v/>
      </c>
      <c r="F13" s="21" t="str">
        <f t="shared" si="3"/>
        <v/>
      </c>
      <c r="G13" s="22"/>
      <c r="H13" s="22" t="str">
        <f t="shared" si="1"/>
        <v/>
      </c>
      <c r="I13" s="21" t="str">
        <f t="shared" si="2"/>
        <v/>
      </c>
      <c r="J13" s="11"/>
      <c r="K13" s="19"/>
    </row>
    <row r="14" spans="1:11" ht="15.75">
      <c r="A14" s="30" t="str">
        <v>CA: Pleasanton Tec Ctr - Citi</v>
      </c>
      <c r="B14" s="31" t="str">
        <v>CA</v>
      </c>
      <c r="C14" s="26"/>
      <c r="D14" s="14"/>
      <c r="E14" s="14" t="str">
        <f t="shared" si="0"/>
        <v/>
      </c>
      <c r="F14" s="15" t="str">
        <f t="shared" si="3"/>
        <v/>
      </c>
      <c r="G14" s="16"/>
      <c r="H14" s="16" t="str">
        <f t="shared" si="1"/>
        <v/>
      </c>
      <c r="I14" s="17" t="str">
        <f t="shared" si="2"/>
        <v/>
      </c>
      <c r="J14" s="18"/>
      <c r="K14" s="18"/>
    </row>
    <row r="15" spans="1:11" ht="15.75">
      <c r="A15" s="32" t="str">
        <v>CA: Rancho Cordova - Citi</v>
      </c>
      <c r="B15" s="33" t="str">
        <v>CA</v>
      </c>
      <c r="C15" s="12"/>
      <c r="D15" s="20"/>
      <c r="E15" s="20" t="str">
        <f t="shared" si="0"/>
        <v/>
      </c>
      <c r="F15" s="21" t="str">
        <f t="shared" si="3"/>
        <v/>
      </c>
      <c r="G15" s="22"/>
      <c r="H15" s="22" t="str">
        <f t="shared" si="1"/>
        <v/>
      </c>
      <c r="I15" s="21" t="str">
        <f t="shared" si="2"/>
        <v/>
      </c>
      <c r="J15" s="11"/>
      <c r="K15" s="19"/>
    </row>
    <row r="16" spans="1:11" ht="15.75">
      <c r="A16" s="30" t="str">
        <v>CA: S Sacramento Wyndham - Citi</v>
      </c>
      <c r="B16" s="31" t="str">
        <v>CA</v>
      </c>
      <c r="C16" s="37"/>
      <c r="D16" s="14"/>
      <c r="E16" s="14" t="str">
        <f t="shared" ref="E16:E21" si="4">IF(AND(ISNUMBER(C16),ISNUMBER(D16)), C16-D16, "")</f>
        <v/>
      </c>
      <c r="F16" s="38" t="str">
        <f t="shared" ref="F16:F21" si="5">IFERROR(E16/D16, "")</f>
        <v/>
      </c>
      <c r="G16" s="39"/>
      <c r="H16" s="39" t="str">
        <f t="shared" ref="H16:H21" si="6">IF(AND(ISNUMBER(C16),ISNUMBER(G16)), C16-G16, "")</f>
        <v/>
      </c>
      <c r="I16" s="40" t="str">
        <f t="shared" ref="I16:I21" si="7">IFERROR(H16/G16, "")</f>
        <v/>
      </c>
      <c r="J16" s="41"/>
      <c r="K16" s="41"/>
    </row>
    <row r="17" spans="1:11" ht="15.75">
      <c r="A17" s="32" t="str">
        <v>CA: Sacramento Point West - Citi</v>
      </c>
      <c r="B17" s="33" t="str">
        <v>CA</v>
      </c>
      <c r="C17" s="42"/>
      <c r="D17" s="20"/>
      <c r="E17" s="20" t="str">
        <f t="shared" si="4"/>
        <v/>
      </c>
      <c r="F17" s="43" t="str">
        <f t="shared" si="5"/>
        <v/>
      </c>
      <c r="G17" s="44"/>
      <c r="H17" s="44" t="str">
        <f t="shared" si="6"/>
        <v/>
      </c>
      <c r="I17" s="43" t="str">
        <f t="shared" si="7"/>
        <v/>
      </c>
      <c r="J17" s="11"/>
      <c r="K17" s="19"/>
    </row>
    <row r="18" spans="1:11" ht="12.75" customHeight="1">
      <c r="A18" s="30" t="str">
        <v>CA: San Jose FHC - Citi</v>
      </c>
      <c r="B18" s="31" t="str">
        <v>CA</v>
      </c>
      <c r="C18" s="37"/>
      <c r="D18" s="14"/>
      <c r="E18" s="14" t="str">
        <f t="shared" si="4"/>
        <v/>
      </c>
      <c r="F18" s="38" t="str">
        <f t="shared" si="5"/>
        <v/>
      </c>
      <c r="G18" s="39"/>
      <c r="H18" s="39" t="str">
        <f t="shared" si="6"/>
        <v/>
      </c>
      <c r="I18" s="40" t="str">
        <f t="shared" si="7"/>
        <v/>
      </c>
      <c r="J18" s="41"/>
      <c r="K18" s="41"/>
    </row>
    <row r="19" spans="1:11" ht="15.75">
      <c r="A19" s="32" t="str">
        <v>CA: San Jose MOB - Citi</v>
      </c>
      <c r="B19" s="33" t="str">
        <v>CA</v>
      </c>
      <c r="C19" s="42"/>
      <c r="D19" s="20"/>
      <c r="E19" s="20" t="str">
        <f t="shared" si="4"/>
        <v/>
      </c>
      <c r="F19" s="43" t="str">
        <f t="shared" si="5"/>
        <v/>
      </c>
      <c r="G19" s="44"/>
      <c r="H19" s="44" t="str">
        <f t="shared" si="6"/>
        <v/>
      </c>
      <c r="I19" s="43" t="str">
        <f t="shared" si="7"/>
        <v/>
      </c>
      <c r="J19" s="11"/>
      <c r="K19" s="19"/>
    </row>
    <row r="20" spans="1:11" ht="15.75">
      <c r="A20" s="30" t="str">
        <v>CA: Selma - Citi</v>
      </c>
      <c r="B20" s="31" t="str">
        <v>CA</v>
      </c>
      <c r="C20" s="37"/>
      <c r="D20" s="14"/>
      <c r="E20" s="14" t="str">
        <f t="shared" si="4"/>
        <v/>
      </c>
      <c r="F20" s="38" t="str">
        <f t="shared" si="5"/>
        <v/>
      </c>
      <c r="G20" s="39"/>
      <c r="H20" s="39" t="str">
        <f t="shared" si="6"/>
        <v/>
      </c>
      <c r="I20" s="40" t="str">
        <f t="shared" si="7"/>
        <v/>
      </c>
      <c r="J20" s="41"/>
      <c r="K20" s="41"/>
    </row>
    <row r="21" spans="1:11" ht="15.75">
      <c r="A21" s="32" t="str">
        <v>CA: Vacaville Hospital</v>
      </c>
      <c r="B21" s="33" t="str">
        <v>CA</v>
      </c>
      <c r="C21" s="42"/>
      <c r="D21" s="20"/>
      <c r="E21" s="20" t="str">
        <f t="shared" si="4"/>
        <v/>
      </c>
      <c r="F21" s="43" t="str">
        <f t="shared" si="5"/>
        <v/>
      </c>
      <c r="G21" s="44"/>
      <c r="H21" s="44" t="str">
        <f t="shared" si="6"/>
        <v/>
      </c>
      <c r="I21" s="43" t="str">
        <f t="shared" si="7"/>
        <v/>
      </c>
      <c r="J21" s="11"/>
      <c r="K21" s="19"/>
    </row>
    <row r="22" spans="1:11" ht="15.75">
      <c r="A22" s="30" t="str">
        <v>CA: Manteca - KP Manteca Hospital</v>
      </c>
      <c r="B22" s="31" t="str">
        <v>CA</v>
      </c>
      <c r="C22" s="37"/>
      <c r="D22" s="14"/>
      <c r="E22" s="14"/>
      <c r="F22" s="38"/>
      <c r="G22" s="39"/>
      <c r="H22" s="39"/>
      <c r="I22" s="40"/>
      <c r="J22" s="41"/>
      <c r="K22" s="41"/>
    </row>
    <row r="23" spans="1:11" ht="1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5">
      <c r="A26" s="23"/>
      <c r="B26" s="35"/>
      <c r="C26" s="23"/>
      <c r="D26" s="23"/>
      <c r="E26" s="23"/>
      <c r="F26" s="23"/>
      <c r="G26" s="23"/>
      <c r="H26" s="23"/>
      <c r="I26" s="23"/>
      <c r="J26" s="23"/>
      <c r="K26" s="23"/>
    </row>
    <row r="27" spans="1:11" ht="15">
      <c r="A27" s="23"/>
      <c r="B27" s="35"/>
      <c r="C27" s="23"/>
      <c r="D27" s="23"/>
      <c r="E27" s="23"/>
      <c r="F27" s="23"/>
      <c r="G27" s="23"/>
      <c r="H27" s="23"/>
      <c r="I27" s="23"/>
      <c r="J27" s="23"/>
      <c r="K27" s="23"/>
    </row>
    <row r="28" spans="1:11" ht="15">
      <c r="A28" s="23"/>
      <c r="B28" s="35"/>
      <c r="C28" s="23"/>
      <c r="D28" s="23"/>
      <c r="E28" s="23"/>
      <c r="F28" s="23"/>
      <c r="G28" s="23"/>
      <c r="H28" s="23"/>
      <c r="I28" s="23"/>
      <c r="J28" s="23"/>
      <c r="K28" s="23"/>
    </row>
    <row r="29" spans="1:11" ht="15">
      <c r="A29" s="23"/>
      <c r="B29" s="35"/>
      <c r="C29" s="23"/>
      <c r="D29" s="23"/>
      <c r="E29" s="23"/>
      <c r="F29" s="23"/>
      <c r="G29" s="23"/>
      <c r="H29" s="23"/>
      <c r="I29" s="23"/>
      <c r="J29" s="23"/>
      <c r="K29" s="23"/>
    </row>
    <row r="30" spans="1:11" ht="15">
      <c r="A30" s="23"/>
      <c r="B30" s="35"/>
      <c r="C30" s="23"/>
      <c r="D30" s="23"/>
      <c r="E30" s="23"/>
      <c r="F30" s="23"/>
      <c r="G30" s="23"/>
      <c r="H30" s="23"/>
      <c r="I30" s="23"/>
      <c r="J30" s="23"/>
      <c r="K30" s="23"/>
    </row>
    <row r="31" spans="1:11" ht="15">
      <c r="A31" s="23"/>
      <c r="B31" s="35"/>
      <c r="C31" s="23"/>
      <c r="D31" s="23"/>
      <c r="E31" s="23"/>
      <c r="F31" s="23"/>
      <c r="G31" s="23"/>
      <c r="H31" s="23"/>
      <c r="I31" s="23"/>
      <c r="J31" s="23"/>
      <c r="K31" s="23"/>
    </row>
    <row r="32" spans="1:11" ht="15">
      <c r="A32" s="23"/>
      <c r="B32" s="35"/>
      <c r="C32" s="23"/>
      <c r="D32" s="23"/>
      <c r="E32" s="23"/>
      <c r="F32" s="23"/>
      <c r="G32" s="23"/>
      <c r="H32" s="23"/>
      <c r="I32" s="23"/>
      <c r="J32" s="23"/>
      <c r="K32" s="23"/>
    </row>
    <row r="33" spans="1:11" ht="1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5">
      <c r="A335" s="23"/>
      <c r="B335" s="35"/>
      <c r="C335" s="23"/>
      <c r="D335" s="23"/>
      <c r="E335" s="23"/>
      <c r="F335" s="24"/>
      <c r="G335" s="23"/>
      <c r="H335" s="23"/>
      <c r="I335" s="24"/>
      <c r="J335" s="23"/>
      <c r="K335" s="23"/>
    </row>
    <row r="336" spans="1:11" ht="15">
      <c r="A336" s="23"/>
      <c r="B336" s="35"/>
      <c r="C336" s="23"/>
      <c r="D336" s="23"/>
      <c r="E336" s="23"/>
      <c r="F336" s="24"/>
      <c r="G336" s="23"/>
      <c r="H336" s="23"/>
      <c r="I336" s="24"/>
      <c r="J336" s="23"/>
      <c r="K336" s="23"/>
    </row>
    <row r="337" spans="1:11" ht="15">
      <c r="A337" s="23"/>
      <c r="B337" s="35"/>
      <c r="C337" s="23"/>
      <c r="D337" s="23"/>
      <c r="E337" s="23"/>
      <c r="F337" s="24"/>
      <c r="G337" s="23"/>
      <c r="H337" s="23"/>
      <c r="I337" s="24"/>
      <c r="J337" s="23"/>
      <c r="K337" s="23"/>
    </row>
    <row r="338" spans="1:11" ht="15">
      <c r="A338" s="23"/>
      <c r="B338" s="35"/>
      <c r="C338" s="23"/>
      <c r="D338" s="23"/>
      <c r="E338" s="23"/>
      <c r="F338" s="24"/>
      <c r="G338" s="23"/>
      <c r="H338" s="23"/>
      <c r="I338" s="24"/>
      <c r="J338" s="23"/>
      <c r="K338" s="23"/>
    </row>
    <row r="339" spans="1:11" ht="15">
      <c r="A339" s="23"/>
      <c r="B339" s="35"/>
      <c r="C339" s="23"/>
      <c r="D339" s="23"/>
      <c r="E339" s="23"/>
      <c r="F339" s="24"/>
      <c r="G339" s="23"/>
      <c r="H339" s="23"/>
      <c r="I339" s="24"/>
      <c r="J339" s="23"/>
      <c r="K339" s="23"/>
    </row>
    <row r="340" spans="1:11" ht="15">
      <c r="A340" s="23"/>
      <c r="B340" s="35"/>
      <c r="C340" s="23"/>
      <c r="D340" s="23"/>
      <c r="E340" s="23"/>
      <c r="F340" s="24"/>
      <c r="G340" s="23"/>
      <c r="H340" s="23"/>
      <c r="I340" s="24"/>
      <c r="J340" s="23"/>
      <c r="K340" s="23"/>
    </row>
    <row r="341" spans="1:11" ht="15">
      <c r="A341" s="23"/>
      <c r="B341" s="35"/>
      <c r="C341" s="23"/>
      <c r="D341" s="23"/>
      <c r="E341" s="23"/>
      <c r="F341" s="24"/>
      <c r="G341" s="23"/>
      <c r="H341" s="23"/>
      <c r="I341" s="24"/>
      <c r="J341" s="23"/>
      <c r="K341" s="23"/>
    </row>
    <row r="342" spans="1:11">
      <c r="C342" s="23"/>
      <c r="D342" s="23"/>
      <c r="E342" s="23"/>
      <c r="F342" s="24"/>
      <c r="G342" s="23"/>
      <c r="H342" s="23"/>
      <c r="I342" s="24"/>
      <c r="J342" s="23"/>
      <c r="K342" s="23"/>
    </row>
  </sheetData>
  <mergeCells count="4">
    <mergeCell ref="G1:I1"/>
    <mergeCell ref="A1:C1"/>
    <mergeCell ref="D1:F1"/>
    <mergeCell ref="A2:B2"/>
  </mergeCells>
  <conditionalFormatting sqref="F2 I2 F4:F100 I4:I100">
    <cfRule type="cellIs" dxfId="8" priority="1" stopIfTrue="1" operator="lessThanOrEqual">
      <formula>-0.1</formula>
    </cfRule>
    <cfRule type="expression" dxfId="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42"/>
  <sheetViews>
    <sheetView workbookViewId="0">
      <pane ySplit="2" topLeftCell="A4" activePane="bottomLeft" state="frozen"/>
      <selection pane="bottomLeft" activeCell="A22" sqref="A22:XFD22"/>
    </sheetView>
  </sheetViews>
  <sheetFormatPr defaultRowHeight="14.25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1" t="str" cm="1">
        <f t="array" ref="A1">portfolio</f>
        <v>CITI</v>
      </c>
      <c r="B1" s="61"/>
      <c r="C1" s="61"/>
      <c r="D1" s="62" t="s">
        <v>58</v>
      </c>
      <c r="E1" s="62"/>
      <c r="F1" s="62"/>
      <c r="G1" s="60" t="s">
        <v>59</v>
      </c>
      <c r="H1" s="60"/>
      <c r="I1" s="60"/>
      <c r="J1" s="5"/>
      <c r="K1" s="5"/>
    </row>
    <row r="2" spans="1:11" ht="19.5" customHeight="1">
      <c r="A2" s="63" t="s">
        <v>2</v>
      </c>
      <c r="B2" s="63"/>
      <c r="C2" s="6">
        <f>SUM(C4:C100)</f>
        <v>0</v>
      </c>
      <c r="D2" s="6">
        <f>SUM(D4:D100)</f>
        <v>0</v>
      </c>
      <c r="E2" s="6">
        <f>C2-D2</f>
        <v>0</v>
      </c>
      <c r="F2" s="7">
        <f>IFERROR(E2/D2, 0)</f>
        <v>0</v>
      </c>
      <c r="G2" s="6">
        <f>SUM(G4:G100)</f>
        <v>0</v>
      </c>
      <c r="H2" s="8">
        <f>C2-G2</f>
        <v>0</v>
      </c>
      <c r="I2" s="7">
        <f>IFERROR(H2/G2, 0)</f>
        <v>0</v>
      </c>
      <c r="J2" s="28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49" t="s">
        <v>6</v>
      </c>
      <c r="E3" s="49" t="s">
        <v>7</v>
      </c>
      <c r="F3" s="50" t="s">
        <v>8</v>
      </c>
      <c r="G3" s="51" t="s">
        <v>9</v>
      </c>
      <c r="H3" s="52" t="s">
        <v>7</v>
      </c>
      <c r="I3" s="53" t="s">
        <v>8</v>
      </c>
      <c r="J3" s="27" t="s">
        <v>20</v>
      </c>
      <c r="K3" s="27" t="s">
        <v>21</v>
      </c>
    </row>
    <row r="4" spans="1:11" ht="15.75">
      <c r="A4" s="34" t="str" cm="1">
        <f t="array" ref="A4:A22">Sites[Site]</f>
        <v>CA: Antioch Deer Valley - Citi</v>
      </c>
      <c r="B4" s="31" t="str" cm="1">
        <f t="array" ref="B4:B22">Sites[State]</f>
        <v>CA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2" t="str">
        <v>CA: Antioch MC CUP - Citi</v>
      </c>
      <c r="B5" s="33" t="str">
        <v>CA</v>
      </c>
      <c r="C5" s="12"/>
      <c r="D5" s="20"/>
      <c r="E5" s="20" t="str">
        <f t="shared" ref="E5:E15" si="0">IF(AND(ISNUMBER(C5),ISNUMBER(D5)), C5-D5, "")</f>
        <v/>
      </c>
      <c r="F5" s="21" t="str">
        <f>IFERROR(E5/D5, "")</f>
        <v/>
      </c>
      <c r="G5" s="22"/>
      <c r="H5" s="22" t="str">
        <f t="shared" ref="H5:H15" si="1">IF(AND(ISNUMBER(C5),ISNUMBER(G5)), C5-G5, "")</f>
        <v/>
      </c>
      <c r="I5" s="21" t="str">
        <f t="shared" ref="I5:I15" si="2">IFERROR(H5/G5, "")</f>
        <v/>
      </c>
      <c r="J5" s="11"/>
      <c r="K5" s="19"/>
    </row>
    <row r="6" spans="1:11" ht="15.75">
      <c r="A6" s="30" t="str">
        <v>CA: Clovis - Citi</v>
      </c>
      <c r="B6" s="31" t="str">
        <v>CA</v>
      </c>
      <c r="C6" s="26"/>
      <c r="D6" s="14"/>
      <c r="E6" s="14" t="str">
        <f t="shared" si="0"/>
        <v/>
      </c>
      <c r="F6" s="15" t="str">
        <f t="shared" ref="F6:F15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5.75">
      <c r="A7" s="32" t="str">
        <v>CA: Elk Grove MOB - Citi</v>
      </c>
      <c r="B7" s="33" t="str">
        <v>CA</v>
      </c>
      <c r="C7" s="12"/>
      <c r="D7" s="20"/>
      <c r="E7" s="20" t="str">
        <f t="shared" si="0"/>
        <v/>
      </c>
      <c r="F7" s="21" t="str">
        <f t="shared" si="3"/>
        <v/>
      </c>
      <c r="G7" s="22"/>
      <c r="H7" s="22" t="str">
        <f t="shared" si="1"/>
        <v/>
      </c>
      <c r="I7" s="21" t="str">
        <f t="shared" si="2"/>
        <v/>
      </c>
      <c r="J7" s="11"/>
      <c r="K7" s="19"/>
    </row>
    <row r="8" spans="1:11" ht="15.75">
      <c r="A8" s="30" t="str">
        <v>CA: Elk Grove Promenade - Citi</v>
      </c>
      <c r="B8" s="31" t="str">
        <v>CA</v>
      </c>
      <c r="C8" s="26"/>
      <c r="D8" s="14"/>
      <c r="E8" s="14" t="str">
        <f t="shared" si="0"/>
        <v/>
      </c>
      <c r="F8" s="15" t="str">
        <f t="shared" si="3"/>
        <v/>
      </c>
      <c r="G8" s="16"/>
      <c r="H8" s="16" t="str">
        <f t="shared" si="1"/>
        <v/>
      </c>
      <c r="I8" s="17" t="str">
        <f t="shared" si="2"/>
        <v/>
      </c>
      <c r="J8" s="18"/>
      <c r="K8" s="18"/>
    </row>
    <row r="9" spans="1:11" ht="15.75">
      <c r="A9" s="32" t="str">
        <v>CA: Fresno Sequioa - Citi</v>
      </c>
      <c r="B9" s="33" t="str">
        <v>CA</v>
      </c>
      <c r="C9" s="12"/>
      <c r="D9" s="20"/>
      <c r="E9" s="20" t="str">
        <f t="shared" si="0"/>
        <v/>
      </c>
      <c r="F9" s="21" t="str">
        <f t="shared" si="3"/>
        <v/>
      </c>
      <c r="G9" s="22"/>
      <c r="H9" s="22" t="str">
        <f t="shared" si="1"/>
        <v/>
      </c>
      <c r="I9" s="21" t="str">
        <f t="shared" si="2"/>
        <v/>
      </c>
      <c r="J9" s="11"/>
      <c r="K9" s="19"/>
    </row>
    <row r="10" spans="1:11" ht="15.75">
      <c r="A10" s="30" t="str">
        <v>CA: Fresno MOB - Citi</v>
      </c>
      <c r="B10" s="31" t="str">
        <v>CA</v>
      </c>
      <c r="C10" s="26"/>
      <c r="D10" s="14"/>
      <c r="E10" s="14" t="str">
        <f t="shared" si="0"/>
        <v/>
      </c>
      <c r="F10" s="15" t="str">
        <f t="shared" si="3"/>
        <v/>
      </c>
      <c r="G10" s="16"/>
      <c r="H10" s="16" t="str">
        <f t="shared" si="1"/>
        <v/>
      </c>
      <c r="I10" s="17" t="str">
        <f t="shared" si="2"/>
        <v/>
      </c>
      <c r="J10" s="18"/>
      <c r="K10" s="18"/>
    </row>
    <row r="11" spans="1:11" ht="15.75">
      <c r="A11" s="32" t="str">
        <v>CA: Modesto Bangs - Citi</v>
      </c>
      <c r="B11" s="33" t="str">
        <v>CA</v>
      </c>
      <c r="C11" s="12"/>
      <c r="D11" s="20"/>
      <c r="E11" s="20" t="str">
        <f t="shared" si="0"/>
        <v/>
      </c>
      <c r="F11" s="21" t="str">
        <f t="shared" si="3"/>
        <v/>
      </c>
      <c r="G11" s="22"/>
      <c r="H11" s="22" t="str">
        <f t="shared" si="1"/>
        <v/>
      </c>
      <c r="I11" s="21" t="str">
        <f t="shared" si="2"/>
        <v/>
      </c>
      <c r="J11" s="11"/>
      <c r="K11" s="19"/>
    </row>
    <row r="12" spans="1:11" ht="15.75">
      <c r="A12" s="30" t="str">
        <v>CA: Napa Data Center - Citi</v>
      </c>
      <c r="B12" s="31" t="str">
        <v>CA</v>
      </c>
      <c r="C12" s="26"/>
      <c r="D12" s="14"/>
      <c r="E12" s="14" t="str">
        <f t="shared" si="0"/>
        <v/>
      </c>
      <c r="F12" s="15" t="str">
        <f t="shared" si="3"/>
        <v/>
      </c>
      <c r="G12" s="16"/>
      <c r="H12" s="16" t="str">
        <f t="shared" si="1"/>
        <v/>
      </c>
      <c r="I12" s="17" t="str">
        <f t="shared" si="2"/>
        <v/>
      </c>
      <c r="J12" s="18"/>
      <c r="K12" s="18"/>
    </row>
    <row r="13" spans="1:11" ht="15.75">
      <c r="A13" s="32" t="str">
        <v>CA: Petaluma MOB - Citi</v>
      </c>
      <c r="B13" s="33" t="str">
        <v>CA</v>
      </c>
      <c r="C13" s="12"/>
      <c r="D13" s="20"/>
      <c r="E13" s="20" t="str">
        <f t="shared" si="0"/>
        <v/>
      </c>
      <c r="F13" s="21" t="str">
        <f t="shared" si="3"/>
        <v/>
      </c>
      <c r="G13" s="22"/>
      <c r="H13" s="22" t="str">
        <f t="shared" si="1"/>
        <v/>
      </c>
      <c r="I13" s="21" t="str">
        <f t="shared" si="2"/>
        <v/>
      </c>
      <c r="J13" s="11"/>
      <c r="K13" s="19"/>
    </row>
    <row r="14" spans="1:11" ht="15.75">
      <c r="A14" s="30" t="str">
        <v>CA: Pleasanton Tec Ctr - Citi</v>
      </c>
      <c r="B14" s="31" t="str">
        <v>CA</v>
      </c>
      <c r="C14" s="26"/>
      <c r="D14" s="14"/>
      <c r="E14" s="14" t="str">
        <f t="shared" si="0"/>
        <v/>
      </c>
      <c r="F14" s="15" t="str">
        <f t="shared" si="3"/>
        <v/>
      </c>
      <c r="G14" s="16"/>
      <c r="H14" s="16" t="str">
        <f t="shared" si="1"/>
        <v/>
      </c>
      <c r="I14" s="17" t="str">
        <f t="shared" si="2"/>
        <v/>
      </c>
      <c r="J14" s="18"/>
      <c r="K14" s="18"/>
    </row>
    <row r="15" spans="1:11" ht="15.75">
      <c r="A15" s="32" t="str">
        <v>CA: Rancho Cordova - Citi</v>
      </c>
      <c r="B15" s="33" t="str">
        <v>CA</v>
      </c>
      <c r="C15" s="12"/>
      <c r="D15" s="20"/>
      <c r="E15" s="20" t="str">
        <f t="shared" si="0"/>
        <v/>
      </c>
      <c r="F15" s="21" t="str">
        <f t="shared" si="3"/>
        <v/>
      </c>
      <c r="G15" s="22"/>
      <c r="H15" s="22" t="str">
        <f t="shared" si="1"/>
        <v/>
      </c>
      <c r="I15" s="21" t="str">
        <f t="shared" si="2"/>
        <v/>
      </c>
      <c r="J15" s="11"/>
      <c r="K15" s="19"/>
    </row>
    <row r="16" spans="1:11" ht="15.75">
      <c r="A16" s="30" t="str">
        <v>CA: S Sacramento Wyndham - Citi</v>
      </c>
      <c r="B16" s="31" t="str">
        <v>CA</v>
      </c>
      <c r="C16" s="37"/>
      <c r="D16" s="14"/>
      <c r="E16" s="14" t="str">
        <f t="shared" ref="E16:E21" si="4">IF(AND(ISNUMBER(C16),ISNUMBER(D16)), C16-D16, "")</f>
        <v/>
      </c>
      <c r="F16" s="38" t="str">
        <f t="shared" ref="F16:F21" si="5">IFERROR(E16/D16, "")</f>
        <v/>
      </c>
      <c r="G16" s="39"/>
      <c r="H16" s="39" t="str">
        <f t="shared" ref="H16:H21" si="6">IF(AND(ISNUMBER(C16),ISNUMBER(G16)), C16-G16, "")</f>
        <v/>
      </c>
      <c r="I16" s="40" t="str">
        <f t="shared" ref="I16:I21" si="7">IFERROR(H16/G16, "")</f>
        <v/>
      </c>
      <c r="J16" s="41"/>
      <c r="K16" s="41"/>
    </row>
    <row r="17" spans="1:11" ht="15.75">
      <c r="A17" s="32" t="str">
        <v>CA: Sacramento Point West - Citi</v>
      </c>
      <c r="B17" s="33" t="str">
        <v>CA</v>
      </c>
      <c r="C17" s="42"/>
      <c r="D17" s="20"/>
      <c r="E17" s="20" t="str">
        <f t="shared" si="4"/>
        <v/>
      </c>
      <c r="F17" s="43" t="str">
        <f t="shared" si="5"/>
        <v/>
      </c>
      <c r="G17" s="44"/>
      <c r="H17" s="44" t="str">
        <f t="shared" si="6"/>
        <v/>
      </c>
      <c r="I17" s="43" t="str">
        <f t="shared" si="7"/>
        <v/>
      </c>
      <c r="J17" s="11"/>
      <c r="K17" s="19"/>
    </row>
    <row r="18" spans="1:11" ht="12.75" customHeight="1">
      <c r="A18" s="30" t="str">
        <v>CA: San Jose FHC - Citi</v>
      </c>
      <c r="B18" s="31" t="str">
        <v>CA</v>
      </c>
      <c r="C18" s="37"/>
      <c r="D18" s="14"/>
      <c r="E18" s="14" t="str">
        <f t="shared" si="4"/>
        <v/>
      </c>
      <c r="F18" s="38" t="str">
        <f t="shared" si="5"/>
        <v/>
      </c>
      <c r="G18" s="39"/>
      <c r="H18" s="39" t="str">
        <f t="shared" si="6"/>
        <v/>
      </c>
      <c r="I18" s="40" t="str">
        <f t="shared" si="7"/>
        <v/>
      </c>
      <c r="J18" s="41"/>
      <c r="K18" s="41"/>
    </row>
    <row r="19" spans="1:11" ht="15.75">
      <c r="A19" s="32" t="str">
        <v>CA: San Jose MOB - Citi</v>
      </c>
      <c r="B19" s="33" t="str">
        <v>CA</v>
      </c>
      <c r="C19" s="42"/>
      <c r="D19" s="20"/>
      <c r="E19" s="20" t="str">
        <f t="shared" si="4"/>
        <v/>
      </c>
      <c r="F19" s="43" t="str">
        <f t="shared" si="5"/>
        <v/>
      </c>
      <c r="G19" s="44"/>
      <c r="H19" s="44" t="str">
        <f t="shared" si="6"/>
        <v/>
      </c>
      <c r="I19" s="43" t="str">
        <f t="shared" si="7"/>
        <v/>
      </c>
      <c r="J19" s="11"/>
      <c r="K19" s="19"/>
    </row>
    <row r="20" spans="1:11" ht="15.75">
      <c r="A20" s="30" t="str">
        <v>CA: Selma - Citi</v>
      </c>
      <c r="B20" s="31" t="str">
        <v>CA</v>
      </c>
      <c r="C20" s="37"/>
      <c r="D20" s="14"/>
      <c r="E20" s="14" t="str">
        <f t="shared" si="4"/>
        <v/>
      </c>
      <c r="F20" s="38" t="str">
        <f t="shared" si="5"/>
        <v/>
      </c>
      <c r="G20" s="39"/>
      <c r="H20" s="39" t="str">
        <f t="shared" si="6"/>
        <v/>
      </c>
      <c r="I20" s="40" t="str">
        <f t="shared" si="7"/>
        <v/>
      </c>
      <c r="J20" s="41"/>
      <c r="K20" s="41"/>
    </row>
    <row r="21" spans="1:11" ht="15.75">
      <c r="A21" s="32" t="str">
        <v>CA: Vacaville Hospital</v>
      </c>
      <c r="B21" s="33" t="str">
        <v>CA</v>
      </c>
      <c r="C21" s="42"/>
      <c r="D21" s="20"/>
      <c r="E21" s="20" t="str">
        <f t="shared" si="4"/>
        <v/>
      </c>
      <c r="F21" s="43" t="str">
        <f t="shared" si="5"/>
        <v/>
      </c>
      <c r="G21" s="44"/>
      <c r="H21" s="44" t="str">
        <f t="shared" si="6"/>
        <v/>
      </c>
      <c r="I21" s="43" t="str">
        <f t="shared" si="7"/>
        <v/>
      </c>
      <c r="J21" s="11"/>
      <c r="K21" s="19"/>
    </row>
    <row r="22" spans="1:11" ht="15.75">
      <c r="A22" s="30" t="str">
        <v>CA: Manteca - KP Manteca Hospital</v>
      </c>
      <c r="B22" s="31" t="str">
        <v>CA</v>
      </c>
      <c r="C22" s="37"/>
      <c r="D22" s="14"/>
      <c r="E22" s="14"/>
      <c r="F22" s="38"/>
      <c r="G22" s="39"/>
      <c r="H22" s="39"/>
      <c r="I22" s="40"/>
      <c r="J22" s="41"/>
      <c r="K22" s="41"/>
    </row>
    <row r="23" spans="1:11" ht="1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5">
      <c r="A26" s="23"/>
      <c r="B26" s="35"/>
      <c r="C26" s="23"/>
      <c r="D26" s="23"/>
      <c r="E26" s="23"/>
      <c r="F26" s="23"/>
      <c r="G26" s="23"/>
      <c r="H26" s="23"/>
      <c r="I26" s="23"/>
      <c r="J26" s="23"/>
      <c r="K26" s="23"/>
    </row>
    <row r="27" spans="1:11" ht="15">
      <c r="A27" s="23"/>
      <c r="B27" s="35"/>
      <c r="C27" s="23"/>
      <c r="D27" s="23"/>
      <c r="E27" s="23"/>
      <c r="F27" s="23"/>
      <c r="G27" s="23"/>
      <c r="H27" s="23"/>
      <c r="I27" s="23"/>
      <c r="J27" s="23"/>
      <c r="K27" s="23"/>
    </row>
    <row r="28" spans="1:11" ht="15">
      <c r="A28" s="23"/>
      <c r="B28" s="35"/>
      <c r="C28" s="23"/>
      <c r="D28" s="23"/>
      <c r="E28" s="23"/>
      <c r="F28" s="23"/>
      <c r="G28" s="23"/>
      <c r="H28" s="23"/>
      <c r="I28" s="23"/>
      <c r="J28" s="23"/>
      <c r="K28" s="23"/>
    </row>
    <row r="29" spans="1:11" ht="15">
      <c r="A29" s="23"/>
      <c r="B29" s="35"/>
      <c r="C29" s="23"/>
      <c r="D29" s="23"/>
      <c r="E29" s="23"/>
      <c r="F29" s="23"/>
      <c r="G29" s="23"/>
      <c r="H29" s="23"/>
      <c r="I29" s="23"/>
      <c r="J29" s="23"/>
      <c r="K29" s="23"/>
    </row>
    <row r="30" spans="1:11" ht="15">
      <c r="A30" s="23"/>
      <c r="B30" s="35"/>
      <c r="C30" s="23"/>
      <c r="D30" s="23"/>
      <c r="E30" s="23"/>
      <c r="F30" s="23"/>
      <c r="G30" s="23"/>
      <c r="H30" s="23"/>
      <c r="I30" s="23"/>
      <c r="J30" s="23"/>
      <c r="K30" s="23"/>
    </row>
    <row r="31" spans="1:11" ht="15">
      <c r="A31" s="23"/>
      <c r="B31" s="35"/>
      <c r="C31" s="23"/>
      <c r="D31" s="23"/>
      <c r="E31" s="23"/>
      <c r="F31" s="23"/>
      <c r="G31" s="23"/>
      <c r="H31" s="23"/>
      <c r="I31" s="23"/>
      <c r="J31" s="23"/>
      <c r="K31" s="23"/>
    </row>
    <row r="32" spans="1:11" ht="15">
      <c r="A32" s="23"/>
      <c r="B32" s="35"/>
      <c r="C32" s="23"/>
      <c r="D32" s="23"/>
      <c r="E32" s="23"/>
      <c r="F32" s="23"/>
      <c r="G32" s="23"/>
      <c r="H32" s="23"/>
      <c r="I32" s="23"/>
      <c r="J32" s="23"/>
      <c r="K32" s="23"/>
    </row>
    <row r="33" spans="1:11" ht="1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5">
      <c r="A335" s="23"/>
      <c r="B335" s="35"/>
      <c r="C335" s="23"/>
      <c r="D335" s="23"/>
      <c r="E335" s="23"/>
      <c r="F335" s="24"/>
      <c r="G335" s="23"/>
      <c r="H335" s="23"/>
      <c r="I335" s="24"/>
      <c r="J335" s="23"/>
      <c r="K335" s="23"/>
    </row>
    <row r="336" spans="1:11" ht="15">
      <c r="A336" s="23"/>
      <c r="B336" s="35"/>
      <c r="C336" s="23"/>
      <c r="D336" s="23"/>
      <c r="E336" s="23"/>
      <c r="F336" s="24"/>
      <c r="G336" s="23"/>
      <c r="H336" s="23"/>
      <c r="I336" s="24"/>
      <c r="J336" s="23"/>
      <c r="K336" s="23"/>
    </row>
    <row r="337" spans="1:11" ht="15">
      <c r="A337" s="23"/>
      <c r="B337" s="35"/>
      <c r="C337" s="23"/>
      <c r="D337" s="23"/>
      <c r="E337" s="23"/>
      <c r="F337" s="24"/>
      <c r="G337" s="23"/>
      <c r="H337" s="23"/>
      <c r="I337" s="24"/>
      <c r="J337" s="23"/>
      <c r="K337" s="23"/>
    </row>
    <row r="338" spans="1:11" ht="15">
      <c r="A338" s="23"/>
      <c r="B338" s="35"/>
      <c r="C338" s="23"/>
      <c r="D338" s="23"/>
      <c r="E338" s="23"/>
      <c r="F338" s="24"/>
      <c r="G338" s="23"/>
      <c r="H338" s="23"/>
      <c r="I338" s="24"/>
      <c r="J338" s="23"/>
      <c r="K338" s="23"/>
    </row>
    <row r="339" spans="1:11" ht="15">
      <c r="A339" s="23"/>
      <c r="B339" s="35"/>
      <c r="C339" s="23"/>
      <c r="D339" s="23"/>
      <c r="E339" s="23"/>
      <c r="F339" s="24"/>
      <c r="G339" s="23"/>
      <c r="H339" s="23"/>
      <c r="I339" s="24"/>
      <c r="J339" s="23"/>
      <c r="K339" s="23"/>
    </row>
    <row r="340" spans="1:11" ht="15">
      <c r="A340" s="23"/>
      <c r="B340" s="35"/>
      <c r="C340" s="23"/>
      <c r="D340" s="23"/>
      <c r="E340" s="23"/>
      <c r="F340" s="24"/>
      <c r="G340" s="23"/>
      <c r="H340" s="23"/>
      <c r="I340" s="24"/>
      <c r="J340" s="23"/>
      <c r="K340" s="23"/>
    </row>
    <row r="341" spans="1:11" ht="15">
      <c r="A341" s="23"/>
      <c r="B341" s="35"/>
      <c r="C341" s="23"/>
      <c r="D341" s="23"/>
      <c r="E341" s="23"/>
      <c r="F341" s="24"/>
      <c r="G341" s="23"/>
      <c r="H341" s="23"/>
      <c r="I341" s="24"/>
      <c r="J341" s="23"/>
      <c r="K341" s="23"/>
    </row>
    <row r="342" spans="1:11">
      <c r="C342" s="23"/>
      <c r="D342" s="23"/>
      <c r="E342" s="23"/>
      <c r="F342" s="24"/>
      <c r="G342" s="23"/>
      <c r="H342" s="23"/>
      <c r="I342" s="24"/>
      <c r="J342" s="23"/>
      <c r="K342" s="23"/>
    </row>
  </sheetData>
  <mergeCells count="4">
    <mergeCell ref="G1:I1"/>
    <mergeCell ref="A1:C1"/>
    <mergeCell ref="D1:F1"/>
    <mergeCell ref="A2:B2"/>
  </mergeCells>
  <conditionalFormatting sqref="F2 I2 F4:F100 I4:I100">
    <cfRule type="cellIs" dxfId="6" priority="1" stopIfTrue="1" operator="lessThanOrEqual">
      <formula>-0.1</formula>
    </cfRule>
    <cfRule type="expression" dxfId="5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42"/>
  <sheetViews>
    <sheetView workbookViewId="0">
      <pane ySplit="2" topLeftCell="A4" activePane="bottomLeft" state="frozen"/>
      <selection pane="bottomLeft" activeCell="A22" sqref="A22:XFD22"/>
    </sheetView>
  </sheetViews>
  <sheetFormatPr defaultRowHeight="14.25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1" t="str" cm="1">
        <f t="array" ref="A1">portfolio</f>
        <v>CITI</v>
      </c>
      <c r="B1" s="61"/>
      <c r="C1" s="61"/>
      <c r="D1" s="62" t="s">
        <v>60</v>
      </c>
      <c r="E1" s="62"/>
      <c r="F1" s="62"/>
      <c r="G1" s="60" t="s">
        <v>61</v>
      </c>
      <c r="H1" s="60"/>
      <c r="I1" s="60"/>
      <c r="J1" s="5"/>
      <c r="K1" s="5"/>
    </row>
    <row r="2" spans="1:11" ht="19.5" customHeight="1">
      <c r="A2" s="63" t="s">
        <v>2</v>
      </c>
      <c r="B2" s="63"/>
      <c r="C2" s="6">
        <f>SUM(C4:C100)</f>
        <v>0</v>
      </c>
      <c r="D2" s="6">
        <f>SUM(D4:D100)</f>
        <v>0</v>
      </c>
      <c r="E2" s="6">
        <f>C2-D2</f>
        <v>0</v>
      </c>
      <c r="F2" s="7">
        <f>IFERROR(E2/D2, 0)</f>
        <v>0</v>
      </c>
      <c r="G2" s="6">
        <f>SUM(G4:G100)</f>
        <v>0</v>
      </c>
      <c r="H2" s="8">
        <f>C2-G2</f>
        <v>0</v>
      </c>
      <c r="I2" s="7">
        <f>IFERROR(H2/G2, 0)</f>
        <v>0</v>
      </c>
      <c r="J2" s="28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49" t="s">
        <v>6</v>
      </c>
      <c r="E3" s="49" t="s">
        <v>7</v>
      </c>
      <c r="F3" s="50" t="s">
        <v>8</v>
      </c>
      <c r="G3" s="51" t="s">
        <v>9</v>
      </c>
      <c r="H3" s="52" t="s">
        <v>7</v>
      </c>
      <c r="I3" s="53" t="s">
        <v>8</v>
      </c>
      <c r="J3" s="27" t="s">
        <v>20</v>
      </c>
      <c r="K3" s="27" t="s">
        <v>21</v>
      </c>
    </row>
    <row r="4" spans="1:11" ht="15.75">
      <c r="A4" s="34" t="str" cm="1">
        <f t="array" ref="A4:A22">Sites[Site]</f>
        <v>CA: Antioch Deer Valley - Citi</v>
      </c>
      <c r="B4" s="31" t="str" cm="1">
        <f t="array" ref="B4:B22">Sites[State]</f>
        <v>CA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2" t="str">
        <v>CA: Antioch MC CUP - Citi</v>
      </c>
      <c r="B5" s="33" t="str">
        <v>CA</v>
      </c>
      <c r="C5" s="12"/>
      <c r="D5" s="20"/>
      <c r="E5" s="20" t="str">
        <f t="shared" ref="E5:E15" si="0">IF(AND(ISNUMBER(C5),ISNUMBER(D5)), C5-D5, "")</f>
        <v/>
      </c>
      <c r="F5" s="21" t="str">
        <f>IFERROR(E5/D5, "")</f>
        <v/>
      </c>
      <c r="G5" s="22"/>
      <c r="H5" s="22" t="str">
        <f t="shared" ref="H5:H15" si="1">IF(AND(ISNUMBER(C5),ISNUMBER(G5)), C5-G5, "")</f>
        <v/>
      </c>
      <c r="I5" s="21" t="str">
        <f t="shared" ref="I5:I15" si="2">IFERROR(H5/G5, "")</f>
        <v/>
      </c>
      <c r="J5" s="11"/>
      <c r="K5" s="19"/>
    </row>
    <row r="6" spans="1:11" ht="15.75">
      <c r="A6" s="30" t="str">
        <v>CA: Clovis - Citi</v>
      </c>
      <c r="B6" s="31" t="str">
        <v>CA</v>
      </c>
      <c r="C6" s="26"/>
      <c r="D6" s="14"/>
      <c r="E6" s="14" t="str">
        <f t="shared" si="0"/>
        <v/>
      </c>
      <c r="F6" s="15" t="str">
        <f t="shared" ref="F6:F15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5.75">
      <c r="A7" s="32" t="str">
        <v>CA: Elk Grove MOB - Citi</v>
      </c>
      <c r="B7" s="33" t="str">
        <v>CA</v>
      </c>
      <c r="C7" s="12"/>
      <c r="D7" s="20"/>
      <c r="E7" s="20" t="str">
        <f t="shared" si="0"/>
        <v/>
      </c>
      <c r="F7" s="21" t="str">
        <f t="shared" si="3"/>
        <v/>
      </c>
      <c r="G7" s="22"/>
      <c r="H7" s="22" t="str">
        <f t="shared" si="1"/>
        <v/>
      </c>
      <c r="I7" s="21" t="str">
        <f t="shared" si="2"/>
        <v/>
      </c>
      <c r="J7" s="11"/>
      <c r="K7" s="19"/>
    </row>
    <row r="8" spans="1:11" ht="15.75">
      <c r="A8" s="30" t="str">
        <v>CA: Elk Grove Promenade - Citi</v>
      </c>
      <c r="B8" s="31" t="str">
        <v>CA</v>
      </c>
      <c r="C8" s="26"/>
      <c r="D8" s="14"/>
      <c r="E8" s="14" t="str">
        <f t="shared" si="0"/>
        <v/>
      </c>
      <c r="F8" s="15" t="str">
        <f t="shared" si="3"/>
        <v/>
      </c>
      <c r="G8" s="16"/>
      <c r="H8" s="16" t="str">
        <f t="shared" si="1"/>
        <v/>
      </c>
      <c r="I8" s="17" t="str">
        <f t="shared" si="2"/>
        <v/>
      </c>
      <c r="J8" s="18"/>
      <c r="K8" s="18"/>
    </row>
    <row r="9" spans="1:11" ht="15.75">
      <c r="A9" s="32" t="str">
        <v>CA: Fresno Sequioa - Citi</v>
      </c>
      <c r="B9" s="33" t="str">
        <v>CA</v>
      </c>
      <c r="C9" s="12"/>
      <c r="D9" s="20"/>
      <c r="E9" s="20" t="str">
        <f t="shared" si="0"/>
        <v/>
      </c>
      <c r="F9" s="21" t="str">
        <f t="shared" si="3"/>
        <v/>
      </c>
      <c r="G9" s="22"/>
      <c r="H9" s="22" t="str">
        <f t="shared" si="1"/>
        <v/>
      </c>
      <c r="I9" s="21" t="str">
        <f t="shared" si="2"/>
        <v/>
      </c>
      <c r="J9" s="11"/>
      <c r="K9" s="19"/>
    </row>
    <row r="10" spans="1:11" ht="15.75">
      <c r="A10" s="30" t="str">
        <v>CA: Fresno MOB - Citi</v>
      </c>
      <c r="B10" s="31" t="str">
        <v>CA</v>
      </c>
      <c r="C10" s="26"/>
      <c r="D10" s="14"/>
      <c r="E10" s="14" t="str">
        <f t="shared" si="0"/>
        <v/>
      </c>
      <c r="F10" s="15" t="str">
        <f t="shared" si="3"/>
        <v/>
      </c>
      <c r="G10" s="16"/>
      <c r="H10" s="16" t="str">
        <f t="shared" si="1"/>
        <v/>
      </c>
      <c r="I10" s="17" t="str">
        <f t="shared" si="2"/>
        <v/>
      </c>
      <c r="J10" s="18"/>
      <c r="K10" s="18"/>
    </row>
    <row r="11" spans="1:11" ht="15.75">
      <c r="A11" s="32" t="str">
        <v>CA: Modesto Bangs - Citi</v>
      </c>
      <c r="B11" s="33" t="str">
        <v>CA</v>
      </c>
      <c r="C11" s="12"/>
      <c r="D11" s="20"/>
      <c r="E11" s="20" t="str">
        <f t="shared" si="0"/>
        <v/>
      </c>
      <c r="F11" s="21" t="str">
        <f t="shared" si="3"/>
        <v/>
      </c>
      <c r="G11" s="22"/>
      <c r="H11" s="22" t="str">
        <f t="shared" si="1"/>
        <v/>
      </c>
      <c r="I11" s="21" t="str">
        <f t="shared" si="2"/>
        <v/>
      </c>
      <c r="J11" s="11"/>
      <c r="K11" s="19"/>
    </row>
    <row r="12" spans="1:11" ht="15.75">
      <c r="A12" s="30" t="str">
        <v>CA: Napa Data Center - Citi</v>
      </c>
      <c r="B12" s="31" t="str">
        <v>CA</v>
      </c>
      <c r="C12" s="26"/>
      <c r="D12" s="14"/>
      <c r="E12" s="14" t="str">
        <f t="shared" si="0"/>
        <v/>
      </c>
      <c r="F12" s="15" t="str">
        <f t="shared" si="3"/>
        <v/>
      </c>
      <c r="G12" s="16"/>
      <c r="H12" s="16" t="str">
        <f t="shared" si="1"/>
        <v/>
      </c>
      <c r="I12" s="17" t="str">
        <f t="shared" si="2"/>
        <v/>
      </c>
      <c r="J12" s="18"/>
      <c r="K12" s="18"/>
    </row>
    <row r="13" spans="1:11" ht="15.75">
      <c r="A13" s="32" t="str">
        <v>CA: Petaluma MOB - Citi</v>
      </c>
      <c r="B13" s="33" t="str">
        <v>CA</v>
      </c>
      <c r="C13" s="12"/>
      <c r="D13" s="20"/>
      <c r="E13" s="20" t="str">
        <f t="shared" si="0"/>
        <v/>
      </c>
      <c r="F13" s="21" t="str">
        <f t="shared" si="3"/>
        <v/>
      </c>
      <c r="G13" s="22"/>
      <c r="H13" s="22" t="str">
        <f t="shared" si="1"/>
        <v/>
      </c>
      <c r="I13" s="21" t="str">
        <f t="shared" si="2"/>
        <v/>
      </c>
      <c r="J13" s="11"/>
      <c r="K13" s="19"/>
    </row>
    <row r="14" spans="1:11" ht="15.75">
      <c r="A14" s="30" t="str">
        <v>CA: Pleasanton Tec Ctr - Citi</v>
      </c>
      <c r="B14" s="31" t="str">
        <v>CA</v>
      </c>
      <c r="C14" s="26"/>
      <c r="D14" s="14"/>
      <c r="E14" s="14" t="str">
        <f t="shared" si="0"/>
        <v/>
      </c>
      <c r="F14" s="15" t="str">
        <f t="shared" si="3"/>
        <v/>
      </c>
      <c r="G14" s="16"/>
      <c r="H14" s="16" t="str">
        <f t="shared" si="1"/>
        <v/>
      </c>
      <c r="I14" s="17" t="str">
        <f t="shared" si="2"/>
        <v/>
      </c>
      <c r="J14" s="18"/>
      <c r="K14" s="18"/>
    </row>
    <row r="15" spans="1:11" ht="15.75">
      <c r="A15" s="32" t="str">
        <v>CA: Rancho Cordova - Citi</v>
      </c>
      <c r="B15" s="33" t="str">
        <v>CA</v>
      </c>
      <c r="C15" s="12"/>
      <c r="D15" s="20"/>
      <c r="E15" s="20" t="str">
        <f t="shared" si="0"/>
        <v/>
      </c>
      <c r="F15" s="21" t="str">
        <f t="shared" si="3"/>
        <v/>
      </c>
      <c r="G15" s="22"/>
      <c r="H15" s="22" t="str">
        <f t="shared" si="1"/>
        <v/>
      </c>
      <c r="I15" s="21" t="str">
        <f t="shared" si="2"/>
        <v/>
      </c>
      <c r="J15" s="11"/>
      <c r="K15" s="19"/>
    </row>
    <row r="16" spans="1:11" ht="15.75">
      <c r="A16" s="30" t="str">
        <v>CA: S Sacramento Wyndham - Citi</v>
      </c>
      <c r="B16" s="31" t="str">
        <v>CA</v>
      </c>
      <c r="C16" s="37"/>
      <c r="D16" s="14"/>
      <c r="E16" s="14" t="str">
        <f t="shared" ref="E16:E21" si="4">IF(AND(ISNUMBER(C16),ISNUMBER(D16)), C16-D16, "")</f>
        <v/>
      </c>
      <c r="F16" s="38" t="str">
        <f t="shared" ref="F16:F21" si="5">IFERROR(E16/D16, "")</f>
        <v/>
      </c>
      <c r="G16" s="39"/>
      <c r="H16" s="39" t="str">
        <f t="shared" ref="H16:H21" si="6">IF(AND(ISNUMBER(C16),ISNUMBER(G16)), C16-G16, "")</f>
        <v/>
      </c>
      <c r="I16" s="40" t="str">
        <f t="shared" ref="I16:I21" si="7">IFERROR(H16/G16, "")</f>
        <v/>
      </c>
      <c r="J16" s="41"/>
      <c r="K16" s="41"/>
    </row>
    <row r="17" spans="1:11" ht="15.75">
      <c r="A17" s="32" t="str">
        <v>CA: Sacramento Point West - Citi</v>
      </c>
      <c r="B17" s="33" t="str">
        <v>CA</v>
      </c>
      <c r="C17" s="42"/>
      <c r="D17" s="20"/>
      <c r="E17" s="20" t="str">
        <f t="shared" si="4"/>
        <v/>
      </c>
      <c r="F17" s="43" t="str">
        <f t="shared" si="5"/>
        <v/>
      </c>
      <c r="G17" s="44"/>
      <c r="H17" s="44" t="str">
        <f t="shared" si="6"/>
        <v/>
      </c>
      <c r="I17" s="43" t="str">
        <f t="shared" si="7"/>
        <v/>
      </c>
      <c r="J17" s="11"/>
      <c r="K17" s="19"/>
    </row>
    <row r="18" spans="1:11" ht="12.75" customHeight="1">
      <c r="A18" s="30" t="str">
        <v>CA: San Jose FHC - Citi</v>
      </c>
      <c r="B18" s="31" t="str">
        <v>CA</v>
      </c>
      <c r="C18" s="37"/>
      <c r="D18" s="14"/>
      <c r="E18" s="14" t="str">
        <f t="shared" si="4"/>
        <v/>
      </c>
      <c r="F18" s="38" t="str">
        <f t="shared" si="5"/>
        <v/>
      </c>
      <c r="G18" s="39"/>
      <c r="H18" s="39" t="str">
        <f t="shared" si="6"/>
        <v/>
      </c>
      <c r="I18" s="40" t="str">
        <f t="shared" si="7"/>
        <v/>
      </c>
      <c r="J18" s="41"/>
      <c r="K18" s="41"/>
    </row>
    <row r="19" spans="1:11" ht="15.75">
      <c r="A19" s="32" t="str">
        <v>CA: San Jose MOB - Citi</v>
      </c>
      <c r="B19" s="33" t="str">
        <v>CA</v>
      </c>
      <c r="C19" s="42"/>
      <c r="D19" s="20"/>
      <c r="E19" s="20" t="str">
        <f t="shared" si="4"/>
        <v/>
      </c>
      <c r="F19" s="43" t="str">
        <f t="shared" si="5"/>
        <v/>
      </c>
      <c r="G19" s="44"/>
      <c r="H19" s="44" t="str">
        <f t="shared" si="6"/>
        <v/>
      </c>
      <c r="I19" s="43" t="str">
        <f t="shared" si="7"/>
        <v/>
      </c>
      <c r="J19" s="11"/>
      <c r="K19" s="19"/>
    </row>
    <row r="20" spans="1:11" ht="15.75">
      <c r="A20" s="30" t="str">
        <v>CA: Selma - Citi</v>
      </c>
      <c r="B20" s="31" t="str">
        <v>CA</v>
      </c>
      <c r="C20" s="37"/>
      <c r="D20" s="14"/>
      <c r="E20" s="14" t="str">
        <f t="shared" si="4"/>
        <v/>
      </c>
      <c r="F20" s="38" t="str">
        <f t="shared" si="5"/>
        <v/>
      </c>
      <c r="G20" s="39"/>
      <c r="H20" s="39" t="str">
        <f t="shared" si="6"/>
        <v/>
      </c>
      <c r="I20" s="40" t="str">
        <f t="shared" si="7"/>
        <v/>
      </c>
      <c r="J20" s="41"/>
      <c r="K20" s="41"/>
    </row>
    <row r="21" spans="1:11" ht="15.75">
      <c r="A21" s="32" t="str">
        <v>CA: Vacaville Hospital</v>
      </c>
      <c r="B21" s="33" t="str">
        <v>CA</v>
      </c>
      <c r="C21" s="42"/>
      <c r="D21" s="20"/>
      <c r="E21" s="20" t="str">
        <f t="shared" si="4"/>
        <v/>
      </c>
      <c r="F21" s="43" t="str">
        <f t="shared" si="5"/>
        <v/>
      </c>
      <c r="G21" s="44"/>
      <c r="H21" s="44" t="str">
        <f t="shared" si="6"/>
        <v/>
      </c>
      <c r="I21" s="43" t="str">
        <f t="shared" si="7"/>
        <v/>
      </c>
      <c r="J21" s="11"/>
      <c r="K21" s="19"/>
    </row>
    <row r="22" spans="1:11" ht="15.75">
      <c r="A22" s="30" t="str">
        <v>CA: Manteca - KP Manteca Hospital</v>
      </c>
      <c r="B22" s="31" t="str">
        <v>CA</v>
      </c>
      <c r="C22" s="37"/>
      <c r="D22" s="14"/>
      <c r="E22" s="14"/>
      <c r="F22" s="38"/>
      <c r="G22" s="39"/>
      <c r="H22" s="39"/>
      <c r="I22" s="40"/>
      <c r="J22" s="41"/>
      <c r="K22" s="41"/>
    </row>
    <row r="23" spans="1:11" ht="1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5">
      <c r="A26" s="23"/>
      <c r="B26" s="35"/>
      <c r="C26" s="23"/>
      <c r="D26" s="23"/>
      <c r="E26" s="23"/>
      <c r="F26" s="23"/>
      <c r="G26" s="23"/>
      <c r="H26" s="23"/>
      <c r="I26" s="23"/>
      <c r="J26" s="23"/>
      <c r="K26" s="23"/>
    </row>
    <row r="27" spans="1:11" ht="15">
      <c r="A27" s="23"/>
      <c r="B27" s="35"/>
      <c r="C27" s="23"/>
      <c r="D27" s="23"/>
      <c r="E27" s="23"/>
      <c r="F27" s="23"/>
      <c r="G27" s="23"/>
      <c r="H27" s="23"/>
      <c r="I27" s="23"/>
      <c r="J27" s="23"/>
      <c r="K27" s="23"/>
    </row>
    <row r="28" spans="1:11" ht="15">
      <c r="A28" s="23"/>
      <c r="B28" s="35"/>
      <c r="C28" s="23"/>
      <c r="D28" s="23"/>
      <c r="E28" s="23"/>
      <c r="F28" s="23"/>
      <c r="G28" s="23"/>
      <c r="H28" s="23"/>
      <c r="I28" s="23"/>
      <c r="J28" s="23"/>
      <c r="K28" s="23"/>
    </row>
    <row r="29" spans="1:11" ht="15">
      <c r="A29" s="23"/>
      <c r="B29" s="35"/>
      <c r="C29" s="23"/>
      <c r="D29" s="23"/>
      <c r="E29" s="23"/>
      <c r="F29" s="23"/>
      <c r="G29" s="23"/>
      <c r="H29" s="23"/>
      <c r="I29" s="23"/>
      <c r="J29" s="23"/>
      <c r="K29" s="23"/>
    </row>
    <row r="30" spans="1:11" ht="15">
      <c r="A30" s="23"/>
      <c r="B30" s="35"/>
      <c r="C30" s="23"/>
      <c r="D30" s="23"/>
      <c r="E30" s="23"/>
      <c r="F30" s="23"/>
      <c r="G30" s="23"/>
      <c r="H30" s="23"/>
      <c r="I30" s="23"/>
      <c r="J30" s="23"/>
      <c r="K30" s="23"/>
    </row>
    <row r="31" spans="1:11" ht="15">
      <c r="A31" s="23"/>
      <c r="B31" s="35"/>
      <c r="C31" s="23"/>
      <c r="D31" s="23"/>
      <c r="E31" s="23"/>
      <c r="F31" s="23"/>
      <c r="G31" s="23"/>
      <c r="H31" s="23"/>
      <c r="I31" s="23"/>
      <c r="J31" s="23"/>
      <c r="K31" s="23"/>
    </row>
    <row r="32" spans="1:11" ht="15">
      <c r="A32" s="23"/>
      <c r="B32" s="35"/>
      <c r="C32" s="23"/>
      <c r="D32" s="23"/>
      <c r="E32" s="23"/>
      <c r="F32" s="23"/>
      <c r="G32" s="23"/>
      <c r="H32" s="23"/>
      <c r="I32" s="23"/>
      <c r="J32" s="23"/>
      <c r="K32" s="23"/>
    </row>
    <row r="33" spans="1:11" ht="1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5">
      <c r="A335" s="23"/>
      <c r="B335" s="35"/>
      <c r="C335" s="23"/>
      <c r="D335" s="23"/>
      <c r="E335" s="23"/>
      <c r="F335" s="24"/>
      <c r="G335" s="23"/>
      <c r="H335" s="23"/>
      <c r="I335" s="24"/>
      <c r="J335" s="23"/>
      <c r="K335" s="23"/>
    </row>
    <row r="336" spans="1:11" ht="15">
      <c r="A336" s="23"/>
      <c r="B336" s="35"/>
      <c r="C336" s="23"/>
      <c r="D336" s="23"/>
      <c r="E336" s="23"/>
      <c r="F336" s="24"/>
      <c r="G336" s="23"/>
      <c r="H336" s="23"/>
      <c r="I336" s="24"/>
      <c r="J336" s="23"/>
      <c r="K336" s="23"/>
    </row>
    <row r="337" spans="1:11" ht="15">
      <c r="A337" s="23"/>
      <c r="B337" s="35"/>
      <c r="C337" s="23"/>
      <c r="D337" s="23"/>
      <c r="E337" s="23"/>
      <c r="F337" s="24"/>
      <c r="G337" s="23"/>
      <c r="H337" s="23"/>
      <c r="I337" s="24"/>
      <c r="J337" s="23"/>
      <c r="K337" s="23"/>
    </row>
    <row r="338" spans="1:11" ht="15">
      <c r="A338" s="23"/>
      <c r="B338" s="35"/>
      <c r="C338" s="23"/>
      <c r="D338" s="23"/>
      <c r="E338" s="23"/>
      <c r="F338" s="24"/>
      <c r="G338" s="23"/>
      <c r="H338" s="23"/>
      <c r="I338" s="24"/>
      <c r="J338" s="23"/>
      <c r="K338" s="23"/>
    </row>
    <row r="339" spans="1:11" ht="15">
      <c r="A339" s="23"/>
      <c r="B339" s="35"/>
      <c r="C339" s="23"/>
      <c r="D339" s="23"/>
      <c r="E339" s="23"/>
      <c r="F339" s="24"/>
      <c r="G339" s="23"/>
      <c r="H339" s="23"/>
      <c r="I339" s="24"/>
      <c r="J339" s="23"/>
      <c r="K339" s="23"/>
    </row>
    <row r="340" spans="1:11" ht="15">
      <c r="A340" s="23"/>
      <c r="B340" s="35"/>
      <c r="C340" s="23"/>
      <c r="D340" s="23"/>
      <c r="E340" s="23"/>
      <c r="F340" s="24"/>
      <c r="G340" s="23"/>
      <c r="H340" s="23"/>
      <c r="I340" s="24"/>
      <c r="J340" s="23"/>
      <c r="K340" s="23"/>
    </row>
    <row r="341" spans="1:11" ht="15">
      <c r="A341" s="23"/>
      <c r="B341" s="35"/>
      <c r="C341" s="23"/>
      <c r="D341" s="23"/>
      <c r="E341" s="23"/>
      <c r="F341" s="24"/>
      <c r="G341" s="23"/>
      <c r="H341" s="23"/>
      <c r="I341" s="24"/>
      <c r="J341" s="23"/>
      <c r="K341" s="23"/>
    </row>
    <row r="342" spans="1:11">
      <c r="C342" s="23"/>
      <c r="D342" s="23"/>
      <c r="E342" s="23"/>
      <c r="F342" s="24"/>
      <c r="G342" s="23"/>
      <c r="H342" s="23"/>
      <c r="I342" s="24"/>
      <c r="J342" s="23"/>
      <c r="K342" s="23"/>
    </row>
  </sheetData>
  <mergeCells count="4">
    <mergeCell ref="G1:I1"/>
    <mergeCell ref="A1:C1"/>
    <mergeCell ref="D1:F1"/>
    <mergeCell ref="A2:B2"/>
  </mergeCells>
  <conditionalFormatting sqref="F2 I2 F4:F100 I4:I100">
    <cfRule type="cellIs" dxfId="4" priority="1" stopIfTrue="1" operator="lessThanOrEqual">
      <formula>-0.1</formula>
    </cfRule>
    <cfRule type="expression" dxfId="3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42"/>
  <sheetViews>
    <sheetView workbookViewId="0">
      <pane ySplit="2" topLeftCell="A3" activePane="bottomLeft" state="frozen"/>
      <selection pane="bottomLeft" activeCell="A22" sqref="A22:XFD22"/>
    </sheetView>
  </sheetViews>
  <sheetFormatPr defaultRowHeight="14.25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1" t="str" cm="1">
        <f t="array" ref="A1">portfolio</f>
        <v>CITI</v>
      </c>
      <c r="B1" s="61"/>
      <c r="C1" s="61"/>
      <c r="D1" s="62" t="s">
        <v>62</v>
      </c>
      <c r="E1" s="62"/>
      <c r="F1" s="62"/>
      <c r="G1" s="60" t="s">
        <v>63</v>
      </c>
      <c r="H1" s="60"/>
      <c r="I1" s="60"/>
      <c r="J1" s="5"/>
      <c r="K1" s="5"/>
    </row>
    <row r="2" spans="1:11" ht="19.5" customHeight="1">
      <c r="A2" s="63" t="s">
        <v>2</v>
      </c>
      <c r="B2" s="63"/>
      <c r="C2" s="6">
        <f>SUM(C4:C100)</f>
        <v>0</v>
      </c>
      <c r="D2" s="6">
        <f>SUM(D4:D100)</f>
        <v>0</v>
      </c>
      <c r="E2" s="6">
        <f>C2-D2</f>
        <v>0</v>
      </c>
      <c r="F2" s="7">
        <f>IFERROR(E2/D2, 0)</f>
        <v>0</v>
      </c>
      <c r="G2" s="6">
        <f>SUM(G4:G100)</f>
        <v>0</v>
      </c>
      <c r="H2" s="8">
        <f>C2-G2</f>
        <v>0</v>
      </c>
      <c r="I2" s="7">
        <f>IFERROR(H2/G2, 0)</f>
        <v>0</v>
      </c>
      <c r="J2" s="28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49" t="s">
        <v>6</v>
      </c>
      <c r="E3" s="49" t="s">
        <v>7</v>
      </c>
      <c r="F3" s="50" t="s">
        <v>8</v>
      </c>
      <c r="G3" s="51" t="s">
        <v>9</v>
      </c>
      <c r="H3" s="52" t="s">
        <v>7</v>
      </c>
      <c r="I3" s="53" t="s">
        <v>8</v>
      </c>
      <c r="J3" s="27" t="s">
        <v>20</v>
      </c>
      <c r="K3" s="27" t="s">
        <v>21</v>
      </c>
    </row>
    <row r="4" spans="1:11" ht="15.75">
      <c r="A4" s="34" t="str" cm="1">
        <f t="array" ref="A4:A22">Sites[Site]</f>
        <v>CA: Antioch Deer Valley - Citi</v>
      </c>
      <c r="B4" s="31" t="str" cm="1">
        <f t="array" ref="B4:B22">Sites[State]</f>
        <v>CA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2" t="str">
        <v>CA: Antioch MC CUP - Citi</v>
      </c>
      <c r="B5" s="33" t="str">
        <v>CA</v>
      </c>
      <c r="C5" s="12"/>
      <c r="D5" s="20"/>
      <c r="E5" s="20" t="str">
        <f t="shared" ref="E5:E15" si="0">IF(AND(ISNUMBER(C5),ISNUMBER(D5)), C5-D5, "")</f>
        <v/>
      </c>
      <c r="F5" s="21" t="str">
        <f>IFERROR(E5/D5, "")</f>
        <v/>
      </c>
      <c r="G5" s="22"/>
      <c r="H5" s="22" t="str">
        <f t="shared" ref="H5:H15" si="1">IF(AND(ISNUMBER(C5),ISNUMBER(G5)), C5-G5, "")</f>
        <v/>
      </c>
      <c r="I5" s="21" t="str">
        <f t="shared" ref="I5:I15" si="2">IFERROR(H5/G5, "")</f>
        <v/>
      </c>
      <c r="J5" s="11"/>
      <c r="K5" s="19"/>
    </row>
    <row r="6" spans="1:11" ht="15.75">
      <c r="A6" s="30" t="str">
        <v>CA: Clovis - Citi</v>
      </c>
      <c r="B6" s="31" t="str">
        <v>CA</v>
      </c>
      <c r="C6" s="26"/>
      <c r="D6" s="14"/>
      <c r="E6" s="14" t="str">
        <f t="shared" si="0"/>
        <v/>
      </c>
      <c r="F6" s="15" t="str">
        <f t="shared" ref="F6:F15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5.75">
      <c r="A7" s="32" t="str">
        <v>CA: Elk Grove MOB - Citi</v>
      </c>
      <c r="B7" s="33" t="str">
        <v>CA</v>
      </c>
      <c r="C7" s="12"/>
      <c r="D7" s="20"/>
      <c r="E7" s="20" t="str">
        <f t="shared" si="0"/>
        <v/>
      </c>
      <c r="F7" s="21" t="str">
        <f t="shared" si="3"/>
        <v/>
      </c>
      <c r="G7" s="22"/>
      <c r="H7" s="22" t="str">
        <f t="shared" si="1"/>
        <v/>
      </c>
      <c r="I7" s="21" t="str">
        <f t="shared" si="2"/>
        <v/>
      </c>
      <c r="J7" s="11"/>
      <c r="K7" s="19"/>
    </row>
    <row r="8" spans="1:11" ht="15.75">
      <c r="A8" s="30" t="str">
        <v>CA: Elk Grove Promenade - Citi</v>
      </c>
      <c r="B8" s="31" t="str">
        <v>CA</v>
      </c>
      <c r="C8" s="26"/>
      <c r="D8" s="14"/>
      <c r="E8" s="14" t="str">
        <f t="shared" si="0"/>
        <v/>
      </c>
      <c r="F8" s="15" t="str">
        <f t="shared" si="3"/>
        <v/>
      </c>
      <c r="G8" s="16"/>
      <c r="H8" s="16" t="str">
        <f t="shared" si="1"/>
        <v/>
      </c>
      <c r="I8" s="17" t="str">
        <f t="shared" si="2"/>
        <v/>
      </c>
      <c r="J8" s="18"/>
      <c r="K8" s="18"/>
    </row>
    <row r="9" spans="1:11" ht="15.75">
      <c r="A9" s="32" t="str">
        <v>CA: Fresno Sequioa - Citi</v>
      </c>
      <c r="B9" s="33" t="str">
        <v>CA</v>
      </c>
      <c r="C9" s="12"/>
      <c r="D9" s="20"/>
      <c r="E9" s="20" t="str">
        <f t="shared" si="0"/>
        <v/>
      </c>
      <c r="F9" s="21" t="str">
        <f t="shared" si="3"/>
        <v/>
      </c>
      <c r="G9" s="22"/>
      <c r="H9" s="22" t="str">
        <f t="shared" si="1"/>
        <v/>
      </c>
      <c r="I9" s="21" t="str">
        <f t="shared" si="2"/>
        <v/>
      </c>
      <c r="J9" s="11"/>
      <c r="K9" s="19"/>
    </row>
    <row r="10" spans="1:11" ht="15.75">
      <c r="A10" s="30" t="str">
        <v>CA: Fresno MOB - Citi</v>
      </c>
      <c r="B10" s="31" t="str">
        <v>CA</v>
      </c>
      <c r="C10" s="26"/>
      <c r="D10" s="14"/>
      <c r="E10" s="14" t="str">
        <f t="shared" si="0"/>
        <v/>
      </c>
      <c r="F10" s="15" t="str">
        <f t="shared" si="3"/>
        <v/>
      </c>
      <c r="G10" s="16"/>
      <c r="H10" s="16" t="str">
        <f t="shared" si="1"/>
        <v/>
      </c>
      <c r="I10" s="17" t="str">
        <f t="shared" si="2"/>
        <v/>
      </c>
      <c r="J10" s="18"/>
      <c r="K10" s="18"/>
    </row>
    <row r="11" spans="1:11" ht="15.75">
      <c r="A11" s="32" t="str">
        <v>CA: Modesto Bangs - Citi</v>
      </c>
      <c r="B11" s="33" t="str">
        <v>CA</v>
      </c>
      <c r="C11" s="12"/>
      <c r="D11" s="20"/>
      <c r="E11" s="20" t="str">
        <f t="shared" si="0"/>
        <v/>
      </c>
      <c r="F11" s="21" t="str">
        <f t="shared" si="3"/>
        <v/>
      </c>
      <c r="G11" s="22"/>
      <c r="H11" s="22" t="str">
        <f t="shared" si="1"/>
        <v/>
      </c>
      <c r="I11" s="21" t="str">
        <f t="shared" si="2"/>
        <v/>
      </c>
      <c r="J11" s="11"/>
      <c r="K11" s="19"/>
    </row>
    <row r="12" spans="1:11" ht="15.75">
      <c r="A12" s="30" t="str">
        <v>CA: Napa Data Center - Citi</v>
      </c>
      <c r="B12" s="31" t="str">
        <v>CA</v>
      </c>
      <c r="C12" s="26"/>
      <c r="D12" s="14"/>
      <c r="E12" s="14" t="str">
        <f t="shared" si="0"/>
        <v/>
      </c>
      <c r="F12" s="15" t="str">
        <f t="shared" si="3"/>
        <v/>
      </c>
      <c r="G12" s="16"/>
      <c r="H12" s="16" t="str">
        <f t="shared" si="1"/>
        <v/>
      </c>
      <c r="I12" s="17" t="str">
        <f t="shared" si="2"/>
        <v/>
      </c>
      <c r="J12" s="18"/>
      <c r="K12" s="18"/>
    </row>
    <row r="13" spans="1:11" ht="15.75">
      <c r="A13" s="32" t="str">
        <v>CA: Petaluma MOB - Citi</v>
      </c>
      <c r="B13" s="33" t="str">
        <v>CA</v>
      </c>
      <c r="C13" s="12"/>
      <c r="D13" s="20"/>
      <c r="E13" s="20" t="str">
        <f t="shared" si="0"/>
        <v/>
      </c>
      <c r="F13" s="21" t="str">
        <f t="shared" si="3"/>
        <v/>
      </c>
      <c r="G13" s="22"/>
      <c r="H13" s="22" t="str">
        <f t="shared" si="1"/>
        <v/>
      </c>
      <c r="I13" s="21" t="str">
        <f t="shared" si="2"/>
        <v/>
      </c>
      <c r="J13" s="11"/>
      <c r="K13" s="19"/>
    </row>
    <row r="14" spans="1:11" ht="15.75">
      <c r="A14" s="30" t="str">
        <v>CA: Pleasanton Tec Ctr - Citi</v>
      </c>
      <c r="B14" s="31" t="str">
        <v>CA</v>
      </c>
      <c r="C14" s="26"/>
      <c r="D14" s="14"/>
      <c r="E14" s="14" t="str">
        <f t="shared" si="0"/>
        <v/>
      </c>
      <c r="F14" s="15" t="str">
        <f t="shared" si="3"/>
        <v/>
      </c>
      <c r="G14" s="16"/>
      <c r="H14" s="16" t="str">
        <f t="shared" si="1"/>
        <v/>
      </c>
      <c r="I14" s="17" t="str">
        <f t="shared" si="2"/>
        <v/>
      </c>
      <c r="J14" s="18"/>
      <c r="K14" s="18"/>
    </row>
    <row r="15" spans="1:11" ht="15.75">
      <c r="A15" s="32" t="str">
        <v>CA: Rancho Cordova - Citi</v>
      </c>
      <c r="B15" s="33" t="str">
        <v>CA</v>
      </c>
      <c r="C15" s="12"/>
      <c r="D15" s="20"/>
      <c r="E15" s="20" t="str">
        <f t="shared" si="0"/>
        <v/>
      </c>
      <c r="F15" s="21" t="str">
        <f t="shared" si="3"/>
        <v/>
      </c>
      <c r="G15" s="22"/>
      <c r="H15" s="22" t="str">
        <f t="shared" si="1"/>
        <v/>
      </c>
      <c r="I15" s="21" t="str">
        <f t="shared" si="2"/>
        <v/>
      </c>
      <c r="J15" s="11"/>
      <c r="K15" s="19"/>
    </row>
    <row r="16" spans="1:11" ht="15.75">
      <c r="A16" s="30" t="str">
        <v>CA: S Sacramento Wyndham - Citi</v>
      </c>
      <c r="B16" s="31" t="str">
        <v>CA</v>
      </c>
      <c r="C16" s="37"/>
      <c r="D16" s="14"/>
      <c r="E16" s="14" t="str">
        <f t="shared" ref="E16:E21" si="4">IF(AND(ISNUMBER(C16),ISNUMBER(D16)), C16-D16, "")</f>
        <v/>
      </c>
      <c r="F16" s="38" t="str">
        <f t="shared" ref="F16:F21" si="5">IFERROR(E16/D16, "")</f>
        <v/>
      </c>
      <c r="G16" s="39"/>
      <c r="H16" s="39" t="str">
        <f t="shared" ref="H16:H21" si="6">IF(AND(ISNUMBER(C16),ISNUMBER(G16)), C16-G16, "")</f>
        <v/>
      </c>
      <c r="I16" s="40" t="str">
        <f t="shared" ref="I16:I21" si="7">IFERROR(H16/G16, "")</f>
        <v/>
      </c>
      <c r="J16" s="41"/>
      <c r="K16" s="41"/>
    </row>
    <row r="17" spans="1:11" ht="15.75">
      <c r="A17" s="32" t="str">
        <v>CA: Sacramento Point West - Citi</v>
      </c>
      <c r="B17" s="33" t="str">
        <v>CA</v>
      </c>
      <c r="C17" s="42"/>
      <c r="D17" s="20"/>
      <c r="E17" s="20" t="str">
        <f t="shared" si="4"/>
        <v/>
      </c>
      <c r="F17" s="43" t="str">
        <f t="shared" si="5"/>
        <v/>
      </c>
      <c r="G17" s="44"/>
      <c r="H17" s="44" t="str">
        <f t="shared" si="6"/>
        <v/>
      </c>
      <c r="I17" s="43" t="str">
        <f t="shared" si="7"/>
        <v/>
      </c>
      <c r="J17" s="11"/>
      <c r="K17" s="19"/>
    </row>
    <row r="18" spans="1:11" ht="12.75" customHeight="1">
      <c r="A18" s="30" t="str">
        <v>CA: San Jose FHC - Citi</v>
      </c>
      <c r="B18" s="31" t="str">
        <v>CA</v>
      </c>
      <c r="C18" s="37"/>
      <c r="D18" s="14"/>
      <c r="E18" s="14" t="str">
        <f t="shared" si="4"/>
        <v/>
      </c>
      <c r="F18" s="38" t="str">
        <f t="shared" si="5"/>
        <v/>
      </c>
      <c r="G18" s="39"/>
      <c r="H18" s="39" t="str">
        <f t="shared" si="6"/>
        <v/>
      </c>
      <c r="I18" s="40" t="str">
        <f t="shared" si="7"/>
        <v/>
      </c>
      <c r="J18" s="41"/>
      <c r="K18" s="41"/>
    </row>
    <row r="19" spans="1:11" ht="15.75">
      <c r="A19" s="32" t="str">
        <v>CA: San Jose MOB - Citi</v>
      </c>
      <c r="B19" s="33" t="str">
        <v>CA</v>
      </c>
      <c r="C19" s="42"/>
      <c r="D19" s="20"/>
      <c r="E19" s="20" t="str">
        <f t="shared" si="4"/>
        <v/>
      </c>
      <c r="F19" s="43" t="str">
        <f t="shared" si="5"/>
        <v/>
      </c>
      <c r="G19" s="44"/>
      <c r="H19" s="44" t="str">
        <f t="shared" si="6"/>
        <v/>
      </c>
      <c r="I19" s="43" t="str">
        <f t="shared" si="7"/>
        <v/>
      </c>
      <c r="J19" s="11"/>
      <c r="K19" s="19"/>
    </row>
    <row r="20" spans="1:11" ht="15.75">
      <c r="A20" s="30" t="str">
        <v>CA: Selma - Citi</v>
      </c>
      <c r="B20" s="31" t="str">
        <v>CA</v>
      </c>
      <c r="C20" s="37"/>
      <c r="D20" s="14"/>
      <c r="E20" s="14" t="str">
        <f t="shared" si="4"/>
        <v/>
      </c>
      <c r="F20" s="38" t="str">
        <f t="shared" si="5"/>
        <v/>
      </c>
      <c r="G20" s="39"/>
      <c r="H20" s="39" t="str">
        <f t="shared" si="6"/>
        <v/>
      </c>
      <c r="I20" s="40" t="str">
        <f t="shared" si="7"/>
        <v/>
      </c>
      <c r="J20" s="41"/>
      <c r="K20" s="41"/>
    </row>
    <row r="21" spans="1:11" ht="15.75">
      <c r="A21" s="32" t="str">
        <v>CA: Vacaville Hospital</v>
      </c>
      <c r="B21" s="33" t="str">
        <v>CA</v>
      </c>
      <c r="C21" s="42"/>
      <c r="D21" s="20"/>
      <c r="E21" s="20" t="str">
        <f t="shared" si="4"/>
        <v/>
      </c>
      <c r="F21" s="43" t="str">
        <f t="shared" si="5"/>
        <v/>
      </c>
      <c r="G21" s="44"/>
      <c r="H21" s="44" t="str">
        <f t="shared" si="6"/>
        <v/>
      </c>
      <c r="I21" s="43" t="str">
        <f t="shared" si="7"/>
        <v/>
      </c>
      <c r="J21" s="11"/>
      <c r="K21" s="19"/>
    </row>
    <row r="22" spans="1:11" ht="15.75">
      <c r="A22" s="30" t="str">
        <v>CA: Manteca - KP Manteca Hospital</v>
      </c>
      <c r="B22" s="31" t="str">
        <v>CA</v>
      </c>
      <c r="C22" s="37"/>
      <c r="D22" s="14"/>
      <c r="E22" s="14"/>
      <c r="F22" s="38"/>
      <c r="G22" s="39"/>
      <c r="H22" s="39"/>
      <c r="I22" s="40"/>
      <c r="J22" s="41"/>
      <c r="K22" s="41"/>
    </row>
    <row r="23" spans="1:11" ht="1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5">
      <c r="A26" s="23"/>
      <c r="B26" s="35"/>
      <c r="C26" s="23"/>
      <c r="D26" s="23"/>
      <c r="E26" s="23"/>
      <c r="F26" s="23"/>
      <c r="G26" s="23"/>
      <c r="H26" s="23"/>
      <c r="I26" s="23"/>
      <c r="J26" s="23"/>
      <c r="K26" s="23"/>
    </row>
    <row r="27" spans="1:11" ht="15">
      <c r="A27" s="23"/>
      <c r="B27" s="35"/>
      <c r="C27" s="23"/>
      <c r="D27" s="23"/>
      <c r="E27" s="23"/>
      <c r="F27" s="23"/>
      <c r="G27" s="23"/>
      <c r="H27" s="23"/>
      <c r="I27" s="23"/>
      <c r="J27" s="23"/>
      <c r="K27" s="23"/>
    </row>
    <row r="28" spans="1:11" ht="15">
      <c r="A28" s="23"/>
      <c r="B28" s="35"/>
      <c r="C28" s="23"/>
      <c r="D28" s="23"/>
      <c r="E28" s="23"/>
      <c r="F28" s="23"/>
      <c r="G28" s="23"/>
      <c r="H28" s="23"/>
      <c r="I28" s="23"/>
      <c r="J28" s="23"/>
      <c r="K28" s="23"/>
    </row>
    <row r="29" spans="1:11" ht="15">
      <c r="A29" s="23"/>
      <c r="B29" s="35"/>
      <c r="C29" s="23"/>
      <c r="D29" s="23"/>
      <c r="E29" s="23"/>
      <c r="F29" s="23"/>
      <c r="G29" s="23"/>
      <c r="H29" s="23"/>
      <c r="I29" s="23"/>
      <c r="J29" s="23"/>
      <c r="K29" s="23"/>
    </row>
    <row r="30" spans="1:11" ht="15">
      <c r="A30" s="23"/>
      <c r="B30" s="35"/>
      <c r="C30" s="23"/>
      <c r="D30" s="23"/>
      <c r="E30" s="23"/>
      <c r="F30" s="23"/>
      <c r="G30" s="23"/>
      <c r="H30" s="23"/>
      <c r="I30" s="23"/>
      <c r="J30" s="23"/>
      <c r="K30" s="23"/>
    </row>
    <row r="31" spans="1:11" ht="15">
      <c r="A31" s="23"/>
      <c r="B31" s="35"/>
      <c r="C31" s="23"/>
      <c r="D31" s="23"/>
      <c r="E31" s="23"/>
      <c r="F31" s="23"/>
      <c r="G31" s="23"/>
      <c r="H31" s="23"/>
      <c r="I31" s="23"/>
      <c r="J31" s="23"/>
      <c r="K31" s="23"/>
    </row>
    <row r="32" spans="1:11" ht="15">
      <c r="A32" s="23"/>
      <c r="B32" s="35"/>
      <c r="C32" s="23"/>
      <c r="D32" s="23"/>
      <c r="E32" s="23"/>
      <c r="F32" s="23"/>
      <c r="G32" s="23"/>
      <c r="H32" s="23"/>
      <c r="I32" s="23"/>
      <c r="J32" s="23"/>
      <c r="K32" s="23"/>
    </row>
    <row r="33" spans="1:11" ht="1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5">
      <c r="A335" s="23"/>
      <c r="B335" s="35"/>
      <c r="C335" s="23"/>
      <c r="D335" s="23"/>
      <c r="E335" s="23"/>
      <c r="F335" s="24"/>
      <c r="G335" s="23"/>
      <c r="H335" s="23"/>
      <c r="I335" s="24"/>
      <c r="J335" s="23"/>
      <c r="K335" s="23"/>
    </row>
    <row r="336" spans="1:11" ht="15">
      <c r="A336" s="23"/>
      <c r="B336" s="35"/>
      <c r="C336" s="23"/>
      <c r="D336" s="23"/>
      <c r="E336" s="23"/>
      <c r="F336" s="24"/>
      <c r="G336" s="23"/>
      <c r="H336" s="23"/>
      <c r="I336" s="24"/>
      <c r="J336" s="23"/>
      <c r="K336" s="23"/>
    </row>
    <row r="337" spans="1:11" ht="15">
      <c r="A337" s="23"/>
      <c r="B337" s="35"/>
      <c r="C337" s="23"/>
      <c r="D337" s="23"/>
      <c r="E337" s="23"/>
      <c r="F337" s="24"/>
      <c r="G337" s="23"/>
      <c r="H337" s="23"/>
      <c r="I337" s="24"/>
      <c r="J337" s="23"/>
      <c r="K337" s="23"/>
    </row>
    <row r="338" spans="1:11" ht="15">
      <c r="A338" s="23"/>
      <c r="B338" s="35"/>
      <c r="C338" s="23"/>
      <c r="D338" s="23"/>
      <c r="E338" s="23"/>
      <c r="F338" s="24"/>
      <c r="G338" s="23"/>
      <c r="H338" s="23"/>
      <c r="I338" s="24"/>
      <c r="J338" s="23"/>
      <c r="K338" s="23"/>
    </row>
    <row r="339" spans="1:11" ht="15">
      <c r="A339" s="23"/>
      <c r="B339" s="35"/>
      <c r="C339" s="23"/>
      <c r="D339" s="23"/>
      <c r="E339" s="23"/>
      <c r="F339" s="24"/>
      <c r="G339" s="23"/>
      <c r="H339" s="23"/>
      <c r="I339" s="24"/>
      <c r="J339" s="23"/>
      <c r="K339" s="23"/>
    </row>
    <row r="340" spans="1:11" ht="15">
      <c r="A340" s="23"/>
      <c r="B340" s="35"/>
      <c r="C340" s="23"/>
      <c r="D340" s="23"/>
      <c r="E340" s="23"/>
      <c r="F340" s="24"/>
      <c r="G340" s="23"/>
      <c r="H340" s="23"/>
      <c r="I340" s="24"/>
      <c r="J340" s="23"/>
      <c r="K340" s="23"/>
    </row>
    <row r="341" spans="1:11" ht="15">
      <c r="A341" s="23"/>
      <c r="B341" s="35"/>
      <c r="C341" s="23"/>
      <c r="D341" s="23"/>
      <c r="E341" s="23"/>
      <c r="F341" s="24"/>
      <c r="G341" s="23"/>
      <c r="H341" s="23"/>
      <c r="I341" s="24"/>
      <c r="J341" s="23"/>
      <c r="K341" s="23"/>
    </row>
    <row r="342" spans="1:11">
      <c r="C342" s="23"/>
      <c r="D342" s="23"/>
      <c r="E342" s="23"/>
      <c r="F342" s="24"/>
      <c r="G342" s="23"/>
      <c r="H342" s="23"/>
      <c r="I342" s="24"/>
      <c r="J342" s="23"/>
      <c r="K342" s="23"/>
    </row>
  </sheetData>
  <mergeCells count="4">
    <mergeCell ref="G1:I1"/>
    <mergeCell ref="A1:C1"/>
    <mergeCell ref="D1:F1"/>
    <mergeCell ref="A2:B2"/>
  </mergeCells>
  <conditionalFormatting sqref="F2 I2 F4:F100 I4:I100">
    <cfRule type="cellIs" dxfId="2" priority="1" stopIfTrue="1" operator="lessThanOrEqual">
      <formula>-0.1</formula>
    </cfRule>
    <cfRule type="expression" dxfId="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F22"/>
  <sheetViews>
    <sheetView workbookViewId="0">
      <pane ySplit="3" topLeftCell="A4" activePane="bottomLeft" state="frozen"/>
      <selection pane="bottomLeft" activeCell="B28" sqref="B28"/>
    </sheetView>
  </sheetViews>
  <sheetFormatPr defaultRowHeight="12.75" customHeight="1"/>
  <cols>
    <col min="1" max="2" width="41.85546875" customWidth="1"/>
    <col min="4" max="4" width="9.140625" customWidth="1"/>
    <col min="5" max="5" width="18.28515625" customWidth="1"/>
    <col min="6" max="13" width="9.140625" customWidth="1"/>
  </cols>
  <sheetData>
    <row r="1" spans="1:6" ht="12.75" customHeight="1">
      <c r="A1" t="s">
        <v>64</v>
      </c>
      <c r="B1" t="s">
        <v>65</v>
      </c>
    </row>
    <row r="3" spans="1:6">
      <c r="A3" t="s">
        <v>66</v>
      </c>
      <c r="B3" t="s">
        <v>3</v>
      </c>
      <c r="C3" t="s">
        <v>4</v>
      </c>
      <c r="D3" t="s">
        <v>67</v>
      </c>
      <c r="E3" s="2" t="s">
        <v>68</v>
      </c>
    </row>
    <row r="4" spans="1:6" ht="15">
      <c r="A4" t="s">
        <v>69</v>
      </c>
      <c r="B4" t="s">
        <v>70</v>
      </c>
      <c r="C4" s="4" t="s">
        <v>71</v>
      </c>
      <c r="F4" s="3"/>
    </row>
    <row r="5" spans="1:6" ht="15">
      <c r="A5" t="s">
        <v>72</v>
      </c>
      <c r="B5" t="s">
        <v>73</v>
      </c>
      <c r="C5" s="4" t="s">
        <v>71</v>
      </c>
      <c r="F5" s="3"/>
    </row>
    <row r="6" spans="1:6" ht="15">
      <c r="A6" t="s">
        <v>74</v>
      </c>
      <c r="B6" t="s">
        <v>75</v>
      </c>
      <c r="C6" s="4" t="s">
        <v>71</v>
      </c>
      <c r="F6" s="3"/>
    </row>
    <row r="7" spans="1:6" ht="12.75" customHeight="1">
      <c r="A7" t="s">
        <v>76</v>
      </c>
      <c r="B7" t="s">
        <v>77</v>
      </c>
      <c r="C7" s="4" t="s">
        <v>71</v>
      </c>
    </row>
    <row r="8" spans="1:6" ht="12.75" customHeight="1">
      <c r="A8" t="s">
        <v>78</v>
      </c>
      <c r="B8" t="s">
        <v>79</v>
      </c>
      <c r="C8" s="4" t="s">
        <v>71</v>
      </c>
    </row>
    <row r="9" spans="1:6" ht="12.75" customHeight="1">
      <c r="A9" t="s">
        <v>80</v>
      </c>
      <c r="B9" t="s">
        <v>81</v>
      </c>
      <c r="C9" s="4" t="s">
        <v>71</v>
      </c>
    </row>
    <row r="10" spans="1:6" ht="12.75" customHeight="1">
      <c r="A10" t="s">
        <v>82</v>
      </c>
      <c r="B10" t="s">
        <v>83</v>
      </c>
      <c r="C10" s="4" t="s">
        <v>71</v>
      </c>
    </row>
    <row r="11" spans="1:6" ht="12.75" customHeight="1">
      <c r="A11" t="s">
        <v>84</v>
      </c>
      <c r="B11" t="s">
        <v>85</v>
      </c>
      <c r="C11" s="4" t="s">
        <v>71</v>
      </c>
    </row>
    <row r="12" spans="1:6" ht="12.75" customHeight="1">
      <c r="A12" t="s">
        <v>86</v>
      </c>
      <c r="B12" t="s">
        <v>87</v>
      </c>
      <c r="C12" s="4" t="s">
        <v>71</v>
      </c>
    </row>
    <row r="13" spans="1:6" ht="12.75" customHeight="1">
      <c r="A13" t="s">
        <v>88</v>
      </c>
      <c r="B13" t="s">
        <v>89</v>
      </c>
      <c r="C13" s="4" t="s">
        <v>71</v>
      </c>
    </row>
    <row r="14" spans="1:6" ht="12.75" customHeight="1">
      <c r="A14" t="s">
        <v>90</v>
      </c>
      <c r="B14" t="s">
        <v>91</v>
      </c>
      <c r="C14" s="4" t="s">
        <v>71</v>
      </c>
    </row>
    <row r="15" spans="1:6" ht="12.75" customHeight="1">
      <c r="A15" t="s">
        <v>92</v>
      </c>
      <c r="B15" t="s">
        <v>93</v>
      </c>
      <c r="C15" s="4" t="s">
        <v>71</v>
      </c>
    </row>
    <row r="16" spans="1:6" ht="12.75" customHeight="1">
      <c r="A16" t="s">
        <v>94</v>
      </c>
      <c r="B16" t="s">
        <v>95</v>
      </c>
      <c r="C16" s="4" t="s">
        <v>71</v>
      </c>
    </row>
    <row r="17" spans="1:3" ht="12.75" customHeight="1">
      <c r="A17" t="s">
        <v>96</v>
      </c>
      <c r="B17" t="s">
        <v>97</v>
      </c>
      <c r="C17" s="4" t="s">
        <v>71</v>
      </c>
    </row>
    <row r="18" spans="1:3" ht="12.75" customHeight="1">
      <c r="A18" t="s">
        <v>98</v>
      </c>
      <c r="B18" t="s">
        <v>99</v>
      </c>
      <c r="C18" s="4" t="s">
        <v>71</v>
      </c>
    </row>
    <row r="19" spans="1:3" ht="12.75" customHeight="1">
      <c r="A19" t="s">
        <v>100</v>
      </c>
      <c r="B19" t="s">
        <v>101</v>
      </c>
      <c r="C19" s="4" t="s">
        <v>71</v>
      </c>
    </row>
    <row r="20" spans="1:3" ht="12.75" customHeight="1">
      <c r="A20" t="s">
        <v>102</v>
      </c>
      <c r="B20" t="s">
        <v>103</v>
      </c>
      <c r="C20" s="4" t="s">
        <v>71</v>
      </c>
    </row>
    <row r="21" spans="1:3" ht="12.75" customHeight="1">
      <c r="A21" t="s">
        <v>104</v>
      </c>
      <c r="B21" t="s">
        <v>105</v>
      </c>
      <c r="C21" s="4" t="s">
        <v>71</v>
      </c>
    </row>
    <row r="22" spans="1:3" ht="12.75" customHeight="1">
      <c r="A22" s="56" t="s">
        <v>106</v>
      </c>
      <c r="B22" t="s">
        <v>107</v>
      </c>
      <c r="C22" s="4" t="s">
        <v>71</v>
      </c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��
</file>

<file path=customXml/item3.xml>��
</file>

<file path=customXml/item4.xml>��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6.xml>��
</file>

<file path=customXml/item7.xml>��
</file>

<file path=customXml/item8.xml>��
</file>

<file path=customXml/item9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C0BCDC1E-6052-4E48-9BAF-94A40814E7C2}"/>
</file>

<file path=customXml/itemProps2.xml><?xml version="1.0" encoding="utf-8"?>
<ds:datastoreItem xmlns:ds="http://schemas.openxmlformats.org/officeDocument/2006/customXml" ds:itemID="{F6B2B1A1-1C4B-4AC9-9A7D-7A102DD1C942}"/>
</file>

<file path=customXml/itemProps3.xml><?xml version="1.0" encoding="utf-8"?>
<ds:datastoreItem xmlns:ds="http://schemas.openxmlformats.org/officeDocument/2006/customXml" ds:itemID="{66B09F59-6532-46F8-924A-9A02417E070D}"/>
</file>

<file path=customXml/itemProps4.xml><?xml version="1.0" encoding="utf-8"?>
<ds:datastoreItem xmlns:ds="http://schemas.openxmlformats.org/officeDocument/2006/customXml" ds:itemID="{0389C43E-394D-44C0-87DC-4780FCFCFB40}"/>
</file>

<file path=customXml/itemProps5.xml><?xml version="1.0" encoding="utf-8"?>
<ds:datastoreItem xmlns:ds="http://schemas.openxmlformats.org/officeDocument/2006/customXml" ds:itemID="{8D732231-4216-4543-A665-18A2886B0EB7}"/>
</file>

<file path=customXml/itemProps6.xml><?xml version="1.0" encoding="utf-8"?>
<ds:datastoreItem xmlns:ds="http://schemas.openxmlformats.org/officeDocument/2006/customXml" ds:itemID="{98A113BB-8B7A-453C-8BD4-8EFC67FC2D3F}"/>
</file>

<file path=customXml/itemProps7.xml><?xml version="1.0" encoding="utf-8"?>
<ds:datastoreItem xmlns:ds="http://schemas.openxmlformats.org/officeDocument/2006/customXml" ds:itemID="{CB52044A-5C0B-44A2-99D0-C1C315EC302D}"/>
</file>

<file path=customXml/itemProps8.xml><?xml version="1.0" encoding="utf-8"?>
<ds:datastoreItem xmlns:ds="http://schemas.openxmlformats.org/officeDocument/2006/customXml" ds:itemID="{1954BBA4-0359-438C-B0EC-A756015F7C02}"/>
</file>

<file path=customXml/itemProps9.xml><?xml version="1.0" encoding="utf-8"?>
<ds:datastoreItem xmlns:ds="http://schemas.openxmlformats.org/officeDocument/2006/customXml" ds:itemID="{7946C510-7D04-49D8-9B25-EEC04582A1CA}"/>
</file>

<file path=customXml/itemProps10.xml><?xml version="1.0" encoding="utf-8"?>
<ds:datastoreItem xmlns:ds="http://schemas.openxmlformats.org/officeDocument/2006/customXml" ds:itemID="{89CF5C07-45EB-4100-9AFB-2C6AF77FA787}"/>
</file>

<file path=customXml/itemProps11.xml><?xml version="1.0" encoding="utf-8"?>
<ds:datastoreItem xmlns:ds="http://schemas.openxmlformats.org/officeDocument/2006/customXml" ds:itemID="{2BC74AAC-D69B-4AF1-9649-B21EF3C1C463}"/>
</file>

<file path=customXml/itemProps12.xml><?xml version="1.0" encoding="utf-8"?>
<ds:datastoreItem xmlns:ds="http://schemas.openxmlformats.org/officeDocument/2006/customXml" ds:itemID="{BE26B669-A686-459C-A5E9-FEC3409C4C81}"/>
</file>

<file path=customXml/itemProps13.xml><?xml version="1.0" encoding="utf-8"?>
<ds:datastoreItem xmlns:ds="http://schemas.openxmlformats.org/officeDocument/2006/customXml" ds:itemID="{E20E8303-6A67-485C-B6F4-303542CC295C}"/>
</file>

<file path=customXml/itemProps14.xml><?xml version="1.0" encoding="utf-8"?>
<ds:datastoreItem xmlns:ds="http://schemas.openxmlformats.org/officeDocument/2006/customXml" ds:itemID="{3AEAA9D8-2182-46BA-A58E-96C72DDA1C54}"/>
</file>

<file path=customXml/itemProps15.xml><?xml version="1.0" encoding="utf-8"?>
<ds:datastoreItem xmlns:ds="http://schemas.openxmlformats.org/officeDocument/2006/customXml" ds:itemID="{078388C9-06F9-42F4-B857-EF76B5CAF1FD}"/>
</file>

<file path=customXml/itemProps16.xml><?xml version="1.0" encoding="utf-8"?>
<ds:datastoreItem xmlns:ds="http://schemas.openxmlformats.org/officeDocument/2006/customXml" ds:itemID="{E3716282-BFD2-4ED2-BA47-BFA1123827F0}"/>
</file>

<file path=customXml/itemProps17.xml><?xml version="1.0" encoding="utf-8"?>
<ds:datastoreItem xmlns:ds="http://schemas.openxmlformats.org/officeDocument/2006/customXml" ds:itemID="{D3A7101F-9A85-4235-8B03-415370C100B2}"/>
</file>

<file path=customXml/itemProps18.xml><?xml version="1.0" encoding="utf-8"?>
<ds:datastoreItem xmlns:ds="http://schemas.openxmlformats.org/officeDocument/2006/customXml" ds:itemID="{F12EFA50-0068-4A8C-85A0-F1B26389EBC3}"/>
</file>

<file path=customXml/itemProps19.xml><?xml version="1.0" encoding="utf-8"?>
<ds:datastoreItem xmlns:ds="http://schemas.openxmlformats.org/officeDocument/2006/customXml" ds:itemID="{14966E4F-347B-477B-B74C-9DAC05405806}"/>
</file>

<file path=customXml/itemProps20.xml><?xml version="1.0" encoding="utf-8"?>
<ds:datastoreItem xmlns:ds="http://schemas.openxmlformats.org/officeDocument/2006/customXml" ds:itemID="{BF5C6359-7763-4C37-8EAF-2BC4698CB28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Yatin Bhoite [Libsys]</cp:lastModifiedBy>
  <cp:revision/>
  <dcterms:created xsi:type="dcterms:W3CDTF">2021-01-01T16:39:53Z</dcterms:created>
  <dcterms:modified xsi:type="dcterms:W3CDTF">2024-04-07T07:20:04Z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