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8577FD2-18AF-4661-86F2-2E9C968D0A2A}" xr6:coauthVersionLast="47" xr6:coauthVersionMax="47" xr10:uidLastSave="{00000000-0000-0000-0000-000000000000}"/>
  <bookViews>
    <workbookView xWindow="28690" yWindow="-8520" windowWidth="34620" windowHeight="1390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" l="1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E17" i="18" s="1"/>
  <c r="F17" i="18" s="1"/>
  <c r="D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E22" i="34" l="1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E16" i="29" s="1"/>
  <c r="F16" i="29" s="1"/>
  <c r="D16" i="29"/>
  <c r="C17" i="29"/>
  <c r="D17" i="29"/>
  <c r="E17" i="29"/>
  <c r="F17" i="29"/>
  <c r="C16" i="18"/>
  <c r="D16" i="18"/>
  <c r="E16" i="18" s="1"/>
  <c r="F16" i="18" s="1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E11" i="18" s="1"/>
  <c r="F11" i="18" s="1"/>
  <c r="D10" i="18"/>
  <c r="D2" i="18" s="1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F12" i="4"/>
  <c r="E12" i="4"/>
  <c r="H11" i="4"/>
  <c r="I11" i="4" s="1"/>
  <c r="E11" i="4"/>
  <c r="F11" i="4" s="1"/>
  <c r="H10" i="4"/>
  <c r="I10" i="4" s="1"/>
  <c r="E10" i="4"/>
  <c r="F10" i="4" s="1"/>
  <c r="I9" i="4"/>
  <c r="H9" i="4"/>
  <c r="E9" i="4"/>
  <c r="F9" i="4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1" l="1"/>
  <c r="F23" i="1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E19" i="30"/>
  <c r="F19" i="30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E21" i="30"/>
  <c r="F21" i="30" s="1"/>
  <c r="E21" i="1"/>
  <c r="F21" i="1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<sst xmlns="http://schemas.openxmlformats.org/spreadsheetml/2006/main" count="406" uniqueCount="116">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</sst>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38 DN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SUM(C4:C99)</f>
        <v>3977782.2499999995</v>
      </c>
      <c r="D2" s="5">
        <f>SUM(D4:D99)</f>
        <v>5658062.2299999995</v>
      </c>
      <c r="E2" s="5">
        <f>C2-D2</f>
        <v>-1680279.98</v>
      </c>
      <c r="F2" s="6">
        <f>IFERROR(E2/D2, 0)</f>
        <v>-0.29697092603380576</v>
      </c>
      <c r="G2" s="5">
        <f>SUM(G4:G99)</f>
        <v>5241855.089999998</v>
      </c>
      <c r="H2" s="7">
        <f>C2-G2</f>
        <v>-1264072.8399999985</v>
      </c>
      <c r="I2" s="6">
        <f>IFERROR(H2/G2, 0)</f>
        <v>-0.24114990176121007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242503</v>
      </c>
      <c r="D4" s="37">
        <f>SUM('1st Qtr'!D4, '2nd Qtr'!D4, '3rd Qtr'!D4, '4th Qtr'!D4)</f>
        <v>207367.59999999998</v>
      </c>
      <c r="E4" s="37">
        <f>IF(AND(ISNUMBER(C4),ISNUMBER(D4)), C4-D4, "")</f>
        <v>35135.400000000023</v>
      </c>
      <c r="F4" s="38">
        <f>IFERROR(E4/D4, "")</f>
        <v>0.16943534091150222</v>
      </c>
      <c r="G4" s="39">
        <f>SUM('1st Qtr'!G4, '2nd Qtr'!G4, '3rd Qtr'!G4, '4th Qtr'!G4)</f>
        <v>293749.09999999998</v>
      </c>
      <c r="H4" s="39">
        <f>SUM('1st Qtr'!H4, '2nd Qtr'!H4, '3rd Qtr'!H4, '4th Qtr'!H4)</f>
        <v>-51246.100000000006</v>
      </c>
      <c r="I4" s="40">
        <f>IFERROR(H4/G4, "")</f>
        <v>-0.17445534301211479</v>
      </c>
    </row>
    <row r="5" spans="1:9" ht="15.75">
      <c r="A5" s="41" t="str">
        <v>Barton Acres</v>
      </c>
      <c r="B5" s="42" t="str">
        <v>MA</v>
      </c>
      <c r="C5" s="43">
        <f>SUM(Jan!C5, Feb!C5, Mar!C5)</f>
        <v>140015</v>
      </c>
      <c r="D5" s="44">
        <f>SUM(Jan!D5, Feb!D5, Mar!D5)</f>
        <v>244885.34</v>
      </c>
      <c r="E5" s="44">
        <f t="shared" ref="E5:E15" si="0">IF(AND(ISNUMBER(C5),ISNUMBER(D5)), C5-D5, "")</f>
        <v>-104870.34</v>
      </c>
      <c r="F5" s="45">
        <f>IFERROR(E5/D5, "")</f>
        <v>-0.42824262162855481</v>
      </c>
      <c r="G5" s="46">
        <f>SUM('1st Qtr'!G5, '2nd Qtr'!G5, '3rd Qtr'!G5, '4th Qtr'!G5)</f>
        <v>167633.43</v>
      </c>
      <c r="H5" s="46">
        <f>SUM(Jan!H5, Feb!H5, Mar!H5)</f>
        <v>-27618.429999999993</v>
      </c>
      <c r="I5" s="45">
        <f>IFERROR(H5/G5, "")</f>
        <v>-0.16475490598742742</v>
      </c>
    </row>
    <row r="6" spans="1:9" ht="15.75">
      <c r="A6" s="34" t="str">
        <v>Bowden</v>
      </c>
      <c r="B6" s="35" t="str">
        <v>MA</v>
      </c>
      <c r="C6" s="36">
        <f>SUM(Jan!C6, Feb!C6, Mar!C6)</f>
        <v>309315</v>
      </c>
      <c r="D6" s="37">
        <f>SUM(Jan!D6, Feb!D6, Mar!D6)</f>
        <v>398903.9</v>
      </c>
      <c r="E6" s="37">
        <f t="shared" si="0"/>
        <v>-89588.900000000023</v>
      </c>
      <c r="F6" s="38">
        <f t="shared" ref="F6:F15" si="1">IFERROR(E6/D6, "")</f>
        <v>-0.22458767638020088</v>
      </c>
      <c r="G6" s="39">
        <f>SUM('1st Qtr'!G6, '2nd Qtr'!G6, '3rd Qtr'!G6, '4th Qtr'!G6)</f>
        <v>384551.19999999995</v>
      </c>
      <c r="H6" s="39">
        <f>SUM(Jan!H6, Feb!H6, Mar!H6)</f>
        <v>-75236.199999999983</v>
      </c>
      <c r="I6" s="40">
        <f t="shared" ref="I6:I15" si="2">IFERROR(H6/G6, "")</f>
        <v>-0.19564676953289964</v>
      </c>
    </row>
    <row r="7" spans="1:9" ht="15.75">
      <c r="A7" s="41" t="str">
        <v>Blair Wire Village</v>
      </c>
      <c r="B7" s="42" t="str">
        <v>MA</v>
      </c>
      <c r="C7" s="43">
        <f>SUM(Jan!C7, Feb!C7, Mar!C7)</f>
        <v>150889</v>
      </c>
      <c r="D7" s="44">
        <f>SUM(Jan!D7, Feb!D7, Mar!D7)</f>
        <v>264179.88</v>
      </c>
      <c r="E7" s="44">
        <f t="shared" si="0"/>
        <v>-113290.88</v>
      </c>
      <c r="F7" s="45">
        <f t="shared" si="1"/>
        <v>-0.42883992528121373</v>
      </c>
      <c r="G7" s="46">
        <f>SUM('1st Qtr'!G7, '2nd Qtr'!G7, '3rd Qtr'!G7, '4th Qtr'!G7)</f>
        <v>191298.34</v>
      </c>
      <c r="H7" s="46">
        <f>SUM(Jan!H7, Feb!H7, Mar!H7)</f>
        <v>-40409.339999999997</v>
      </c>
      <c r="I7" s="45">
        <f t="shared" si="2"/>
        <v>-0.21123727471968654</v>
      </c>
    </row>
    <row r="8" spans="1:9" ht="15.75">
      <c r="A8" s="34" t="str">
        <v>Boutilier</v>
      </c>
      <c r="B8" s="35" t="str">
        <v>MA</v>
      </c>
      <c r="C8" s="36">
        <f>SUM(Jan!C8, Feb!C8, Mar!C8)</f>
        <v>418029</v>
      </c>
      <c r="D8" s="37">
        <f>SUM(Jan!D8, Feb!D8, Mar!D8)</f>
        <v>507903.5</v>
      </c>
      <c r="E8" s="37">
        <f t="shared" si="0"/>
        <v>-89874.5</v>
      </c>
      <c r="F8" s="38">
        <f t="shared" si="1"/>
        <v>-0.17695192098499027</v>
      </c>
      <c r="G8" s="39">
        <f>SUM('1st Qtr'!G8, '2nd Qtr'!G8, '3rd Qtr'!G8, '4th Qtr'!G8)</f>
        <v>460177</v>
      </c>
      <c r="H8" s="39">
        <f>SUM(Jan!H8, Feb!H8, Mar!H8)</f>
        <v>-42148</v>
      </c>
      <c r="I8" s="40">
        <f t="shared" si="2"/>
        <v>-9.1590844392483758E-2</v>
      </c>
    </row>
    <row r="9" spans="1:9" ht="15.75">
      <c r="A9" s="41" t="str">
        <v>Cherry Valley</v>
      </c>
      <c r="B9" s="42" t="str">
        <v>MA</v>
      </c>
      <c r="C9" s="43">
        <f>SUM(Jan!C9, Feb!C9, Mar!C9)</f>
        <v>138012</v>
      </c>
      <c r="D9" s="44">
        <f>SUM(Jan!D9, Feb!D9, Mar!D9)</f>
        <v>257641.22000000003</v>
      </c>
      <c r="E9" s="44">
        <f t="shared" si="0"/>
        <v>-119629.22000000003</v>
      </c>
      <c r="F9" s="45">
        <f t="shared" si="1"/>
        <v>-0.46432484677723546</v>
      </c>
      <c r="G9" s="46">
        <f>SUM('1st Qtr'!G9, '2nd Qtr'!G9, '3rd Qtr'!G9, '4th Qtr'!G9)</f>
        <v>181710</v>
      </c>
      <c r="H9" s="46">
        <f>SUM(Jan!H9, Feb!H9, Mar!H9)</f>
        <v>-43698</v>
      </c>
      <c r="I9" s="45">
        <f t="shared" si="2"/>
        <v>-0.2404820868416708</v>
      </c>
    </row>
    <row r="10" spans="1:9" ht="15.75">
      <c r="A10" s="34" t="str">
        <v>Cohasse</v>
      </c>
      <c r="B10" s="35" t="str">
        <v>MA</v>
      </c>
      <c r="C10" s="36">
        <f>SUM(Jan!C10, Feb!C10, Mar!C10)</f>
        <v>143621</v>
      </c>
      <c r="D10" s="37">
        <f>SUM(Jan!D10, Feb!D10, Mar!D10)</f>
        <v>240526.14</v>
      </c>
      <c r="E10" s="37">
        <f t="shared" si="0"/>
        <v>-96905.140000000014</v>
      </c>
      <c r="F10" s="38">
        <f t="shared" si="1"/>
        <v>-0.40288818504300616</v>
      </c>
      <c r="G10" s="39">
        <f>SUM('1st Qtr'!G10, '2nd Qtr'!G10, '3rd Qtr'!G10, '4th Qtr'!G10)</f>
        <v>249939.1</v>
      </c>
      <c r="H10" s="39">
        <f>SUM(Jan!H10, Feb!H10, Mar!H10)</f>
        <v>-106318.1</v>
      </c>
      <c r="I10" s="40">
        <f t="shared" si="2"/>
        <v>-0.42537602159886151</v>
      </c>
    </row>
    <row r="11" spans="1:9" ht="15.75">
      <c r="A11" s="41" t="str">
        <v>ISM Dighton Solar 2</v>
      </c>
      <c r="B11" s="42" t="str">
        <v>MA</v>
      </c>
      <c r="C11" s="43">
        <f>SUM(Jan!C11, Feb!C11, Mar!C11)</f>
        <v>369601</v>
      </c>
      <c r="D11" s="44">
        <f>SUM(Jan!D11, Feb!D11, Mar!D11)</f>
        <v>446240.69999999995</v>
      </c>
      <c r="E11" s="44">
        <f t="shared" si="0"/>
        <v>-76639.699999999953</v>
      </c>
      <c r="F11" s="45">
        <f t="shared" si="1"/>
        <v>-0.17174520387763814</v>
      </c>
      <c r="G11" s="46">
        <f>SUM('1st Qtr'!G11, '2nd Qtr'!G11, '3rd Qtr'!G11, '4th Qtr'!G11)</f>
        <v>422669.69999999995</v>
      </c>
      <c r="H11" s="46">
        <f>SUM(Jan!H11, Feb!H11, Mar!H11)</f>
        <v>-53068.699999999983</v>
      </c>
      <c r="I11" s="45">
        <f t="shared" si="2"/>
        <v>-0.12555596012678455</v>
      </c>
    </row>
    <row r="12" spans="1:9" ht="15.75">
      <c r="A12" s="34" t="str">
        <v>Dudley River 1</v>
      </c>
      <c r="B12" s="35" t="str">
        <v>MA</v>
      </c>
      <c r="C12" s="36">
        <f>SUM(Jan!C12, Feb!C12, Mar!C12)</f>
        <v>162350</v>
      </c>
      <c r="D12" s="37">
        <f>SUM(Jan!D12, Feb!D12, Mar!D12)</f>
        <v>207552.9</v>
      </c>
      <c r="E12" s="37">
        <f t="shared" si="0"/>
        <v>-45202.899999999994</v>
      </c>
      <c r="F12" s="38">
        <f t="shared" si="1"/>
        <v>-0.21778977793131291</v>
      </c>
      <c r="G12" s="39">
        <f>SUM('1st Qtr'!G12, '2nd Qtr'!G12, '3rd Qtr'!G12, '4th Qtr'!G12)</f>
        <v>193665.63</v>
      </c>
      <c r="H12" s="39">
        <f>SUM(Jan!H12, Feb!H12, Mar!H12)</f>
        <v>-31315.62999999999</v>
      </c>
      <c r="I12" s="40">
        <f t="shared" si="2"/>
        <v>-0.16169947140336666</v>
      </c>
    </row>
    <row r="13" spans="1:9" ht="15.75">
      <c r="A13" s="41" t="str">
        <v>Dudley River 2</v>
      </c>
      <c r="B13" s="42" t="str">
        <v>MA</v>
      </c>
      <c r="C13" s="43">
        <f>SUM(Jan!C13, Feb!C13, Mar!C13)</f>
        <v>158989</v>
      </c>
      <c r="D13" s="44">
        <f>SUM(Jan!D13, Feb!D13, Mar!D13)</f>
        <v>208432.07</v>
      </c>
      <c r="E13" s="44">
        <f t="shared" si="0"/>
        <v>-49443.070000000007</v>
      </c>
      <c r="F13" s="45">
        <f t="shared" si="1"/>
        <v>-0.23721431159801851</v>
      </c>
      <c r="G13" s="46">
        <f>SUM('1st Qtr'!G13, '2nd Qtr'!G13, '3rd Qtr'!G13, '4th Qtr'!G13)</f>
        <v>186479.72999999998</v>
      </c>
      <c r="H13" s="46">
        <f>SUM(Jan!H13, Feb!H13, Mar!H13)</f>
        <v>-27490.729999999996</v>
      </c>
      <c r="I13" s="45">
        <f t="shared" si="2"/>
        <v>-0.14741940048926497</v>
      </c>
    </row>
    <row r="14" spans="1:9" ht="15.75">
      <c r="A14" s="34" t="str">
        <v>Dudley River 3</v>
      </c>
      <c r="B14" s="35" t="str">
        <v>MA</v>
      </c>
      <c r="C14" s="36">
        <f>SUM(Jan!C14, Feb!C14, Mar!C14)</f>
        <v>175322</v>
      </c>
      <c r="D14" s="37">
        <f>SUM(Jan!D14, Feb!D14, Mar!D14)</f>
        <v>210823.72999999998</v>
      </c>
      <c r="E14" s="37">
        <f t="shared" si="0"/>
        <v>-35501.729999999981</v>
      </c>
      <c r="F14" s="38">
        <f t="shared" si="1"/>
        <v>-0.16839532248101285</v>
      </c>
      <c r="G14" s="39">
        <f>SUM('1st Qtr'!G14, '2nd Qtr'!G14, '3rd Qtr'!G14, '4th Qtr'!G14)</f>
        <v>190163.09</v>
      </c>
      <c r="H14" s="39">
        <f>SUM(Jan!H14, Feb!H14, Mar!H14)</f>
        <v>-14841.089999999997</v>
      </c>
      <c r="I14" s="40">
        <f t="shared" si="2"/>
        <v>-7.8044009486804178E-2</v>
      </c>
    </row>
    <row r="15" spans="1:9" ht="15.75">
      <c r="A15" s="41" t="str">
        <v>Flint Pond</v>
      </c>
      <c r="B15" s="42" t="str">
        <v>MA</v>
      </c>
      <c r="C15" s="43">
        <f>SUM(Jan!C15, Feb!C15, Mar!C15)</f>
        <v>69387.5</v>
      </c>
      <c r="D15" s="44">
        <f>SUM(Jan!D15, Feb!D15, Mar!D15)</f>
        <v>115721.3</v>
      </c>
      <c r="E15" s="44">
        <f t="shared" si="0"/>
        <v>-46333.8</v>
      </c>
      <c r="F15" s="45">
        <f t="shared" si="1"/>
        <v>-0.40039128492334602</v>
      </c>
      <c r="G15" s="46">
        <f>SUM('1st Qtr'!G15, '2nd Qtr'!G15, '3rd Qtr'!G15, '4th Qtr'!G15)</f>
        <v>81017.440000000002</v>
      </c>
      <c r="H15" s="46">
        <f>SUM(Jan!H15, Feb!H15, Mar!H15)</f>
        <v>-11629.940000000002</v>
      </c>
      <c r="I15" s="45">
        <f t="shared" si="2"/>
        <v>-0.14354859891894883</v>
      </c>
    </row>
    <row r="16" spans="1:9" ht="15.75">
      <c r="A16" s="34" t="str">
        <v>Incom</v>
      </c>
      <c r="B16" s="35" t="str">
        <v>MA</v>
      </c>
      <c r="C16" s="36">
        <f>SUM(Jan!C16, Feb!C16, Mar!C16)</f>
        <v>328359</v>
      </c>
      <c r="D16" s="37">
        <f>SUM(Jan!D16, Feb!D16, Mar!D16)</f>
        <v>487074.4</v>
      </c>
      <c r="E16" s="37">
        <f t="shared" ref="E16:E19" si="3">IF(AND(ISNUMBER(C16),ISNUMBER(D16)), C16-D16, "")</f>
        <v>-158715.40000000002</v>
      </c>
      <c r="F16" s="38">
        <f t="shared" ref="F16:F19" si="4">IFERROR(E16/D16, "")</f>
        <v>-0.32585453064254666</v>
      </c>
      <c r="G16" s="39">
        <f>SUM('1st Qtr'!G16, '2nd Qtr'!G16, '3rd Qtr'!G16, '4th Qtr'!G16)</f>
        <v>483929.1</v>
      </c>
      <c r="H16" s="39">
        <f>SUM(Jan!H16, Feb!H16, Mar!H16)</f>
        <v>-155570.1</v>
      </c>
      <c r="I16" s="40">
        <f t="shared" ref="I16:I19" si="5">IFERROR(H16/G16, "")</f>
        <v>-0.32147291824360225</v>
      </c>
    </row>
    <row r="17" spans="1:9" ht="15.75">
      <c r="A17" s="41" t="str">
        <v>JH</v>
      </c>
      <c r="B17" s="42" t="str">
        <v>MA</v>
      </c>
      <c r="C17" s="43">
        <f>SUM(Jan!C17, Feb!C17, Mar!C17)</f>
        <v>149558</v>
      </c>
      <c r="D17" s="44">
        <f>SUM(Jan!D17, Feb!D17, Mar!D17)</f>
        <v>247035.22999999998</v>
      </c>
      <c r="E17" s="44">
        <f t="shared" si="3"/>
        <v>-97477.229999999981</v>
      </c>
      <c r="F17" s="45">
        <f t="shared" si="4"/>
        <v>-0.39458837510746947</v>
      </c>
      <c r="G17" s="46">
        <f>SUM('1st Qtr'!G17, '2nd Qtr'!G17, '3rd Qtr'!G17, '4th Qtr'!G17)</f>
        <v>235771.4</v>
      </c>
      <c r="H17" s="46">
        <f>SUM(Jan!H17, Feb!H17, Mar!H17)</f>
        <v>-86213.4</v>
      </c>
      <c r="I17" s="45">
        <f t="shared" si="5"/>
        <v>-0.36566521639181004</v>
      </c>
    </row>
    <row r="18" spans="1:9" ht="12.75" customHeight="1">
      <c r="A18" s="41" t="str">
        <v>Ledeaux</v>
      </c>
      <c r="B18" s="41" t="str">
        <v>MA</v>
      </c>
      <c r="C18" s="36">
        <f>SUM(Jan!C18, Feb!C18, Mar!C18)</f>
        <v>136227</v>
      </c>
      <c r="D18" s="37">
        <f>SUM(Jan!D18, Feb!D18, Mar!D18)</f>
        <v>185824.07</v>
      </c>
      <c r="E18" s="37">
        <f t="shared" si="3"/>
        <v>-49597.070000000007</v>
      </c>
      <c r="F18" s="38">
        <f t="shared" si="4"/>
        <v>-0.26690336725484487</v>
      </c>
      <c r="G18" s="39">
        <f>SUM('1st Qtr'!G18, '2nd Qtr'!G18, '3rd Qtr'!G18, '4th Qtr'!G18)</f>
        <v>220465.19</v>
      </c>
      <c r="H18" s="39">
        <f>SUM(Jan!H18, Feb!H18, Mar!H18)</f>
        <v>-84238.19</v>
      </c>
      <c r="I18" s="40">
        <f t="shared" si="5"/>
        <v>-0.38209292813981199</v>
      </c>
    </row>
    <row r="19" spans="1:9" ht="15.75">
      <c r="A19" s="41" t="str">
        <v>Palombo A</v>
      </c>
      <c r="B19" s="41" t="str">
        <v>MA</v>
      </c>
      <c r="C19" s="43">
        <f>SUM(Jan!C19, Feb!C19, Mar!C19)</f>
        <v>322526.99999999959</v>
      </c>
      <c r="D19" s="44">
        <f>SUM(Jan!D19, Feb!D19, Mar!D19)</f>
        <v>507436.2</v>
      </c>
      <c r="E19" s="44">
        <f t="shared" si="3"/>
        <v>-184909.20000000042</v>
      </c>
      <c r="F19" s="45">
        <f t="shared" si="4"/>
        <v>-0.36439891359741466</v>
      </c>
      <c r="G19" s="46">
        <f>SUM('1st Qtr'!G19, '2nd Qtr'!G19, '3rd Qtr'!G19, '4th Qtr'!G19)</f>
        <v>542314</v>
      </c>
      <c r="H19" s="46">
        <f>SUM(Jan!H19, Feb!H19, Mar!H19)</f>
        <v>-219787.00000000041</v>
      </c>
      <c r="I19" s="45">
        <f t="shared" si="5"/>
        <v>-0.4052762790560458</v>
      </c>
    </row>
    <row r="20" spans="1:9" ht="15.75">
      <c r="A20" s="41" t="str">
        <v>Palombo B</v>
      </c>
      <c r="B20" s="41" t="str">
        <v>MA</v>
      </c>
      <c r="C20" s="36">
        <f>SUM(Jan!C20, Feb!C20, Mar!C20)</f>
        <v>144816</v>
      </c>
      <c r="D20" s="37">
        <f>SUM(Jan!D20, Feb!D20, Mar!D20)</f>
        <v>243020.55</v>
      </c>
      <c r="E20" s="37">
        <f t="shared" ref="E20:E24" si="6">IF(AND(ISNUMBER(C20),ISNUMBER(D20)), C20-D20, "")</f>
        <v>-98204.549999999988</v>
      </c>
      <c r="F20" s="38">
        <f t="shared" ref="F20:F24" si="7">IFERROR(E20/D20, "")</f>
        <v>-0.40409977674727504</v>
      </c>
      <c r="G20" s="39">
        <f>SUM('1st Qtr'!G20, '2nd Qtr'!G20, '3rd Qtr'!G20, '4th Qtr'!G20)</f>
        <v>173675.39</v>
      </c>
      <c r="H20" s="39">
        <f>SUM(Jan!H20, Feb!H20, Mar!H20)</f>
        <v>-28859.39</v>
      </c>
      <c r="I20" s="40">
        <f t="shared" ref="I20:I24" si="8">IFERROR(H20/G20, "")</f>
        <v>-0.16616856308772357</v>
      </c>
    </row>
    <row r="21" spans="1:9" ht="15.75">
      <c r="A21" s="41" t="str">
        <v>St Josephs Church</v>
      </c>
      <c r="B21" s="41" t="str">
        <v>MA</v>
      </c>
      <c r="C21" s="43">
        <f>SUM(Jan!C21, Feb!C21, Mar!C21)</f>
        <v>139586</v>
      </c>
      <c r="D21" s="44">
        <f>SUM(Jan!D21, Feb!D21, Mar!D21)</f>
        <v>249741.42</v>
      </c>
      <c r="E21" s="44">
        <f t="shared" si="6"/>
        <v>-110155.42000000001</v>
      </c>
      <c r="F21" s="45">
        <f t="shared" si="7"/>
        <v>-0.44107789568906913</v>
      </c>
      <c r="G21" s="46">
        <f>SUM('1st Qtr'!G21, '2nd Qtr'!G21, '3rd Qtr'!G21, '4th Qtr'!G21)</f>
        <v>207488.72</v>
      </c>
      <c r="H21" s="46">
        <f>SUM(Jan!H21, Feb!H21, Mar!H21)</f>
        <v>-67902.720000000001</v>
      </c>
      <c r="I21" s="45">
        <f t="shared" si="8"/>
        <v>-0.32725981441304375</v>
      </c>
    </row>
    <row r="22" spans="1:9" ht="15.75">
      <c r="A22" s="41" t="str">
        <v>Sunset A</v>
      </c>
      <c r="B22" s="41" t="str">
        <v>MA</v>
      </c>
      <c r="C22" s="36">
        <f>SUM(Jan!C22, Feb!C22, Mar!C22)</f>
        <v>71562.5</v>
      </c>
      <c r="D22" s="37">
        <f>SUM(Jan!D22, Feb!D22, Mar!D22)</f>
        <v>122829.32</v>
      </c>
      <c r="E22" s="37">
        <f t="shared" si="6"/>
        <v>-51266.820000000007</v>
      </c>
      <c r="F22" s="38">
        <f t="shared" si="7"/>
        <v>-0.41738259236475461</v>
      </c>
      <c r="G22" s="39">
        <f>SUM('1st Qtr'!G22, '2nd Qtr'!G22, '3rd Qtr'!G22, '4th Qtr'!G22)</f>
        <v>78920.08</v>
      </c>
      <c r="H22" s="39">
        <f>SUM(Jan!H22, Feb!H22, Mar!H22)</f>
        <v>-7357.5799999999981</v>
      </c>
      <c r="I22" s="40">
        <f t="shared" si="8"/>
        <v>-9.3228237984553458E-2</v>
      </c>
    </row>
    <row r="23" spans="1:9" ht="15.75">
      <c r="A23" s="41" t="str">
        <v>Sunset B</v>
      </c>
      <c r="B23" s="41" t="str">
        <v>MA</v>
      </c>
      <c r="C23" s="43">
        <f>SUM(Jan!C23, Feb!C23, Mar!C23)</f>
        <v>63980.25</v>
      </c>
      <c r="D23" s="44">
        <f>SUM(Jan!D23, Feb!D23, Mar!D23)</f>
        <v>92401.08</v>
      </c>
      <c r="E23" s="44">
        <f t="shared" si="6"/>
        <v>-28420.83</v>
      </c>
      <c r="F23" s="45">
        <f t="shared" si="7"/>
        <v>-0.30758114515544627</v>
      </c>
      <c r="G23" s="46">
        <f>SUM('1st Qtr'!G23, '2nd Qtr'!G23, '3rd Qtr'!G23, '4th Qtr'!G23)</f>
        <v>77977.350000000006</v>
      </c>
      <c r="H23" s="46">
        <f>SUM(Jan!H23, Feb!H23, Mar!H23)</f>
        <v>-13997.099999999999</v>
      </c>
      <c r="I23" s="45">
        <f t="shared" si="8"/>
        <v>-0.17950212465542875</v>
      </c>
    </row>
    <row r="24" spans="1:9" ht="15.75">
      <c r="A24" s="41" t="str">
        <v>Woodchuck</v>
      </c>
      <c r="B24" s="41" t="str">
        <v>MA</v>
      </c>
      <c r="C24" s="36">
        <f>SUM(Jan!C24, Feb!C24, Mar!C24)</f>
        <v>143133</v>
      </c>
      <c r="D24" s="37">
        <f>SUM(Jan!D24, Feb!D24, Mar!D24)</f>
        <v>212521.68</v>
      </c>
      <c r="E24" s="37">
        <f t="shared" si="6"/>
        <v>-69388.679999999993</v>
      </c>
      <c r="F24" s="38">
        <f t="shared" si="7"/>
        <v>-0.32650165385479729</v>
      </c>
      <c r="G24" s="39">
        <f>SUM('1st Qtr'!G24, '2nd Qtr'!G24, '3rd Qtr'!G24, '4th Qtr'!G24)</f>
        <v>218260.09999999998</v>
      </c>
      <c r="H24" s="39">
        <f>SUM(Jan!H24, Feb!H24, Mar!H24)</f>
        <v>-75127.099999999991</v>
      </c>
      <c r="I24" s="40">
        <f t="shared" si="8"/>
        <v>-0.34420904233068711</v>
      </c>
    </row>
    <row r="25" spans="1:9" ht="12.9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workbookViewId="0">
      <pane xSplit="2" ySplit="3" topLeftCell="C4" activePane="bottomRight" state="frozen"/>
      <selection pane="bottomRight" activeCell="O14" sqref="O1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38 DN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SUM(C4:C99)</f>
        <v>3977782.2499999995</v>
      </c>
      <c r="D2" s="5">
        <f>SUM(D4:D99)</f>
        <v>5658062.2299999995</v>
      </c>
      <c r="E2" s="5">
        <f>C2-D2</f>
        <v>-1680279.98</v>
      </c>
      <c r="F2" s="6">
        <f>IFERROR(E2/D2, 0)</f>
        <v>-0.29697092603380576</v>
      </c>
      <c r="G2" s="5">
        <f>SUM(G4:G99)</f>
        <v>5241855.089999998</v>
      </c>
      <c r="H2" s="7">
        <f>C2-G2</f>
        <v>-1264072.8399999985</v>
      </c>
      <c r="I2" s="6">
        <f>IFERROR(H2/G2, 0)</f>
        <v>-0.24114990176121007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242503</v>
      </c>
      <c r="D4" s="37">
        <f>SUM(Jan!D4, Feb!D4, Mar!D4)</f>
        <v>207367.59999999998</v>
      </c>
      <c r="E4" s="37">
        <f>IF(AND(ISNUMBER(C4),ISNUMBER(D4)), C4-D4, "")</f>
        <v>35135.400000000023</v>
      </c>
      <c r="F4" s="38">
        <f>IFERROR(E4/D4, "")</f>
        <v>0.16943534091150222</v>
      </c>
      <c r="G4" s="39">
        <f>SUM(Jan!G4, Feb!G4, Mar!G4)</f>
        <v>293749.09999999998</v>
      </c>
      <c r="H4" s="39">
        <f>SUM(Jan!H4, Feb!H4, Mar!H4)</f>
        <v>-51246.100000000006</v>
      </c>
      <c r="I4" s="40">
        <f>IFERROR(H4/G4, "")</f>
        <v>-0.17445534301211479</v>
      </c>
    </row>
    <row r="5" spans="1:9" ht="15.75">
      <c r="A5" s="56" t="str">
        <v>Barton Acres</v>
      </c>
      <c r="B5" s="42" t="str">
        <v>MA</v>
      </c>
      <c r="C5" s="43">
        <f>SUM(Jan!C5, Feb!C5, Mar!C5)</f>
        <v>140015</v>
      </c>
      <c r="D5" s="44">
        <f>SUM(Jan!D5, Feb!D5, Mar!D5)</f>
        <v>244885.34</v>
      </c>
      <c r="E5" s="44">
        <f t="shared" ref="E5:E15" si="0">IF(AND(ISNUMBER(C5),ISNUMBER(D5)), C5-D5, "")</f>
        <v>-104870.34</v>
      </c>
      <c r="F5" s="45">
        <f>IFERROR(E5/D5, "")</f>
        <v>-0.42824262162855481</v>
      </c>
      <c r="G5" s="46">
        <f>SUM(Jan!G5, Feb!G5, Mar!G5)</f>
        <v>167633.43</v>
      </c>
      <c r="H5" s="46">
        <f>SUM(Jan!H5, Feb!H5, Mar!H5)</f>
        <v>-27618.429999999993</v>
      </c>
      <c r="I5" s="45">
        <f>IFERROR(H5/G5, "")</f>
        <v>-0.16475490598742742</v>
      </c>
    </row>
    <row r="6" spans="1:9" ht="15.75">
      <c r="A6" s="55" t="str">
        <v>Bowden</v>
      </c>
      <c r="B6" s="35" t="str">
        <v>MA</v>
      </c>
      <c r="C6" s="36">
        <f>SUM(Jan!C6, Feb!C6, Mar!C6)</f>
        <v>309315</v>
      </c>
      <c r="D6" s="37">
        <f>SUM(Jan!D6, Feb!D6, Mar!D6)</f>
        <v>398903.9</v>
      </c>
      <c r="E6" s="37">
        <f t="shared" si="0"/>
        <v>-89588.900000000023</v>
      </c>
      <c r="F6" s="38">
        <f t="shared" ref="F6:F15" si="1">IFERROR(E6/D6, "")</f>
        <v>-0.22458767638020088</v>
      </c>
      <c r="G6" s="39">
        <f>SUM(Jan!G6, Feb!G6, Mar!G6)</f>
        <v>384551.19999999995</v>
      </c>
      <c r="H6" s="39">
        <f>SUM(Jan!H6, Feb!H6, Mar!H6)</f>
        <v>-75236.199999999983</v>
      </c>
      <c r="I6" s="40">
        <f t="shared" ref="I6:I15" si="2">IFERROR(H6/G6, "")</f>
        <v>-0.19564676953289964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150889</v>
      </c>
      <c r="D7" s="44">
        <f>SUM(Jan!D7, Feb!D7, Mar!D7)</f>
        <v>264179.88</v>
      </c>
      <c r="E7" s="44">
        <f t="shared" si="0"/>
        <v>-113290.88</v>
      </c>
      <c r="F7" s="45">
        <f t="shared" si="1"/>
        <v>-0.42883992528121373</v>
      </c>
      <c r="G7" s="46">
        <f>SUM(Jan!G7, Feb!G7, Mar!G7)</f>
        <v>191298.34</v>
      </c>
      <c r="H7" s="46">
        <f>SUM(Jan!H7, Feb!H7, Mar!H7)</f>
        <v>-40409.339999999997</v>
      </c>
      <c r="I7" s="45">
        <f t="shared" si="2"/>
        <v>-0.21123727471968654</v>
      </c>
    </row>
    <row r="8" spans="1:9" ht="15.75">
      <c r="A8" s="55" t="str">
        <v>Boutilier</v>
      </c>
      <c r="B8" s="35" t="str">
        <v>MA</v>
      </c>
      <c r="C8" s="36">
        <f>SUM(Jan!C8, Feb!C8, Mar!C8)</f>
        <v>418029</v>
      </c>
      <c r="D8" s="37">
        <f>SUM(Jan!D8, Feb!D8, Mar!D8)</f>
        <v>507903.5</v>
      </c>
      <c r="E8" s="37">
        <f t="shared" si="0"/>
        <v>-89874.5</v>
      </c>
      <c r="F8" s="38">
        <f t="shared" si="1"/>
        <v>-0.17695192098499027</v>
      </c>
      <c r="G8" s="39">
        <f>SUM(Jan!G8, Feb!G8, Mar!G8)</f>
        <v>460177</v>
      </c>
      <c r="H8" s="39">
        <f>SUM(Jan!H8, Feb!H8, Mar!H8)</f>
        <v>-42148</v>
      </c>
      <c r="I8" s="40">
        <f t="shared" si="2"/>
        <v>-9.1590844392483758E-2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138012</v>
      </c>
      <c r="D9" s="44">
        <f>SUM(Jan!D9, Feb!D9, Mar!D9)</f>
        <v>257641.22000000003</v>
      </c>
      <c r="E9" s="44">
        <f t="shared" si="0"/>
        <v>-119629.22000000003</v>
      </c>
      <c r="F9" s="45">
        <f t="shared" si="1"/>
        <v>-0.46432484677723546</v>
      </c>
      <c r="G9" s="46">
        <f>SUM(Jan!G9, Feb!G9, Mar!G9)</f>
        <v>181710</v>
      </c>
      <c r="H9" s="46">
        <f>SUM(Jan!H9, Feb!H9, Mar!H9)</f>
        <v>-43698</v>
      </c>
      <c r="I9" s="45">
        <f t="shared" si="2"/>
        <v>-0.2404820868416708</v>
      </c>
    </row>
    <row r="10" spans="1:9" ht="15.75">
      <c r="A10" s="55" t="str">
        <v>Cohasse</v>
      </c>
      <c r="B10" s="35" t="str">
        <v>MA</v>
      </c>
      <c r="C10" s="36">
        <f>SUM(Jan!C10, Feb!C10, Mar!C10)</f>
        <v>143621</v>
      </c>
      <c r="D10" s="37">
        <f>SUM(Jan!D10, Feb!D10, Mar!D10)</f>
        <v>240526.14</v>
      </c>
      <c r="E10" s="37">
        <f t="shared" si="0"/>
        <v>-96905.140000000014</v>
      </c>
      <c r="F10" s="38">
        <f t="shared" si="1"/>
        <v>-0.40288818504300616</v>
      </c>
      <c r="G10" s="39">
        <f>SUM(Jan!G10, Feb!G10, Mar!G10)</f>
        <v>249939.1</v>
      </c>
      <c r="H10" s="39">
        <f>SUM(Jan!H10, Feb!H10, Mar!H10)</f>
        <v>-106318.1</v>
      </c>
      <c r="I10" s="40">
        <f t="shared" si="2"/>
        <v>-0.42537602159886151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369601</v>
      </c>
      <c r="D11" s="44">
        <f>SUM(Jan!D11, Feb!D11, Mar!D11)</f>
        <v>446240.69999999995</v>
      </c>
      <c r="E11" s="44">
        <f t="shared" si="0"/>
        <v>-76639.699999999953</v>
      </c>
      <c r="F11" s="45">
        <f t="shared" si="1"/>
        <v>-0.17174520387763814</v>
      </c>
      <c r="G11" s="46">
        <f>SUM(Jan!G11, Feb!G11, Mar!G11)</f>
        <v>422669.69999999995</v>
      </c>
      <c r="H11" s="46">
        <f>SUM(Jan!H11, Feb!H11, Mar!H11)</f>
        <v>-53068.699999999983</v>
      </c>
      <c r="I11" s="45">
        <f t="shared" si="2"/>
        <v>-0.12555596012678455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162350</v>
      </c>
      <c r="D12" s="37">
        <f>SUM(Jan!D12, Feb!D12, Mar!D12)</f>
        <v>207552.9</v>
      </c>
      <c r="E12" s="37">
        <f t="shared" si="0"/>
        <v>-45202.899999999994</v>
      </c>
      <c r="F12" s="38">
        <f t="shared" si="1"/>
        <v>-0.21778977793131291</v>
      </c>
      <c r="G12" s="39">
        <f>SUM(Jan!G12, Feb!G12, Mar!G12)</f>
        <v>193665.63</v>
      </c>
      <c r="H12" s="39">
        <f>SUM(Jan!H12, Feb!H12, Mar!H12)</f>
        <v>-31315.62999999999</v>
      </c>
      <c r="I12" s="40">
        <f t="shared" si="2"/>
        <v>-0.16169947140336666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158989</v>
      </c>
      <c r="D13" s="44">
        <f>SUM(Jan!D13, Feb!D13, Mar!D13)</f>
        <v>208432.07</v>
      </c>
      <c r="E13" s="44">
        <f t="shared" si="0"/>
        <v>-49443.070000000007</v>
      </c>
      <c r="F13" s="45">
        <f t="shared" si="1"/>
        <v>-0.23721431159801851</v>
      </c>
      <c r="G13" s="46">
        <f>SUM(Jan!G13, Feb!G13, Mar!G13)</f>
        <v>186479.72999999998</v>
      </c>
      <c r="H13" s="46">
        <f>SUM(Jan!H13, Feb!H13, Mar!H13)</f>
        <v>-27490.729999999996</v>
      </c>
      <c r="I13" s="45">
        <f t="shared" si="2"/>
        <v>-0.14741940048926497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175322</v>
      </c>
      <c r="D14" s="37">
        <f>SUM(Jan!D14, Feb!D14, Mar!D14)</f>
        <v>210823.72999999998</v>
      </c>
      <c r="E14" s="37">
        <f t="shared" si="0"/>
        <v>-35501.729999999981</v>
      </c>
      <c r="F14" s="38">
        <f t="shared" si="1"/>
        <v>-0.16839532248101285</v>
      </c>
      <c r="G14" s="39">
        <f>SUM(Jan!G14, Feb!G14, Mar!G14)</f>
        <v>190163.09</v>
      </c>
      <c r="H14" s="39">
        <f>SUM(Jan!H14, Feb!H14, Mar!H14)</f>
        <v>-14841.089999999997</v>
      </c>
      <c r="I14" s="40">
        <f t="shared" si="2"/>
        <v>-7.8044009486804178E-2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69387.5</v>
      </c>
      <c r="D15" s="44">
        <f>SUM(Jan!D15, Feb!D15, Mar!D15)</f>
        <v>115721.3</v>
      </c>
      <c r="E15" s="44">
        <f t="shared" si="0"/>
        <v>-46333.8</v>
      </c>
      <c r="F15" s="45">
        <f t="shared" si="1"/>
        <v>-0.40039128492334602</v>
      </c>
      <c r="G15" s="46">
        <f>SUM(Jan!G15, Feb!G15, Mar!G15)</f>
        <v>81017.440000000002</v>
      </c>
      <c r="H15" s="46">
        <f>SUM(Jan!H15, Feb!H15, Mar!H15)</f>
        <v>-11629.940000000002</v>
      </c>
      <c r="I15" s="45">
        <f t="shared" si="2"/>
        <v>-0.14354859891894883</v>
      </c>
    </row>
    <row r="16" spans="1:9" ht="15.75">
      <c r="A16" s="55" t="str">
        <v>Incom</v>
      </c>
      <c r="B16" s="35" t="str">
        <v>MA</v>
      </c>
      <c r="C16" s="36">
        <f>SUM(Jan!C16, Feb!C16, Mar!C16)</f>
        <v>328359</v>
      </c>
      <c r="D16" s="37">
        <f>SUM(Jan!D16, Feb!D16, Mar!D16)</f>
        <v>487074.4</v>
      </c>
      <c r="E16" s="37">
        <f t="shared" ref="E16:E18" si="3">IF(AND(ISNUMBER(C16),ISNUMBER(D16)), C16-D16, "")</f>
        <v>-158715.40000000002</v>
      </c>
      <c r="F16" s="38">
        <f t="shared" ref="F16:F18" si="4">IFERROR(E16/D16, "")</f>
        <v>-0.32585453064254666</v>
      </c>
      <c r="G16" s="39">
        <f>SUM(Jan!G16, Feb!G16, Mar!G16)</f>
        <v>483929.1</v>
      </c>
      <c r="H16" s="39">
        <f>SUM(Jan!H16, Feb!H16, Mar!H16)</f>
        <v>-155570.1</v>
      </c>
      <c r="I16" s="40">
        <f t="shared" ref="I16:I18" si="5">IFERROR(H16/G16, "")</f>
        <v>-0.32147291824360225</v>
      </c>
    </row>
    <row r="17" spans="1:9" ht="15.75">
      <c r="A17" s="56" t="str">
        <v>JH</v>
      </c>
      <c r="B17" s="42" t="str">
        <v>MA</v>
      </c>
      <c r="C17" s="43">
        <f>SUM(Jan!C17, Feb!C17, Mar!C17)</f>
        <v>149558</v>
      </c>
      <c r="D17" s="44">
        <f>SUM(Jan!D17, Feb!D17, Mar!D17)</f>
        <v>247035.22999999998</v>
      </c>
      <c r="E17" s="44">
        <f t="shared" si="3"/>
        <v>-97477.229999999981</v>
      </c>
      <c r="F17" s="45">
        <f t="shared" si="4"/>
        <v>-0.39458837510746947</v>
      </c>
      <c r="G17" s="46">
        <f>SUM(Jan!G17, Feb!G17, Mar!G17)</f>
        <v>235771.4</v>
      </c>
      <c r="H17" s="46">
        <f>SUM(Jan!H17, Feb!H17, Mar!H17)</f>
        <v>-86213.4</v>
      </c>
      <c r="I17" s="45">
        <f t="shared" si="5"/>
        <v>-0.36566521639181004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136227</v>
      </c>
      <c r="D18" s="37">
        <f>SUM(Jan!D18, Feb!D18, Mar!D18)</f>
        <v>185824.07</v>
      </c>
      <c r="E18" s="37">
        <f t="shared" si="3"/>
        <v>-49597.070000000007</v>
      </c>
      <c r="F18" s="38">
        <f t="shared" si="4"/>
        <v>-0.26690336725484487</v>
      </c>
      <c r="G18" s="39">
        <f>SUM(Jan!G18, Feb!G18, Mar!G18)</f>
        <v>220465.19</v>
      </c>
      <c r="H18" s="39">
        <f>SUM(Jan!H18, Feb!H18, Mar!H18)</f>
        <v>-84238.19</v>
      </c>
      <c r="I18" s="45">
        <f t="shared" si="5"/>
        <v>-0.38209292813981199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322526.99999999959</v>
      </c>
      <c r="D19" s="44">
        <f>SUM(Jan!D19, Feb!D19, Mar!D19)</f>
        <v>507436.2</v>
      </c>
      <c r="E19" s="44">
        <f t="shared" ref="E19:E24" si="6">IF(AND(ISNUMBER(C19),ISNUMBER(D19)), C19-D19, "")</f>
        <v>-184909.20000000042</v>
      </c>
      <c r="F19" s="45">
        <f t="shared" ref="F19:F24" si="7">IFERROR(E19/D19, "")</f>
        <v>-0.36439891359741466</v>
      </c>
      <c r="G19" s="46">
        <f>SUM(Jan!G19, Feb!G19, Mar!G19)</f>
        <v>542314</v>
      </c>
      <c r="H19" s="46">
        <f>SUM(Jan!H19, Feb!H19, Mar!H19)</f>
        <v>-219787.00000000041</v>
      </c>
      <c r="I19" s="40">
        <f t="shared" ref="I19:I24" si="8">IFERROR(H19/G19, "")</f>
        <v>-0.4052762790560458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144816</v>
      </c>
      <c r="D20" s="37">
        <f>SUM(Jan!D20, Feb!D20, Mar!D20)</f>
        <v>243020.55</v>
      </c>
      <c r="E20" s="37">
        <f t="shared" si="6"/>
        <v>-98204.549999999988</v>
      </c>
      <c r="F20" s="38">
        <f t="shared" si="7"/>
        <v>-0.40409977674727504</v>
      </c>
      <c r="G20" s="39">
        <f>SUM(Jan!G20, Feb!G20, Mar!G20)</f>
        <v>173675.39</v>
      </c>
      <c r="H20" s="39">
        <f>SUM(Jan!H20, Feb!H20, Mar!H20)</f>
        <v>-28859.39</v>
      </c>
      <c r="I20" s="45">
        <f t="shared" si="8"/>
        <v>-0.16616856308772357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139586</v>
      </c>
      <c r="D21" s="44">
        <f>SUM(Jan!D21, Feb!D21, Mar!D21)</f>
        <v>249741.42</v>
      </c>
      <c r="E21" s="44">
        <f t="shared" si="6"/>
        <v>-110155.42000000001</v>
      </c>
      <c r="F21" s="45">
        <f t="shared" si="7"/>
        <v>-0.44107789568906913</v>
      </c>
      <c r="G21" s="46">
        <f>SUM(Jan!G21, Feb!G21, Mar!G21)</f>
        <v>207488.72</v>
      </c>
      <c r="H21" s="46">
        <f>SUM(Jan!H21, Feb!H21, Mar!H21)</f>
        <v>-67902.720000000001</v>
      </c>
      <c r="I21" s="45">
        <f t="shared" si="8"/>
        <v>-0.32725981441304375</v>
      </c>
    </row>
    <row r="22" spans="1:9" ht="15.75">
      <c r="A22" s="55" t="str">
        <v>Sunset A</v>
      </c>
      <c r="B22" s="35" t="str">
        <v>MA</v>
      </c>
      <c r="C22" s="36">
        <f>SUM(Jan!C22, Feb!C22, Mar!C22)</f>
        <v>71562.5</v>
      </c>
      <c r="D22" s="37">
        <f>SUM(Jan!D22, Feb!D22, Mar!D22)</f>
        <v>122829.32</v>
      </c>
      <c r="E22" s="37">
        <f t="shared" si="6"/>
        <v>-51266.820000000007</v>
      </c>
      <c r="F22" s="38">
        <f t="shared" si="7"/>
        <v>-0.41738259236475461</v>
      </c>
      <c r="G22" s="39">
        <f>SUM(Jan!G22, Feb!G22, Mar!G22)</f>
        <v>78920.08</v>
      </c>
      <c r="H22" s="39">
        <f>SUM(Jan!H22, Feb!H22, Mar!H22)</f>
        <v>-7357.5799999999981</v>
      </c>
      <c r="I22" s="40">
        <f t="shared" si="8"/>
        <v>-9.3228237984553458E-2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63980.25</v>
      </c>
      <c r="D23" s="44">
        <f>SUM(Jan!D23, Feb!D23, Mar!D23)</f>
        <v>92401.08</v>
      </c>
      <c r="E23" s="44">
        <f t="shared" si="6"/>
        <v>-28420.83</v>
      </c>
      <c r="F23" s="45">
        <f t="shared" si="7"/>
        <v>-0.30758114515544627</v>
      </c>
      <c r="G23" s="46">
        <f>SUM(Jan!G23, Feb!G23, Mar!G23)</f>
        <v>77977.350000000006</v>
      </c>
      <c r="H23" s="46">
        <f>SUM(Jan!H23, Feb!H23, Mar!H23)</f>
        <v>-13997.099999999999</v>
      </c>
      <c r="I23" s="45">
        <f t="shared" si="8"/>
        <v>-0.17950212465542875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143133</v>
      </c>
      <c r="D24" s="37">
        <f>SUM(Jan!D24, Feb!D24, Mar!D24)</f>
        <v>212521.68</v>
      </c>
      <c r="E24" s="37">
        <f t="shared" si="6"/>
        <v>-69388.679999999993</v>
      </c>
      <c r="F24" s="38">
        <f t="shared" si="7"/>
        <v>-0.32650165385479729</v>
      </c>
      <c r="G24" s="39">
        <f>SUM(Jan!G24, Feb!G24, Mar!G24)</f>
        <v>218260.09999999998</v>
      </c>
      <c r="H24" s="39">
        <f>SUM(Jan!H24, Feb!H24, Mar!H24)</f>
        <v>-75127.099999999991</v>
      </c>
      <c r="I24" s="45">
        <f t="shared" si="8"/>
        <v>-0.34420904233068711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13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38 DN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SUM(Apr!H4, May!H4, Jun!H4)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SUM(Apr!H5, May!H5, Jun!H5)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SUM(Apr!H6, May!H6, Jun!H6)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/>
      <c r="H7" s="46">
        <f>SUM(Apr!H7, May!H7, Jun!H7)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/>
      <c r="H8" s="39">
        <f>SUM(Apr!H8, May!H8, Jun!H8)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/>
      <c r="H9" s="46">
        <f>SUM(Apr!H9, May!H9, Jun!H9)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/>
      <c r="H10" s="39">
        <f>SUM(Apr!H10, May!H10, Jun!H10)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/>
      <c r="H11" s="46">
        <f>SUM(Apr!H11, May!H11, Jun!H11)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/>
      <c r="H12" s="39">
        <f>SUM(Apr!H12, May!H12, Jun!H12)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/>
      <c r="H13" s="46">
        <f>SUM(Apr!H13, May!H13, Jun!H13)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/>
      <c r="H14" s="39">
        <f>SUM(Apr!H14, May!H14, Jun!H14)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/>
      <c r="H15" s="46">
        <f>SUM(Apr!H15, May!H15, Jun!H15)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SUM(Apr!C16, May!C16, Jun!C16)</f>
        <v>0</v>
      </c>
      <c r="D16" s="37">
        <f>SUM(Apr!D16, May!D16, Jun!D16)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SUM(Apr!H16, May!H16, Jun!H16)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39"/>
      <c r="H17" s="39">
        <f>SUM(Apr!H17, May!H17, Jun!H17)</f>
        <v>0</v>
      </c>
      <c r="I17" s="40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0</v>
      </c>
      <c r="D18" s="44">
        <f>SUM(Apr!D18, May!D18, Jun!D18)</f>
        <v>0</v>
      </c>
      <c r="E18" s="44">
        <f t="shared" si="3"/>
        <v>0</v>
      </c>
      <c r="F18" s="45" t="str">
        <f t="shared" si="4"/>
        <v/>
      </c>
      <c r="G18" s="46"/>
      <c r="H18" s="46">
        <f>SUM(Apr!H18, May!H18, Jun!H18)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SUM(Apr!C19, May!C19, Jun!C19)</f>
        <v>0</v>
      </c>
      <c r="D19" s="37">
        <f>SUM(Apr!D19, May!D19, Jun!D19)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SUM(Apr!H19, May!H19, Jun!H19)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36">
        <f>SUM(Apr!C20, May!C20, Jun!C20)</f>
        <v>0</v>
      </c>
      <c r="D20" s="37">
        <f>SUM(Apr!D20, May!D20, Jun!D20)</f>
        <v>0</v>
      </c>
      <c r="E20" s="37">
        <f t="shared" si="6"/>
        <v>0</v>
      </c>
      <c r="F20" s="38" t="str">
        <f t="shared" si="7"/>
        <v/>
      </c>
      <c r="G20" s="39"/>
      <c r="H20" s="39">
        <f>SUM(Apr!H20, May!H20, Jun!H20)</f>
        <v>0</v>
      </c>
      <c r="I20" s="40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0</v>
      </c>
      <c r="D21" s="44">
        <f>SUM(Apr!D21, May!D21, Jun!D21)</f>
        <v>0</v>
      </c>
      <c r="E21" s="44">
        <f t="shared" si="6"/>
        <v>0</v>
      </c>
      <c r="F21" s="45" t="str">
        <f t="shared" si="7"/>
        <v/>
      </c>
      <c r="G21" s="46"/>
      <c r="H21" s="46">
        <f>SUM(Apr!H21, May!H21, Jun!H21)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SUM(Apr!C22, May!C22, Jun!C22)</f>
        <v>0</v>
      </c>
      <c r="D22" s="37">
        <f>SUM(Apr!D22, May!D22, Jun!D22)</f>
        <v>0</v>
      </c>
      <c r="E22" s="37">
        <f t="shared" si="6"/>
        <v>0</v>
      </c>
      <c r="F22" s="38" t="str">
        <f t="shared" si="7"/>
        <v/>
      </c>
      <c r="G22" s="39"/>
      <c r="H22" s="39">
        <f>SUM(Apr!H22, May!H22, Jun!H22)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39"/>
      <c r="H23" s="39">
        <f>SUM(Apr!H23, May!H23, Jun!H23)</f>
        <v>0</v>
      </c>
      <c r="I23" s="40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SUM(Apr!C24, May!C24, Jun!C24)</f>
        <v>0</v>
      </c>
      <c r="D24" s="44">
        <f>SUM(Apr!D24, May!D24, Jun!D24)</f>
        <v>0</v>
      </c>
      <c r="E24" s="44">
        <f t="shared" si="6"/>
        <v>0</v>
      </c>
      <c r="F24" s="45" t="str">
        <f t="shared" si="7"/>
        <v/>
      </c>
      <c r="G24" s="46"/>
      <c r="H24" s="46">
        <f>SUM(Apr!H24, May!H24, Jun!H24)</f>
        <v>0</v>
      </c>
      <c r="I24" s="45" t="str">
        <f t="shared" si="8"/>
        <v/>
      </c>
    </row>
    <row r="25" spans="1:9" ht="12.9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38 DN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/>
      <c r="H16" s="39">
        <f>SUM(Jul!H16, Aug!H16, Sep!H16)</f>
        <v>0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/>
      <c r="H19" s="46">
        <f>SUM(Jul!H19, Aug!H19, Sep!H19)</f>
        <v>0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/>
      <c r="H20" s="39">
        <f>SUM(Jul!H20, Aug!H20, Sep!H20)</f>
        <v>0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/>
      <c r="H21" s="46">
        <f>SUM(Jul!H21, Aug!H21, Sep!H21)</f>
        <v>0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/>
      <c r="H22" s="39">
        <f>SUM(Jul!H22, Aug!H22, Sep!H22)</f>
        <v>0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/>
      <c r="H23" s="46">
        <f>SUM(Jul!H23, Aug!H23, Sep!H23)</f>
        <v>0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/>
      <c r="H24" s="39">
        <f>SUM(Jul!H24, Aug!H24, Sep!H24)</f>
        <v>0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38 DN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C4" activePane="bottomRight" state="frozen"/>
      <selection pane="bottomRight" activeCell="O15" sqref="O15"/>
      <selection pane="bottomLeft" activeCell="D28" sqref="D28"/>
      <selection pane="topRight" activeCell="D28" sqref="D28"/>
    </sheetView>
  </sheetViews>
  <sheetFormatPr defaultRowHeight="13.7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4">
      <c r="A1" s="67" t="str" cm="1">
        <f t="array" ref="A1">portfolio</f>
        <v>38 DN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5.4">
      <c r="A2" s="69" t="s">
        <v>2</v>
      </c>
      <c r="B2" s="69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4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9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7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tabSelected="1" workbookViewId="0">
      <pane xSplit="2" ySplit="3" topLeftCell="C4" activePane="bottomRight" state="frozen"/>
      <selection pane="bottomRight" activeCell="M11" sqref="M11"/>
      <selection pane="bottomLeft" activeCell="J4" sqref="J4:K24"/>
      <selection pane="topRight" activeCell="J4" sqref="J4:K2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40</v>
      </c>
      <c r="E1" s="68"/>
      <c r="F1" s="68"/>
      <c r="G1" s="66" t="s">
        <v>41</v>
      </c>
      <c r="H1" s="66"/>
      <c r="I1" s="66"/>
      <c r="J1" s="60"/>
      <c r="K1" s="60"/>
    </row>
    <row r="2" spans="1:11" ht="19.5" customHeight="1">
      <c r="A2" s="69" t="s">
        <v>2</v>
      </c>
      <c r="B2" s="69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9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7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9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9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.75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.4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.4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7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workbookViewId="0">
      <pane xSplit="2" ySplit="3" topLeftCell="C4" activePane="bottomRight" state="frozen"/>
      <selection pane="bottomRight" activeCell="O14" sqref="O1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66</v>
      </c>
      <c r="E1" s="68"/>
      <c r="F1" s="68"/>
      <c r="G1" s="66" t="s">
        <v>67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75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68</v>
      </c>
      <c r="E1" s="68"/>
      <c r="F1" s="68"/>
      <c r="G1" s="66" t="s">
        <v>69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70</v>
      </c>
      <c r="E1" s="68"/>
      <c r="F1" s="68"/>
      <c r="G1" s="66" t="s">
        <v>71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75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72</v>
      </c>
      <c r="E1" s="68"/>
      <c r="F1" s="68"/>
      <c r="G1" s="66" t="s">
        <v>73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74</v>
      </c>
      <c r="E1" s="68"/>
      <c r="F1" s="68"/>
      <c r="G1" s="66" t="s">
        <v>75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76</v>
      </c>
      <c r="E1" s="68"/>
      <c r="F1" s="68"/>
      <c r="G1" s="66" t="s">
        <v>77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78</v>
      </c>
      <c r="E1" s="68"/>
      <c r="F1" s="68"/>
      <c r="G1" s="66" t="s">
        <v>79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80</v>
      </c>
      <c r="E1" s="68"/>
      <c r="F1" s="68"/>
      <c r="G1" s="66" t="s">
        <v>81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82</v>
      </c>
      <c r="E1" s="68"/>
      <c r="F1" s="68"/>
      <c r="G1" s="66" t="s">
        <v>83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38 DN</v>
      </c>
      <c r="B1" s="67"/>
      <c r="C1" s="67"/>
      <c r="D1" s="68" t="s">
        <v>84</v>
      </c>
      <c r="E1" s="68"/>
      <c r="F1" s="68"/>
      <c r="G1" s="66" t="s">
        <v>85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G37" sqref="G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86</v>
      </c>
      <c r="B1" t="s">
        <v>87</v>
      </c>
    </row>
    <row r="3" spans="1:12">
      <c r="A3" t="s">
        <v>88</v>
      </c>
      <c r="B3" t="s">
        <v>3</v>
      </c>
      <c r="C3" t="s">
        <v>4</v>
      </c>
      <c r="D3" t="s">
        <v>89</v>
      </c>
      <c r="E3" s="2" t="s">
        <v>90</v>
      </c>
    </row>
    <row r="4" spans="1:12" ht="14.45">
      <c r="A4" s="26" t="s">
        <v>91</v>
      </c>
      <c r="B4" t="s">
        <v>91</v>
      </c>
      <c r="C4" s="25" t="s">
        <v>92</v>
      </c>
      <c r="D4" s="24" t="s">
        <v>93</v>
      </c>
      <c r="E4" t="s">
        <v>94</v>
      </c>
      <c r="G4" s="3"/>
    </row>
    <row r="5" spans="1:12" ht="14.45">
      <c r="A5" s="26" t="s">
        <v>95</v>
      </c>
      <c r="B5" t="s">
        <v>95</v>
      </c>
      <c r="C5" s="25" t="s">
        <v>96</v>
      </c>
      <c r="D5" s="24" t="s">
        <v>93</v>
      </c>
      <c r="E5" t="s">
        <v>94</v>
      </c>
      <c r="G5" s="3"/>
    </row>
    <row r="6" spans="1:12" ht="14.45">
      <c r="A6" s="26" t="s">
        <v>97</v>
      </c>
      <c r="B6" t="s">
        <v>97</v>
      </c>
      <c r="C6" s="25" t="s">
        <v>96</v>
      </c>
      <c r="D6" s="24" t="s">
        <v>93</v>
      </c>
      <c r="E6" t="s">
        <v>94</v>
      </c>
      <c r="G6" s="3"/>
    </row>
    <row r="7" spans="1:12" ht="12.75" customHeight="1">
      <c r="A7" s="26" t="s">
        <v>98</v>
      </c>
      <c r="B7" t="s">
        <v>98</v>
      </c>
      <c r="C7" s="25" t="s">
        <v>96</v>
      </c>
      <c r="D7" s="24" t="s">
        <v>93</v>
      </c>
      <c r="E7" t="s">
        <v>94</v>
      </c>
    </row>
    <row r="8" spans="1:12" ht="12.75" customHeight="1">
      <c r="A8" s="26" t="s">
        <v>99</v>
      </c>
      <c r="B8" t="s">
        <v>99</v>
      </c>
      <c r="C8" s="25" t="s">
        <v>96</v>
      </c>
      <c r="D8" s="24" t="s">
        <v>93</v>
      </c>
      <c r="E8" t="s">
        <v>94</v>
      </c>
    </row>
    <row r="9" spans="1:12" ht="12.75" customHeight="1">
      <c r="A9" s="26" t="s">
        <v>100</v>
      </c>
      <c r="B9" t="s">
        <v>100</v>
      </c>
      <c r="C9" s="25" t="s">
        <v>96</v>
      </c>
      <c r="D9" s="24" t="s">
        <v>93</v>
      </c>
      <c r="E9" t="s">
        <v>94</v>
      </c>
    </row>
    <row r="10" spans="1:12" ht="12.75" customHeight="1">
      <c r="A10" s="26" t="s">
        <v>101</v>
      </c>
      <c r="B10" t="s">
        <v>101</v>
      </c>
      <c r="C10" s="25" t="s">
        <v>96</v>
      </c>
      <c r="D10" s="24" t="s">
        <v>93</v>
      </c>
      <c r="E10" t="s">
        <v>94</v>
      </c>
      <c r="K10" s="21"/>
      <c r="L10" s="21"/>
    </row>
    <row r="11" spans="1:12" ht="12.75" customHeight="1">
      <c r="A11" s="26" t="s">
        <v>102</v>
      </c>
      <c r="B11" t="s">
        <v>102</v>
      </c>
      <c r="C11" s="25" t="s">
        <v>96</v>
      </c>
      <c r="D11" s="24" t="s">
        <v>93</v>
      </c>
      <c r="E11" t="s">
        <v>94</v>
      </c>
      <c r="K11" s="21"/>
      <c r="L11" s="21"/>
    </row>
    <row r="12" spans="1:12" ht="12.75" customHeight="1">
      <c r="A12" s="26" t="s">
        <v>103</v>
      </c>
      <c r="B12" t="s">
        <v>103</v>
      </c>
      <c r="C12" s="25" t="s">
        <v>96</v>
      </c>
      <c r="D12" s="24" t="s">
        <v>93</v>
      </c>
      <c r="E12" t="s">
        <v>94</v>
      </c>
      <c r="K12" s="21"/>
      <c r="L12" s="21"/>
    </row>
    <row r="13" spans="1:12" ht="12.75" customHeight="1">
      <c r="A13" s="26" t="s">
        <v>104</v>
      </c>
      <c r="B13" t="s">
        <v>104</v>
      </c>
      <c r="C13" s="25" t="s">
        <v>96</v>
      </c>
      <c r="D13" s="24" t="s">
        <v>93</v>
      </c>
      <c r="E13" t="s">
        <v>94</v>
      </c>
      <c r="K13" s="21"/>
      <c r="L13" s="21"/>
    </row>
    <row r="14" spans="1:12" ht="12.75" customHeight="1">
      <c r="A14" s="26" t="s">
        <v>105</v>
      </c>
      <c r="B14" t="s">
        <v>105</v>
      </c>
      <c r="C14" s="25" t="s">
        <v>96</v>
      </c>
      <c r="D14" s="24" t="s">
        <v>93</v>
      </c>
      <c r="E14" t="s">
        <v>94</v>
      </c>
      <c r="K14" s="21"/>
      <c r="L14" s="21"/>
    </row>
    <row r="15" spans="1:12" ht="12.75" customHeight="1">
      <c r="A15" s="26" t="s">
        <v>106</v>
      </c>
      <c r="B15" t="s">
        <v>106</v>
      </c>
      <c r="C15" s="25" t="s">
        <v>96</v>
      </c>
      <c r="D15" s="24" t="s">
        <v>93</v>
      </c>
      <c r="E15" t="s">
        <v>94</v>
      </c>
      <c r="K15" s="21"/>
      <c r="L15" s="21"/>
    </row>
    <row r="16" spans="1:12" ht="12.75" customHeight="1">
      <c r="A16" s="26" t="s">
        <v>107</v>
      </c>
      <c r="B16" t="s">
        <v>107</v>
      </c>
      <c r="C16" s="25" t="s">
        <v>96</v>
      </c>
      <c r="D16" s="24" t="s">
        <v>93</v>
      </c>
      <c r="E16" t="s">
        <v>94</v>
      </c>
      <c r="K16" s="21"/>
      <c r="L16" s="21"/>
    </row>
    <row r="17" spans="1:12" ht="12.75" customHeight="1">
      <c r="A17" s="26" t="s">
        <v>108</v>
      </c>
      <c r="B17" t="s">
        <v>108</v>
      </c>
      <c r="C17" s="25" t="s">
        <v>96</v>
      </c>
      <c r="D17" s="24" t="s">
        <v>93</v>
      </c>
      <c r="E17" t="s">
        <v>94</v>
      </c>
      <c r="K17" s="21"/>
      <c r="L17" s="21"/>
    </row>
    <row r="18" spans="1:12" ht="12.75" customHeight="1">
      <c r="A18" s="26" t="s">
        <v>109</v>
      </c>
      <c r="B18" t="s">
        <v>109</v>
      </c>
      <c r="C18" s="25" t="s">
        <v>96</v>
      </c>
      <c r="D18" s="24" t="s">
        <v>93</v>
      </c>
      <c r="E18" t="s">
        <v>94</v>
      </c>
      <c r="K18" s="21"/>
      <c r="L18" s="21"/>
    </row>
    <row r="19" spans="1:12" ht="12.75" customHeight="1">
      <c r="A19" s="26" t="s">
        <v>110</v>
      </c>
      <c r="B19" t="s">
        <v>110</v>
      </c>
      <c r="C19" s="25" t="s">
        <v>96</v>
      </c>
      <c r="D19" s="24" t="s">
        <v>93</v>
      </c>
      <c r="E19" t="s">
        <v>94</v>
      </c>
      <c r="K19" s="21"/>
      <c r="L19" s="21"/>
    </row>
    <row r="20" spans="1:12" ht="12.75" customHeight="1">
      <c r="A20" s="26" t="s">
        <v>111</v>
      </c>
      <c r="B20" t="s">
        <v>111</v>
      </c>
      <c r="C20" s="25" t="s">
        <v>96</v>
      </c>
      <c r="D20" s="24" t="s">
        <v>93</v>
      </c>
      <c r="E20" t="s">
        <v>94</v>
      </c>
      <c r="K20" s="21"/>
      <c r="L20" s="21"/>
    </row>
    <row r="21" spans="1:12" ht="12.75" customHeight="1">
      <c r="A21" s="26" t="s">
        <v>112</v>
      </c>
      <c r="B21" t="s">
        <v>112</v>
      </c>
      <c r="C21" s="25" t="s">
        <v>96</v>
      </c>
      <c r="D21" s="24" t="s">
        <v>93</v>
      </c>
      <c r="E21" t="s">
        <v>94</v>
      </c>
      <c r="K21" s="21"/>
      <c r="L21" s="21"/>
    </row>
    <row r="22" spans="1:12" ht="12.75" customHeight="1">
      <c r="A22" s="26" t="s">
        <v>113</v>
      </c>
      <c r="B22" t="s">
        <v>113</v>
      </c>
      <c r="C22" s="25" t="s">
        <v>96</v>
      </c>
      <c r="D22" s="24" t="s">
        <v>93</v>
      </c>
      <c r="E22" t="s">
        <v>94</v>
      </c>
      <c r="K22" s="21"/>
      <c r="L22" s="21"/>
    </row>
    <row r="23" spans="1:12" ht="12.75" customHeight="1">
      <c r="A23" s="26" t="s">
        <v>114</v>
      </c>
      <c r="B23" t="s">
        <v>114</v>
      </c>
      <c r="C23" s="25" t="s">
        <v>96</v>
      </c>
      <c r="D23" s="24" t="s">
        <v>93</v>
      </c>
      <c r="E23" t="s">
        <v>94</v>
      </c>
      <c r="K23" s="21"/>
      <c r="L23" s="21"/>
    </row>
    <row r="24" spans="1:12" ht="12.75" customHeight="1">
      <c r="A24" s="26" t="s">
        <v>115</v>
      </c>
      <c r="B24" t="s">
        <v>115</v>
      </c>
      <c r="C24" s="25" t="s">
        <v>96</v>
      </c>
      <c r="D24" s="24" t="s">
        <v>93</v>
      </c>
      <c r="E24" t="s">
        <v>94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2024-04-06T04:36:30Z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