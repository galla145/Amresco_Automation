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5" documentId="13_ncr:1_{A87B8E15-F943-4582-8510-CE7EC77A8063}" xr6:coauthVersionLast="47" xr6:coauthVersionMax="47" xr10:uidLastSave="{A01BB5A7-7C96-43FC-87EB-A8EF49552F14}"/>
  <bookViews>
    <workbookView xWindow="43080" yWindow="756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C17" i="18"/>
  <c r="E17" i="18" s="1"/>
  <c r="F17" i="18" s="1"/>
  <c r="D17" i="18"/>
  <c r="C16" i="30" l="1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E11" i="18" s="1"/>
  <c r="F11" i="18" s="1"/>
  <c r="D10" i="18"/>
  <c r="D2" i="18" s="1"/>
  <c r="C10" i="18"/>
  <c r="D9" i="18"/>
  <c r="C9" i="18"/>
  <c r="D8" i="18"/>
  <c r="C8" i="18"/>
  <c r="D7" i="18"/>
  <c r="C7" i="18"/>
  <c r="E7" i="18" s="1"/>
  <c r="F7" i="18" s="1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5" i="30" l="1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<sst xmlns="http://schemas.openxmlformats.org/spreadsheetml/2006/main" count="350" uniqueCount="113">
  <si>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</si>
  <si>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</si>
  <si>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</si>
  <si>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</si>
  <si>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</si>
  <si>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</si>
  <si>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</si>
  <si>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</si>
  <si>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</si>
  <si>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</si>
  <si>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</si>
  <si>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</si>
  <si>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</si>
  <si>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</si>
  <si>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</si>
  <si>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</si>
  <si>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</si>
  <si>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</si>
  <si>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</si>
  <si>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</si>
  <si>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</si>
  <si>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</si>
  <si>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</si>
  <si>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</si>
  <si>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</si>
  <si>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</si>
  <si>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</si>
  <si>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</si>
  <si>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</si>
  <si>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</si>
  <si>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</si>
  <si>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</si>
  <si>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</si>
  <si>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</si>
  <si>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</si>
  <si>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</si>
  <si>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</si>
  <si>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</si>
  <si>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</si>
  <si>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</si>
  <si>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</si>
  <si>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</si>
  <si>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</si>
  <si>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</si>
  <si>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</si>
  <si>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</si>
  <si>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</si>
  <si>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</si>
  <si>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</si>
  <si>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</si>
  <si>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</si>
  <si>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</si>
  <si>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</si>
  <si>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 SR074295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</si>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</sst>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34" fillId="40" borderId="1" xfId="0" applyFont="1" applyFill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27" fillId="40" borderId="1" xfId="0" applyFont="1" applyFill="1" applyBorder="1" applyAlignment="1">
      <alignment horizontal="left"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30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vertical="center" wrapText="1"/>
    </xf>
    <xf numFmtId="49" fontId="27" fillId="0" borderId="1" xfId="0" applyNumberFormat="1" applyFont="1" applyBorder="1" applyAlignment="1">
      <alignment vertical="center" wrapText="1"/>
    </xf>
    <xf numFmtId="0" fontId="23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Catalyze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SUM(C4:C92)</f>
        <v>2711449.787153298</v>
      </c>
      <c r="D2" s="5">
        <f>SUM(D4:D92)</f>
        <v>3781299.4129999997</v>
      </c>
      <c r="E2" s="5">
        <f>C2-D2</f>
        <v>-1069849.6258467017</v>
      </c>
      <c r="F2" s="6">
        <f>IFERROR(E2/D2, 0)</f>
        <v>-0.28293174091651913</v>
      </c>
      <c r="G2" s="5">
        <f>SUM(G4:G92)</f>
        <v>4244130.4400000004</v>
      </c>
      <c r="H2" s="7">
        <f>C2-G2</f>
        <v>-1532680.6528467024</v>
      </c>
      <c r="I2" s="6">
        <f>IFERROR(H2/G2, 0)</f>
        <v>-0.36112948801043498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99210.6875</v>
      </c>
      <c r="D4" s="37">
        <f>SUM('1st Qtr'!D4, '2nd Qtr'!D4, '3rd Qtr'!D4, '4th Qtr'!D4)</f>
        <v>97803.63</v>
      </c>
      <c r="E4" s="37">
        <f>IF(AND(ISNUMBER(C4),ISNUMBER(D4)), C4-D4, "")</f>
        <v>1407.0574999999953</v>
      </c>
      <c r="F4" s="38">
        <f>IFERROR(E4/D4, "")</f>
        <v>1.4386557022474475E-2</v>
      </c>
      <c r="G4" s="39">
        <f>SUM('1st Qtr'!G4, '2nd Qtr'!G4, '3rd Qtr'!G4, '4th Qtr'!G4)</f>
        <v>115485.48000000001</v>
      </c>
      <c r="H4" s="39">
        <f>SUM('1st Qtr'!H4, '2nd Qtr'!H4, '3rd Qtr'!H4, '4th Qtr'!H4)</f>
        <v>-16274.792500000003</v>
      </c>
      <c r="I4" s="40">
        <f>IFERROR(H4/G4, "")</f>
        <v>-0.1409250106593487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381399</v>
      </c>
      <c r="D5" s="44">
        <f>SUM(Jan!D5, Feb!D5, Mar!D5)</f>
        <v>696468.54</v>
      </c>
      <c r="E5" s="44">
        <f t="shared" ref="E5:E15" si="0">IF(AND(ISNUMBER(C5),ISNUMBER(D5)), C5-D5, "")</f>
        <v>-315069.54000000004</v>
      </c>
      <c r="F5" s="45">
        <f>IFERROR(E5/D5, "")</f>
        <v>-0.45238158208840273</v>
      </c>
      <c r="G5" s="46">
        <f>SUM('1st Qtr'!G5, '2nd Qtr'!G5, '3rd Qtr'!G5, '4th Qtr'!G5)</f>
        <v>1077168.79</v>
      </c>
      <c r="H5" s="46">
        <f>SUM(Jan!H5, Feb!H5, Mar!H5)</f>
        <v>-695769.79</v>
      </c>
      <c r="I5" s="45">
        <f>IFERROR(H5/G5, "")</f>
        <v>-0.6459245723225977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478373</v>
      </c>
      <c r="D6" s="37">
        <f>SUM(Jan!D6, Feb!D6, Mar!D6)</f>
        <v>591797.9</v>
      </c>
      <c r="E6" s="37">
        <f t="shared" si="0"/>
        <v>-113424.90000000002</v>
      </c>
      <c r="F6" s="38">
        <f t="shared" ref="F6:F15" si="1">IFERROR(E6/D6, "")</f>
        <v>-0.19166154526739621</v>
      </c>
      <c r="G6" s="39">
        <f>SUM('1st Qtr'!G6, '2nd Qtr'!G6, '3rd Qtr'!G6, '4th Qtr'!G6)</f>
        <v>826995.19999999995</v>
      </c>
      <c r="H6" s="39">
        <f>SUM(Jan!H6, Feb!H6, Mar!H6)</f>
        <v>-348622.2</v>
      </c>
      <c r="I6" s="40">
        <f t="shared" ref="I6:I15" si="2">IFERROR(H6/G6, "")</f>
        <v>-0.42155286995619812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53293</v>
      </c>
      <c r="D7" s="44">
        <f>SUM(Jan!D7, Feb!D7, Mar!D7)</f>
        <v>69457.09</v>
      </c>
      <c r="E7" s="44">
        <f t="shared" si="0"/>
        <v>-16164.089999999997</v>
      </c>
      <c r="F7" s="45">
        <f t="shared" si="1"/>
        <v>-0.23272051852445874</v>
      </c>
      <c r="G7" s="46">
        <f>SUM('1st Qtr'!G7, '2nd Qtr'!G7, '3rd Qtr'!G7, '4th Qtr'!G7)</f>
        <v>63965.2</v>
      </c>
      <c r="H7" s="46">
        <f>SUM(Jan!H7, Feb!H7, Mar!H7)</f>
        <v>-10672.2</v>
      </c>
      <c r="I7" s="45">
        <f t="shared" si="2"/>
        <v>-0.16684384634144819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12781.437499999651</v>
      </c>
      <c r="D8" s="37">
        <f>SUM(Jan!D8, Feb!D8, Mar!D8)</f>
        <v>18318.161</v>
      </c>
      <c r="E8" s="37">
        <f t="shared" si="0"/>
        <v>-5536.7235000003493</v>
      </c>
      <c r="F8" s="38">
        <f t="shared" si="1"/>
        <v>-0.30225323928533815</v>
      </c>
      <c r="G8" s="39">
        <f>SUM('1st Qtr'!G8, '2nd Qtr'!G8, '3rd Qtr'!G8, '4th Qtr'!G8)</f>
        <v>20038.629000000001</v>
      </c>
      <c r="H8" s="39">
        <f>SUM(Jan!H8, Feb!H8, Mar!H8)</f>
        <v>-7257.1915000003492</v>
      </c>
      <c r="I8" s="40">
        <f t="shared" si="2"/>
        <v>-0.36216008091174046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8875.7625318742303</v>
      </c>
      <c r="D9" s="44">
        <f>SUM(Jan!D9, Feb!D9, Mar!D9)</f>
        <v>14188.946</v>
      </c>
      <c r="E9" s="44">
        <f t="shared" si="0"/>
        <v>-5313.1834681257697</v>
      </c>
      <c r="F9" s="45">
        <f t="shared" si="1"/>
        <v>-0.37445934801117503</v>
      </c>
      <c r="G9" s="46">
        <f>SUM('1st Qtr'!G9, '2nd Qtr'!G9, '3rd Qtr'!G9, '4th Qtr'!G9)</f>
        <v>14519.071</v>
      </c>
      <c r="H9" s="46">
        <f>SUM(Jan!H9, Feb!H9, Mar!H9)</f>
        <v>-5643.3084681257706</v>
      </c>
      <c r="I9" s="45">
        <f t="shared" si="2"/>
        <v>-0.38868247618086382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16337.1069651742</v>
      </c>
      <c r="D10" s="37">
        <f>SUM(Jan!D10, Feb!D10, Mar!D10)</f>
        <v>26694.125999999997</v>
      </c>
      <c r="E10" s="37">
        <f t="shared" si="0"/>
        <v>-10357.019034825797</v>
      </c>
      <c r="F10" s="38">
        <f t="shared" si="1"/>
        <v>-0.3879886921499433</v>
      </c>
      <c r="G10" s="39">
        <f>SUM('1st Qtr'!G10, '2nd Qtr'!G10, '3rd Qtr'!G10, '4th Qtr'!G10)</f>
        <v>24938.18</v>
      </c>
      <c r="H10" s="39">
        <f>SUM(Jan!H10, Feb!H10, Mar!H10)</f>
        <v>-8601.0730348258003</v>
      </c>
      <c r="I10" s="40">
        <f t="shared" si="2"/>
        <v>-0.34489577967701734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41677.875</v>
      </c>
      <c r="D11" s="44">
        <f>SUM(Jan!D11, Feb!D11, Mar!D11)</f>
        <v>63250.78</v>
      </c>
      <c r="E11" s="44">
        <f t="shared" si="0"/>
        <v>-21572.904999999999</v>
      </c>
      <c r="F11" s="45">
        <f t="shared" si="1"/>
        <v>-0.34106939076482534</v>
      </c>
      <c r="G11" s="46">
        <f>SUM('1st Qtr'!G11, '2nd Qtr'!G11, '3rd Qtr'!G11, '4th Qtr'!G11)</f>
        <v>51995.380000000005</v>
      </c>
      <c r="H11" s="46">
        <f>SUM(Jan!H11, Feb!H11, Mar!H11)</f>
        <v>-10317.505000000001</v>
      </c>
      <c r="I11" s="45">
        <f t="shared" si="2"/>
        <v>-0.19843118754012376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338697</v>
      </c>
      <c r="D12" s="37">
        <f>SUM(Jan!D12, Feb!D12, Mar!D12)</f>
        <v>593932.6</v>
      </c>
      <c r="E12" s="37">
        <f t="shared" si="0"/>
        <v>-255235.59999999998</v>
      </c>
      <c r="F12" s="38">
        <f t="shared" si="1"/>
        <v>-0.42973832384347987</v>
      </c>
      <c r="G12" s="39">
        <f>SUM('1st Qtr'!G12, '2nd Qtr'!G12, '3rd Qtr'!G12, '4th Qtr'!G12)</f>
        <v>749288</v>
      </c>
      <c r="H12" s="39">
        <f>SUM(Jan!H12, Feb!H12, Mar!H12)</f>
        <v>-410591</v>
      </c>
      <c r="I12" s="40">
        <f t="shared" si="2"/>
        <v>-0.54797487748369123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422356</v>
      </c>
      <c r="D13" s="44">
        <f>SUM(Jan!D13, Feb!D13, Mar!D13)</f>
        <v>522536.7</v>
      </c>
      <c r="E13" s="44">
        <f t="shared" si="0"/>
        <v>-100180.70000000001</v>
      </c>
      <c r="F13" s="45">
        <f t="shared" si="1"/>
        <v>-0.1917199308680137</v>
      </c>
      <c r="G13" s="46">
        <f>SUM('1st Qtr'!G13, '2nd Qtr'!G13, '3rd Qtr'!G13, '4th Qtr'!G13)</f>
        <v>381411.8</v>
      </c>
      <c r="H13" s="46">
        <f>SUM(Jan!H13, Feb!H13, Mar!H13)</f>
        <v>40944.200000000012</v>
      </c>
      <c r="I13" s="45">
        <f t="shared" si="2"/>
        <v>0.10734906471168436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393093</v>
      </c>
      <c r="D14" s="37">
        <f>SUM(Jan!D14, Feb!D14, Mar!D14)</f>
        <v>577373.1</v>
      </c>
      <c r="E14" s="37">
        <f t="shared" si="0"/>
        <v>-184280.09999999998</v>
      </c>
      <c r="F14" s="38">
        <f t="shared" si="1"/>
        <v>-0.31916987473091485</v>
      </c>
      <c r="G14" s="39">
        <f>SUM('1st Qtr'!G14, '2nd Qtr'!G14, '3rd Qtr'!G14, '4th Qtr'!G14)</f>
        <v>412202.9</v>
      </c>
      <c r="H14" s="39">
        <f>SUM(Jan!H14, Feb!H14, Mar!H14)</f>
        <v>-19109.900000000023</v>
      </c>
      <c r="I14" s="40">
        <f t="shared" si="2"/>
        <v>-4.6360421045072757E-2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130389.23015625001</v>
      </c>
      <c r="D15" s="44">
        <f>SUM(Jan!D15, Feb!D15, Mar!D15)</f>
        <v>131675.74</v>
      </c>
      <c r="E15" s="44">
        <f t="shared" si="0"/>
        <v>-1286.5098437499837</v>
      </c>
      <c r="F15" s="45">
        <f t="shared" si="1"/>
        <v>-9.7702875544878939E-3</v>
      </c>
      <c r="G15" s="46">
        <f>SUM('1st Qtr'!G15, '2nd Qtr'!G15, '3rd Qtr'!G15, '4th Qtr'!G15)</f>
        <v>156650.27000000002</v>
      </c>
      <c r="H15" s="46">
        <f>SUM(Jan!H15, Feb!H15, Mar!H15)</f>
        <v>-26261.039843750004</v>
      </c>
      <c r="I15" s="45">
        <f t="shared" si="2"/>
        <v>-0.16764120383418427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197144.125</v>
      </c>
      <c r="D16" s="37">
        <f>SUM(Jan!D16, Feb!D16, Mar!D16)</f>
        <v>223988.8</v>
      </c>
      <c r="E16" s="37">
        <f t="shared" ref="E16:E17" si="3">IF(AND(ISNUMBER(C16),ISNUMBER(D16)), C16-D16, "")</f>
        <v>-26844.674999999988</v>
      </c>
      <c r="F16" s="38">
        <f t="shared" ref="F16:F17" si="4">IFERROR(E16/D16, "")</f>
        <v>-0.1198482915217189</v>
      </c>
      <c r="G16" s="39">
        <f>SUM('1st Qtr'!G16, '2nd Qtr'!G16, '3rd Qtr'!G16, '4th Qtr'!G16)</f>
        <v>197458.97</v>
      </c>
      <c r="H16" s="39">
        <f>SUM(Jan!H16, Feb!H16, Mar!H16)</f>
        <v>-314.84500000000116</v>
      </c>
      <c r="I16" s="40">
        <f t="shared" ref="I16:I17" si="5">IFERROR(H16/G16, "")</f>
        <v>-1.5944831475622563E-3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137822.5625</v>
      </c>
      <c r="D17" s="44">
        <f>SUM(Jan!D17, Feb!D17, Mar!D17)</f>
        <v>153813.29999999999</v>
      </c>
      <c r="E17" s="44">
        <f t="shared" si="3"/>
        <v>-15990.737499999988</v>
      </c>
      <c r="F17" s="45">
        <f t="shared" si="4"/>
        <v>-0.10396199483399673</v>
      </c>
      <c r="G17" s="46">
        <f>SUM('1st Qtr'!G17, '2nd Qtr'!G17, '3rd Qtr'!G17, '4th Qtr'!G17)</f>
        <v>152012.57</v>
      </c>
      <c r="H17" s="46">
        <f>SUM(Jan!H17, Feb!H17, Mar!H17)</f>
        <v>-14190.007499999992</v>
      </c>
      <c r="I17" s="45">
        <f t="shared" si="5"/>
        <v>-9.3347592899718695E-2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Catalyze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SUM(C4:C92)</f>
        <v>2711449.787153298</v>
      </c>
      <c r="D2" s="5">
        <f>SUM(D4:D92)</f>
        <v>3781299.4129999997</v>
      </c>
      <c r="E2" s="5">
        <f>C2-D2</f>
        <v>-1069849.6258467017</v>
      </c>
      <c r="F2" s="6">
        <f>IFERROR(E2/D2, 0)</f>
        <v>-0.28293174091651913</v>
      </c>
      <c r="G2" s="5">
        <f>SUM(G4:G92)</f>
        <v>4244130.4400000004</v>
      </c>
      <c r="H2" s="7">
        <f>C2-G2</f>
        <v>-1532680.6528467024</v>
      </c>
      <c r="I2" s="6">
        <f>IFERROR(H2/G2, 0)</f>
        <v>-0.36112948801043498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99210.6875</v>
      </c>
      <c r="D4" s="37">
        <f>SUM(Jan!D4, Feb!D4, Mar!D4)</f>
        <v>97803.63</v>
      </c>
      <c r="E4" s="37">
        <f>IF(AND(ISNUMBER(C4),ISNUMBER(D4)), C4-D4, "")</f>
        <v>1407.0574999999953</v>
      </c>
      <c r="F4" s="38">
        <f>IFERROR(E4/D4, "")</f>
        <v>1.4386557022474475E-2</v>
      </c>
      <c r="G4" s="39">
        <f>SUM(Jan!G4, Feb!G4, Mar!G4)</f>
        <v>115485.48000000001</v>
      </c>
      <c r="H4" s="39">
        <f>SUM(Jan!H4, Feb!H4, Mar!H4)</f>
        <v>-16274.792500000003</v>
      </c>
      <c r="I4" s="40">
        <f>IFERROR(H4/G4, "")</f>
        <v>-0.1409250106593487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381399</v>
      </c>
      <c r="D5" s="44">
        <f>SUM(Jan!D5, Feb!D5, Mar!D5)</f>
        <v>696468.54</v>
      </c>
      <c r="E5" s="44">
        <f t="shared" ref="E5:E15" si="0">IF(AND(ISNUMBER(C5),ISNUMBER(D5)), C5-D5, "")</f>
        <v>-315069.54000000004</v>
      </c>
      <c r="F5" s="45">
        <f>IFERROR(E5/D5, "")</f>
        <v>-0.45238158208840273</v>
      </c>
      <c r="G5" s="46">
        <f>SUM(Jan!G5, Feb!G5, Mar!G5)</f>
        <v>1077168.79</v>
      </c>
      <c r="H5" s="46">
        <f>SUM(Jan!H5, Feb!H5, Mar!H5)</f>
        <v>-695769.79</v>
      </c>
      <c r="I5" s="45">
        <f>IFERROR(H5/G5, "")</f>
        <v>-0.6459245723225977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478373</v>
      </c>
      <c r="D6" s="37">
        <f>SUM(Jan!D6, Feb!D6, Mar!D6)</f>
        <v>591797.9</v>
      </c>
      <c r="E6" s="37">
        <f t="shared" si="0"/>
        <v>-113424.90000000002</v>
      </c>
      <c r="F6" s="38">
        <f t="shared" ref="F6:F15" si="1">IFERROR(E6/D6, "")</f>
        <v>-0.19166154526739621</v>
      </c>
      <c r="G6" s="39">
        <f>SUM(Jan!G6, Feb!G6, Mar!G6)</f>
        <v>826995.19999999995</v>
      </c>
      <c r="H6" s="39">
        <f>SUM(Jan!H6, Feb!H6, Mar!H6)</f>
        <v>-348622.2</v>
      </c>
      <c r="I6" s="40">
        <f t="shared" ref="I6:I15" si="2">IFERROR(H6/G6, "")</f>
        <v>-0.42155286995619812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53293</v>
      </c>
      <c r="D7" s="44">
        <f>SUM(Jan!D7, Feb!D7, Mar!D7)</f>
        <v>69457.09</v>
      </c>
      <c r="E7" s="44">
        <f t="shared" si="0"/>
        <v>-16164.089999999997</v>
      </c>
      <c r="F7" s="45">
        <f t="shared" si="1"/>
        <v>-0.23272051852445874</v>
      </c>
      <c r="G7" s="46">
        <f>SUM(Jan!G7, Feb!G7, Mar!G7)</f>
        <v>63965.2</v>
      </c>
      <c r="H7" s="46">
        <f>SUM(Jan!H7, Feb!H7, Mar!H7)</f>
        <v>-10672.2</v>
      </c>
      <c r="I7" s="45">
        <f t="shared" si="2"/>
        <v>-0.16684384634144819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12781.437499999651</v>
      </c>
      <c r="D8" s="37">
        <f>SUM(Jan!D8, Feb!D8, Mar!D8)</f>
        <v>18318.161</v>
      </c>
      <c r="E8" s="37">
        <f t="shared" si="0"/>
        <v>-5536.7235000003493</v>
      </c>
      <c r="F8" s="38">
        <f t="shared" si="1"/>
        <v>-0.30225323928533815</v>
      </c>
      <c r="G8" s="39">
        <f>SUM(Jan!G8, Feb!G8, Mar!G8)</f>
        <v>20038.629000000001</v>
      </c>
      <c r="H8" s="39">
        <f>SUM(Jan!H8, Feb!H8, Mar!H8)</f>
        <v>-7257.1915000003492</v>
      </c>
      <c r="I8" s="40">
        <f t="shared" si="2"/>
        <v>-0.36216008091174046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8875.7625318742303</v>
      </c>
      <c r="D9" s="44">
        <f>SUM(Jan!D9, Feb!D9, Mar!D9)</f>
        <v>14188.946</v>
      </c>
      <c r="E9" s="44">
        <f t="shared" si="0"/>
        <v>-5313.1834681257697</v>
      </c>
      <c r="F9" s="45">
        <f t="shared" si="1"/>
        <v>-0.37445934801117503</v>
      </c>
      <c r="G9" s="46">
        <f>SUM(Jan!G9, Feb!G9, Mar!G9)</f>
        <v>14519.071</v>
      </c>
      <c r="H9" s="46">
        <f>SUM(Jan!H9, Feb!H9, Mar!H9)</f>
        <v>-5643.3084681257706</v>
      </c>
      <c r="I9" s="45">
        <f t="shared" si="2"/>
        <v>-0.38868247618086382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16337.1069651742</v>
      </c>
      <c r="D10" s="37">
        <f>SUM(Jan!D10, Feb!D10, Mar!D10)</f>
        <v>26694.125999999997</v>
      </c>
      <c r="E10" s="37">
        <f t="shared" si="0"/>
        <v>-10357.019034825797</v>
      </c>
      <c r="F10" s="38">
        <f t="shared" si="1"/>
        <v>-0.3879886921499433</v>
      </c>
      <c r="G10" s="39">
        <f>SUM(Jan!G10, Feb!G10, Mar!G10)</f>
        <v>24938.18</v>
      </c>
      <c r="H10" s="39">
        <f>SUM(Jan!H10, Feb!H10, Mar!H10)</f>
        <v>-8601.0730348258003</v>
      </c>
      <c r="I10" s="40">
        <f t="shared" si="2"/>
        <v>-0.34489577967701734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41677.875</v>
      </c>
      <c r="D11" s="44">
        <f>SUM(Jan!D11, Feb!D11, Mar!D11)</f>
        <v>63250.78</v>
      </c>
      <c r="E11" s="44">
        <f t="shared" si="0"/>
        <v>-21572.904999999999</v>
      </c>
      <c r="F11" s="45">
        <f t="shared" si="1"/>
        <v>-0.34106939076482534</v>
      </c>
      <c r="G11" s="46">
        <f>SUM(Jan!G11, Feb!G11, Mar!G11)</f>
        <v>51995.380000000005</v>
      </c>
      <c r="H11" s="46">
        <f>SUM(Jan!H11, Feb!H11, Mar!H11)</f>
        <v>-10317.505000000001</v>
      </c>
      <c r="I11" s="45">
        <f t="shared" si="2"/>
        <v>-0.19843118754012376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338697</v>
      </c>
      <c r="D12" s="37">
        <f>SUM(Jan!D12, Feb!D12, Mar!D12)</f>
        <v>593932.6</v>
      </c>
      <c r="E12" s="37">
        <f t="shared" si="0"/>
        <v>-255235.59999999998</v>
      </c>
      <c r="F12" s="38">
        <f t="shared" si="1"/>
        <v>-0.42973832384347987</v>
      </c>
      <c r="G12" s="39">
        <f>SUM(Jan!G12, Feb!G12, Mar!G12)</f>
        <v>749288</v>
      </c>
      <c r="H12" s="39">
        <f>SUM(Jan!H12, Feb!H12, Mar!H12)</f>
        <v>-410591</v>
      </c>
      <c r="I12" s="40">
        <f t="shared" si="2"/>
        <v>-0.54797487748369123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422356</v>
      </c>
      <c r="D13" s="44">
        <f>SUM(Jan!D13, Feb!D13, Mar!D13)</f>
        <v>522536.7</v>
      </c>
      <c r="E13" s="44">
        <f t="shared" si="0"/>
        <v>-100180.70000000001</v>
      </c>
      <c r="F13" s="45">
        <f t="shared" si="1"/>
        <v>-0.1917199308680137</v>
      </c>
      <c r="G13" s="46">
        <f>SUM(Jan!G13, Feb!G13, Mar!G13)</f>
        <v>381411.8</v>
      </c>
      <c r="H13" s="46">
        <f>SUM(Jan!H13, Feb!H13, Mar!H13)</f>
        <v>40944.200000000012</v>
      </c>
      <c r="I13" s="45">
        <f t="shared" si="2"/>
        <v>0.10734906471168436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393093</v>
      </c>
      <c r="D14" s="37">
        <f>SUM(Jan!D14, Feb!D14, Mar!D14)</f>
        <v>577373.1</v>
      </c>
      <c r="E14" s="37">
        <f t="shared" si="0"/>
        <v>-184280.09999999998</v>
      </c>
      <c r="F14" s="38">
        <f t="shared" si="1"/>
        <v>-0.31916987473091485</v>
      </c>
      <c r="G14" s="39">
        <f>SUM(Jan!G14, Feb!G14, Mar!G14)</f>
        <v>412202.9</v>
      </c>
      <c r="H14" s="39">
        <f>SUM(Jan!H14, Feb!H14, Mar!H14)</f>
        <v>-19109.900000000023</v>
      </c>
      <c r="I14" s="40">
        <f t="shared" si="2"/>
        <v>-4.6360421045072757E-2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130389.23015625001</v>
      </c>
      <c r="D15" s="44">
        <f>SUM(Jan!D15, Feb!D15, Mar!D15)</f>
        <v>131675.74</v>
      </c>
      <c r="E15" s="44">
        <f t="shared" si="0"/>
        <v>-1286.5098437499837</v>
      </c>
      <c r="F15" s="45">
        <f t="shared" si="1"/>
        <v>-9.7702875544878939E-3</v>
      </c>
      <c r="G15" s="46">
        <f>SUM(Jan!G15, Feb!G15, Mar!G15)</f>
        <v>156650.27000000002</v>
      </c>
      <c r="H15" s="46">
        <f>SUM(Jan!H15, Feb!H15, Mar!H15)</f>
        <v>-26261.039843750004</v>
      </c>
      <c r="I15" s="45">
        <f t="shared" si="2"/>
        <v>-0.16764120383418427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197144.125</v>
      </c>
      <c r="D16" s="37">
        <f>SUM(Jan!D16, Feb!D16, Mar!D16)</f>
        <v>223988.8</v>
      </c>
      <c r="E16" s="37">
        <f t="shared" ref="E16:E17" si="3">IF(AND(ISNUMBER(C16),ISNUMBER(D16)), C16-D16, "")</f>
        <v>-26844.674999999988</v>
      </c>
      <c r="F16" s="38">
        <f t="shared" ref="F16:F17" si="4">IFERROR(E16/D16, "")</f>
        <v>-0.1198482915217189</v>
      </c>
      <c r="G16" s="39">
        <f>SUM(Jan!G16, Feb!G16, Mar!G16)</f>
        <v>197458.97</v>
      </c>
      <c r="H16" s="39">
        <f>SUM(Jan!H16, Feb!H16, Mar!H16)</f>
        <v>-314.84500000000116</v>
      </c>
      <c r="I16" s="40">
        <f t="shared" ref="I16:I17" si="5">IFERROR(H16/G16, "")</f>
        <v>-1.5944831475622563E-3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137822.5625</v>
      </c>
      <c r="D17" s="44">
        <f>SUM(Jan!D17, Feb!D17, Mar!D17)</f>
        <v>153813.29999999999</v>
      </c>
      <c r="E17" s="44">
        <f t="shared" si="3"/>
        <v>-15990.737499999988</v>
      </c>
      <c r="F17" s="45">
        <f t="shared" si="4"/>
        <v>-0.10396199483399673</v>
      </c>
      <c r="G17" s="46">
        <f>SUM(Jan!G17, Feb!G17, Mar!G17)</f>
        <v>152012.57</v>
      </c>
      <c r="H17" s="46">
        <f>SUM(Jan!H17, Feb!H17, Mar!H17)</f>
        <v>-14190.007499999992</v>
      </c>
      <c r="I17" s="45">
        <f t="shared" si="5"/>
        <v>-9.3347592899718695E-2</v>
      </c>
    </row>
    <row r="18" spans="1:9" ht="14.25">
      <c r="A18" s="13"/>
      <c r="B18" s="8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13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Catalyze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SUM(Apr!H4, May!H4, Jun!H4)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SUM(Apr!H5, May!H5, Jun!H5)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SUM(Apr!H6, May!H6, Jun!H6)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/>
      <c r="H7" s="46">
        <f>SUM(Apr!H7, May!H7, Jun!H7)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/>
      <c r="H8" s="39">
        <f>SUM(Apr!H8, May!H8, Jun!H8)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/>
      <c r="H9" s="46">
        <f>SUM(Apr!H9, May!H9, Jun!H9)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/>
      <c r="H10" s="39">
        <f>SUM(Apr!H10, May!H10, Jun!H10)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/>
      <c r="H11" s="46">
        <f>SUM(Apr!H11, May!H11, Jun!H11)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/>
      <c r="H12" s="39">
        <f>SUM(Apr!H12, May!H12, Jun!H12)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/>
      <c r="H13" s="46">
        <f>SUM(Apr!H13, May!H13, Jun!H13)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/>
      <c r="H14" s="39">
        <f>SUM(Apr!H14, May!H14, Jun!H14)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/>
      <c r="H15" s="46">
        <f>SUM(Apr!H15, May!H15, Jun!H15)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0</v>
      </c>
      <c r="D16" s="37">
        <f>SUM(Apr!D16, May!D16, Jun!D16)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SUM(Apr!H16, May!H16, Jun!H16)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39"/>
      <c r="H17" s="39">
        <f>SUM(Apr!H17, May!H17, Jun!H17)</f>
        <v>0</v>
      </c>
      <c r="I17" s="40" t="str">
        <f t="shared" si="5"/>
        <v/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2 I4:I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Catalyze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0</v>
      </c>
      <c r="D16" s="37">
        <f>SUM(Jul!D16, Aug!D16, Sep!D16)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SUM(Jul!H16, Aug!H16, Sep!H16)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Catalyze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4.2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4.2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4.2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4.25">
      <c r="A22" s="13"/>
      <c r="B22" s="8"/>
      <c r="C22" s="23"/>
      <c r="D22" s="10"/>
      <c r="E22" s="10"/>
      <c r="F22" s="11"/>
      <c r="G22" s="12"/>
      <c r="H22" s="12"/>
      <c r="I22" s="11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C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3.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62" t="str" cm="1">
        <f t="array" ref="A1">portfolio</f>
        <v>Catalyze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5">
      <c r="A2" s="64" t="s">
        <v>2</v>
      </c>
      <c r="B2" s="64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28.5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28.5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28.5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4.2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G5" sqref="G5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36</v>
      </c>
      <c r="E1" s="63"/>
      <c r="F1" s="63"/>
      <c r="G1" s="61" t="s">
        <v>37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5.75">
      <c r="A5" s="53" t="str">
        <v>Adelanto - 1 Sheep Creek Road</v>
      </c>
      <c r="B5" s="50" t="str">
        <v>CA</v>
      </c>
      <c r="C5" s="43">
        <v>300982</v>
      </c>
      <c r="D5" s="44">
        <v>344128.54</v>
      </c>
      <c r="E5" s="44">
        <f t="shared" ref="E5:E15" si="0">IF(AND(ISNUMBER(C5),ISNUMBER(D5)), C5-D5, "")</f>
        <v>-43146.539999999979</v>
      </c>
      <c r="F5" s="45">
        <f>IFERROR(E5/D5, "")</f>
        <v>-0.12537913885317381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9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9"/>
    </row>
    <row r="12" spans="1:11" ht="61.5" customHeight="1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>IF(AND(ISNUMBER(C12),ISNUMBER(G12)), C12-G12, "")</f>
        <v>-224034</v>
      </c>
      <c r="I12" s="40">
        <f>IFERROR(H12/G12, "")</f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9" t="s">
        <v>49</v>
      </c>
    </row>
    <row r="14" spans="1:11" ht="71.25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9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0" t="s">
        <v>52</v>
      </c>
      <c r="K17" s="59" t="s">
        <v>53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4"/>
  <sheetViews>
    <sheetView tabSelected="1"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54</v>
      </c>
      <c r="E1" s="63"/>
      <c r="F1" s="63"/>
      <c r="G1" s="61" t="s">
        <v>55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56</v>
      </c>
      <c r="E1" s="63"/>
      <c r="F1" s="63"/>
      <c r="G1" s="61" t="s">
        <v>57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58</v>
      </c>
      <c r="E1" s="63"/>
      <c r="F1" s="63"/>
      <c r="G1" s="61" t="s">
        <v>59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60</v>
      </c>
      <c r="E1" s="63"/>
      <c r="F1" s="63"/>
      <c r="G1" s="61" t="s">
        <v>61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62</v>
      </c>
      <c r="E1" s="63"/>
      <c r="F1" s="63"/>
      <c r="G1" s="61" t="s">
        <v>63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64</v>
      </c>
      <c r="E1" s="63"/>
      <c r="F1" s="63"/>
      <c r="G1" s="61" t="s">
        <v>65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66</v>
      </c>
      <c r="E1" s="63"/>
      <c r="F1" s="63"/>
      <c r="G1" s="61" t="s">
        <v>67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68</v>
      </c>
      <c r="E1" s="63"/>
      <c r="F1" s="63"/>
      <c r="G1" s="61" t="s">
        <v>69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70</v>
      </c>
      <c r="E1" s="63"/>
      <c r="F1" s="63"/>
      <c r="G1" s="61" t="s">
        <v>71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Catalyze</v>
      </c>
      <c r="B1" s="62"/>
      <c r="C1" s="62"/>
      <c r="D1" s="63" t="s">
        <v>72</v>
      </c>
      <c r="E1" s="63"/>
      <c r="F1" s="63"/>
      <c r="G1" s="61" t="s">
        <v>73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A18" sqref="A18:XFD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74</v>
      </c>
      <c r="B1" t="s">
        <v>75</v>
      </c>
    </row>
    <row r="3" spans="1:12">
      <c r="A3" t="s">
        <v>76</v>
      </c>
      <c r="B3" t="s">
        <v>3</v>
      </c>
      <c r="C3" t="s">
        <v>4</v>
      </c>
      <c r="D3" t="s">
        <v>77</v>
      </c>
      <c r="E3" s="2" t="s">
        <v>78</v>
      </c>
    </row>
    <row r="4" spans="1:12" ht="14.25">
      <c r="A4" s="26" t="s">
        <v>79</v>
      </c>
      <c r="B4" t="s">
        <v>80</v>
      </c>
      <c r="C4" s="25" t="s">
        <v>81</v>
      </c>
      <c r="D4" s="24" t="s">
        <v>82</v>
      </c>
      <c r="E4" t="s">
        <v>83</v>
      </c>
      <c r="G4" s="3"/>
    </row>
    <row r="5" spans="1:12" ht="14.25">
      <c r="A5" s="26" t="s">
        <v>84</v>
      </c>
      <c r="B5" t="s">
        <v>85</v>
      </c>
      <c r="C5" s="25" t="s">
        <v>81</v>
      </c>
      <c r="D5" s="24"/>
      <c r="E5" t="s">
        <v>86</v>
      </c>
      <c r="G5" s="3"/>
    </row>
    <row r="6" spans="1:12" ht="14.25">
      <c r="A6" s="26" t="s">
        <v>87</v>
      </c>
      <c r="B6" t="s">
        <v>88</v>
      </c>
      <c r="C6" s="25" t="s">
        <v>89</v>
      </c>
      <c r="D6" s="24" t="s">
        <v>90</v>
      </c>
      <c r="E6" t="s">
        <v>83</v>
      </c>
      <c r="G6" s="3"/>
    </row>
    <row r="7" spans="1:12" ht="12.75" customHeight="1">
      <c r="A7" s="26" t="s">
        <v>91</v>
      </c>
      <c r="B7" t="s">
        <v>92</v>
      </c>
      <c r="C7" s="25" t="s">
        <v>89</v>
      </c>
      <c r="D7" s="24" t="s">
        <v>82</v>
      </c>
      <c r="E7" t="s">
        <v>83</v>
      </c>
    </row>
    <row r="8" spans="1:12" ht="12.75" customHeight="1">
      <c r="A8" s="26" t="s">
        <v>93</v>
      </c>
      <c r="B8" t="s">
        <v>94</v>
      </c>
      <c r="C8" s="25" t="s">
        <v>89</v>
      </c>
      <c r="D8" s="24" t="s">
        <v>82</v>
      </c>
      <c r="E8" t="s">
        <v>83</v>
      </c>
    </row>
    <row r="9" spans="1:12" ht="12.75" customHeight="1">
      <c r="A9" s="26" t="s">
        <v>95</v>
      </c>
      <c r="B9" t="s">
        <v>96</v>
      </c>
      <c r="C9" s="25" t="s">
        <v>89</v>
      </c>
      <c r="D9" s="24" t="s">
        <v>82</v>
      </c>
      <c r="E9" t="s">
        <v>83</v>
      </c>
    </row>
    <row r="10" spans="1:12" ht="12.75" customHeight="1">
      <c r="A10" s="26" t="s">
        <v>97</v>
      </c>
      <c r="B10" t="s">
        <v>98</v>
      </c>
      <c r="C10" s="25" t="s">
        <v>99</v>
      </c>
      <c r="D10" s="24" t="s">
        <v>82</v>
      </c>
      <c r="E10" t="s">
        <v>83</v>
      </c>
      <c r="K10" s="21"/>
      <c r="L10" s="21"/>
    </row>
    <row r="11" spans="1:12" ht="12.75" customHeight="1">
      <c r="A11" s="26" t="s">
        <v>100</v>
      </c>
      <c r="B11" t="s">
        <v>101</v>
      </c>
      <c r="C11" s="25" t="s">
        <v>99</v>
      </c>
      <c r="D11" s="24" t="s">
        <v>82</v>
      </c>
      <c r="E11" t="s">
        <v>83</v>
      </c>
      <c r="K11" s="21"/>
      <c r="L11" s="21"/>
    </row>
    <row r="12" spans="1:12" ht="12.75" customHeight="1">
      <c r="A12" s="26" t="s">
        <v>102</v>
      </c>
      <c r="B12" t="s">
        <v>103</v>
      </c>
      <c r="C12" s="25" t="s">
        <v>99</v>
      </c>
      <c r="D12" s="24"/>
      <c r="E12" t="s">
        <v>86</v>
      </c>
      <c r="K12" s="21"/>
      <c r="L12" s="21"/>
    </row>
    <row r="13" spans="1:12" ht="12.75" customHeight="1">
      <c r="A13" s="26" t="s">
        <v>104</v>
      </c>
      <c r="B13" t="s">
        <v>104</v>
      </c>
      <c r="C13" s="25" t="s">
        <v>99</v>
      </c>
      <c r="D13" s="24"/>
      <c r="E13" t="s">
        <v>83</v>
      </c>
      <c r="K13" s="21"/>
      <c r="L13" s="21"/>
    </row>
    <row r="14" spans="1:12" ht="12.75" customHeight="1">
      <c r="A14" s="26" t="s">
        <v>105</v>
      </c>
      <c r="B14" t="s">
        <v>105</v>
      </c>
      <c r="C14" s="25" t="s">
        <v>99</v>
      </c>
      <c r="D14" s="24"/>
      <c r="E14" t="s">
        <v>83</v>
      </c>
      <c r="K14" s="21"/>
      <c r="L14" s="21"/>
    </row>
    <row r="15" spans="1:12" ht="12.75" customHeight="1">
      <c r="A15" s="26" t="s">
        <v>106</v>
      </c>
      <c r="B15" t="s">
        <v>107</v>
      </c>
      <c r="C15" s="25" t="s">
        <v>81</v>
      </c>
      <c r="D15" s="24"/>
      <c r="E15" t="s">
        <v>83</v>
      </c>
      <c r="K15" s="21"/>
      <c r="L15" s="21"/>
    </row>
    <row r="16" spans="1:12" ht="12.75" customHeight="1">
      <c r="A16" s="26" t="s">
        <v>108</v>
      </c>
      <c r="B16" t="s">
        <v>109</v>
      </c>
      <c r="C16" s="25" t="s">
        <v>110</v>
      </c>
      <c r="D16" s="24" t="s">
        <v>82</v>
      </c>
      <c r="E16" t="s">
        <v>83</v>
      </c>
      <c r="K16" s="21"/>
      <c r="L16" s="21"/>
    </row>
    <row r="17" spans="1:12" ht="12.75" customHeight="1">
      <c r="A17" s="26" t="s">
        <v>111</v>
      </c>
      <c r="B17" t="s">
        <v>112</v>
      </c>
      <c r="C17" s="25" t="s">
        <v>110</v>
      </c>
      <c r="D17" s="24" t="s">
        <v>82</v>
      </c>
      <c r="E17" t="s">
        <v>83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2024-04-11T19:00:27Z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