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libsysinc_com/Documents/Microsoft Teams Chat Files/"/>
    </mc:Choice>
  </mc:AlternateContent>
  <xr:revisionPtr revIDLastSave="739" documentId="13_ncr:1_{91C3A536-3FD7-42C1-AC3D-D1A6602DDA1A}" xr6:coauthVersionLast="47" xr6:coauthVersionMax="47" xr10:uidLastSave="{E7B58FC0-EA02-4F9D-824E-90A3ECD902F9}"/>
  <bookViews>
    <workbookView xWindow="-98" yWindow="-98" windowWidth="21795" windowHeight="12975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2" i="3"/>
  <c r="D2" i="72"/>
  <c r="G2" i="72"/>
  <c r="C2" i="3"/>
  <c r="C2" i="72"/>
  <c r="E76" i="3" l="1"/>
  <c r="C18" i="34" l="1"/>
  <c r="E18" i="34" s="1"/>
  <c r="F18" i="34" s="1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E25" i="34" s="1"/>
  <c r="F25" i="34" s="1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E33" i="34" s="1"/>
  <c r="F33" i="34" s="1"/>
  <c r="D33" i="34"/>
  <c r="C34" i="34"/>
  <c r="E34" i="34" s="1"/>
  <c r="F34" i="34" s="1"/>
  <c r="D34" i="34"/>
  <c r="C35" i="34"/>
  <c r="D35" i="34"/>
  <c r="C36" i="34"/>
  <c r="D36" i="34"/>
  <c r="C37" i="34"/>
  <c r="D37" i="34"/>
  <c r="C38" i="34"/>
  <c r="D38" i="34"/>
  <c r="C39" i="34"/>
  <c r="D39" i="34"/>
  <c r="C40" i="34"/>
  <c r="E40" i="34" s="1"/>
  <c r="F40" i="34" s="1"/>
  <c r="D40" i="34"/>
  <c r="C41" i="34"/>
  <c r="D41" i="34"/>
  <c r="C42" i="34"/>
  <c r="D42" i="34"/>
  <c r="C43" i="34"/>
  <c r="D43" i="34"/>
  <c r="C44" i="34"/>
  <c r="D44" i="34"/>
  <c r="C45" i="34"/>
  <c r="D45" i="34"/>
  <c r="C46" i="34"/>
  <c r="E46" i="34" s="1"/>
  <c r="F46" i="34" s="1"/>
  <c r="D46" i="34"/>
  <c r="C47" i="34"/>
  <c r="D47" i="34"/>
  <c r="C48" i="34"/>
  <c r="D48" i="34"/>
  <c r="C49" i="34"/>
  <c r="D49" i="34"/>
  <c r="C50" i="34"/>
  <c r="D50" i="34"/>
  <c r="C51" i="34"/>
  <c r="D51" i="34"/>
  <c r="C52" i="34"/>
  <c r="D52" i="34"/>
  <c r="C53" i="34"/>
  <c r="E53" i="34" s="1"/>
  <c r="F53" i="34" s="1"/>
  <c r="D53" i="34"/>
  <c r="C54" i="34"/>
  <c r="D54" i="34"/>
  <c r="C55" i="34"/>
  <c r="D55" i="34"/>
  <c r="C56" i="34"/>
  <c r="D56" i="34"/>
  <c r="C57" i="34"/>
  <c r="E57" i="34" s="1"/>
  <c r="F57" i="34" s="1"/>
  <c r="D57" i="34"/>
  <c r="C58" i="34"/>
  <c r="D58" i="34"/>
  <c r="C59" i="34"/>
  <c r="D59" i="34"/>
  <c r="C60" i="34"/>
  <c r="D60" i="34"/>
  <c r="C61" i="34"/>
  <c r="D61" i="34"/>
  <c r="C62" i="34"/>
  <c r="D62" i="34"/>
  <c r="C63" i="34"/>
  <c r="D63" i="34"/>
  <c r="C64" i="34"/>
  <c r="E64" i="34" s="1"/>
  <c r="F64" i="34" s="1"/>
  <c r="D64" i="34"/>
  <c r="C65" i="34"/>
  <c r="E65" i="34" s="1"/>
  <c r="F65" i="34" s="1"/>
  <c r="D65" i="34"/>
  <c r="C66" i="34"/>
  <c r="E66" i="34" s="1"/>
  <c r="F66" i="34" s="1"/>
  <c r="D66" i="34"/>
  <c r="C67" i="34"/>
  <c r="D67" i="34"/>
  <c r="C68" i="34"/>
  <c r="D68" i="34"/>
  <c r="C69" i="34"/>
  <c r="D69" i="34"/>
  <c r="C70" i="34"/>
  <c r="D70" i="34"/>
  <c r="C71" i="34"/>
  <c r="D71" i="34"/>
  <c r="C72" i="34"/>
  <c r="D72" i="34"/>
  <c r="C73" i="34"/>
  <c r="D73" i="34"/>
  <c r="C74" i="34"/>
  <c r="D74" i="34"/>
  <c r="C75" i="34"/>
  <c r="D75" i="34"/>
  <c r="C76" i="34"/>
  <c r="D76" i="34"/>
  <c r="C77" i="34"/>
  <c r="E77" i="34" s="1"/>
  <c r="F77" i="34" s="1"/>
  <c r="D77" i="34"/>
  <c r="C78" i="34"/>
  <c r="D78" i="34"/>
  <c r="C79" i="34"/>
  <c r="D79" i="34"/>
  <c r="C80" i="34"/>
  <c r="D80" i="34"/>
  <c r="C81" i="34"/>
  <c r="D81" i="34"/>
  <c r="C82" i="34"/>
  <c r="D82" i="34"/>
  <c r="C83" i="34"/>
  <c r="D83" i="34"/>
  <c r="C84" i="34"/>
  <c r="D84" i="34"/>
  <c r="C85" i="34"/>
  <c r="D85" i="34"/>
  <c r="C86" i="34"/>
  <c r="D86" i="34"/>
  <c r="C87" i="34"/>
  <c r="D87" i="34"/>
  <c r="C88" i="34"/>
  <c r="D88" i="34"/>
  <c r="C89" i="34"/>
  <c r="D89" i="34"/>
  <c r="C90" i="34"/>
  <c r="D90" i="34"/>
  <c r="C91" i="34"/>
  <c r="D91" i="34"/>
  <c r="C92" i="34"/>
  <c r="D92" i="34"/>
  <c r="C93" i="34"/>
  <c r="D93" i="34"/>
  <c r="C94" i="34"/>
  <c r="D94" i="34"/>
  <c r="C95" i="34"/>
  <c r="D95" i="34"/>
  <c r="C96" i="34"/>
  <c r="D96" i="34"/>
  <c r="C97" i="34"/>
  <c r="D97" i="34"/>
  <c r="C98" i="34"/>
  <c r="D98" i="34"/>
  <c r="C99" i="34"/>
  <c r="D99" i="34"/>
  <c r="C100" i="34"/>
  <c r="D100" i="34"/>
  <c r="C101" i="34"/>
  <c r="D101" i="34"/>
  <c r="C102" i="34"/>
  <c r="D102" i="34"/>
  <c r="C103" i="34"/>
  <c r="D103" i="34"/>
  <c r="C104" i="34"/>
  <c r="D104" i="34"/>
  <c r="C105" i="34"/>
  <c r="D105" i="34"/>
  <c r="C106" i="34"/>
  <c r="D106" i="34"/>
  <c r="C107" i="34"/>
  <c r="D107" i="34"/>
  <c r="C108" i="34"/>
  <c r="D108" i="34"/>
  <c r="C109" i="34"/>
  <c r="D109" i="34"/>
  <c r="C110" i="34"/>
  <c r="D110" i="34"/>
  <c r="C111" i="34"/>
  <c r="D111" i="34"/>
  <c r="C112" i="34"/>
  <c r="E112" i="34" s="1"/>
  <c r="F112" i="34" s="1"/>
  <c r="D112" i="34"/>
  <c r="C113" i="34"/>
  <c r="E113" i="34" s="1"/>
  <c r="F113" i="34" s="1"/>
  <c r="D113" i="34"/>
  <c r="C114" i="34"/>
  <c r="E114" i="34" s="1"/>
  <c r="F114" i="34" s="1"/>
  <c r="D114" i="34"/>
  <c r="C115" i="34"/>
  <c r="D115" i="34"/>
  <c r="C116" i="34"/>
  <c r="D116" i="34"/>
  <c r="C117" i="34"/>
  <c r="D117" i="34"/>
  <c r="C118" i="34"/>
  <c r="D118" i="34"/>
  <c r="C119" i="34"/>
  <c r="D119" i="34"/>
  <c r="C120" i="34"/>
  <c r="D120" i="34"/>
  <c r="C121" i="34"/>
  <c r="D121" i="34"/>
  <c r="C122" i="34"/>
  <c r="D122" i="34"/>
  <c r="C123" i="34"/>
  <c r="D123" i="34"/>
  <c r="C124" i="34"/>
  <c r="D124" i="34"/>
  <c r="C125" i="34"/>
  <c r="D125" i="34"/>
  <c r="C126" i="34"/>
  <c r="D126" i="34"/>
  <c r="C127" i="34"/>
  <c r="D127" i="34"/>
  <c r="E127" i="34" s="1"/>
  <c r="F127" i="34" s="1"/>
  <c r="C128" i="34"/>
  <c r="D128" i="34"/>
  <c r="C129" i="34"/>
  <c r="D129" i="34"/>
  <c r="C130" i="34"/>
  <c r="D130" i="34"/>
  <c r="C131" i="34"/>
  <c r="D131" i="34"/>
  <c r="C132" i="34"/>
  <c r="D132" i="34"/>
  <c r="C133" i="34"/>
  <c r="D133" i="34"/>
  <c r="C134" i="34"/>
  <c r="D134" i="34"/>
  <c r="C135" i="34"/>
  <c r="D135" i="34"/>
  <c r="C136" i="34"/>
  <c r="D136" i="34"/>
  <c r="C137" i="34"/>
  <c r="D137" i="34"/>
  <c r="C18" i="1"/>
  <c r="D18" i="1"/>
  <c r="G18" i="1"/>
  <c r="G18" i="34" s="1"/>
  <c r="C19" i="1"/>
  <c r="E19" i="1" s="1"/>
  <c r="F19" i="1" s="1"/>
  <c r="D19" i="1"/>
  <c r="G19" i="1"/>
  <c r="G19" i="34" s="1"/>
  <c r="C20" i="1"/>
  <c r="D20" i="1"/>
  <c r="G20" i="1"/>
  <c r="G20" i="34" s="1"/>
  <c r="C21" i="1"/>
  <c r="D21" i="1"/>
  <c r="G21" i="1"/>
  <c r="G21" i="34" s="1"/>
  <c r="C22" i="1"/>
  <c r="D22" i="1"/>
  <c r="G22" i="1"/>
  <c r="G22" i="34" s="1"/>
  <c r="C23" i="1"/>
  <c r="D23" i="1"/>
  <c r="G23" i="1"/>
  <c r="G23" i="34" s="1"/>
  <c r="C24" i="1"/>
  <c r="D24" i="1"/>
  <c r="G24" i="1"/>
  <c r="G24" i="34" s="1"/>
  <c r="C25" i="1"/>
  <c r="D25" i="1"/>
  <c r="G25" i="1"/>
  <c r="G25" i="34" s="1"/>
  <c r="C26" i="1"/>
  <c r="E26" i="1" s="1"/>
  <c r="F26" i="1" s="1"/>
  <c r="D26" i="1"/>
  <c r="G26" i="1"/>
  <c r="G26" i="34" s="1"/>
  <c r="C27" i="1"/>
  <c r="D27" i="1"/>
  <c r="G27" i="1"/>
  <c r="G27" i="34" s="1"/>
  <c r="C28" i="1"/>
  <c r="D28" i="1"/>
  <c r="G28" i="1"/>
  <c r="G28" i="34" s="1"/>
  <c r="C29" i="1"/>
  <c r="D29" i="1"/>
  <c r="G29" i="1"/>
  <c r="G29" i="34" s="1"/>
  <c r="C30" i="1"/>
  <c r="D30" i="1"/>
  <c r="G30" i="1"/>
  <c r="G30" i="34" s="1"/>
  <c r="C31" i="1"/>
  <c r="D31" i="1"/>
  <c r="G31" i="1"/>
  <c r="G31" i="34" s="1"/>
  <c r="C32" i="1"/>
  <c r="D32" i="1"/>
  <c r="G32" i="1"/>
  <c r="G32" i="34" s="1"/>
  <c r="C33" i="1"/>
  <c r="D33" i="1"/>
  <c r="G33" i="1"/>
  <c r="G33" i="34" s="1"/>
  <c r="C34" i="1"/>
  <c r="D34" i="1"/>
  <c r="G34" i="1"/>
  <c r="G34" i="34" s="1"/>
  <c r="C35" i="1"/>
  <c r="D35" i="1"/>
  <c r="G35" i="1"/>
  <c r="G35" i="34" s="1"/>
  <c r="C36" i="1"/>
  <c r="D36" i="1"/>
  <c r="G36" i="1"/>
  <c r="G36" i="34" s="1"/>
  <c r="C37" i="1"/>
  <c r="D37" i="1"/>
  <c r="G37" i="1"/>
  <c r="G37" i="34" s="1"/>
  <c r="C38" i="1"/>
  <c r="D38" i="1"/>
  <c r="G38" i="1"/>
  <c r="G38" i="34" s="1"/>
  <c r="C39" i="1"/>
  <c r="D39" i="1"/>
  <c r="G39" i="1"/>
  <c r="G39" i="34" s="1"/>
  <c r="C40" i="1"/>
  <c r="D40" i="1"/>
  <c r="G40" i="1"/>
  <c r="G40" i="34" s="1"/>
  <c r="C41" i="1"/>
  <c r="D41" i="1"/>
  <c r="G41" i="1"/>
  <c r="G41" i="34" s="1"/>
  <c r="C42" i="1"/>
  <c r="D42" i="1"/>
  <c r="G42" i="1"/>
  <c r="G42" i="34" s="1"/>
  <c r="C43" i="1"/>
  <c r="D43" i="1"/>
  <c r="G43" i="1"/>
  <c r="G43" i="34" s="1"/>
  <c r="C44" i="1"/>
  <c r="D44" i="1"/>
  <c r="G44" i="1"/>
  <c r="G44" i="34" s="1"/>
  <c r="C45" i="1"/>
  <c r="D45" i="1"/>
  <c r="G45" i="1"/>
  <c r="G45" i="34" s="1"/>
  <c r="C46" i="1"/>
  <c r="D46" i="1"/>
  <c r="G46" i="1"/>
  <c r="G46" i="34" s="1"/>
  <c r="C47" i="1"/>
  <c r="D47" i="1"/>
  <c r="G47" i="1"/>
  <c r="G47" i="34" s="1"/>
  <c r="C48" i="1"/>
  <c r="D48" i="1"/>
  <c r="G48" i="1"/>
  <c r="G48" i="34" s="1"/>
  <c r="C49" i="1"/>
  <c r="D49" i="1"/>
  <c r="G49" i="1"/>
  <c r="G49" i="34" s="1"/>
  <c r="C50" i="1"/>
  <c r="D50" i="1"/>
  <c r="G50" i="1"/>
  <c r="G50" i="34" s="1"/>
  <c r="C51" i="1"/>
  <c r="D51" i="1"/>
  <c r="G51" i="1"/>
  <c r="G51" i="34" s="1"/>
  <c r="C52" i="1"/>
  <c r="D52" i="1"/>
  <c r="G52" i="1"/>
  <c r="G52" i="34" s="1"/>
  <c r="C53" i="1"/>
  <c r="D53" i="1"/>
  <c r="G53" i="1"/>
  <c r="G53" i="34" s="1"/>
  <c r="C54" i="1"/>
  <c r="D54" i="1"/>
  <c r="G54" i="1"/>
  <c r="G54" i="34" s="1"/>
  <c r="C55" i="1"/>
  <c r="D55" i="1"/>
  <c r="G55" i="1"/>
  <c r="G55" i="34" s="1"/>
  <c r="C56" i="1"/>
  <c r="D56" i="1"/>
  <c r="G56" i="1"/>
  <c r="G56" i="34" s="1"/>
  <c r="C57" i="1"/>
  <c r="D57" i="1"/>
  <c r="G57" i="1"/>
  <c r="G57" i="34" s="1"/>
  <c r="C58" i="1"/>
  <c r="D58" i="1"/>
  <c r="G58" i="1"/>
  <c r="G58" i="34" s="1"/>
  <c r="C59" i="1"/>
  <c r="D59" i="1"/>
  <c r="G59" i="1"/>
  <c r="G59" i="34" s="1"/>
  <c r="C60" i="1"/>
  <c r="D60" i="1"/>
  <c r="G60" i="1"/>
  <c r="G60" i="34" s="1"/>
  <c r="C61" i="1"/>
  <c r="D61" i="1"/>
  <c r="G61" i="1"/>
  <c r="G61" i="34" s="1"/>
  <c r="C62" i="1"/>
  <c r="D62" i="1"/>
  <c r="G62" i="1"/>
  <c r="G62" i="34" s="1"/>
  <c r="C63" i="1"/>
  <c r="D63" i="1"/>
  <c r="G63" i="1"/>
  <c r="G63" i="34" s="1"/>
  <c r="C64" i="1"/>
  <c r="D64" i="1"/>
  <c r="G64" i="1"/>
  <c r="G64" i="34" s="1"/>
  <c r="C65" i="1"/>
  <c r="D65" i="1"/>
  <c r="G65" i="1"/>
  <c r="G65" i="34" s="1"/>
  <c r="C66" i="1"/>
  <c r="D66" i="1"/>
  <c r="G66" i="1"/>
  <c r="G66" i="34" s="1"/>
  <c r="C67" i="1"/>
  <c r="D67" i="1"/>
  <c r="G67" i="1"/>
  <c r="G67" i="34" s="1"/>
  <c r="C68" i="1"/>
  <c r="D68" i="1"/>
  <c r="G68" i="1"/>
  <c r="G68" i="34" s="1"/>
  <c r="C69" i="1"/>
  <c r="D69" i="1"/>
  <c r="G69" i="1"/>
  <c r="G69" i="34" s="1"/>
  <c r="C70" i="1"/>
  <c r="D70" i="1"/>
  <c r="E70" i="1" s="1"/>
  <c r="F70" i="1" s="1"/>
  <c r="G70" i="1"/>
  <c r="G70" i="34" s="1"/>
  <c r="C71" i="1"/>
  <c r="D71" i="1"/>
  <c r="G71" i="1"/>
  <c r="G71" i="34" s="1"/>
  <c r="C72" i="1"/>
  <c r="D72" i="1"/>
  <c r="G72" i="1"/>
  <c r="G72" i="34" s="1"/>
  <c r="C73" i="1"/>
  <c r="D73" i="1"/>
  <c r="G73" i="1"/>
  <c r="G73" i="34" s="1"/>
  <c r="C74" i="1"/>
  <c r="D74" i="1"/>
  <c r="G74" i="1"/>
  <c r="G74" i="34" s="1"/>
  <c r="C75" i="1"/>
  <c r="D75" i="1"/>
  <c r="G75" i="1"/>
  <c r="G75" i="34" s="1"/>
  <c r="C76" i="1"/>
  <c r="D76" i="1"/>
  <c r="G76" i="1"/>
  <c r="G76" i="34" s="1"/>
  <c r="C77" i="1"/>
  <c r="D77" i="1"/>
  <c r="G77" i="1"/>
  <c r="G77" i="34" s="1"/>
  <c r="C78" i="1"/>
  <c r="D78" i="1"/>
  <c r="G78" i="1"/>
  <c r="G78" i="34" s="1"/>
  <c r="C79" i="1"/>
  <c r="D79" i="1"/>
  <c r="G79" i="1"/>
  <c r="G79" i="34" s="1"/>
  <c r="C80" i="1"/>
  <c r="D80" i="1"/>
  <c r="G80" i="1"/>
  <c r="G80" i="34" s="1"/>
  <c r="C81" i="1"/>
  <c r="D81" i="1"/>
  <c r="G81" i="1"/>
  <c r="G81" i="34" s="1"/>
  <c r="C82" i="1"/>
  <c r="D82" i="1"/>
  <c r="G82" i="1"/>
  <c r="G82" i="34" s="1"/>
  <c r="C83" i="1"/>
  <c r="D83" i="1"/>
  <c r="G83" i="1"/>
  <c r="G83" i="34" s="1"/>
  <c r="C84" i="1"/>
  <c r="D84" i="1"/>
  <c r="G84" i="1"/>
  <c r="G84" i="34" s="1"/>
  <c r="C85" i="1"/>
  <c r="D85" i="1"/>
  <c r="G85" i="1"/>
  <c r="G85" i="34" s="1"/>
  <c r="C86" i="1"/>
  <c r="D86" i="1"/>
  <c r="G86" i="1"/>
  <c r="G86" i="34" s="1"/>
  <c r="C87" i="1"/>
  <c r="D87" i="1"/>
  <c r="G87" i="1"/>
  <c r="G87" i="34" s="1"/>
  <c r="C88" i="1"/>
  <c r="D88" i="1"/>
  <c r="G88" i="1"/>
  <c r="G88" i="34" s="1"/>
  <c r="C89" i="1"/>
  <c r="D89" i="1"/>
  <c r="G89" i="1"/>
  <c r="G89" i="34" s="1"/>
  <c r="C90" i="1"/>
  <c r="D90" i="1"/>
  <c r="G90" i="1"/>
  <c r="G90" i="34" s="1"/>
  <c r="C91" i="1"/>
  <c r="D91" i="1"/>
  <c r="G91" i="1"/>
  <c r="G91" i="34" s="1"/>
  <c r="C92" i="1"/>
  <c r="D92" i="1"/>
  <c r="G92" i="1"/>
  <c r="G92" i="34" s="1"/>
  <c r="C93" i="1"/>
  <c r="D93" i="1"/>
  <c r="G93" i="1"/>
  <c r="G93" i="34" s="1"/>
  <c r="C94" i="1"/>
  <c r="D94" i="1"/>
  <c r="G94" i="1"/>
  <c r="G94" i="34" s="1"/>
  <c r="C95" i="1"/>
  <c r="D95" i="1"/>
  <c r="G95" i="1"/>
  <c r="G95" i="34" s="1"/>
  <c r="C96" i="1"/>
  <c r="D96" i="1"/>
  <c r="G96" i="1"/>
  <c r="G96" i="34" s="1"/>
  <c r="C97" i="1"/>
  <c r="D97" i="1"/>
  <c r="G97" i="1"/>
  <c r="G97" i="34" s="1"/>
  <c r="C98" i="1"/>
  <c r="D98" i="1"/>
  <c r="G98" i="1"/>
  <c r="G98" i="34" s="1"/>
  <c r="C99" i="1"/>
  <c r="D99" i="1"/>
  <c r="G99" i="1"/>
  <c r="G99" i="34" s="1"/>
  <c r="C100" i="1"/>
  <c r="D100" i="1"/>
  <c r="G100" i="1"/>
  <c r="G100" i="34" s="1"/>
  <c r="C101" i="1"/>
  <c r="D101" i="1"/>
  <c r="E101" i="1" s="1"/>
  <c r="F101" i="1" s="1"/>
  <c r="G101" i="1"/>
  <c r="G101" i="34" s="1"/>
  <c r="C102" i="1"/>
  <c r="D102" i="1"/>
  <c r="G102" i="1"/>
  <c r="G102" i="34" s="1"/>
  <c r="C103" i="1"/>
  <c r="D103" i="1"/>
  <c r="G103" i="1"/>
  <c r="G103" i="34" s="1"/>
  <c r="C104" i="1"/>
  <c r="D104" i="1"/>
  <c r="G104" i="1"/>
  <c r="G104" i="34" s="1"/>
  <c r="C105" i="1"/>
  <c r="D105" i="1"/>
  <c r="G105" i="1"/>
  <c r="G105" i="34" s="1"/>
  <c r="C106" i="1"/>
  <c r="D106" i="1"/>
  <c r="G106" i="1"/>
  <c r="G106" i="34" s="1"/>
  <c r="C107" i="1"/>
  <c r="D107" i="1"/>
  <c r="G107" i="1"/>
  <c r="G107" i="34" s="1"/>
  <c r="C108" i="1"/>
  <c r="D108" i="1"/>
  <c r="G108" i="1"/>
  <c r="G108" i="34" s="1"/>
  <c r="C109" i="1"/>
  <c r="D109" i="1"/>
  <c r="G109" i="1"/>
  <c r="G109" i="34" s="1"/>
  <c r="C110" i="1"/>
  <c r="D110" i="1"/>
  <c r="G110" i="1"/>
  <c r="G110" i="34" s="1"/>
  <c r="C111" i="1"/>
  <c r="D111" i="1"/>
  <c r="G111" i="1"/>
  <c r="G111" i="34" s="1"/>
  <c r="C112" i="1"/>
  <c r="D112" i="1"/>
  <c r="G112" i="1"/>
  <c r="G112" i="34" s="1"/>
  <c r="C113" i="1"/>
  <c r="D113" i="1"/>
  <c r="G113" i="1"/>
  <c r="G113" i="34" s="1"/>
  <c r="C114" i="1"/>
  <c r="D114" i="1"/>
  <c r="G114" i="1"/>
  <c r="G114" i="34" s="1"/>
  <c r="C115" i="1"/>
  <c r="D115" i="1"/>
  <c r="G115" i="1"/>
  <c r="G115" i="34" s="1"/>
  <c r="C116" i="1"/>
  <c r="D116" i="1"/>
  <c r="G116" i="1"/>
  <c r="G116" i="34" s="1"/>
  <c r="C117" i="1"/>
  <c r="D117" i="1"/>
  <c r="G117" i="1"/>
  <c r="G117" i="34" s="1"/>
  <c r="C118" i="1"/>
  <c r="D118" i="1"/>
  <c r="G118" i="1"/>
  <c r="G118" i="34" s="1"/>
  <c r="C119" i="1"/>
  <c r="D119" i="1"/>
  <c r="G119" i="1"/>
  <c r="G119" i="34" s="1"/>
  <c r="C120" i="1"/>
  <c r="D120" i="1"/>
  <c r="G120" i="1"/>
  <c r="G120" i="34" s="1"/>
  <c r="C121" i="1"/>
  <c r="D121" i="1"/>
  <c r="G121" i="1"/>
  <c r="G121" i="34" s="1"/>
  <c r="C122" i="1"/>
  <c r="D122" i="1"/>
  <c r="G122" i="1"/>
  <c r="G122" i="34" s="1"/>
  <c r="C123" i="1"/>
  <c r="D123" i="1"/>
  <c r="G123" i="1"/>
  <c r="G123" i="34" s="1"/>
  <c r="C124" i="1"/>
  <c r="D124" i="1"/>
  <c r="G124" i="1"/>
  <c r="G124" i="34" s="1"/>
  <c r="C125" i="1"/>
  <c r="D125" i="1"/>
  <c r="G125" i="1"/>
  <c r="G125" i="34" s="1"/>
  <c r="C126" i="1"/>
  <c r="E126" i="1" s="1"/>
  <c r="F126" i="1" s="1"/>
  <c r="D126" i="1"/>
  <c r="G126" i="1"/>
  <c r="G126" i="34" s="1"/>
  <c r="C127" i="1"/>
  <c r="E127" i="1" s="1"/>
  <c r="F127" i="1" s="1"/>
  <c r="D127" i="1"/>
  <c r="G127" i="1"/>
  <c r="G127" i="34" s="1"/>
  <c r="C128" i="1"/>
  <c r="E128" i="1" s="1"/>
  <c r="F128" i="1" s="1"/>
  <c r="D128" i="1"/>
  <c r="G128" i="1"/>
  <c r="G128" i="34" s="1"/>
  <c r="C129" i="1"/>
  <c r="D129" i="1"/>
  <c r="G129" i="1"/>
  <c r="G129" i="34" s="1"/>
  <c r="C130" i="1"/>
  <c r="D130" i="1"/>
  <c r="G130" i="1"/>
  <c r="G130" i="34" s="1"/>
  <c r="C131" i="1"/>
  <c r="D131" i="1"/>
  <c r="G131" i="1"/>
  <c r="G131" i="34" s="1"/>
  <c r="C132" i="1"/>
  <c r="D132" i="1"/>
  <c r="G132" i="1"/>
  <c r="G132" i="34" s="1"/>
  <c r="C133" i="1"/>
  <c r="D133" i="1"/>
  <c r="G133" i="1"/>
  <c r="G133" i="34" s="1"/>
  <c r="C134" i="1"/>
  <c r="D134" i="1"/>
  <c r="G134" i="1"/>
  <c r="G134" i="34" s="1"/>
  <c r="C135" i="1"/>
  <c r="D135" i="1"/>
  <c r="G135" i="1"/>
  <c r="G135" i="34" s="1"/>
  <c r="C136" i="1"/>
  <c r="D136" i="1"/>
  <c r="G136" i="1"/>
  <c r="G136" i="34" s="1"/>
  <c r="C137" i="1"/>
  <c r="D137" i="1"/>
  <c r="G137" i="1"/>
  <c r="G137" i="34" s="1"/>
  <c r="E36" i="1" l="1"/>
  <c r="F36" i="1" s="1"/>
  <c r="E125" i="34"/>
  <c r="F125" i="34" s="1"/>
  <c r="E105" i="1"/>
  <c r="F105" i="1" s="1"/>
  <c r="E97" i="1"/>
  <c r="F97" i="1" s="1"/>
  <c r="E73" i="1"/>
  <c r="F73" i="1" s="1"/>
  <c r="E65" i="1"/>
  <c r="F65" i="1" s="1"/>
  <c r="E54" i="1"/>
  <c r="F54" i="1" s="1"/>
  <c r="E46" i="1"/>
  <c r="F46" i="1" s="1"/>
  <c r="E38" i="1"/>
  <c r="F38" i="1" s="1"/>
  <c r="E112" i="1"/>
  <c r="F112" i="1" s="1"/>
  <c r="E72" i="1"/>
  <c r="F72" i="1" s="1"/>
  <c r="E64" i="1"/>
  <c r="F64" i="1" s="1"/>
  <c r="E24" i="1"/>
  <c r="F24" i="1" s="1"/>
  <c r="E123" i="34"/>
  <c r="F123" i="34" s="1"/>
  <c r="E53" i="1"/>
  <c r="F53" i="1" s="1"/>
  <c r="E45" i="1"/>
  <c r="F45" i="1" s="1"/>
  <c r="E55" i="34"/>
  <c r="F55" i="34" s="1"/>
  <c r="E51" i="34"/>
  <c r="F51" i="34" s="1"/>
  <c r="E35" i="34"/>
  <c r="F35" i="34" s="1"/>
  <c r="E23" i="34"/>
  <c r="F23" i="34" s="1"/>
  <c r="E19" i="34"/>
  <c r="F19" i="34" s="1"/>
  <c r="E23" i="1"/>
  <c r="F23" i="1" s="1"/>
  <c r="E124" i="1"/>
  <c r="F124" i="1" s="1"/>
  <c r="E68" i="1"/>
  <c r="F68" i="1" s="1"/>
  <c r="E63" i="1"/>
  <c r="F63" i="1" s="1"/>
  <c r="E55" i="1"/>
  <c r="F55" i="1" s="1"/>
  <c r="E50" i="1"/>
  <c r="F50" i="1" s="1"/>
  <c r="E39" i="1"/>
  <c r="F39" i="1" s="1"/>
  <c r="E37" i="1"/>
  <c r="F37" i="1" s="1"/>
  <c r="E29" i="1"/>
  <c r="F29" i="1" s="1"/>
  <c r="E21" i="1"/>
  <c r="F21" i="1" s="1"/>
  <c r="E135" i="34"/>
  <c r="F135" i="34" s="1"/>
  <c r="E131" i="34"/>
  <c r="F131" i="34" s="1"/>
  <c r="E73" i="34"/>
  <c r="F73" i="34" s="1"/>
  <c r="E47" i="34"/>
  <c r="F47" i="34" s="1"/>
  <c r="E39" i="34"/>
  <c r="F39" i="34" s="1"/>
  <c r="E31" i="34"/>
  <c r="F31" i="34" s="1"/>
  <c r="E52" i="1"/>
  <c r="F52" i="1" s="1"/>
  <c r="E123" i="1"/>
  <c r="F123" i="1" s="1"/>
  <c r="E67" i="1"/>
  <c r="F67" i="1" s="1"/>
  <c r="E27" i="34"/>
  <c r="F27" i="34" s="1"/>
  <c r="E25" i="1"/>
  <c r="F25" i="1" s="1"/>
  <c r="E71" i="34"/>
  <c r="F71" i="34" s="1"/>
  <c r="E56" i="34"/>
  <c r="F56" i="34" s="1"/>
  <c r="E117" i="1"/>
  <c r="F117" i="1" s="1"/>
  <c r="E56" i="1"/>
  <c r="F56" i="1" s="1"/>
  <c r="E51" i="1"/>
  <c r="F51" i="1" s="1"/>
  <c r="E26" i="34"/>
  <c r="F26" i="34" s="1"/>
  <c r="E111" i="1"/>
  <c r="F111" i="1" s="1"/>
  <c r="E66" i="1"/>
  <c r="F66" i="1" s="1"/>
  <c r="E61" i="1"/>
  <c r="F61" i="1" s="1"/>
  <c r="E40" i="1"/>
  <c r="F40" i="1" s="1"/>
  <c r="E35" i="1"/>
  <c r="F35" i="1" s="1"/>
  <c r="E128" i="34"/>
  <c r="F128" i="34" s="1"/>
  <c r="E124" i="34"/>
  <c r="F124" i="34" s="1"/>
  <c r="E133" i="1"/>
  <c r="F133" i="1" s="1"/>
  <c r="E113" i="1"/>
  <c r="F113" i="1" s="1"/>
  <c r="E84" i="1"/>
  <c r="F84" i="1" s="1"/>
  <c r="E48" i="1"/>
  <c r="F48" i="1" s="1"/>
  <c r="E33" i="1"/>
  <c r="F33" i="1" s="1"/>
  <c r="E30" i="1"/>
  <c r="F30" i="1" s="1"/>
  <c r="E137" i="34"/>
  <c r="F137" i="34" s="1"/>
  <c r="E91" i="34"/>
  <c r="F91" i="34" s="1"/>
  <c r="E79" i="34"/>
  <c r="F79" i="34" s="1"/>
  <c r="E70" i="34"/>
  <c r="F70" i="34" s="1"/>
  <c r="E49" i="34"/>
  <c r="F49" i="34" s="1"/>
  <c r="E20" i="1"/>
  <c r="F20" i="1" s="1"/>
  <c r="E134" i="34"/>
  <c r="F134" i="34" s="1"/>
  <c r="E121" i="34"/>
  <c r="F121" i="34" s="1"/>
  <c r="E115" i="34"/>
  <c r="F115" i="34" s="1"/>
  <c r="E72" i="34"/>
  <c r="F72" i="34" s="1"/>
  <c r="E67" i="34"/>
  <c r="F67" i="34" s="1"/>
  <c r="E59" i="34"/>
  <c r="F59" i="34" s="1"/>
  <c r="E54" i="34"/>
  <c r="F54" i="34" s="1"/>
  <c r="E130" i="1"/>
  <c r="F130" i="1" s="1"/>
  <c r="E115" i="1"/>
  <c r="F115" i="1" s="1"/>
  <c r="E102" i="1"/>
  <c r="F102" i="1" s="1"/>
  <c r="E135" i="1"/>
  <c r="F135" i="1" s="1"/>
  <c r="E125" i="1"/>
  <c r="F125" i="1" s="1"/>
  <c r="E99" i="1"/>
  <c r="F99" i="1" s="1"/>
  <c r="E96" i="1"/>
  <c r="F96" i="1" s="1"/>
  <c r="E91" i="1"/>
  <c r="F91" i="1" s="1"/>
  <c r="E88" i="1"/>
  <c r="F88" i="1" s="1"/>
  <c r="E57" i="1"/>
  <c r="F57" i="1" s="1"/>
  <c r="E42" i="1"/>
  <c r="F42" i="1" s="1"/>
  <c r="E32" i="1"/>
  <c r="F32" i="1" s="1"/>
  <c r="E27" i="1"/>
  <c r="F27" i="1" s="1"/>
  <c r="E133" i="34"/>
  <c r="F133" i="34" s="1"/>
  <c r="E126" i="34"/>
  <c r="F126" i="34" s="1"/>
  <c r="E117" i="34"/>
  <c r="F117" i="34" s="1"/>
  <c r="E102" i="34"/>
  <c r="F102" i="34" s="1"/>
  <c r="E74" i="34"/>
  <c r="F74" i="34" s="1"/>
  <c r="E61" i="34"/>
  <c r="F61" i="34" s="1"/>
  <c r="E48" i="34"/>
  <c r="F48" i="34" s="1"/>
  <c r="E43" i="34"/>
  <c r="F43" i="34" s="1"/>
  <c r="E38" i="34"/>
  <c r="F38" i="34" s="1"/>
  <c r="E137" i="1"/>
  <c r="F137" i="1" s="1"/>
  <c r="E114" i="1"/>
  <c r="F114" i="1" s="1"/>
  <c r="E109" i="1"/>
  <c r="F109" i="1" s="1"/>
  <c r="E82" i="1"/>
  <c r="F82" i="1" s="1"/>
  <c r="E69" i="1"/>
  <c r="F69" i="1" s="1"/>
  <c r="E59" i="1"/>
  <c r="F59" i="1" s="1"/>
  <c r="E49" i="1"/>
  <c r="F49" i="1" s="1"/>
  <c r="E44" i="1"/>
  <c r="F44" i="1" s="1"/>
  <c r="E34" i="1"/>
  <c r="F34" i="1" s="1"/>
  <c r="E130" i="34"/>
  <c r="F130" i="34" s="1"/>
  <c r="E116" i="34"/>
  <c r="F116" i="34" s="1"/>
  <c r="E111" i="34"/>
  <c r="F111" i="34" s="1"/>
  <c r="E50" i="34"/>
  <c r="F50" i="34" s="1"/>
  <c r="E45" i="34"/>
  <c r="F45" i="34" s="1"/>
  <c r="E32" i="34"/>
  <c r="F32" i="34" s="1"/>
  <c r="E24" i="34"/>
  <c r="F24" i="34" s="1"/>
  <c r="E79" i="1"/>
  <c r="F79" i="1" s="1"/>
  <c r="E71" i="1"/>
  <c r="F71" i="1" s="1"/>
  <c r="E42" i="34"/>
  <c r="F42" i="34" s="1"/>
  <c r="E29" i="34"/>
  <c r="F29" i="34" s="1"/>
  <c r="E21" i="34"/>
  <c r="F21" i="34" s="1"/>
  <c r="E131" i="1"/>
  <c r="F131" i="1" s="1"/>
  <c r="E116" i="1"/>
  <c r="F116" i="1" s="1"/>
  <c r="E28" i="1"/>
  <c r="F28" i="1" s="1"/>
  <c r="E30" i="34"/>
  <c r="F30" i="34" s="1"/>
  <c r="E41" i="1"/>
  <c r="F41" i="1" s="1"/>
  <c r="E41" i="34"/>
  <c r="F41" i="34" s="1"/>
  <c r="E37" i="34"/>
  <c r="F37" i="34" s="1"/>
  <c r="E43" i="1"/>
  <c r="F43" i="1" s="1"/>
  <c r="E60" i="1"/>
  <c r="F60" i="1" s="1"/>
  <c r="E63" i="34"/>
  <c r="F63" i="34" s="1"/>
  <c r="E62" i="34"/>
  <c r="F62" i="34" s="1"/>
  <c r="E62" i="1"/>
  <c r="F62" i="1" s="1"/>
  <c r="E69" i="34"/>
  <c r="F69" i="34" s="1"/>
  <c r="E119" i="34"/>
  <c r="F119" i="34" s="1"/>
  <c r="E118" i="1"/>
  <c r="F118" i="1" s="1"/>
  <c r="E136" i="1"/>
  <c r="F136" i="1" s="1"/>
  <c r="E136" i="34"/>
  <c r="F136" i="34" s="1"/>
  <c r="E134" i="1"/>
  <c r="F134" i="1" s="1"/>
  <c r="E132" i="1"/>
  <c r="F132" i="1" s="1"/>
  <c r="E129" i="1"/>
  <c r="F129" i="1" s="1"/>
  <c r="E129" i="34"/>
  <c r="F129" i="34" s="1"/>
  <c r="E122" i="34"/>
  <c r="F122" i="34" s="1"/>
  <c r="E122" i="1"/>
  <c r="F122" i="1" s="1"/>
  <c r="E121" i="1"/>
  <c r="F121" i="1" s="1"/>
  <c r="E120" i="1"/>
  <c r="F120" i="1" s="1"/>
  <c r="E120" i="34"/>
  <c r="F120" i="34" s="1"/>
  <c r="E118" i="34"/>
  <c r="F118" i="34" s="1"/>
  <c r="E58" i="34"/>
  <c r="F58" i="34" s="1"/>
  <c r="E58" i="1"/>
  <c r="F58" i="1" s="1"/>
  <c r="E18" i="1"/>
  <c r="F18" i="1" s="1"/>
  <c r="E22" i="1"/>
  <c r="F22" i="1" s="1"/>
  <c r="E22" i="34"/>
  <c r="F22" i="34" s="1"/>
  <c r="E110" i="1"/>
  <c r="F110" i="1" s="1"/>
  <c r="E110" i="34"/>
  <c r="F110" i="34" s="1"/>
  <c r="E109" i="34"/>
  <c r="F109" i="34" s="1"/>
  <c r="E108" i="1"/>
  <c r="F108" i="1" s="1"/>
  <c r="E107" i="1"/>
  <c r="F107" i="1" s="1"/>
  <c r="E107" i="34"/>
  <c r="F107" i="34" s="1"/>
  <c r="E106" i="34"/>
  <c r="F106" i="34" s="1"/>
  <c r="E105" i="34"/>
  <c r="F105" i="34" s="1"/>
  <c r="E104" i="1"/>
  <c r="F104" i="1" s="1"/>
  <c r="E104" i="34"/>
  <c r="F104" i="34" s="1"/>
  <c r="E103" i="34"/>
  <c r="F103" i="34" s="1"/>
  <c r="E101" i="34"/>
  <c r="F101" i="34" s="1"/>
  <c r="E100" i="1"/>
  <c r="F100" i="1" s="1"/>
  <c r="E99" i="34"/>
  <c r="F99" i="34" s="1"/>
  <c r="E98" i="34"/>
  <c r="F98" i="34" s="1"/>
  <c r="E97" i="34"/>
  <c r="F97" i="34" s="1"/>
  <c r="E96" i="34"/>
  <c r="F96" i="34" s="1"/>
  <c r="E95" i="34"/>
  <c r="F95" i="34" s="1"/>
  <c r="E94" i="1"/>
  <c r="F94" i="1" s="1"/>
  <c r="E94" i="34"/>
  <c r="F94" i="34" s="1"/>
  <c r="E93" i="1"/>
  <c r="F93" i="1" s="1"/>
  <c r="E93" i="34"/>
  <c r="F93" i="34" s="1"/>
  <c r="E92" i="1"/>
  <c r="F92" i="1" s="1"/>
  <c r="E88" i="34"/>
  <c r="F88" i="34" s="1"/>
  <c r="E90" i="34"/>
  <c r="F90" i="34" s="1"/>
  <c r="E86" i="1"/>
  <c r="F86" i="1" s="1"/>
  <c r="E87" i="34"/>
  <c r="F87" i="34" s="1"/>
  <c r="E89" i="34"/>
  <c r="F89" i="34" s="1"/>
  <c r="E86" i="34"/>
  <c r="F86" i="34" s="1"/>
  <c r="E89" i="1"/>
  <c r="F89" i="1" s="1"/>
  <c r="E95" i="1"/>
  <c r="F95" i="1" s="1"/>
  <c r="E92" i="34"/>
  <c r="F92" i="34" s="1"/>
  <c r="E87" i="1"/>
  <c r="F87" i="1" s="1"/>
  <c r="E85" i="1"/>
  <c r="F85" i="1" s="1"/>
  <c r="E85" i="34"/>
  <c r="F85" i="34" s="1"/>
  <c r="E119" i="1"/>
  <c r="F119" i="1" s="1"/>
  <c r="E90" i="1"/>
  <c r="F90" i="1" s="1"/>
  <c r="E31" i="1"/>
  <c r="F31" i="1" s="1"/>
  <c r="E84" i="34"/>
  <c r="F84" i="34" s="1"/>
  <c r="E60" i="34"/>
  <c r="F60" i="34" s="1"/>
  <c r="E44" i="34"/>
  <c r="F44" i="34" s="1"/>
  <c r="E28" i="34"/>
  <c r="F28" i="34" s="1"/>
  <c r="E74" i="1"/>
  <c r="F74" i="1" s="1"/>
  <c r="E132" i="34"/>
  <c r="F132" i="34" s="1"/>
  <c r="E47" i="1"/>
  <c r="F47" i="1" s="1"/>
  <c r="E68" i="34"/>
  <c r="F68" i="34" s="1"/>
  <c r="E52" i="34"/>
  <c r="F52" i="34" s="1"/>
  <c r="E36" i="34"/>
  <c r="F36" i="34" s="1"/>
  <c r="E20" i="34"/>
  <c r="F20" i="34" s="1"/>
  <c r="E75" i="34"/>
  <c r="F75" i="34" s="1"/>
  <c r="E75" i="1"/>
  <c r="F75" i="1" s="1"/>
  <c r="E76" i="1"/>
  <c r="F76" i="1" s="1"/>
  <c r="E77" i="1"/>
  <c r="F77" i="1" s="1"/>
  <c r="E83" i="34"/>
  <c r="F83" i="34" s="1"/>
  <c r="E83" i="1"/>
  <c r="F83" i="1" s="1"/>
  <c r="E82" i="34"/>
  <c r="F82" i="34" s="1"/>
  <c r="E80" i="34"/>
  <c r="F80" i="34" s="1"/>
  <c r="E81" i="1"/>
  <c r="F81" i="1" s="1"/>
  <c r="E81" i="34"/>
  <c r="F81" i="34" s="1"/>
  <c r="E80" i="1"/>
  <c r="F80" i="1" s="1"/>
  <c r="E76" i="34"/>
  <c r="F76" i="34" s="1"/>
  <c r="E78" i="1"/>
  <c r="F78" i="1" s="1"/>
  <c r="E78" i="34"/>
  <c r="F78" i="34" s="1"/>
  <c r="E100" i="34"/>
  <c r="F100" i="34" s="1"/>
  <c r="E106" i="1"/>
  <c r="F106" i="1" s="1"/>
  <c r="E108" i="34"/>
  <c r="F108" i="34" s="1"/>
  <c r="E103" i="1"/>
  <c r="F103" i="1" s="1"/>
  <c r="E98" i="1"/>
  <c r="F98" i="1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 s="1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H34" i="3"/>
  <c r="I34" i="3" s="1"/>
  <c r="E35" i="3"/>
  <c r="F35" i="3" s="1"/>
  <c r="H35" i="3"/>
  <c r="I35" i="3" s="1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39" i="3"/>
  <c r="F39" i="3" s="1"/>
  <c r="H39" i="3"/>
  <c r="I39" i="3" s="1"/>
  <c r="E40" i="3"/>
  <c r="F40" i="3" s="1"/>
  <c r="H40" i="3"/>
  <c r="I40" i="3" s="1"/>
  <c r="E41" i="3"/>
  <c r="F41" i="3" s="1"/>
  <c r="H41" i="3"/>
  <c r="I41" i="3" s="1"/>
  <c r="E42" i="3"/>
  <c r="F42" i="3" s="1"/>
  <c r="H42" i="3"/>
  <c r="I42" i="3" s="1"/>
  <c r="E43" i="3"/>
  <c r="F43" i="3" s="1"/>
  <c r="H43" i="3"/>
  <c r="I43" i="3" s="1"/>
  <c r="E44" i="3"/>
  <c r="F44" i="3" s="1"/>
  <c r="H44" i="3"/>
  <c r="I44" i="3" s="1"/>
  <c r="E45" i="3"/>
  <c r="F45" i="3" s="1"/>
  <c r="H45" i="3"/>
  <c r="I45" i="3" s="1"/>
  <c r="E46" i="3"/>
  <c r="F46" i="3" s="1"/>
  <c r="H46" i="3"/>
  <c r="I46" i="3" s="1"/>
  <c r="E47" i="3"/>
  <c r="F47" i="3" s="1"/>
  <c r="H47" i="3"/>
  <c r="I47" i="3" s="1"/>
  <c r="E48" i="3"/>
  <c r="F48" i="3" s="1"/>
  <c r="H48" i="3"/>
  <c r="I48" i="3" s="1"/>
  <c r="E49" i="3"/>
  <c r="F49" i="3" s="1"/>
  <c r="H49" i="3"/>
  <c r="I49" i="3" s="1"/>
  <c r="E50" i="3"/>
  <c r="F50" i="3" s="1"/>
  <c r="H50" i="3"/>
  <c r="I50" i="3" s="1"/>
  <c r="E51" i="3"/>
  <c r="F51" i="3" s="1"/>
  <c r="H51" i="3"/>
  <c r="I51" i="3" s="1"/>
  <c r="E52" i="3"/>
  <c r="F52" i="3" s="1"/>
  <c r="H52" i="3"/>
  <c r="I52" i="3" s="1"/>
  <c r="E53" i="3"/>
  <c r="F53" i="3" s="1"/>
  <c r="H53" i="3"/>
  <c r="I53" i="3" s="1"/>
  <c r="E54" i="3"/>
  <c r="F54" i="3" s="1"/>
  <c r="H54" i="3"/>
  <c r="I54" i="3" s="1"/>
  <c r="E55" i="3"/>
  <c r="F55" i="3" s="1"/>
  <c r="H55" i="3"/>
  <c r="I55" i="3" s="1"/>
  <c r="E56" i="3"/>
  <c r="F56" i="3" s="1"/>
  <c r="H56" i="3"/>
  <c r="I56" i="3" s="1"/>
  <c r="E57" i="3"/>
  <c r="F57" i="3" s="1"/>
  <c r="H57" i="3"/>
  <c r="I57" i="3" s="1"/>
  <c r="E58" i="3"/>
  <c r="F58" i="3" s="1"/>
  <c r="H58" i="3"/>
  <c r="I58" i="3" s="1"/>
  <c r="E59" i="3"/>
  <c r="F59" i="3" s="1"/>
  <c r="H59" i="3"/>
  <c r="I59" i="3" s="1"/>
  <c r="E60" i="3"/>
  <c r="F60" i="3" s="1"/>
  <c r="H60" i="3"/>
  <c r="I60" i="3" s="1"/>
  <c r="E61" i="3"/>
  <c r="F61" i="3" s="1"/>
  <c r="H61" i="3"/>
  <c r="I61" i="3" s="1"/>
  <c r="E62" i="3"/>
  <c r="F62" i="3" s="1"/>
  <c r="H62" i="3"/>
  <c r="I62" i="3" s="1"/>
  <c r="E63" i="3"/>
  <c r="F63" i="3" s="1"/>
  <c r="H63" i="3"/>
  <c r="I63" i="3" s="1"/>
  <c r="E64" i="3"/>
  <c r="F64" i="3" s="1"/>
  <c r="H64" i="3"/>
  <c r="I64" i="3" s="1"/>
  <c r="E65" i="3"/>
  <c r="F65" i="3" s="1"/>
  <c r="H65" i="3"/>
  <c r="I65" i="3" s="1"/>
  <c r="E66" i="3"/>
  <c r="F66" i="3" s="1"/>
  <c r="H66" i="3"/>
  <c r="I66" i="3" s="1"/>
  <c r="E67" i="3"/>
  <c r="F67" i="3" s="1"/>
  <c r="H67" i="3"/>
  <c r="I67" i="3" s="1"/>
  <c r="E68" i="3"/>
  <c r="F68" i="3" s="1"/>
  <c r="H68" i="3"/>
  <c r="I68" i="3" s="1"/>
  <c r="E69" i="3"/>
  <c r="F69" i="3" s="1"/>
  <c r="H69" i="3"/>
  <c r="I69" i="3" s="1"/>
  <c r="E70" i="3"/>
  <c r="F70" i="3" s="1"/>
  <c r="H70" i="3"/>
  <c r="I70" i="3" s="1"/>
  <c r="E71" i="3"/>
  <c r="F71" i="3" s="1"/>
  <c r="H71" i="3"/>
  <c r="I71" i="3" s="1"/>
  <c r="E72" i="3"/>
  <c r="F72" i="3" s="1"/>
  <c r="H72" i="3"/>
  <c r="I72" i="3" s="1"/>
  <c r="E73" i="3"/>
  <c r="F73" i="3" s="1"/>
  <c r="H73" i="3"/>
  <c r="I73" i="3" s="1"/>
  <c r="E74" i="3"/>
  <c r="F74" i="3" s="1"/>
  <c r="H74" i="3"/>
  <c r="I74" i="3" s="1"/>
  <c r="E75" i="3"/>
  <c r="F75" i="3" s="1"/>
  <c r="H75" i="3"/>
  <c r="F76" i="3"/>
  <c r="H76" i="3"/>
  <c r="E77" i="3"/>
  <c r="F77" i="3" s="1"/>
  <c r="H77" i="3"/>
  <c r="E78" i="3"/>
  <c r="F78" i="3" s="1"/>
  <c r="H78" i="3"/>
  <c r="E79" i="3"/>
  <c r="F79" i="3" s="1"/>
  <c r="H79" i="3"/>
  <c r="E80" i="3"/>
  <c r="F80" i="3" s="1"/>
  <c r="H80" i="3"/>
  <c r="E81" i="3"/>
  <c r="F81" i="3" s="1"/>
  <c r="H81" i="3"/>
  <c r="E82" i="3"/>
  <c r="F82" i="3" s="1"/>
  <c r="H82" i="3"/>
  <c r="E83" i="3"/>
  <c r="F83" i="3" s="1"/>
  <c r="H83" i="3"/>
  <c r="E84" i="3"/>
  <c r="F84" i="3" s="1"/>
  <c r="H84" i="3"/>
  <c r="E85" i="3"/>
  <c r="F85" i="3" s="1"/>
  <c r="H85" i="3"/>
  <c r="I85" i="3" s="1"/>
  <c r="E86" i="3"/>
  <c r="F86" i="3" s="1"/>
  <c r="H86" i="3"/>
  <c r="I86" i="3" s="1"/>
  <c r="E87" i="3"/>
  <c r="F87" i="3" s="1"/>
  <c r="H87" i="3"/>
  <c r="I87" i="3" s="1"/>
  <c r="E88" i="3"/>
  <c r="F88" i="3" s="1"/>
  <c r="H88" i="3"/>
  <c r="I88" i="3" s="1"/>
  <c r="E89" i="3"/>
  <c r="F89" i="3" s="1"/>
  <c r="H89" i="3"/>
  <c r="I89" i="3" s="1"/>
  <c r="E90" i="3"/>
  <c r="F90" i="3" s="1"/>
  <c r="H90" i="3"/>
  <c r="I90" i="3" s="1"/>
  <c r="E91" i="3"/>
  <c r="F91" i="3" s="1"/>
  <c r="H91" i="3"/>
  <c r="I91" i="3" s="1"/>
  <c r="E92" i="3"/>
  <c r="F92" i="3" s="1"/>
  <c r="H92" i="3"/>
  <c r="I92" i="3" s="1"/>
  <c r="E93" i="3"/>
  <c r="F93" i="3" s="1"/>
  <c r="H93" i="3"/>
  <c r="I93" i="3" s="1"/>
  <c r="E94" i="3"/>
  <c r="F94" i="3" s="1"/>
  <c r="H94" i="3"/>
  <c r="I94" i="3" s="1"/>
  <c r="E95" i="3"/>
  <c r="F95" i="3" s="1"/>
  <c r="H95" i="3"/>
  <c r="I95" i="3" s="1"/>
  <c r="E96" i="3"/>
  <c r="F96" i="3" s="1"/>
  <c r="H96" i="3"/>
  <c r="I96" i="3" s="1"/>
  <c r="E97" i="3"/>
  <c r="F97" i="3" s="1"/>
  <c r="H97" i="3"/>
  <c r="E98" i="3"/>
  <c r="F98" i="3" s="1"/>
  <c r="H98" i="3"/>
  <c r="E99" i="3"/>
  <c r="F99" i="3" s="1"/>
  <c r="H99" i="3"/>
  <c r="E100" i="3"/>
  <c r="F100" i="3" s="1"/>
  <c r="H100" i="3"/>
  <c r="E101" i="3"/>
  <c r="F101" i="3" s="1"/>
  <c r="H101" i="3"/>
  <c r="E102" i="3"/>
  <c r="F102" i="3" s="1"/>
  <c r="H102" i="3"/>
  <c r="E103" i="3"/>
  <c r="F103" i="3" s="1"/>
  <c r="H103" i="3"/>
  <c r="E104" i="3"/>
  <c r="F104" i="3" s="1"/>
  <c r="H104" i="3"/>
  <c r="E105" i="3"/>
  <c r="F105" i="3" s="1"/>
  <c r="H105" i="3"/>
  <c r="E106" i="3"/>
  <c r="F106" i="3" s="1"/>
  <c r="H106" i="3"/>
  <c r="E107" i="3"/>
  <c r="F107" i="3" s="1"/>
  <c r="H107" i="3"/>
  <c r="E108" i="3"/>
  <c r="F108" i="3" s="1"/>
  <c r="H108" i="3"/>
  <c r="E109" i="3"/>
  <c r="F109" i="3" s="1"/>
  <c r="H109" i="3"/>
  <c r="I109" i="3" s="1"/>
  <c r="E110" i="3"/>
  <c r="F110" i="3" s="1"/>
  <c r="H110" i="3"/>
  <c r="I110" i="3" s="1"/>
  <c r="E111" i="3"/>
  <c r="F111" i="3" s="1"/>
  <c r="H111" i="3"/>
  <c r="I111" i="3" s="1"/>
  <c r="E112" i="3"/>
  <c r="F112" i="3" s="1"/>
  <c r="H112" i="3"/>
  <c r="I112" i="3" s="1"/>
  <c r="E113" i="3"/>
  <c r="F113" i="3" s="1"/>
  <c r="H113" i="3"/>
  <c r="I113" i="3" s="1"/>
  <c r="E114" i="3"/>
  <c r="F114" i="3" s="1"/>
  <c r="H114" i="3"/>
  <c r="I114" i="3" s="1"/>
  <c r="E115" i="3"/>
  <c r="F115" i="3" s="1"/>
  <c r="H115" i="3"/>
  <c r="I115" i="3" s="1"/>
  <c r="E116" i="3"/>
  <c r="F116" i="3" s="1"/>
  <c r="H116" i="3"/>
  <c r="I116" i="3" s="1"/>
  <c r="E117" i="3"/>
  <c r="F117" i="3" s="1"/>
  <c r="H117" i="3"/>
  <c r="I117" i="3" s="1"/>
  <c r="E118" i="3"/>
  <c r="F118" i="3" s="1"/>
  <c r="H118" i="3"/>
  <c r="I118" i="3" s="1"/>
  <c r="E119" i="3"/>
  <c r="F119" i="3" s="1"/>
  <c r="H119" i="3"/>
  <c r="I119" i="3" s="1"/>
  <c r="E120" i="3"/>
  <c r="F120" i="3" s="1"/>
  <c r="H120" i="3"/>
  <c r="I120" i="3" s="1"/>
  <c r="E121" i="3"/>
  <c r="F121" i="3" s="1"/>
  <c r="H121" i="3"/>
  <c r="I121" i="3" s="1"/>
  <c r="E122" i="3"/>
  <c r="F122" i="3" s="1"/>
  <c r="H122" i="3"/>
  <c r="I122" i="3" s="1"/>
  <c r="E123" i="3"/>
  <c r="F123" i="3" s="1"/>
  <c r="H123" i="3"/>
  <c r="I123" i="3" s="1"/>
  <c r="E124" i="3"/>
  <c r="F124" i="3" s="1"/>
  <c r="H124" i="3"/>
  <c r="I124" i="3" s="1"/>
  <c r="E125" i="3"/>
  <c r="F125" i="3" s="1"/>
  <c r="H125" i="3"/>
  <c r="I125" i="3" s="1"/>
  <c r="E126" i="3"/>
  <c r="F126" i="3" s="1"/>
  <c r="H126" i="3"/>
  <c r="I126" i="3" s="1"/>
  <c r="E127" i="3"/>
  <c r="F127" i="3"/>
  <c r="H127" i="3"/>
  <c r="I127" i="3" s="1"/>
  <c r="E128" i="3"/>
  <c r="F128" i="3" s="1"/>
  <c r="H128" i="3"/>
  <c r="I128" i="3" s="1"/>
  <c r="E129" i="3"/>
  <c r="F129" i="3" s="1"/>
  <c r="H129" i="3"/>
  <c r="I129" i="3" s="1"/>
  <c r="E130" i="3"/>
  <c r="F130" i="3" s="1"/>
  <c r="H130" i="3"/>
  <c r="I130" i="3" s="1"/>
  <c r="E131" i="3"/>
  <c r="F131" i="3" s="1"/>
  <c r="H131" i="3"/>
  <c r="I131" i="3" s="1"/>
  <c r="E132" i="3"/>
  <c r="F132" i="3" s="1"/>
  <c r="H132" i="3"/>
  <c r="I132" i="3" s="1"/>
  <c r="E133" i="3"/>
  <c r="F133" i="3" s="1"/>
  <c r="H133" i="3"/>
  <c r="I133" i="3" s="1"/>
  <c r="E134" i="3"/>
  <c r="F134" i="3" s="1"/>
  <c r="H134" i="3"/>
  <c r="I134" i="3" s="1"/>
  <c r="E135" i="3"/>
  <c r="F135" i="3" s="1"/>
  <c r="H135" i="3"/>
  <c r="I135" i="3" s="1"/>
  <c r="E136" i="3"/>
  <c r="F136" i="3" s="1"/>
  <c r="H136" i="3"/>
  <c r="I136" i="3" s="1"/>
  <c r="E137" i="3"/>
  <c r="F137" i="3" s="1"/>
  <c r="H137" i="3"/>
  <c r="I137" i="3" s="1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I75" i="72" s="1"/>
  <c r="H76" i="72"/>
  <c r="I76" i="72" s="1"/>
  <c r="H77" i="72"/>
  <c r="I77" i="72" s="1"/>
  <c r="H78" i="72"/>
  <c r="I78" i="72" s="1"/>
  <c r="H79" i="72"/>
  <c r="I79" i="72" s="1"/>
  <c r="H80" i="72"/>
  <c r="I80" i="72" s="1"/>
  <c r="H81" i="72"/>
  <c r="I81" i="72" s="1"/>
  <c r="H82" i="72"/>
  <c r="I82" i="72" s="1"/>
  <c r="H83" i="72"/>
  <c r="I83" i="72" s="1"/>
  <c r="H84" i="72"/>
  <c r="I84" i="72" s="1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I97" i="72" s="1"/>
  <c r="H98" i="72"/>
  <c r="I98" i="72" s="1"/>
  <c r="H99" i="72"/>
  <c r="I99" i="72" s="1"/>
  <c r="H100" i="72"/>
  <c r="I100" i="72" s="1"/>
  <c r="H101" i="72"/>
  <c r="I101" i="72" s="1"/>
  <c r="H102" i="72"/>
  <c r="I102" i="72" s="1"/>
  <c r="H103" i="72"/>
  <c r="I103" i="72" s="1"/>
  <c r="H104" i="72"/>
  <c r="I104" i="72" s="1"/>
  <c r="H105" i="72"/>
  <c r="I105" i="72" s="1"/>
  <c r="H106" i="72"/>
  <c r="I106" i="72" s="1"/>
  <c r="H107" i="72"/>
  <c r="I107" i="72" s="1"/>
  <c r="H108" i="72"/>
  <c r="I108" i="72" s="1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F26" i="72"/>
  <c r="F58" i="72"/>
  <c r="E22" i="72"/>
  <c r="F22" i="72" s="1"/>
  <c r="E23" i="72"/>
  <c r="F23" i="72" s="1"/>
  <c r="E24" i="72"/>
  <c r="F24" i="72" s="1"/>
  <c r="E25" i="72"/>
  <c r="F25" i="72" s="1"/>
  <c r="E26" i="72"/>
  <c r="E27" i="72"/>
  <c r="F27" i="72" s="1"/>
  <c r="E28" i="72"/>
  <c r="F28" i="72" s="1"/>
  <c r="E29" i="72"/>
  <c r="F29" i="72" s="1"/>
  <c r="E30" i="72"/>
  <c r="F30" i="72" s="1"/>
  <c r="E31" i="72"/>
  <c r="F31" i="72" s="1"/>
  <c r="E32" i="72"/>
  <c r="F32" i="72" s="1"/>
  <c r="E33" i="72"/>
  <c r="F33" i="72" s="1"/>
  <c r="E34" i="72"/>
  <c r="F34" i="72" s="1"/>
  <c r="E35" i="72"/>
  <c r="F35" i="72" s="1"/>
  <c r="E36" i="72"/>
  <c r="F36" i="72" s="1"/>
  <c r="E37" i="72"/>
  <c r="F37" i="72" s="1"/>
  <c r="E38" i="72"/>
  <c r="F38" i="72" s="1"/>
  <c r="E39" i="72"/>
  <c r="F39" i="72" s="1"/>
  <c r="E40" i="72"/>
  <c r="F40" i="72" s="1"/>
  <c r="E41" i="72"/>
  <c r="F41" i="72" s="1"/>
  <c r="E42" i="72"/>
  <c r="F42" i="72" s="1"/>
  <c r="E43" i="72"/>
  <c r="F43" i="72" s="1"/>
  <c r="E44" i="72"/>
  <c r="F44" i="72" s="1"/>
  <c r="E45" i="72"/>
  <c r="F45" i="72" s="1"/>
  <c r="E46" i="72"/>
  <c r="F46" i="72" s="1"/>
  <c r="E47" i="72"/>
  <c r="F47" i="72" s="1"/>
  <c r="E48" i="72"/>
  <c r="F48" i="72" s="1"/>
  <c r="E49" i="72"/>
  <c r="F49" i="72" s="1"/>
  <c r="E50" i="72"/>
  <c r="F50" i="72" s="1"/>
  <c r="E51" i="72"/>
  <c r="F51" i="72" s="1"/>
  <c r="E52" i="72"/>
  <c r="F52" i="72" s="1"/>
  <c r="E53" i="72"/>
  <c r="F53" i="72" s="1"/>
  <c r="E54" i="72"/>
  <c r="F54" i="72" s="1"/>
  <c r="E55" i="72"/>
  <c r="F55" i="72" s="1"/>
  <c r="E56" i="72"/>
  <c r="F56" i="72" s="1"/>
  <c r="E57" i="72"/>
  <c r="F57" i="72" s="1"/>
  <c r="E58" i="72"/>
  <c r="E59" i="72"/>
  <c r="F59" i="72" s="1"/>
  <c r="E60" i="72"/>
  <c r="F60" i="72" s="1"/>
  <c r="E61" i="72"/>
  <c r="F61" i="72" s="1"/>
  <c r="E62" i="72"/>
  <c r="F62" i="72" s="1"/>
  <c r="E63" i="72"/>
  <c r="F63" i="72" s="1"/>
  <c r="E64" i="72"/>
  <c r="F64" i="72" s="1"/>
  <c r="E65" i="72"/>
  <c r="F65" i="72" s="1"/>
  <c r="E66" i="72"/>
  <c r="F66" i="72" s="1"/>
  <c r="E67" i="72"/>
  <c r="F67" i="72" s="1"/>
  <c r="E68" i="72"/>
  <c r="F68" i="72" s="1"/>
  <c r="E69" i="72"/>
  <c r="F69" i="72" s="1"/>
  <c r="E70" i="72"/>
  <c r="F70" i="72" s="1"/>
  <c r="E71" i="72"/>
  <c r="F71" i="72" s="1"/>
  <c r="E72" i="72"/>
  <c r="F72" i="72" s="1"/>
  <c r="E73" i="72"/>
  <c r="F73" i="72" s="1"/>
  <c r="E74" i="72"/>
  <c r="F74" i="72" s="1"/>
  <c r="E75" i="72"/>
  <c r="F75" i="72" s="1"/>
  <c r="E76" i="72"/>
  <c r="F76" i="72" s="1"/>
  <c r="E77" i="72"/>
  <c r="F77" i="72" s="1"/>
  <c r="E78" i="72"/>
  <c r="F78" i="72" s="1"/>
  <c r="E79" i="72"/>
  <c r="F79" i="72" s="1"/>
  <c r="E80" i="72"/>
  <c r="F80" i="72" s="1"/>
  <c r="E81" i="72"/>
  <c r="F81" i="72" s="1"/>
  <c r="E82" i="72"/>
  <c r="F82" i="72" s="1"/>
  <c r="E83" i="72"/>
  <c r="F83" i="72" s="1"/>
  <c r="E84" i="72"/>
  <c r="F84" i="72" s="1"/>
  <c r="E85" i="72"/>
  <c r="F85" i="72" s="1"/>
  <c r="E86" i="72"/>
  <c r="F86" i="72" s="1"/>
  <c r="E87" i="72"/>
  <c r="F87" i="72" s="1"/>
  <c r="E88" i="72"/>
  <c r="F88" i="72" s="1"/>
  <c r="E89" i="72"/>
  <c r="F89" i="72" s="1"/>
  <c r="E90" i="72"/>
  <c r="F90" i="72" s="1"/>
  <c r="E91" i="72"/>
  <c r="F91" i="72" s="1"/>
  <c r="E92" i="72"/>
  <c r="F92" i="72" s="1"/>
  <c r="E93" i="72"/>
  <c r="F93" i="72" s="1"/>
  <c r="E94" i="72"/>
  <c r="F94" i="72" s="1"/>
  <c r="E95" i="72"/>
  <c r="F95" i="72" s="1"/>
  <c r="E96" i="72"/>
  <c r="F96" i="72" s="1"/>
  <c r="E97" i="72"/>
  <c r="F97" i="72" s="1"/>
  <c r="E98" i="72"/>
  <c r="F98" i="72" s="1"/>
  <c r="E99" i="72"/>
  <c r="F99" i="72" s="1"/>
  <c r="E100" i="72"/>
  <c r="F100" i="72" s="1"/>
  <c r="E101" i="72"/>
  <c r="F101" i="72" s="1"/>
  <c r="E102" i="72"/>
  <c r="F102" i="72" s="1"/>
  <c r="E103" i="72"/>
  <c r="F103" i="72" s="1"/>
  <c r="E104" i="72"/>
  <c r="F104" i="72" s="1"/>
  <c r="E105" i="72"/>
  <c r="F105" i="72" s="1"/>
  <c r="E106" i="72"/>
  <c r="F106" i="72" s="1"/>
  <c r="E107" i="72"/>
  <c r="F107" i="72" s="1"/>
  <c r="E108" i="72"/>
  <c r="F108" i="72" s="1"/>
  <c r="E109" i="72"/>
  <c r="F109" i="72" s="1"/>
  <c r="E110" i="72"/>
  <c r="F110" i="72" s="1"/>
  <c r="E111" i="72"/>
  <c r="F111" i="72" s="1"/>
  <c r="E112" i="72"/>
  <c r="F112" i="72" s="1"/>
  <c r="E113" i="72"/>
  <c r="F113" i="72" s="1"/>
  <c r="E114" i="72"/>
  <c r="F114" i="72" s="1"/>
  <c r="E115" i="72"/>
  <c r="F115" i="72" s="1"/>
  <c r="E116" i="72"/>
  <c r="F116" i="72" s="1"/>
  <c r="E117" i="72"/>
  <c r="F117" i="72" s="1"/>
  <c r="E118" i="72"/>
  <c r="F118" i="72" s="1"/>
  <c r="E119" i="72"/>
  <c r="F119" i="72" s="1"/>
  <c r="E120" i="72"/>
  <c r="F120" i="72" s="1"/>
  <c r="E121" i="72"/>
  <c r="F121" i="72" s="1"/>
  <c r="E122" i="72"/>
  <c r="F122" i="72" s="1"/>
  <c r="E123" i="72"/>
  <c r="F123" i="72" s="1"/>
  <c r="E124" i="72"/>
  <c r="F124" i="72" s="1"/>
  <c r="E125" i="72"/>
  <c r="F125" i="72" s="1"/>
  <c r="E126" i="72"/>
  <c r="F126" i="72" s="1"/>
  <c r="E127" i="72"/>
  <c r="F127" i="72" s="1"/>
  <c r="E128" i="72"/>
  <c r="F128" i="72" s="1"/>
  <c r="E129" i="72"/>
  <c r="F129" i="72" s="1"/>
  <c r="E130" i="72"/>
  <c r="F130" i="72" s="1"/>
  <c r="E131" i="72"/>
  <c r="F131" i="72" s="1"/>
  <c r="E132" i="72"/>
  <c r="F132" i="72" s="1"/>
  <c r="E133" i="72"/>
  <c r="F133" i="72" s="1"/>
  <c r="E134" i="72"/>
  <c r="F134" i="72" s="1"/>
  <c r="E135" i="72"/>
  <c r="F135" i="72" s="1"/>
  <c r="E136" i="72"/>
  <c r="F136" i="72" s="1"/>
  <c r="E137" i="72"/>
  <c r="F137" i="72" s="1"/>
  <c r="E21" i="72"/>
  <c r="F21" i="72" s="1"/>
  <c r="E18" i="72"/>
  <c r="F18" i="72" s="1"/>
  <c r="E19" i="72"/>
  <c r="F19" i="72" s="1"/>
  <c r="E20" i="72"/>
  <c r="F20" i="72" s="1"/>
  <c r="I136" i="72" l="1"/>
  <c r="H136" i="34"/>
  <c r="I136" i="34" s="1"/>
  <c r="H136" i="1"/>
  <c r="I136" i="1" s="1"/>
  <c r="I120" i="72"/>
  <c r="H120" i="34"/>
  <c r="I120" i="34" s="1"/>
  <c r="H120" i="1"/>
  <c r="I120" i="1" s="1"/>
  <c r="I112" i="72"/>
  <c r="H112" i="1"/>
  <c r="I112" i="1" s="1"/>
  <c r="H112" i="34"/>
  <c r="I112" i="34" s="1"/>
  <c r="I88" i="72"/>
  <c r="H88" i="1"/>
  <c r="I88" i="1" s="1"/>
  <c r="H88" i="34"/>
  <c r="I88" i="34" s="1"/>
  <c r="I72" i="72"/>
  <c r="H72" i="1"/>
  <c r="I72" i="1" s="1"/>
  <c r="H72" i="34"/>
  <c r="I72" i="34" s="1"/>
  <c r="H57" i="34"/>
  <c r="I57" i="34" s="1"/>
  <c r="H57" i="1"/>
  <c r="I57" i="1" s="1"/>
  <c r="I41" i="72"/>
  <c r="H41" i="34"/>
  <c r="I41" i="34" s="1"/>
  <c r="H41" i="1"/>
  <c r="I41" i="1" s="1"/>
  <c r="I18" i="72"/>
  <c r="H18" i="34"/>
  <c r="I18" i="34" s="1"/>
  <c r="H18" i="1"/>
  <c r="I18" i="1" s="1"/>
  <c r="I131" i="72"/>
  <c r="H131" i="34"/>
  <c r="I131" i="34" s="1"/>
  <c r="H131" i="1"/>
  <c r="I131" i="1" s="1"/>
  <c r="I123" i="72"/>
  <c r="H123" i="34"/>
  <c r="I123" i="34" s="1"/>
  <c r="H123" i="1"/>
  <c r="I123" i="1" s="1"/>
  <c r="I115" i="72"/>
  <c r="H115" i="34"/>
  <c r="I115" i="34" s="1"/>
  <c r="H115" i="1"/>
  <c r="I115" i="1" s="1"/>
  <c r="I91" i="72"/>
  <c r="H91" i="34"/>
  <c r="I91" i="34" s="1"/>
  <c r="H91" i="1"/>
  <c r="I91" i="1" s="1"/>
  <c r="I67" i="72"/>
  <c r="H67" i="1"/>
  <c r="I67" i="1" s="1"/>
  <c r="H67" i="34"/>
  <c r="I67" i="34" s="1"/>
  <c r="I59" i="72"/>
  <c r="H59" i="34"/>
  <c r="I59" i="34" s="1"/>
  <c r="H59" i="1"/>
  <c r="I59" i="1" s="1"/>
  <c r="I52" i="72"/>
  <c r="H52" i="34"/>
  <c r="I52" i="34" s="1"/>
  <c r="H52" i="1"/>
  <c r="I52" i="1" s="1"/>
  <c r="I44" i="72"/>
  <c r="H44" i="34"/>
  <c r="I44" i="34" s="1"/>
  <c r="H44" i="1"/>
  <c r="I44" i="1" s="1"/>
  <c r="I36" i="72"/>
  <c r="H36" i="34"/>
  <c r="I36" i="34" s="1"/>
  <c r="H36" i="1"/>
  <c r="I36" i="1" s="1"/>
  <c r="I28" i="72"/>
  <c r="H28" i="34"/>
  <c r="I28" i="34" s="1"/>
  <c r="H28" i="1"/>
  <c r="I28" i="1" s="1"/>
  <c r="H21" i="1"/>
  <c r="I21" i="1" s="1"/>
  <c r="H21" i="34"/>
  <c r="I21" i="34" s="1"/>
  <c r="I130" i="72"/>
  <c r="H130" i="34"/>
  <c r="I130" i="34" s="1"/>
  <c r="H130" i="1"/>
  <c r="I130" i="1" s="1"/>
  <c r="I122" i="72"/>
  <c r="H122" i="34"/>
  <c r="I122" i="34" s="1"/>
  <c r="H122" i="1"/>
  <c r="I122" i="1" s="1"/>
  <c r="I114" i="72"/>
  <c r="H114" i="34"/>
  <c r="I114" i="34" s="1"/>
  <c r="H114" i="1"/>
  <c r="I114" i="1" s="1"/>
  <c r="I90" i="72"/>
  <c r="H90" i="1"/>
  <c r="I90" i="1" s="1"/>
  <c r="H90" i="34"/>
  <c r="I90" i="34" s="1"/>
  <c r="I74" i="72"/>
  <c r="H74" i="34"/>
  <c r="I74" i="34" s="1"/>
  <c r="H74" i="1"/>
  <c r="I74" i="1" s="1"/>
  <c r="I66" i="72"/>
  <c r="H66" i="34"/>
  <c r="I66" i="34" s="1"/>
  <c r="H66" i="1"/>
  <c r="I66" i="1" s="1"/>
  <c r="I58" i="72"/>
  <c r="H58" i="34"/>
  <c r="I58" i="34" s="1"/>
  <c r="H58" i="1"/>
  <c r="I58" i="1" s="1"/>
  <c r="I51" i="72"/>
  <c r="H51" i="34"/>
  <c r="I51" i="34" s="1"/>
  <c r="H51" i="1"/>
  <c r="I51" i="1" s="1"/>
  <c r="I43" i="72"/>
  <c r="H43" i="34"/>
  <c r="I43" i="34" s="1"/>
  <c r="H43" i="1"/>
  <c r="I43" i="1" s="1"/>
  <c r="I35" i="72"/>
  <c r="H35" i="1"/>
  <c r="I35" i="1" s="1"/>
  <c r="H35" i="34"/>
  <c r="I35" i="34" s="1"/>
  <c r="I27" i="72"/>
  <c r="H27" i="1"/>
  <c r="I27" i="1" s="1"/>
  <c r="H27" i="34"/>
  <c r="I27" i="34" s="1"/>
  <c r="I137" i="72"/>
  <c r="H137" i="34"/>
  <c r="I137" i="34" s="1"/>
  <c r="H137" i="1"/>
  <c r="I137" i="1" s="1"/>
  <c r="I129" i="72"/>
  <c r="H129" i="1"/>
  <c r="I129" i="1" s="1"/>
  <c r="H129" i="34"/>
  <c r="I129" i="34" s="1"/>
  <c r="I121" i="72"/>
  <c r="H121" i="1"/>
  <c r="I121" i="1" s="1"/>
  <c r="H121" i="34"/>
  <c r="I121" i="34" s="1"/>
  <c r="I113" i="72"/>
  <c r="H113" i="1"/>
  <c r="I113" i="1" s="1"/>
  <c r="H113" i="34"/>
  <c r="I113" i="34" s="1"/>
  <c r="I89" i="72"/>
  <c r="H89" i="1"/>
  <c r="I89" i="1" s="1"/>
  <c r="H89" i="34"/>
  <c r="I89" i="34" s="1"/>
  <c r="I73" i="72"/>
  <c r="H73" i="34"/>
  <c r="I73" i="34" s="1"/>
  <c r="H73" i="1"/>
  <c r="I73" i="1" s="1"/>
  <c r="I65" i="72"/>
  <c r="H65" i="1"/>
  <c r="I65" i="1" s="1"/>
  <c r="H65" i="34"/>
  <c r="I65" i="34" s="1"/>
  <c r="I57" i="72"/>
  <c r="I50" i="72"/>
  <c r="H50" i="1"/>
  <c r="I50" i="1" s="1"/>
  <c r="H50" i="34"/>
  <c r="I50" i="34" s="1"/>
  <c r="I42" i="72"/>
  <c r="H42" i="1"/>
  <c r="I42" i="1" s="1"/>
  <c r="H42" i="34"/>
  <c r="I42" i="34" s="1"/>
  <c r="I34" i="72"/>
  <c r="H34" i="34"/>
  <c r="I34" i="34" s="1"/>
  <c r="H34" i="1"/>
  <c r="I34" i="1" s="1"/>
  <c r="I26" i="72"/>
  <c r="H26" i="34"/>
  <c r="I26" i="34" s="1"/>
  <c r="H26" i="1"/>
  <c r="I26" i="1" s="1"/>
  <c r="I19" i="72"/>
  <c r="H19" i="1"/>
  <c r="I19" i="1" s="1"/>
  <c r="H19" i="34"/>
  <c r="I19" i="34" s="1"/>
  <c r="I128" i="72"/>
  <c r="H128" i="34"/>
  <c r="I128" i="34" s="1"/>
  <c r="H128" i="1"/>
  <c r="I128" i="1" s="1"/>
  <c r="I96" i="72"/>
  <c r="H96" i="34"/>
  <c r="I96" i="34" s="1"/>
  <c r="H96" i="1"/>
  <c r="I96" i="1" s="1"/>
  <c r="I135" i="72"/>
  <c r="H135" i="34"/>
  <c r="I135" i="34" s="1"/>
  <c r="H135" i="1"/>
  <c r="I135" i="1" s="1"/>
  <c r="I127" i="72"/>
  <c r="H127" i="34"/>
  <c r="I127" i="34" s="1"/>
  <c r="H127" i="1"/>
  <c r="I127" i="1" s="1"/>
  <c r="I111" i="72"/>
  <c r="H111" i="1"/>
  <c r="I111" i="1" s="1"/>
  <c r="H111" i="34"/>
  <c r="I111" i="34" s="1"/>
  <c r="I95" i="72"/>
  <c r="H95" i="34"/>
  <c r="I95" i="34" s="1"/>
  <c r="H95" i="1"/>
  <c r="I95" i="1" s="1"/>
  <c r="I63" i="72"/>
  <c r="H63" i="34"/>
  <c r="I63" i="34" s="1"/>
  <c r="H63" i="1"/>
  <c r="I63" i="1" s="1"/>
  <c r="I48" i="72"/>
  <c r="H48" i="34"/>
  <c r="I48" i="34" s="1"/>
  <c r="H48" i="1"/>
  <c r="I48" i="1" s="1"/>
  <c r="I40" i="72"/>
  <c r="H40" i="1"/>
  <c r="I40" i="1" s="1"/>
  <c r="H40" i="34"/>
  <c r="I40" i="34" s="1"/>
  <c r="I32" i="72"/>
  <c r="H32" i="34"/>
  <c r="I32" i="34" s="1"/>
  <c r="H32" i="1"/>
  <c r="I32" i="1" s="1"/>
  <c r="I126" i="72"/>
  <c r="H126" i="1"/>
  <c r="I126" i="1" s="1"/>
  <c r="H126" i="34"/>
  <c r="I126" i="34" s="1"/>
  <c r="I47" i="72"/>
  <c r="H47" i="1"/>
  <c r="I47" i="1" s="1"/>
  <c r="H47" i="34"/>
  <c r="I47" i="34" s="1"/>
  <c r="I125" i="72"/>
  <c r="H125" i="34"/>
  <c r="I125" i="34" s="1"/>
  <c r="H125" i="1"/>
  <c r="I125" i="1" s="1"/>
  <c r="I117" i="72"/>
  <c r="H117" i="1"/>
  <c r="I117" i="1" s="1"/>
  <c r="H117" i="34"/>
  <c r="I117" i="34" s="1"/>
  <c r="I93" i="72"/>
  <c r="H93" i="1"/>
  <c r="I93" i="1" s="1"/>
  <c r="H93" i="34"/>
  <c r="I93" i="34" s="1"/>
  <c r="I85" i="72"/>
  <c r="H85" i="34"/>
  <c r="I85" i="34" s="1"/>
  <c r="H85" i="1"/>
  <c r="I85" i="1" s="1"/>
  <c r="I69" i="72"/>
  <c r="H69" i="1"/>
  <c r="I69" i="1" s="1"/>
  <c r="H69" i="34"/>
  <c r="I69" i="34" s="1"/>
  <c r="I61" i="72"/>
  <c r="H61" i="1"/>
  <c r="I61" i="1" s="1"/>
  <c r="H61" i="34"/>
  <c r="I61" i="34" s="1"/>
  <c r="I54" i="72"/>
  <c r="H54" i="1"/>
  <c r="I54" i="1" s="1"/>
  <c r="H54" i="34"/>
  <c r="I54" i="34" s="1"/>
  <c r="I38" i="72"/>
  <c r="H38" i="1"/>
  <c r="I38" i="1" s="1"/>
  <c r="H38" i="34"/>
  <c r="I38" i="34" s="1"/>
  <c r="I30" i="72"/>
  <c r="H30" i="1"/>
  <c r="I30" i="1" s="1"/>
  <c r="H30" i="34"/>
  <c r="I30" i="34" s="1"/>
  <c r="I22" i="72"/>
  <c r="H22" i="34"/>
  <c r="I22" i="34" s="1"/>
  <c r="H22" i="1"/>
  <c r="I22" i="1" s="1"/>
  <c r="I64" i="72"/>
  <c r="H64" i="34"/>
  <c r="I64" i="34" s="1"/>
  <c r="H64" i="1"/>
  <c r="I64" i="1" s="1"/>
  <c r="I49" i="72"/>
  <c r="H49" i="34"/>
  <c r="I49" i="34" s="1"/>
  <c r="H49" i="1"/>
  <c r="I49" i="1" s="1"/>
  <c r="I33" i="72"/>
  <c r="H33" i="34"/>
  <c r="I33" i="34" s="1"/>
  <c r="H33" i="1"/>
  <c r="I33" i="1" s="1"/>
  <c r="I25" i="72"/>
  <c r="H25" i="34"/>
  <c r="I25" i="34" s="1"/>
  <c r="H25" i="1"/>
  <c r="I25" i="1" s="1"/>
  <c r="I119" i="72"/>
  <c r="H119" i="1"/>
  <c r="I119" i="1" s="1"/>
  <c r="H119" i="34"/>
  <c r="I119" i="34" s="1"/>
  <c r="I87" i="72"/>
  <c r="H87" i="1"/>
  <c r="I87" i="1" s="1"/>
  <c r="H87" i="34"/>
  <c r="I87" i="34" s="1"/>
  <c r="I71" i="72"/>
  <c r="H71" i="34"/>
  <c r="I71" i="34" s="1"/>
  <c r="H71" i="1"/>
  <c r="I71" i="1" s="1"/>
  <c r="I56" i="72"/>
  <c r="H56" i="34"/>
  <c r="I56" i="34" s="1"/>
  <c r="H56" i="1"/>
  <c r="I56" i="1" s="1"/>
  <c r="I24" i="72"/>
  <c r="H24" i="34"/>
  <c r="I24" i="34" s="1"/>
  <c r="H24" i="1"/>
  <c r="I24" i="1" s="1"/>
  <c r="I134" i="72"/>
  <c r="H134" i="1"/>
  <c r="I134" i="1" s="1"/>
  <c r="H134" i="34"/>
  <c r="I134" i="34" s="1"/>
  <c r="I118" i="72"/>
  <c r="H118" i="34"/>
  <c r="I118" i="34" s="1"/>
  <c r="H118" i="1"/>
  <c r="I118" i="1" s="1"/>
  <c r="I110" i="72"/>
  <c r="H110" i="34"/>
  <c r="I110" i="34" s="1"/>
  <c r="H110" i="1"/>
  <c r="I110" i="1" s="1"/>
  <c r="I94" i="72"/>
  <c r="H94" i="34"/>
  <c r="I94" i="34" s="1"/>
  <c r="H94" i="1"/>
  <c r="I94" i="1" s="1"/>
  <c r="I86" i="72"/>
  <c r="H86" i="1"/>
  <c r="I86" i="1" s="1"/>
  <c r="H86" i="34"/>
  <c r="I86" i="34" s="1"/>
  <c r="I70" i="72"/>
  <c r="H70" i="1"/>
  <c r="I70" i="1" s="1"/>
  <c r="H70" i="34"/>
  <c r="I70" i="34" s="1"/>
  <c r="I62" i="72"/>
  <c r="H62" i="34"/>
  <c r="I62" i="34" s="1"/>
  <c r="H62" i="1"/>
  <c r="I62" i="1" s="1"/>
  <c r="I55" i="72"/>
  <c r="H55" i="34"/>
  <c r="I55" i="34" s="1"/>
  <c r="H55" i="1"/>
  <c r="I55" i="1" s="1"/>
  <c r="I39" i="72"/>
  <c r="H39" i="34"/>
  <c r="I39" i="34" s="1"/>
  <c r="H39" i="1"/>
  <c r="I39" i="1" s="1"/>
  <c r="I31" i="72"/>
  <c r="H31" i="34"/>
  <c r="I31" i="34" s="1"/>
  <c r="H31" i="1"/>
  <c r="I31" i="1" s="1"/>
  <c r="I23" i="72"/>
  <c r="H23" i="34"/>
  <c r="I23" i="34" s="1"/>
  <c r="H23" i="1"/>
  <c r="I23" i="1" s="1"/>
  <c r="I133" i="72"/>
  <c r="H133" i="34"/>
  <c r="I133" i="34" s="1"/>
  <c r="H133" i="1"/>
  <c r="I133" i="1" s="1"/>
  <c r="I109" i="72"/>
  <c r="H109" i="34"/>
  <c r="I109" i="34" s="1"/>
  <c r="H109" i="1"/>
  <c r="I109" i="1" s="1"/>
  <c r="I46" i="72"/>
  <c r="H46" i="34"/>
  <c r="I46" i="34" s="1"/>
  <c r="H46" i="1"/>
  <c r="I46" i="1" s="1"/>
  <c r="I132" i="72"/>
  <c r="H132" i="1"/>
  <c r="I132" i="1" s="1"/>
  <c r="H132" i="34"/>
  <c r="I132" i="34" s="1"/>
  <c r="I124" i="72"/>
  <c r="H124" i="1"/>
  <c r="I124" i="1" s="1"/>
  <c r="H124" i="34"/>
  <c r="I124" i="34" s="1"/>
  <c r="I116" i="72"/>
  <c r="H116" i="34"/>
  <c r="I116" i="34" s="1"/>
  <c r="H116" i="1"/>
  <c r="I116" i="1" s="1"/>
  <c r="I92" i="72"/>
  <c r="H92" i="34"/>
  <c r="I92" i="34" s="1"/>
  <c r="H92" i="1"/>
  <c r="I92" i="1" s="1"/>
  <c r="I68" i="72"/>
  <c r="H68" i="34"/>
  <c r="I68" i="34" s="1"/>
  <c r="H68" i="1"/>
  <c r="I68" i="1" s="1"/>
  <c r="I60" i="72"/>
  <c r="H60" i="1"/>
  <c r="I60" i="1" s="1"/>
  <c r="H60" i="34"/>
  <c r="I60" i="34" s="1"/>
  <c r="I53" i="72"/>
  <c r="H53" i="34"/>
  <c r="I53" i="34" s="1"/>
  <c r="H53" i="1"/>
  <c r="I53" i="1" s="1"/>
  <c r="I45" i="72"/>
  <c r="H45" i="1"/>
  <c r="I45" i="1" s="1"/>
  <c r="H45" i="34"/>
  <c r="I45" i="34" s="1"/>
  <c r="I37" i="72"/>
  <c r="H37" i="34"/>
  <c r="I37" i="34" s="1"/>
  <c r="H37" i="1"/>
  <c r="I37" i="1" s="1"/>
  <c r="I29" i="72"/>
  <c r="H29" i="1"/>
  <c r="I29" i="1" s="1"/>
  <c r="H29" i="34"/>
  <c r="I29" i="34" s="1"/>
  <c r="I21" i="72"/>
  <c r="I20" i="72"/>
  <c r="H20" i="1"/>
  <c r="I20" i="1" s="1"/>
  <c r="H20" i="34"/>
  <c r="I20" i="34" s="1"/>
  <c r="I83" i="3"/>
  <c r="H83" i="1"/>
  <c r="I83" i="1" s="1"/>
  <c r="H83" i="34"/>
  <c r="I83" i="34" s="1"/>
  <c r="I82" i="3"/>
  <c r="H82" i="1"/>
  <c r="I82" i="1" s="1"/>
  <c r="H82" i="34"/>
  <c r="I82" i="34" s="1"/>
  <c r="I84" i="3"/>
  <c r="H84" i="34"/>
  <c r="I84" i="34" s="1"/>
  <c r="H84" i="1"/>
  <c r="I84" i="1" s="1"/>
  <c r="I81" i="3"/>
  <c r="H81" i="1"/>
  <c r="I81" i="1" s="1"/>
  <c r="H81" i="34"/>
  <c r="I81" i="34" s="1"/>
  <c r="I80" i="3"/>
  <c r="H80" i="34"/>
  <c r="I80" i="34" s="1"/>
  <c r="H80" i="1"/>
  <c r="I80" i="1" s="1"/>
  <c r="I79" i="3"/>
  <c r="H79" i="1"/>
  <c r="I79" i="1" s="1"/>
  <c r="H79" i="34"/>
  <c r="I79" i="34" s="1"/>
  <c r="I76" i="3"/>
  <c r="H76" i="1"/>
  <c r="I76" i="1" s="1"/>
  <c r="H76" i="34"/>
  <c r="I76" i="34" s="1"/>
  <c r="I77" i="3"/>
  <c r="H77" i="34"/>
  <c r="I77" i="34" s="1"/>
  <c r="H77" i="1"/>
  <c r="I77" i="1" s="1"/>
  <c r="I78" i="3"/>
  <c r="H78" i="34"/>
  <c r="I78" i="34" s="1"/>
  <c r="H78" i="1"/>
  <c r="I78" i="1" s="1"/>
  <c r="I75" i="3"/>
  <c r="H75" i="1"/>
  <c r="I75" i="1" s="1"/>
  <c r="H75" i="34"/>
  <c r="I75" i="34" s="1"/>
  <c r="I97" i="3"/>
  <c r="H97" i="34"/>
  <c r="I97" i="34" s="1"/>
  <c r="H97" i="1"/>
  <c r="I97" i="1" s="1"/>
  <c r="I105" i="3"/>
  <c r="H105" i="34"/>
  <c r="I105" i="34" s="1"/>
  <c r="H105" i="1"/>
  <c r="I105" i="1" s="1"/>
  <c r="I101" i="3"/>
  <c r="H101" i="34"/>
  <c r="I101" i="34" s="1"/>
  <c r="H101" i="1"/>
  <c r="I101" i="1" s="1"/>
  <c r="I107" i="3"/>
  <c r="H107" i="34"/>
  <c r="I107" i="34" s="1"/>
  <c r="H107" i="1"/>
  <c r="I107" i="1" s="1"/>
  <c r="I103" i="3"/>
  <c r="H103" i="34"/>
  <c r="I103" i="34" s="1"/>
  <c r="H103" i="1"/>
  <c r="I103" i="1" s="1"/>
  <c r="I99" i="3"/>
  <c r="H99" i="34"/>
  <c r="I99" i="34" s="1"/>
  <c r="H99" i="1"/>
  <c r="I99" i="1" s="1"/>
  <c r="I108" i="3"/>
  <c r="H108" i="34"/>
  <c r="I108" i="34" s="1"/>
  <c r="H108" i="1"/>
  <c r="I108" i="1" s="1"/>
  <c r="I100" i="3"/>
  <c r="H100" i="1"/>
  <c r="I100" i="1" s="1"/>
  <c r="H100" i="34"/>
  <c r="I100" i="34" s="1"/>
  <c r="I106" i="3"/>
  <c r="H106" i="34"/>
  <c r="I106" i="34" s="1"/>
  <c r="H106" i="1"/>
  <c r="I106" i="1" s="1"/>
  <c r="I102" i="3"/>
  <c r="H102" i="34"/>
  <c r="I102" i="34" s="1"/>
  <c r="H102" i="1"/>
  <c r="I102" i="1" s="1"/>
  <c r="I98" i="3"/>
  <c r="H98" i="1"/>
  <c r="I98" i="1" s="1"/>
  <c r="H98" i="34"/>
  <c r="I98" i="34" s="1"/>
  <c r="I104" i="3"/>
  <c r="H104" i="34"/>
  <c r="I104" i="34" s="1"/>
  <c r="H104" i="1"/>
  <c r="I104" i="1" s="1"/>
  <c r="C16" i="30"/>
  <c r="E16" i="30" s="1"/>
  <c r="F16" i="30" s="1"/>
  <c r="D16" i="30"/>
  <c r="C17" i="30"/>
  <c r="D17" i="30"/>
  <c r="E17" i="30" s="1"/>
  <c r="F17" i="30" s="1"/>
  <c r="C16" i="29"/>
  <c r="E16" i="29" s="1"/>
  <c r="F16" i="29" s="1"/>
  <c r="D16" i="29"/>
  <c r="C17" i="29"/>
  <c r="D17" i="29"/>
  <c r="C16" i="18"/>
  <c r="E16" i="18" s="1"/>
  <c r="F16" i="18" s="1"/>
  <c r="D16" i="18"/>
  <c r="C17" i="18"/>
  <c r="E17" i="18" s="1"/>
  <c r="F17" i="18" s="1"/>
  <c r="D17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E13" i="30" s="1"/>
  <c r="F13" i="30" s="1"/>
  <c r="D12" i="30"/>
  <c r="C12" i="30"/>
  <c r="E12" i="30" s="1"/>
  <c r="F12" i="30" s="1"/>
  <c r="D11" i="30"/>
  <c r="C11" i="30"/>
  <c r="E11" i="30" s="1"/>
  <c r="F11" i="30" s="1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I9" i="4"/>
  <c r="H9" i="4"/>
  <c r="E9" i="4"/>
  <c r="F9" i="4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J2" i="72"/>
  <c r="A1" i="72" a="1"/>
  <c r="A1" i="72" s="1"/>
  <c r="C2" i="1" l="1"/>
  <c r="G4" i="34"/>
  <c r="G2" i="34" s="1"/>
  <c r="G2" i="1"/>
  <c r="D2" i="1"/>
  <c r="E17" i="1"/>
  <c r="F17" i="1" s="1"/>
  <c r="E16" i="1"/>
  <c r="F16" i="1" s="1"/>
  <c r="E16" i="34"/>
  <c r="F16" i="34" s="1"/>
  <c r="E15" i="30"/>
  <c r="F15" i="30" s="1"/>
  <c r="D2" i="30"/>
  <c r="E5" i="30"/>
  <c r="F5" i="30" s="1"/>
  <c r="E6" i="30"/>
  <c r="F6" i="30" s="1"/>
  <c r="H16" i="30"/>
  <c r="I16" i="30" s="1"/>
  <c r="H6" i="30"/>
  <c r="I6" i="30" s="1"/>
  <c r="H17" i="30"/>
  <c r="I17" i="30" s="1"/>
  <c r="E4" i="30"/>
  <c r="F4" i="30" s="1"/>
  <c r="E17" i="29"/>
  <c r="F17" i="29" s="1"/>
  <c r="E13" i="29"/>
  <c r="F13" i="29" s="1"/>
  <c r="E14" i="29"/>
  <c r="F14" i="29" s="1"/>
  <c r="H9" i="29"/>
  <c r="I9" i="29" s="1"/>
  <c r="H6" i="29"/>
  <c r="I6" i="29" s="1"/>
  <c r="D2" i="29"/>
  <c r="E5" i="29"/>
  <c r="F5" i="29" s="1"/>
  <c r="E9" i="29"/>
  <c r="F9" i="29" s="1"/>
  <c r="H17" i="29"/>
  <c r="I17" i="29" s="1"/>
  <c r="H10" i="29"/>
  <c r="I10" i="29" s="1"/>
  <c r="H13" i="29"/>
  <c r="I13" i="29" s="1"/>
  <c r="E11" i="29"/>
  <c r="F11" i="29" s="1"/>
  <c r="E8" i="29"/>
  <c r="F8" i="29" s="1"/>
  <c r="E12" i="29"/>
  <c r="F12" i="29" s="1"/>
  <c r="H16" i="29"/>
  <c r="I16" i="29" s="1"/>
  <c r="E9" i="18"/>
  <c r="F9" i="18" s="1"/>
  <c r="E14" i="18"/>
  <c r="F14" i="18" s="1"/>
  <c r="E5" i="18"/>
  <c r="F5" i="18" s="1"/>
  <c r="E13" i="18"/>
  <c r="F13" i="18" s="1"/>
  <c r="H16" i="18"/>
  <c r="I16" i="18" s="1"/>
  <c r="D4" i="34"/>
  <c r="D2" i="34" s="1"/>
  <c r="E7" i="18"/>
  <c r="F7" i="18" s="1"/>
  <c r="E11" i="18"/>
  <c r="F11" i="18" s="1"/>
  <c r="E15" i="18"/>
  <c r="F15" i="18" s="1"/>
  <c r="H17" i="18"/>
  <c r="I17" i="18" s="1"/>
  <c r="E4" i="18"/>
  <c r="F4" i="18" s="1"/>
  <c r="E8" i="18"/>
  <c r="F8" i="18" s="1"/>
  <c r="E12" i="18"/>
  <c r="F12" i="18" s="1"/>
  <c r="E17" i="34"/>
  <c r="F17" i="34" s="1"/>
  <c r="H17" i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C2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H2" i="34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C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C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<sst xmlns="http://schemas.openxmlformats.org/spreadsheetml/2006/main" count="1143" uniqueCount="453">
  <si>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</si>
  <si>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</si>
  <si>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</si>
  <si>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</si>
  <si>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</si>
  <si>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</si>
  <si>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</si>
  <si>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</si>
  <si>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</si>
  <si>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</si>
  <si>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</si>
  <si>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</si>
  <si>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</si>
  <si>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</si>
  <si>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</si>
  <si>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</si>
  <si>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</si>
  <si>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</si>
  <si>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</si>
  <si>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</si>
  <si>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</si>
  <si>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</si>
  <si>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</si>
  <si>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</si>
  <si>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</si>
  <si>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</si>
  <si>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</si>
  <si>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</si>
  <si>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</si>
  <si>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</si>
  <si>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</si>
  <si>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</si>
  <si>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</si>
  <si>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</si>
  <si>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</si>
  <si>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</si>
  <si>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</si>
  <si>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</si>
  <si>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</si>
  <si>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</si>
  <si>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</si>
  <si>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</si>
  <si>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</si>
  <si>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</si>
  <si>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</si>
  <si>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</si>
  <si>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</si>
  <si>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</si>
  <si>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</si>
  <si>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</si>
  <si>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</si>
  <si>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</si>
  <si>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</si>
  <si>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</si>
  <si>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</si>
  <si>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</si>
  <si>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</si>
  <si>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</si>
  <si>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</si>
  <si>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</si>
  <si>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</si>
  <si>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</si>
  <si>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</si>
  <si>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</si>
  <si>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</si>
  <si>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</si>
  <si>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</si>
  <si>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</si>
  <si>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</si>
  <si>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</si>
  <si>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</si>
  <si>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</si>
  <si>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</si>
  <si>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</si>
  <si>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</si>
  <si>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</si>
  <si>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</si>
  <si>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</si>
  <si>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</si>
  <si>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</si>
  <si>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</si>
  <si>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</si>
  <si>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</si>
  <si>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</si>
  <si>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</si>
  <si>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</si>
  <si>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</si>
  <si>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</si>
  <si>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</si>
  <si>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</si>
  <si>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</si>
  <si>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</si>
  <si>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</si>
  <si>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</si>
  <si>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</si>
  <si>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</si>
  <si>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</si>
  <si>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</si>
  <si>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</si>
  <si>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</si>
  <si>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</si>
  <si>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</si>
  <si>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</si>
  <si>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</si>
  <si>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</si>
  <si>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</si>
  <si>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</si>
  <si>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</si>
  <si>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</si>
  <si>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</si>
  <si>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</si>
  <si>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</si>
  <si>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</si>
  <si>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</si>
  <si>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</si>
  <si>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</si>
  <si>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</si>
  <si>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</si>
  <si>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</si>
  <si>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</si>
  <si>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</si>
  <si>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</si>
  <si>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</si>
  <si>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</si>
  <si>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</si>
  <si>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</si>
  <si>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</si>
  <si>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</si>
  <si>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</si>
  <si>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</si>
  <si>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</si>
  <si>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</si>
  <si>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</si>
  <si>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</si>
  <si>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</si>
  <si>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</si>
  <si>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</si>
  <si>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</si>
  <si>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</si>
  <si>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</si>
  <si>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</si>
  <si>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</si>
  <si>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</si>
  <si>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</si>
  <si>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</si>
  <si>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</si>
  <si>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</si>
  <si>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</si>
  <si>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</si>
  <si>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</si>
  <si>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</si>
  <si>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</si>
  <si>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</si>
  <si>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</si>
  <si>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</si>
  <si>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</si>
  <si>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</si>
  <si>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</si>
  <si>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</si>
  <si>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</si>
  <si>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</si>
  <si>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</si>
  <si>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</si>
  <si>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</si>
  <si>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</si>
  <si>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</si>
  <si>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</si>
  <si>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</si>
  <si>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</si>
  <si>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</si>
  <si>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</si>
  <si>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</si>
  <si>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</si>
  <si>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</si>
  <si>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</si>
  <si>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</si>
  <si>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</si>
  <si>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</si>
  <si>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</si>
  <si>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</si>
  <si>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</si>
  <si>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</si>
  <si>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</si>
  <si>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</si>
  <si>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</si>
  <si>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</si>
  <si>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</si>
  <si>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</si>
  <si>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</si>
  <si>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</si>
  <si>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</si>
  <si>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</si>
  <si>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</si>
  <si>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</si>
  <si>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</si>
  <si>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</si>
  <si>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</si>
  <si>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</si>
  <si>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</si>
  <si>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</si>
  <si>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</si>
  <si>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</si>
  <si>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</si>
  <si>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</si>
  <si>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</si>
  <si>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</si>
  <si>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</si>
  <si>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</si>
  <si>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</si>
  <si>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</si>
  <si>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</si>
  <si>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</si>
  <si>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</si>
  <si>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</si>
  <si>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</si>
  <si>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</si>
  <si>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</si>
  <si>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</si>
  <si>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</si>
  <si>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</si>
  <si>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</si>
  <si>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</si>
  <si>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</si>
  <si>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01/14  and reporting "Fault Current".</t>
  </si>
  <si>
    <t>1. SR080525
2. SR078106
3.  SR079260</t>
  </si>
  <si>
    <t>1. Inverters 6,10,15, have been offline since the commencement of the site. SMA is RMAing the inverters
2.  Inverter 17 tripped offline on 02/23/2024 due to "electric arc detected" 
3.Inverter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</si>
  <si>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</si>
  <si>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</si>
  <si>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</si>
  <si>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</si>
  <si>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</si>
  <si>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Inverter 5 is offline on 02/13 due to "bus differential high" fault</t>
  </si>
  <si>
    <t>1. SR080961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</si>
  <si>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</si>
  <si>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</si>
  <si>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</si>
  <si>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</si>
  <si>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</si>
  <si>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</si>
  <si>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</si>
  <si>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</si>
  <si>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</si>
  <si>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</si>
  <si>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</si>
  <si>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</si>
  <si>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</si>
  <si>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</si>
  <si>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</si>
  <si>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</si>
  <si>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</si>
  <si>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</si>
  <si>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</si>
  <si>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</si>
  <si>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</si>
  <si>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</si>
  <si>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</si>
  <si>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</si>
  <si>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</si>
  <si>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</si>
  <si>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</si>
  <si>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</si>
  <si>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</si>
  <si>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ASU - Fulton</t>
  </si>
  <si>
    <t>Fulton</t>
  </si>
  <si>
    <t>JFK Elementary</t>
  </si>
  <si>
    <t>ASU - Noble</t>
  </si>
  <si>
    <t>Noble</t>
  </si>
  <si>
    <t>ASU - Parking #3</t>
  </si>
  <si>
    <t>Parking 3</t>
  </si>
  <si>
    <t>ASU - PE East</t>
  </si>
  <si>
    <t>PE East</t>
  </si>
  <si>
    <t>ASU - Schwada</t>
  </si>
  <si>
    <t>Schwada</t>
  </si>
  <si>
    <t>Starshine</t>
  </si>
  <si>
    <t>Yuma Airport</t>
  </si>
  <si>
    <t>CV Kinsman</t>
  </si>
  <si>
    <t>Kinsman</t>
  </si>
  <si>
    <t>OH</t>
  </si>
  <si>
    <t>CV Wooster</t>
  </si>
  <si>
    <t>Wooster</t>
  </si>
  <si>
    <t>GCC Globe Solar PV</t>
  </si>
  <si>
    <t>Globe Gila CC</t>
  </si>
  <si>
    <t>GCC Payson Solar PV</t>
  </si>
  <si>
    <t>Payson Gila CC</t>
  </si>
  <si>
    <t>Southwest College Naturopathic Medicine</t>
  </si>
  <si>
    <t>SCNM</t>
  </si>
  <si>
    <t>Sequoia Charter School</t>
  </si>
  <si>
    <t>RCAB - Pastoral Center</t>
  </si>
  <si>
    <t>RCAB</t>
  </si>
  <si>
    <t>MA</t>
  </si>
  <si>
    <t>Claremont Flock</t>
  </si>
  <si>
    <t>Spectro Coatings</t>
  </si>
  <si>
    <t>K026</t>
  </si>
  <si>
    <t>NY</t>
  </si>
  <si>
    <t>K041</t>
  </si>
  <si>
    <t>K043 Brooklyn</t>
  </si>
  <si>
    <t>K043</t>
  </si>
  <si>
    <t>K058</t>
  </si>
  <si>
    <t>K115</t>
  </si>
  <si>
    <t>K152</t>
  </si>
  <si>
    <t>K166</t>
  </si>
  <si>
    <t>K206</t>
  </si>
  <si>
    <t>K251</t>
  </si>
  <si>
    <t>K269</t>
  </si>
  <si>
    <t>K273</t>
  </si>
  <si>
    <t>K287</t>
  </si>
  <si>
    <t>K298</t>
  </si>
  <si>
    <t>K335</t>
  </si>
  <si>
    <t>K345</t>
  </si>
  <si>
    <t>K445</t>
  </si>
  <si>
    <t>K495</t>
  </si>
  <si>
    <t>M020</t>
  </si>
  <si>
    <t>M092</t>
  </si>
  <si>
    <t>M143</t>
  </si>
  <si>
    <t>M144</t>
  </si>
  <si>
    <t>M167</t>
  </si>
  <si>
    <t>M188</t>
  </si>
  <si>
    <t>Elmhurst Hospital</t>
  </si>
  <si>
    <t>EMHC</t>
  </si>
  <si>
    <t>Q008</t>
  </si>
  <si>
    <t>Q018</t>
  </si>
  <si>
    <t>Q021</t>
  </si>
  <si>
    <t>Q025</t>
  </si>
  <si>
    <t>Q074</t>
  </si>
  <si>
    <t>Q115</t>
  </si>
  <si>
    <t>Q139</t>
  </si>
  <si>
    <t>Q157</t>
  </si>
  <si>
    <t>Q192</t>
  </si>
  <si>
    <t>Q210</t>
  </si>
  <si>
    <t>Q229</t>
  </si>
  <si>
    <t>Q231</t>
  </si>
  <si>
    <t>Q405</t>
  </si>
  <si>
    <t>Q435</t>
  </si>
  <si>
    <t>Q485</t>
  </si>
  <si>
    <t>Q490</t>
  </si>
  <si>
    <t>Q620</t>
  </si>
  <si>
    <t>Queens Museum of Art</t>
  </si>
  <si>
    <t>QMOA</t>
  </si>
  <si>
    <t>X024</t>
  </si>
  <si>
    <t>X026</t>
  </si>
  <si>
    <t>X090</t>
  </si>
  <si>
    <t>X117</t>
  </si>
  <si>
    <t>X125</t>
  </si>
  <si>
    <t>X134</t>
  </si>
  <si>
    <t>X135</t>
  </si>
  <si>
    <t>X-139  JHS 222</t>
  </si>
  <si>
    <t>X139 JHS 222</t>
  </si>
  <si>
    <t>X140</t>
  </si>
  <si>
    <t>X166</t>
  </si>
  <si>
    <t>Murphy (WaveSun)</t>
  </si>
  <si>
    <t>Murphy</t>
  </si>
  <si>
    <t>MN</t>
  </si>
  <si>
    <t>Terning (MontSun)</t>
  </si>
  <si>
    <t>Terning</t>
  </si>
  <si>
    <t>Boas Road 04</t>
  </si>
  <si>
    <t>GPM</t>
  </si>
  <si>
    <t>Kelly Bridge Farm</t>
  </si>
  <si>
    <t>Pool Brook Farm</t>
  </si>
  <si>
    <t>Pool Brook Road</t>
  </si>
  <si>
    <t>Sackett Lake Farm 1</t>
  </si>
  <si>
    <t>Sackett Lake</t>
  </si>
  <si>
    <t>Burritt Road</t>
  </si>
  <si>
    <t>Villa Roma 1</t>
  </si>
  <si>
    <t>Villa Roma 2</t>
  </si>
  <si>
    <t>Washington 1</t>
  </si>
  <si>
    <t>Washington 3</t>
  </si>
  <si>
    <t>Washington 4</t>
  </si>
  <si>
    <t>Big Tree</t>
  </si>
  <si>
    <t>Canoga</t>
  </si>
  <si>
    <t>County Route 84</t>
  </si>
  <si>
    <t>Donati</t>
  </si>
  <si>
    <t>Henrietta</t>
  </si>
  <si>
    <t>NY 70</t>
  </si>
  <si>
    <t>Reid (FFP)</t>
  </si>
  <si>
    <t>Reid</t>
  </si>
  <si>
    <t>Sangolqui</t>
  </si>
  <si>
    <t>State Highway 17B</t>
  </si>
  <si>
    <t>State Route 14A</t>
  </si>
  <si>
    <t>West Creek</t>
  </si>
  <si>
    <t>Wildflower</t>
  </si>
  <si>
    <t>Glen Mary 1</t>
  </si>
  <si>
    <t>Glen Mary 2</t>
  </si>
  <si>
    <t>Telegraph 1</t>
  </si>
  <si>
    <t>Telegraph 2</t>
  </si>
  <si>
    <t>Cafferty Hill</t>
  </si>
  <si>
    <t>Dunkleman</t>
  </si>
  <si>
    <t>Route 19 #1</t>
  </si>
  <si>
    <t>Route 19 1</t>
  </si>
  <si>
    <t>Route 19 #2</t>
  </si>
  <si>
    <t>Route 19 2</t>
  </si>
  <si>
    <t>Yellow Mills 1</t>
  </si>
  <si>
    <t>Yellow Mills 2</t>
  </si>
  <si>
    <t>Yellow Mills 3</t>
  </si>
  <si>
    <t>Catskill</t>
  </si>
  <si>
    <t>Eddy Ridge</t>
  </si>
  <si>
    <t>Ridgeway #1</t>
  </si>
  <si>
    <t>Rivard 1</t>
  </si>
  <si>
    <t>Rivard 2</t>
  </si>
  <si>
    <t>The Essex - DC</t>
  </si>
  <si>
    <t>Essex</t>
  </si>
  <si>
    <t>DC</t>
  </si>
  <si>
    <t>Temple Sinai</t>
  </si>
  <si>
    <t>Weinberg Commons #1</t>
  </si>
  <si>
    <t>Weinberg 1</t>
  </si>
  <si>
    <t>Weinberg Commons #2</t>
  </si>
  <si>
    <t>Weinberg 2</t>
  </si>
  <si>
    <t>Weinberg Commons #3</t>
  </si>
  <si>
    <t>Weinberg 3</t>
  </si>
  <si>
    <t>UD-John M.Clayton Hall</t>
  </si>
  <si>
    <t>Clayton Hall</t>
  </si>
  <si>
    <t>DE</t>
  </si>
  <si>
    <t>UD-Field House</t>
  </si>
  <si>
    <t>Field House</t>
  </si>
  <si>
    <t>UD-461 Wyoming Road</t>
  </si>
  <si>
    <t>Wyoming Road</t>
  </si>
  <si>
    <t>94-246 Leoku St. – PV Bldg E, F, G</t>
  </si>
  <si>
    <t>Leoku</t>
  </si>
  <si>
    <t>HI</t>
  </si>
  <si>
    <t>94-099 Waipahu St – PV</t>
  </si>
  <si>
    <t>Waipahu</t>
  </si>
  <si>
    <t>TES Bird in Hand</t>
  </si>
  <si>
    <t>Bird in Hand</t>
  </si>
  <si>
    <t>MD</t>
  </si>
  <si>
    <t>TES Shortal Solar LLC</t>
  </si>
  <si>
    <t>Shortal</t>
  </si>
  <si>
    <t>Coca Cola Aguadilla</t>
  </si>
  <si>
    <t>Aguadilla</t>
  </si>
  <si>
    <t>PR</t>
  </si>
  <si>
    <t>Coca Cola Bayamon</t>
  </si>
  <si>
    <t>Bayamon</t>
  </si>
  <si>
    <t>St Francis School</t>
  </si>
  <si>
    <t>St Francis</t>
  </si>
  <si>
    <t>645 Summer Street - (Seaport Solar)</t>
  </si>
  <si>
    <t>Seaport</t>
  </si>
  <si>
    <t>480 Sprague Street</t>
  </si>
  <si>
    <t>Sprague St</t>
  </si>
  <si>
    <t>647 Summer Street - (Summer Street Solar)</t>
  </si>
  <si>
    <t>Summer St</t>
  </si>
  <si>
    <t>Rochester Technical School (Wakefield Street)</t>
  </si>
  <si>
    <t>Brock St Vocational</t>
  </si>
  <si>
    <t>NH</t>
  </si>
  <si>
    <t>McLelland Elementary School (Brook Street)</t>
  </si>
  <si>
    <t>McClelland ES</t>
  </si>
  <si>
    <t>East Rochester School (Portland Street)</t>
  </si>
  <si>
    <t>Portland St</t>
  </si>
  <si>
    <t>Freshet Road - PHS</t>
  </si>
  <si>
    <t>Portsmouth HS</t>
  </si>
  <si>
    <t>Freshet Road - PWTP</t>
  </si>
  <si>
    <t>Portsmouth WTP</t>
  </si>
  <si>
    <t>Rochester Middle School (Brook Street)</t>
  </si>
  <si>
    <t>Rochester St</t>
  </si>
  <si>
    <t>Spaulding High School (Wakefield Street)</t>
  </si>
  <si>
    <t>Spaulding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</si>
</sst>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Arial"/>
    </font>
    <font>
      <b/>
      <sz val="11"/>
      <name val="Calibri Light"/>
      <scheme val="major"/>
    </font>
    <font>
      <b/>
      <sz val="11"/>
      <color rgb="FFFF0000"/>
      <name val="Calibri Light"/>
      <scheme val="major"/>
    </font>
    <font>
      <sz val="11"/>
      <name val="Calibri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</cellStyleXfs>
  <cellXfs count="71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24" fillId="0" borderId="0" xfId="43" applyFont="1"/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164" fontId="30" fillId="0" borderId="0" xfId="1" applyNumberFormat="1" applyFont="1" applyBorder="1" applyAlignment="1">
      <alignment horizontal="center" vertical="center"/>
    </xf>
    <xf numFmtId="3" fontId="32" fillId="3" borderId="0" xfId="0" applyNumberFormat="1" applyFont="1" applyFill="1" applyAlignment="1">
      <alignment horizontal="right" vertical="center"/>
    </xf>
    <xf numFmtId="9" fontId="32" fillId="3" borderId="0" xfId="2" applyFont="1" applyFill="1" applyBorder="1" applyAlignment="1">
      <alignment horizontal="center" vertical="center"/>
    </xf>
    <xf numFmtId="3" fontId="32" fillId="4" borderId="0" xfId="1" applyNumberFormat="1" applyFont="1" applyFill="1" applyBorder="1" applyAlignment="1">
      <alignment vertical="center"/>
    </xf>
    <xf numFmtId="9" fontId="32" fillId="37" borderId="0" xfId="2" applyFont="1" applyFill="1" applyBorder="1" applyAlignment="1">
      <alignment horizontal="center" vertical="center"/>
    </xf>
    <xf numFmtId="3" fontId="32" fillId="0" borderId="0" xfId="0" applyNumberFormat="1" applyFont="1" applyAlignment="1">
      <alignment horizontal="right" vertical="center"/>
    </xf>
    <xf numFmtId="9" fontId="32" fillId="0" borderId="0" xfId="2" applyFont="1" applyFill="1" applyBorder="1" applyAlignment="1">
      <alignment horizontal="center" vertical="center"/>
    </xf>
    <xf numFmtId="3" fontId="32" fillId="0" borderId="0" xfId="1" applyNumberFormat="1" applyFont="1" applyFill="1" applyBorder="1" applyAlignment="1">
      <alignment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31" fillId="43" borderId="1" xfId="0" applyFont="1" applyFill="1" applyBorder="1" applyAlignment="1">
      <alignment horizontal="center" vertical="center" wrapText="1"/>
    </xf>
    <xf numFmtId="164" fontId="30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40" borderId="0" xfId="0" applyFont="1" applyFill="1" applyAlignment="1">
      <alignment horizontal="center"/>
    </xf>
    <xf numFmtId="0" fontId="32" fillId="0" borderId="0" xfId="0" applyFont="1"/>
    <xf numFmtId="0" fontId="27" fillId="0" borderId="0" xfId="0" applyFont="1"/>
    <xf numFmtId="0" fontId="26" fillId="41" borderId="1" xfId="0" applyFont="1" applyFill="1" applyBorder="1" applyAlignment="1">
      <alignment horizontal="center" vertical="center" wrapText="1"/>
    </xf>
    <xf numFmtId="9" fontId="26" fillId="41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/>
    </xf>
    <xf numFmtId="0" fontId="26" fillId="42" borderId="1" xfId="0" applyFont="1" applyFill="1" applyBorder="1" applyAlignment="1">
      <alignment horizontal="center" vertical="center" wrapText="1"/>
    </xf>
    <xf numFmtId="9" fontId="26" fillId="42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 vertical="center"/>
    </xf>
    <xf numFmtId="49" fontId="32" fillId="38" borderId="0" xfId="2" applyNumberFormat="1" applyFont="1" applyFill="1" applyBorder="1" applyAlignment="1">
      <alignment vertical="top" wrapText="1"/>
    </xf>
    <xf numFmtId="49" fontId="30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24" fillId="0" borderId="0" xfId="43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29" fillId="46" borderId="0" xfId="0" applyFont="1" applyFill="1" applyAlignment="1">
      <alignment horizontal="center" vertical="center"/>
    </xf>
    <xf numFmtId="0" fontId="30" fillId="46" borderId="0" xfId="0" applyFont="1" applyFill="1" applyAlignment="1">
      <alignment horizontal="center" vertical="center"/>
    </xf>
    <xf numFmtId="164" fontId="30" fillId="46" borderId="0" xfId="1" applyNumberFormat="1" applyFont="1" applyFill="1" applyBorder="1" applyAlignment="1">
      <alignment horizontal="center" vertical="center"/>
    </xf>
    <xf numFmtId="3" fontId="32" fillId="46" borderId="0" xfId="0" applyNumberFormat="1" applyFont="1" applyFill="1" applyAlignment="1">
      <alignment horizontal="right" vertical="center"/>
    </xf>
    <xf numFmtId="9" fontId="32" fillId="46" borderId="0" xfId="2" applyFont="1" applyFill="1" applyBorder="1" applyAlignment="1">
      <alignment horizontal="center" vertical="center"/>
    </xf>
    <xf numFmtId="3" fontId="32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7" fillId="0" borderId="0" xfId="0" applyFont="1"/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38" fillId="45" borderId="1" xfId="0" applyFont="1" applyFill="1" applyBorder="1" applyAlignment="1">
      <alignment horizontal="left" vertical="top"/>
    </xf>
    <xf numFmtId="49" fontId="40" fillId="38" borderId="0" xfId="2" applyNumberFormat="1" applyFont="1" applyFill="1" applyBorder="1" applyAlignment="1">
      <alignment horizontal="left" vertical="top" wrapText="1"/>
    </xf>
    <xf numFmtId="0" fontId="40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49" fontId="41" fillId="38" borderId="0" xfId="2" applyNumberFormat="1" applyFont="1" applyFill="1" applyBorder="1" applyAlignment="1">
      <alignment horizontal="left" vertical="top" wrapText="1"/>
    </xf>
    <xf numFmtId="49" fontId="41" fillId="38" borderId="0" xfId="2" applyNumberFormat="1" applyFont="1" applyFill="1" applyBorder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2" fillId="46" borderId="0" xfId="0" applyNumberFormat="1" applyFont="1" applyFill="1" applyAlignment="1">
      <alignment horizontal="left" vertical="top" wrapText="1"/>
    </xf>
    <xf numFmtId="49" fontId="2" fillId="46" borderId="0" xfId="0" applyNumberFormat="1" applyFont="1" applyFill="1" applyAlignment="1">
      <alignment vertical="center" wrapText="1"/>
    </xf>
    <xf numFmtId="0" fontId="41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 wrapText="1"/>
    </xf>
    <xf numFmtId="164" fontId="30" fillId="47" borderId="0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7" totalsRowShown="0">
  <autoFilter ref="A3:E13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1" dT="2024-03-04T13:50:49.99" personId="{867BCBE8-FECA-4FFD-8522-7D34F30E89C9}" id="{DF67D825-C883-44F2-8EA5-D891A5BC6DA2}">
    <text>Meter data is not available, energy values are taken from inverter.</text>
  </threadedComment>
  <threadedComment ref="C89" dT="2024-03-04T13:50:27.85" personId="{867BCBE8-FECA-4FFD-8522-7D34F30E89C9}" id="{A315C444-F93F-4C05-92FF-4E51C72D0B9B}">
    <text>Meter data is not available, energy values are taken from inverter.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42"/>
  <sheetViews>
    <sheetView workbookViewId="0">
      <pane xSplit="2" ySplit="3" topLeftCell="N93" activePane="bottomRight" state="frozen"/>
      <selection pane="bottomRight" activeCell="N93" sqref="N93:N9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11" ht="19.5" customHeight="1">
      <c r="A2" s="69" t="s">
        <v>2</v>
      </c>
      <c r="B2" s="69"/>
      <c r="C2" s="6">
        <f>SUM(C4:C137)</f>
        <v>22023134.43101044</v>
      </c>
      <c r="D2" s="6">
        <f>SUM(D4:D137)</f>
        <v>9570429.5398999974</v>
      </c>
      <c r="E2" s="6">
        <f>C2-D2</f>
        <v>12452704.891110443</v>
      </c>
      <c r="F2" s="7">
        <f>IFERROR(E2/D2, 0)</f>
        <v>1.3011646801425134</v>
      </c>
      <c r="G2" s="6">
        <f>SUM(G4:G137)</f>
        <v>20268295.194800001</v>
      </c>
      <c r="H2" s="8">
        <f>C2-G2</f>
        <v>1754839.2362104394</v>
      </c>
      <c r="I2" s="7">
        <f>IFERROR(H2/G2, 0)</f>
        <v>8.6580505135955291E-2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f>SUM('1st Qtr'!C4, '2nd Qtr'!C4, '3rd Qtr'!C4, '4th Qtr'!C4)</f>
        <v>19397.89981012651</v>
      </c>
      <c r="D4" s="11">
        <f>SUM('1st Qtr'!D4, '2nd Qtr'!D4, '3rd Qtr'!D4, '4th Qtr'!D4)</f>
        <v>15030.411</v>
      </c>
      <c r="E4" s="11">
        <f>IF(AND(ISNUMBER(C4),ISNUMBER(D4)), C4-D4, "")</f>
        <v>4367.4888101265096</v>
      </c>
      <c r="F4" s="12">
        <f>IFERROR(E4/D4, "")</f>
        <v>0.29057680526011626</v>
      </c>
      <c r="G4" s="13">
        <f>SUM('1st Qtr'!G4+'2nd Qtr'!G4+'3rd Qtr'!G4+'4th Qtr'!G4)</f>
        <v>19951.947</v>
      </c>
      <c r="H4" s="13">
        <f>SUM('1st Qtr'!H4, '2nd Qtr'!H4, '3rd Qtr'!H4, '4th Qtr'!H4)</f>
        <v>-554.04718987349042</v>
      </c>
      <c r="I4" s="14">
        <f>IFERROR(H4/G4, "")</f>
        <v>-2.7769078871023988E-2</v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SUM(Jan!C5, Feb!C5, Mar!C5)</f>
        <v>60048.25</v>
      </c>
      <c r="D5" s="15">
        <f>SUM(Jan!D5, Feb!D5, Mar!D5)</f>
        <v>64529.46</v>
      </c>
      <c r="E5" s="15">
        <f t="shared" ref="E5:E15" si="0">IF(AND(ISNUMBER(C5),ISNUMBER(D5)), C5-D5, "")</f>
        <v>-4481.2099999999991</v>
      </c>
      <c r="F5" s="16">
        <f>IFERROR(E5/D5, "")</f>
        <v>-6.9444405702449696E-2</v>
      </c>
      <c r="G5" s="17">
        <f>SUM('1st Qtr'!G5+'2nd Qtr'!G5+'3rd Qtr'!G5+'4th Qtr'!G5)</f>
        <v>79963.790000000008</v>
      </c>
      <c r="H5" s="17">
        <f>SUM(Jan!H5, Feb!H5, Mar!H5)</f>
        <v>-19915.54</v>
      </c>
      <c r="I5" s="16">
        <f>IFERROR(H5/G5, "")</f>
        <v>-0.24905697941530783</v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SUM(Jan!C6, Feb!C6, Mar!C6)</f>
        <v>32199.870000000003</v>
      </c>
      <c r="D6" s="11">
        <f>SUM(Jan!D6, Feb!D6, Mar!D6)</f>
        <v>0</v>
      </c>
      <c r="E6" s="11">
        <f t="shared" si="0"/>
        <v>32199.870000000003</v>
      </c>
      <c r="F6" s="12" t="str">
        <f t="shared" ref="F6:F15" si="1">IFERROR(E6/D6, "")</f>
        <v/>
      </c>
      <c r="G6" s="13">
        <f>SUM('1st Qtr'!G6+'2nd Qtr'!G6+'3rd Qtr'!G6+'4th Qtr'!G6)</f>
        <v>3849</v>
      </c>
      <c r="H6" s="13">
        <f>SUM(Jan!H6, Feb!H6, Mar!H6)</f>
        <v>28350.870000000003</v>
      </c>
      <c r="I6" s="14">
        <f t="shared" ref="I6:I15" si="2">IFERROR(H6/G6, "")</f>
        <v>7.3657755261106788</v>
      </c>
      <c r="J6" s="38"/>
      <c r="K6" s="38"/>
    </row>
    <row r="7" spans="1:11" ht="15.75">
      <c r="A7" s="27" t="str">
        <v>Noble</v>
      </c>
      <c r="B7" s="28" t="str">
        <v>AZ</v>
      </c>
      <c r="C7" s="10">
        <f>SUM(Jan!C7, Feb!C7, Mar!C7)</f>
        <v>18702.899003061</v>
      </c>
      <c r="D7" s="15">
        <f>SUM(Jan!D7, Feb!D7, Mar!D7)</f>
        <v>25388.690000000002</v>
      </c>
      <c r="E7" s="15">
        <f t="shared" si="0"/>
        <v>-6685.7909969390021</v>
      </c>
      <c r="F7" s="16">
        <f t="shared" si="1"/>
        <v>-0.26333737569520133</v>
      </c>
      <c r="G7" s="17">
        <f>SUM('1st Qtr'!G7+'2nd Qtr'!G7+'3rd Qtr'!G7+'4th Qtr'!G7)</f>
        <v>21785.41</v>
      </c>
      <c r="H7" s="17">
        <f>SUM(Jan!H7, Feb!H7, Mar!H7)</f>
        <v>-3082.5109969390014</v>
      </c>
      <c r="I7" s="16">
        <f t="shared" si="2"/>
        <v>-0.14149428433704031</v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SUM(Jan!C8, Feb!C8, Mar!C8)</f>
        <v>41221.99</v>
      </c>
      <c r="D8" s="11">
        <f>SUM(Jan!D8, Feb!D8, Mar!D8)</f>
        <v>51161.68</v>
      </c>
      <c r="E8" s="11">
        <f t="shared" si="0"/>
        <v>-9939.6900000000023</v>
      </c>
      <c r="F8" s="12">
        <f t="shared" si="1"/>
        <v>-0.19427997673258585</v>
      </c>
      <c r="G8" s="13">
        <f>SUM('1st Qtr'!G8+'2nd Qtr'!G8+'3rd Qtr'!G8+'4th Qtr'!G8)</f>
        <v>50028.020000000004</v>
      </c>
      <c r="H8" s="13">
        <f>SUM(Jan!H8, Feb!H8, Mar!H8)</f>
        <v>-8806.0300000000025</v>
      </c>
      <c r="I8" s="14">
        <f t="shared" si="2"/>
        <v>-0.17602195729513184</v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SUM(Jan!C9, Feb!C9, Mar!C9)</f>
        <v>44351.600697652204</v>
      </c>
      <c r="D9" s="15">
        <f>SUM(Jan!D9, Feb!D9, Mar!D9)</f>
        <v>35230.43</v>
      </c>
      <c r="E9" s="15">
        <f t="shared" si="0"/>
        <v>9121.1706976522037</v>
      </c>
      <c r="F9" s="16">
        <f t="shared" si="1"/>
        <v>0.25890035113543047</v>
      </c>
      <c r="G9" s="17">
        <f>SUM('1st Qtr'!G9+'2nd Qtr'!G9+'3rd Qtr'!G9+'4th Qtr'!G9)</f>
        <v>49121.599999999999</v>
      </c>
      <c r="H9" s="17">
        <f>SUM(Jan!H9, Feb!H9, Mar!H9)</f>
        <v>-4769.9993023477982</v>
      </c>
      <c r="I9" s="16">
        <f t="shared" si="2"/>
        <v>-9.710594325811453E-2</v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SUM(Jan!C10, Feb!C10, Mar!C10)</f>
        <v>19066.293040186629</v>
      </c>
      <c r="D10" s="11">
        <f>SUM(Jan!D10, Feb!D10, Mar!D10)</f>
        <v>14836.601999999999</v>
      </c>
      <c r="E10" s="11">
        <f t="shared" si="0"/>
        <v>4229.6910401866298</v>
      </c>
      <c r="F10" s="12">
        <f t="shared" si="1"/>
        <v>0.28508488939628024</v>
      </c>
      <c r="G10" s="13">
        <f>SUM('1st Qtr'!G10+'2nd Qtr'!G10+'3rd Qtr'!G10+'4th Qtr'!G10)</f>
        <v>21587</v>
      </c>
      <c r="H10" s="13">
        <f>SUM(Jan!H10, Feb!H10, Mar!H10)</f>
        <v>-2520.7069598133712</v>
      </c>
      <c r="I10" s="14">
        <f t="shared" si="2"/>
        <v>-0.11676967433239316</v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SUM(Jan!C11, Feb!C11, Mar!C11)</f>
        <v>6893.7970000000005</v>
      </c>
      <c r="D11" s="15">
        <f>SUM(Jan!D11, Feb!D11, Mar!D11)</f>
        <v>0</v>
      </c>
      <c r="E11" s="15">
        <f t="shared" si="0"/>
        <v>6893.7970000000005</v>
      </c>
      <c r="F11" s="16" t="str">
        <f t="shared" si="1"/>
        <v/>
      </c>
      <c r="G11" s="17">
        <f>SUM('1st Qtr'!G11+'2nd Qtr'!G11+'3rd Qtr'!G11+'4th Qtr'!G11)</f>
        <v>0</v>
      </c>
      <c r="H11" s="17">
        <f>SUM(Jan!H11, Feb!H11, Mar!H11)</f>
        <v>6893.7970000000005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SUM(Jan!C12, Feb!C12, Mar!C12)</f>
        <v>117188</v>
      </c>
      <c r="D12" s="11">
        <f>SUM(Jan!D12, Feb!D12, Mar!D12)</f>
        <v>152934.68</v>
      </c>
      <c r="E12" s="11">
        <f t="shared" si="0"/>
        <v>-35746.679999999993</v>
      </c>
      <c r="F12" s="12">
        <f t="shared" si="1"/>
        <v>-0.23373822078811682</v>
      </c>
      <c r="G12" s="13">
        <f>SUM('1st Qtr'!G12+'2nd Qtr'!G12+'3rd Qtr'!G12+'4th Qtr'!G12)</f>
        <v>130427</v>
      </c>
      <c r="H12" s="13">
        <f>SUM(Jan!H12, Feb!H12, Mar!H12)</f>
        <v>-13239</v>
      </c>
      <c r="I12" s="14">
        <f t="shared" si="2"/>
        <v>-0.10150505646836928</v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SUM(Jan!C13, Feb!C13, Mar!C13)</f>
        <v>104233.6796875</v>
      </c>
      <c r="D13" s="15">
        <f>SUM(Jan!D13, Feb!D13, Mar!D13)</f>
        <v>156262.75</v>
      </c>
      <c r="E13" s="15">
        <f t="shared" si="0"/>
        <v>-52029.0703125</v>
      </c>
      <c r="F13" s="16">
        <f t="shared" si="1"/>
        <v>-0.33295888055534667</v>
      </c>
      <c r="G13" s="17">
        <f>SUM('1st Qtr'!G13+'2nd Qtr'!G13+'3rd Qtr'!G13+'4th Qtr'!G13)</f>
        <v>121358</v>
      </c>
      <c r="H13" s="17">
        <f>SUM(Jan!H13, Feb!H13, Mar!H13)</f>
        <v>-17124.3203125</v>
      </c>
      <c r="I13" s="16">
        <f t="shared" si="2"/>
        <v>-0.14110582172168296</v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SUM(Jan!C14, Feb!C14, Mar!C14)</f>
        <v>23281</v>
      </c>
      <c r="D14" s="11">
        <f>SUM(Jan!D14, Feb!D14, Mar!D14)</f>
        <v>0</v>
      </c>
      <c r="E14" s="11">
        <f t="shared" si="0"/>
        <v>23281</v>
      </c>
      <c r="F14" s="12" t="str">
        <f t="shared" si="1"/>
        <v/>
      </c>
      <c r="G14" s="13">
        <f>SUM('1st Qtr'!G14+'2nd Qtr'!G14+'3rd Qtr'!G14+'4th Qtr'!G14)</f>
        <v>26618</v>
      </c>
      <c r="H14" s="13">
        <f>SUM(Jan!H14, Feb!H14, Mar!H14)</f>
        <v>-3337</v>
      </c>
      <c r="I14" s="14">
        <f t="shared" si="2"/>
        <v>-0.12536629348561124</v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SUM(Jan!C15, Feb!C15, Mar!C15)</f>
        <v>22097.2198550596</v>
      </c>
      <c r="D15" s="15">
        <f>SUM(Jan!D15, Feb!D15, Mar!D15)</f>
        <v>0</v>
      </c>
      <c r="E15" s="15">
        <f t="shared" si="0"/>
        <v>22097.2198550596</v>
      </c>
      <c r="F15" s="16" t="str">
        <f t="shared" si="1"/>
        <v/>
      </c>
      <c r="G15" s="17">
        <f>SUM('1st Qtr'!G15+'2nd Qtr'!G15+'3rd Qtr'!G15+'4th Qtr'!G15)</f>
        <v>21672</v>
      </c>
      <c r="H15" s="17">
        <f>SUM(Jan!H15, Feb!H15, Mar!H15)</f>
        <v>425.21985505960038</v>
      </c>
      <c r="I15" s="16">
        <f t="shared" si="2"/>
        <v>1.9620702060705073E-2</v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SUM(Jan!C16, Feb!C16, Mar!C16)</f>
        <v>14504.55536346591</v>
      </c>
      <c r="D16" s="11">
        <f>SUM(Jan!D16, Feb!D16, Mar!D16)</f>
        <v>0</v>
      </c>
      <c r="E16" s="11">
        <f t="shared" ref="E16:E17" si="3">IF(AND(ISNUMBER(C16),ISNUMBER(D16)), C16-D16, "")</f>
        <v>14504.55536346591</v>
      </c>
      <c r="F16" s="12" t="str">
        <f t="shared" ref="F16:F17" si="4">IFERROR(E16/D16, "")</f>
        <v/>
      </c>
      <c r="G16" s="13">
        <f>SUM('1st Qtr'!G16+'2nd Qtr'!G16+'3rd Qtr'!G16+'4th Qtr'!G16)</f>
        <v>17658</v>
      </c>
      <c r="H16" s="13">
        <f>SUM(Jan!H16, Feb!H16, Mar!H16)</f>
        <v>-3153.44463653409</v>
      </c>
      <c r="I16" s="14">
        <f t="shared" ref="I16:I17" si="5">IFERROR(H16/G16, "")</f>
        <v>-0.17858447369657324</v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SUM(Jan!C17, Feb!C17, Mar!C17)</f>
        <v>107721.38</v>
      </c>
      <c r="D17" s="15">
        <f>SUM(Jan!D17, Feb!D17, Mar!D17)</f>
        <v>0</v>
      </c>
      <c r="E17" s="15">
        <f t="shared" si="3"/>
        <v>107721.38</v>
      </c>
      <c r="F17" s="16" t="str">
        <f t="shared" si="4"/>
        <v/>
      </c>
      <c r="G17" s="17">
        <f>SUM('1st Qtr'!G17+'2nd Qtr'!G17+'3rd Qtr'!G17+'4th Qtr'!G17)</f>
        <v>55887</v>
      </c>
      <c r="H17" s="17">
        <f>SUM(Jan!H17, Feb!H17, Mar!H17)</f>
        <v>51834.38</v>
      </c>
      <c r="I17" s="16">
        <f t="shared" si="5"/>
        <v>0.92748546173528723</v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>
        <f>SUM(Jan!C18, Feb!C18, Mar!C18)</f>
        <v>46375.369999999995</v>
      </c>
      <c r="D18" s="11">
        <f>SUM(Jan!D18, Feb!D18, Mar!D18)</f>
        <v>0</v>
      </c>
      <c r="E18" s="11">
        <f t="shared" ref="E18:E81" si="6">IF(AND(ISNUMBER(C18),ISNUMBER(D18)), C18-D18, "")</f>
        <v>46375.369999999995</v>
      </c>
      <c r="F18" s="12" t="str">
        <f t="shared" ref="F18:F81" si="7">IFERROR(E18/D18, "")</f>
        <v/>
      </c>
      <c r="G18" s="13">
        <f>SUM('1st Qtr'!G18+'2nd Qtr'!G18+'3rd Qtr'!G18+'4th Qtr'!G18)</f>
        <v>17080</v>
      </c>
      <c r="H18" s="13">
        <f>SUM(Jan!H18, Feb!H18, Mar!H18)</f>
        <v>29295.37</v>
      </c>
      <c r="I18" s="14">
        <f t="shared" ref="I18:I81" si="8">IFERROR(H18/G18, "")</f>
        <v>1.7151855971896954</v>
      </c>
      <c r="J18" s="38"/>
      <c r="K18" s="38"/>
    </row>
    <row r="19" spans="1:11" ht="15.75">
      <c r="A19" s="27" t="str">
        <v>RCAB</v>
      </c>
      <c r="B19" s="28" t="str">
        <v>MA</v>
      </c>
      <c r="C19" s="10">
        <f>SUM(Jan!C19, Feb!C19, Mar!C19)</f>
        <v>86371</v>
      </c>
      <c r="D19" s="15">
        <f>SUM(Jan!D19, Feb!D19, Mar!D19)</f>
        <v>122435.07</v>
      </c>
      <c r="E19" s="15">
        <f t="shared" si="6"/>
        <v>-36064.070000000007</v>
      </c>
      <c r="F19" s="16">
        <f t="shared" si="7"/>
        <v>-0.29455669850149963</v>
      </c>
      <c r="G19" s="17">
        <f>SUM('1st Qtr'!G19+'2nd Qtr'!G19+'3rd Qtr'!G19+'4th Qtr'!G19)</f>
        <v>111561.93</v>
      </c>
      <c r="H19" s="17">
        <f>SUM(Jan!H19, Feb!H19, Mar!H19)</f>
        <v>-25190.93</v>
      </c>
      <c r="I19" s="16">
        <f t="shared" si="8"/>
        <v>-0.22580220689979102</v>
      </c>
      <c r="J19" s="39"/>
      <c r="K19" s="40"/>
    </row>
    <row r="20" spans="1:11" ht="15.75">
      <c r="A20" s="25" t="str">
        <v>Spectro Coatings</v>
      </c>
      <c r="B20" s="26" t="str">
        <v>MA</v>
      </c>
      <c r="C20" s="21">
        <f>SUM(Jan!C20, Feb!C20, Mar!C20)</f>
        <v>17389.125</v>
      </c>
      <c r="D20" s="11">
        <f>SUM(Jan!D20, Feb!D20, Mar!D20)</f>
        <v>37203.910000000003</v>
      </c>
      <c r="E20" s="11">
        <f t="shared" si="6"/>
        <v>-19814.785000000003</v>
      </c>
      <c r="F20" s="12">
        <f t="shared" si="7"/>
        <v>-0.53259953053321551</v>
      </c>
      <c r="G20" s="13">
        <f>SUM('1st Qtr'!G20+'2nd Qtr'!G20+'3rd Qtr'!G20+'4th Qtr'!G20)</f>
        <v>28629.260000000002</v>
      </c>
      <c r="H20" s="13">
        <f>SUM(Jan!H20, Feb!H20, Mar!H20)</f>
        <v>-11240.135</v>
      </c>
      <c r="I20" s="14">
        <f t="shared" si="8"/>
        <v>-0.39261004301193952</v>
      </c>
      <c r="J20" s="38"/>
      <c r="K20" s="38"/>
    </row>
    <row r="21" spans="1:11" ht="15.75">
      <c r="A21" s="27" t="str">
        <v>K026</v>
      </c>
      <c r="B21" s="28" t="str">
        <v>NY</v>
      </c>
      <c r="C21" s="10">
        <f>SUM(Jan!C21, Feb!C21, Mar!C21)</f>
        <v>21932.458433014501</v>
      </c>
      <c r="D21" s="15">
        <f>SUM(Jan!D21, Feb!D21, Mar!D21)</f>
        <v>35683.120000000003</v>
      </c>
      <c r="E21" s="15">
        <f t="shared" si="6"/>
        <v>-13750.661566985502</v>
      </c>
      <c r="F21" s="16">
        <f t="shared" si="7"/>
        <v>-0.38535479988816845</v>
      </c>
      <c r="G21" s="17">
        <f>SUM('1st Qtr'!G21+'2nd Qtr'!G21+'3rd Qtr'!G21+'4th Qtr'!G21)</f>
        <v>41777.5</v>
      </c>
      <c r="H21" s="17">
        <f>SUM(Jan!H21, Feb!H21, Mar!H21)</f>
        <v>-19845.041566985499</v>
      </c>
      <c r="I21" s="16">
        <f t="shared" si="8"/>
        <v>-0.47501745118749322</v>
      </c>
      <c r="J21" s="39"/>
      <c r="K21" s="40"/>
    </row>
    <row r="22" spans="1:11" ht="15.75">
      <c r="A22" s="25" t="str">
        <v>K041</v>
      </c>
      <c r="B22" s="26" t="str">
        <v>NY</v>
      </c>
      <c r="C22" s="21">
        <f>SUM(Jan!C22, Feb!C22, Mar!C22)</f>
        <v>15100.322582031251</v>
      </c>
      <c r="D22" s="11">
        <f>SUM(Jan!D22, Feb!D22, Mar!D22)</f>
        <v>0</v>
      </c>
      <c r="E22" s="11">
        <f t="shared" si="6"/>
        <v>15100.322582031251</v>
      </c>
      <c r="F22" s="12" t="str">
        <f t="shared" si="7"/>
        <v/>
      </c>
      <c r="G22" s="13">
        <f>SUM('1st Qtr'!G22+'2nd Qtr'!G22+'3rd Qtr'!G22+'4th Qtr'!G22)</f>
        <v>0</v>
      </c>
      <c r="H22" s="13">
        <f>SUM(Jan!H22, Feb!H22, Mar!H22)</f>
        <v>15100.322582031251</v>
      </c>
      <c r="I22" s="14" t="str">
        <f t="shared" si="8"/>
        <v/>
      </c>
      <c r="J22" s="38"/>
      <c r="K22" s="38"/>
    </row>
    <row r="23" spans="1:11" ht="15.75">
      <c r="A23" s="27" t="str">
        <v>K043</v>
      </c>
      <c r="B23" s="28" t="str">
        <v>NY</v>
      </c>
      <c r="C23" s="10">
        <f>SUM(Jan!C23, Feb!C23, Mar!C23)</f>
        <v>20776.203125</v>
      </c>
      <c r="D23" s="15">
        <f>SUM(Jan!D23, Feb!D23, Mar!D23)</f>
        <v>30223.659999999996</v>
      </c>
      <c r="E23" s="15">
        <f t="shared" si="6"/>
        <v>-9447.4568749999962</v>
      </c>
      <c r="F23" s="16">
        <f t="shared" si="7"/>
        <v>-0.31258480524860316</v>
      </c>
      <c r="G23" s="17">
        <f>SUM('1st Qtr'!G23+'2nd Qtr'!G23+'3rd Qtr'!G23+'4th Qtr'!G23)</f>
        <v>44440</v>
      </c>
      <c r="H23" s="17">
        <f>SUM(Jan!H23, Feb!H23, Mar!H23)</f>
        <v>-23663.796875</v>
      </c>
      <c r="I23" s="16">
        <f t="shared" si="8"/>
        <v>-0.53248867855535553</v>
      </c>
      <c r="J23" s="39"/>
      <c r="K23" s="40"/>
    </row>
    <row r="24" spans="1:11" ht="15.75">
      <c r="A24" s="25" t="str">
        <v>K058</v>
      </c>
      <c r="B24" s="26" t="str">
        <v>NY</v>
      </c>
      <c r="C24" s="21">
        <f>SUM(Jan!C24, Feb!C24, Mar!C24)</f>
        <v>17014.5</v>
      </c>
      <c r="D24" s="11">
        <f>SUM(Jan!D24, Feb!D24, Mar!D24)</f>
        <v>24764.042000000001</v>
      </c>
      <c r="E24" s="11">
        <f t="shared" si="6"/>
        <v>-7749.5420000000013</v>
      </c>
      <c r="F24" s="12">
        <f t="shared" si="7"/>
        <v>-0.31293526315292153</v>
      </c>
      <c r="G24" s="13">
        <f>SUM('1st Qtr'!G24+'2nd Qtr'!G24+'3rd Qtr'!G24+'4th Qtr'!G24)</f>
        <v>29060.73</v>
      </c>
      <c r="H24" s="13">
        <f>SUM(Jan!H24, Feb!H24, Mar!H24)</f>
        <v>-12046.23</v>
      </c>
      <c r="I24" s="14">
        <f t="shared" si="8"/>
        <v>-0.41451918103915492</v>
      </c>
      <c r="J24" s="38"/>
      <c r="K24" s="38"/>
    </row>
    <row r="25" spans="1:11" ht="15.75">
      <c r="A25" s="27" t="str">
        <v>K115</v>
      </c>
      <c r="B25" s="28" t="str">
        <v>NY</v>
      </c>
      <c r="C25" s="10">
        <f>SUM(Jan!C25, Feb!C25, Mar!C25)</f>
        <v>4465.78125</v>
      </c>
      <c r="D25" s="15">
        <f>SUM(Jan!D25, Feb!D25, Mar!D25)</f>
        <v>13537.792000000001</v>
      </c>
      <c r="E25" s="15">
        <f t="shared" si="6"/>
        <v>-9072.0107500000013</v>
      </c>
      <c r="F25" s="16">
        <f t="shared" si="7"/>
        <v>-0.67012484384455018</v>
      </c>
      <c r="G25" s="17">
        <f>SUM('1st Qtr'!G25+'2nd Qtr'!G25+'3rd Qtr'!G25+'4th Qtr'!G25)</f>
        <v>10093.672999999999</v>
      </c>
      <c r="H25" s="17">
        <f>SUM(Jan!H25, Feb!H25, Mar!H25)</f>
        <v>-5627.8917499999998</v>
      </c>
      <c r="I25" s="16">
        <f t="shared" si="8"/>
        <v>-0.55756628434465827</v>
      </c>
      <c r="J25" s="39"/>
      <c r="K25" s="40"/>
    </row>
    <row r="26" spans="1:11" ht="15.75">
      <c r="A26" s="25" t="str">
        <v>K152</v>
      </c>
      <c r="B26" s="26" t="str">
        <v>NY</v>
      </c>
      <c r="C26" s="21">
        <f>SUM(Jan!C26, Feb!C26, Mar!C26)</f>
        <v>6559.265625</v>
      </c>
      <c r="D26" s="11">
        <f>SUM(Jan!D26, Feb!D26, Mar!D26)</f>
        <v>8861.3240000000005</v>
      </c>
      <c r="E26" s="11">
        <f t="shared" si="6"/>
        <v>-2302.0583750000005</v>
      </c>
      <c r="F26" s="12">
        <f t="shared" si="7"/>
        <v>-0.25978718022272973</v>
      </c>
      <c r="G26" s="13">
        <f>SUM('1st Qtr'!G26+'2nd Qtr'!G26+'3rd Qtr'!G26+'4th Qtr'!G26)</f>
        <v>1879</v>
      </c>
      <c r="H26" s="13">
        <f>SUM(Jan!H26, Feb!H26, Mar!H26)</f>
        <v>4680.265625</v>
      </c>
      <c r="I26" s="14">
        <f t="shared" si="8"/>
        <v>2.4908279004789784</v>
      </c>
      <c r="J26" s="38"/>
      <c r="K26" s="38"/>
    </row>
    <row r="27" spans="1:11" ht="15.75">
      <c r="A27" s="27" t="str">
        <v>K166</v>
      </c>
      <c r="B27" s="28" t="str">
        <v>NY</v>
      </c>
      <c r="C27" s="10">
        <f>SUM(Jan!C27, Feb!C27, Mar!C27)</f>
        <v>23977</v>
      </c>
      <c r="D27" s="15">
        <f>SUM(Jan!D27, Feb!D27, Mar!D27)</f>
        <v>34400.33</v>
      </c>
      <c r="E27" s="15">
        <f t="shared" si="6"/>
        <v>-10423.330000000002</v>
      </c>
      <c r="F27" s="16">
        <f t="shared" si="7"/>
        <v>-0.30300087237535223</v>
      </c>
      <c r="G27" s="17">
        <f>SUM('1st Qtr'!G27+'2nd Qtr'!G27+'3rd Qtr'!G27+'4th Qtr'!G27)</f>
        <v>42224.380000000005</v>
      </c>
      <c r="H27" s="17">
        <f>SUM(Jan!H27, Feb!H27, Mar!H27)</f>
        <v>-18247.38</v>
      </c>
      <c r="I27" s="16">
        <f t="shared" si="8"/>
        <v>-0.43215270419601187</v>
      </c>
      <c r="J27" s="39"/>
      <c r="K27" s="40"/>
    </row>
    <row r="28" spans="1:11" ht="15.75">
      <c r="A28" s="25" t="str">
        <v>K206</v>
      </c>
      <c r="B28" s="26" t="str">
        <v>NY</v>
      </c>
      <c r="C28" s="21">
        <f>SUM(Jan!C28, Feb!C28, Mar!C28)</f>
        <v>14061.697219294711</v>
      </c>
      <c r="D28" s="11">
        <f>SUM(Jan!D28, Feb!D28, Mar!D28)</f>
        <v>0</v>
      </c>
      <c r="E28" s="11">
        <f t="shared" si="6"/>
        <v>14061.697219294711</v>
      </c>
      <c r="F28" s="12" t="str">
        <f t="shared" si="7"/>
        <v/>
      </c>
      <c r="G28" s="13">
        <f>SUM('1st Qtr'!G28+'2nd Qtr'!G28+'3rd Qtr'!G28+'4th Qtr'!G28)</f>
        <v>0</v>
      </c>
      <c r="H28" s="13">
        <f>SUM(Jan!H28, Feb!H28, Mar!H28)</f>
        <v>14061.697219294711</v>
      </c>
      <c r="I28" s="14" t="str">
        <f t="shared" si="8"/>
        <v/>
      </c>
      <c r="J28" s="38"/>
      <c r="K28" s="38"/>
    </row>
    <row r="29" spans="1:11" ht="15.75">
      <c r="A29" s="27" t="str">
        <v>K251</v>
      </c>
      <c r="B29" s="28" t="str">
        <v>NY</v>
      </c>
      <c r="C29" s="10">
        <f>SUM(Jan!C29, Feb!C29, Mar!C29)</f>
        <v>15851</v>
      </c>
      <c r="D29" s="15">
        <f>SUM(Jan!D29, Feb!D29, Mar!D29)</f>
        <v>21488.467000000001</v>
      </c>
      <c r="E29" s="15">
        <f t="shared" si="6"/>
        <v>-5637.4670000000006</v>
      </c>
      <c r="F29" s="16">
        <f t="shared" si="7"/>
        <v>-0.26234849605604721</v>
      </c>
      <c r="G29" s="17">
        <f>SUM('1st Qtr'!G29+'2nd Qtr'!G29+'3rd Qtr'!G29+'4th Qtr'!G29)</f>
        <v>22737.607</v>
      </c>
      <c r="H29" s="17">
        <f>SUM(Jan!H29, Feb!H29, Mar!H29)</f>
        <v>-6886.607</v>
      </c>
      <c r="I29" s="16">
        <f t="shared" si="8"/>
        <v>-0.30287298922881373</v>
      </c>
      <c r="J29" s="39"/>
      <c r="K29" s="39"/>
    </row>
    <row r="30" spans="1:11" ht="15.75">
      <c r="A30" s="25" t="str">
        <v>K269</v>
      </c>
      <c r="B30" s="26" t="str">
        <v>NY</v>
      </c>
      <c r="C30" s="21">
        <f>SUM(Jan!C30, Feb!C30, Mar!C30)</f>
        <v>14261.53125</v>
      </c>
      <c r="D30" s="11">
        <f>SUM(Jan!D30, Feb!D30, Mar!D30)</f>
        <v>0</v>
      </c>
      <c r="E30" s="11">
        <f t="shared" si="6"/>
        <v>14261.53125</v>
      </c>
      <c r="F30" s="12" t="str">
        <f t="shared" si="7"/>
        <v/>
      </c>
      <c r="G30" s="13">
        <f>SUM('1st Qtr'!G30+'2nd Qtr'!G30+'3rd Qtr'!G30+'4th Qtr'!G30)</f>
        <v>25479</v>
      </c>
      <c r="H30" s="13">
        <f>SUM(Jan!H30, Feb!H30, Mar!H30)</f>
        <v>-11217.46875</v>
      </c>
      <c r="I30" s="14">
        <f t="shared" si="8"/>
        <v>-0.44026330507476746</v>
      </c>
      <c r="J30" s="38"/>
      <c r="K30" s="38"/>
    </row>
    <row r="31" spans="1:11" ht="15.75">
      <c r="A31" s="27" t="str">
        <v>K273</v>
      </c>
      <c r="B31" s="28" t="str">
        <v>NY</v>
      </c>
      <c r="C31" s="10">
        <f>SUM(Jan!C31, Feb!C31, Mar!C31)</f>
        <v>16028.59375</v>
      </c>
      <c r="D31" s="15">
        <f>SUM(Jan!D31, Feb!D31, Mar!D31)</f>
        <v>0</v>
      </c>
      <c r="E31" s="15">
        <f t="shared" si="6"/>
        <v>16028.59375</v>
      </c>
      <c r="F31" s="16" t="str">
        <f t="shared" si="7"/>
        <v/>
      </c>
      <c r="G31" s="17">
        <f>SUM('1st Qtr'!G31+'2nd Qtr'!G31+'3rd Qtr'!G31+'4th Qtr'!G31)</f>
        <v>26103</v>
      </c>
      <c r="H31" s="17">
        <f>SUM(Jan!H31, Feb!H31, Mar!H31)</f>
        <v>-10074.40625</v>
      </c>
      <c r="I31" s="16">
        <f t="shared" si="8"/>
        <v>-0.38594821476458646</v>
      </c>
      <c r="J31" s="39"/>
      <c r="K31" s="40"/>
    </row>
    <row r="32" spans="1:11" ht="15.75">
      <c r="A32" s="25" t="str">
        <v>K287</v>
      </c>
      <c r="B32" s="26" t="str">
        <v>NY</v>
      </c>
      <c r="C32" s="21">
        <f>SUM(Jan!C32, Feb!C32, Mar!C32)</f>
        <v>12641.296875</v>
      </c>
      <c r="D32" s="11">
        <f>SUM(Jan!D32, Feb!D32, Mar!D32)</f>
        <v>15615.696</v>
      </c>
      <c r="E32" s="11">
        <f t="shared" si="6"/>
        <v>-2974.3991249999999</v>
      </c>
      <c r="F32" s="12">
        <f t="shared" si="7"/>
        <v>-0.19047496345984194</v>
      </c>
      <c r="G32" s="13">
        <f>SUM('1st Qtr'!G32+'2nd Qtr'!G32+'3rd Qtr'!G32+'4th Qtr'!G32)</f>
        <v>0</v>
      </c>
      <c r="H32" s="13">
        <f>SUM(Jan!H32, Feb!H32, Mar!H32)</f>
        <v>12641.296875</v>
      </c>
      <c r="I32" s="14" t="str">
        <f t="shared" si="8"/>
        <v/>
      </c>
      <c r="J32" s="38"/>
      <c r="K32" s="38"/>
    </row>
    <row r="33" spans="1:11" ht="15.75">
      <c r="A33" s="27" t="str">
        <v>K298</v>
      </c>
      <c r="B33" s="28" t="str">
        <v>NY</v>
      </c>
      <c r="C33" s="10">
        <f>SUM(Jan!C33, Feb!C33, Mar!C33)</f>
        <v>11521.890625</v>
      </c>
      <c r="D33" s="15">
        <f>SUM(Jan!D33, Feb!D33, Mar!D33)</f>
        <v>20216.268</v>
      </c>
      <c r="E33" s="15">
        <f t="shared" si="6"/>
        <v>-8694.377375</v>
      </c>
      <c r="F33" s="16">
        <f t="shared" si="7"/>
        <v>-0.43006836746525123</v>
      </c>
      <c r="G33" s="17">
        <f>SUM('1st Qtr'!G33+'2nd Qtr'!G33+'3rd Qtr'!G33+'4th Qtr'!G33)</f>
        <v>0</v>
      </c>
      <c r="H33" s="17">
        <f>SUM(Jan!H33, Feb!H33, Mar!H33)</f>
        <v>11521.890625</v>
      </c>
      <c r="I33" s="16" t="str">
        <f t="shared" si="8"/>
        <v/>
      </c>
      <c r="J33" s="39"/>
      <c r="K33" s="40"/>
    </row>
    <row r="34" spans="1:11" ht="15.75">
      <c r="A34" s="25" t="str">
        <v>K335</v>
      </c>
      <c r="B34" s="26" t="str">
        <v>NY</v>
      </c>
      <c r="C34" s="21">
        <f>SUM(Jan!C34, Feb!C34, Mar!C34)</f>
        <v>13257.53125</v>
      </c>
      <c r="D34" s="11">
        <f>SUM(Jan!D34, Feb!D34, Mar!D34)</f>
        <v>21301.228999999999</v>
      </c>
      <c r="E34" s="11">
        <f t="shared" si="6"/>
        <v>-8043.6977499999994</v>
      </c>
      <c r="F34" s="12">
        <f t="shared" si="7"/>
        <v>-0.37761660371802958</v>
      </c>
      <c r="G34" s="13">
        <f>SUM('1st Qtr'!G34+'2nd Qtr'!G34+'3rd Qtr'!G34+'4th Qtr'!G34)</f>
        <v>26165</v>
      </c>
      <c r="H34" s="13">
        <f>SUM(Jan!H34, Feb!H34, Mar!H34)</f>
        <v>-12907.46875</v>
      </c>
      <c r="I34" s="14">
        <f t="shared" si="8"/>
        <v>-0.49331048155933499</v>
      </c>
      <c r="J34" s="38"/>
      <c r="K34" s="38"/>
    </row>
    <row r="35" spans="1:11" ht="15.75">
      <c r="A35" s="27" t="str">
        <v>K345</v>
      </c>
      <c r="B35" s="28" t="str">
        <v>NY</v>
      </c>
      <c r="C35" s="10">
        <f>SUM(Jan!C35, Feb!C35, Mar!C35)</f>
        <v>13814.094941406251</v>
      </c>
      <c r="D35" s="15">
        <f>SUM(Jan!D35, Feb!D35, Mar!D35)</f>
        <v>9601.5740000000005</v>
      </c>
      <c r="E35" s="15">
        <f t="shared" si="6"/>
        <v>4212.5209414062501</v>
      </c>
      <c r="F35" s="16">
        <f t="shared" si="7"/>
        <v>0.43873233090806257</v>
      </c>
      <c r="G35" s="17">
        <f>SUM('1st Qtr'!G35+'2nd Qtr'!G35+'3rd Qtr'!G35+'4th Qtr'!G35)</f>
        <v>7610</v>
      </c>
      <c r="H35" s="17">
        <f>SUM(Jan!H35, Feb!H35, Mar!H35)</f>
        <v>6204.0949414062507</v>
      </c>
      <c r="I35" s="16">
        <f t="shared" si="8"/>
        <v>0.81525557705732599</v>
      </c>
      <c r="J35" s="39"/>
      <c r="K35" s="40"/>
    </row>
    <row r="36" spans="1:11" ht="15.75">
      <c r="A36" s="25" t="str">
        <v>K445</v>
      </c>
      <c r="B36" s="26" t="str">
        <v>NY</v>
      </c>
      <c r="C36" s="21">
        <f>SUM(Jan!C36, Feb!C36, Mar!C36)</f>
        <v>14007.188068359381</v>
      </c>
      <c r="D36" s="11">
        <f>SUM(Jan!D36, Feb!D36, Mar!D36)</f>
        <v>0</v>
      </c>
      <c r="E36" s="11">
        <f t="shared" si="6"/>
        <v>14007.188068359381</v>
      </c>
      <c r="F36" s="12" t="str">
        <f t="shared" si="7"/>
        <v/>
      </c>
      <c r="G36" s="13">
        <f>SUM('1st Qtr'!G36+'2nd Qtr'!G36+'3rd Qtr'!G36+'4th Qtr'!G36)</f>
        <v>0</v>
      </c>
      <c r="H36" s="13">
        <f>SUM(Jan!H36, Feb!H36, Mar!H36)</f>
        <v>14007.188068359381</v>
      </c>
      <c r="I36" s="14" t="str">
        <f t="shared" si="8"/>
        <v/>
      </c>
      <c r="J36" s="38"/>
      <c r="K36" s="38"/>
    </row>
    <row r="37" spans="1:11" ht="15.75">
      <c r="A37" s="27" t="str">
        <v>K495</v>
      </c>
      <c r="B37" s="28" t="str">
        <v>NY</v>
      </c>
      <c r="C37" s="10">
        <f>SUM(Jan!C37, Feb!C37, Mar!C37)</f>
        <v>61586.5</v>
      </c>
      <c r="D37" s="15">
        <f>SUM(Jan!D37, Feb!D37, Mar!D37)</f>
        <v>0</v>
      </c>
      <c r="E37" s="15">
        <f t="shared" si="6"/>
        <v>61586.5</v>
      </c>
      <c r="F37" s="16" t="str">
        <f t="shared" si="7"/>
        <v/>
      </c>
      <c r="G37" s="17">
        <f>SUM('1st Qtr'!G37+'2nd Qtr'!G37+'3rd Qtr'!G37+'4th Qtr'!G37)</f>
        <v>0</v>
      </c>
      <c r="H37" s="17">
        <f>SUM(Jan!H37, Feb!H37, Mar!H37)</f>
        <v>61586.5</v>
      </c>
      <c r="I37" s="16" t="str">
        <f t="shared" si="8"/>
        <v/>
      </c>
      <c r="J37" s="39"/>
      <c r="K37" s="40"/>
    </row>
    <row r="38" spans="1:11" ht="15.75">
      <c r="A38" s="25" t="str">
        <v>M020</v>
      </c>
      <c r="B38" s="26" t="str">
        <v>NY</v>
      </c>
      <c r="C38" s="21">
        <f>SUM(Jan!C38, Feb!C38, Mar!C38)</f>
        <v>14281.875</v>
      </c>
      <c r="D38" s="11">
        <f>SUM(Jan!D38, Feb!D38, Mar!D38)</f>
        <v>15159.246999999999</v>
      </c>
      <c r="E38" s="11">
        <f t="shared" si="6"/>
        <v>-877.37199999999939</v>
      </c>
      <c r="F38" s="12">
        <f t="shared" si="7"/>
        <v>-5.7877017242347159E-2</v>
      </c>
      <c r="G38" s="13">
        <f>SUM('1st Qtr'!G38+'2nd Qtr'!G38+'3rd Qtr'!G38+'4th Qtr'!G38)</f>
        <v>0</v>
      </c>
      <c r="H38" s="13">
        <f>SUM(Jan!H38, Feb!H38, Mar!H38)</f>
        <v>14281.875</v>
      </c>
      <c r="I38" s="14" t="str">
        <f t="shared" si="8"/>
        <v/>
      </c>
      <c r="J38" s="38"/>
      <c r="K38" s="38"/>
    </row>
    <row r="39" spans="1:11" ht="15.75">
      <c r="A39" s="27" t="str">
        <v>M092</v>
      </c>
      <c r="B39" s="28" t="str">
        <v>NY</v>
      </c>
      <c r="C39" s="10">
        <f>SUM(Jan!C39, Feb!C39, Mar!C39)</f>
        <v>13545.1875</v>
      </c>
      <c r="D39" s="15">
        <f>SUM(Jan!D39, Feb!D39, Mar!D39)</f>
        <v>20782.789000000001</v>
      </c>
      <c r="E39" s="15">
        <f t="shared" si="6"/>
        <v>-7237.6015000000007</v>
      </c>
      <c r="F39" s="16">
        <f t="shared" si="7"/>
        <v>-0.34824977051925032</v>
      </c>
      <c r="G39" s="17">
        <f>SUM('1st Qtr'!G39+'2nd Qtr'!G39+'3rd Qtr'!G39+'4th Qtr'!G39)</f>
        <v>25530.83</v>
      </c>
      <c r="H39" s="17">
        <f>SUM(Jan!H39, Feb!H39, Mar!H39)</f>
        <v>-11985.6425</v>
      </c>
      <c r="I39" s="16">
        <f t="shared" si="8"/>
        <v>-0.46945761261972285</v>
      </c>
      <c r="J39" s="39"/>
      <c r="K39" s="40"/>
    </row>
    <row r="40" spans="1:11" ht="15.75">
      <c r="A40" s="25" t="str">
        <v>M143</v>
      </c>
      <c r="B40" s="26" t="str">
        <v>NY</v>
      </c>
      <c r="C40" s="21">
        <f>SUM(Jan!C40, Feb!C40, Mar!C40)</f>
        <v>14911.3125</v>
      </c>
      <c r="D40" s="11">
        <f>SUM(Jan!D40, Feb!D40, Mar!D40)</f>
        <v>23715.453999999998</v>
      </c>
      <c r="E40" s="11">
        <f t="shared" si="6"/>
        <v>-8804.1414999999979</v>
      </c>
      <c r="F40" s="12">
        <f t="shared" si="7"/>
        <v>-0.37124068972071961</v>
      </c>
      <c r="G40" s="13">
        <f>SUM('1st Qtr'!G40+'2nd Qtr'!G40+'3rd Qtr'!G40+'4th Qtr'!G40)</f>
        <v>34106.980000000003</v>
      </c>
      <c r="H40" s="13">
        <f>SUM(Jan!H40, Feb!H40, Mar!H40)</f>
        <v>-19195.667500000003</v>
      </c>
      <c r="I40" s="14">
        <f t="shared" si="8"/>
        <v>-0.56280759832738059</v>
      </c>
      <c r="J40" s="38"/>
      <c r="K40" s="38"/>
    </row>
    <row r="41" spans="1:11" ht="15.75">
      <c r="A41" s="27" t="str">
        <v>M144</v>
      </c>
      <c r="B41" s="28" t="str">
        <v>NY</v>
      </c>
      <c r="C41" s="10">
        <f>SUM(Jan!C41, Feb!C41, Mar!C41)</f>
        <v>23076.859375</v>
      </c>
      <c r="D41" s="15">
        <f>SUM(Jan!D41, Feb!D41, Mar!D41)</f>
        <v>0</v>
      </c>
      <c r="E41" s="15">
        <f t="shared" si="6"/>
        <v>23076.859375</v>
      </c>
      <c r="F41" s="16" t="str">
        <f t="shared" si="7"/>
        <v/>
      </c>
      <c r="G41" s="17">
        <f>SUM('1st Qtr'!G41+'2nd Qtr'!G41+'3rd Qtr'!G41+'4th Qtr'!G41)</f>
        <v>0</v>
      </c>
      <c r="H41" s="17">
        <f>SUM(Jan!H41, Feb!H41, Mar!H41)</f>
        <v>23076.859375</v>
      </c>
      <c r="I41" s="16" t="str">
        <f t="shared" si="8"/>
        <v/>
      </c>
      <c r="J41" s="39"/>
      <c r="K41" s="39"/>
    </row>
    <row r="42" spans="1:11" ht="15.75">
      <c r="A42" s="25" t="str">
        <v>M167</v>
      </c>
      <c r="B42" s="26" t="str">
        <v>NY</v>
      </c>
      <c r="C42" s="21">
        <f>SUM(Jan!C42, Feb!C42, Mar!C42)</f>
        <v>15379.180405273401</v>
      </c>
      <c r="D42" s="11">
        <f>SUM(Jan!D42, Feb!D42, Mar!D42)</f>
        <v>18552.849999999999</v>
      </c>
      <c r="E42" s="11">
        <f t="shared" si="6"/>
        <v>-3173.669594726598</v>
      </c>
      <c r="F42" s="12">
        <f t="shared" si="7"/>
        <v>-0.17106102807528753</v>
      </c>
      <c r="G42" s="13">
        <f>SUM('1st Qtr'!G42+'2nd Qtr'!G42+'3rd Qtr'!G42+'4th Qtr'!G42)</f>
        <v>24397.559999999998</v>
      </c>
      <c r="H42" s="13">
        <f>SUM(Jan!H42, Feb!H42, Mar!H42)</f>
        <v>-9018.379594726599</v>
      </c>
      <c r="I42" s="14">
        <f t="shared" si="8"/>
        <v>-0.36964268536388883</v>
      </c>
      <c r="J42" s="38"/>
      <c r="K42" s="38"/>
    </row>
    <row r="43" spans="1:11" ht="15.75">
      <c r="A43" s="27" t="str">
        <v>M188</v>
      </c>
      <c r="B43" s="28" t="str">
        <v>NY</v>
      </c>
      <c r="C43" s="10">
        <f>SUM(Jan!C43, Feb!C43, Mar!C43)</f>
        <v>12608.38835937498</v>
      </c>
      <c r="D43" s="15">
        <f>SUM(Jan!D43, Feb!D43, Mar!D43)</f>
        <v>0</v>
      </c>
      <c r="E43" s="15">
        <f t="shared" si="6"/>
        <v>12608.38835937498</v>
      </c>
      <c r="F43" s="16" t="str">
        <f t="shared" si="7"/>
        <v/>
      </c>
      <c r="G43" s="17">
        <f>SUM('1st Qtr'!G43+'2nd Qtr'!G43+'3rd Qtr'!G43+'4th Qtr'!G43)</f>
        <v>0</v>
      </c>
      <c r="H43" s="17">
        <f>SUM(Jan!H43, Feb!H43, Mar!H43)</f>
        <v>12608.38835937498</v>
      </c>
      <c r="I43" s="16" t="str">
        <f t="shared" si="8"/>
        <v/>
      </c>
      <c r="J43" s="39"/>
      <c r="K43" s="40"/>
    </row>
    <row r="44" spans="1:11" ht="15.75">
      <c r="A44" s="25" t="str">
        <v>EMHC</v>
      </c>
      <c r="B44" s="26" t="str">
        <v>NY</v>
      </c>
      <c r="C44" s="21">
        <f>SUM(Jan!C44, Feb!C44, Mar!C44)</f>
        <v>3284.40241699219</v>
      </c>
      <c r="D44" s="11">
        <f>SUM(Jan!D44, Feb!D44, Mar!D44)</f>
        <v>0</v>
      </c>
      <c r="E44" s="11">
        <f t="shared" si="6"/>
        <v>3284.40241699219</v>
      </c>
      <c r="F44" s="12" t="str">
        <f t="shared" si="7"/>
        <v/>
      </c>
      <c r="G44" s="13">
        <f>SUM('1st Qtr'!G44+'2nd Qtr'!G44+'3rd Qtr'!G44+'4th Qtr'!G44)</f>
        <v>0</v>
      </c>
      <c r="H44" s="13">
        <f>SUM(Jan!H44, Feb!H44, Mar!H44)</f>
        <v>3284.40241699219</v>
      </c>
      <c r="I44" s="14" t="str">
        <f t="shared" si="8"/>
        <v/>
      </c>
      <c r="J44" s="38"/>
      <c r="K44" s="38"/>
    </row>
    <row r="45" spans="1:11" ht="15.75">
      <c r="A45" s="27" t="str">
        <v>Q008</v>
      </c>
      <c r="B45" s="28" t="str">
        <v>NY</v>
      </c>
      <c r="C45" s="10">
        <f>SUM(Jan!C45, Feb!C45, Mar!C45)</f>
        <v>21180.1484375</v>
      </c>
      <c r="D45" s="15">
        <f>SUM(Jan!D45, Feb!D45, Mar!D45)</f>
        <v>27018.478999999999</v>
      </c>
      <c r="E45" s="15">
        <f t="shared" si="6"/>
        <v>-5838.3305624999994</v>
      </c>
      <c r="F45" s="16">
        <f t="shared" si="7"/>
        <v>-0.21608657402587317</v>
      </c>
      <c r="G45" s="17">
        <f>SUM('1st Qtr'!G45+'2nd Qtr'!G45+'3rd Qtr'!G45+'4th Qtr'!G45)</f>
        <v>33342</v>
      </c>
      <c r="H45" s="17">
        <f>SUM(Jan!H45, Feb!H45, Mar!H45)</f>
        <v>-12161.8515625</v>
      </c>
      <c r="I45" s="16">
        <f t="shared" si="8"/>
        <v>-0.36476070909063646</v>
      </c>
      <c r="J45" s="39"/>
      <c r="K45" s="40"/>
    </row>
    <row r="46" spans="1:11" ht="15.75">
      <c r="A46" s="25" t="str">
        <v>Q018</v>
      </c>
      <c r="B46" s="26" t="str">
        <v>NY</v>
      </c>
      <c r="C46" s="21">
        <f>SUM(Jan!C46, Feb!C46, Mar!C46)</f>
        <v>12453.1875</v>
      </c>
      <c r="D46" s="11">
        <f>SUM(Jan!D46, Feb!D46, Mar!D46)</f>
        <v>18253.023000000001</v>
      </c>
      <c r="E46" s="11">
        <f t="shared" si="6"/>
        <v>-5799.835500000001</v>
      </c>
      <c r="F46" s="12">
        <f t="shared" si="7"/>
        <v>-0.31774657271839302</v>
      </c>
      <c r="G46" s="13">
        <f>SUM('1st Qtr'!G46+'2nd Qtr'!G46+'3rd Qtr'!G46+'4th Qtr'!G46)</f>
        <v>22353.046999999999</v>
      </c>
      <c r="H46" s="13">
        <f>SUM(Jan!H46, Feb!H46, Mar!H46)</f>
        <v>-9899.8594999999987</v>
      </c>
      <c r="I46" s="14">
        <f t="shared" si="8"/>
        <v>-0.44288635459854753</v>
      </c>
      <c r="J46" s="38"/>
      <c r="K46" s="38"/>
    </row>
    <row r="47" spans="1:11" ht="15.75">
      <c r="A47" s="27" t="str">
        <v>Q021</v>
      </c>
      <c r="B47" s="28" t="str">
        <v>NY</v>
      </c>
      <c r="C47" s="10">
        <f>SUM(Jan!C47, Feb!C47, Mar!C47)</f>
        <v>10094.40625</v>
      </c>
      <c r="D47" s="15">
        <f>SUM(Jan!D47, Feb!D47, Mar!D47)</f>
        <v>16743.098000000002</v>
      </c>
      <c r="E47" s="15">
        <f t="shared" si="6"/>
        <v>-6648.6917500000018</v>
      </c>
      <c r="F47" s="16">
        <f t="shared" si="7"/>
        <v>-0.39710044998840721</v>
      </c>
      <c r="G47" s="17">
        <f>SUM('1st Qtr'!G47+'2nd Qtr'!G47+'3rd Qtr'!G47+'4th Qtr'!G47)</f>
        <v>9771.7340000000004</v>
      </c>
      <c r="H47" s="17">
        <f>SUM(Jan!H47, Feb!H47, Mar!H47)</f>
        <v>322.67225000000053</v>
      </c>
      <c r="I47" s="16">
        <f t="shared" si="8"/>
        <v>3.3020981741828062E-2</v>
      </c>
      <c r="J47" s="39"/>
      <c r="K47" s="40"/>
    </row>
    <row r="48" spans="1:11" ht="15.75">
      <c r="A48" s="25" t="str">
        <v>Q025</v>
      </c>
      <c r="B48" s="26" t="str">
        <v>NY</v>
      </c>
      <c r="C48" s="21">
        <f>SUM(Jan!C48, Feb!C48, Mar!C48)</f>
        <v>17034.875</v>
      </c>
      <c r="D48" s="11">
        <f>SUM(Jan!D48, Feb!D48, Mar!D48)</f>
        <v>26058.26</v>
      </c>
      <c r="E48" s="11">
        <f t="shared" si="6"/>
        <v>-9023.3849999999984</v>
      </c>
      <c r="F48" s="12">
        <f t="shared" si="7"/>
        <v>-0.34627734161835821</v>
      </c>
      <c r="G48" s="13">
        <f>SUM('1st Qtr'!G48+'2nd Qtr'!G48+'3rd Qtr'!G48+'4th Qtr'!G48)</f>
        <v>17307</v>
      </c>
      <c r="H48" s="13">
        <f>SUM(Jan!H48, Feb!H48, Mar!H48)</f>
        <v>-272.125</v>
      </c>
      <c r="I48" s="14">
        <f t="shared" si="8"/>
        <v>-1.5723406714046338E-2</v>
      </c>
      <c r="J48" s="38"/>
      <c r="K48" s="38"/>
    </row>
    <row r="49" spans="1:11" ht="15.75">
      <c r="A49" s="27" t="str">
        <v>Q074</v>
      </c>
      <c r="B49" s="28" t="str">
        <v>NY</v>
      </c>
      <c r="C49" s="10">
        <f>SUM(Jan!C49, Feb!C49, Mar!C49)</f>
        <v>10315.3125</v>
      </c>
      <c r="D49" s="15">
        <f>SUM(Jan!D49, Feb!D49, Mar!D49)</f>
        <v>15556.93</v>
      </c>
      <c r="E49" s="15">
        <f t="shared" si="6"/>
        <v>-5241.6175000000003</v>
      </c>
      <c r="F49" s="16">
        <f t="shared" si="7"/>
        <v>-0.33693135470815899</v>
      </c>
      <c r="G49" s="17">
        <f>SUM('1st Qtr'!G49+'2nd Qtr'!G49+'3rd Qtr'!G49+'4th Qtr'!G49)</f>
        <v>18483.516</v>
      </c>
      <c r="H49" s="17">
        <f>SUM(Jan!H49, Feb!H49, Mar!H49)</f>
        <v>-8168.2034999999987</v>
      </c>
      <c r="I49" s="16">
        <f t="shared" si="8"/>
        <v>-0.44191827463995481</v>
      </c>
      <c r="J49" s="39"/>
      <c r="K49" s="40"/>
    </row>
    <row r="50" spans="1:11" ht="15.75">
      <c r="A50" s="25" t="str">
        <v>Q115</v>
      </c>
      <c r="B50" s="26" t="str">
        <v>NY</v>
      </c>
      <c r="C50" s="21">
        <f>SUM(Jan!C50, Feb!C50, Mar!C50)</f>
        <v>14112.28125</v>
      </c>
      <c r="D50" s="11">
        <f>SUM(Jan!D50, Feb!D50, Mar!D50)</f>
        <v>23420.894</v>
      </c>
      <c r="E50" s="11">
        <f t="shared" si="6"/>
        <v>-9308.6127500000002</v>
      </c>
      <c r="F50" s="12">
        <f t="shared" si="7"/>
        <v>-0.39744907901466103</v>
      </c>
      <c r="G50" s="13">
        <f>SUM('1st Qtr'!G50+'2nd Qtr'!G50+'3rd Qtr'!G50+'4th Qtr'!G50)</f>
        <v>25262.92</v>
      </c>
      <c r="H50" s="13">
        <f>SUM(Jan!H50, Feb!H50, Mar!H50)</f>
        <v>-11150.63875</v>
      </c>
      <c r="I50" s="14">
        <f t="shared" si="8"/>
        <v>-0.4413836068831315</v>
      </c>
      <c r="J50" s="38"/>
      <c r="K50" s="38"/>
    </row>
    <row r="51" spans="1:11" ht="15.75">
      <c r="A51" s="27" t="str">
        <v>Q139</v>
      </c>
      <c r="B51" s="28" t="str">
        <v>NY</v>
      </c>
      <c r="C51" s="10">
        <f>SUM(Jan!C51, Feb!C51, Mar!C51)</f>
        <v>8804.03125</v>
      </c>
      <c r="D51" s="15">
        <f>SUM(Jan!D51, Feb!D51, Mar!D51)</f>
        <v>12770.028</v>
      </c>
      <c r="E51" s="15">
        <f t="shared" si="6"/>
        <v>-3965.9967500000002</v>
      </c>
      <c r="F51" s="16">
        <f t="shared" si="7"/>
        <v>-0.31057071683789572</v>
      </c>
      <c r="G51" s="17">
        <f>SUM('1st Qtr'!G51+'2nd Qtr'!G51+'3rd Qtr'!G51+'4th Qtr'!G51)</f>
        <v>14349</v>
      </c>
      <c r="H51" s="17">
        <f>SUM(Jan!H51, Feb!H51, Mar!H51)</f>
        <v>-5544.96875</v>
      </c>
      <c r="I51" s="16">
        <f t="shared" si="8"/>
        <v>-0.38643590145654749</v>
      </c>
      <c r="J51" s="39"/>
      <c r="K51" s="40"/>
    </row>
    <row r="52" spans="1:11" ht="15.75">
      <c r="A52" s="25" t="str">
        <v>Q157</v>
      </c>
      <c r="B52" s="26" t="str">
        <v>NY</v>
      </c>
      <c r="C52" s="21">
        <f>SUM(Jan!C52, Feb!C52, Mar!C52)</f>
        <v>14130.625</v>
      </c>
      <c r="D52" s="11">
        <f>SUM(Jan!D52, Feb!D52, Mar!D52)</f>
        <v>24884.424999999999</v>
      </c>
      <c r="E52" s="11">
        <f t="shared" si="6"/>
        <v>-10753.8</v>
      </c>
      <c r="F52" s="12">
        <f t="shared" si="7"/>
        <v>-0.43214982865788537</v>
      </c>
      <c r="G52" s="13">
        <f>SUM('1st Qtr'!G52+'2nd Qtr'!G52+'3rd Qtr'!G52+'4th Qtr'!G52)</f>
        <v>26841.13</v>
      </c>
      <c r="H52" s="13">
        <f>SUM(Jan!H52, Feb!H52, Mar!H52)</f>
        <v>-12710.505000000001</v>
      </c>
      <c r="I52" s="14">
        <f t="shared" si="8"/>
        <v>-0.4735458231452998</v>
      </c>
      <c r="J52" s="38"/>
      <c r="K52" s="38"/>
    </row>
    <row r="53" spans="1:11" ht="15.75">
      <c r="A53" s="27" t="str">
        <v>Q192</v>
      </c>
      <c r="B53" s="28" t="str">
        <v>NY</v>
      </c>
      <c r="C53" s="10">
        <f>SUM(Jan!C53, Feb!C53, Mar!C53)</f>
        <v>24150.1875</v>
      </c>
      <c r="D53" s="15">
        <f>SUM(Jan!D53, Feb!D53, Mar!D53)</f>
        <v>38133.490000000005</v>
      </c>
      <c r="E53" s="15">
        <f t="shared" si="6"/>
        <v>-13983.302500000005</v>
      </c>
      <c r="F53" s="16">
        <f t="shared" si="7"/>
        <v>-0.36669348910891719</v>
      </c>
      <c r="G53" s="17">
        <f>SUM('1st Qtr'!G53+'2nd Qtr'!G53+'3rd Qtr'!G53+'4th Qtr'!G53)</f>
        <v>37500.06</v>
      </c>
      <c r="H53" s="17">
        <f>SUM(Jan!H53, Feb!H53, Mar!H53)</f>
        <v>-13349.872499999998</v>
      </c>
      <c r="I53" s="16">
        <f t="shared" si="8"/>
        <v>-0.3559960304063513</v>
      </c>
      <c r="J53" s="39"/>
      <c r="K53" s="39"/>
    </row>
    <row r="54" spans="1:11" ht="15.75">
      <c r="A54" s="25" t="str">
        <v>Q210</v>
      </c>
      <c r="B54" s="26" t="str">
        <v>NY</v>
      </c>
      <c r="C54" s="21">
        <f>SUM(Jan!C54, Feb!C54, Mar!C54)</f>
        <v>18450.75</v>
      </c>
      <c r="D54" s="11">
        <f>SUM(Jan!D54, Feb!D54, Mar!D54)</f>
        <v>26428.108</v>
      </c>
      <c r="E54" s="11">
        <f t="shared" si="6"/>
        <v>-7977.3580000000002</v>
      </c>
      <c r="F54" s="12">
        <f t="shared" si="7"/>
        <v>-0.30185127138121276</v>
      </c>
      <c r="G54" s="13">
        <f>SUM('1st Qtr'!G54+'2nd Qtr'!G54+'3rd Qtr'!G54+'4th Qtr'!G54)</f>
        <v>33732</v>
      </c>
      <c r="H54" s="13">
        <f>SUM(Jan!H54, Feb!H54, Mar!H54)</f>
        <v>-15281.25</v>
      </c>
      <c r="I54" s="14">
        <f t="shared" si="8"/>
        <v>-0.45301938811810744</v>
      </c>
      <c r="J54" s="38"/>
      <c r="K54" s="38"/>
    </row>
    <row r="55" spans="1:11" ht="15.75">
      <c r="A55" s="27" t="str">
        <v>Q229</v>
      </c>
      <c r="B55" s="28" t="str">
        <v>NY</v>
      </c>
      <c r="C55" s="10">
        <f>SUM(Jan!C55, Feb!C55, Mar!C55)</f>
        <v>8335.71875</v>
      </c>
      <c r="D55" s="15">
        <f>SUM(Jan!D55, Feb!D55, Mar!D55)</f>
        <v>11971.643</v>
      </c>
      <c r="E55" s="15">
        <f t="shared" si="6"/>
        <v>-3635.92425</v>
      </c>
      <c r="F55" s="16">
        <f t="shared" si="7"/>
        <v>-0.3037113828068545</v>
      </c>
      <c r="G55" s="17">
        <f>SUM('1st Qtr'!G55+'2nd Qtr'!G55+'3rd Qtr'!G55+'4th Qtr'!G55)</f>
        <v>16060.793000000001</v>
      </c>
      <c r="H55" s="17">
        <f>SUM(Jan!H55, Feb!H55, Mar!H55)</f>
        <v>-7725.0742500000006</v>
      </c>
      <c r="I55" s="16">
        <f t="shared" si="8"/>
        <v>-0.48098959061361413</v>
      </c>
      <c r="J55" s="39"/>
      <c r="K55" s="40"/>
    </row>
    <row r="56" spans="1:11" ht="15.75">
      <c r="A56" s="25" t="str">
        <v>Q231</v>
      </c>
      <c r="B56" s="26" t="str">
        <v>NY</v>
      </c>
      <c r="C56" s="21">
        <f>SUM(Jan!C56, Feb!C56, Mar!C56)</f>
        <v>34317.0625</v>
      </c>
      <c r="D56" s="11">
        <f>SUM(Jan!D56, Feb!D56, Mar!D56)</f>
        <v>56661.2</v>
      </c>
      <c r="E56" s="11">
        <f t="shared" si="6"/>
        <v>-22344.137499999997</v>
      </c>
      <c r="F56" s="12">
        <f t="shared" si="7"/>
        <v>-0.39434635164804133</v>
      </c>
      <c r="G56" s="13">
        <f>SUM('1st Qtr'!G56+'2nd Qtr'!G56+'3rd Qtr'!G56+'4th Qtr'!G56)</f>
        <v>0</v>
      </c>
      <c r="H56" s="13">
        <f>SUM(Jan!H56, Feb!H56, Mar!H56)</f>
        <v>34317.0625</v>
      </c>
      <c r="I56" s="14" t="str">
        <f t="shared" si="8"/>
        <v/>
      </c>
      <c r="J56" s="38"/>
      <c r="K56" s="38"/>
    </row>
    <row r="57" spans="1:11" ht="15.75">
      <c r="A57" s="27" t="str">
        <v>Q405</v>
      </c>
      <c r="B57" s="28" t="str">
        <v>NY</v>
      </c>
      <c r="C57" s="10">
        <f>SUM(Jan!C57, Feb!C57, Mar!C57)</f>
        <v>35468.125</v>
      </c>
      <c r="D57" s="15">
        <f>SUM(Jan!D57, Feb!D57, Mar!D57)</f>
        <v>53629.91</v>
      </c>
      <c r="E57" s="15">
        <f t="shared" si="6"/>
        <v>-18161.785000000003</v>
      </c>
      <c r="F57" s="16">
        <f t="shared" si="7"/>
        <v>-0.33865029794008611</v>
      </c>
      <c r="G57" s="17">
        <f>SUM('1st Qtr'!G57+'2nd Qtr'!G57+'3rd Qtr'!G57+'4th Qtr'!G57)</f>
        <v>47018.04</v>
      </c>
      <c r="H57" s="17">
        <f>SUM(Jan!H57, Feb!H57, Mar!H57)</f>
        <v>-11549.915000000001</v>
      </c>
      <c r="I57" s="16">
        <f t="shared" si="8"/>
        <v>-0.24564858509627369</v>
      </c>
      <c r="J57" s="39"/>
      <c r="K57" s="40"/>
    </row>
    <row r="58" spans="1:11" ht="15.75">
      <c r="A58" s="25" t="str">
        <v>Q435</v>
      </c>
      <c r="B58" s="26" t="str">
        <v>NY</v>
      </c>
      <c r="C58" s="21">
        <f>SUM(Jan!C58, Feb!C58, Mar!C58)</f>
        <v>0</v>
      </c>
      <c r="D58" s="11">
        <f>SUM(Jan!D58, Feb!D58, Mar!D58)</f>
        <v>0</v>
      </c>
      <c r="E58" s="11">
        <f t="shared" si="6"/>
        <v>0</v>
      </c>
      <c r="F58" s="12" t="str">
        <f t="shared" si="7"/>
        <v/>
      </c>
      <c r="G58" s="13">
        <f>SUM('1st Qtr'!G58+'2nd Qtr'!G58+'3rd Qtr'!G58+'4th Qtr'!G58)</f>
        <v>0</v>
      </c>
      <c r="H58" s="13">
        <f>SUM(Jan!H58, Feb!H58, Mar!H58)</f>
        <v>0</v>
      </c>
      <c r="I58" s="14" t="str">
        <f t="shared" si="8"/>
        <v/>
      </c>
      <c r="J58" s="38"/>
      <c r="K58" s="38"/>
    </row>
    <row r="59" spans="1:11" ht="15.75">
      <c r="A59" s="27" t="str">
        <v>Q485</v>
      </c>
      <c r="B59" s="28" t="str">
        <v>NY</v>
      </c>
      <c r="C59" s="10">
        <f>SUM(Jan!C59, Feb!C59, Mar!C59)</f>
        <v>35974.386327930697</v>
      </c>
      <c r="D59" s="15">
        <f>SUM(Jan!D59, Feb!D59, Mar!D59)</f>
        <v>38867.919999999998</v>
      </c>
      <c r="E59" s="15">
        <f t="shared" si="6"/>
        <v>-2893.5336720693012</v>
      </c>
      <c r="F59" s="16">
        <f t="shared" si="7"/>
        <v>-7.4445292469195706E-2</v>
      </c>
      <c r="G59" s="17">
        <f>SUM('1st Qtr'!G59+'2nd Qtr'!G59+'3rd Qtr'!G59+'4th Qtr'!G59)</f>
        <v>59344.08</v>
      </c>
      <c r="H59" s="17">
        <f>SUM(Jan!H59, Feb!H59, Mar!H59)</f>
        <v>-23369.693672069297</v>
      </c>
      <c r="I59" s="16">
        <f t="shared" si="8"/>
        <v>-0.3937999152075371</v>
      </c>
      <c r="J59" s="39"/>
      <c r="K59" s="40"/>
    </row>
    <row r="60" spans="1:11" ht="15.75">
      <c r="A60" s="25" t="str">
        <v>Q490</v>
      </c>
      <c r="B60" s="26" t="str">
        <v>NY</v>
      </c>
      <c r="C60" s="21">
        <f>SUM(Jan!C60, Feb!C60, Mar!C60)</f>
        <v>29943.849668935698</v>
      </c>
      <c r="D60" s="11">
        <f>SUM(Jan!D60, Feb!D60, Mar!D60)</f>
        <v>0</v>
      </c>
      <c r="E60" s="11">
        <f t="shared" si="6"/>
        <v>29943.849668935698</v>
      </c>
      <c r="F60" s="12" t="str">
        <f t="shared" si="7"/>
        <v/>
      </c>
      <c r="G60" s="13">
        <f>SUM('1st Qtr'!G60+'2nd Qtr'!G60+'3rd Qtr'!G60+'4th Qtr'!G60)</f>
        <v>50408.289999999994</v>
      </c>
      <c r="H60" s="13">
        <f>SUM(Jan!H60, Feb!H60, Mar!H60)</f>
        <v>-20464.440331064296</v>
      </c>
      <c r="I60" s="14">
        <f t="shared" si="8"/>
        <v>-0.40597370652851539</v>
      </c>
      <c r="J60" s="38"/>
      <c r="K60" s="38"/>
    </row>
    <row r="61" spans="1:11" ht="15.75">
      <c r="A61" s="27" t="str">
        <v>Q620</v>
      </c>
      <c r="B61" s="28" t="str">
        <v>NY</v>
      </c>
      <c r="C61" s="10">
        <f>SUM(Jan!C61, Feb!C61, Mar!C61)</f>
        <v>44966.125</v>
      </c>
      <c r="D61" s="15">
        <f>SUM(Jan!D61, Feb!D61, Mar!D61)</f>
        <v>67611.820000000007</v>
      </c>
      <c r="E61" s="15">
        <f t="shared" si="6"/>
        <v>-22645.695000000007</v>
      </c>
      <c r="F61" s="16">
        <f t="shared" si="7"/>
        <v>-0.33493692375090633</v>
      </c>
      <c r="G61" s="17">
        <f>SUM('1st Qtr'!G61+'2nd Qtr'!G61+'3rd Qtr'!G61+'4th Qtr'!G61)</f>
        <v>79555.98</v>
      </c>
      <c r="H61" s="17">
        <f>SUM(Jan!H61, Feb!H61, Mar!H61)</f>
        <v>-34589.854999999996</v>
      </c>
      <c r="I61" s="16">
        <f t="shared" si="8"/>
        <v>-0.43478636049735037</v>
      </c>
      <c r="J61" s="39"/>
      <c r="K61" s="40"/>
    </row>
    <row r="62" spans="1:11" ht="15.75">
      <c r="A62" s="25" t="str">
        <v>QMOA</v>
      </c>
      <c r="B62" s="26" t="str">
        <v>NY</v>
      </c>
      <c r="C62" s="21">
        <f>SUM(Jan!C62, Feb!C62, Mar!C62)</f>
        <v>4688.0999999999894</v>
      </c>
      <c r="D62" s="11">
        <f>SUM(Jan!D62, Feb!D62, Mar!D62)</f>
        <v>0</v>
      </c>
      <c r="E62" s="11">
        <f t="shared" si="6"/>
        <v>4688.0999999999894</v>
      </c>
      <c r="F62" s="12" t="str">
        <f t="shared" si="7"/>
        <v/>
      </c>
      <c r="G62" s="13">
        <f>SUM('1st Qtr'!G62+'2nd Qtr'!G62+'3rd Qtr'!G62+'4th Qtr'!G62)</f>
        <v>6678.5510000000004</v>
      </c>
      <c r="H62" s="13">
        <f>SUM(Jan!H62, Feb!H62, Mar!H62)</f>
        <v>-1990.4510000000105</v>
      </c>
      <c r="I62" s="14">
        <f t="shared" si="8"/>
        <v>-0.29803635549088575</v>
      </c>
      <c r="J62" s="38"/>
      <c r="K62" s="38"/>
    </row>
    <row r="63" spans="1:11" ht="15.75">
      <c r="A63" s="27" t="str">
        <v>X024</v>
      </c>
      <c r="B63" s="28" t="str">
        <v>NY</v>
      </c>
      <c r="C63" s="10">
        <f>SUM(Jan!C63, Feb!C63, Mar!C63)</f>
        <v>16170.876</v>
      </c>
      <c r="D63" s="15">
        <f>SUM(Jan!D63, Feb!D63, Mar!D63)</f>
        <v>0</v>
      </c>
      <c r="E63" s="15">
        <f t="shared" si="6"/>
        <v>16170.876</v>
      </c>
      <c r="F63" s="16" t="str">
        <f t="shared" si="7"/>
        <v/>
      </c>
      <c r="G63" s="17">
        <f>SUM('1st Qtr'!G63+'2nd Qtr'!G63+'3rd Qtr'!G63+'4th Qtr'!G63)</f>
        <v>0</v>
      </c>
      <c r="H63" s="17">
        <f>SUM(Jan!H63, Feb!H63, Mar!H63)</f>
        <v>16170.876</v>
      </c>
      <c r="I63" s="16" t="str">
        <f t="shared" si="8"/>
        <v/>
      </c>
      <c r="J63" s="39"/>
      <c r="K63" s="40"/>
    </row>
    <row r="64" spans="1:11" ht="15.75">
      <c r="A64" s="25" t="str">
        <v>X026</v>
      </c>
      <c r="B64" s="26" t="str">
        <v>NY</v>
      </c>
      <c r="C64" s="21">
        <f>SUM(Jan!C64, Feb!C64, Mar!C64)</f>
        <v>12821.100000000039</v>
      </c>
      <c r="D64" s="11">
        <f>SUM(Jan!D64, Feb!D64, Mar!D64)</f>
        <v>22328.19</v>
      </c>
      <c r="E64" s="11">
        <f t="shared" si="6"/>
        <v>-9507.0899999999601</v>
      </c>
      <c r="F64" s="12">
        <f t="shared" si="7"/>
        <v>-0.42578865550678135</v>
      </c>
      <c r="G64" s="13">
        <f>SUM('1st Qtr'!G64+'2nd Qtr'!G64+'3rd Qtr'!G64+'4th Qtr'!G64)</f>
        <v>31394.639999999999</v>
      </c>
      <c r="H64" s="13">
        <f>SUM(Jan!H64, Feb!H64, Mar!H64)</f>
        <v>-18573.539999999961</v>
      </c>
      <c r="I64" s="14">
        <f t="shared" si="8"/>
        <v>-0.59161500179648374</v>
      </c>
      <c r="J64" s="38"/>
      <c r="K64" s="38"/>
    </row>
    <row r="65" spans="1:11" ht="15.75">
      <c r="A65" s="27" t="str">
        <v>X090</v>
      </c>
      <c r="B65" s="28" t="str">
        <v>NY</v>
      </c>
      <c r="C65" s="10">
        <f>SUM(Jan!C65, Feb!C65, Mar!C65)</f>
        <v>13717.078125</v>
      </c>
      <c r="D65" s="15">
        <f>SUM(Jan!D65, Feb!D65, Mar!D65)</f>
        <v>14332.624</v>
      </c>
      <c r="E65" s="15">
        <f t="shared" si="6"/>
        <v>-615.5458749999998</v>
      </c>
      <c r="F65" s="16">
        <f t="shared" si="7"/>
        <v>-4.2947186432854154E-2</v>
      </c>
      <c r="G65" s="17">
        <f>SUM('1st Qtr'!G65+'2nd Qtr'!G65+'3rd Qtr'!G65+'4th Qtr'!G65)</f>
        <v>20234</v>
      </c>
      <c r="H65" s="17">
        <f>SUM(Jan!H65, Feb!H65, Mar!H65)</f>
        <v>-6516.9218749999991</v>
      </c>
      <c r="I65" s="16">
        <f t="shared" si="8"/>
        <v>-0.32207778368093304</v>
      </c>
      <c r="J65" s="39"/>
      <c r="K65" s="39"/>
    </row>
    <row r="66" spans="1:11" ht="15.75">
      <c r="A66" s="25" t="str">
        <v>X117</v>
      </c>
      <c r="B66" s="26" t="str">
        <v>NY</v>
      </c>
      <c r="C66" s="21">
        <f>SUM(Jan!C66, Feb!C66, Mar!C66)</f>
        <v>10193.800000000039</v>
      </c>
      <c r="D66" s="11">
        <f>SUM(Jan!D66, Feb!D66, Mar!D66)</f>
        <v>19296.489000000001</v>
      </c>
      <c r="E66" s="11">
        <f t="shared" si="6"/>
        <v>-9102.6889999999621</v>
      </c>
      <c r="F66" s="12">
        <f t="shared" si="7"/>
        <v>-0.47172773243878519</v>
      </c>
      <c r="G66" s="13">
        <f>SUM('1st Qtr'!G66+'2nd Qtr'!G66+'3rd Qtr'!G66+'4th Qtr'!G66)</f>
        <v>35579.86</v>
      </c>
      <c r="H66" s="13">
        <f>SUM(Jan!H66, Feb!H66, Mar!H66)</f>
        <v>-25386.059999999961</v>
      </c>
      <c r="I66" s="14">
        <f t="shared" si="8"/>
        <v>-0.71349521892441292</v>
      </c>
      <c r="J66" s="38"/>
      <c r="K66" s="38"/>
    </row>
    <row r="67" spans="1:11" ht="15.75">
      <c r="A67" s="27" t="str">
        <v>X125</v>
      </c>
      <c r="B67" s="28" t="str">
        <v>NY</v>
      </c>
      <c r="C67" s="10">
        <f>SUM(Jan!C67, Feb!C67, Mar!C67)</f>
        <v>21319.78125</v>
      </c>
      <c r="D67" s="15">
        <f>SUM(Jan!D67, Feb!D67, Mar!D67)</f>
        <v>32690.27</v>
      </c>
      <c r="E67" s="15">
        <f t="shared" si="6"/>
        <v>-11370.48875</v>
      </c>
      <c r="F67" s="16">
        <f t="shared" si="7"/>
        <v>-0.34782486501335108</v>
      </c>
      <c r="G67" s="17">
        <f>SUM('1st Qtr'!G67+'2nd Qtr'!G67+'3rd Qtr'!G67+'4th Qtr'!G67)</f>
        <v>23983.81</v>
      </c>
      <c r="H67" s="17">
        <f>SUM(Jan!H67, Feb!H67, Mar!H67)</f>
        <v>-2664.0287500000013</v>
      </c>
      <c r="I67" s="16">
        <f t="shared" si="8"/>
        <v>-0.11107612802136113</v>
      </c>
      <c r="J67" s="39"/>
      <c r="K67" s="40"/>
    </row>
    <row r="68" spans="1:11" ht="15.75">
      <c r="A68" s="25" t="str">
        <v>X134</v>
      </c>
      <c r="B68" s="26" t="str">
        <v>NY</v>
      </c>
      <c r="C68" s="21">
        <f>SUM(Jan!C68, Feb!C68, Mar!C68)</f>
        <v>19644.53125</v>
      </c>
      <c r="D68" s="11">
        <f>SUM(Jan!D68, Feb!D68, Mar!D68)</f>
        <v>0</v>
      </c>
      <c r="E68" s="11">
        <f t="shared" si="6"/>
        <v>19644.53125</v>
      </c>
      <c r="F68" s="12" t="str">
        <f t="shared" si="7"/>
        <v/>
      </c>
      <c r="G68" s="13">
        <f>SUM('1st Qtr'!G68+'2nd Qtr'!G68+'3rd Qtr'!G68+'4th Qtr'!G68)</f>
        <v>0</v>
      </c>
      <c r="H68" s="13">
        <f>SUM(Jan!H68, Feb!H68, Mar!H68)</f>
        <v>19644.53125</v>
      </c>
      <c r="I68" s="14" t="str">
        <f t="shared" si="8"/>
        <v/>
      </c>
      <c r="J68" s="38"/>
      <c r="K68" s="38"/>
    </row>
    <row r="69" spans="1:11" ht="15.75">
      <c r="A69" s="27" t="str">
        <v>X135</v>
      </c>
      <c r="B69" s="28" t="str">
        <v>NY</v>
      </c>
      <c r="C69" s="10">
        <f>SUM(Jan!C69, Feb!C69, Mar!C69)</f>
        <v>15102.734375</v>
      </c>
      <c r="D69" s="15">
        <f>SUM(Jan!D69, Feb!D69, Mar!D69)</f>
        <v>0</v>
      </c>
      <c r="E69" s="15">
        <f t="shared" si="6"/>
        <v>15102.734375</v>
      </c>
      <c r="F69" s="16" t="str">
        <f t="shared" si="7"/>
        <v/>
      </c>
      <c r="G69" s="17">
        <f>SUM('1st Qtr'!G69+'2nd Qtr'!G69+'3rd Qtr'!G69+'4th Qtr'!G69)</f>
        <v>0</v>
      </c>
      <c r="H69" s="17">
        <f>SUM(Jan!H69, Feb!H69, Mar!H69)</f>
        <v>15102.734375</v>
      </c>
      <c r="I69" s="16" t="str">
        <f t="shared" si="8"/>
        <v/>
      </c>
      <c r="J69" s="39"/>
      <c r="K69" s="40"/>
    </row>
    <row r="70" spans="1:11" ht="15.75">
      <c r="A70" s="25" t="str">
        <v>X139 JHS 222</v>
      </c>
      <c r="B70" s="26" t="str">
        <v>NY</v>
      </c>
      <c r="C70" s="21">
        <f>SUM(Jan!C70, Feb!C70, Mar!C70)</f>
        <v>25370.923590982267</v>
      </c>
      <c r="D70" s="11">
        <f>SUM(Jan!D70, Feb!D70, Mar!D70)</f>
        <v>34350.92</v>
      </c>
      <c r="E70" s="11">
        <f t="shared" si="6"/>
        <v>-8979.9964090177309</v>
      </c>
      <c r="F70" s="12">
        <f t="shared" si="7"/>
        <v>-0.26141938582773711</v>
      </c>
      <c r="G70" s="13">
        <f>SUM('1st Qtr'!G70+'2nd Qtr'!G70+'3rd Qtr'!G70+'4th Qtr'!G70)</f>
        <v>50558</v>
      </c>
      <c r="H70" s="13">
        <f>SUM(Jan!H70, Feb!H70, Mar!H70)</f>
        <v>-25187.076409017733</v>
      </c>
      <c r="I70" s="14">
        <f t="shared" si="8"/>
        <v>-0.49818181907942821</v>
      </c>
      <c r="J70" s="38"/>
      <c r="K70" s="38"/>
    </row>
    <row r="71" spans="1:11" ht="15.75">
      <c r="A71" s="27" t="str">
        <v>X140</v>
      </c>
      <c r="B71" s="28" t="str">
        <v>NY</v>
      </c>
      <c r="C71" s="10">
        <f>SUM(Jan!C71, Feb!C71, Mar!C71)</f>
        <v>13378.278</v>
      </c>
      <c r="D71" s="15">
        <f>SUM(Jan!D71, Feb!D71, Mar!D71)</f>
        <v>17450.657999999999</v>
      </c>
      <c r="E71" s="15">
        <f t="shared" si="6"/>
        <v>-4072.3799999999992</v>
      </c>
      <c r="F71" s="16">
        <f t="shared" si="7"/>
        <v>-0.23336541235293243</v>
      </c>
      <c r="G71" s="17">
        <f>SUM('1st Qtr'!G71+'2nd Qtr'!G71+'3rd Qtr'!G71+'4th Qtr'!G71)</f>
        <v>20845.069</v>
      </c>
      <c r="H71" s="17">
        <f>SUM(Jan!H71, Feb!H71, Mar!H71)</f>
        <v>-7466.7909999999993</v>
      </c>
      <c r="I71" s="16">
        <f t="shared" si="8"/>
        <v>-0.3582041872828533</v>
      </c>
      <c r="J71" s="39"/>
      <c r="K71" s="40"/>
    </row>
    <row r="72" spans="1:11" ht="15.75">
      <c r="A72" s="25" t="str">
        <v>X166</v>
      </c>
      <c r="B72" s="26" t="str">
        <v>NY</v>
      </c>
      <c r="C72" s="21">
        <f>SUM(Jan!C72, Feb!C72, Mar!C72)</f>
        <v>15345.199999999968</v>
      </c>
      <c r="D72" s="11">
        <f>SUM(Jan!D72, Feb!D72, Mar!D72)</f>
        <v>22439.846000000001</v>
      </c>
      <c r="E72" s="11">
        <f t="shared" si="6"/>
        <v>-7094.6460000000334</v>
      </c>
      <c r="F72" s="12">
        <f t="shared" si="7"/>
        <v>-0.31616286493231877</v>
      </c>
      <c r="G72" s="13">
        <f>SUM('1st Qtr'!G72+'2nd Qtr'!G72+'3rd Qtr'!G72+'4th Qtr'!G72)</f>
        <v>0</v>
      </c>
      <c r="H72" s="13">
        <f>SUM(Jan!H72, Feb!H72, Mar!H72)</f>
        <v>15345.199999999968</v>
      </c>
      <c r="I72" s="14" t="str">
        <f t="shared" si="8"/>
        <v/>
      </c>
      <c r="J72" s="38"/>
      <c r="K72" s="38"/>
    </row>
    <row r="73" spans="1:11" ht="15.75">
      <c r="A73" s="27" t="str">
        <v>Murphy</v>
      </c>
      <c r="B73" s="28" t="str">
        <v>MN</v>
      </c>
      <c r="C73" s="10">
        <f>SUM(Jan!C73, Feb!C73, Mar!C73)</f>
        <v>861810</v>
      </c>
      <c r="D73" s="15">
        <f>SUM(Jan!D73, Feb!D73, Mar!D73)</f>
        <v>1153239.2</v>
      </c>
      <c r="E73" s="15">
        <f t="shared" si="6"/>
        <v>-291429.19999999995</v>
      </c>
      <c r="F73" s="16">
        <f t="shared" si="7"/>
        <v>-0.25270490285103037</v>
      </c>
      <c r="G73" s="17">
        <f>SUM('1st Qtr'!G73+'2nd Qtr'!G73+'3rd Qtr'!G73+'4th Qtr'!G73)</f>
        <v>1224657.6000000001</v>
      </c>
      <c r="H73" s="17">
        <f>SUM(Jan!H73, Feb!H73, Mar!H73)</f>
        <v>-362847.6</v>
      </c>
      <c r="I73" s="16">
        <f t="shared" si="8"/>
        <v>-0.29628493711221809</v>
      </c>
      <c r="J73" s="39"/>
      <c r="K73" s="40"/>
    </row>
    <row r="74" spans="1:11" ht="15.75">
      <c r="A74" s="25" t="str">
        <v>Terning</v>
      </c>
      <c r="B74" s="26" t="str">
        <v>MN</v>
      </c>
      <c r="C74" s="21">
        <f>SUM(Jan!C74, Feb!C74, Mar!C74)</f>
        <v>863188</v>
      </c>
      <c r="D74" s="11">
        <f>SUM(Jan!D74, Feb!D74, Mar!D74)</f>
        <v>1132129.1000000001</v>
      </c>
      <c r="E74" s="11">
        <f t="shared" si="6"/>
        <v>-268941.10000000009</v>
      </c>
      <c r="F74" s="12">
        <f t="shared" si="7"/>
        <v>-0.23755338503356205</v>
      </c>
      <c r="G74" s="13">
        <f>SUM('1st Qtr'!G74+'2nd Qtr'!G74+'3rd Qtr'!G74+'4th Qtr'!G74)</f>
        <v>1135889.1000000001</v>
      </c>
      <c r="H74" s="13">
        <f>SUM(Jan!H74, Feb!H74, Mar!H74)</f>
        <v>-272701.10000000003</v>
      </c>
      <c r="I74" s="14">
        <f t="shared" si="8"/>
        <v>-0.24007722232742618</v>
      </c>
      <c r="J74" s="38"/>
      <c r="K74" s="38"/>
    </row>
    <row r="75" spans="1:11" ht="15.75">
      <c r="A75" s="27" t="str">
        <v>Boas Road 04</v>
      </c>
      <c r="B75" s="28" t="str">
        <v>NY</v>
      </c>
      <c r="C75" s="10">
        <f>SUM(Jan!C75, Feb!C75, Mar!C75)</f>
        <v>226452</v>
      </c>
      <c r="D75" s="15">
        <f>SUM(Jan!D75, Feb!D75, Mar!D75)</f>
        <v>264045.63</v>
      </c>
      <c r="E75" s="15">
        <f t="shared" si="6"/>
        <v>-37593.630000000005</v>
      </c>
      <c r="F75" s="16">
        <f t="shared" si="7"/>
        <v>-0.14237550532459106</v>
      </c>
      <c r="G75" s="17">
        <f>SUM('1st Qtr'!G75+'2nd Qtr'!G75+'3rd Qtr'!G75+'4th Qtr'!G75)</f>
        <v>440129.36</v>
      </c>
      <c r="H75" s="17">
        <f>SUM(Jan!H75, Feb!H75, Mar!H75)</f>
        <v>-213677.36</v>
      </c>
      <c r="I75" s="16">
        <f t="shared" si="8"/>
        <v>-0.48548763027306335</v>
      </c>
      <c r="J75" s="39"/>
      <c r="K75" s="40"/>
    </row>
    <row r="76" spans="1:11" ht="15.75">
      <c r="A76" s="25" t="str">
        <v>Kelly Bridge Farm</v>
      </c>
      <c r="B76" s="26" t="str">
        <v>NY</v>
      </c>
      <c r="C76" s="21">
        <f>SUM(Jan!C76, Feb!C76, Mar!C76)</f>
        <v>281277</v>
      </c>
      <c r="D76" s="11">
        <f>SUM(Jan!D76, Feb!D76, Mar!D76)</f>
        <v>291693.36</v>
      </c>
      <c r="E76" s="11">
        <f t="shared" si="6"/>
        <v>-10416.359999999986</v>
      </c>
      <c r="F76" s="12">
        <f t="shared" si="7"/>
        <v>-3.5709966109615889E-2</v>
      </c>
      <c r="G76" s="13">
        <f>SUM('1st Qtr'!G76+'2nd Qtr'!G76+'3rd Qtr'!G76+'4th Qtr'!G76)</f>
        <v>418891.18</v>
      </c>
      <c r="H76" s="13">
        <f>SUM(Jan!H76, Feb!H76, Mar!H76)</f>
        <v>-137614.18</v>
      </c>
      <c r="I76" s="14">
        <f t="shared" si="8"/>
        <v>-0.32852011827988359</v>
      </c>
      <c r="J76" s="38"/>
      <c r="K76" s="38"/>
    </row>
    <row r="77" spans="1:11" ht="15.75">
      <c r="A77" s="27" t="str">
        <v>Pool Brook Road</v>
      </c>
      <c r="B77" s="28" t="str">
        <v>NY</v>
      </c>
      <c r="C77" s="10">
        <f>SUM(Jan!C77, Feb!C77, Mar!C77)</f>
        <v>262605</v>
      </c>
      <c r="D77" s="15">
        <f>SUM(Jan!D77, Feb!D77, Mar!D77)</f>
        <v>253637.61</v>
      </c>
      <c r="E77" s="15">
        <f t="shared" si="6"/>
        <v>8967.390000000014</v>
      </c>
      <c r="F77" s="16">
        <f t="shared" si="7"/>
        <v>3.5355127340933448E-2</v>
      </c>
      <c r="G77" s="17">
        <f>SUM('1st Qtr'!G77+'2nd Qtr'!G77+'3rd Qtr'!G77+'4th Qtr'!G77)</f>
        <v>389748.24</v>
      </c>
      <c r="H77" s="17">
        <f>SUM(Jan!H77, Feb!H77, Mar!H77)</f>
        <v>-127143.23999999999</v>
      </c>
      <c r="I77" s="16">
        <f t="shared" si="8"/>
        <v>-0.32621889453561098</v>
      </c>
      <c r="J77" s="39"/>
      <c r="K77" s="39"/>
    </row>
    <row r="78" spans="1:11" ht="15.75">
      <c r="A78" s="25" t="str">
        <v>Sackett Lake</v>
      </c>
      <c r="B78" s="26" t="str">
        <v>NY</v>
      </c>
      <c r="C78" s="21">
        <f>SUM(Jan!C78, Feb!C78, Mar!C78)</f>
        <v>316121</v>
      </c>
      <c r="D78" s="11">
        <f>SUM(Jan!D78, Feb!D78, Mar!D78)</f>
        <v>302531.58</v>
      </c>
      <c r="E78" s="11">
        <f t="shared" si="6"/>
        <v>13589.419999999984</v>
      </c>
      <c r="F78" s="12">
        <f t="shared" si="7"/>
        <v>4.4919013082865542E-2</v>
      </c>
      <c r="G78" s="13">
        <f>SUM('1st Qtr'!G78+'2nd Qtr'!G78+'3rd Qtr'!G78+'4th Qtr'!G78)</f>
        <v>446618.22</v>
      </c>
      <c r="H78" s="13">
        <f>SUM(Jan!H78, Feb!H78, Mar!H78)</f>
        <v>-130497.21999999997</v>
      </c>
      <c r="I78" s="14">
        <f t="shared" si="8"/>
        <v>-0.29218964689797022</v>
      </c>
      <c r="J78" s="38"/>
      <c r="K78" s="38"/>
    </row>
    <row r="79" spans="1:11" ht="15.75">
      <c r="A79" s="27" t="str">
        <v>Burritt Road</v>
      </c>
      <c r="B79" s="28" t="str">
        <v>NY</v>
      </c>
      <c r="C79" s="10">
        <f>SUM(Jan!C79, Feb!C79, Mar!C79)</f>
        <v>264460</v>
      </c>
      <c r="D79" s="15">
        <f>SUM(Jan!D79, Feb!D79, Mar!D79)</f>
        <v>253957.02000000002</v>
      </c>
      <c r="E79" s="15">
        <f t="shared" si="6"/>
        <v>10502.979999999981</v>
      </c>
      <c r="F79" s="16">
        <f t="shared" si="7"/>
        <v>4.1357313139049987E-2</v>
      </c>
      <c r="G79" s="17">
        <f>SUM('1st Qtr'!G79+'2nd Qtr'!G79+'3rd Qtr'!G79+'4th Qtr'!G79)</f>
        <v>287293.48</v>
      </c>
      <c r="H79" s="17">
        <f>SUM(Jan!H79, Feb!H79, Mar!H79)</f>
        <v>-22833.479999999981</v>
      </c>
      <c r="I79" s="16">
        <f t="shared" si="8"/>
        <v>-7.9477891388276489E-2</v>
      </c>
      <c r="J79" s="39"/>
      <c r="K79" s="40"/>
    </row>
    <row r="80" spans="1:11" ht="15.75">
      <c r="A80" s="25" t="str">
        <v>Villa Roma 1</v>
      </c>
      <c r="B80" s="26" t="str">
        <v>NY</v>
      </c>
      <c r="C80" s="21">
        <f>SUM(Jan!C80, Feb!C80, Mar!C80)</f>
        <v>240243</v>
      </c>
      <c r="D80" s="11">
        <f>SUM(Jan!D80, Feb!D80, Mar!D80)</f>
        <v>74359.509999999995</v>
      </c>
      <c r="E80" s="11">
        <f t="shared" si="6"/>
        <v>165883.49</v>
      </c>
      <c r="F80" s="12">
        <f t="shared" si="7"/>
        <v>2.230830864808012</v>
      </c>
      <c r="G80" s="13">
        <f>SUM('1st Qtr'!G80+'2nd Qtr'!G80+'3rd Qtr'!G80+'4th Qtr'!G80)</f>
        <v>273091.90000000002</v>
      </c>
      <c r="H80" s="13">
        <f>SUM(Jan!H80, Feb!H80, Mar!H80)</f>
        <v>-32848.899999999994</v>
      </c>
      <c r="I80" s="14">
        <f t="shared" si="8"/>
        <v>-0.12028514943138185</v>
      </c>
      <c r="J80" s="38"/>
      <c r="K80" s="38"/>
    </row>
    <row r="81" spans="1:11" ht="15.75">
      <c r="A81" s="27" t="str">
        <v>Villa Roma 2</v>
      </c>
      <c r="B81" s="28" t="str">
        <v>NY</v>
      </c>
      <c r="C81" s="10">
        <f>SUM(Jan!C81, Feb!C81, Mar!C81)</f>
        <v>271237</v>
      </c>
      <c r="D81" s="15">
        <f>SUM(Jan!D81, Feb!D81, Mar!D81)</f>
        <v>355607.76</v>
      </c>
      <c r="E81" s="15">
        <f t="shared" si="6"/>
        <v>-84370.760000000009</v>
      </c>
      <c r="F81" s="16">
        <f t="shared" si="7"/>
        <v>-0.23725792710485286</v>
      </c>
      <c r="G81" s="17">
        <f>SUM('1st Qtr'!G81+'2nd Qtr'!G81+'3rd Qtr'!G81+'4th Qtr'!G81)</f>
        <v>265190.61</v>
      </c>
      <c r="H81" s="17">
        <f>SUM(Jan!H81, Feb!H81, Mar!H81)</f>
        <v>6046.3899999999849</v>
      </c>
      <c r="I81" s="16">
        <f t="shared" si="8"/>
        <v>2.2800166265313788E-2</v>
      </c>
      <c r="J81" s="39"/>
      <c r="K81" s="40"/>
    </row>
    <row r="82" spans="1:11" ht="15.75">
      <c r="A82" s="25" t="str">
        <v>Washington 1</v>
      </c>
      <c r="B82" s="26" t="str">
        <v>NY</v>
      </c>
      <c r="C82" s="21">
        <f>SUM(Jan!C82, Feb!C82, Mar!C82)</f>
        <v>265180</v>
      </c>
      <c r="D82" s="11">
        <f>SUM(Jan!D82, Feb!D82, Mar!D82)</f>
        <v>351943.78</v>
      </c>
      <c r="E82" s="11">
        <f t="shared" ref="E82:E137" si="9">IF(AND(ISNUMBER(C82),ISNUMBER(D82)), C82-D82, "")</f>
        <v>-86763.780000000028</v>
      </c>
      <c r="F82" s="12">
        <f t="shared" ref="F82:F137" si="10">IFERROR(E82/D82, "")</f>
        <v>-0.24652738570916077</v>
      </c>
      <c r="G82" s="13">
        <f>SUM('1st Qtr'!G82+'2nd Qtr'!G82+'3rd Qtr'!G82+'4th Qtr'!G82)</f>
        <v>281195.28999999998</v>
      </c>
      <c r="H82" s="13">
        <f>SUM(Jan!H82, Feb!H82, Mar!H82)</f>
        <v>-16015.289999999994</v>
      </c>
      <c r="I82" s="14">
        <f t="shared" ref="I82:I137" si="11">IFERROR(H82/G82, "")</f>
        <v>-5.6954332343191076E-2</v>
      </c>
      <c r="J82" s="38"/>
      <c r="K82" s="38"/>
    </row>
    <row r="83" spans="1:11" ht="15.75">
      <c r="A83" s="27" t="str">
        <v>Washington 3</v>
      </c>
      <c r="B83" s="28" t="str">
        <v>NY</v>
      </c>
      <c r="C83" s="10">
        <f>SUM(Jan!C83, Feb!C83, Mar!C83)</f>
        <v>236996</v>
      </c>
      <c r="D83" s="15">
        <f>SUM(Jan!D83, Feb!D83, Mar!D83)</f>
        <v>342935.82999999996</v>
      </c>
      <c r="E83" s="15">
        <f t="shared" si="9"/>
        <v>-105939.82999999996</v>
      </c>
      <c r="F83" s="16">
        <f t="shared" si="10"/>
        <v>-0.30892027234366259</v>
      </c>
      <c r="G83" s="17">
        <f>SUM('1st Qtr'!G83+'2nd Qtr'!G83+'3rd Qtr'!G83+'4th Qtr'!G83)</f>
        <v>342330.82</v>
      </c>
      <c r="H83" s="17">
        <f>SUM(Jan!H83, Feb!H83, Mar!H83)</f>
        <v>-105334.81999999999</v>
      </c>
      <c r="I83" s="16">
        <f t="shared" si="11"/>
        <v>-0.3076989094934543</v>
      </c>
      <c r="J83" s="39"/>
      <c r="K83" s="40"/>
    </row>
    <row r="84" spans="1:11" ht="15.75">
      <c r="A84" s="25" t="str">
        <v>Washington 4</v>
      </c>
      <c r="B84" s="26" t="str">
        <v>NY</v>
      </c>
      <c r="C84" s="21">
        <f>SUM(Jan!C84, Feb!C84, Mar!C84)</f>
        <v>337281</v>
      </c>
      <c r="D84" s="11">
        <f>SUM(Jan!D84, Feb!D84, Mar!D84)</f>
        <v>0</v>
      </c>
      <c r="E84" s="11">
        <f t="shared" si="9"/>
        <v>337281</v>
      </c>
      <c r="F84" s="12" t="str">
        <f t="shared" si="10"/>
        <v/>
      </c>
      <c r="G84" s="13">
        <f>SUM('1st Qtr'!G84+'2nd Qtr'!G84+'3rd Qtr'!G84+'4th Qtr'!G84)</f>
        <v>343529.91000000003</v>
      </c>
      <c r="H84" s="13">
        <f>SUM(Jan!H84, Feb!H84, Mar!H84)</f>
        <v>-6248.9100000000035</v>
      </c>
      <c r="I84" s="14">
        <f t="shared" si="11"/>
        <v>-1.8190293823323864E-2</v>
      </c>
      <c r="J84" s="38"/>
      <c r="K84" s="38"/>
    </row>
    <row r="85" spans="1:11" ht="15.75">
      <c r="A85" s="27" t="str">
        <v>Big Tree</v>
      </c>
      <c r="B85" s="28" t="str">
        <v>NY</v>
      </c>
      <c r="C85" s="10">
        <f>SUM(Jan!C85, Feb!C85, Mar!C85)</f>
        <v>238485</v>
      </c>
      <c r="D85" s="15">
        <f>SUM(Jan!D85, Feb!D85, Mar!D85)</f>
        <v>0</v>
      </c>
      <c r="E85" s="15">
        <f t="shared" si="9"/>
        <v>238485</v>
      </c>
      <c r="F85" s="16" t="str">
        <f t="shared" si="10"/>
        <v/>
      </c>
      <c r="G85" s="17">
        <f>SUM('1st Qtr'!G85+'2nd Qtr'!G85+'3rd Qtr'!G85+'4th Qtr'!G85)</f>
        <v>208875</v>
      </c>
      <c r="H85" s="17">
        <f>SUM(Jan!H85, Feb!H85, Mar!H85)</f>
        <v>29610</v>
      </c>
      <c r="I85" s="16">
        <f t="shared" si="11"/>
        <v>0.14175942549371634</v>
      </c>
      <c r="J85" s="39"/>
      <c r="K85" s="40"/>
    </row>
    <row r="86" spans="1:11" ht="15.75">
      <c r="A86" s="25" t="str">
        <v>Canoga</v>
      </c>
      <c r="B86" s="26" t="str">
        <v>NY</v>
      </c>
      <c r="C86" s="21">
        <f>SUM(Jan!C86, Feb!C86, Mar!C86)</f>
        <v>808643</v>
      </c>
      <c r="D86" s="11">
        <f>SUM(Jan!D86, Feb!D86, Mar!D86)</f>
        <v>0</v>
      </c>
      <c r="E86" s="11">
        <f t="shared" si="9"/>
        <v>808643</v>
      </c>
      <c r="F86" s="12" t="str">
        <f t="shared" si="10"/>
        <v/>
      </c>
      <c r="G86" s="13">
        <f>SUM('1st Qtr'!G86+'2nd Qtr'!G86+'3rd Qtr'!G86+'4th Qtr'!G86)</f>
        <v>592132</v>
      </c>
      <c r="H86" s="13">
        <f>SUM(Jan!H86, Feb!H86, Mar!H86)</f>
        <v>216511</v>
      </c>
      <c r="I86" s="14">
        <f t="shared" si="11"/>
        <v>0.36564651125086972</v>
      </c>
      <c r="J86" s="38"/>
      <c r="K86" s="38"/>
    </row>
    <row r="87" spans="1:11" ht="15.75">
      <c r="A87" s="27" t="str">
        <v>County Route 84</v>
      </c>
      <c r="B87" s="28" t="str">
        <v>NY</v>
      </c>
      <c r="C87" s="10">
        <f>SUM(Jan!C87, Feb!C87, Mar!C87)</f>
        <v>884892</v>
      </c>
      <c r="D87" s="15">
        <f>SUM(Jan!D87, Feb!D87, Mar!D87)</f>
        <v>0</v>
      </c>
      <c r="E87" s="15">
        <f t="shared" si="9"/>
        <v>884892</v>
      </c>
      <c r="F87" s="16" t="str">
        <f t="shared" si="10"/>
        <v/>
      </c>
      <c r="G87" s="17">
        <f>SUM('1st Qtr'!G87+'2nd Qtr'!G87+'3rd Qtr'!G87+'4th Qtr'!G87)</f>
        <v>729965</v>
      </c>
      <c r="H87" s="17">
        <f>SUM(Jan!H87, Feb!H87, Mar!H87)</f>
        <v>154927</v>
      </c>
      <c r="I87" s="16">
        <f t="shared" si="11"/>
        <v>0.21223894296301876</v>
      </c>
      <c r="J87" s="39"/>
      <c r="K87" s="40"/>
    </row>
    <row r="88" spans="1:11" ht="15.75">
      <c r="A88" s="25" t="str">
        <v>Donati</v>
      </c>
      <c r="B88" s="26" t="str">
        <v>NY</v>
      </c>
      <c r="C88" s="21">
        <f>SUM(Jan!C88, Feb!C88, Mar!C88)</f>
        <v>318352</v>
      </c>
      <c r="D88" s="11">
        <f>SUM(Jan!D88, Feb!D88, Mar!D88)</f>
        <v>0</v>
      </c>
      <c r="E88" s="11">
        <f t="shared" si="9"/>
        <v>318352</v>
      </c>
      <c r="F88" s="12" t="str">
        <f t="shared" si="10"/>
        <v/>
      </c>
      <c r="G88" s="13">
        <f>SUM('1st Qtr'!G88+'2nd Qtr'!G88+'3rd Qtr'!G88+'4th Qtr'!G88)</f>
        <v>233036</v>
      </c>
      <c r="H88" s="13">
        <f>SUM(Jan!H88, Feb!H88, Mar!H88)</f>
        <v>85316</v>
      </c>
      <c r="I88" s="14">
        <f t="shared" si="11"/>
        <v>0.36610652431383994</v>
      </c>
      <c r="J88" s="38"/>
      <c r="K88" s="38"/>
    </row>
    <row r="89" spans="1:11" ht="15.75">
      <c r="A89" s="27" t="str">
        <v>Henrietta</v>
      </c>
      <c r="B89" s="28" t="str">
        <v>NY</v>
      </c>
      <c r="C89" s="10">
        <f>SUM(Jan!C89, Feb!C89, Mar!C89)</f>
        <v>562549</v>
      </c>
      <c r="D89" s="15">
        <f>SUM(Jan!D89, Feb!D89, Mar!D89)</f>
        <v>0</v>
      </c>
      <c r="E89" s="15">
        <f t="shared" si="9"/>
        <v>562549</v>
      </c>
      <c r="F89" s="16" t="str">
        <f t="shared" si="10"/>
        <v/>
      </c>
      <c r="G89" s="17">
        <f>SUM('1st Qtr'!G89+'2nd Qtr'!G89+'3rd Qtr'!G89+'4th Qtr'!G89)</f>
        <v>448738</v>
      </c>
      <c r="H89" s="17">
        <f>SUM(Jan!H89, Feb!H89, Mar!H89)</f>
        <v>113811</v>
      </c>
      <c r="I89" s="16">
        <f t="shared" si="11"/>
        <v>0.25362460946030868</v>
      </c>
      <c r="J89" s="39"/>
      <c r="K89" s="39"/>
    </row>
    <row r="90" spans="1:11" ht="15.75">
      <c r="A90" s="25" t="str">
        <v>NY 70</v>
      </c>
      <c r="B90" s="26" t="str">
        <v>NY</v>
      </c>
      <c r="C90" s="21">
        <f>SUM(Jan!C90, Feb!C90, Mar!C90)</f>
        <v>715346</v>
      </c>
      <c r="D90" s="11">
        <f>SUM(Jan!D90, Feb!D90, Mar!D90)</f>
        <v>0</v>
      </c>
      <c r="E90" s="11">
        <f t="shared" si="9"/>
        <v>715346</v>
      </c>
      <c r="F90" s="12" t="str">
        <f t="shared" si="10"/>
        <v/>
      </c>
      <c r="G90" s="13">
        <f>SUM('1st Qtr'!G90+'2nd Qtr'!G90+'3rd Qtr'!G90+'4th Qtr'!G90)</f>
        <v>697182</v>
      </c>
      <c r="H90" s="13">
        <f>SUM(Jan!H90, Feb!H90, Mar!H90)</f>
        <v>18164</v>
      </c>
      <c r="I90" s="14">
        <f t="shared" si="11"/>
        <v>2.605345519534354E-2</v>
      </c>
      <c r="J90" s="38"/>
      <c r="K90" s="38"/>
    </row>
    <row r="91" spans="1:11" ht="15.75">
      <c r="A91" s="27" t="str">
        <v>Reid</v>
      </c>
      <c r="B91" s="28" t="str">
        <v>NY</v>
      </c>
      <c r="C91" s="10">
        <f>SUM(Jan!C91, Feb!C91, Mar!C91)</f>
        <v>694435.01958195097</v>
      </c>
      <c r="D91" s="15">
        <f>SUM(Jan!D91, Feb!D91, Mar!D91)</f>
        <v>731692.5</v>
      </c>
      <c r="E91" s="15">
        <f t="shared" si="9"/>
        <v>-37257.480418049032</v>
      </c>
      <c r="F91" s="16">
        <f t="shared" si="10"/>
        <v>-5.0919587692984457E-2</v>
      </c>
      <c r="G91" s="17">
        <f>SUM('1st Qtr'!G91+'2nd Qtr'!G91+'3rd Qtr'!G91+'4th Qtr'!G91)</f>
        <v>866151</v>
      </c>
      <c r="H91" s="17">
        <f>SUM(Jan!H91, Feb!H91, Mar!H91)</f>
        <v>-171715.98041804903</v>
      </c>
      <c r="I91" s="16">
        <f t="shared" si="11"/>
        <v>-0.19825178337039273</v>
      </c>
      <c r="J91" s="39"/>
      <c r="K91" s="40"/>
    </row>
    <row r="92" spans="1:11" ht="15.75">
      <c r="A92" s="25" t="str">
        <v>Sangolqui</v>
      </c>
      <c r="B92" s="26" t="str">
        <v>NY</v>
      </c>
      <c r="C92" s="21">
        <f>SUM(Jan!C92, Feb!C92, Mar!C92)</f>
        <v>309019</v>
      </c>
      <c r="D92" s="11">
        <f>SUM(Jan!D92, Feb!D92, Mar!D92)</f>
        <v>0</v>
      </c>
      <c r="E92" s="11">
        <f t="shared" si="9"/>
        <v>309019</v>
      </c>
      <c r="F92" s="12" t="str">
        <f t="shared" si="10"/>
        <v/>
      </c>
      <c r="G92" s="13">
        <f>SUM('1st Qtr'!G92+'2nd Qtr'!G92+'3rd Qtr'!G92+'4th Qtr'!G92)</f>
        <v>227258</v>
      </c>
      <c r="H92" s="13">
        <f>SUM(Jan!H92, Feb!H92, Mar!H92)</f>
        <v>81761</v>
      </c>
      <c r="I92" s="14">
        <f t="shared" si="11"/>
        <v>0.35977171320701584</v>
      </c>
      <c r="J92" s="38"/>
      <c r="K92" s="38"/>
    </row>
    <row r="93" spans="1:11" ht="15.75">
      <c r="A93" s="27" t="str">
        <v>State Highway 17B</v>
      </c>
      <c r="B93" s="28" t="str">
        <v>NY</v>
      </c>
      <c r="C93" s="10">
        <f>SUM(Jan!C93, Feb!C93, Mar!C93)</f>
        <v>748636</v>
      </c>
      <c r="D93" s="15">
        <f>SUM(Jan!D93, Feb!D93, Mar!D93)</f>
        <v>0</v>
      </c>
      <c r="E93" s="15">
        <f t="shared" si="9"/>
        <v>748636</v>
      </c>
      <c r="F93" s="16" t="str">
        <f t="shared" si="10"/>
        <v/>
      </c>
      <c r="G93" s="17">
        <f>SUM('1st Qtr'!G93+'2nd Qtr'!G93+'3rd Qtr'!G93+'4th Qtr'!G93)</f>
        <v>626626</v>
      </c>
      <c r="H93" s="17">
        <f>SUM(Jan!H93, Feb!H93, Mar!H93)</f>
        <v>122010</v>
      </c>
      <c r="I93" s="16">
        <f t="shared" si="11"/>
        <v>0.19470944391072187</v>
      </c>
      <c r="J93" s="39"/>
      <c r="K93" s="40"/>
    </row>
    <row r="94" spans="1:11" ht="15.75">
      <c r="A94" s="25" t="str">
        <v>State Route 14A</v>
      </c>
      <c r="B94" s="26" t="str">
        <v>NY</v>
      </c>
      <c r="C94" s="21">
        <f>SUM(Jan!C94, Feb!C94, Mar!C94)</f>
        <v>807589</v>
      </c>
      <c r="D94" s="11">
        <f>SUM(Jan!D94, Feb!D94, Mar!D94)</f>
        <v>0</v>
      </c>
      <c r="E94" s="11">
        <f t="shared" si="9"/>
        <v>807589</v>
      </c>
      <c r="F94" s="12" t="str">
        <f t="shared" si="10"/>
        <v/>
      </c>
      <c r="G94" s="13">
        <f>SUM('1st Qtr'!G94+'2nd Qtr'!G94+'3rd Qtr'!G94+'4th Qtr'!G94)</f>
        <v>672767</v>
      </c>
      <c r="H94" s="13">
        <f>SUM(Jan!H94, Feb!H94, Mar!H94)</f>
        <v>134822</v>
      </c>
      <c r="I94" s="14">
        <f t="shared" si="11"/>
        <v>0.20039924669313447</v>
      </c>
      <c r="J94" s="38"/>
      <c r="K94" s="38"/>
    </row>
    <row r="95" spans="1:11" ht="15.75">
      <c r="A95" s="27" t="str">
        <v>West Creek</v>
      </c>
      <c r="B95" s="28" t="str">
        <v>NY</v>
      </c>
      <c r="C95" s="10">
        <f>SUM(Jan!C95, Feb!C95, Mar!C95)</f>
        <v>849819</v>
      </c>
      <c r="D95" s="15">
        <f>SUM(Jan!D95, Feb!D95, Mar!D95)</f>
        <v>0</v>
      </c>
      <c r="E95" s="15">
        <f t="shared" si="9"/>
        <v>849819</v>
      </c>
      <c r="F95" s="16" t="str">
        <f t="shared" si="10"/>
        <v/>
      </c>
      <c r="G95" s="17">
        <f>SUM('1st Qtr'!G95+'2nd Qtr'!G95+'3rd Qtr'!G95+'4th Qtr'!G95)</f>
        <v>577603</v>
      </c>
      <c r="H95" s="17">
        <f>SUM(Jan!H95, Feb!H95, Mar!H95)</f>
        <v>272216</v>
      </c>
      <c r="I95" s="16">
        <f t="shared" si="11"/>
        <v>0.47128564082942781</v>
      </c>
      <c r="J95" s="39"/>
      <c r="K95" s="40"/>
    </row>
    <row r="96" spans="1:11" ht="15.75">
      <c r="A96" s="25" t="str">
        <v>Wildflower</v>
      </c>
      <c r="B96" s="26" t="str">
        <v>NY</v>
      </c>
      <c r="C96" s="21">
        <f>SUM(Jan!C96, Feb!C96, Mar!C96)</f>
        <v>814700</v>
      </c>
      <c r="D96" s="11">
        <f>SUM(Jan!D96, Feb!D96, Mar!D96)</f>
        <v>0</v>
      </c>
      <c r="E96" s="11">
        <f t="shared" si="9"/>
        <v>814700</v>
      </c>
      <c r="F96" s="12" t="str">
        <f t="shared" si="10"/>
        <v/>
      </c>
      <c r="G96" s="13">
        <f>SUM('1st Qtr'!G96+'2nd Qtr'!G96+'3rd Qtr'!G96+'4th Qtr'!G96)</f>
        <v>787594</v>
      </c>
      <c r="H96" s="13">
        <f>SUM(Jan!H96, Feb!H96, Mar!H96)</f>
        <v>27106</v>
      </c>
      <c r="I96" s="14">
        <f t="shared" si="11"/>
        <v>3.4416209366754949E-2</v>
      </c>
      <c r="J96" s="38"/>
      <c r="K96" s="38"/>
    </row>
    <row r="97" spans="1:11" ht="15.75">
      <c r="A97" s="27" t="str">
        <v>Glen Mary 1</v>
      </c>
      <c r="B97" s="28" t="str">
        <v>NY</v>
      </c>
      <c r="C97" s="10">
        <f>SUM(Jan!C97, Feb!C97, Mar!C97)</f>
        <v>705614</v>
      </c>
      <c r="D97" s="15">
        <f>SUM(Jan!D97, Feb!D97, Mar!D97)</f>
        <v>0</v>
      </c>
      <c r="E97" s="15">
        <f t="shared" si="9"/>
        <v>705614</v>
      </c>
      <c r="F97" s="16" t="str">
        <f t="shared" si="10"/>
        <v/>
      </c>
      <c r="G97" s="17">
        <f>SUM('1st Qtr'!G97+'2nd Qtr'!G97+'3rd Qtr'!G97+'4th Qtr'!G97)</f>
        <v>364876</v>
      </c>
      <c r="H97" s="17">
        <f>SUM(Jan!H97, Feb!H97, Mar!H97)</f>
        <v>340738</v>
      </c>
      <c r="I97" s="16">
        <f t="shared" si="11"/>
        <v>0.93384601892149666</v>
      </c>
      <c r="J97" s="39"/>
      <c r="K97" s="40"/>
    </row>
    <row r="98" spans="1:11" ht="15.75">
      <c r="A98" s="25" t="str">
        <v>Glen Mary 2</v>
      </c>
      <c r="B98" s="26" t="str">
        <v>NY</v>
      </c>
      <c r="C98" s="21">
        <f>SUM(Jan!C98, Feb!C98, Mar!C98)</f>
        <v>319696</v>
      </c>
      <c r="D98" s="11">
        <f>SUM(Jan!D98, Feb!D98, Mar!D98)</f>
        <v>0</v>
      </c>
      <c r="E98" s="11">
        <f t="shared" si="9"/>
        <v>319696</v>
      </c>
      <c r="F98" s="12" t="str">
        <f t="shared" si="10"/>
        <v/>
      </c>
      <c r="G98" s="13">
        <f>SUM('1st Qtr'!G98+'2nd Qtr'!G98+'3rd Qtr'!G98+'4th Qtr'!G98)</f>
        <v>308146</v>
      </c>
      <c r="H98" s="13">
        <f>SUM(Jan!H98, Feb!H98, Mar!H98)</f>
        <v>11550</v>
      </c>
      <c r="I98" s="14">
        <f t="shared" si="11"/>
        <v>3.7482232448255048E-2</v>
      </c>
      <c r="J98" s="38"/>
      <c r="K98" s="38"/>
    </row>
    <row r="99" spans="1:11" ht="15.75">
      <c r="A99" s="27" t="str">
        <v>Telegraph 1</v>
      </c>
      <c r="B99" s="28" t="str">
        <v>NY</v>
      </c>
      <c r="C99" s="10">
        <f>SUM(Jan!C99, Feb!C99, Mar!C99)</f>
        <v>453564</v>
      </c>
      <c r="D99" s="15">
        <f>SUM(Jan!D99, Feb!D99, Mar!D99)</f>
        <v>0</v>
      </c>
      <c r="E99" s="15">
        <f t="shared" si="9"/>
        <v>453564</v>
      </c>
      <c r="F99" s="16" t="str">
        <f t="shared" si="10"/>
        <v/>
      </c>
      <c r="G99" s="17">
        <f>SUM('1st Qtr'!G99+'2nd Qtr'!G99+'3rd Qtr'!G99+'4th Qtr'!G99)</f>
        <v>474144.58999999997</v>
      </c>
      <c r="H99" s="17">
        <f>SUM(Jan!H99, Feb!H99, Mar!H99)</f>
        <v>-20580.589999999997</v>
      </c>
      <c r="I99" s="16">
        <f t="shared" si="11"/>
        <v>-4.3405725666932099E-2</v>
      </c>
      <c r="J99" s="39"/>
      <c r="K99" s="40"/>
    </row>
    <row r="100" spans="1:11" ht="15.75">
      <c r="A100" s="25" t="str">
        <v>Telegraph 2</v>
      </c>
      <c r="B100" s="26" t="str">
        <v>NY</v>
      </c>
      <c r="C100" s="21">
        <f>SUM(Jan!C100, Feb!C100, Mar!C100)</f>
        <v>242761</v>
      </c>
      <c r="D100" s="11">
        <f>SUM(Jan!D100, Feb!D100, Mar!D100)</f>
        <v>0</v>
      </c>
      <c r="E100" s="11">
        <f t="shared" si="9"/>
        <v>242761</v>
      </c>
      <c r="F100" s="12" t="str">
        <f t="shared" si="10"/>
        <v/>
      </c>
      <c r="G100" s="13">
        <f>SUM('1st Qtr'!G100+'2nd Qtr'!G100+'3rd Qtr'!G100+'4th Qtr'!G100)</f>
        <v>332199.12</v>
      </c>
      <c r="H100" s="13">
        <f>SUM(Jan!H100, Feb!H100, Mar!H100)</f>
        <v>-89438.12</v>
      </c>
      <c r="I100" s="14">
        <f t="shared" si="11"/>
        <v>-0.26923045431306381</v>
      </c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f>SUM(Jan!C101, Feb!C101, Mar!C101)</f>
        <v>761328</v>
      </c>
      <c r="D101" s="15">
        <f>SUM(Jan!D101, Feb!D101, Mar!D101)</f>
        <v>0</v>
      </c>
      <c r="E101" s="15">
        <f t="shared" si="9"/>
        <v>761328</v>
      </c>
      <c r="F101" s="16" t="str">
        <f t="shared" si="10"/>
        <v/>
      </c>
      <c r="G101" s="17">
        <f>SUM('1st Qtr'!G101+'2nd Qtr'!G101+'3rd Qtr'!G101+'4th Qtr'!G101)</f>
        <v>604535</v>
      </c>
      <c r="H101" s="17">
        <f>SUM(Jan!H101, Feb!H101, Mar!H101)</f>
        <v>156793</v>
      </c>
      <c r="I101" s="16">
        <f t="shared" si="11"/>
        <v>0.2593613273011488</v>
      </c>
      <c r="J101" s="39"/>
      <c r="K101" s="39"/>
    </row>
    <row r="102" spans="1:11" ht="15.75">
      <c r="A102" s="25" t="str">
        <v>Dunkleman</v>
      </c>
      <c r="B102" s="26" t="str">
        <v>NY</v>
      </c>
      <c r="C102" s="21">
        <f>SUM(Jan!C102, Feb!C102, Mar!C102)</f>
        <v>464234</v>
      </c>
      <c r="D102" s="11">
        <f>SUM(Jan!D102, Feb!D102, Mar!D102)</f>
        <v>0</v>
      </c>
      <c r="E102" s="11">
        <f t="shared" si="9"/>
        <v>464234</v>
      </c>
      <c r="F102" s="12" t="str">
        <f t="shared" si="10"/>
        <v/>
      </c>
      <c r="G102" s="13">
        <f>SUM('1st Qtr'!G102+'2nd Qtr'!G102+'3rd Qtr'!G102+'4th Qtr'!G102)</f>
        <v>305903</v>
      </c>
      <c r="H102" s="13">
        <f>SUM(Jan!H102, Feb!H102, Mar!H102)</f>
        <v>158331</v>
      </c>
      <c r="I102" s="14">
        <f t="shared" si="11"/>
        <v>0.51758563989238415</v>
      </c>
      <c r="J102" s="38"/>
      <c r="K102" s="38"/>
    </row>
    <row r="103" spans="1:11" ht="15.75">
      <c r="A103" s="27" t="str">
        <v>Route 19 1</v>
      </c>
      <c r="B103" s="28" t="str">
        <v>NY</v>
      </c>
      <c r="C103" s="10">
        <f>SUM(Jan!C103, Feb!C103, Mar!C103)</f>
        <v>265948</v>
      </c>
      <c r="D103" s="15">
        <f>SUM(Jan!D103, Feb!D103, Mar!D103)</f>
        <v>0</v>
      </c>
      <c r="E103" s="15">
        <f t="shared" si="9"/>
        <v>265948</v>
      </c>
      <c r="F103" s="16" t="str">
        <f t="shared" si="10"/>
        <v/>
      </c>
      <c r="G103" s="17">
        <f>SUM('1st Qtr'!G103+'2nd Qtr'!G103+'3rd Qtr'!G103+'4th Qtr'!G103)</f>
        <v>356653.11</v>
      </c>
      <c r="H103" s="17">
        <f>SUM(Jan!H103, Feb!H103, Mar!H103)</f>
        <v>-90705.109999999986</v>
      </c>
      <c r="I103" s="16">
        <f t="shared" si="11"/>
        <v>-0.25432305917646419</v>
      </c>
      <c r="J103" s="39"/>
      <c r="K103" s="40"/>
    </row>
    <row r="104" spans="1:11" ht="15.75">
      <c r="A104" s="25" t="str">
        <v>Route 19 2</v>
      </c>
      <c r="B104" s="26" t="str">
        <v>NY</v>
      </c>
      <c r="C104" s="21">
        <f>SUM(Jan!C104, Feb!C104, Mar!C104)</f>
        <v>621272</v>
      </c>
      <c r="D104" s="11">
        <f>SUM(Jan!D104, Feb!D104, Mar!D104)</f>
        <v>0</v>
      </c>
      <c r="E104" s="11">
        <f t="shared" si="9"/>
        <v>621272</v>
      </c>
      <c r="F104" s="12" t="str">
        <f t="shared" si="10"/>
        <v/>
      </c>
      <c r="G104" s="13">
        <f>SUM('1st Qtr'!G104+'2nd Qtr'!G104+'3rd Qtr'!G104+'4th Qtr'!G104)</f>
        <v>699108</v>
      </c>
      <c r="H104" s="13">
        <f>SUM(Jan!H104, Feb!H104, Mar!H104)</f>
        <v>-77836</v>
      </c>
      <c r="I104" s="14">
        <f t="shared" si="11"/>
        <v>-0.11133615979219233</v>
      </c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f>SUM(Jan!C105, Feb!C105, Mar!C105)</f>
        <v>263773</v>
      </c>
      <c r="D105" s="15">
        <f>SUM(Jan!D105, Feb!D105, Mar!D105)</f>
        <v>0</v>
      </c>
      <c r="E105" s="15">
        <f t="shared" si="9"/>
        <v>263773</v>
      </c>
      <c r="F105" s="16" t="str">
        <f t="shared" si="10"/>
        <v/>
      </c>
      <c r="G105" s="17">
        <f>SUM('1st Qtr'!G105+'2nd Qtr'!G105+'3rd Qtr'!G105+'4th Qtr'!G105)</f>
        <v>0</v>
      </c>
      <c r="H105" s="17">
        <f>SUM(Jan!H105, Feb!H105, Mar!H105)</f>
        <v>263773</v>
      </c>
      <c r="I105" s="16" t="str">
        <f t="shared" si="11"/>
        <v/>
      </c>
      <c r="J105" s="39"/>
      <c r="K105" s="40"/>
    </row>
    <row r="106" spans="1:11" ht="15.75">
      <c r="A106" s="25" t="str">
        <v>Yellow Mills 2</v>
      </c>
      <c r="B106" s="26" t="str">
        <v>NY</v>
      </c>
      <c r="C106" s="21">
        <f>SUM(Jan!C106, Feb!C106, Mar!C106)</f>
        <v>240332</v>
      </c>
      <c r="D106" s="11">
        <f>SUM(Jan!D106, Feb!D106, Mar!D106)</f>
        <v>0</v>
      </c>
      <c r="E106" s="11">
        <f t="shared" si="9"/>
        <v>240332</v>
      </c>
      <c r="F106" s="12" t="str">
        <f t="shared" si="10"/>
        <v/>
      </c>
      <c r="G106" s="13">
        <f>SUM('1st Qtr'!G106+'2nd Qtr'!G106+'3rd Qtr'!G106+'4th Qtr'!G106)</f>
        <v>0</v>
      </c>
      <c r="H106" s="13">
        <f>SUM(Jan!H106, Feb!H106, Mar!H106)</f>
        <v>240332</v>
      </c>
      <c r="I106" s="14" t="str">
        <f t="shared" si="11"/>
        <v/>
      </c>
      <c r="J106" s="38"/>
      <c r="K106" s="38"/>
    </row>
    <row r="107" spans="1:11" ht="15.75">
      <c r="A107" s="27" t="str">
        <v>Yellow Mills 3</v>
      </c>
      <c r="B107" s="28" t="str">
        <v>NY</v>
      </c>
      <c r="C107" s="10">
        <f>SUM(Jan!C107, Feb!C107, Mar!C107)</f>
        <v>110209</v>
      </c>
      <c r="D107" s="15">
        <f>SUM(Jan!D107, Feb!D107, Mar!D107)</f>
        <v>0</v>
      </c>
      <c r="E107" s="15">
        <f t="shared" si="9"/>
        <v>110209</v>
      </c>
      <c r="F107" s="16" t="str">
        <f t="shared" si="10"/>
        <v/>
      </c>
      <c r="G107" s="17">
        <f>SUM('1st Qtr'!G107+'2nd Qtr'!G107+'3rd Qtr'!G107+'4th Qtr'!G107)</f>
        <v>0</v>
      </c>
      <c r="H107" s="17">
        <f>SUM(Jan!H107, Feb!H107, Mar!H107)</f>
        <v>110209</v>
      </c>
      <c r="I107" s="16" t="str">
        <f t="shared" si="11"/>
        <v/>
      </c>
      <c r="J107" s="39"/>
      <c r="K107" s="40"/>
    </row>
    <row r="108" spans="1:11" ht="15.75">
      <c r="A108" s="25" t="str">
        <v>Catskill</v>
      </c>
      <c r="B108" s="26" t="str">
        <v>NY</v>
      </c>
      <c r="C108" s="21">
        <f>SUM(Jan!C108, Feb!C108, Mar!C108)</f>
        <v>640547</v>
      </c>
      <c r="D108" s="11">
        <f>SUM(Jan!D108, Feb!D108, Mar!D108)</f>
        <v>0</v>
      </c>
      <c r="E108" s="11">
        <f t="shared" si="9"/>
        <v>640547</v>
      </c>
      <c r="F108" s="12" t="str">
        <f t="shared" si="10"/>
        <v/>
      </c>
      <c r="G108" s="13">
        <f>SUM('1st Qtr'!G108+'2nd Qtr'!G108+'3rd Qtr'!G108+'4th Qtr'!G108)</f>
        <v>0</v>
      </c>
      <c r="H108" s="13">
        <f>SUM(Jan!H108, Feb!H108, Mar!H108)</f>
        <v>640547</v>
      </c>
      <c r="I108" s="14" t="str">
        <f t="shared" si="11"/>
        <v/>
      </c>
      <c r="J108" s="38"/>
      <c r="K108" s="38"/>
    </row>
    <row r="109" spans="1:11" ht="15.75">
      <c r="A109" s="27" t="str">
        <v>Eddy Ridge</v>
      </c>
      <c r="B109" s="28" t="str">
        <v>NY</v>
      </c>
      <c r="C109" s="10">
        <f>SUM(Jan!C109, Feb!C109, Mar!C109)</f>
        <v>384992.8</v>
      </c>
      <c r="D109" s="15">
        <f>SUM(Jan!D109, Feb!D109, Mar!D109)</f>
        <v>0</v>
      </c>
      <c r="E109" s="15">
        <f t="shared" si="9"/>
        <v>384992.8</v>
      </c>
      <c r="F109" s="16" t="str">
        <f t="shared" si="10"/>
        <v/>
      </c>
      <c r="G109" s="17">
        <f>SUM('1st Qtr'!G109+'2nd Qtr'!G109+'3rd Qtr'!G109+'4th Qtr'!G109)</f>
        <v>0</v>
      </c>
      <c r="H109" s="17">
        <f>SUM(Jan!H109, Feb!H109, Mar!H109)</f>
        <v>384992.8</v>
      </c>
      <c r="I109" s="16" t="str">
        <f t="shared" si="11"/>
        <v/>
      </c>
      <c r="J109" s="39"/>
      <c r="K109" s="40"/>
    </row>
    <row r="110" spans="1:11" ht="15.75">
      <c r="A110" s="25" t="str">
        <v>Ridgeway #1</v>
      </c>
      <c r="B110" s="26" t="str">
        <v>NY</v>
      </c>
      <c r="C110" s="21">
        <f>SUM(Jan!C110, Feb!C110, Mar!C110)</f>
        <v>439556.49</v>
      </c>
      <c r="D110" s="11">
        <f>SUM(Jan!D110, Feb!D110, Mar!D110)</f>
        <v>0</v>
      </c>
      <c r="E110" s="11">
        <f t="shared" si="9"/>
        <v>439556.49</v>
      </c>
      <c r="F110" s="12" t="str">
        <f t="shared" si="10"/>
        <v/>
      </c>
      <c r="G110" s="13">
        <f>SUM('1st Qtr'!G110+'2nd Qtr'!G110+'3rd Qtr'!G110+'4th Qtr'!G110)</f>
        <v>0</v>
      </c>
      <c r="H110" s="13">
        <f>SUM(Jan!H110, Feb!H110, Mar!H110)</f>
        <v>439556.49</v>
      </c>
      <c r="I110" s="14" t="str">
        <f t="shared" si="11"/>
        <v/>
      </c>
      <c r="J110" s="38"/>
      <c r="K110" s="38"/>
    </row>
    <row r="111" spans="1:11" ht="15.75">
      <c r="A111" s="27" t="str">
        <v>Rivard 1</v>
      </c>
      <c r="B111" s="28" t="str">
        <v>NY</v>
      </c>
      <c r="C111" s="10">
        <f>SUM(Jan!C111, Feb!C111, Mar!C111)</f>
        <v>505546.15577889403</v>
      </c>
      <c r="D111" s="15">
        <f>SUM(Jan!D111, Feb!D111, Mar!D111)</f>
        <v>629243.30000000005</v>
      </c>
      <c r="E111" s="15">
        <f t="shared" si="9"/>
        <v>-123697.14422110602</v>
      </c>
      <c r="F111" s="16">
        <f t="shared" si="10"/>
        <v>-0.19658078873641724</v>
      </c>
      <c r="G111" s="17">
        <f>SUM('1st Qtr'!G111+'2nd Qtr'!G111+'3rd Qtr'!G111+'4th Qtr'!G111)</f>
        <v>688606.5</v>
      </c>
      <c r="H111" s="17">
        <f>SUM(Jan!H111, Feb!H111, Mar!H111)</f>
        <v>-183060.34422110597</v>
      </c>
      <c r="I111" s="16">
        <f t="shared" si="11"/>
        <v>-0.26584173141134448</v>
      </c>
      <c r="J111" s="39"/>
      <c r="K111" s="40"/>
    </row>
    <row r="112" spans="1:11" ht="15.75">
      <c r="A112" s="25" t="str">
        <v>Rivard 2</v>
      </c>
      <c r="B112" s="26" t="str">
        <v>NY</v>
      </c>
      <c r="C112" s="21">
        <f>SUM(Jan!C112, Feb!C112, Mar!C112)</f>
        <v>395303.96153443266</v>
      </c>
      <c r="D112" s="11">
        <f>SUM(Jan!D112, Feb!D112, Mar!D112)</f>
        <v>422994.58999999997</v>
      </c>
      <c r="E112" s="11">
        <f t="shared" si="9"/>
        <v>-27690.628465567308</v>
      </c>
      <c r="F112" s="12">
        <f t="shared" si="10"/>
        <v>-6.5463315891504212E-2</v>
      </c>
      <c r="G112" s="13">
        <f>SUM('1st Qtr'!G112+'2nd Qtr'!G112+'3rd Qtr'!G112+'4th Qtr'!G112)</f>
        <v>660188.9</v>
      </c>
      <c r="H112" s="13">
        <f>SUM(Jan!H112, Feb!H112, Mar!H112)</f>
        <v>-264884.93846556731</v>
      </c>
      <c r="I112" s="14">
        <f t="shared" si="11"/>
        <v>-0.40122598011806515</v>
      </c>
      <c r="J112" s="38"/>
      <c r="K112" s="38"/>
    </row>
    <row r="113" spans="1:11" ht="15.75">
      <c r="A113" s="27" t="str">
        <v>Essex</v>
      </c>
      <c r="B113" s="28" t="str">
        <v>DC</v>
      </c>
      <c r="C113" s="10">
        <f>SUM(Jan!C113, Feb!C113, Mar!C113)</f>
        <v>3106</v>
      </c>
      <c r="D113" s="15">
        <f>SUM(Jan!D113, Feb!D113, Mar!D113)</f>
        <v>4513.3099999999995</v>
      </c>
      <c r="E113" s="15">
        <f t="shared" si="9"/>
        <v>-1407.3099999999995</v>
      </c>
      <c r="F113" s="16">
        <f t="shared" si="10"/>
        <v>-0.31181328116171936</v>
      </c>
      <c r="G113" s="17">
        <f>SUM('1st Qtr'!G113+'2nd Qtr'!G113+'3rd Qtr'!G113+'4th Qtr'!G113)</f>
        <v>4819.4780000000001</v>
      </c>
      <c r="H113" s="17">
        <f>SUM(Jan!H113, Feb!H113, Mar!H113)</f>
        <v>-1713.4780000000001</v>
      </c>
      <c r="I113" s="16">
        <f t="shared" si="11"/>
        <v>-0.35553186465422187</v>
      </c>
      <c r="J113" s="39"/>
      <c r="K113" s="39"/>
    </row>
    <row r="114" spans="1:11" ht="15.75">
      <c r="A114" s="25" t="str">
        <v>Temple Sinai</v>
      </c>
      <c r="B114" s="26" t="str">
        <v>DC</v>
      </c>
      <c r="C114" s="21">
        <f>SUM(Jan!C114, Feb!C114, Mar!C114)</f>
        <v>8913.3099999999395</v>
      </c>
      <c r="D114" s="11">
        <f>SUM(Jan!D114, Feb!D114, Mar!D114)</f>
        <v>13260.046999999999</v>
      </c>
      <c r="E114" s="11">
        <f t="shared" si="9"/>
        <v>-4346.7370000000592</v>
      </c>
      <c r="F114" s="12">
        <f t="shared" si="10"/>
        <v>-0.32780705830077822</v>
      </c>
      <c r="G114" s="13">
        <f>SUM('1st Qtr'!G114+'2nd Qtr'!G114+'3rd Qtr'!G114+'4th Qtr'!G114)</f>
        <v>11659.85</v>
      </c>
      <c r="H114" s="13">
        <f>SUM(Jan!H114, Feb!H114, Mar!H114)</f>
        <v>-2746.5400000000609</v>
      </c>
      <c r="I114" s="14">
        <f t="shared" si="11"/>
        <v>-0.23555534590925792</v>
      </c>
      <c r="J114" s="38"/>
      <c r="K114" s="38"/>
    </row>
    <row r="115" spans="1:11" ht="15.75">
      <c r="A115" s="27" t="str">
        <v>Weinberg 1</v>
      </c>
      <c r="B115" s="28" t="str">
        <v>DC</v>
      </c>
      <c r="C115" s="10">
        <f>SUM(Jan!C115, Feb!C115, Mar!C115)</f>
        <v>1375</v>
      </c>
      <c r="D115" s="15">
        <f>SUM(Jan!D115, Feb!D115, Mar!D115)</f>
        <v>1611.7440999999999</v>
      </c>
      <c r="E115" s="15">
        <f t="shared" si="9"/>
        <v>-236.74409999999989</v>
      </c>
      <c r="F115" s="16">
        <f t="shared" si="10"/>
        <v>-0.14688690344825825</v>
      </c>
      <c r="G115" s="17">
        <f>SUM('1st Qtr'!G115+'2nd Qtr'!G115+'3rd Qtr'!G115+'4th Qtr'!G115)</f>
        <v>1798.0911000000001</v>
      </c>
      <c r="H115" s="17">
        <f>SUM(Jan!H115, Feb!H115, Mar!H115)</f>
        <v>-423.09109999999998</v>
      </c>
      <c r="I115" s="16">
        <f t="shared" si="11"/>
        <v>-0.23530014691691647</v>
      </c>
      <c r="J115" s="39"/>
      <c r="K115" s="40"/>
    </row>
    <row r="116" spans="1:11" ht="15.75">
      <c r="A116" s="25" t="str">
        <v>Weinberg 2</v>
      </c>
      <c r="B116" s="26" t="str">
        <v>DC</v>
      </c>
      <c r="C116" s="21">
        <f>SUM(Jan!C116, Feb!C116, Mar!C116)</f>
        <v>1413</v>
      </c>
      <c r="D116" s="11">
        <f>SUM(Jan!D116, Feb!D116, Mar!D116)</f>
        <v>1521.3225</v>
      </c>
      <c r="E116" s="11">
        <f t="shared" si="9"/>
        <v>-108.32249999999999</v>
      </c>
      <c r="F116" s="12">
        <f t="shared" si="10"/>
        <v>-7.1202851466405051E-2</v>
      </c>
      <c r="G116" s="13">
        <f>SUM('1st Qtr'!G116+'2nd Qtr'!G116+'3rd Qtr'!G116+'4th Qtr'!G116)</f>
        <v>1892.6817000000001</v>
      </c>
      <c r="H116" s="13">
        <f>SUM(Jan!H116, Feb!H116, Mar!H116)</f>
        <v>-479.68170000000009</v>
      </c>
      <c r="I116" s="14">
        <f t="shared" si="11"/>
        <v>-0.25344023773252528</v>
      </c>
      <c r="J116" s="38"/>
      <c r="K116" s="38"/>
    </row>
    <row r="117" spans="1:11" ht="15.75">
      <c r="A117" s="27" t="str">
        <v>Weinberg 3</v>
      </c>
      <c r="B117" s="28" t="str">
        <v>DC</v>
      </c>
      <c r="C117" s="10">
        <f>SUM(Jan!C117, Feb!C117, Mar!C117)</f>
        <v>1626</v>
      </c>
      <c r="D117" s="15">
        <f>SUM(Jan!D117, Feb!D117, Mar!D117)</f>
        <v>1550.6842999999999</v>
      </c>
      <c r="E117" s="15">
        <f t="shared" si="9"/>
        <v>75.315700000000106</v>
      </c>
      <c r="F117" s="16">
        <f t="shared" si="10"/>
        <v>4.8569331617015862E-2</v>
      </c>
      <c r="G117" s="17">
        <f>SUM('1st Qtr'!G117+'2nd Qtr'!G117+'3rd Qtr'!G117+'4th Qtr'!G117)</f>
        <v>1961</v>
      </c>
      <c r="H117" s="17">
        <f>SUM(Jan!H117, Feb!H117, Mar!H117)</f>
        <v>-335</v>
      </c>
      <c r="I117" s="16">
        <f t="shared" si="11"/>
        <v>-0.17083120856705764</v>
      </c>
      <c r="J117" s="39"/>
      <c r="K117" s="40"/>
    </row>
    <row r="118" spans="1:11" ht="15.75">
      <c r="A118" s="25" t="str">
        <v>Clayton Hall</v>
      </c>
      <c r="B118" s="26" t="str">
        <v>DE</v>
      </c>
      <c r="C118" s="21">
        <f>SUM(Jan!C118, Feb!C118, Mar!C118)</f>
        <v>11519</v>
      </c>
      <c r="D118" s="11">
        <f>SUM(Jan!D118, Feb!D118, Mar!D118)</f>
        <v>19038.423999999999</v>
      </c>
      <c r="E118" s="11">
        <f t="shared" si="9"/>
        <v>-7519.4239999999991</v>
      </c>
      <c r="F118" s="12">
        <f t="shared" si="10"/>
        <v>-0.39496042319469299</v>
      </c>
      <c r="G118" s="13">
        <f>SUM('1st Qtr'!G118+'2nd Qtr'!G118+'3rd Qtr'!G118+'4th Qtr'!G118)</f>
        <v>5588.3099999999995</v>
      </c>
      <c r="H118" s="13">
        <f>SUM(Jan!H118, Feb!H118, Mar!H118)</f>
        <v>5930.6900000000005</v>
      </c>
      <c r="I118" s="14">
        <f t="shared" si="11"/>
        <v>1.0612671809545284</v>
      </c>
      <c r="J118" s="38"/>
      <c r="K118" s="38"/>
    </row>
    <row r="119" spans="1:11" ht="15.75">
      <c r="A119" s="27" t="str">
        <v>Field House</v>
      </c>
      <c r="B119" s="28" t="str">
        <v>DE</v>
      </c>
      <c r="C119" s="10">
        <f>SUM(Jan!C119, Feb!C119, Mar!C119)</f>
        <v>59027</v>
      </c>
      <c r="D119" s="15">
        <f>SUM(Jan!D119, Feb!D119, Mar!D119)</f>
        <v>0</v>
      </c>
      <c r="E119" s="15">
        <f t="shared" si="9"/>
        <v>59027</v>
      </c>
      <c r="F119" s="16" t="str">
        <f t="shared" si="10"/>
        <v/>
      </c>
      <c r="G119" s="17">
        <f>SUM('1st Qtr'!G119+'2nd Qtr'!G119+'3rd Qtr'!G119+'4th Qtr'!G119)</f>
        <v>63399.084000000003</v>
      </c>
      <c r="H119" s="17">
        <f>SUM(Jan!H119, Feb!H119, Mar!H119)</f>
        <v>-4372.0840000000026</v>
      </c>
      <c r="I119" s="16">
        <f t="shared" si="11"/>
        <v>-6.8961311806965575E-2</v>
      </c>
      <c r="J119" s="39"/>
      <c r="K119" s="40"/>
    </row>
    <row r="120" spans="1:11" ht="15.75">
      <c r="A120" s="25" t="str">
        <v>Wyoming Road</v>
      </c>
      <c r="B120" s="26" t="str">
        <v>DE</v>
      </c>
      <c r="C120" s="21">
        <f>SUM(Jan!C120, Feb!C120, Mar!C120)</f>
        <v>28395</v>
      </c>
      <c r="D120" s="11">
        <f>SUM(Jan!D120, Feb!D120, Mar!D120)</f>
        <v>31514.716</v>
      </c>
      <c r="E120" s="11">
        <f t="shared" si="9"/>
        <v>-3119.7160000000003</v>
      </c>
      <c r="F120" s="12">
        <f t="shared" si="10"/>
        <v>-9.8992356459756778E-2</v>
      </c>
      <c r="G120" s="13">
        <f>SUM('1st Qtr'!G120+'2nd Qtr'!G120+'3rd Qtr'!G120+'4th Qtr'!G120)</f>
        <v>39945.645000000004</v>
      </c>
      <c r="H120" s="13">
        <f>SUM(Jan!H120, Feb!H120, Mar!H120)</f>
        <v>-11550.645</v>
      </c>
      <c r="I120" s="14">
        <f t="shared" si="11"/>
        <v>-0.28915905601223862</v>
      </c>
      <c r="J120" s="38"/>
      <c r="K120" s="38"/>
    </row>
    <row r="121" spans="1:11" ht="15.75">
      <c r="A121" s="27" t="str">
        <v>Leoku</v>
      </c>
      <c r="B121" s="28" t="str">
        <v>HI</v>
      </c>
      <c r="C121" s="10">
        <f>SUM(Jan!C121, Feb!C121, Mar!C121)</f>
        <v>18529</v>
      </c>
      <c r="D121" s="15">
        <f>SUM(Jan!D121, Feb!D121, Mar!D121)</f>
        <v>17537.201000000001</v>
      </c>
      <c r="E121" s="15">
        <f t="shared" si="9"/>
        <v>991.79899999999907</v>
      </c>
      <c r="F121" s="16">
        <f t="shared" si="10"/>
        <v>5.6554007677735975E-2</v>
      </c>
      <c r="G121" s="17">
        <f>SUM('1st Qtr'!G121+'2nd Qtr'!G121+'3rd Qtr'!G121+'4th Qtr'!G121)</f>
        <v>21062.923000000003</v>
      </c>
      <c r="H121" s="17">
        <f>SUM(Jan!H121, Feb!H121, Mar!H121)</f>
        <v>-2533.9230000000007</v>
      </c>
      <c r="I121" s="16">
        <f t="shared" si="11"/>
        <v>-0.12030253350876326</v>
      </c>
      <c r="J121" s="39"/>
      <c r="K121" s="40"/>
    </row>
    <row r="122" spans="1:11" ht="15.75">
      <c r="A122" s="25" t="str">
        <v>Waipahu</v>
      </c>
      <c r="B122" s="26" t="str">
        <v>HI</v>
      </c>
      <c r="C122" s="21">
        <f>SUM(Jan!C122, Feb!C122, Mar!C122)</f>
        <v>18116</v>
      </c>
      <c r="D122" s="11">
        <f>SUM(Jan!D122, Feb!D122, Mar!D122)</f>
        <v>16732.078000000001</v>
      </c>
      <c r="E122" s="11">
        <f t="shared" si="9"/>
        <v>1383.9219999999987</v>
      </c>
      <c r="F122" s="12">
        <f t="shared" si="10"/>
        <v>8.2710706942676127E-2</v>
      </c>
      <c r="G122" s="13">
        <f>SUM('1st Qtr'!G122+'2nd Qtr'!G122+'3rd Qtr'!G122+'4th Qtr'!G122)</f>
        <v>21062.923000000003</v>
      </c>
      <c r="H122" s="13">
        <f>SUM(Jan!H122, Feb!H122, Mar!H122)</f>
        <v>-2946.9230000000007</v>
      </c>
      <c r="I122" s="14">
        <f t="shared" si="11"/>
        <v>-0.13991044832666388</v>
      </c>
      <c r="J122" s="38"/>
      <c r="K122" s="38"/>
    </row>
    <row r="123" spans="1:11" ht="15.75">
      <c r="A123" s="27" t="str">
        <v>Bird in Hand</v>
      </c>
      <c r="B123" s="28" t="str">
        <v>MD</v>
      </c>
      <c r="C123" s="10">
        <f>SUM(Jan!C123, Feb!C123, Mar!C123)</f>
        <v>219922</v>
      </c>
      <c r="D123" s="15">
        <f>SUM(Jan!D123, Feb!D123, Mar!D123)</f>
        <v>232246.18</v>
      </c>
      <c r="E123" s="15">
        <f t="shared" si="9"/>
        <v>-12324.179999999993</v>
      </c>
      <c r="F123" s="16">
        <f t="shared" si="10"/>
        <v>-5.3065156981268728E-2</v>
      </c>
      <c r="G123" s="17">
        <f>SUM('1st Qtr'!G123+'2nd Qtr'!G123+'3rd Qtr'!G123+'4th Qtr'!G123)</f>
        <v>261886.7</v>
      </c>
      <c r="H123" s="17">
        <f>SUM(Jan!H123, Feb!H123, Mar!H123)</f>
        <v>-41964.7</v>
      </c>
      <c r="I123" s="16">
        <f t="shared" si="11"/>
        <v>-0.16023990527201265</v>
      </c>
      <c r="J123" s="39"/>
      <c r="K123" s="40"/>
    </row>
    <row r="124" spans="1:11" ht="15.75">
      <c r="A124" s="25" t="str">
        <v>Shortal</v>
      </c>
      <c r="B124" s="26" t="str">
        <v>MD</v>
      </c>
      <c r="C124" s="21">
        <f>SUM(Jan!C124, Feb!C124, Mar!C124)</f>
        <v>232395</v>
      </c>
      <c r="D124" s="11">
        <f>SUM(Jan!D124, Feb!D124, Mar!D124)</f>
        <v>167141.41999999998</v>
      </c>
      <c r="E124" s="11">
        <f t="shared" si="9"/>
        <v>65253.580000000016</v>
      </c>
      <c r="F124" s="12">
        <f t="shared" si="10"/>
        <v>0.3904093910414308</v>
      </c>
      <c r="G124" s="13">
        <f>SUM('1st Qtr'!G124+'2nd Qtr'!G124+'3rd Qtr'!G124+'4th Qtr'!G124)</f>
        <v>13763.416000000001</v>
      </c>
      <c r="H124" s="13">
        <f>SUM(Jan!H124, Feb!H124, Mar!H124)</f>
        <v>218631.584</v>
      </c>
      <c r="I124" s="14">
        <f t="shared" si="11"/>
        <v>15.884979717244613</v>
      </c>
      <c r="J124" s="38"/>
      <c r="K124" s="38"/>
    </row>
    <row r="125" spans="1:11" ht="15.75">
      <c r="A125" s="27" t="str">
        <v>Aguadilla</v>
      </c>
      <c r="B125" s="28" t="str">
        <v>PR</v>
      </c>
      <c r="C125" s="10">
        <f>SUM(Jan!C125, Feb!C125, Mar!C125)</f>
        <v>32890</v>
      </c>
      <c r="D125" s="15">
        <f>SUM(Jan!D125, Feb!D125, Mar!D125)</f>
        <v>30162.38</v>
      </c>
      <c r="E125" s="15">
        <f t="shared" si="9"/>
        <v>2727.619999999999</v>
      </c>
      <c r="F125" s="16">
        <f t="shared" si="10"/>
        <v>9.0431192763966203E-2</v>
      </c>
      <c r="G125" s="17">
        <f>SUM('1st Qtr'!G125+'2nd Qtr'!G125+'3rd Qtr'!G125+'4th Qtr'!G125)</f>
        <v>36470</v>
      </c>
      <c r="H125" s="17">
        <f>SUM(Jan!H125, Feb!H125, Mar!H125)</f>
        <v>-3580</v>
      </c>
      <c r="I125" s="16">
        <f t="shared" si="11"/>
        <v>-9.8162873594735398E-2</v>
      </c>
      <c r="J125" s="39"/>
      <c r="K125" s="39"/>
    </row>
    <row r="126" spans="1:11" ht="15.75">
      <c r="A126" s="25" t="str">
        <v>Bayamon</v>
      </c>
      <c r="B126" s="26" t="str">
        <v>PR</v>
      </c>
      <c r="C126" s="21">
        <f>SUM(Jan!C126, Feb!C126, Mar!C126)</f>
        <v>99471</v>
      </c>
      <c r="D126" s="11">
        <f>SUM(Jan!D126, Feb!D126, Mar!D126)</f>
        <v>116794.2</v>
      </c>
      <c r="E126" s="11">
        <f t="shared" si="9"/>
        <v>-17323.199999999997</v>
      </c>
      <c r="F126" s="12">
        <f t="shared" si="10"/>
        <v>-0.14832243381948759</v>
      </c>
      <c r="G126" s="13">
        <f>SUM('1st Qtr'!G126+'2nd Qtr'!G126+'3rd Qtr'!G126+'4th Qtr'!G126)</f>
        <v>0</v>
      </c>
      <c r="H126" s="13">
        <f>SUM(Jan!H126, Feb!H126, Mar!H126)</f>
        <v>99471</v>
      </c>
      <c r="I126" s="14" t="str">
        <f t="shared" si="11"/>
        <v/>
      </c>
      <c r="J126" s="38"/>
      <c r="K126" s="38"/>
    </row>
    <row r="127" spans="1:11" ht="15.75">
      <c r="A127" s="27" t="str">
        <v>St Francis</v>
      </c>
      <c r="B127" s="28" t="str">
        <v>PR</v>
      </c>
      <c r="C127" s="10">
        <f>SUM(Jan!C127, Feb!C127, Mar!C127)</f>
        <v>27448</v>
      </c>
      <c r="D127" s="15">
        <f>SUM(Jan!D127, Feb!D127, Mar!D127)</f>
        <v>69336.59</v>
      </c>
      <c r="E127" s="15">
        <f t="shared" si="9"/>
        <v>-41888.589999999997</v>
      </c>
      <c r="F127" s="16">
        <f t="shared" si="10"/>
        <v>-0.6041339788991642</v>
      </c>
      <c r="G127" s="17">
        <f>SUM('1st Qtr'!G127+'2nd Qtr'!G127+'3rd Qtr'!G127+'4th Qtr'!G127)</f>
        <v>47521</v>
      </c>
      <c r="H127" s="17">
        <f>SUM(Jan!H127, Feb!H127, Mar!H127)</f>
        <v>-20073</v>
      </c>
      <c r="I127" s="16">
        <f t="shared" si="11"/>
        <v>-0.42240272721533639</v>
      </c>
      <c r="J127" s="39"/>
      <c r="K127" s="40"/>
    </row>
    <row r="128" spans="1:11" ht="15.75">
      <c r="A128" s="25" t="str">
        <v>Seaport</v>
      </c>
      <c r="B128" s="26" t="str">
        <v>MA</v>
      </c>
      <c r="C128" s="21">
        <f>SUM(Jan!C128, Feb!C128, Mar!C128)</f>
        <v>57220.5</v>
      </c>
      <c r="D128" s="11">
        <f>SUM(Jan!D128, Feb!D128, Mar!D128)</f>
        <v>51745.33</v>
      </c>
      <c r="E128" s="11">
        <f t="shared" si="9"/>
        <v>5475.1699999999983</v>
      </c>
      <c r="F128" s="12">
        <f t="shared" si="10"/>
        <v>0.10580993492552851</v>
      </c>
      <c r="G128" s="13">
        <f>SUM('1st Qtr'!G128+'2nd Qtr'!G128+'3rd Qtr'!G128+'4th Qtr'!G128)</f>
        <v>59716.049999999996</v>
      </c>
      <c r="H128" s="13">
        <f>SUM(Jan!H128, Feb!H128, Mar!H128)</f>
        <v>-2495.5499999999956</v>
      </c>
      <c r="I128" s="14">
        <f t="shared" si="11"/>
        <v>-4.179027246443788E-2</v>
      </c>
      <c r="J128" s="38"/>
      <c r="K128" s="38"/>
    </row>
    <row r="129" spans="1:11" ht="15.75">
      <c r="A129" s="27" t="str">
        <v>Sprague St</v>
      </c>
      <c r="B129" s="28" t="str">
        <v>MA</v>
      </c>
      <c r="C129" s="10">
        <f>SUM(Jan!C129, Feb!C129, Mar!C129)</f>
        <v>126970</v>
      </c>
      <c r="D129" s="15">
        <f>SUM(Jan!D129, Feb!D129, Mar!D129)</f>
        <v>142989.73800000001</v>
      </c>
      <c r="E129" s="15">
        <f t="shared" si="9"/>
        <v>-16019.738000000012</v>
      </c>
      <c r="F129" s="16">
        <f t="shared" si="10"/>
        <v>-0.11203417968357988</v>
      </c>
      <c r="G129" s="17">
        <f>SUM('1st Qtr'!G129+'2nd Qtr'!G129+'3rd Qtr'!G129+'4th Qtr'!G129)</f>
        <v>126714.261</v>
      </c>
      <c r="H129" s="17">
        <f>SUM(Jan!H129, Feb!H129, Mar!H129)</f>
        <v>255.73900000000867</v>
      </c>
      <c r="I129" s="16">
        <f t="shared" si="11"/>
        <v>2.0182337645484804E-3</v>
      </c>
      <c r="J129" s="39"/>
      <c r="K129" s="40"/>
    </row>
    <row r="130" spans="1:11" ht="15.75">
      <c r="A130" s="25" t="str">
        <v>Summer St</v>
      </c>
      <c r="B130" s="26" t="str">
        <v>MA</v>
      </c>
      <c r="C130" s="21">
        <f>SUM(Jan!C130, Feb!C130, Mar!C130)</f>
        <v>274130</v>
      </c>
      <c r="D130" s="11">
        <f>SUM(Jan!D130, Feb!D130, Mar!D130)</f>
        <v>303677</v>
      </c>
      <c r="E130" s="11">
        <f t="shared" si="9"/>
        <v>-29547</v>
      </c>
      <c r="F130" s="12">
        <f t="shared" si="10"/>
        <v>-9.7297457495957876E-2</v>
      </c>
      <c r="G130" s="13">
        <f>SUM('1st Qtr'!G130+'2nd Qtr'!G130+'3rd Qtr'!G130+'4th Qtr'!G130)</f>
        <v>303712.5</v>
      </c>
      <c r="H130" s="13">
        <f>SUM(Jan!H130, Feb!H130, Mar!H130)</f>
        <v>-29582.5</v>
      </c>
      <c r="I130" s="14">
        <f t="shared" si="11"/>
        <v>-9.7402971560274929E-2</v>
      </c>
      <c r="J130" s="38"/>
      <c r="K130" s="38"/>
    </row>
    <row r="131" spans="1:11" ht="15.75">
      <c r="A131" s="27" t="str">
        <v>Brock St Vocational</v>
      </c>
      <c r="B131" s="28" t="str">
        <v>NH</v>
      </c>
      <c r="C131" s="10">
        <f>SUM(Jan!C131, Feb!C131, Mar!C131)</f>
        <v>9503.5656040709</v>
      </c>
      <c r="D131" s="15">
        <f>SUM(Jan!D131, Feb!D131, Mar!D131)</f>
        <v>13866.772000000001</v>
      </c>
      <c r="E131" s="15">
        <f t="shared" si="9"/>
        <v>-4363.2063959291008</v>
      </c>
      <c r="F131" s="16">
        <f t="shared" si="10"/>
        <v>-0.31465191725436176</v>
      </c>
      <c r="G131" s="17">
        <f>SUM('1st Qtr'!G131+'2nd Qtr'!G131+'3rd Qtr'!G131+'4th Qtr'!G131)</f>
        <v>10379.549999999999</v>
      </c>
      <c r="H131" s="17">
        <f>SUM(Jan!H131, Feb!H131, Mar!H131)</f>
        <v>-875.98439592910063</v>
      </c>
      <c r="I131" s="16">
        <f t="shared" si="11"/>
        <v>-8.4395219053725906E-2</v>
      </c>
      <c r="J131" s="39"/>
      <c r="K131" s="40"/>
    </row>
    <row r="132" spans="1:11" ht="15.75">
      <c r="A132" s="25" t="str">
        <v>McClelland ES</v>
      </c>
      <c r="B132" s="26" t="str">
        <v>NH</v>
      </c>
      <c r="C132" s="21">
        <f>SUM(Jan!C132, Feb!C132, Mar!C132)</f>
        <v>8579.00031033286</v>
      </c>
      <c r="D132" s="11">
        <f>SUM(Jan!D132, Feb!D132, Mar!D132)</f>
        <v>15501.478999999999</v>
      </c>
      <c r="E132" s="11">
        <f t="shared" si="9"/>
        <v>-6922.4786896671394</v>
      </c>
      <c r="F132" s="12">
        <f t="shared" si="10"/>
        <v>-0.44656891704766621</v>
      </c>
      <c r="G132" s="13">
        <f>SUM('1st Qtr'!G132+'2nd Qtr'!G132+'3rd Qtr'!G132+'4th Qtr'!G132)</f>
        <v>8249.26</v>
      </c>
      <c r="H132" s="13">
        <f>SUM(Jan!H132, Feb!H132, Mar!H132)</f>
        <v>329.74031033285951</v>
      </c>
      <c r="I132" s="14">
        <f t="shared" si="11"/>
        <v>3.9972107841534814E-2</v>
      </c>
      <c r="J132" s="38"/>
      <c r="K132" s="38"/>
    </row>
    <row r="133" spans="1:11" ht="15.75">
      <c r="A133" s="27" t="str">
        <v>Portland St</v>
      </c>
      <c r="B133" s="28" t="str">
        <v>NH</v>
      </c>
      <c r="C133" s="10">
        <f>SUM(Jan!C133, Feb!C133, Mar!C133)</f>
        <v>6091.2209999999995</v>
      </c>
      <c r="D133" s="15">
        <f>SUM(Jan!D133, Feb!D133, Mar!D133)</f>
        <v>7842.41</v>
      </c>
      <c r="E133" s="15">
        <f t="shared" si="9"/>
        <v>-1751.1890000000003</v>
      </c>
      <c r="F133" s="16">
        <f t="shared" si="10"/>
        <v>-0.22329730274239684</v>
      </c>
      <c r="G133" s="17">
        <f>SUM('1st Qtr'!G133+'2nd Qtr'!G133+'3rd Qtr'!G133+'4th Qtr'!G133)</f>
        <v>10011.41</v>
      </c>
      <c r="H133" s="17">
        <f>SUM(Jan!H133, Feb!H133, Mar!H133)</f>
        <v>-3920.1890000000003</v>
      </c>
      <c r="I133" s="16">
        <f t="shared" si="11"/>
        <v>-0.39157211621539828</v>
      </c>
      <c r="J133" s="39"/>
      <c r="K133" s="40"/>
    </row>
    <row r="134" spans="1:11" ht="15.75">
      <c r="A134" s="25" t="str">
        <v>Portsmouth HS</v>
      </c>
      <c r="B134" s="26" t="str">
        <v>NH</v>
      </c>
      <c r="C134" s="21">
        <f>SUM(Jan!C134, Feb!C134, Mar!C134)</f>
        <v>29414.25</v>
      </c>
      <c r="D134" s="11">
        <f>SUM(Jan!D134, Feb!D134, Mar!D134)</f>
        <v>35167.486999999994</v>
      </c>
      <c r="E134" s="11">
        <f t="shared" si="9"/>
        <v>-5753.2369999999937</v>
      </c>
      <c r="F134" s="12">
        <f t="shared" si="10"/>
        <v>-0.16359534020727709</v>
      </c>
      <c r="G134" s="13">
        <f>SUM('1st Qtr'!G134+'2nd Qtr'!G134+'3rd Qtr'!G134+'4th Qtr'!G134)</f>
        <v>18020.546000000002</v>
      </c>
      <c r="H134" s="13">
        <f>SUM(Jan!H134, Feb!H134, Mar!H134)</f>
        <v>11393.704</v>
      </c>
      <c r="I134" s="14">
        <f t="shared" si="11"/>
        <v>0.63226186376372828</v>
      </c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f>SUM(Jan!C135, Feb!C135, Mar!C135)</f>
        <v>32141.25</v>
      </c>
      <c r="D135" s="15">
        <f>SUM(Jan!D135, Feb!D135, Mar!D135)</f>
        <v>43783.009999999995</v>
      </c>
      <c r="E135" s="15">
        <f t="shared" si="9"/>
        <v>-11641.759999999995</v>
      </c>
      <c r="F135" s="16">
        <f t="shared" si="10"/>
        <v>-0.26589674853327799</v>
      </c>
      <c r="G135" s="17">
        <f>SUM('1st Qtr'!G135+'2nd Qtr'!G135+'3rd Qtr'!G135+'4th Qtr'!G135)</f>
        <v>30332.02</v>
      </c>
      <c r="H135" s="17">
        <f>SUM(Jan!H135, Feb!H135, Mar!H135)</f>
        <v>1809.2299999999996</v>
      </c>
      <c r="I135" s="16">
        <f t="shared" si="11"/>
        <v>5.9647527596249757E-2</v>
      </c>
      <c r="J135" s="39"/>
      <c r="K135" s="40"/>
    </row>
    <row r="136" spans="1:11" ht="15.75">
      <c r="A136" s="25" t="str">
        <v>Rochester St</v>
      </c>
      <c r="B136" s="26" t="str">
        <v>NH</v>
      </c>
      <c r="C136" s="21">
        <f>SUM(Jan!C136, Feb!C136, Mar!C136)</f>
        <v>26388.503000000001</v>
      </c>
      <c r="D136" s="11">
        <f>SUM(Jan!D136, Feb!D136, Mar!D136)</f>
        <v>44583.569000000003</v>
      </c>
      <c r="E136" s="11">
        <f t="shared" si="9"/>
        <v>-18195.066000000003</v>
      </c>
      <c r="F136" s="12">
        <f t="shared" si="10"/>
        <v>-0.40811147263692599</v>
      </c>
      <c r="G136" s="13">
        <f>SUM('1st Qtr'!G136+'2nd Qtr'!G136+'3rd Qtr'!G136+'4th Qtr'!G136)</f>
        <v>26308.673999999999</v>
      </c>
      <c r="H136" s="13">
        <f>SUM(Jan!H136, Feb!H136, Mar!H136)</f>
        <v>79.829000000001543</v>
      </c>
      <c r="I136" s="14">
        <f t="shared" si="11"/>
        <v>3.0343224443771491E-3</v>
      </c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f>SUM(Jan!C137, Feb!C137, Mar!C137)</f>
        <v>12086.939667615801</v>
      </c>
      <c r="D137" s="15">
        <f>SUM(Jan!D137, Feb!D137, Mar!D137)</f>
        <v>18485.928</v>
      </c>
      <c r="E137" s="15">
        <f t="shared" si="9"/>
        <v>-6398.9883323841987</v>
      </c>
      <c r="F137" s="16">
        <f t="shared" si="10"/>
        <v>-0.34615456321068644</v>
      </c>
      <c r="G137" s="17">
        <f>SUM('1st Qtr'!G137+'2nd Qtr'!G137+'3rd Qtr'!G137+'4th Qtr'!G137)</f>
        <v>11780.154999999999</v>
      </c>
      <c r="H137" s="17">
        <f>SUM(Jan!H137, Feb!H137, Mar!H137)</f>
        <v>306.78466761580103</v>
      </c>
      <c r="I137" s="16">
        <f t="shared" si="11"/>
        <v>2.6042498389520431E-2</v>
      </c>
      <c r="J137" s="39"/>
      <c r="K137" s="40"/>
    </row>
    <row r="138" spans="1:11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11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 ht="13.15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 ht="13.15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 ht="13.15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 ht="13.15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 ht="13.15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 ht="13.15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 ht="13.15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 ht="13.15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 ht="13.15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 ht="13.15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 ht="13.15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 ht="13.15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 ht="13.15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 ht="13.15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 ht="13.15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 ht="13.15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 ht="13.15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 ht="13.15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 ht="13.15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 ht="13.15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 ht="13.15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 ht="13.15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 ht="13.15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 ht="13.15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 ht="13.15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 ht="13.15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 ht="13.15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 ht="13.15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 ht="13.15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 ht="13.15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 ht="13.15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 ht="13.15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 ht="13.15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 ht="13.15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 ht="13.15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 ht="13.15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 ht="13.15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 ht="13.15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 ht="13.15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 ht="13.15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 ht="13.15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 ht="13.15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 ht="13.15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 ht="13.15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 ht="13.15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 ht="13.15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 ht="13.15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 ht="13.15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 ht="13.15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 ht="13.15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 ht="13.15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 ht="13.15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 ht="13.15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 ht="13.15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 ht="13.15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 ht="13.15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 ht="13.15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 ht="13.15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 ht="13.15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 ht="13.15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 ht="13.15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 ht="13.15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 ht="13.15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 ht="13.15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 ht="13.15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 ht="13.15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 ht="13.15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 ht="13.15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 ht="13.15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 ht="13.15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 ht="13.15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 ht="13.15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 ht="13.15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 ht="13.15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 ht="13.15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 ht="13.15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 ht="13.15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 ht="13.15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 ht="13.15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 ht="13.15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 ht="13.15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 ht="13.15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 ht="13.15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 ht="13.15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 ht="13.15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 ht="13.15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 ht="13.15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 ht="13.15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 ht="13.15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 ht="13.15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 ht="13.15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 ht="13.15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 ht="13.15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 ht="13.15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 ht="13.15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 ht="13.15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 ht="13.15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 ht="13.15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 ht="13.15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 ht="13.15">
      <c r="A342" s="18"/>
      <c r="B342" s="18"/>
      <c r="C342" s="18"/>
      <c r="D342" s="18"/>
      <c r="E342" s="18"/>
      <c r="F342" s="19"/>
      <c r="G342" s="18"/>
      <c r="H342" s="18"/>
      <c r="I342" s="1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70" priority="5" stopIfTrue="1" operator="lessThanOrEqual">
      <formula>-0.1</formula>
    </cfRule>
    <cfRule type="expression" dxfId="69" priority="6">
      <formula>AND(ISNUMBER(F2), F2&gt;=0.1)</formula>
    </cfRule>
  </conditionalFormatting>
  <conditionalFormatting sqref="F4:F137 I4:I137">
    <cfRule type="cellIs" dxfId="68" priority="1" stopIfTrue="1" operator="lessThanOrEqual">
      <formula>-0.1</formula>
    </cfRule>
    <cfRule type="expression" dxfId="6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42"/>
  <sheetViews>
    <sheetView workbookViewId="0">
      <pane xSplit="2" ySplit="3" topLeftCell="C113" activePane="bottomRight" state="frozen"/>
      <selection pane="bottomRight" activeCell="G2" sqref="G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11" ht="19.5" customHeight="1">
      <c r="A2" s="69" t="s">
        <v>2</v>
      </c>
      <c r="B2" s="69"/>
      <c r="C2" s="6">
        <f>SUM(C4:C137)</f>
        <v>22023134.43101044</v>
      </c>
      <c r="D2" s="6">
        <f>SUM(D4:D137)</f>
        <v>9570429.5398999974</v>
      </c>
      <c r="E2" s="6">
        <f>C2-D2</f>
        <v>12452704.891110443</v>
      </c>
      <c r="F2" s="7">
        <f>IFERROR(E2/D2, 0)</f>
        <v>1.3011646801425134</v>
      </c>
      <c r="G2" s="6">
        <f>SUM(G4:G137)</f>
        <v>20268295.194800001</v>
      </c>
      <c r="H2" s="8">
        <f>C2-G2</f>
        <v>1754839.2362104394</v>
      </c>
      <c r="I2" s="7">
        <f>IFERROR(H2/G2, 0)</f>
        <v>8.6580505135955291E-2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f>SUM(Jan!C4, Feb!C4, Mar!C4)</f>
        <v>19397.89981012651</v>
      </c>
      <c r="D4" s="11">
        <f>SUM(Jan!D4, Feb!D4, Mar!D4)</f>
        <v>15030.411</v>
      </c>
      <c r="E4" s="11">
        <f>IF(AND(ISNUMBER(C4),ISNUMBER(D4)), C4-D4, "")</f>
        <v>4367.4888101265096</v>
      </c>
      <c r="F4" s="12">
        <f>IFERROR(E4/D4, "")</f>
        <v>0.29057680526011626</v>
      </c>
      <c r="G4" s="13">
        <f>SUM(Jan!G4, Feb!G4, Mar!G4)</f>
        <v>19951.947</v>
      </c>
      <c r="H4" s="13">
        <f>SUM(Jan!H4, Feb!H4, Mar!H4)</f>
        <v>-554.04718987349042</v>
      </c>
      <c r="I4" s="14">
        <f>IFERROR(H4/G4, "")</f>
        <v>-2.7769078871023988E-2</v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SUM(Jan!C5, Feb!C5, Mar!C5)</f>
        <v>60048.25</v>
      </c>
      <c r="D5" s="15">
        <f>SUM(Jan!D5, Feb!D5, Mar!D5)</f>
        <v>64529.46</v>
      </c>
      <c r="E5" s="15">
        <f t="shared" ref="E5:E15" si="0">IF(AND(ISNUMBER(C5),ISNUMBER(D5)), C5-D5, "")</f>
        <v>-4481.2099999999991</v>
      </c>
      <c r="F5" s="16">
        <f>IFERROR(E5/D5, "")</f>
        <v>-6.9444405702449696E-2</v>
      </c>
      <c r="G5" s="17">
        <f>SUM(Jan!G5, Feb!G5, Mar!G5)</f>
        <v>79963.790000000008</v>
      </c>
      <c r="H5" s="17">
        <f>SUM(Jan!H5, Feb!H5, Mar!H5)</f>
        <v>-19915.54</v>
      </c>
      <c r="I5" s="16">
        <f>IFERROR(H5/G5, "")</f>
        <v>-0.24905697941530783</v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SUM(Jan!C6, Feb!C6, Mar!C6)</f>
        <v>32199.870000000003</v>
      </c>
      <c r="D6" s="11">
        <f>SUM(Jan!D6, Feb!D6, Mar!D6)</f>
        <v>0</v>
      </c>
      <c r="E6" s="11">
        <f t="shared" si="0"/>
        <v>32199.870000000003</v>
      </c>
      <c r="F6" s="12" t="str">
        <f t="shared" ref="F6:F15" si="1">IFERROR(E6/D6, "")</f>
        <v/>
      </c>
      <c r="G6" s="13">
        <f>SUM(Jan!G6, Feb!G6, Mar!G6)</f>
        <v>3849</v>
      </c>
      <c r="H6" s="13">
        <f>SUM(Jan!H6, Feb!H6, Mar!H6)</f>
        <v>28350.870000000003</v>
      </c>
      <c r="I6" s="14">
        <f t="shared" ref="I6:I15" si="2">IFERROR(H6/G6, "")</f>
        <v>7.3657755261106788</v>
      </c>
      <c r="J6" s="38"/>
      <c r="K6" s="38"/>
    </row>
    <row r="7" spans="1:11" ht="15.75">
      <c r="A7" s="27" t="str">
        <v>Noble</v>
      </c>
      <c r="B7" s="28" t="str">
        <v>AZ</v>
      </c>
      <c r="C7" s="10">
        <f>SUM(Jan!C7, Feb!C7, Mar!C7)</f>
        <v>18702.899003061</v>
      </c>
      <c r="D7" s="15">
        <f>SUM(Jan!D7, Feb!D7, Mar!D7)</f>
        <v>25388.690000000002</v>
      </c>
      <c r="E7" s="15">
        <f t="shared" si="0"/>
        <v>-6685.7909969390021</v>
      </c>
      <c r="F7" s="16">
        <f t="shared" si="1"/>
        <v>-0.26333737569520133</v>
      </c>
      <c r="G7" s="17">
        <f>SUM(Jan!G7, Feb!G7, Mar!G7)</f>
        <v>21785.41</v>
      </c>
      <c r="H7" s="17">
        <f>SUM(Jan!H7, Feb!H7, Mar!H7)</f>
        <v>-3082.5109969390014</v>
      </c>
      <c r="I7" s="16">
        <f t="shared" si="2"/>
        <v>-0.14149428433704031</v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SUM(Jan!C8, Feb!C8, Mar!C8)</f>
        <v>41221.99</v>
      </c>
      <c r="D8" s="11">
        <f>SUM(Jan!D8, Feb!D8, Mar!D8)</f>
        <v>51161.68</v>
      </c>
      <c r="E8" s="11">
        <f t="shared" si="0"/>
        <v>-9939.6900000000023</v>
      </c>
      <c r="F8" s="12">
        <f t="shared" si="1"/>
        <v>-0.19427997673258585</v>
      </c>
      <c r="G8" s="13">
        <f>SUM(Jan!G8, Feb!G8, Mar!G8)</f>
        <v>50028.020000000004</v>
      </c>
      <c r="H8" s="13">
        <f>SUM(Jan!H8, Feb!H8, Mar!H8)</f>
        <v>-8806.0300000000025</v>
      </c>
      <c r="I8" s="14">
        <f t="shared" si="2"/>
        <v>-0.17602195729513184</v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SUM(Jan!C9, Feb!C9, Mar!C9)</f>
        <v>44351.600697652204</v>
      </c>
      <c r="D9" s="15">
        <f>SUM(Jan!D9, Feb!D9, Mar!D9)</f>
        <v>35230.43</v>
      </c>
      <c r="E9" s="15">
        <f t="shared" si="0"/>
        <v>9121.1706976522037</v>
      </c>
      <c r="F9" s="16">
        <f t="shared" si="1"/>
        <v>0.25890035113543047</v>
      </c>
      <c r="G9" s="17">
        <f>SUM(Jan!G9, Feb!G9, Mar!G9)</f>
        <v>49121.599999999999</v>
      </c>
      <c r="H9" s="17">
        <f>SUM(Jan!H9, Feb!H9, Mar!H9)</f>
        <v>-4769.9993023477982</v>
      </c>
      <c r="I9" s="16">
        <f t="shared" si="2"/>
        <v>-9.710594325811453E-2</v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SUM(Jan!C10, Feb!C10, Mar!C10)</f>
        <v>19066.293040186629</v>
      </c>
      <c r="D10" s="11">
        <f>SUM(Jan!D10, Feb!D10, Mar!D10)</f>
        <v>14836.601999999999</v>
      </c>
      <c r="E10" s="11">
        <f t="shared" si="0"/>
        <v>4229.6910401866298</v>
      </c>
      <c r="F10" s="12">
        <f t="shared" si="1"/>
        <v>0.28508488939628024</v>
      </c>
      <c r="G10" s="13">
        <f>SUM(Jan!G10, Feb!G10, Mar!G10)</f>
        <v>21587</v>
      </c>
      <c r="H10" s="13">
        <f>SUM(Jan!H10, Feb!H10, Mar!H10)</f>
        <v>-2520.7069598133712</v>
      </c>
      <c r="I10" s="14">
        <f t="shared" si="2"/>
        <v>-0.11676967433239316</v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SUM(Jan!C11, Feb!C11, Mar!C11)</f>
        <v>6893.7970000000005</v>
      </c>
      <c r="D11" s="15">
        <f>SUM(Jan!D11, Feb!D11, Mar!D11)</f>
        <v>0</v>
      </c>
      <c r="E11" s="15">
        <f t="shared" si="0"/>
        <v>6893.7970000000005</v>
      </c>
      <c r="F11" s="16" t="str">
        <f t="shared" si="1"/>
        <v/>
      </c>
      <c r="G11" s="17">
        <f>SUM(Jan!G11, Feb!G11, Mar!G11)</f>
        <v>0</v>
      </c>
      <c r="H11" s="17">
        <f>SUM(Jan!H11, Feb!H11, Mar!H11)</f>
        <v>6893.7970000000005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SUM(Jan!C12, Feb!C12, Mar!C12)</f>
        <v>117188</v>
      </c>
      <c r="D12" s="11">
        <f>SUM(Jan!D12, Feb!D12, Mar!D12)</f>
        <v>152934.68</v>
      </c>
      <c r="E12" s="11">
        <f t="shared" si="0"/>
        <v>-35746.679999999993</v>
      </c>
      <c r="F12" s="12">
        <f t="shared" si="1"/>
        <v>-0.23373822078811682</v>
      </c>
      <c r="G12" s="13">
        <f>SUM(Jan!G12, Feb!G12, Mar!G12)</f>
        <v>130427</v>
      </c>
      <c r="H12" s="13">
        <f>SUM(Jan!H12, Feb!H12, Mar!H12)</f>
        <v>-13239</v>
      </c>
      <c r="I12" s="14">
        <f t="shared" si="2"/>
        <v>-0.10150505646836928</v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SUM(Jan!C13, Feb!C13, Mar!C13)</f>
        <v>104233.6796875</v>
      </c>
      <c r="D13" s="15">
        <f>SUM(Jan!D13, Feb!D13, Mar!D13)</f>
        <v>156262.75</v>
      </c>
      <c r="E13" s="15">
        <f t="shared" si="0"/>
        <v>-52029.0703125</v>
      </c>
      <c r="F13" s="16">
        <f t="shared" si="1"/>
        <v>-0.33295888055534667</v>
      </c>
      <c r="G13" s="17">
        <f>SUM(Jan!G13, Feb!G13, Mar!G13)</f>
        <v>121358</v>
      </c>
      <c r="H13" s="17">
        <f>SUM(Jan!H13, Feb!H13, Mar!H13)</f>
        <v>-17124.3203125</v>
      </c>
      <c r="I13" s="16">
        <f t="shared" si="2"/>
        <v>-0.14110582172168296</v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SUM(Jan!C14, Feb!C14, Mar!C14)</f>
        <v>23281</v>
      </c>
      <c r="D14" s="11">
        <f>SUM(Jan!D14, Feb!D14, Mar!D14)</f>
        <v>0</v>
      </c>
      <c r="E14" s="11">
        <f t="shared" si="0"/>
        <v>23281</v>
      </c>
      <c r="F14" s="12" t="str">
        <f t="shared" si="1"/>
        <v/>
      </c>
      <c r="G14" s="13">
        <f>SUM(Jan!G14, Feb!G14, Mar!G14)</f>
        <v>26618</v>
      </c>
      <c r="H14" s="13">
        <f>SUM(Jan!H14, Feb!H14, Mar!H14)</f>
        <v>-3337</v>
      </c>
      <c r="I14" s="14">
        <f t="shared" si="2"/>
        <v>-0.12536629348561124</v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SUM(Jan!C15, Feb!C15, Mar!C15)</f>
        <v>22097.2198550596</v>
      </c>
      <c r="D15" s="15">
        <f>SUM(Jan!D15, Feb!D15, Mar!D15)</f>
        <v>0</v>
      </c>
      <c r="E15" s="15">
        <f t="shared" si="0"/>
        <v>22097.2198550596</v>
      </c>
      <c r="F15" s="16" t="str">
        <f t="shared" si="1"/>
        <v/>
      </c>
      <c r="G15" s="17">
        <f>SUM(Jan!G15, Feb!G15, Mar!G15)</f>
        <v>21672</v>
      </c>
      <c r="H15" s="17">
        <f>SUM(Jan!H15, Feb!H15, Mar!H15)</f>
        <v>425.21985505960038</v>
      </c>
      <c r="I15" s="16">
        <f t="shared" si="2"/>
        <v>1.9620702060705073E-2</v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SUM(Jan!C16, Feb!C16, Mar!C16)</f>
        <v>14504.55536346591</v>
      </c>
      <c r="D16" s="11">
        <f>SUM(Jan!D16, Feb!D16, Mar!D16)</f>
        <v>0</v>
      </c>
      <c r="E16" s="11">
        <f t="shared" ref="E16:E17" si="3">IF(AND(ISNUMBER(C16),ISNUMBER(D16)), C16-D16, "")</f>
        <v>14504.55536346591</v>
      </c>
      <c r="F16" s="12" t="str">
        <f t="shared" ref="F16:F17" si="4">IFERROR(E16/D16, "")</f>
        <v/>
      </c>
      <c r="G16" s="13">
        <f>SUM(Jan!G16, Feb!G16, Mar!G16)</f>
        <v>17658</v>
      </c>
      <c r="H16" s="13">
        <f>SUM(Jan!H16, Feb!H16, Mar!H16)</f>
        <v>-3153.44463653409</v>
      </c>
      <c r="I16" s="14">
        <f t="shared" ref="I16:I17" si="5">IFERROR(H16/G16, "")</f>
        <v>-0.17858447369657324</v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SUM(Jan!C17, Feb!C17, Mar!C17)</f>
        <v>107721.38</v>
      </c>
      <c r="D17" s="15">
        <f>SUM(Jan!D17, Feb!D17, Mar!D17)</f>
        <v>0</v>
      </c>
      <c r="E17" s="15">
        <f t="shared" si="3"/>
        <v>107721.38</v>
      </c>
      <c r="F17" s="16" t="str">
        <f t="shared" si="4"/>
        <v/>
      </c>
      <c r="G17" s="17">
        <f>SUM(Jan!G17, Feb!G17, Mar!G17)</f>
        <v>55887</v>
      </c>
      <c r="H17" s="17">
        <f>SUM(Jan!H17, Feb!H17, Mar!H17)</f>
        <v>51834.38</v>
      </c>
      <c r="I17" s="16">
        <f t="shared" si="5"/>
        <v>0.92748546173528723</v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>
        <f>SUM(Jan!C18, Feb!C18, Mar!C18)</f>
        <v>46375.369999999995</v>
      </c>
      <c r="D18" s="11">
        <f>SUM(Jan!D18, Feb!D18, Mar!D18)</f>
        <v>0</v>
      </c>
      <c r="E18" s="11">
        <f t="shared" ref="E18:E81" si="6">IF(AND(ISNUMBER(C18),ISNUMBER(D18)), C18-D18, "")</f>
        <v>46375.369999999995</v>
      </c>
      <c r="F18" s="12" t="str">
        <f t="shared" ref="F18:F81" si="7">IFERROR(E18/D18, "")</f>
        <v/>
      </c>
      <c r="G18" s="13">
        <f>SUM(Jan!G18, Feb!G18, Mar!G18)</f>
        <v>17080</v>
      </c>
      <c r="H18" s="13">
        <f>SUM(Jan!H18, Feb!H18, Mar!H18)</f>
        <v>29295.37</v>
      </c>
      <c r="I18" s="14">
        <f t="shared" ref="I18:I81" si="8">IFERROR(H18/G18, "")</f>
        <v>1.7151855971896954</v>
      </c>
      <c r="J18" s="38"/>
      <c r="K18" s="38"/>
    </row>
    <row r="19" spans="1:11" ht="15.75">
      <c r="A19" s="27" t="str">
        <v>RCAB</v>
      </c>
      <c r="B19" s="28" t="str">
        <v>MA</v>
      </c>
      <c r="C19" s="10">
        <f>SUM(Jan!C19, Feb!C19, Mar!C19)</f>
        <v>86371</v>
      </c>
      <c r="D19" s="15">
        <f>SUM(Jan!D19, Feb!D19, Mar!D19)</f>
        <v>122435.07</v>
      </c>
      <c r="E19" s="15">
        <f t="shared" si="6"/>
        <v>-36064.070000000007</v>
      </c>
      <c r="F19" s="16">
        <f t="shared" si="7"/>
        <v>-0.29455669850149963</v>
      </c>
      <c r="G19" s="17">
        <f>SUM(Jan!G19, Feb!G19, Mar!G19)</f>
        <v>111561.93</v>
      </c>
      <c r="H19" s="17">
        <f>SUM(Jan!H19, Feb!H19, Mar!H19)</f>
        <v>-25190.93</v>
      </c>
      <c r="I19" s="16">
        <f t="shared" si="8"/>
        <v>-0.22580220689979102</v>
      </c>
      <c r="J19" s="39"/>
      <c r="K19" s="40"/>
    </row>
    <row r="20" spans="1:11" ht="15.75">
      <c r="A20" s="25" t="str">
        <v>Spectro Coatings</v>
      </c>
      <c r="B20" s="26" t="str">
        <v>MA</v>
      </c>
      <c r="C20" s="21">
        <f>SUM(Jan!C20, Feb!C20, Mar!C20)</f>
        <v>17389.125</v>
      </c>
      <c r="D20" s="11">
        <f>SUM(Jan!D20, Feb!D20, Mar!D20)</f>
        <v>37203.910000000003</v>
      </c>
      <c r="E20" s="11">
        <f t="shared" si="6"/>
        <v>-19814.785000000003</v>
      </c>
      <c r="F20" s="12">
        <f t="shared" si="7"/>
        <v>-0.53259953053321551</v>
      </c>
      <c r="G20" s="13">
        <f>SUM(Jan!G20, Feb!G20, Mar!G20)</f>
        <v>28629.260000000002</v>
      </c>
      <c r="H20" s="13">
        <f>SUM(Jan!H20, Feb!H20, Mar!H20)</f>
        <v>-11240.135</v>
      </c>
      <c r="I20" s="14">
        <f t="shared" si="8"/>
        <v>-0.39261004301193952</v>
      </c>
      <c r="J20" s="38"/>
      <c r="K20" s="38"/>
    </row>
    <row r="21" spans="1:11" ht="15.75">
      <c r="A21" s="27" t="str">
        <v>K026</v>
      </c>
      <c r="B21" s="28" t="str">
        <v>NY</v>
      </c>
      <c r="C21" s="10">
        <f>SUM(Jan!C21, Feb!C21, Mar!C21)</f>
        <v>21932.458433014501</v>
      </c>
      <c r="D21" s="15">
        <f>SUM(Jan!D21, Feb!D21, Mar!D21)</f>
        <v>35683.120000000003</v>
      </c>
      <c r="E21" s="15">
        <f t="shared" si="6"/>
        <v>-13750.661566985502</v>
      </c>
      <c r="F21" s="16">
        <f t="shared" si="7"/>
        <v>-0.38535479988816845</v>
      </c>
      <c r="G21" s="17">
        <f>SUM(Jan!G21, Feb!G21, Mar!G21)</f>
        <v>41777.5</v>
      </c>
      <c r="H21" s="17">
        <f>SUM(Jan!H21, Feb!H21, Mar!H21)</f>
        <v>-19845.041566985499</v>
      </c>
      <c r="I21" s="16">
        <f t="shared" si="8"/>
        <v>-0.47501745118749322</v>
      </c>
      <c r="J21" s="39"/>
      <c r="K21" s="40"/>
    </row>
    <row r="22" spans="1:11" ht="15.75">
      <c r="A22" s="25" t="str">
        <v>K041</v>
      </c>
      <c r="B22" s="26" t="str">
        <v>NY</v>
      </c>
      <c r="C22" s="21">
        <f>SUM(Jan!C22, Feb!C22, Mar!C22)</f>
        <v>15100.322582031251</v>
      </c>
      <c r="D22" s="11">
        <f>SUM(Jan!D22, Feb!D22, Mar!D22)</f>
        <v>0</v>
      </c>
      <c r="E22" s="11">
        <f t="shared" si="6"/>
        <v>15100.322582031251</v>
      </c>
      <c r="F22" s="12" t="str">
        <f t="shared" si="7"/>
        <v/>
      </c>
      <c r="G22" s="13">
        <f>SUM(Jan!G22, Feb!G22, Mar!G22)</f>
        <v>0</v>
      </c>
      <c r="H22" s="13">
        <f>SUM(Jan!H22, Feb!H22, Mar!H22)</f>
        <v>15100.322582031251</v>
      </c>
      <c r="I22" s="14" t="str">
        <f t="shared" si="8"/>
        <v/>
      </c>
      <c r="J22" s="38"/>
      <c r="K22" s="38"/>
    </row>
    <row r="23" spans="1:11" ht="15.75">
      <c r="A23" s="27" t="str">
        <v>K043</v>
      </c>
      <c r="B23" s="28" t="str">
        <v>NY</v>
      </c>
      <c r="C23" s="10">
        <f>SUM(Jan!C23, Feb!C23, Mar!C23)</f>
        <v>20776.203125</v>
      </c>
      <c r="D23" s="15">
        <f>SUM(Jan!D23, Feb!D23, Mar!D23)</f>
        <v>30223.659999999996</v>
      </c>
      <c r="E23" s="15">
        <f t="shared" si="6"/>
        <v>-9447.4568749999962</v>
      </c>
      <c r="F23" s="16">
        <f t="shared" si="7"/>
        <v>-0.31258480524860316</v>
      </c>
      <c r="G23" s="17">
        <f>SUM(Jan!G23, Feb!G23, Mar!G23)</f>
        <v>44440</v>
      </c>
      <c r="H23" s="17">
        <f>SUM(Jan!H23, Feb!H23, Mar!H23)</f>
        <v>-23663.796875</v>
      </c>
      <c r="I23" s="16">
        <f t="shared" si="8"/>
        <v>-0.53248867855535553</v>
      </c>
      <c r="J23" s="39"/>
      <c r="K23" s="40"/>
    </row>
    <row r="24" spans="1:11" ht="15.75">
      <c r="A24" s="25" t="str">
        <v>K058</v>
      </c>
      <c r="B24" s="26" t="str">
        <v>NY</v>
      </c>
      <c r="C24" s="21">
        <f>SUM(Jan!C24, Feb!C24, Mar!C24)</f>
        <v>17014.5</v>
      </c>
      <c r="D24" s="11">
        <f>SUM(Jan!D24, Feb!D24, Mar!D24)</f>
        <v>24764.042000000001</v>
      </c>
      <c r="E24" s="11">
        <f t="shared" si="6"/>
        <v>-7749.5420000000013</v>
      </c>
      <c r="F24" s="12">
        <f t="shared" si="7"/>
        <v>-0.31293526315292153</v>
      </c>
      <c r="G24" s="13">
        <f>SUM(Jan!G24, Feb!G24, Mar!G24)</f>
        <v>29060.73</v>
      </c>
      <c r="H24" s="13">
        <f>SUM(Jan!H24, Feb!H24, Mar!H24)</f>
        <v>-12046.23</v>
      </c>
      <c r="I24" s="14">
        <f t="shared" si="8"/>
        <v>-0.41451918103915492</v>
      </c>
      <c r="J24" s="38"/>
      <c r="K24" s="38"/>
    </row>
    <row r="25" spans="1:11" ht="15.75">
      <c r="A25" s="27" t="str">
        <v>K115</v>
      </c>
      <c r="B25" s="28" t="str">
        <v>NY</v>
      </c>
      <c r="C25" s="10">
        <f>SUM(Jan!C25, Feb!C25, Mar!C25)</f>
        <v>4465.78125</v>
      </c>
      <c r="D25" s="15">
        <f>SUM(Jan!D25, Feb!D25, Mar!D25)</f>
        <v>13537.792000000001</v>
      </c>
      <c r="E25" s="15">
        <f t="shared" si="6"/>
        <v>-9072.0107500000013</v>
      </c>
      <c r="F25" s="16">
        <f t="shared" si="7"/>
        <v>-0.67012484384455018</v>
      </c>
      <c r="G25" s="17">
        <f>SUM(Jan!G25, Feb!G25, Mar!G25)</f>
        <v>10093.672999999999</v>
      </c>
      <c r="H25" s="17">
        <f>SUM(Jan!H25, Feb!H25, Mar!H25)</f>
        <v>-5627.8917499999998</v>
      </c>
      <c r="I25" s="16">
        <f t="shared" si="8"/>
        <v>-0.55756628434465827</v>
      </c>
      <c r="J25" s="39"/>
      <c r="K25" s="40"/>
    </row>
    <row r="26" spans="1:11" ht="15.75">
      <c r="A26" s="25" t="str">
        <v>K152</v>
      </c>
      <c r="B26" s="26" t="str">
        <v>NY</v>
      </c>
      <c r="C26" s="21">
        <f>SUM(Jan!C26, Feb!C26, Mar!C26)</f>
        <v>6559.265625</v>
      </c>
      <c r="D26" s="11">
        <f>SUM(Jan!D26, Feb!D26, Mar!D26)</f>
        <v>8861.3240000000005</v>
      </c>
      <c r="E26" s="11">
        <f t="shared" si="6"/>
        <v>-2302.0583750000005</v>
      </c>
      <c r="F26" s="12">
        <f t="shared" si="7"/>
        <v>-0.25978718022272973</v>
      </c>
      <c r="G26" s="13">
        <f>SUM(Jan!G26, Feb!G26, Mar!G26)</f>
        <v>1879</v>
      </c>
      <c r="H26" s="13">
        <f>SUM(Jan!H26, Feb!H26, Mar!H26)</f>
        <v>4680.265625</v>
      </c>
      <c r="I26" s="14">
        <f t="shared" si="8"/>
        <v>2.4908279004789784</v>
      </c>
      <c r="J26" s="38"/>
      <c r="K26" s="38"/>
    </row>
    <row r="27" spans="1:11" ht="15.75">
      <c r="A27" s="27" t="str">
        <v>K166</v>
      </c>
      <c r="B27" s="28" t="str">
        <v>NY</v>
      </c>
      <c r="C27" s="10">
        <f>SUM(Jan!C27, Feb!C27, Mar!C27)</f>
        <v>23977</v>
      </c>
      <c r="D27" s="15">
        <f>SUM(Jan!D27, Feb!D27, Mar!D27)</f>
        <v>34400.33</v>
      </c>
      <c r="E27" s="15">
        <f t="shared" si="6"/>
        <v>-10423.330000000002</v>
      </c>
      <c r="F27" s="16">
        <f t="shared" si="7"/>
        <v>-0.30300087237535223</v>
      </c>
      <c r="G27" s="17">
        <f>SUM(Jan!G27, Feb!G27, Mar!G27)</f>
        <v>42224.380000000005</v>
      </c>
      <c r="H27" s="17">
        <f>SUM(Jan!H27, Feb!H27, Mar!H27)</f>
        <v>-18247.38</v>
      </c>
      <c r="I27" s="16">
        <f t="shared" si="8"/>
        <v>-0.43215270419601187</v>
      </c>
      <c r="J27" s="39"/>
      <c r="K27" s="40"/>
    </row>
    <row r="28" spans="1:11" ht="15.75">
      <c r="A28" s="25" t="str">
        <v>K206</v>
      </c>
      <c r="B28" s="26" t="str">
        <v>NY</v>
      </c>
      <c r="C28" s="21">
        <f>SUM(Jan!C28, Feb!C28, Mar!C28)</f>
        <v>14061.697219294711</v>
      </c>
      <c r="D28" s="11">
        <f>SUM(Jan!D28, Feb!D28, Mar!D28)</f>
        <v>0</v>
      </c>
      <c r="E28" s="11">
        <f t="shared" si="6"/>
        <v>14061.697219294711</v>
      </c>
      <c r="F28" s="12" t="str">
        <f t="shared" si="7"/>
        <v/>
      </c>
      <c r="G28" s="13">
        <f>SUM(Jan!G28, Feb!G28, Mar!G28)</f>
        <v>0</v>
      </c>
      <c r="H28" s="13">
        <f>SUM(Jan!H28, Feb!H28, Mar!H28)</f>
        <v>14061.697219294711</v>
      </c>
      <c r="I28" s="14" t="str">
        <f t="shared" si="8"/>
        <v/>
      </c>
      <c r="J28" s="38"/>
      <c r="K28" s="38"/>
    </row>
    <row r="29" spans="1:11" ht="15.75">
      <c r="A29" s="27" t="str">
        <v>K251</v>
      </c>
      <c r="B29" s="28" t="str">
        <v>NY</v>
      </c>
      <c r="C29" s="10">
        <f>SUM(Jan!C29, Feb!C29, Mar!C29)</f>
        <v>15851</v>
      </c>
      <c r="D29" s="15">
        <f>SUM(Jan!D29, Feb!D29, Mar!D29)</f>
        <v>21488.467000000001</v>
      </c>
      <c r="E29" s="15">
        <f t="shared" si="6"/>
        <v>-5637.4670000000006</v>
      </c>
      <c r="F29" s="16">
        <f t="shared" si="7"/>
        <v>-0.26234849605604721</v>
      </c>
      <c r="G29" s="17">
        <f>SUM(Jan!G29, Feb!G29, Mar!G29)</f>
        <v>22737.607</v>
      </c>
      <c r="H29" s="17">
        <f>SUM(Jan!H29, Feb!H29, Mar!H29)</f>
        <v>-6886.607</v>
      </c>
      <c r="I29" s="16">
        <f t="shared" si="8"/>
        <v>-0.30287298922881373</v>
      </c>
      <c r="J29" s="39"/>
      <c r="K29" s="39"/>
    </row>
    <row r="30" spans="1:11" ht="15.75">
      <c r="A30" s="25" t="str">
        <v>K269</v>
      </c>
      <c r="B30" s="26" t="str">
        <v>NY</v>
      </c>
      <c r="C30" s="21">
        <f>SUM(Jan!C30, Feb!C30, Mar!C30)</f>
        <v>14261.53125</v>
      </c>
      <c r="D30" s="11">
        <f>SUM(Jan!D30, Feb!D30, Mar!D30)</f>
        <v>0</v>
      </c>
      <c r="E30" s="11">
        <f t="shared" si="6"/>
        <v>14261.53125</v>
      </c>
      <c r="F30" s="12" t="str">
        <f t="shared" si="7"/>
        <v/>
      </c>
      <c r="G30" s="13">
        <f>SUM(Jan!G30, Feb!G30, Mar!G30)</f>
        <v>25479</v>
      </c>
      <c r="H30" s="13">
        <f>SUM(Jan!H30, Feb!H30, Mar!H30)</f>
        <v>-11217.46875</v>
      </c>
      <c r="I30" s="14">
        <f t="shared" si="8"/>
        <v>-0.44026330507476746</v>
      </c>
      <c r="J30" s="38"/>
      <c r="K30" s="38"/>
    </row>
    <row r="31" spans="1:11" ht="15.75">
      <c r="A31" s="27" t="str">
        <v>K273</v>
      </c>
      <c r="B31" s="28" t="str">
        <v>NY</v>
      </c>
      <c r="C31" s="10">
        <f>SUM(Jan!C31, Feb!C31, Mar!C31)</f>
        <v>16028.59375</v>
      </c>
      <c r="D31" s="15">
        <f>SUM(Jan!D31, Feb!D31, Mar!D31)</f>
        <v>0</v>
      </c>
      <c r="E31" s="15">
        <f t="shared" si="6"/>
        <v>16028.59375</v>
      </c>
      <c r="F31" s="16" t="str">
        <f t="shared" si="7"/>
        <v/>
      </c>
      <c r="G31" s="17">
        <f>SUM(Jan!G31, Feb!G31, Mar!G31)</f>
        <v>26103</v>
      </c>
      <c r="H31" s="17">
        <f>SUM(Jan!H31, Feb!H31, Mar!H31)</f>
        <v>-10074.40625</v>
      </c>
      <c r="I31" s="16">
        <f t="shared" si="8"/>
        <v>-0.38594821476458646</v>
      </c>
      <c r="J31" s="39"/>
      <c r="K31" s="40"/>
    </row>
    <row r="32" spans="1:11" ht="15.75">
      <c r="A32" s="25" t="str">
        <v>K287</v>
      </c>
      <c r="B32" s="26" t="str">
        <v>NY</v>
      </c>
      <c r="C32" s="21">
        <f>SUM(Jan!C32, Feb!C32, Mar!C32)</f>
        <v>12641.296875</v>
      </c>
      <c r="D32" s="11">
        <f>SUM(Jan!D32, Feb!D32, Mar!D32)</f>
        <v>15615.696</v>
      </c>
      <c r="E32" s="11">
        <f t="shared" si="6"/>
        <v>-2974.3991249999999</v>
      </c>
      <c r="F32" s="12">
        <f t="shared" si="7"/>
        <v>-0.19047496345984194</v>
      </c>
      <c r="G32" s="13">
        <f>SUM(Jan!G32, Feb!G32, Mar!G32)</f>
        <v>0</v>
      </c>
      <c r="H32" s="13">
        <f>SUM(Jan!H32, Feb!H32, Mar!H32)</f>
        <v>12641.296875</v>
      </c>
      <c r="I32" s="14" t="str">
        <f t="shared" si="8"/>
        <v/>
      </c>
      <c r="J32" s="38"/>
      <c r="K32" s="38"/>
    </row>
    <row r="33" spans="1:11" ht="15.75">
      <c r="A33" s="27" t="str">
        <v>K298</v>
      </c>
      <c r="B33" s="28" t="str">
        <v>NY</v>
      </c>
      <c r="C33" s="10">
        <f>SUM(Jan!C33, Feb!C33, Mar!C33)</f>
        <v>11521.890625</v>
      </c>
      <c r="D33" s="15">
        <f>SUM(Jan!D33, Feb!D33, Mar!D33)</f>
        <v>20216.268</v>
      </c>
      <c r="E33" s="15">
        <f t="shared" si="6"/>
        <v>-8694.377375</v>
      </c>
      <c r="F33" s="16">
        <f t="shared" si="7"/>
        <v>-0.43006836746525123</v>
      </c>
      <c r="G33" s="17">
        <f>SUM(Jan!G33, Feb!G33, Mar!G33)</f>
        <v>0</v>
      </c>
      <c r="H33" s="17">
        <f>SUM(Jan!H33, Feb!H33, Mar!H33)</f>
        <v>11521.890625</v>
      </c>
      <c r="I33" s="16" t="str">
        <f t="shared" si="8"/>
        <v/>
      </c>
      <c r="J33" s="39"/>
      <c r="K33" s="40"/>
    </row>
    <row r="34" spans="1:11" ht="15.75">
      <c r="A34" s="25" t="str">
        <v>K335</v>
      </c>
      <c r="B34" s="26" t="str">
        <v>NY</v>
      </c>
      <c r="C34" s="21">
        <f>SUM(Jan!C34, Feb!C34, Mar!C34)</f>
        <v>13257.53125</v>
      </c>
      <c r="D34" s="11">
        <f>SUM(Jan!D34, Feb!D34, Mar!D34)</f>
        <v>21301.228999999999</v>
      </c>
      <c r="E34" s="11">
        <f t="shared" si="6"/>
        <v>-8043.6977499999994</v>
      </c>
      <c r="F34" s="12">
        <f t="shared" si="7"/>
        <v>-0.37761660371802958</v>
      </c>
      <c r="G34" s="13">
        <f>SUM(Jan!G34, Feb!G34, Mar!G34)</f>
        <v>26165</v>
      </c>
      <c r="H34" s="13">
        <f>SUM(Jan!H34, Feb!H34, Mar!H34)</f>
        <v>-12907.46875</v>
      </c>
      <c r="I34" s="14">
        <f t="shared" si="8"/>
        <v>-0.49331048155933499</v>
      </c>
      <c r="J34" s="38"/>
      <c r="K34" s="38"/>
    </row>
    <row r="35" spans="1:11" ht="15.75">
      <c r="A35" s="27" t="str">
        <v>K345</v>
      </c>
      <c r="B35" s="28" t="str">
        <v>NY</v>
      </c>
      <c r="C35" s="10">
        <f>SUM(Jan!C35, Feb!C35, Mar!C35)</f>
        <v>13814.094941406251</v>
      </c>
      <c r="D35" s="15">
        <f>SUM(Jan!D35, Feb!D35, Mar!D35)</f>
        <v>9601.5740000000005</v>
      </c>
      <c r="E35" s="15">
        <f t="shared" si="6"/>
        <v>4212.5209414062501</v>
      </c>
      <c r="F35" s="16">
        <f t="shared" si="7"/>
        <v>0.43873233090806257</v>
      </c>
      <c r="G35" s="17">
        <f>SUM(Jan!G35, Feb!G35, Mar!G35)</f>
        <v>7610</v>
      </c>
      <c r="H35" s="17">
        <f>SUM(Jan!H35, Feb!H35, Mar!H35)</f>
        <v>6204.0949414062507</v>
      </c>
      <c r="I35" s="16">
        <f t="shared" si="8"/>
        <v>0.81525557705732599</v>
      </c>
      <c r="J35" s="39"/>
      <c r="K35" s="40"/>
    </row>
    <row r="36" spans="1:11" ht="15.75">
      <c r="A36" s="25" t="str">
        <v>K445</v>
      </c>
      <c r="B36" s="26" t="str">
        <v>NY</v>
      </c>
      <c r="C36" s="21">
        <f>SUM(Jan!C36, Feb!C36, Mar!C36)</f>
        <v>14007.188068359381</v>
      </c>
      <c r="D36" s="11">
        <f>SUM(Jan!D36, Feb!D36, Mar!D36)</f>
        <v>0</v>
      </c>
      <c r="E36" s="11">
        <f t="shared" si="6"/>
        <v>14007.188068359381</v>
      </c>
      <c r="F36" s="12" t="str">
        <f t="shared" si="7"/>
        <v/>
      </c>
      <c r="G36" s="13">
        <f>SUM(Jan!G36, Feb!G36, Mar!G36)</f>
        <v>0</v>
      </c>
      <c r="H36" s="13">
        <f>SUM(Jan!H36, Feb!H36, Mar!H36)</f>
        <v>14007.188068359381</v>
      </c>
      <c r="I36" s="14" t="str">
        <f t="shared" si="8"/>
        <v/>
      </c>
      <c r="J36" s="38"/>
      <c r="K36" s="38"/>
    </row>
    <row r="37" spans="1:11" ht="15.75">
      <c r="A37" s="27" t="str">
        <v>K495</v>
      </c>
      <c r="B37" s="28" t="str">
        <v>NY</v>
      </c>
      <c r="C37" s="10">
        <f>SUM(Jan!C37, Feb!C37, Mar!C37)</f>
        <v>61586.5</v>
      </c>
      <c r="D37" s="15">
        <f>SUM(Jan!D37, Feb!D37, Mar!D37)</f>
        <v>0</v>
      </c>
      <c r="E37" s="15">
        <f t="shared" si="6"/>
        <v>61586.5</v>
      </c>
      <c r="F37" s="16" t="str">
        <f t="shared" si="7"/>
        <v/>
      </c>
      <c r="G37" s="17">
        <f>SUM(Jan!G37, Feb!G37, Mar!G37)</f>
        <v>0</v>
      </c>
      <c r="H37" s="17">
        <f>SUM(Jan!H37, Feb!H37, Mar!H37)</f>
        <v>61586.5</v>
      </c>
      <c r="I37" s="16" t="str">
        <f t="shared" si="8"/>
        <v/>
      </c>
      <c r="J37" s="39"/>
      <c r="K37" s="40"/>
    </row>
    <row r="38" spans="1:11" ht="15.75">
      <c r="A38" s="25" t="str">
        <v>M020</v>
      </c>
      <c r="B38" s="26" t="str">
        <v>NY</v>
      </c>
      <c r="C38" s="21">
        <f>SUM(Jan!C38, Feb!C38, Mar!C38)</f>
        <v>14281.875</v>
      </c>
      <c r="D38" s="11">
        <f>SUM(Jan!D38, Feb!D38, Mar!D38)</f>
        <v>15159.246999999999</v>
      </c>
      <c r="E38" s="11">
        <f t="shared" si="6"/>
        <v>-877.37199999999939</v>
      </c>
      <c r="F38" s="12">
        <f t="shared" si="7"/>
        <v>-5.7877017242347159E-2</v>
      </c>
      <c r="G38" s="13">
        <f>SUM(Jan!G38, Feb!G38, Mar!G38)</f>
        <v>0</v>
      </c>
      <c r="H38" s="13">
        <f>SUM(Jan!H38, Feb!H38, Mar!H38)</f>
        <v>14281.875</v>
      </c>
      <c r="I38" s="14" t="str">
        <f t="shared" si="8"/>
        <v/>
      </c>
      <c r="J38" s="38"/>
      <c r="K38" s="38"/>
    </row>
    <row r="39" spans="1:11" ht="15.75">
      <c r="A39" s="27" t="str">
        <v>M092</v>
      </c>
      <c r="B39" s="28" t="str">
        <v>NY</v>
      </c>
      <c r="C39" s="10">
        <f>SUM(Jan!C39, Feb!C39, Mar!C39)</f>
        <v>13545.1875</v>
      </c>
      <c r="D39" s="15">
        <f>SUM(Jan!D39, Feb!D39, Mar!D39)</f>
        <v>20782.789000000001</v>
      </c>
      <c r="E39" s="15">
        <f t="shared" si="6"/>
        <v>-7237.6015000000007</v>
      </c>
      <c r="F39" s="16">
        <f t="shared" si="7"/>
        <v>-0.34824977051925032</v>
      </c>
      <c r="G39" s="17">
        <f>SUM(Jan!G39, Feb!G39, Mar!G39)</f>
        <v>25530.83</v>
      </c>
      <c r="H39" s="17">
        <f>SUM(Jan!H39, Feb!H39, Mar!H39)</f>
        <v>-11985.6425</v>
      </c>
      <c r="I39" s="16">
        <f t="shared" si="8"/>
        <v>-0.46945761261972285</v>
      </c>
      <c r="J39" s="39"/>
      <c r="K39" s="40"/>
    </row>
    <row r="40" spans="1:11" ht="15.75">
      <c r="A40" s="25" t="str">
        <v>M143</v>
      </c>
      <c r="B40" s="26" t="str">
        <v>NY</v>
      </c>
      <c r="C40" s="21">
        <f>SUM(Jan!C40, Feb!C40, Mar!C40)</f>
        <v>14911.3125</v>
      </c>
      <c r="D40" s="11">
        <f>SUM(Jan!D40, Feb!D40, Mar!D40)</f>
        <v>23715.453999999998</v>
      </c>
      <c r="E40" s="11">
        <f t="shared" si="6"/>
        <v>-8804.1414999999979</v>
      </c>
      <c r="F40" s="12">
        <f t="shared" si="7"/>
        <v>-0.37124068972071961</v>
      </c>
      <c r="G40" s="13">
        <f>SUM(Jan!G40, Feb!G40, Mar!G40)</f>
        <v>34106.980000000003</v>
      </c>
      <c r="H40" s="13">
        <f>SUM(Jan!H40, Feb!H40, Mar!H40)</f>
        <v>-19195.667500000003</v>
      </c>
      <c r="I40" s="14">
        <f t="shared" si="8"/>
        <v>-0.56280759832738059</v>
      </c>
      <c r="J40" s="38"/>
      <c r="K40" s="38"/>
    </row>
    <row r="41" spans="1:11" ht="15.75">
      <c r="A41" s="27" t="str">
        <v>M144</v>
      </c>
      <c r="B41" s="28" t="str">
        <v>NY</v>
      </c>
      <c r="C41" s="10">
        <f>SUM(Jan!C41, Feb!C41, Mar!C41)</f>
        <v>23076.859375</v>
      </c>
      <c r="D41" s="15">
        <f>SUM(Jan!D41, Feb!D41, Mar!D41)</f>
        <v>0</v>
      </c>
      <c r="E41" s="15">
        <f t="shared" si="6"/>
        <v>23076.859375</v>
      </c>
      <c r="F41" s="16" t="str">
        <f t="shared" si="7"/>
        <v/>
      </c>
      <c r="G41" s="17">
        <f>SUM(Jan!G41, Feb!G41, Mar!G41)</f>
        <v>0</v>
      </c>
      <c r="H41" s="17">
        <f>SUM(Jan!H41, Feb!H41, Mar!H41)</f>
        <v>23076.859375</v>
      </c>
      <c r="I41" s="16" t="str">
        <f t="shared" si="8"/>
        <v/>
      </c>
      <c r="J41" s="39"/>
      <c r="K41" s="39"/>
    </row>
    <row r="42" spans="1:11" ht="15.75">
      <c r="A42" s="25" t="str">
        <v>M167</v>
      </c>
      <c r="B42" s="26" t="str">
        <v>NY</v>
      </c>
      <c r="C42" s="21">
        <f>SUM(Jan!C42, Feb!C42, Mar!C42)</f>
        <v>15379.180405273401</v>
      </c>
      <c r="D42" s="11">
        <f>SUM(Jan!D42, Feb!D42, Mar!D42)</f>
        <v>18552.849999999999</v>
      </c>
      <c r="E42" s="11">
        <f t="shared" si="6"/>
        <v>-3173.669594726598</v>
      </c>
      <c r="F42" s="12">
        <f t="shared" si="7"/>
        <v>-0.17106102807528753</v>
      </c>
      <c r="G42" s="13">
        <f>SUM(Jan!G42, Feb!G42, Mar!G42)</f>
        <v>24397.559999999998</v>
      </c>
      <c r="H42" s="13">
        <f>SUM(Jan!H42, Feb!H42, Mar!H42)</f>
        <v>-9018.379594726599</v>
      </c>
      <c r="I42" s="14">
        <f t="shared" si="8"/>
        <v>-0.36964268536388883</v>
      </c>
      <c r="J42" s="38"/>
      <c r="K42" s="38"/>
    </row>
    <row r="43" spans="1:11" ht="15.75">
      <c r="A43" s="27" t="str">
        <v>M188</v>
      </c>
      <c r="B43" s="28" t="str">
        <v>NY</v>
      </c>
      <c r="C43" s="10">
        <f>SUM(Jan!C43, Feb!C43, Mar!C43)</f>
        <v>12608.38835937498</v>
      </c>
      <c r="D43" s="15">
        <f>SUM(Jan!D43, Feb!D43, Mar!D43)</f>
        <v>0</v>
      </c>
      <c r="E43" s="15">
        <f t="shared" si="6"/>
        <v>12608.38835937498</v>
      </c>
      <c r="F43" s="16" t="str">
        <f t="shared" si="7"/>
        <v/>
      </c>
      <c r="G43" s="17">
        <f>SUM(Jan!G43, Feb!G43, Mar!G43)</f>
        <v>0</v>
      </c>
      <c r="H43" s="17">
        <f>SUM(Jan!H43, Feb!H43, Mar!H43)</f>
        <v>12608.38835937498</v>
      </c>
      <c r="I43" s="16" t="str">
        <f t="shared" si="8"/>
        <v/>
      </c>
      <c r="J43" s="39"/>
      <c r="K43" s="40"/>
    </row>
    <row r="44" spans="1:11" ht="15.75">
      <c r="A44" s="25" t="str">
        <v>EMHC</v>
      </c>
      <c r="B44" s="26" t="str">
        <v>NY</v>
      </c>
      <c r="C44" s="21">
        <f>SUM(Jan!C44, Feb!C44, Mar!C44)</f>
        <v>3284.40241699219</v>
      </c>
      <c r="D44" s="11">
        <f>SUM(Jan!D44, Feb!D44, Mar!D44)</f>
        <v>0</v>
      </c>
      <c r="E44" s="11">
        <f t="shared" si="6"/>
        <v>3284.40241699219</v>
      </c>
      <c r="F44" s="12" t="str">
        <f t="shared" si="7"/>
        <v/>
      </c>
      <c r="G44" s="13">
        <f>SUM(Jan!G44, Feb!G44, Mar!G44)</f>
        <v>0</v>
      </c>
      <c r="H44" s="13">
        <f>SUM(Jan!H44, Feb!H44, Mar!H44)</f>
        <v>3284.40241699219</v>
      </c>
      <c r="I44" s="14" t="str">
        <f t="shared" si="8"/>
        <v/>
      </c>
      <c r="J44" s="38"/>
      <c r="K44" s="38"/>
    </row>
    <row r="45" spans="1:11" ht="15.75">
      <c r="A45" s="27" t="str">
        <v>Q008</v>
      </c>
      <c r="B45" s="28" t="str">
        <v>NY</v>
      </c>
      <c r="C45" s="10">
        <f>SUM(Jan!C45, Feb!C45, Mar!C45)</f>
        <v>21180.1484375</v>
      </c>
      <c r="D45" s="15">
        <f>SUM(Jan!D45, Feb!D45, Mar!D45)</f>
        <v>27018.478999999999</v>
      </c>
      <c r="E45" s="15">
        <f t="shared" si="6"/>
        <v>-5838.3305624999994</v>
      </c>
      <c r="F45" s="16">
        <f t="shared" si="7"/>
        <v>-0.21608657402587317</v>
      </c>
      <c r="G45" s="17">
        <f>SUM(Jan!G45, Feb!G45, Mar!G45)</f>
        <v>33342</v>
      </c>
      <c r="H45" s="17">
        <f>SUM(Jan!H45, Feb!H45, Mar!H45)</f>
        <v>-12161.8515625</v>
      </c>
      <c r="I45" s="16">
        <f t="shared" si="8"/>
        <v>-0.36476070909063646</v>
      </c>
      <c r="J45" s="39"/>
      <c r="K45" s="40"/>
    </row>
    <row r="46" spans="1:11" ht="15.75">
      <c r="A46" s="25" t="str">
        <v>Q018</v>
      </c>
      <c r="B46" s="26" t="str">
        <v>NY</v>
      </c>
      <c r="C46" s="21">
        <f>SUM(Jan!C46, Feb!C46, Mar!C46)</f>
        <v>12453.1875</v>
      </c>
      <c r="D46" s="11">
        <f>SUM(Jan!D46, Feb!D46, Mar!D46)</f>
        <v>18253.023000000001</v>
      </c>
      <c r="E46" s="11">
        <f t="shared" si="6"/>
        <v>-5799.835500000001</v>
      </c>
      <c r="F46" s="12">
        <f t="shared" si="7"/>
        <v>-0.31774657271839302</v>
      </c>
      <c r="G46" s="13">
        <f>SUM(Jan!G46, Feb!G46, Mar!G46)</f>
        <v>22353.046999999999</v>
      </c>
      <c r="H46" s="13">
        <f>SUM(Jan!H46, Feb!H46, Mar!H46)</f>
        <v>-9899.8594999999987</v>
      </c>
      <c r="I46" s="14">
        <f t="shared" si="8"/>
        <v>-0.44288635459854753</v>
      </c>
      <c r="J46" s="38"/>
      <c r="K46" s="38"/>
    </row>
    <row r="47" spans="1:11" ht="15.75">
      <c r="A47" s="27" t="str">
        <v>Q021</v>
      </c>
      <c r="B47" s="28" t="str">
        <v>NY</v>
      </c>
      <c r="C47" s="10">
        <f>SUM(Jan!C47, Feb!C47, Mar!C47)</f>
        <v>10094.40625</v>
      </c>
      <c r="D47" s="15">
        <f>SUM(Jan!D47, Feb!D47, Mar!D47)</f>
        <v>16743.098000000002</v>
      </c>
      <c r="E47" s="15">
        <f t="shared" si="6"/>
        <v>-6648.6917500000018</v>
      </c>
      <c r="F47" s="16">
        <f t="shared" si="7"/>
        <v>-0.39710044998840721</v>
      </c>
      <c r="G47" s="17">
        <f>SUM(Jan!G47, Feb!G47, Mar!G47)</f>
        <v>9771.7340000000004</v>
      </c>
      <c r="H47" s="17">
        <f>SUM(Jan!H47, Feb!H47, Mar!H47)</f>
        <v>322.67225000000053</v>
      </c>
      <c r="I47" s="16">
        <f t="shared" si="8"/>
        <v>3.3020981741828062E-2</v>
      </c>
      <c r="J47" s="39"/>
      <c r="K47" s="40"/>
    </row>
    <row r="48" spans="1:11" ht="15.75">
      <c r="A48" s="25" t="str">
        <v>Q025</v>
      </c>
      <c r="B48" s="26" t="str">
        <v>NY</v>
      </c>
      <c r="C48" s="21">
        <f>SUM(Jan!C48, Feb!C48, Mar!C48)</f>
        <v>17034.875</v>
      </c>
      <c r="D48" s="11">
        <f>SUM(Jan!D48, Feb!D48, Mar!D48)</f>
        <v>26058.26</v>
      </c>
      <c r="E48" s="11">
        <f t="shared" si="6"/>
        <v>-9023.3849999999984</v>
      </c>
      <c r="F48" s="12">
        <f t="shared" si="7"/>
        <v>-0.34627734161835821</v>
      </c>
      <c r="G48" s="13">
        <f>SUM(Jan!G48, Feb!G48, Mar!G48)</f>
        <v>17307</v>
      </c>
      <c r="H48" s="13">
        <f>SUM(Jan!H48, Feb!H48, Mar!H48)</f>
        <v>-272.125</v>
      </c>
      <c r="I48" s="14">
        <f t="shared" si="8"/>
        <v>-1.5723406714046338E-2</v>
      </c>
      <c r="J48" s="38"/>
      <c r="K48" s="38"/>
    </row>
    <row r="49" spans="1:11" ht="15.75">
      <c r="A49" s="27" t="str">
        <v>Q074</v>
      </c>
      <c r="B49" s="28" t="str">
        <v>NY</v>
      </c>
      <c r="C49" s="10">
        <f>SUM(Jan!C49, Feb!C49, Mar!C49)</f>
        <v>10315.3125</v>
      </c>
      <c r="D49" s="15">
        <f>SUM(Jan!D49, Feb!D49, Mar!D49)</f>
        <v>15556.93</v>
      </c>
      <c r="E49" s="15">
        <f t="shared" si="6"/>
        <v>-5241.6175000000003</v>
      </c>
      <c r="F49" s="16">
        <f t="shared" si="7"/>
        <v>-0.33693135470815899</v>
      </c>
      <c r="G49" s="17">
        <f>SUM(Jan!G49, Feb!G49, Mar!G49)</f>
        <v>18483.516</v>
      </c>
      <c r="H49" s="17">
        <f>SUM(Jan!H49, Feb!H49, Mar!H49)</f>
        <v>-8168.2034999999987</v>
      </c>
      <c r="I49" s="16">
        <f t="shared" si="8"/>
        <v>-0.44191827463995481</v>
      </c>
      <c r="J49" s="39"/>
      <c r="K49" s="40"/>
    </row>
    <row r="50" spans="1:11" ht="15.75">
      <c r="A50" s="25" t="str">
        <v>Q115</v>
      </c>
      <c r="B50" s="26" t="str">
        <v>NY</v>
      </c>
      <c r="C50" s="21">
        <f>SUM(Jan!C50, Feb!C50, Mar!C50)</f>
        <v>14112.28125</v>
      </c>
      <c r="D50" s="11">
        <f>SUM(Jan!D50, Feb!D50, Mar!D50)</f>
        <v>23420.894</v>
      </c>
      <c r="E50" s="11">
        <f t="shared" si="6"/>
        <v>-9308.6127500000002</v>
      </c>
      <c r="F50" s="12">
        <f t="shared" si="7"/>
        <v>-0.39744907901466103</v>
      </c>
      <c r="G50" s="13">
        <f>SUM(Jan!G50, Feb!G50, Mar!G50)</f>
        <v>25262.92</v>
      </c>
      <c r="H50" s="13">
        <f>SUM(Jan!H50, Feb!H50, Mar!H50)</f>
        <v>-11150.63875</v>
      </c>
      <c r="I50" s="14">
        <f t="shared" si="8"/>
        <v>-0.4413836068831315</v>
      </c>
      <c r="J50" s="38"/>
      <c r="K50" s="38"/>
    </row>
    <row r="51" spans="1:11" ht="15.75">
      <c r="A51" s="27" t="str">
        <v>Q139</v>
      </c>
      <c r="B51" s="28" t="str">
        <v>NY</v>
      </c>
      <c r="C51" s="10">
        <f>SUM(Jan!C51, Feb!C51, Mar!C51)</f>
        <v>8804.03125</v>
      </c>
      <c r="D51" s="15">
        <f>SUM(Jan!D51, Feb!D51, Mar!D51)</f>
        <v>12770.028</v>
      </c>
      <c r="E51" s="15">
        <f t="shared" si="6"/>
        <v>-3965.9967500000002</v>
      </c>
      <c r="F51" s="16">
        <f t="shared" si="7"/>
        <v>-0.31057071683789572</v>
      </c>
      <c r="G51" s="17">
        <f>SUM(Jan!G51, Feb!G51, Mar!G51)</f>
        <v>14349</v>
      </c>
      <c r="H51" s="17">
        <f>SUM(Jan!H51, Feb!H51, Mar!H51)</f>
        <v>-5544.96875</v>
      </c>
      <c r="I51" s="16">
        <f t="shared" si="8"/>
        <v>-0.38643590145654749</v>
      </c>
      <c r="J51" s="39"/>
      <c r="K51" s="40"/>
    </row>
    <row r="52" spans="1:11" ht="15.75">
      <c r="A52" s="25" t="str">
        <v>Q157</v>
      </c>
      <c r="B52" s="26" t="str">
        <v>NY</v>
      </c>
      <c r="C52" s="21">
        <f>SUM(Jan!C52, Feb!C52, Mar!C52)</f>
        <v>14130.625</v>
      </c>
      <c r="D52" s="11">
        <f>SUM(Jan!D52, Feb!D52, Mar!D52)</f>
        <v>24884.424999999999</v>
      </c>
      <c r="E52" s="11">
        <f t="shared" si="6"/>
        <v>-10753.8</v>
      </c>
      <c r="F52" s="12">
        <f t="shared" si="7"/>
        <v>-0.43214982865788537</v>
      </c>
      <c r="G52" s="13">
        <f>SUM(Jan!G52, Feb!G52, Mar!G52)</f>
        <v>26841.13</v>
      </c>
      <c r="H52" s="13">
        <f>SUM(Jan!H52, Feb!H52, Mar!H52)</f>
        <v>-12710.505000000001</v>
      </c>
      <c r="I52" s="14">
        <f t="shared" si="8"/>
        <v>-0.4735458231452998</v>
      </c>
      <c r="J52" s="38"/>
      <c r="K52" s="38"/>
    </row>
    <row r="53" spans="1:11" ht="15.75">
      <c r="A53" s="27" t="str">
        <v>Q192</v>
      </c>
      <c r="B53" s="28" t="str">
        <v>NY</v>
      </c>
      <c r="C53" s="10">
        <f>SUM(Jan!C53, Feb!C53, Mar!C53)</f>
        <v>24150.1875</v>
      </c>
      <c r="D53" s="15">
        <f>SUM(Jan!D53, Feb!D53, Mar!D53)</f>
        <v>38133.490000000005</v>
      </c>
      <c r="E53" s="15">
        <f t="shared" si="6"/>
        <v>-13983.302500000005</v>
      </c>
      <c r="F53" s="16">
        <f t="shared" si="7"/>
        <v>-0.36669348910891719</v>
      </c>
      <c r="G53" s="17">
        <f>SUM(Jan!G53, Feb!G53, Mar!G53)</f>
        <v>37500.06</v>
      </c>
      <c r="H53" s="17">
        <f>SUM(Jan!H53, Feb!H53, Mar!H53)</f>
        <v>-13349.872499999998</v>
      </c>
      <c r="I53" s="16">
        <f t="shared" si="8"/>
        <v>-0.3559960304063513</v>
      </c>
      <c r="J53" s="39"/>
      <c r="K53" s="39"/>
    </row>
    <row r="54" spans="1:11" ht="15.75">
      <c r="A54" s="25" t="str">
        <v>Q210</v>
      </c>
      <c r="B54" s="26" t="str">
        <v>NY</v>
      </c>
      <c r="C54" s="21">
        <f>SUM(Jan!C54, Feb!C54, Mar!C54)</f>
        <v>18450.75</v>
      </c>
      <c r="D54" s="11">
        <f>SUM(Jan!D54, Feb!D54, Mar!D54)</f>
        <v>26428.108</v>
      </c>
      <c r="E54" s="11">
        <f t="shared" si="6"/>
        <v>-7977.3580000000002</v>
      </c>
      <c r="F54" s="12">
        <f t="shared" si="7"/>
        <v>-0.30185127138121276</v>
      </c>
      <c r="G54" s="13">
        <f>SUM(Jan!G54, Feb!G54, Mar!G54)</f>
        <v>33732</v>
      </c>
      <c r="H54" s="13">
        <f>SUM(Jan!H54, Feb!H54, Mar!H54)</f>
        <v>-15281.25</v>
      </c>
      <c r="I54" s="14">
        <f t="shared" si="8"/>
        <v>-0.45301938811810744</v>
      </c>
      <c r="J54" s="38"/>
      <c r="K54" s="38"/>
    </row>
    <row r="55" spans="1:11" ht="15.75">
      <c r="A55" s="27" t="str">
        <v>Q229</v>
      </c>
      <c r="B55" s="28" t="str">
        <v>NY</v>
      </c>
      <c r="C55" s="10">
        <f>SUM(Jan!C55, Feb!C55, Mar!C55)</f>
        <v>8335.71875</v>
      </c>
      <c r="D55" s="15">
        <f>SUM(Jan!D55, Feb!D55, Mar!D55)</f>
        <v>11971.643</v>
      </c>
      <c r="E55" s="15">
        <f t="shared" si="6"/>
        <v>-3635.92425</v>
      </c>
      <c r="F55" s="16">
        <f t="shared" si="7"/>
        <v>-0.3037113828068545</v>
      </c>
      <c r="G55" s="17">
        <f>SUM(Jan!G55, Feb!G55, Mar!G55)</f>
        <v>16060.793000000001</v>
      </c>
      <c r="H55" s="17">
        <f>SUM(Jan!H55, Feb!H55, Mar!H55)</f>
        <v>-7725.0742500000006</v>
      </c>
      <c r="I55" s="16">
        <f t="shared" si="8"/>
        <v>-0.48098959061361413</v>
      </c>
      <c r="J55" s="39"/>
      <c r="K55" s="40"/>
    </row>
    <row r="56" spans="1:11" ht="15.75">
      <c r="A56" s="25" t="str">
        <v>Q231</v>
      </c>
      <c r="B56" s="26" t="str">
        <v>NY</v>
      </c>
      <c r="C56" s="21">
        <f>SUM(Jan!C56, Feb!C56, Mar!C56)</f>
        <v>34317.0625</v>
      </c>
      <c r="D56" s="11">
        <f>SUM(Jan!D56, Feb!D56, Mar!D56)</f>
        <v>56661.2</v>
      </c>
      <c r="E56" s="11">
        <f t="shared" si="6"/>
        <v>-22344.137499999997</v>
      </c>
      <c r="F56" s="12">
        <f t="shared" si="7"/>
        <v>-0.39434635164804133</v>
      </c>
      <c r="G56" s="13">
        <f>SUM(Jan!G56, Feb!G56, Mar!G56)</f>
        <v>0</v>
      </c>
      <c r="H56" s="13">
        <f>SUM(Jan!H56, Feb!H56, Mar!H56)</f>
        <v>34317.0625</v>
      </c>
      <c r="I56" s="14" t="str">
        <f t="shared" si="8"/>
        <v/>
      </c>
      <c r="J56" s="38"/>
      <c r="K56" s="38"/>
    </row>
    <row r="57" spans="1:11" ht="15.75">
      <c r="A57" s="27" t="str">
        <v>Q405</v>
      </c>
      <c r="B57" s="28" t="str">
        <v>NY</v>
      </c>
      <c r="C57" s="10">
        <f>SUM(Jan!C57, Feb!C57, Mar!C57)</f>
        <v>35468.125</v>
      </c>
      <c r="D57" s="15">
        <f>SUM(Jan!D57, Feb!D57, Mar!D57)</f>
        <v>53629.91</v>
      </c>
      <c r="E57" s="15">
        <f t="shared" si="6"/>
        <v>-18161.785000000003</v>
      </c>
      <c r="F57" s="16">
        <f t="shared" si="7"/>
        <v>-0.33865029794008611</v>
      </c>
      <c r="G57" s="17">
        <f>SUM(Jan!G57, Feb!G57, Mar!G57)</f>
        <v>47018.04</v>
      </c>
      <c r="H57" s="17">
        <f>SUM(Jan!H57, Feb!H57, Mar!H57)</f>
        <v>-11549.915000000001</v>
      </c>
      <c r="I57" s="16">
        <f t="shared" si="8"/>
        <v>-0.24564858509627369</v>
      </c>
      <c r="J57" s="39"/>
      <c r="K57" s="40"/>
    </row>
    <row r="58" spans="1:11" ht="15.75">
      <c r="A58" s="25" t="str">
        <v>Q435</v>
      </c>
      <c r="B58" s="26" t="str">
        <v>NY</v>
      </c>
      <c r="C58" s="21">
        <f>SUM(Jan!C58, Feb!C58, Mar!C58)</f>
        <v>0</v>
      </c>
      <c r="D58" s="11">
        <f>SUM(Jan!D58, Feb!D58, Mar!D58)</f>
        <v>0</v>
      </c>
      <c r="E58" s="11">
        <f t="shared" si="6"/>
        <v>0</v>
      </c>
      <c r="F58" s="12" t="str">
        <f t="shared" si="7"/>
        <v/>
      </c>
      <c r="G58" s="13">
        <f>SUM(Jan!G58, Feb!G58, Mar!G58)</f>
        <v>0</v>
      </c>
      <c r="H58" s="13">
        <f>SUM(Jan!H58, Feb!H58, Mar!H58)</f>
        <v>0</v>
      </c>
      <c r="I58" s="14" t="str">
        <f t="shared" si="8"/>
        <v/>
      </c>
      <c r="J58" s="38"/>
      <c r="K58" s="38"/>
    </row>
    <row r="59" spans="1:11" ht="15.75">
      <c r="A59" s="27" t="str">
        <v>Q485</v>
      </c>
      <c r="B59" s="28" t="str">
        <v>NY</v>
      </c>
      <c r="C59" s="10">
        <f>SUM(Jan!C59, Feb!C59, Mar!C59)</f>
        <v>35974.386327930697</v>
      </c>
      <c r="D59" s="15">
        <f>SUM(Jan!D59, Feb!D59, Mar!D59)</f>
        <v>38867.919999999998</v>
      </c>
      <c r="E59" s="15">
        <f t="shared" si="6"/>
        <v>-2893.5336720693012</v>
      </c>
      <c r="F59" s="16">
        <f t="shared" si="7"/>
        <v>-7.4445292469195706E-2</v>
      </c>
      <c r="G59" s="17">
        <f>SUM(Jan!G59, Feb!G59, Mar!G59)</f>
        <v>59344.08</v>
      </c>
      <c r="H59" s="17">
        <f>SUM(Jan!H59, Feb!H59, Mar!H59)</f>
        <v>-23369.693672069297</v>
      </c>
      <c r="I59" s="16">
        <f t="shared" si="8"/>
        <v>-0.3937999152075371</v>
      </c>
      <c r="J59" s="39"/>
      <c r="K59" s="40"/>
    </row>
    <row r="60" spans="1:11" ht="15.75">
      <c r="A60" s="25" t="str">
        <v>Q490</v>
      </c>
      <c r="B60" s="26" t="str">
        <v>NY</v>
      </c>
      <c r="C60" s="21">
        <f>SUM(Jan!C60, Feb!C60, Mar!C60)</f>
        <v>29943.849668935698</v>
      </c>
      <c r="D60" s="11">
        <f>SUM(Jan!D60, Feb!D60, Mar!D60)</f>
        <v>0</v>
      </c>
      <c r="E60" s="11">
        <f t="shared" si="6"/>
        <v>29943.849668935698</v>
      </c>
      <c r="F60" s="12" t="str">
        <f t="shared" si="7"/>
        <v/>
      </c>
      <c r="G60" s="13">
        <f>SUM(Jan!G60, Feb!G60, Mar!G60)</f>
        <v>50408.289999999994</v>
      </c>
      <c r="H60" s="13">
        <f>SUM(Jan!H60, Feb!H60, Mar!H60)</f>
        <v>-20464.440331064296</v>
      </c>
      <c r="I60" s="14">
        <f t="shared" si="8"/>
        <v>-0.40597370652851539</v>
      </c>
      <c r="J60" s="38"/>
      <c r="K60" s="38"/>
    </row>
    <row r="61" spans="1:11" ht="15.75">
      <c r="A61" s="27" t="str">
        <v>Q620</v>
      </c>
      <c r="B61" s="28" t="str">
        <v>NY</v>
      </c>
      <c r="C61" s="10">
        <f>SUM(Jan!C61, Feb!C61, Mar!C61)</f>
        <v>44966.125</v>
      </c>
      <c r="D61" s="15">
        <f>SUM(Jan!D61, Feb!D61, Mar!D61)</f>
        <v>67611.820000000007</v>
      </c>
      <c r="E61" s="15">
        <f t="shared" si="6"/>
        <v>-22645.695000000007</v>
      </c>
      <c r="F61" s="16">
        <f t="shared" si="7"/>
        <v>-0.33493692375090633</v>
      </c>
      <c r="G61" s="17">
        <f>SUM(Jan!G61, Feb!G61, Mar!G61)</f>
        <v>79555.98</v>
      </c>
      <c r="H61" s="17">
        <f>SUM(Jan!H61, Feb!H61, Mar!H61)</f>
        <v>-34589.854999999996</v>
      </c>
      <c r="I61" s="16">
        <f t="shared" si="8"/>
        <v>-0.43478636049735037</v>
      </c>
      <c r="J61" s="39"/>
      <c r="K61" s="40"/>
    </row>
    <row r="62" spans="1:11" ht="15.75">
      <c r="A62" s="25" t="str">
        <v>QMOA</v>
      </c>
      <c r="B62" s="26" t="str">
        <v>NY</v>
      </c>
      <c r="C62" s="21">
        <f>SUM(Jan!C62, Feb!C62, Mar!C62)</f>
        <v>4688.0999999999894</v>
      </c>
      <c r="D62" s="11">
        <f>SUM(Jan!D62, Feb!D62, Mar!D62)</f>
        <v>0</v>
      </c>
      <c r="E62" s="11">
        <f t="shared" si="6"/>
        <v>4688.0999999999894</v>
      </c>
      <c r="F62" s="12" t="str">
        <f t="shared" si="7"/>
        <v/>
      </c>
      <c r="G62" s="13">
        <f>SUM(Jan!G62, Feb!G62, Mar!G62)</f>
        <v>6678.5510000000004</v>
      </c>
      <c r="H62" s="13">
        <f>SUM(Jan!H62, Feb!H62, Mar!H62)</f>
        <v>-1990.4510000000105</v>
      </c>
      <c r="I62" s="14">
        <f t="shared" si="8"/>
        <v>-0.29803635549088575</v>
      </c>
      <c r="J62" s="38"/>
      <c r="K62" s="38"/>
    </row>
    <row r="63" spans="1:11" ht="15.75">
      <c r="A63" s="27" t="str">
        <v>X024</v>
      </c>
      <c r="B63" s="28" t="str">
        <v>NY</v>
      </c>
      <c r="C63" s="10">
        <f>SUM(Jan!C63, Feb!C63, Mar!C63)</f>
        <v>16170.876</v>
      </c>
      <c r="D63" s="15">
        <f>SUM(Jan!D63, Feb!D63, Mar!D63)</f>
        <v>0</v>
      </c>
      <c r="E63" s="15">
        <f t="shared" si="6"/>
        <v>16170.876</v>
      </c>
      <c r="F63" s="16" t="str">
        <f t="shared" si="7"/>
        <v/>
      </c>
      <c r="G63" s="17">
        <f>SUM(Jan!G63, Feb!G63, Mar!G63)</f>
        <v>0</v>
      </c>
      <c r="H63" s="17">
        <f>SUM(Jan!H63, Feb!H63, Mar!H63)</f>
        <v>16170.876</v>
      </c>
      <c r="I63" s="16" t="str">
        <f t="shared" si="8"/>
        <v/>
      </c>
      <c r="J63" s="39"/>
      <c r="K63" s="40"/>
    </row>
    <row r="64" spans="1:11" ht="15.75">
      <c r="A64" s="25" t="str">
        <v>X026</v>
      </c>
      <c r="B64" s="26" t="str">
        <v>NY</v>
      </c>
      <c r="C64" s="21">
        <f>SUM(Jan!C64, Feb!C64, Mar!C64)</f>
        <v>12821.100000000039</v>
      </c>
      <c r="D64" s="11">
        <f>SUM(Jan!D64, Feb!D64, Mar!D64)</f>
        <v>22328.19</v>
      </c>
      <c r="E64" s="11">
        <f t="shared" si="6"/>
        <v>-9507.0899999999601</v>
      </c>
      <c r="F64" s="12">
        <f t="shared" si="7"/>
        <v>-0.42578865550678135</v>
      </c>
      <c r="G64" s="13">
        <f>SUM(Jan!G64, Feb!G64, Mar!G64)</f>
        <v>31394.639999999999</v>
      </c>
      <c r="H64" s="13">
        <f>SUM(Jan!H64, Feb!H64, Mar!H64)</f>
        <v>-18573.539999999961</v>
      </c>
      <c r="I64" s="14">
        <f t="shared" si="8"/>
        <v>-0.59161500179648374</v>
      </c>
      <c r="J64" s="38"/>
      <c r="K64" s="38"/>
    </row>
    <row r="65" spans="1:11" ht="15.75">
      <c r="A65" s="27" t="str">
        <v>X090</v>
      </c>
      <c r="B65" s="28" t="str">
        <v>NY</v>
      </c>
      <c r="C65" s="10">
        <f>SUM(Jan!C65, Feb!C65, Mar!C65)</f>
        <v>13717.078125</v>
      </c>
      <c r="D65" s="15">
        <f>SUM(Jan!D65, Feb!D65, Mar!D65)</f>
        <v>14332.624</v>
      </c>
      <c r="E65" s="15">
        <f t="shared" si="6"/>
        <v>-615.5458749999998</v>
      </c>
      <c r="F65" s="16">
        <f t="shared" si="7"/>
        <v>-4.2947186432854154E-2</v>
      </c>
      <c r="G65" s="17">
        <f>SUM(Jan!G65, Feb!G65, Mar!G65)</f>
        <v>20234</v>
      </c>
      <c r="H65" s="17">
        <f>SUM(Jan!H65, Feb!H65, Mar!H65)</f>
        <v>-6516.9218749999991</v>
      </c>
      <c r="I65" s="16">
        <f t="shared" si="8"/>
        <v>-0.32207778368093304</v>
      </c>
      <c r="J65" s="39"/>
      <c r="K65" s="39"/>
    </row>
    <row r="66" spans="1:11" ht="15.75">
      <c r="A66" s="25" t="str">
        <v>X117</v>
      </c>
      <c r="B66" s="26" t="str">
        <v>NY</v>
      </c>
      <c r="C66" s="21">
        <f>SUM(Jan!C66, Feb!C66, Mar!C66)</f>
        <v>10193.800000000039</v>
      </c>
      <c r="D66" s="11">
        <f>SUM(Jan!D66, Feb!D66, Mar!D66)</f>
        <v>19296.489000000001</v>
      </c>
      <c r="E66" s="11">
        <f t="shared" si="6"/>
        <v>-9102.6889999999621</v>
      </c>
      <c r="F66" s="12">
        <f t="shared" si="7"/>
        <v>-0.47172773243878519</v>
      </c>
      <c r="G66" s="13">
        <f>SUM(Jan!G66, Feb!G66, Mar!G66)</f>
        <v>35579.86</v>
      </c>
      <c r="H66" s="13">
        <f>SUM(Jan!H66, Feb!H66, Mar!H66)</f>
        <v>-25386.059999999961</v>
      </c>
      <c r="I66" s="14">
        <f t="shared" si="8"/>
        <v>-0.71349521892441292</v>
      </c>
      <c r="J66" s="38"/>
      <c r="K66" s="38"/>
    </row>
    <row r="67" spans="1:11" ht="15.75">
      <c r="A67" s="27" t="str">
        <v>X125</v>
      </c>
      <c r="B67" s="28" t="str">
        <v>NY</v>
      </c>
      <c r="C67" s="10">
        <f>SUM(Jan!C67, Feb!C67, Mar!C67)</f>
        <v>21319.78125</v>
      </c>
      <c r="D67" s="15">
        <f>SUM(Jan!D67, Feb!D67, Mar!D67)</f>
        <v>32690.27</v>
      </c>
      <c r="E67" s="15">
        <f t="shared" si="6"/>
        <v>-11370.48875</v>
      </c>
      <c r="F67" s="16">
        <f t="shared" si="7"/>
        <v>-0.34782486501335108</v>
      </c>
      <c r="G67" s="17">
        <f>SUM(Jan!G67, Feb!G67, Mar!G67)</f>
        <v>23983.81</v>
      </c>
      <c r="H67" s="17">
        <f>SUM(Jan!H67, Feb!H67, Mar!H67)</f>
        <v>-2664.0287500000013</v>
      </c>
      <c r="I67" s="16">
        <f t="shared" si="8"/>
        <v>-0.11107612802136113</v>
      </c>
      <c r="J67" s="39"/>
      <c r="K67" s="40"/>
    </row>
    <row r="68" spans="1:11" ht="15.75">
      <c r="A68" s="25" t="str">
        <v>X134</v>
      </c>
      <c r="B68" s="26" t="str">
        <v>NY</v>
      </c>
      <c r="C68" s="21">
        <f>SUM(Jan!C68, Feb!C68, Mar!C68)</f>
        <v>19644.53125</v>
      </c>
      <c r="D68" s="11">
        <f>SUM(Jan!D68, Feb!D68, Mar!D68)</f>
        <v>0</v>
      </c>
      <c r="E68" s="11">
        <f t="shared" si="6"/>
        <v>19644.53125</v>
      </c>
      <c r="F68" s="12" t="str">
        <f t="shared" si="7"/>
        <v/>
      </c>
      <c r="G68" s="13">
        <f>SUM(Jan!G68, Feb!G68, Mar!G68)</f>
        <v>0</v>
      </c>
      <c r="H68" s="13">
        <f>SUM(Jan!H68, Feb!H68, Mar!H68)</f>
        <v>19644.53125</v>
      </c>
      <c r="I68" s="14" t="str">
        <f t="shared" si="8"/>
        <v/>
      </c>
      <c r="J68" s="38"/>
      <c r="K68" s="38"/>
    </row>
    <row r="69" spans="1:11" ht="15.75">
      <c r="A69" s="27" t="str">
        <v>X135</v>
      </c>
      <c r="B69" s="28" t="str">
        <v>NY</v>
      </c>
      <c r="C69" s="10">
        <f>SUM(Jan!C69, Feb!C69, Mar!C69)</f>
        <v>15102.734375</v>
      </c>
      <c r="D69" s="15">
        <f>SUM(Jan!D69, Feb!D69, Mar!D69)</f>
        <v>0</v>
      </c>
      <c r="E69" s="15">
        <f t="shared" si="6"/>
        <v>15102.734375</v>
      </c>
      <c r="F69" s="16" t="str">
        <f t="shared" si="7"/>
        <v/>
      </c>
      <c r="G69" s="17">
        <f>SUM(Jan!G69, Feb!G69, Mar!G69)</f>
        <v>0</v>
      </c>
      <c r="H69" s="17">
        <f>SUM(Jan!H69, Feb!H69, Mar!H69)</f>
        <v>15102.734375</v>
      </c>
      <c r="I69" s="16" t="str">
        <f t="shared" si="8"/>
        <v/>
      </c>
      <c r="J69" s="39"/>
      <c r="K69" s="40"/>
    </row>
    <row r="70" spans="1:11" ht="15.75">
      <c r="A70" s="25" t="str">
        <v>X139 JHS 222</v>
      </c>
      <c r="B70" s="26" t="str">
        <v>NY</v>
      </c>
      <c r="C70" s="21">
        <f>SUM(Jan!C70, Feb!C70, Mar!C70)</f>
        <v>25370.923590982267</v>
      </c>
      <c r="D70" s="11">
        <f>SUM(Jan!D70, Feb!D70, Mar!D70)</f>
        <v>34350.92</v>
      </c>
      <c r="E70" s="11">
        <f t="shared" si="6"/>
        <v>-8979.9964090177309</v>
      </c>
      <c r="F70" s="12">
        <f t="shared" si="7"/>
        <v>-0.26141938582773711</v>
      </c>
      <c r="G70" s="13">
        <f>SUM(Jan!G70, Feb!G70, Mar!G70)</f>
        <v>50558</v>
      </c>
      <c r="H70" s="13">
        <f>SUM(Jan!H70, Feb!H70, Mar!H70)</f>
        <v>-25187.076409017733</v>
      </c>
      <c r="I70" s="14">
        <f t="shared" si="8"/>
        <v>-0.49818181907942821</v>
      </c>
      <c r="J70" s="38"/>
      <c r="K70" s="38"/>
    </row>
    <row r="71" spans="1:11" ht="15.75">
      <c r="A71" s="27" t="str">
        <v>X140</v>
      </c>
      <c r="B71" s="28" t="str">
        <v>NY</v>
      </c>
      <c r="C71" s="10">
        <f>SUM(Jan!C71, Feb!C71, Mar!C71)</f>
        <v>13378.278</v>
      </c>
      <c r="D71" s="15">
        <f>SUM(Jan!D71, Feb!D71, Mar!D71)</f>
        <v>17450.657999999999</v>
      </c>
      <c r="E71" s="15">
        <f t="shared" si="6"/>
        <v>-4072.3799999999992</v>
      </c>
      <c r="F71" s="16">
        <f t="shared" si="7"/>
        <v>-0.23336541235293243</v>
      </c>
      <c r="G71" s="17">
        <f>SUM(Jan!G71, Feb!G71, Mar!G71)</f>
        <v>20845.069</v>
      </c>
      <c r="H71" s="17">
        <f>SUM(Jan!H71, Feb!H71, Mar!H71)</f>
        <v>-7466.7909999999993</v>
      </c>
      <c r="I71" s="16">
        <f t="shared" si="8"/>
        <v>-0.3582041872828533</v>
      </c>
      <c r="J71" s="39"/>
      <c r="K71" s="40"/>
    </row>
    <row r="72" spans="1:11" ht="15.75">
      <c r="A72" s="25" t="str">
        <v>X166</v>
      </c>
      <c r="B72" s="26" t="str">
        <v>NY</v>
      </c>
      <c r="C72" s="21">
        <f>SUM(Jan!C72, Feb!C72, Mar!C72)</f>
        <v>15345.199999999968</v>
      </c>
      <c r="D72" s="11">
        <f>SUM(Jan!D72, Feb!D72, Mar!D72)</f>
        <v>22439.846000000001</v>
      </c>
      <c r="E72" s="11">
        <f t="shared" si="6"/>
        <v>-7094.6460000000334</v>
      </c>
      <c r="F72" s="12">
        <f t="shared" si="7"/>
        <v>-0.31616286493231877</v>
      </c>
      <c r="G72" s="13">
        <f>SUM(Jan!G72, Feb!G72, Mar!G72)</f>
        <v>0</v>
      </c>
      <c r="H72" s="13">
        <f>SUM(Jan!H72, Feb!H72, Mar!H72)</f>
        <v>15345.199999999968</v>
      </c>
      <c r="I72" s="14" t="str">
        <f t="shared" si="8"/>
        <v/>
      </c>
      <c r="J72" s="38"/>
      <c r="K72" s="38"/>
    </row>
    <row r="73" spans="1:11" ht="15.75">
      <c r="A73" s="27" t="str">
        <v>Murphy</v>
      </c>
      <c r="B73" s="28" t="str">
        <v>MN</v>
      </c>
      <c r="C73" s="10">
        <f>SUM(Jan!C73, Feb!C73, Mar!C73)</f>
        <v>861810</v>
      </c>
      <c r="D73" s="15">
        <f>SUM(Jan!D73, Feb!D73, Mar!D73)</f>
        <v>1153239.2</v>
      </c>
      <c r="E73" s="15">
        <f t="shared" si="6"/>
        <v>-291429.19999999995</v>
      </c>
      <c r="F73" s="16">
        <f t="shared" si="7"/>
        <v>-0.25270490285103037</v>
      </c>
      <c r="G73" s="17">
        <f>SUM(Jan!G73, Feb!G73, Mar!G73)</f>
        <v>1224657.6000000001</v>
      </c>
      <c r="H73" s="17">
        <f>SUM(Jan!H73, Feb!H73, Mar!H73)</f>
        <v>-362847.6</v>
      </c>
      <c r="I73" s="16">
        <f t="shared" si="8"/>
        <v>-0.29628493711221809</v>
      </c>
      <c r="J73" s="39"/>
      <c r="K73" s="40"/>
    </row>
    <row r="74" spans="1:11" ht="15.75">
      <c r="A74" s="25" t="str">
        <v>Terning</v>
      </c>
      <c r="B74" s="26" t="str">
        <v>MN</v>
      </c>
      <c r="C74" s="21">
        <f>SUM(Jan!C74, Feb!C74, Mar!C74)</f>
        <v>863188</v>
      </c>
      <c r="D74" s="11">
        <f>SUM(Jan!D74, Feb!D74, Mar!D74)</f>
        <v>1132129.1000000001</v>
      </c>
      <c r="E74" s="11">
        <f t="shared" si="6"/>
        <v>-268941.10000000009</v>
      </c>
      <c r="F74" s="12">
        <f t="shared" si="7"/>
        <v>-0.23755338503356205</v>
      </c>
      <c r="G74" s="13">
        <f>SUM(Jan!G74, Feb!G74, Mar!G74)</f>
        <v>1135889.1000000001</v>
      </c>
      <c r="H74" s="13">
        <f>SUM(Jan!H74, Feb!H74, Mar!H74)</f>
        <v>-272701.10000000003</v>
      </c>
      <c r="I74" s="14">
        <f t="shared" si="8"/>
        <v>-0.24007722232742618</v>
      </c>
      <c r="J74" s="38"/>
      <c r="K74" s="38"/>
    </row>
    <row r="75" spans="1:11" ht="15.75">
      <c r="A75" s="27" t="str">
        <v>Boas Road 04</v>
      </c>
      <c r="B75" s="28" t="str">
        <v>NY</v>
      </c>
      <c r="C75" s="10">
        <f>SUM(Jan!C75, Feb!C75, Mar!C75)</f>
        <v>226452</v>
      </c>
      <c r="D75" s="15">
        <f>SUM(Jan!D75, Feb!D75, Mar!D75)</f>
        <v>264045.63</v>
      </c>
      <c r="E75" s="15">
        <f t="shared" si="6"/>
        <v>-37593.630000000005</v>
      </c>
      <c r="F75" s="16">
        <f t="shared" si="7"/>
        <v>-0.14237550532459106</v>
      </c>
      <c r="G75" s="17">
        <f>SUM(Jan!G75, Feb!G75, Mar!G75)</f>
        <v>440129.36</v>
      </c>
      <c r="H75" s="17">
        <f>SUM(Jan!H75, Feb!H75, Mar!H75)</f>
        <v>-213677.36</v>
      </c>
      <c r="I75" s="16">
        <f t="shared" si="8"/>
        <v>-0.48548763027306335</v>
      </c>
      <c r="J75" s="39"/>
      <c r="K75" s="40"/>
    </row>
    <row r="76" spans="1:11" ht="15.75">
      <c r="A76" s="25" t="str">
        <v>Kelly Bridge Farm</v>
      </c>
      <c r="B76" s="26" t="str">
        <v>NY</v>
      </c>
      <c r="C76" s="21">
        <f>SUM(Jan!C76, Feb!C76, Mar!C76)</f>
        <v>281277</v>
      </c>
      <c r="D76" s="11">
        <f>SUM(Jan!D76, Feb!D76, Mar!D76)</f>
        <v>291693.36</v>
      </c>
      <c r="E76" s="11">
        <f t="shared" si="6"/>
        <v>-10416.359999999986</v>
      </c>
      <c r="F76" s="12">
        <f t="shared" si="7"/>
        <v>-3.5709966109615889E-2</v>
      </c>
      <c r="G76" s="13">
        <f>SUM(Jan!G76, Feb!G76, Mar!G76)</f>
        <v>418891.18</v>
      </c>
      <c r="H76" s="13">
        <f>SUM(Jan!H76, Feb!H76, Mar!H76)</f>
        <v>-137614.18</v>
      </c>
      <c r="I76" s="14">
        <f t="shared" si="8"/>
        <v>-0.32852011827988359</v>
      </c>
      <c r="J76" s="38"/>
      <c r="K76" s="38"/>
    </row>
    <row r="77" spans="1:11" ht="15.75">
      <c r="A77" s="27" t="str">
        <v>Pool Brook Road</v>
      </c>
      <c r="B77" s="28" t="str">
        <v>NY</v>
      </c>
      <c r="C77" s="10">
        <f>SUM(Jan!C77, Feb!C77, Mar!C77)</f>
        <v>262605</v>
      </c>
      <c r="D77" s="15">
        <f>SUM(Jan!D77, Feb!D77, Mar!D77)</f>
        <v>253637.61</v>
      </c>
      <c r="E77" s="15">
        <f t="shared" si="6"/>
        <v>8967.390000000014</v>
      </c>
      <c r="F77" s="16">
        <f t="shared" si="7"/>
        <v>3.5355127340933448E-2</v>
      </c>
      <c r="G77" s="17">
        <f>SUM(Jan!G77, Feb!G77, Mar!G77)</f>
        <v>389748.24</v>
      </c>
      <c r="H77" s="17">
        <f>SUM(Jan!H77, Feb!H77, Mar!H77)</f>
        <v>-127143.23999999999</v>
      </c>
      <c r="I77" s="16">
        <f t="shared" si="8"/>
        <v>-0.32621889453561098</v>
      </c>
      <c r="J77" s="39"/>
      <c r="K77" s="39"/>
    </row>
    <row r="78" spans="1:11" ht="15.75">
      <c r="A78" s="25" t="str">
        <v>Sackett Lake</v>
      </c>
      <c r="B78" s="26" t="str">
        <v>NY</v>
      </c>
      <c r="C78" s="21">
        <f>SUM(Jan!C78, Feb!C78, Mar!C78)</f>
        <v>316121</v>
      </c>
      <c r="D78" s="11">
        <f>SUM(Jan!D78, Feb!D78, Mar!D78)</f>
        <v>302531.58</v>
      </c>
      <c r="E78" s="11">
        <f t="shared" si="6"/>
        <v>13589.419999999984</v>
      </c>
      <c r="F78" s="12">
        <f t="shared" si="7"/>
        <v>4.4919013082865542E-2</v>
      </c>
      <c r="G78" s="13">
        <f>SUM(Jan!G78, Feb!G78, Mar!G78)</f>
        <v>446618.22</v>
      </c>
      <c r="H78" s="13">
        <f>SUM(Jan!H78, Feb!H78, Mar!H78)</f>
        <v>-130497.21999999997</v>
      </c>
      <c r="I78" s="14">
        <f t="shared" si="8"/>
        <v>-0.29218964689797022</v>
      </c>
      <c r="J78" s="38"/>
      <c r="K78" s="38"/>
    </row>
    <row r="79" spans="1:11" ht="15.75">
      <c r="A79" s="27" t="str">
        <v>Burritt Road</v>
      </c>
      <c r="B79" s="28" t="str">
        <v>NY</v>
      </c>
      <c r="C79" s="10">
        <f>SUM(Jan!C79, Feb!C79, Mar!C79)</f>
        <v>264460</v>
      </c>
      <c r="D79" s="15">
        <f>SUM(Jan!D79, Feb!D79, Mar!D79)</f>
        <v>253957.02000000002</v>
      </c>
      <c r="E79" s="15">
        <f t="shared" si="6"/>
        <v>10502.979999999981</v>
      </c>
      <c r="F79" s="16">
        <f t="shared" si="7"/>
        <v>4.1357313139049987E-2</v>
      </c>
      <c r="G79" s="17">
        <f>SUM(Jan!G79, Feb!G79, Mar!G79)</f>
        <v>287293.48</v>
      </c>
      <c r="H79" s="17">
        <f>SUM(Jan!H79, Feb!H79, Mar!H79)</f>
        <v>-22833.479999999981</v>
      </c>
      <c r="I79" s="16">
        <f t="shared" si="8"/>
        <v>-7.9477891388276489E-2</v>
      </c>
      <c r="J79" s="39"/>
      <c r="K79" s="40"/>
    </row>
    <row r="80" spans="1:11" ht="15.75">
      <c r="A80" s="25" t="str">
        <v>Villa Roma 1</v>
      </c>
      <c r="B80" s="26" t="str">
        <v>NY</v>
      </c>
      <c r="C80" s="21">
        <f>SUM(Jan!C80, Feb!C80, Mar!C80)</f>
        <v>240243</v>
      </c>
      <c r="D80" s="11">
        <f>SUM(Jan!D80, Feb!D80, Mar!D80)</f>
        <v>74359.509999999995</v>
      </c>
      <c r="E80" s="11">
        <f t="shared" si="6"/>
        <v>165883.49</v>
      </c>
      <c r="F80" s="12">
        <f t="shared" si="7"/>
        <v>2.230830864808012</v>
      </c>
      <c r="G80" s="13">
        <f>SUM(Jan!G80, Feb!G80, Mar!G80)</f>
        <v>273091.90000000002</v>
      </c>
      <c r="H80" s="13">
        <f>SUM(Jan!H80, Feb!H80, Mar!H80)</f>
        <v>-32848.899999999994</v>
      </c>
      <c r="I80" s="14">
        <f t="shared" si="8"/>
        <v>-0.12028514943138185</v>
      </c>
      <c r="J80" s="38"/>
      <c r="K80" s="38"/>
    </row>
    <row r="81" spans="1:11" ht="15.75">
      <c r="A81" s="27" t="str">
        <v>Villa Roma 2</v>
      </c>
      <c r="B81" s="28" t="str">
        <v>NY</v>
      </c>
      <c r="C81" s="10">
        <f>SUM(Jan!C81, Feb!C81, Mar!C81)</f>
        <v>271237</v>
      </c>
      <c r="D81" s="15">
        <f>SUM(Jan!D81, Feb!D81, Mar!D81)</f>
        <v>355607.76</v>
      </c>
      <c r="E81" s="15">
        <f t="shared" si="6"/>
        <v>-84370.760000000009</v>
      </c>
      <c r="F81" s="16">
        <f t="shared" si="7"/>
        <v>-0.23725792710485286</v>
      </c>
      <c r="G81" s="17">
        <f>SUM(Jan!G81, Feb!G81, Mar!G81)</f>
        <v>265190.61</v>
      </c>
      <c r="H81" s="17">
        <f>SUM(Jan!H81, Feb!H81, Mar!H81)</f>
        <v>6046.3899999999849</v>
      </c>
      <c r="I81" s="16">
        <f t="shared" si="8"/>
        <v>2.2800166265313788E-2</v>
      </c>
      <c r="J81" s="39"/>
      <c r="K81" s="40"/>
    </row>
    <row r="82" spans="1:11" ht="15.75">
      <c r="A82" s="25" t="str">
        <v>Washington 1</v>
      </c>
      <c r="B82" s="26" t="str">
        <v>NY</v>
      </c>
      <c r="C82" s="21">
        <f>SUM(Jan!C82, Feb!C82, Mar!C82)</f>
        <v>265180</v>
      </c>
      <c r="D82" s="11">
        <f>SUM(Jan!D82, Feb!D82, Mar!D82)</f>
        <v>351943.78</v>
      </c>
      <c r="E82" s="11">
        <f t="shared" ref="E82:E137" si="9">IF(AND(ISNUMBER(C82),ISNUMBER(D82)), C82-D82, "")</f>
        <v>-86763.780000000028</v>
      </c>
      <c r="F82" s="12">
        <f t="shared" ref="F82:F137" si="10">IFERROR(E82/D82, "")</f>
        <v>-0.24652738570916077</v>
      </c>
      <c r="G82" s="13">
        <f>SUM(Jan!G82, Feb!G82, Mar!G82)</f>
        <v>281195.28999999998</v>
      </c>
      <c r="H82" s="13">
        <f>SUM(Jan!H82, Feb!H82, Mar!H82)</f>
        <v>-16015.289999999994</v>
      </c>
      <c r="I82" s="14">
        <f t="shared" ref="I82:I137" si="11">IFERROR(H82/G82, "")</f>
        <v>-5.6954332343191076E-2</v>
      </c>
      <c r="J82" s="38"/>
      <c r="K82" s="38"/>
    </row>
    <row r="83" spans="1:11" ht="15.75">
      <c r="A83" s="27" t="str">
        <v>Washington 3</v>
      </c>
      <c r="B83" s="28" t="str">
        <v>NY</v>
      </c>
      <c r="C83" s="10">
        <f>SUM(Jan!C83, Feb!C83, Mar!C83)</f>
        <v>236996</v>
      </c>
      <c r="D83" s="15">
        <f>SUM(Jan!D83, Feb!D83, Mar!D83)</f>
        <v>342935.82999999996</v>
      </c>
      <c r="E83" s="15">
        <f t="shared" si="9"/>
        <v>-105939.82999999996</v>
      </c>
      <c r="F83" s="16">
        <f t="shared" si="10"/>
        <v>-0.30892027234366259</v>
      </c>
      <c r="G83" s="17">
        <f>SUM(Jan!G83, Feb!G83, Mar!G83)</f>
        <v>342330.82</v>
      </c>
      <c r="H83" s="17">
        <f>SUM(Jan!H83, Feb!H83, Mar!H83)</f>
        <v>-105334.81999999999</v>
      </c>
      <c r="I83" s="16">
        <f t="shared" si="11"/>
        <v>-0.3076989094934543</v>
      </c>
      <c r="J83" s="39"/>
      <c r="K83" s="40"/>
    </row>
    <row r="84" spans="1:11" ht="15.75">
      <c r="A84" s="25" t="str">
        <v>Washington 4</v>
      </c>
      <c r="B84" s="26" t="str">
        <v>NY</v>
      </c>
      <c r="C84" s="21">
        <f>SUM(Jan!C84, Feb!C84, Mar!C84)</f>
        <v>337281</v>
      </c>
      <c r="D84" s="11">
        <f>SUM(Jan!D84, Feb!D84, Mar!D84)</f>
        <v>0</v>
      </c>
      <c r="E84" s="11">
        <f t="shared" si="9"/>
        <v>337281</v>
      </c>
      <c r="F84" s="12" t="str">
        <f t="shared" si="10"/>
        <v/>
      </c>
      <c r="G84" s="13">
        <f>SUM(Jan!G84, Feb!G84, Mar!G84)</f>
        <v>343529.91000000003</v>
      </c>
      <c r="H84" s="13">
        <f>SUM(Jan!H84, Feb!H84, Mar!H84)</f>
        <v>-6248.9100000000035</v>
      </c>
      <c r="I84" s="14">
        <f t="shared" si="11"/>
        <v>-1.8190293823323864E-2</v>
      </c>
      <c r="J84" s="38"/>
      <c r="K84" s="38"/>
    </row>
    <row r="85" spans="1:11" ht="15.75">
      <c r="A85" s="27" t="str">
        <v>Big Tree</v>
      </c>
      <c r="B85" s="28" t="str">
        <v>NY</v>
      </c>
      <c r="C85" s="10">
        <f>SUM(Jan!C85, Feb!C85, Mar!C85)</f>
        <v>238485</v>
      </c>
      <c r="D85" s="15">
        <f>SUM(Jan!D85, Feb!D85, Mar!D85)</f>
        <v>0</v>
      </c>
      <c r="E85" s="15">
        <f t="shared" si="9"/>
        <v>238485</v>
      </c>
      <c r="F85" s="16" t="str">
        <f t="shared" si="10"/>
        <v/>
      </c>
      <c r="G85" s="17">
        <f>SUM(Jan!G85, Feb!G85, Mar!G85)</f>
        <v>208875</v>
      </c>
      <c r="H85" s="17">
        <f>SUM(Jan!H85, Feb!H85, Mar!H85)</f>
        <v>29610</v>
      </c>
      <c r="I85" s="16">
        <f t="shared" si="11"/>
        <v>0.14175942549371634</v>
      </c>
      <c r="J85" s="39"/>
      <c r="K85" s="40"/>
    </row>
    <row r="86" spans="1:11" ht="15.75">
      <c r="A86" s="25" t="str">
        <v>Canoga</v>
      </c>
      <c r="B86" s="26" t="str">
        <v>NY</v>
      </c>
      <c r="C86" s="21">
        <f>SUM(Jan!C86, Feb!C86, Mar!C86)</f>
        <v>808643</v>
      </c>
      <c r="D86" s="11">
        <f>SUM(Jan!D86, Feb!D86, Mar!D86)</f>
        <v>0</v>
      </c>
      <c r="E86" s="11">
        <f t="shared" si="9"/>
        <v>808643</v>
      </c>
      <c r="F86" s="12" t="str">
        <f t="shared" si="10"/>
        <v/>
      </c>
      <c r="G86" s="13">
        <f>SUM(Jan!G86, Feb!G86, Mar!G86)</f>
        <v>592132</v>
      </c>
      <c r="H86" s="13">
        <f>SUM(Jan!H86, Feb!H86, Mar!H86)</f>
        <v>216511</v>
      </c>
      <c r="I86" s="14">
        <f t="shared" si="11"/>
        <v>0.36564651125086972</v>
      </c>
      <c r="J86" s="38"/>
      <c r="K86" s="38"/>
    </row>
    <row r="87" spans="1:11" ht="15.75">
      <c r="A87" s="27" t="str">
        <v>County Route 84</v>
      </c>
      <c r="B87" s="28" t="str">
        <v>NY</v>
      </c>
      <c r="C87" s="10">
        <f>SUM(Jan!C87, Feb!C87, Mar!C87)</f>
        <v>884892</v>
      </c>
      <c r="D87" s="15">
        <f>SUM(Jan!D87, Feb!D87, Mar!D87)</f>
        <v>0</v>
      </c>
      <c r="E87" s="15">
        <f t="shared" si="9"/>
        <v>884892</v>
      </c>
      <c r="F87" s="16" t="str">
        <f t="shared" si="10"/>
        <v/>
      </c>
      <c r="G87" s="17">
        <f>SUM(Jan!G87, Feb!G87, Mar!G87)</f>
        <v>729965</v>
      </c>
      <c r="H87" s="17">
        <f>SUM(Jan!H87, Feb!H87, Mar!H87)</f>
        <v>154927</v>
      </c>
      <c r="I87" s="16">
        <f t="shared" si="11"/>
        <v>0.21223894296301876</v>
      </c>
      <c r="J87" s="39"/>
      <c r="K87" s="40"/>
    </row>
    <row r="88" spans="1:11" ht="15.75">
      <c r="A88" s="25" t="str">
        <v>Donati</v>
      </c>
      <c r="B88" s="26" t="str">
        <v>NY</v>
      </c>
      <c r="C88" s="21">
        <f>SUM(Jan!C88, Feb!C88, Mar!C88)</f>
        <v>318352</v>
      </c>
      <c r="D88" s="11">
        <f>SUM(Jan!D88, Feb!D88, Mar!D88)</f>
        <v>0</v>
      </c>
      <c r="E88" s="11">
        <f t="shared" si="9"/>
        <v>318352</v>
      </c>
      <c r="F88" s="12" t="str">
        <f t="shared" si="10"/>
        <v/>
      </c>
      <c r="G88" s="13">
        <f>SUM(Jan!G88, Feb!G88, Mar!G88)</f>
        <v>233036</v>
      </c>
      <c r="H88" s="13">
        <f>SUM(Jan!H88, Feb!H88, Mar!H88)</f>
        <v>85316</v>
      </c>
      <c r="I88" s="14">
        <f t="shared" si="11"/>
        <v>0.36610652431383994</v>
      </c>
      <c r="J88" s="38"/>
      <c r="K88" s="38"/>
    </row>
    <row r="89" spans="1:11" ht="15.75">
      <c r="A89" s="27" t="str">
        <v>Henrietta</v>
      </c>
      <c r="B89" s="28" t="str">
        <v>NY</v>
      </c>
      <c r="C89" s="10">
        <f>SUM(Jan!C89, Feb!C89, Mar!C89)</f>
        <v>562549</v>
      </c>
      <c r="D89" s="15">
        <f>SUM(Jan!D89, Feb!D89, Mar!D89)</f>
        <v>0</v>
      </c>
      <c r="E89" s="15">
        <f t="shared" si="9"/>
        <v>562549</v>
      </c>
      <c r="F89" s="16" t="str">
        <f t="shared" si="10"/>
        <v/>
      </c>
      <c r="G89" s="17">
        <f>SUM(Jan!G89, Feb!G89, Mar!G89)</f>
        <v>448738</v>
      </c>
      <c r="H89" s="17">
        <f>SUM(Jan!H89, Feb!H89, Mar!H89)</f>
        <v>113811</v>
      </c>
      <c r="I89" s="16">
        <f t="shared" si="11"/>
        <v>0.25362460946030868</v>
      </c>
      <c r="J89" s="39"/>
      <c r="K89" s="39"/>
    </row>
    <row r="90" spans="1:11" ht="15.75">
      <c r="A90" s="25" t="str">
        <v>NY 70</v>
      </c>
      <c r="B90" s="26" t="str">
        <v>NY</v>
      </c>
      <c r="C90" s="21">
        <f>SUM(Jan!C90, Feb!C90, Mar!C90)</f>
        <v>715346</v>
      </c>
      <c r="D90" s="11">
        <f>SUM(Jan!D90, Feb!D90, Mar!D90)</f>
        <v>0</v>
      </c>
      <c r="E90" s="11">
        <f t="shared" si="9"/>
        <v>715346</v>
      </c>
      <c r="F90" s="12" t="str">
        <f t="shared" si="10"/>
        <v/>
      </c>
      <c r="G90" s="13">
        <f>SUM(Jan!G90, Feb!G90, Mar!G90)</f>
        <v>697182</v>
      </c>
      <c r="H90" s="13">
        <f>SUM(Jan!H90, Feb!H90, Mar!H90)</f>
        <v>18164</v>
      </c>
      <c r="I90" s="14">
        <f t="shared" si="11"/>
        <v>2.605345519534354E-2</v>
      </c>
      <c r="J90" s="38"/>
      <c r="K90" s="38"/>
    </row>
    <row r="91" spans="1:11" ht="15.75">
      <c r="A91" s="27" t="str">
        <v>Reid</v>
      </c>
      <c r="B91" s="28" t="str">
        <v>NY</v>
      </c>
      <c r="C91" s="10">
        <f>SUM(Jan!C91, Feb!C91, Mar!C91)</f>
        <v>694435.01958195097</v>
      </c>
      <c r="D91" s="15">
        <f>SUM(Jan!D91, Feb!D91, Mar!D91)</f>
        <v>731692.5</v>
      </c>
      <c r="E91" s="15">
        <f t="shared" si="9"/>
        <v>-37257.480418049032</v>
      </c>
      <c r="F91" s="16">
        <f t="shared" si="10"/>
        <v>-5.0919587692984457E-2</v>
      </c>
      <c r="G91" s="17">
        <f>SUM(Jan!G91, Feb!G91, Mar!G91)</f>
        <v>866151</v>
      </c>
      <c r="H91" s="17">
        <f>SUM(Jan!H91, Feb!H91, Mar!H91)</f>
        <v>-171715.98041804903</v>
      </c>
      <c r="I91" s="16">
        <f t="shared" si="11"/>
        <v>-0.19825178337039273</v>
      </c>
      <c r="J91" s="39"/>
      <c r="K91" s="40"/>
    </row>
    <row r="92" spans="1:11" ht="15.75">
      <c r="A92" s="25" t="str">
        <v>Sangolqui</v>
      </c>
      <c r="B92" s="26" t="str">
        <v>NY</v>
      </c>
      <c r="C92" s="21">
        <f>SUM(Jan!C92, Feb!C92, Mar!C92)</f>
        <v>309019</v>
      </c>
      <c r="D92" s="11">
        <f>SUM(Jan!D92, Feb!D92, Mar!D92)</f>
        <v>0</v>
      </c>
      <c r="E92" s="11">
        <f t="shared" si="9"/>
        <v>309019</v>
      </c>
      <c r="F92" s="12" t="str">
        <f t="shared" si="10"/>
        <v/>
      </c>
      <c r="G92" s="13">
        <f>SUM(Jan!G92, Feb!G92, Mar!G92)</f>
        <v>227258</v>
      </c>
      <c r="H92" s="13">
        <f>SUM(Jan!H92, Feb!H92, Mar!H92)</f>
        <v>81761</v>
      </c>
      <c r="I92" s="14">
        <f t="shared" si="11"/>
        <v>0.35977171320701584</v>
      </c>
      <c r="J92" s="38"/>
      <c r="K92" s="38"/>
    </row>
    <row r="93" spans="1:11" ht="15.75">
      <c r="A93" s="27" t="str">
        <v>State Highway 17B</v>
      </c>
      <c r="B93" s="28" t="str">
        <v>NY</v>
      </c>
      <c r="C93" s="10">
        <f>SUM(Jan!C93, Feb!C93, Mar!C93)</f>
        <v>748636</v>
      </c>
      <c r="D93" s="15">
        <f>SUM(Jan!D93, Feb!D93, Mar!D93)</f>
        <v>0</v>
      </c>
      <c r="E93" s="15">
        <f t="shared" si="9"/>
        <v>748636</v>
      </c>
      <c r="F93" s="16" t="str">
        <f t="shared" si="10"/>
        <v/>
      </c>
      <c r="G93" s="17">
        <f>SUM(Jan!G93, Feb!G93, Mar!G93)</f>
        <v>626626</v>
      </c>
      <c r="H93" s="17">
        <f>SUM(Jan!H93, Feb!H93, Mar!H93)</f>
        <v>122010</v>
      </c>
      <c r="I93" s="16">
        <f t="shared" si="11"/>
        <v>0.19470944391072187</v>
      </c>
      <c r="J93" s="39"/>
      <c r="K93" s="40"/>
    </row>
    <row r="94" spans="1:11" ht="15.75">
      <c r="A94" s="25" t="str">
        <v>State Route 14A</v>
      </c>
      <c r="B94" s="26" t="str">
        <v>NY</v>
      </c>
      <c r="C94" s="21">
        <f>SUM(Jan!C94, Feb!C94, Mar!C94)</f>
        <v>807589</v>
      </c>
      <c r="D94" s="11">
        <f>SUM(Jan!D94, Feb!D94, Mar!D94)</f>
        <v>0</v>
      </c>
      <c r="E94" s="11">
        <f t="shared" si="9"/>
        <v>807589</v>
      </c>
      <c r="F94" s="12" t="str">
        <f t="shared" si="10"/>
        <v/>
      </c>
      <c r="G94" s="13">
        <f>SUM(Jan!G94, Feb!G94, Mar!G94)</f>
        <v>672767</v>
      </c>
      <c r="H94" s="13">
        <f>SUM(Jan!H94, Feb!H94, Mar!H94)</f>
        <v>134822</v>
      </c>
      <c r="I94" s="14">
        <f t="shared" si="11"/>
        <v>0.20039924669313447</v>
      </c>
      <c r="J94" s="38"/>
      <c r="K94" s="38"/>
    </row>
    <row r="95" spans="1:11" ht="15.75">
      <c r="A95" s="27" t="str">
        <v>West Creek</v>
      </c>
      <c r="B95" s="28" t="str">
        <v>NY</v>
      </c>
      <c r="C95" s="10">
        <f>SUM(Jan!C95, Feb!C95, Mar!C95)</f>
        <v>849819</v>
      </c>
      <c r="D95" s="15">
        <f>SUM(Jan!D95, Feb!D95, Mar!D95)</f>
        <v>0</v>
      </c>
      <c r="E95" s="15">
        <f t="shared" si="9"/>
        <v>849819</v>
      </c>
      <c r="F95" s="16" t="str">
        <f t="shared" si="10"/>
        <v/>
      </c>
      <c r="G95" s="17">
        <f>SUM(Jan!G95, Feb!G95, Mar!G95)</f>
        <v>577603</v>
      </c>
      <c r="H95" s="17">
        <f>SUM(Jan!H95, Feb!H95, Mar!H95)</f>
        <v>272216</v>
      </c>
      <c r="I95" s="16">
        <f t="shared" si="11"/>
        <v>0.47128564082942781</v>
      </c>
      <c r="J95" s="39"/>
      <c r="K95" s="40"/>
    </row>
    <row r="96" spans="1:11" ht="15.75">
      <c r="A96" s="25" t="str">
        <v>Wildflower</v>
      </c>
      <c r="B96" s="26" t="str">
        <v>NY</v>
      </c>
      <c r="C96" s="21">
        <f>SUM(Jan!C96, Feb!C96, Mar!C96)</f>
        <v>814700</v>
      </c>
      <c r="D96" s="11">
        <f>SUM(Jan!D96, Feb!D96, Mar!D96)</f>
        <v>0</v>
      </c>
      <c r="E96" s="11">
        <f t="shared" si="9"/>
        <v>814700</v>
      </c>
      <c r="F96" s="12" t="str">
        <f t="shared" si="10"/>
        <v/>
      </c>
      <c r="G96" s="13">
        <f>SUM(Jan!G96, Feb!G96, Mar!G96)</f>
        <v>787594</v>
      </c>
      <c r="H96" s="13">
        <f>SUM(Jan!H96, Feb!H96, Mar!H96)</f>
        <v>27106</v>
      </c>
      <c r="I96" s="14">
        <f t="shared" si="11"/>
        <v>3.4416209366754949E-2</v>
      </c>
      <c r="J96" s="38"/>
      <c r="K96" s="38"/>
    </row>
    <row r="97" spans="1:11" ht="15.75">
      <c r="A97" s="27" t="str">
        <v>Glen Mary 1</v>
      </c>
      <c r="B97" s="28" t="str">
        <v>NY</v>
      </c>
      <c r="C97" s="10">
        <f>SUM(Jan!C97, Feb!C97, Mar!C97)</f>
        <v>705614</v>
      </c>
      <c r="D97" s="15">
        <f>SUM(Jan!D97, Feb!D97, Mar!D97)</f>
        <v>0</v>
      </c>
      <c r="E97" s="15">
        <f t="shared" si="9"/>
        <v>705614</v>
      </c>
      <c r="F97" s="16" t="str">
        <f t="shared" si="10"/>
        <v/>
      </c>
      <c r="G97" s="17">
        <f>SUM(Jan!G97, Feb!G97, Mar!G97)</f>
        <v>364876</v>
      </c>
      <c r="H97" s="17">
        <f>SUM(Jan!H97, Feb!H97, Mar!H97)</f>
        <v>340738</v>
      </c>
      <c r="I97" s="16">
        <f t="shared" si="11"/>
        <v>0.93384601892149666</v>
      </c>
      <c r="J97" s="39"/>
      <c r="K97" s="40"/>
    </row>
    <row r="98" spans="1:11" ht="15.75">
      <c r="A98" s="25" t="str">
        <v>Glen Mary 2</v>
      </c>
      <c r="B98" s="26" t="str">
        <v>NY</v>
      </c>
      <c r="C98" s="21">
        <f>SUM(Jan!C98, Feb!C98, Mar!C98)</f>
        <v>319696</v>
      </c>
      <c r="D98" s="11">
        <f>SUM(Jan!D98, Feb!D98, Mar!D98)</f>
        <v>0</v>
      </c>
      <c r="E98" s="11">
        <f t="shared" si="9"/>
        <v>319696</v>
      </c>
      <c r="F98" s="12" t="str">
        <f t="shared" si="10"/>
        <v/>
      </c>
      <c r="G98" s="13">
        <f>SUM(Jan!G98, Feb!G98, Mar!G98)</f>
        <v>308146</v>
      </c>
      <c r="H98" s="13">
        <f>SUM(Jan!H98, Feb!H98, Mar!H98)</f>
        <v>11550</v>
      </c>
      <c r="I98" s="14">
        <f t="shared" si="11"/>
        <v>3.7482232448255048E-2</v>
      </c>
      <c r="J98" s="38"/>
      <c r="K98" s="38"/>
    </row>
    <row r="99" spans="1:11" ht="15.75">
      <c r="A99" s="27" t="str">
        <v>Telegraph 1</v>
      </c>
      <c r="B99" s="28" t="str">
        <v>NY</v>
      </c>
      <c r="C99" s="10">
        <f>SUM(Jan!C99, Feb!C99, Mar!C99)</f>
        <v>453564</v>
      </c>
      <c r="D99" s="15">
        <f>SUM(Jan!D99, Feb!D99, Mar!D99)</f>
        <v>0</v>
      </c>
      <c r="E99" s="15">
        <f t="shared" si="9"/>
        <v>453564</v>
      </c>
      <c r="F99" s="16" t="str">
        <f t="shared" si="10"/>
        <v/>
      </c>
      <c r="G99" s="17">
        <f>SUM(Jan!G99, Feb!G99, Mar!G99)</f>
        <v>474144.58999999997</v>
      </c>
      <c r="H99" s="17">
        <f>SUM(Jan!H99, Feb!H99, Mar!H99)</f>
        <v>-20580.589999999997</v>
      </c>
      <c r="I99" s="16">
        <f t="shared" si="11"/>
        <v>-4.3405725666932099E-2</v>
      </c>
      <c r="J99" s="39"/>
      <c r="K99" s="40"/>
    </row>
    <row r="100" spans="1:11" ht="15.75">
      <c r="A100" s="25" t="str">
        <v>Telegraph 2</v>
      </c>
      <c r="B100" s="26" t="str">
        <v>NY</v>
      </c>
      <c r="C100" s="21">
        <f>SUM(Jan!C100, Feb!C100, Mar!C100)</f>
        <v>242761</v>
      </c>
      <c r="D100" s="11">
        <f>SUM(Jan!D100, Feb!D100, Mar!D100)</f>
        <v>0</v>
      </c>
      <c r="E100" s="11">
        <f t="shared" si="9"/>
        <v>242761</v>
      </c>
      <c r="F100" s="12" t="str">
        <f t="shared" si="10"/>
        <v/>
      </c>
      <c r="G100" s="13">
        <f>SUM(Jan!G100, Feb!G100, Mar!G100)</f>
        <v>332199.12</v>
      </c>
      <c r="H100" s="13">
        <f>SUM(Jan!H100, Feb!H100, Mar!H100)</f>
        <v>-89438.12</v>
      </c>
      <c r="I100" s="14">
        <f t="shared" si="11"/>
        <v>-0.26923045431306381</v>
      </c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f>SUM(Jan!C101, Feb!C101, Mar!C101)</f>
        <v>761328</v>
      </c>
      <c r="D101" s="15">
        <f>SUM(Jan!D101, Feb!D101, Mar!D101)</f>
        <v>0</v>
      </c>
      <c r="E101" s="15">
        <f t="shared" si="9"/>
        <v>761328</v>
      </c>
      <c r="F101" s="16" t="str">
        <f t="shared" si="10"/>
        <v/>
      </c>
      <c r="G101" s="17">
        <f>SUM(Jan!G101, Feb!G101, Mar!G101)</f>
        <v>604535</v>
      </c>
      <c r="H101" s="17">
        <f>SUM(Jan!H101, Feb!H101, Mar!H101)</f>
        <v>156793</v>
      </c>
      <c r="I101" s="16">
        <f t="shared" si="11"/>
        <v>0.2593613273011488</v>
      </c>
      <c r="J101" s="39"/>
      <c r="K101" s="39"/>
    </row>
    <row r="102" spans="1:11" ht="15.75">
      <c r="A102" s="25" t="str">
        <v>Dunkleman</v>
      </c>
      <c r="B102" s="26" t="str">
        <v>NY</v>
      </c>
      <c r="C102" s="21">
        <f>SUM(Jan!C102, Feb!C102, Mar!C102)</f>
        <v>464234</v>
      </c>
      <c r="D102" s="11">
        <f>SUM(Jan!D102, Feb!D102, Mar!D102)</f>
        <v>0</v>
      </c>
      <c r="E102" s="11">
        <f t="shared" si="9"/>
        <v>464234</v>
      </c>
      <c r="F102" s="12" t="str">
        <f t="shared" si="10"/>
        <v/>
      </c>
      <c r="G102" s="13">
        <f>SUM(Jan!G102, Feb!G102, Mar!G102)</f>
        <v>305903</v>
      </c>
      <c r="H102" s="13">
        <f>SUM(Jan!H102, Feb!H102, Mar!H102)</f>
        <v>158331</v>
      </c>
      <c r="I102" s="14">
        <f t="shared" si="11"/>
        <v>0.51758563989238415</v>
      </c>
      <c r="J102" s="38"/>
      <c r="K102" s="38"/>
    </row>
    <row r="103" spans="1:11" ht="15.75">
      <c r="A103" s="27" t="str">
        <v>Route 19 1</v>
      </c>
      <c r="B103" s="28" t="str">
        <v>NY</v>
      </c>
      <c r="C103" s="10">
        <f>SUM(Jan!C103, Feb!C103, Mar!C103)</f>
        <v>265948</v>
      </c>
      <c r="D103" s="15">
        <f>SUM(Jan!D103, Feb!D103, Mar!D103)</f>
        <v>0</v>
      </c>
      <c r="E103" s="15">
        <f t="shared" si="9"/>
        <v>265948</v>
      </c>
      <c r="F103" s="16" t="str">
        <f t="shared" si="10"/>
        <v/>
      </c>
      <c r="G103" s="17">
        <f>SUM(Jan!G103, Feb!G103, Mar!G103)</f>
        <v>356653.11</v>
      </c>
      <c r="H103" s="17">
        <f>SUM(Jan!H103, Feb!H103, Mar!H103)</f>
        <v>-90705.109999999986</v>
      </c>
      <c r="I103" s="16">
        <f t="shared" si="11"/>
        <v>-0.25432305917646419</v>
      </c>
      <c r="J103" s="39"/>
      <c r="K103" s="40"/>
    </row>
    <row r="104" spans="1:11" ht="15.75">
      <c r="A104" s="25" t="str">
        <v>Route 19 2</v>
      </c>
      <c r="B104" s="26" t="str">
        <v>NY</v>
      </c>
      <c r="C104" s="21">
        <f>SUM(Jan!C104, Feb!C104, Mar!C104)</f>
        <v>621272</v>
      </c>
      <c r="D104" s="11">
        <f>SUM(Jan!D104, Feb!D104, Mar!D104)</f>
        <v>0</v>
      </c>
      <c r="E104" s="11">
        <f t="shared" si="9"/>
        <v>621272</v>
      </c>
      <c r="F104" s="12" t="str">
        <f t="shared" si="10"/>
        <v/>
      </c>
      <c r="G104" s="13">
        <f>SUM(Jan!G104, Feb!G104, Mar!G104)</f>
        <v>699108</v>
      </c>
      <c r="H104" s="13">
        <f>SUM(Jan!H104, Feb!H104, Mar!H104)</f>
        <v>-77836</v>
      </c>
      <c r="I104" s="14">
        <f t="shared" si="11"/>
        <v>-0.11133615979219233</v>
      </c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f>SUM(Jan!C105, Feb!C105, Mar!C105)</f>
        <v>263773</v>
      </c>
      <c r="D105" s="15">
        <f>SUM(Jan!D105, Feb!D105, Mar!D105)</f>
        <v>0</v>
      </c>
      <c r="E105" s="15">
        <f t="shared" si="9"/>
        <v>263773</v>
      </c>
      <c r="F105" s="16" t="str">
        <f t="shared" si="10"/>
        <v/>
      </c>
      <c r="G105" s="17">
        <f>SUM(Jan!G105, Feb!G105, Mar!G105)</f>
        <v>0</v>
      </c>
      <c r="H105" s="17">
        <f>SUM(Jan!H105, Feb!H105, Mar!H105)</f>
        <v>263773</v>
      </c>
      <c r="I105" s="16" t="str">
        <f t="shared" si="11"/>
        <v/>
      </c>
      <c r="J105" s="39"/>
      <c r="K105" s="40"/>
    </row>
    <row r="106" spans="1:11" ht="15.75">
      <c r="A106" s="25" t="str">
        <v>Yellow Mills 2</v>
      </c>
      <c r="B106" s="26" t="str">
        <v>NY</v>
      </c>
      <c r="C106" s="21">
        <f>SUM(Jan!C106, Feb!C106, Mar!C106)</f>
        <v>240332</v>
      </c>
      <c r="D106" s="11">
        <f>SUM(Jan!D106, Feb!D106, Mar!D106)</f>
        <v>0</v>
      </c>
      <c r="E106" s="11">
        <f t="shared" si="9"/>
        <v>240332</v>
      </c>
      <c r="F106" s="12" t="str">
        <f t="shared" si="10"/>
        <v/>
      </c>
      <c r="G106" s="13">
        <f>SUM(Jan!G106, Feb!G106, Mar!G106)</f>
        <v>0</v>
      </c>
      <c r="H106" s="13">
        <f>SUM(Jan!H106, Feb!H106, Mar!H106)</f>
        <v>240332</v>
      </c>
      <c r="I106" s="14" t="str">
        <f t="shared" si="11"/>
        <v/>
      </c>
      <c r="J106" s="38"/>
      <c r="K106" s="38"/>
    </row>
    <row r="107" spans="1:11" ht="15.75">
      <c r="A107" s="27" t="str">
        <v>Yellow Mills 3</v>
      </c>
      <c r="B107" s="28" t="str">
        <v>NY</v>
      </c>
      <c r="C107" s="10">
        <f>SUM(Jan!C107, Feb!C107, Mar!C107)</f>
        <v>110209</v>
      </c>
      <c r="D107" s="15">
        <f>SUM(Jan!D107, Feb!D107, Mar!D107)</f>
        <v>0</v>
      </c>
      <c r="E107" s="15">
        <f t="shared" si="9"/>
        <v>110209</v>
      </c>
      <c r="F107" s="16" t="str">
        <f t="shared" si="10"/>
        <v/>
      </c>
      <c r="G107" s="17">
        <f>SUM(Jan!G107, Feb!G107, Mar!G107)</f>
        <v>0</v>
      </c>
      <c r="H107" s="17">
        <f>SUM(Jan!H107, Feb!H107, Mar!H107)</f>
        <v>110209</v>
      </c>
      <c r="I107" s="16" t="str">
        <f t="shared" si="11"/>
        <v/>
      </c>
      <c r="J107" s="39"/>
      <c r="K107" s="40"/>
    </row>
    <row r="108" spans="1:11" ht="15.75">
      <c r="A108" s="25" t="str">
        <v>Catskill</v>
      </c>
      <c r="B108" s="26" t="str">
        <v>NY</v>
      </c>
      <c r="C108" s="21">
        <f>SUM(Jan!C108, Feb!C108, Mar!C108)</f>
        <v>640547</v>
      </c>
      <c r="D108" s="11">
        <f>SUM(Jan!D108, Feb!D108, Mar!D108)</f>
        <v>0</v>
      </c>
      <c r="E108" s="11">
        <f t="shared" si="9"/>
        <v>640547</v>
      </c>
      <c r="F108" s="12" t="str">
        <f t="shared" si="10"/>
        <v/>
      </c>
      <c r="G108" s="13">
        <f>SUM(Jan!G108, Feb!G108, Mar!G108)</f>
        <v>0</v>
      </c>
      <c r="H108" s="13">
        <f>SUM(Jan!H108, Feb!H108, Mar!H108)</f>
        <v>640547</v>
      </c>
      <c r="I108" s="14" t="str">
        <f t="shared" si="11"/>
        <v/>
      </c>
      <c r="J108" s="38"/>
      <c r="K108" s="38"/>
    </row>
    <row r="109" spans="1:11" ht="15.75">
      <c r="A109" s="27" t="str">
        <v>Eddy Ridge</v>
      </c>
      <c r="B109" s="28" t="str">
        <v>NY</v>
      </c>
      <c r="C109" s="10">
        <f>SUM(Jan!C109, Feb!C109, Mar!C109)</f>
        <v>384992.8</v>
      </c>
      <c r="D109" s="15">
        <f>SUM(Jan!D109, Feb!D109, Mar!D109)</f>
        <v>0</v>
      </c>
      <c r="E109" s="15">
        <f t="shared" si="9"/>
        <v>384992.8</v>
      </c>
      <c r="F109" s="16" t="str">
        <f t="shared" si="10"/>
        <v/>
      </c>
      <c r="G109" s="17">
        <f>SUM(Jan!G109, Feb!G109, Mar!G109)</f>
        <v>0</v>
      </c>
      <c r="H109" s="17">
        <f>SUM(Jan!H109, Feb!H109, Mar!H109)</f>
        <v>384992.8</v>
      </c>
      <c r="I109" s="16" t="str">
        <f t="shared" si="11"/>
        <v/>
      </c>
      <c r="J109" s="39"/>
      <c r="K109" s="40"/>
    </row>
    <row r="110" spans="1:11" ht="15.75">
      <c r="A110" s="25" t="str">
        <v>Ridgeway #1</v>
      </c>
      <c r="B110" s="26" t="str">
        <v>NY</v>
      </c>
      <c r="C110" s="21">
        <f>SUM(Jan!C110, Feb!C110, Mar!C110)</f>
        <v>439556.49</v>
      </c>
      <c r="D110" s="11">
        <f>SUM(Jan!D110, Feb!D110, Mar!D110)</f>
        <v>0</v>
      </c>
      <c r="E110" s="11">
        <f t="shared" si="9"/>
        <v>439556.49</v>
      </c>
      <c r="F110" s="12" t="str">
        <f t="shared" si="10"/>
        <v/>
      </c>
      <c r="G110" s="13">
        <f>SUM(Jan!G110, Feb!G110, Mar!G110)</f>
        <v>0</v>
      </c>
      <c r="H110" s="13">
        <f>SUM(Jan!H110, Feb!H110, Mar!H110)</f>
        <v>439556.49</v>
      </c>
      <c r="I110" s="14" t="str">
        <f t="shared" si="11"/>
        <v/>
      </c>
      <c r="J110" s="38"/>
      <c r="K110" s="38"/>
    </row>
    <row r="111" spans="1:11" ht="15.75">
      <c r="A111" s="27" t="str">
        <v>Rivard 1</v>
      </c>
      <c r="B111" s="28" t="str">
        <v>NY</v>
      </c>
      <c r="C111" s="10">
        <f>SUM(Jan!C111, Feb!C111, Mar!C111)</f>
        <v>505546.15577889403</v>
      </c>
      <c r="D111" s="15">
        <f>SUM(Jan!D111, Feb!D111, Mar!D111)</f>
        <v>629243.30000000005</v>
      </c>
      <c r="E111" s="15">
        <f t="shared" si="9"/>
        <v>-123697.14422110602</v>
      </c>
      <c r="F111" s="16">
        <f t="shared" si="10"/>
        <v>-0.19658078873641724</v>
      </c>
      <c r="G111" s="17">
        <f>SUM(Jan!G111, Feb!G111, Mar!G111)</f>
        <v>688606.5</v>
      </c>
      <c r="H111" s="17">
        <f>SUM(Jan!H111, Feb!H111, Mar!H111)</f>
        <v>-183060.34422110597</v>
      </c>
      <c r="I111" s="16">
        <f t="shared" si="11"/>
        <v>-0.26584173141134448</v>
      </c>
      <c r="J111" s="39"/>
      <c r="K111" s="40"/>
    </row>
    <row r="112" spans="1:11" ht="15.75">
      <c r="A112" s="25" t="str">
        <v>Rivard 2</v>
      </c>
      <c r="B112" s="26" t="str">
        <v>NY</v>
      </c>
      <c r="C112" s="21">
        <f>SUM(Jan!C112, Feb!C112, Mar!C112)</f>
        <v>395303.96153443266</v>
      </c>
      <c r="D112" s="11">
        <f>SUM(Jan!D112, Feb!D112, Mar!D112)</f>
        <v>422994.58999999997</v>
      </c>
      <c r="E112" s="11">
        <f t="shared" si="9"/>
        <v>-27690.628465567308</v>
      </c>
      <c r="F112" s="12">
        <f t="shared" si="10"/>
        <v>-6.5463315891504212E-2</v>
      </c>
      <c r="G112" s="13">
        <f>SUM(Jan!G112, Feb!G112, Mar!G112)</f>
        <v>660188.9</v>
      </c>
      <c r="H112" s="13">
        <f>SUM(Jan!H112, Feb!H112, Mar!H112)</f>
        <v>-264884.93846556731</v>
      </c>
      <c r="I112" s="14">
        <f t="shared" si="11"/>
        <v>-0.40122598011806515</v>
      </c>
      <c r="J112" s="38"/>
      <c r="K112" s="38"/>
    </row>
    <row r="113" spans="1:11" ht="15.75">
      <c r="A113" s="27" t="str">
        <v>Essex</v>
      </c>
      <c r="B113" s="28" t="str">
        <v>DC</v>
      </c>
      <c r="C113" s="10">
        <f>SUM(Jan!C113, Feb!C113, Mar!C113)</f>
        <v>3106</v>
      </c>
      <c r="D113" s="15">
        <f>SUM(Jan!D113, Feb!D113, Mar!D113)</f>
        <v>4513.3099999999995</v>
      </c>
      <c r="E113" s="15">
        <f t="shared" si="9"/>
        <v>-1407.3099999999995</v>
      </c>
      <c r="F113" s="16">
        <f t="shared" si="10"/>
        <v>-0.31181328116171936</v>
      </c>
      <c r="G113" s="17">
        <f>SUM(Jan!G113, Feb!G113, Mar!G113)</f>
        <v>4819.4780000000001</v>
      </c>
      <c r="H113" s="17">
        <f>SUM(Jan!H113, Feb!H113, Mar!H113)</f>
        <v>-1713.4780000000001</v>
      </c>
      <c r="I113" s="16">
        <f t="shared" si="11"/>
        <v>-0.35553186465422187</v>
      </c>
      <c r="J113" s="39"/>
      <c r="K113" s="39"/>
    </row>
    <row r="114" spans="1:11" ht="15.75">
      <c r="A114" s="25" t="str">
        <v>Temple Sinai</v>
      </c>
      <c r="B114" s="26" t="str">
        <v>DC</v>
      </c>
      <c r="C114" s="21">
        <f>SUM(Jan!C114, Feb!C114, Mar!C114)</f>
        <v>8913.3099999999395</v>
      </c>
      <c r="D114" s="11">
        <f>SUM(Jan!D114, Feb!D114, Mar!D114)</f>
        <v>13260.046999999999</v>
      </c>
      <c r="E114" s="11">
        <f t="shared" si="9"/>
        <v>-4346.7370000000592</v>
      </c>
      <c r="F114" s="12">
        <f t="shared" si="10"/>
        <v>-0.32780705830077822</v>
      </c>
      <c r="G114" s="13">
        <f>SUM(Jan!G114, Feb!G114, Mar!G114)</f>
        <v>11659.85</v>
      </c>
      <c r="H114" s="13">
        <f>SUM(Jan!H114, Feb!H114, Mar!H114)</f>
        <v>-2746.5400000000609</v>
      </c>
      <c r="I114" s="14">
        <f t="shared" si="11"/>
        <v>-0.23555534590925792</v>
      </c>
      <c r="J114" s="38"/>
      <c r="K114" s="38"/>
    </row>
    <row r="115" spans="1:11" ht="15.75">
      <c r="A115" s="27" t="str">
        <v>Weinberg 1</v>
      </c>
      <c r="B115" s="28" t="str">
        <v>DC</v>
      </c>
      <c r="C115" s="10">
        <f>SUM(Jan!C115, Feb!C115, Mar!C115)</f>
        <v>1375</v>
      </c>
      <c r="D115" s="15">
        <f>SUM(Jan!D115, Feb!D115, Mar!D115)</f>
        <v>1611.7440999999999</v>
      </c>
      <c r="E115" s="15">
        <f t="shared" si="9"/>
        <v>-236.74409999999989</v>
      </c>
      <c r="F115" s="16">
        <f t="shared" si="10"/>
        <v>-0.14688690344825825</v>
      </c>
      <c r="G115" s="17">
        <f>SUM(Jan!G115, Feb!G115, Mar!G115)</f>
        <v>1798.0911000000001</v>
      </c>
      <c r="H115" s="17">
        <f>SUM(Jan!H115, Feb!H115, Mar!H115)</f>
        <v>-423.09109999999998</v>
      </c>
      <c r="I115" s="16">
        <f t="shared" si="11"/>
        <v>-0.23530014691691647</v>
      </c>
      <c r="J115" s="39"/>
      <c r="K115" s="40"/>
    </row>
    <row r="116" spans="1:11" ht="15.75">
      <c r="A116" s="25" t="str">
        <v>Weinberg 2</v>
      </c>
      <c r="B116" s="26" t="str">
        <v>DC</v>
      </c>
      <c r="C116" s="21">
        <f>SUM(Jan!C116, Feb!C116, Mar!C116)</f>
        <v>1413</v>
      </c>
      <c r="D116" s="11">
        <f>SUM(Jan!D116, Feb!D116, Mar!D116)</f>
        <v>1521.3225</v>
      </c>
      <c r="E116" s="11">
        <f t="shared" si="9"/>
        <v>-108.32249999999999</v>
      </c>
      <c r="F116" s="12">
        <f t="shared" si="10"/>
        <v>-7.1202851466405051E-2</v>
      </c>
      <c r="G116" s="13">
        <f>SUM(Jan!G116, Feb!G116, Mar!G116)</f>
        <v>1892.6817000000001</v>
      </c>
      <c r="H116" s="13">
        <f>SUM(Jan!H116, Feb!H116, Mar!H116)</f>
        <v>-479.68170000000009</v>
      </c>
      <c r="I116" s="14">
        <f t="shared" si="11"/>
        <v>-0.25344023773252528</v>
      </c>
      <c r="J116" s="38"/>
      <c r="K116" s="38"/>
    </row>
    <row r="117" spans="1:11" ht="15.75">
      <c r="A117" s="27" t="str">
        <v>Weinberg 3</v>
      </c>
      <c r="B117" s="28" t="str">
        <v>DC</v>
      </c>
      <c r="C117" s="10">
        <f>SUM(Jan!C117, Feb!C117, Mar!C117)</f>
        <v>1626</v>
      </c>
      <c r="D117" s="15">
        <f>SUM(Jan!D117, Feb!D117, Mar!D117)</f>
        <v>1550.6842999999999</v>
      </c>
      <c r="E117" s="15">
        <f t="shared" si="9"/>
        <v>75.315700000000106</v>
      </c>
      <c r="F117" s="16">
        <f t="shared" si="10"/>
        <v>4.8569331617015862E-2</v>
      </c>
      <c r="G117" s="17">
        <f>SUM(Jan!G117, Feb!G117, Mar!G117)</f>
        <v>1961</v>
      </c>
      <c r="H117" s="17">
        <f>SUM(Jan!H117, Feb!H117, Mar!H117)</f>
        <v>-335</v>
      </c>
      <c r="I117" s="16">
        <f t="shared" si="11"/>
        <v>-0.17083120856705764</v>
      </c>
      <c r="J117" s="39"/>
      <c r="K117" s="40"/>
    </row>
    <row r="118" spans="1:11" ht="15.75">
      <c r="A118" s="25" t="str">
        <v>Clayton Hall</v>
      </c>
      <c r="B118" s="26" t="str">
        <v>DE</v>
      </c>
      <c r="C118" s="21">
        <f>SUM(Jan!C118, Feb!C118, Mar!C118)</f>
        <v>11519</v>
      </c>
      <c r="D118" s="11">
        <f>SUM(Jan!D118, Feb!D118, Mar!D118)</f>
        <v>19038.423999999999</v>
      </c>
      <c r="E118" s="11">
        <f t="shared" si="9"/>
        <v>-7519.4239999999991</v>
      </c>
      <c r="F118" s="12">
        <f t="shared" si="10"/>
        <v>-0.39496042319469299</v>
      </c>
      <c r="G118" s="13">
        <f>SUM(Jan!G118, Feb!G118, Mar!G118)</f>
        <v>5588.3099999999995</v>
      </c>
      <c r="H118" s="13">
        <f>SUM(Jan!H118, Feb!H118, Mar!H118)</f>
        <v>5930.6900000000005</v>
      </c>
      <c r="I118" s="14">
        <f t="shared" si="11"/>
        <v>1.0612671809545284</v>
      </c>
      <c r="J118" s="38"/>
      <c r="K118" s="38"/>
    </row>
    <row r="119" spans="1:11" ht="15.75">
      <c r="A119" s="27" t="str">
        <v>Field House</v>
      </c>
      <c r="B119" s="28" t="str">
        <v>DE</v>
      </c>
      <c r="C119" s="10">
        <f>SUM(Jan!C119, Feb!C119, Mar!C119)</f>
        <v>59027</v>
      </c>
      <c r="D119" s="15">
        <f>SUM(Jan!D119, Feb!D119, Mar!D119)</f>
        <v>0</v>
      </c>
      <c r="E119" s="15">
        <f t="shared" si="9"/>
        <v>59027</v>
      </c>
      <c r="F119" s="16" t="str">
        <f t="shared" si="10"/>
        <v/>
      </c>
      <c r="G119" s="17">
        <f>SUM(Jan!G119, Feb!G119, Mar!G119)</f>
        <v>63399.084000000003</v>
      </c>
      <c r="H119" s="17">
        <f>SUM(Jan!H119, Feb!H119, Mar!H119)</f>
        <v>-4372.0840000000026</v>
      </c>
      <c r="I119" s="16">
        <f t="shared" si="11"/>
        <v>-6.8961311806965575E-2</v>
      </c>
      <c r="J119" s="39"/>
      <c r="K119" s="40"/>
    </row>
    <row r="120" spans="1:11" ht="15.75">
      <c r="A120" s="25" t="str">
        <v>Wyoming Road</v>
      </c>
      <c r="B120" s="26" t="str">
        <v>DE</v>
      </c>
      <c r="C120" s="21">
        <f>SUM(Jan!C120, Feb!C120, Mar!C120)</f>
        <v>28395</v>
      </c>
      <c r="D120" s="11">
        <f>SUM(Jan!D120, Feb!D120, Mar!D120)</f>
        <v>31514.716</v>
      </c>
      <c r="E120" s="11">
        <f t="shared" si="9"/>
        <v>-3119.7160000000003</v>
      </c>
      <c r="F120" s="12">
        <f t="shared" si="10"/>
        <v>-9.8992356459756778E-2</v>
      </c>
      <c r="G120" s="13">
        <f>SUM(Jan!G120, Feb!G120, Mar!G120)</f>
        <v>39945.645000000004</v>
      </c>
      <c r="H120" s="13">
        <f>SUM(Jan!H120, Feb!H120, Mar!H120)</f>
        <v>-11550.645</v>
      </c>
      <c r="I120" s="14">
        <f t="shared" si="11"/>
        <v>-0.28915905601223862</v>
      </c>
      <c r="J120" s="38"/>
      <c r="K120" s="38"/>
    </row>
    <row r="121" spans="1:11" ht="15.75">
      <c r="A121" s="27" t="str">
        <v>Leoku</v>
      </c>
      <c r="B121" s="28" t="str">
        <v>HI</v>
      </c>
      <c r="C121" s="10">
        <f>SUM(Jan!C121, Feb!C121, Mar!C121)</f>
        <v>18529</v>
      </c>
      <c r="D121" s="15">
        <f>SUM(Jan!D121, Feb!D121, Mar!D121)</f>
        <v>17537.201000000001</v>
      </c>
      <c r="E121" s="15">
        <f t="shared" si="9"/>
        <v>991.79899999999907</v>
      </c>
      <c r="F121" s="16">
        <f t="shared" si="10"/>
        <v>5.6554007677735975E-2</v>
      </c>
      <c r="G121" s="17">
        <f>SUM(Jan!G121, Feb!G121, Mar!G121)</f>
        <v>21062.923000000003</v>
      </c>
      <c r="H121" s="17">
        <f>SUM(Jan!H121, Feb!H121, Mar!H121)</f>
        <v>-2533.9230000000007</v>
      </c>
      <c r="I121" s="16">
        <f t="shared" si="11"/>
        <v>-0.12030253350876326</v>
      </c>
      <c r="J121" s="39"/>
      <c r="K121" s="40"/>
    </row>
    <row r="122" spans="1:11" ht="15.75">
      <c r="A122" s="25" t="str">
        <v>Waipahu</v>
      </c>
      <c r="B122" s="26" t="str">
        <v>HI</v>
      </c>
      <c r="C122" s="21">
        <f>SUM(Jan!C122, Feb!C122, Mar!C122)</f>
        <v>18116</v>
      </c>
      <c r="D122" s="11">
        <f>SUM(Jan!D122, Feb!D122, Mar!D122)</f>
        <v>16732.078000000001</v>
      </c>
      <c r="E122" s="11">
        <f t="shared" si="9"/>
        <v>1383.9219999999987</v>
      </c>
      <c r="F122" s="12">
        <f t="shared" si="10"/>
        <v>8.2710706942676127E-2</v>
      </c>
      <c r="G122" s="13">
        <f>SUM(Jan!G122, Feb!G122, Mar!G122)</f>
        <v>21062.923000000003</v>
      </c>
      <c r="H122" s="13">
        <f>SUM(Jan!H122, Feb!H122, Mar!H122)</f>
        <v>-2946.9230000000007</v>
      </c>
      <c r="I122" s="14">
        <f t="shared" si="11"/>
        <v>-0.13991044832666388</v>
      </c>
      <c r="J122" s="38"/>
      <c r="K122" s="38"/>
    </row>
    <row r="123" spans="1:11" ht="15.75">
      <c r="A123" s="27" t="str">
        <v>Bird in Hand</v>
      </c>
      <c r="B123" s="28" t="str">
        <v>MD</v>
      </c>
      <c r="C123" s="10">
        <f>SUM(Jan!C123, Feb!C123, Mar!C123)</f>
        <v>219922</v>
      </c>
      <c r="D123" s="15">
        <f>SUM(Jan!D123, Feb!D123, Mar!D123)</f>
        <v>232246.18</v>
      </c>
      <c r="E123" s="15">
        <f t="shared" si="9"/>
        <v>-12324.179999999993</v>
      </c>
      <c r="F123" s="16">
        <f t="shared" si="10"/>
        <v>-5.3065156981268728E-2</v>
      </c>
      <c r="G123" s="17">
        <f>SUM(Jan!G123, Feb!G123, Mar!G123)</f>
        <v>261886.7</v>
      </c>
      <c r="H123" s="17">
        <f>SUM(Jan!H123, Feb!H123, Mar!H123)</f>
        <v>-41964.7</v>
      </c>
      <c r="I123" s="16">
        <f t="shared" si="11"/>
        <v>-0.16023990527201265</v>
      </c>
      <c r="J123" s="39"/>
      <c r="K123" s="40"/>
    </row>
    <row r="124" spans="1:11" ht="15.75">
      <c r="A124" s="25" t="str">
        <v>Shortal</v>
      </c>
      <c r="B124" s="26" t="str">
        <v>MD</v>
      </c>
      <c r="C124" s="21">
        <f>SUM(Jan!C124, Feb!C124, Mar!C124)</f>
        <v>232395</v>
      </c>
      <c r="D124" s="11">
        <f>SUM(Jan!D124, Feb!D124, Mar!D124)</f>
        <v>167141.41999999998</v>
      </c>
      <c r="E124" s="11">
        <f t="shared" si="9"/>
        <v>65253.580000000016</v>
      </c>
      <c r="F124" s="12">
        <f t="shared" si="10"/>
        <v>0.3904093910414308</v>
      </c>
      <c r="G124" s="13">
        <f>SUM(Jan!G124, Feb!G124, Mar!G124)</f>
        <v>13763.416000000001</v>
      </c>
      <c r="H124" s="13">
        <f>SUM(Jan!H124, Feb!H124, Mar!H124)</f>
        <v>218631.584</v>
      </c>
      <c r="I124" s="14">
        <f t="shared" si="11"/>
        <v>15.884979717244613</v>
      </c>
      <c r="J124" s="38"/>
      <c r="K124" s="38"/>
    </row>
    <row r="125" spans="1:11" ht="15.75">
      <c r="A125" s="27" t="str">
        <v>Aguadilla</v>
      </c>
      <c r="B125" s="28" t="str">
        <v>PR</v>
      </c>
      <c r="C125" s="10">
        <f>SUM(Jan!C125, Feb!C125, Mar!C125)</f>
        <v>32890</v>
      </c>
      <c r="D125" s="15">
        <f>SUM(Jan!D125, Feb!D125, Mar!D125)</f>
        <v>30162.38</v>
      </c>
      <c r="E125" s="15">
        <f t="shared" si="9"/>
        <v>2727.619999999999</v>
      </c>
      <c r="F125" s="16">
        <f t="shared" si="10"/>
        <v>9.0431192763966203E-2</v>
      </c>
      <c r="G125" s="17">
        <f>SUM(Jan!G125, Feb!G125, Mar!G125)</f>
        <v>36470</v>
      </c>
      <c r="H125" s="17">
        <f>SUM(Jan!H125, Feb!H125, Mar!H125)</f>
        <v>-3580</v>
      </c>
      <c r="I125" s="16">
        <f t="shared" si="11"/>
        <v>-9.8162873594735398E-2</v>
      </c>
      <c r="J125" s="39"/>
      <c r="K125" s="39"/>
    </row>
    <row r="126" spans="1:11" ht="15.75">
      <c r="A126" s="25" t="str">
        <v>Bayamon</v>
      </c>
      <c r="B126" s="26" t="str">
        <v>PR</v>
      </c>
      <c r="C126" s="21">
        <f>SUM(Jan!C126, Feb!C126, Mar!C126)</f>
        <v>99471</v>
      </c>
      <c r="D126" s="11">
        <f>SUM(Jan!D126, Feb!D126, Mar!D126)</f>
        <v>116794.2</v>
      </c>
      <c r="E126" s="11">
        <f t="shared" si="9"/>
        <v>-17323.199999999997</v>
      </c>
      <c r="F126" s="12">
        <f t="shared" si="10"/>
        <v>-0.14832243381948759</v>
      </c>
      <c r="G126" s="13">
        <f>SUM(Jan!G126, Feb!G126, Mar!G126)</f>
        <v>0</v>
      </c>
      <c r="H126" s="13">
        <f>SUM(Jan!H126, Feb!H126, Mar!H126)</f>
        <v>99471</v>
      </c>
      <c r="I126" s="14" t="str">
        <f t="shared" si="11"/>
        <v/>
      </c>
      <c r="J126" s="38"/>
      <c r="K126" s="38"/>
    </row>
    <row r="127" spans="1:11" ht="15.75">
      <c r="A127" s="27" t="str">
        <v>St Francis</v>
      </c>
      <c r="B127" s="28" t="str">
        <v>PR</v>
      </c>
      <c r="C127" s="10">
        <f>SUM(Jan!C127, Feb!C127, Mar!C127)</f>
        <v>27448</v>
      </c>
      <c r="D127" s="15">
        <f>SUM(Jan!D127, Feb!D127, Mar!D127)</f>
        <v>69336.59</v>
      </c>
      <c r="E127" s="15">
        <f t="shared" si="9"/>
        <v>-41888.589999999997</v>
      </c>
      <c r="F127" s="16">
        <f t="shared" si="10"/>
        <v>-0.6041339788991642</v>
      </c>
      <c r="G127" s="17">
        <f>SUM(Jan!G127, Feb!G127, Mar!G127)</f>
        <v>47521</v>
      </c>
      <c r="H127" s="17">
        <f>SUM(Jan!H127, Feb!H127, Mar!H127)</f>
        <v>-20073</v>
      </c>
      <c r="I127" s="16">
        <f t="shared" si="11"/>
        <v>-0.42240272721533639</v>
      </c>
      <c r="J127" s="39"/>
      <c r="K127" s="40"/>
    </row>
    <row r="128" spans="1:11" ht="15.75">
      <c r="A128" s="25" t="str">
        <v>Seaport</v>
      </c>
      <c r="B128" s="26" t="str">
        <v>MA</v>
      </c>
      <c r="C128" s="21">
        <f>SUM(Jan!C128, Feb!C128, Mar!C128)</f>
        <v>57220.5</v>
      </c>
      <c r="D128" s="11">
        <f>SUM(Jan!D128, Feb!D128, Mar!D128)</f>
        <v>51745.33</v>
      </c>
      <c r="E128" s="11">
        <f t="shared" si="9"/>
        <v>5475.1699999999983</v>
      </c>
      <c r="F128" s="12">
        <f t="shared" si="10"/>
        <v>0.10580993492552851</v>
      </c>
      <c r="G128" s="13">
        <f>SUM(Jan!G128, Feb!G128, Mar!G128)</f>
        <v>59716.049999999996</v>
      </c>
      <c r="H128" s="13">
        <f>SUM(Jan!H128, Feb!H128, Mar!H128)</f>
        <v>-2495.5499999999956</v>
      </c>
      <c r="I128" s="14">
        <f t="shared" si="11"/>
        <v>-4.179027246443788E-2</v>
      </c>
      <c r="J128" s="38"/>
      <c r="K128" s="38"/>
    </row>
    <row r="129" spans="1:11" ht="15.75">
      <c r="A129" s="27" t="str">
        <v>Sprague St</v>
      </c>
      <c r="B129" s="28" t="str">
        <v>MA</v>
      </c>
      <c r="C129" s="10">
        <f>SUM(Jan!C129, Feb!C129, Mar!C129)</f>
        <v>126970</v>
      </c>
      <c r="D129" s="15">
        <f>SUM(Jan!D129, Feb!D129, Mar!D129)</f>
        <v>142989.73800000001</v>
      </c>
      <c r="E129" s="15">
        <f t="shared" si="9"/>
        <v>-16019.738000000012</v>
      </c>
      <c r="F129" s="16">
        <f t="shared" si="10"/>
        <v>-0.11203417968357988</v>
      </c>
      <c r="G129" s="17">
        <f>SUM(Jan!G129, Feb!G129, Mar!G129)</f>
        <v>126714.261</v>
      </c>
      <c r="H129" s="17">
        <f>SUM(Jan!H129, Feb!H129, Mar!H129)</f>
        <v>255.73900000000867</v>
      </c>
      <c r="I129" s="16">
        <f t="shared" si="11"/>
        <v>2.0182337645484804E-3</v>
      </c>
      <c r="J129" s="39"/>
      <c r="K129" s="40"/>
    </row>
    <row r="130" spans="1:11" ht="15.75">
      <c r="A130" s="25" t="str">
        <v>Summer St</v>
      </c>
      <c r="B130" s="26" t="str">
        <v>MA</v>
      </c>
      <c r="C130" s="21">
        <f>SUM(Jan!C130, Feb!C130, Mar!C130)</f>
        <v>274130</v>
      </c>
      <c r="D130" s="11">
        <f>SUM(Jan!D130, Feb!D130, Mar!D130)</f>
        <v>303677</v>
      </c>
      <c r="E130" s="11">
        <f t="shared" si="9"/>
        <v>-29547</v>
      </c>
      <c r="F130" s="12">
        <f t="shared" si="10"/>
        <v>-9.7297457495957876E-2</v>
      </c>
      <c r="G130" s="13">
        <f>SUM(Jan!G130, Feb!G130, Mar!G130)</f>
        <v>303712.5</v>
      </c>
      <c r="H130" s="13">
        <f>SUM(Jan!H130, Feb!H130, Mar!H130)</f>
        <v>-29582.5</v>
      </c>
      <c r="I130" s="14">
        <f t="shared" si="11"/>
        <v>-9.7402971560274929E-2</v>
      </c>
      <c r="J130" s="38"/>
      <c r="K130" s="38"/>
    </row>
    <row r="131" spans="1:11" ht="15.75">
      <c r="A131" s="27" t="str">
        <v>Brock St Vocational</v>
      </c>
      <c r="B131" s="28" t="str">
        <v>NH</v>
      </c>
      <c r="C131" s="10">
        <f>SUM(Jan!C131, Feb!C131, Mar!C131)</f>
        <v>9503.5656040709</v>
      </c>
      <c r="D131" s="15">
        <f>SUM(Jan!D131, Feb!D131, Mar!D131)</f>
        <v>13866.772000000001</v>
      </c>
      <c r="E131" s="15">
        <f t="shared" si="9"/>
        <v>-4363.2063959291008</v>
      </c>
      <c r="F131" s="16">
        <f t="shared" si="10"/>
        <v>-0.31465191725436176</v>
      </c>
      <c r="G131" s="17">
        <f>SUM(Jan!G131, Feb!G131, Mar!G131)</f>
        <v>10379.549999999999</v>
      </c>
      <c r="H131" s="17">
        <f>SUM(Jan!H131, Feb!H131, Mar!H131)</f>
        <v>-875.98439592910063</v>
      </c>
      <c r="I131" s="16">
        <f t="shared" si="11"/>
        <v>-8.4395219053725906E-2</v>
      </c>
      <c r="J131" s="39"/>
      <c r="K131" s="40"/>
    </row>
    <row r="132" spans="1:11" ht="15.75">
      <c r="A132" s="25" t="str">
        <v>McClelland ES</v>
      </c>
      <c r="B132" s="26" t="str">
        <v>NH</v>
      </c>
      <c r="C132" s="21">
        <f>SUM(Jan!C132, Feb!C132, Mar!C132)</f>
        <v>8579.00031033286</v>
      </c>
      <c r="D132" s="11">
        <f>SUM(Jan!D132, Feb!D132, Mar!D132)</f>
        <v>15501.478999999999</v>
      </c>
      <c r="E132" s="11">
        <f t="shared" si="9"/>
        <v>-6922.4786896671394</v>
      </c>
      <c r="F132" s="12">
        <f t="shared" si="10"/>
        <v>-0.44656891704766621</v>
      </c>
      <c r="G132" s="13">
        <f>SUM(Jan!G132, Feb!G132, Mar!G132)</f>
        <v>8249.26</v>
      </c>
      <c r="H132" s="13">
        <f>SUM(Jan!H132, Feb!H132, Mar!H132)</f>
        <v>329.74031033285951</v>
      </c>
      <c r="I132" s="14">
        <f t="shared" si="11"/>
        <v>3.9972107841534814E-2</v>
      </c>
      <c r="J132" s="38"/>
      <c r="K132" s="38"/>
    </row>
    <row r="133" spans="1:11" ht="15.75">
      <c r="A133" s="27" t="str">
        <v>Portland St</v>
      </c>
      <c r="B133" s="28" t="str">
        <v>NH</v>
      </c>
      <c r="C133" s="10">
        <f>SUM(Jan!C133, Feb!C133, Mar!C133)</f>
        <v>6091.2209999999995</v>
      </c>
      <c r="D133" s="15">
        <f>SUM(Jan!D133, Feb!D133, Mar!D133)</f>
        <v>7842.41</v>
      </c>
      <c r="E133" s="15">
        <f t="shared" si="9"/>
        <v>-1751.1890000000003</v>
      </c>
      <c r="F133" s="16">
        <f t="shared" si="10"/>
        <v>-0.22329730274239684</v>
      </c>
      <c r="G133" s="17">
        <f>SUM(Jan!G133, Feb!G133, Mar!G133)</f>
        <v>10011.41</v>
      </c>
      <c r="H133" s="17">
        <f>SUM(Jan!H133, Feb!H133, Mar!H133)</f>
        <v>-3920.1890000000003</v>
      </c>
      <c r="I133" s="16">
        <f t="shared" si="11"/>
        <v>-0.39157211621539828</v>
      </c>
      <c r="J133" s="39"/>
      <c r="K133" s="40"/>
    </row>
    <row r="134" spans="1:11" ht="15.75">
      <c r="A134" s="25" t="str">
        <v>Portsmouth HS</v>
      </c>
      <c r="B134" s="26" t="str">
        <v>NH</v>
      </c>
      <c r="C134" s="21">
        <f>SUM(Jan!C134, Feb!C134, Mar!C134)</f>
        <v>29414.25</v>
      </c>
      <c r="D134" s="11">
        <f>SUM(Jan!D134, Feb!D134, Mar!D134)</f>
        <v>35167.486999999994</v>
      </c>
      <c r="E134" s="11">
        <f t="shared" si="9"/>
        <v>-5753.2369999999937</v>
      </c>
      <c r="F134" s="12">
        <f t="shared" si="10"/>
        <v>-0.16359534020727709</v>
      </c>
      <c r="G134" s="13">
        <f>SUM(Jan!G134, Feb!G134, Mar!G134)</f>
        <v>18020.546000000002</v>
      </c>
      <c r="H134" s="13">
        <f>SUM(Jan!H134, Feb!H134, Mar!H134)</f>
        <v>11393.704</v>
      </c>
      <c r="I134" s="14">
        <f t="shared" si="11"/>
        <v>0.63226186376372828</v>
      </c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f>SUM(Jan!C135, Feb!C135, Mar!C135)</f>
        <v>32141.25</v>
      </c>
      <c r="D135" s="15">
        <f>SUM(Jan!D135, Feb!D135, Mar!D135)</f>
        <v>43783.009999999995</v>
      </c>
      <c r="E135" s="15">
        <f t="shared" si="9"/>
        <v>-11641.759999999995</v>
      </c>
      <c r="F135" s="16">
        <f t="shared" si="10"/>
        <v>-0.26589674853327799</v>
      </c>
      <c r="G135" s="17">
        <f>SUM(Jan!G135, Feb!G135, Mar!G135)</f>
        <v>30332.02</v>
      </c>
      <c r="H135" s="17">
        <f>SUM(Jan!H135, Feb!H135, Mar!H135)</f>
        <v>1809.2299999999996</v>
      </c>
      <c r="I135" s="16">
        <f t="shared" si="11"/>
        <v>5.9647527596249757E-2</v>
      </c>
      <c r="J135" s="39"/>
      <c r="K135" s="40"/>
    </row>
    <row r="136" spans="1:11" ht="15.75">
      <c r="A136" s="25" t="str">
        <v>Rochester St</v>
      </c>
      <c r="B136" s="26" t="str">
        <v>NH</v>
      </c>
      <c r="C136" s="21">
        <f>SUM(Jan!C136, Feb!C136, Mar!C136)</f>
        <v>26388.503000000001</v>
      </c>
      <c r="D136" s="11">
        <f>SUM(Jan!D136, Feb!D136, Mar!D136)</f>
        <v>44583.569000000003</v>
      </c>
      <c r="E136" s="11">
        <f t="shared" si="9"/>
        <v>-18195.066000000003</v>
      </c>
      <c r="F136" s="12">
        <f t="shared" si="10"/>
        <v>-0.40811147263692599</v>
      </c>
      <c r="G136" s="13">
        <f>SUM(Jan!G136, Feb!G136, Mar!G136)</f>
        <v>26308.673999999999</v>
      </c>
      <c r="H136" s="13">
        <f>SUM(Jan!H136, Feb!H136, Mar!H136)</f>
        <v>79.829000000001543</v>
      </c>
      <c r="I136" s="14">
        <f t="shared" si="11"/>
        <v>3.0343224443771491E-3</v>
      </c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f>SUM(Jan!C137, Feb!C137, Mar!C137)</f>
        <v>12086.939667615801</v>
      </c>
      <c r="D137" s="15">
        <f>SUM(Jan!D137, Feb!D137, Mar!D137)</f>
        <v>18485.928</v>
      </c>
      <c r="E137" s="15">
        <f t="shared" si="9"/>
        <v>-6398.9883323841987</v>
      </c>
      <c r="F137" s="16">
        <f t="shared" si="10"/>
        <v>-0.34615456321068644</v>
      </c>
      <c r="G137" s="17">
        <f>SUM(Jan!G137, Feb!G137, Mar!G137)</f>
        <v>11780.154999999999</v>
      </c>
      <c r="H137" s="17">
        <f>SUM(Jan!H137, Feb!H137, Mar!H137)</f>
        <v>306.78466761580103</v>
      </c>
      <c r="I137" s="16">
        <f t="shared" si="11"/>
        <v>2.6042498389520431E-2</v>
      </c>
      <c r="J137" s="39"/>
      <c r="K137" s="40"/>
    </row>
    <row r="138" spans="1:11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11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 ht="13.15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 ht="13.15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 ht="13.15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 ht="13.15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 ht="13.15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 ht="13.15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 ht="13.15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 ht="13.15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 ht="13.15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 ht="13.15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 ht="13.15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 ht="13.15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 ht="13.15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 ht="13.15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 ht="13.15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 ht="13.15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 ht="13.15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 ht="13.15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 ht="13.15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 ht="13.15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 ht="13.15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 ht="13.15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 ht="13.15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 ht="13.15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 ht="13.15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 ht="13.15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 ht="13.15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 ht="13.15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 ht="13.15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 ht="13.15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 ht="13.15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 ht="13.15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 ht="13.15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 ht="13.15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 ht="13.15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 ht="13.15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 ht="13.15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 ht="13.15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 ht="13.15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 ht="13.15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 ht="13.15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 ht="13.15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 ht="13.15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 ht="13.15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 ht="13.15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 ht="13.15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 ht="13.15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 ht="13.15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 ht="13.15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 ht="13.15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 ht="13.15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 ht="13.15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 ht="13.15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 ht="13.15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 ht="13.15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 ht="13.15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 ht="13.15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 ht="13.15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 ht="13.15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 ht="13.15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 ht="13.15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 ht="13.15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 ht="13.15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 ht="13.15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 ht="13.15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 ht="13.15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 ht="13.15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 ht="13.15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 ht="13.15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 ht="13.15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 ht="13.15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 ht="13.15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 ht="13.15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 ht="13.15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 ht="13.15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 ht="13.15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 ht="13.15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 ht="13.15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 ht="13.15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 ht="13.15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 ht="13.15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 ht="13.15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 ht="13.15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 ht="13.15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 ht="13.15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 ht="13.15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 ht="13.15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 ht="13.15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 ht="13.15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 ht="13.15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 ht="13.15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 ht="13.15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 ht="13.15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 ht="13.15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 ht="13.15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 ht="13.15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 ht="13.15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 ht="13.15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 ht="13.15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 ht="13.15">
      <c r="A342" s="18"/>
      <c r="B342" s="18"/>
      <c r="C342" s="18"/>
      <c r="D342" s="18"/>
      <c r="E342" s="18"/>
      <c r="F342" s="19"/>
      <c r="G342" s="18"/>
      <c r="H342" s="18"/>
      <c r="I342" s="1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F137 I4:I137">
    <cfRule type="cellIs" dxfId="64" priority="1" stopIfTrue="1" operator="lessThanOrEqual">
      <formula>-0.1</formula>
    </cfRule>
    <cfRule type="expression" dxfId="63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42"/>
  <sheetViews>
    <sheetView workbookViewId="0">
      <pane xSplit="2" ySplit="3" topLeftCell="C4" activePane="bottomRight" state="frozen"/>
      <selection pane="bottomRight" activeCell="J141" sqref="J14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SUM(Apr!C5, May!C5, Jun!C5)</f>
        <v>0</v>
      </c>
      <c r="D5" s="15">
        <f>SUM(Apr!D5, May!D5, Jun!D5)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SUM(Apr!H5, May!H5, Jun!H5)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SUM(Apr!C6, May!C6, Jun!C6)</f>
        <v>0</v>
      </c>
      <c r="D6" s="11">
        <f>SUM(Apr!D6, May!D6, Jun!D6)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SUM(Apr!H6, May!H6, Jun!H6)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SUM(Apr!C7, May!C7, Jun!C7)</f>
        <v>0</v>
      </c>
      <c r="D7" s="15">
        <f>SUM(Apr!D7, May!D7, Jun!D7)</f>
        <v>0</v>
      </c>
      <c r="E7" s="15">
        <f t="shared" si="0"/>
        <v>0</v>
      </c>
      <c r="F7" s="16" t="str">
        <f t="shared" si="1"/>
        <v/>
      </c>
      <c r="G7" s="17"/>
      <c r="H7" s="17">
        <f>SUM(Apr!H7, May!H7, Jun!H7)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SUM(Apr!C8, May!C8, Jun!C8)</f>
        <v>0</v>
      </c>
      <c r="D8" s="11">
        <f>SUM(Apr!D8, May!D8, Jun!D8)</f>
        <v>0</v>
      </c>
      <c r="E8" s="11">
        <f t="shared" si="0"/>
        <v>0</v>
      </c>
      <c r="F8" s="12" t="str">
        <f t="shared" si="1"/>
        <v/>
      </c>
      <c r="G8" s="13"/>
      <c r="H8" s="13">
        <f>SUM(Apr!H8, May!H8, Jun!H8)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SUM(Apr!C9, May!C9, Jun!C9)</f>
        <v>0</v>
      </c>
      <c r="D9" s="15">
        <f>SUM(Apr!D9, May!D9, Jun!D9)</f>
        <v>0</v>
      </c>
      <c r="E9" s="15">
        <f t="shared" si="0"/>
        <v>0</v>
      </c>
      <c r="F9" s="16" t="str">
        <f t="shared" si="1"/>
        <v/>
      </c>
      <c r="G9" s="17"/>
      <c r="H9" s="17">
        <f>SUM(Apr!H9, May!H9, Jun!H9)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SUM(Apr!C10, May!C10, Jun!C10)</f>
        <v>0</v>
      </c>
      <c r="D10" s="11">
        <f>SUM(Apr!D10, May!D10, Jun!D10)</f>
        <v>0</v>
      </c>
      <c r="E10" s="11">
        <f t="shared" si="0"/>
        <v>0</v>
      </c>
      <c r="F10" s="12" t="str">
        <f t="shared" si="1"/>
        <v/>
      </c>
      <c r="G10" s="13"/>
      <c r="H10" s="13">
        <f>SUM(Apr!H10, May!H10, Jun!H10)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SUM(Apr!C11, May!C11, Jun!C11)</f>
        <v>0</v>
      </c>
      <c r="D11" s="15">
        <f>SUM(Apr!D11, May!D11, Jun!D11)</f>
        <v>0</v>
      </c>
      <c r="E11" s="15">
        <f t="shared" si="0"/>
        <v>0</v>
      </c>
      <c r="F11" s="16" t="str">
        <f t="shared" si="1"/>
        <v/>
      </c>
      <c r="G11" s="17"/>
      <c r="H11" s="17">
        <f>SUM(Apr!H11, May!H11, Jun!H11)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SUM(Apr!C12, May!C12, Jun!C12)</f>
        <v>0</v>
      </c>
      <c r="D12" s="11">
        <f>SUM(Apr!D12, May!D12, Jun!D12)</f>
        <v>0</v>
      </c>
      <c r="E12" s="11">
        <f t="shared" si="0"/>
        <v>0</v>
      </c>
      <c r="F12" s="12" t="str">
        <f t="shared" si="1"/>
        <v/>
      </c>
      <c r="G12" s="13"/>
      <c r="H12" s="13">
        <f>SUM(Apr!H12, May!H12, Jun!H12)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SUM(Apr!C13, May!C13, Jun!C13)</f>
        <v>0</v>
      </c>
      <c r="D13" s="15">
        <f>SUM(Apr!D13, May!D13, Jun!D13)</f>
        <v>0</v>
      </c>
      <c r="E13" s="15">
        <f t="shared" si="0"/>
        <v>0</v>
      </c>
      <c r="F13" s="16" t="str">
        <f t="shared" si="1"/>
        <v/>
      </c>
      <c r="G13" s="17"/>
      <c r="H13" s="17">
        <f>SUM(Apr!H13, May!H13, Jun!H13)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SUM(Apr!C14, May!C14, Jun!C14)</f>
        <v>0</v>
      </c>
      <c r="D14" s="11">
        <f>SUM(Apr!D14, May!D14, Jun!D14)</f>
        <v>0</v>
      </c>
      <c r="E14" s="11">
        <f t="shared" si="0"/>
        <v>0</v>
      </c>
      <c r="F14" s="12" t="str">
        <f t="shared" si="1"/>
        <v/>
      </c>
      <c r="G14" s="13"/>
      <c r="H14" s="13">
        <f>SUM(Apr!H14, May!H14, Jun!H14)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SUM(Apr!C15, May!C15, Jun!C15)</f>
        <v>0</v>
      </c>
      <c r="D15" s="15">
        <f>SUM(Apr!D15, May!D15, Jun!D15)</f>
        <v>0</v>
      </c>
      <c r="E15" s="15">
        <f t="shared" si="0"/>
        <v>0</v>
      </c>
      <c r="F15" s="16" t="str">
        <f t="shared" si="1"/>
        <v/>
      </c>
      <c r="G15" s="17"/>
      <c r="H15" s="17">
        <f>SUM(Apr!H15, May!H15, Jun!H15)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SUM(Apr!C16, May!C16, Jun!C16)</f>
        <v>0</v>
      </c>
      <c r="D16" s="11">
        <f>SUM(Apr!D16, May!D16, Jun!D16)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SUM(Apr!H16, May!H16, Jun!H16)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SUM(Apr!C17, May!C17, Jun!C17)</f>
        <v>0</v>
      </c>
      <c r="D17" s="15">
        <f>SUM(Apr!D17, May!D17, Jun!D17)</f>
        <v>0</v>
      </c>
      <c r="E17" s="15">
        <f t="shared" si="3"/>
        <v>0</v>
      </c>
      <c r="F17" s="16" t="str">
        <f t="shared" si="4"/>
        <v/>
      </c>
      <c r="G17" s="17"/>
      <c r="H17" s="17">
        <f>SUM(Apr!H17, May!H17, Jun!H17)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11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 ht="13.15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 ht="13.15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 ht="13.15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 ht="13.15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 ht="13.15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 ht="13.15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 ht="13.15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 ht="13.15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 ht="13.15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 ht="13.15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 ht="13.15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 ht="13.15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 ht="13.15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 ht="13.15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 ht="13.15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 ht="13.15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 ht="13.15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 ht="13.15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 ht="13.15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 ht="13.15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 ht="13.15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 ht="13.15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 ht="13.15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 ht="13.15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 ht="13.15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 ht="13.15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 ht="13.15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 ht="13.15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 ht="13.15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 ht="13.15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 ht="13.15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 ht="13.15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 ht="13.15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 ht="13.15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 ht="13.15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 ht="13.15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 ht="13.15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 ht="13.15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 ht="13.15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 ht="13.15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 ht="13.15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 ht="13.15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 ht="13.15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 ht="13.15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 ht="13.15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 ht="13.15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 ht="13.15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 ht="13.15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 ht="13.15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 ht="13.15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 ht="13.15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 ht="13.15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 ht="13.15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 ht="13.15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 ht="13.15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 ht="13.15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 ht="13.15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 ht="13.15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 ht="13.15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 ht="13.15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 ht="13.15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 ht="13.15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 ht="13.15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 ht="13.15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 ht="13.15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 ht="13.15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 ht="13.15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 ht="13.15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 ht="13.15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 ht="13.15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 ht="13.15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 ht="13.15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 ht="13.15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 ht="13.15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 ht="13.15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 ht="13.15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 ht="13.15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 ht="13.15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 ht="13.15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 ht="13.15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 ht="13.15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 ht="13.15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 ht="13.15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 ht="13.15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 ht="13.15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 ht="13.15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 ht="13.15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 ht="13.15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 ht="13.15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 ht="13.15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 ht="13.15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 ht="13.15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 ht="13.15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 ht="13.15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 ht="13.15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 ht="13.15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 ht="13.15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 ht="13.15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 ht="13.15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 ht="13.15">
      <c r="A342" s="18"/>
      <c r="B342" s="18"/>
      <c r="C342" s="18"/>
      <c r="D342" s="18"/>
      <c r="E342" s="18"/>
      <c r="F342" s="19"/>
      <c r="G342" s="18"/>
      <c r="H342" s="18"/>
      <c r="I342" s="1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62" priority="3" stopIfTrue="1" operator="lessThanOrEqual">
      <formula>-0.1</formula>
    </cfRule>
    <cfRule type="expression" dxfId="61" priority="4">
      <formula>AND(ISNUMBER(F2), F2&gt;=0.1)</formula>
    </cfRule>
  </conditionalFormatting>
  <conditionalFormatting sqref="F4:F137 I4:I137">
    <cfRule type="cellIs" dxfId="60" priority="1" stopIfTrue="1" operator="lessThanOrEqual">
      <formula>-0.1</formula>
    </cfRule>
    <cfRule type="expression" dxfId="5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SUM(Jul!C5, Aug!C5, Sep!C5)</f>
        <v>0</v>
      </c>
      <c r="D5" s="15">
        <f>SUM(Jul!D5, Aug!D5, Sep!D5)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SUM(Jul!H5, Aug!H5, Sep!H5)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SUM(Jul!C6, Aug!C6, Sep!C6)</f>
        <v>0</v>
      </c>
      <c r="D6" s="11">
        <f>SUM(Jul!D6, Aug!D6, Sep!D6)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SUM(Jul!H6, Aug!H6, Sep!H6)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SUM(Jul!C7, Aug!C7, Sep!C7)</f>
        <v>0</v>
      </c>
      <c r="D7" s="15">
        <f>SUM(Jul!D7, Aug!D7, Sep!D7)</f>
        <v>0</v>
      </c>
      <c r="E7" s="15">
        <f t="shared" si="0"/>
        <v>0</v>
      </c>
      <c r="F7" s="16" t="str">
        <f t="shared" si="1"/>
        <v/>
      </c>
      <c r="G7" s="17"/>
      <c r="H7" s="17">
        <f>SUM(Jul!H7, Aug!H7, Sep!H7)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SUM(Jul!C8, Aug!C8, Sep!C8)</f>
        <v>0</v>
      </c>
      <c r="D8" s="11">
        <f>SUM(Jul!D8, Aug!D8, Sep!D8)</f>
        <v>0</v>
      </c>
      <c r="E8" s="11">
        <f t="shared" si="0"/>
        <v>0</v>
      </c>
      <c r="F8" s="12" t="str">
        <f t="shared" si="1"/>
        <v/>
      </c>
      <c r="G8" s="13"/>
      <c r="H8" s="13">
        <f>SUM(Jul!H8, Aug!H8, Sep!H8)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SUM(Jul!C9, Aug!C9, Sep!C9)</f>
        <v>0</v>
      </c>
      <c r="D9" s="15">
        <f>SUM(Jul!D9, Aug!D9, Sep!D9)</f>
        <v>0</v>
      </c>
      <c r="E9" s="15">
        <f t="shared" si="0"/>
        <v>0</v>
      </c>
      <c r="F9" s="16" t="str">
        <f t="shared" si="1"/>
        <v/>
      </c>
      <c r="G9" s="17"/>
      <c r="H9" s="17">
        <f>SUM(Jul!H9, Aug!H9, Sep!H9)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SUM(Jul!C10, Aug!C10, Sep!C10)</f>
        <v>0</v>
      </c>
      <c r="D10" s="11">
        <f>SUM(Jul!D10, Aug!D10, Sep!D10)</f>
        <v>0</v>
      </c>
      <c r="E10" s="11">
        <f t="shared" si="0"/>
        <v>0</v>
      </c>
      <c r="F10" s="12" t="str">
        <f t="shared" si="1"/>
        <v/>
      </c>
      <c r="G10" s="13"/>
      <c r="H10" s="13">
        <f>SUM(Jul!H10, Aug!H10, Sep!H10)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SUM(Jul!C11, Aug!C11, Sep!C11)</f>
        <v>0</v>
      </c>
      <c r="D11" s="15">
        <f>SUM(Jul!D11, Aug!D11, Sep!D11)</f>
        <v>0</v>
      </c>
      <c r="E11" s="15">
        <f t="shared" si="0"/>
        <v>0</v>
      </c>
      <c r="F11" s="16" t="str">
        <f t="shared" si="1"/>
        <v/>
      </c>
      <c r="G11" s="17"/>
      <c r="H11" s="17">
        <f>SUM(Jul!H11, Aug!H11, Sep!H11)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SUM(Jul!C12, Aug!C12, Sep!C12)</f>
        <v>0</v>
      </c>
      <c r="D12" s="11">
        <f>SUM(Jul!D12, Aug!D12, Sep!D12)</f>
        <v>0</v>
      </c>
      <c r="E12" s="11">
        <f t="shared" si="0"/>
        <v>0</v>
      </c>
      <c r="F12" s="12" t="str">
        <f t="shared" si="1"/>
        <v/>
      </c>
      <c r="G12" s="13"/>
      <c r="H12" s="13">
        <f>SUM(Jul!H12, Aug!H12, Sep!H12)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SUM(Jul!C13, Aug!C13, Sep!C13)</f>
        <v>0</v>
      </c>
      <c r="D13" s="15">
        <f>SUM(Jul!D13, Aug!D13, Sep!D13)</f>
        <v>0</v>
      </c>
      <c r="E13" s="15">
        <f t="shared" si="0"/>
        <v>0</v>
      </c>
      <c r="F13" s="16" t="str">
        <f t="shared" si="1"/>
        <v/>
      </c>
      <c r="G13" s="17"/>
      <c r="H13" s="17">
        <f>SUM(Jul!H13, Aug!H13, Sep!H13)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SUM(Jul!C14, Aug!C14, Sep!C14)</f>
        <v>0</v>
      </c>
      <c r="D14" s="11">
        <f>SUM(Jul!D14, Aug!D14, Sep!D14)</f>
        <v>0</v>
      </c>
      <c r="E14" s="11">
        <f t="shared" si="0"/>
        <v>0</v>
      </c>
      <c r="F14" s="12" t="str">
        <f t="shared" si="1"/>
        <v/>
      </c>
      <c r="G14" s="13"/>
      <c r="H14" s="13">
        <f>SUM(Jul!H14, Aug!H14, Sep!H14)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SUM(Jul!C15, Aug!C15, Sep!C15)</f>
        <v>0</v>
      </c>
      <c r="D15" s="15">
        <f>SUM(Jul!D15, Aug!D15, Sep!D15)</f>
        <v>0</v>
      </c>
      <c r="E15" s="15">
        <f t="shared" si="0"/>
        <v>0</v>
      </c>
      <c r="F15" s="16" t="str">
        <f t="shared" si="1"/>
        <v/>
      </c>
      <c r="G15" s="17"/>
      <c r="H15" s="17">
        <f>SUM(Jul!H15, Aug!H15, Sep!H15)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SUM(Jul!C16, Aug!C16, Sep!C16)</f>
        <v>0</v>
      </c>
      <c r="D16" s="11">
        <f>SUM(Jul!D16, Aug!D16, Sep!D16)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SUM(Jul!H16, Aug!H16, Sep!H16)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SUM(Jul!C17, Aug!C17, Sep!C17)</f>
        <v>0</v>
      </c>
      <c r="D17" s="15">
        <f>SUM(Jul!D17, Aug!D17, Sep!D17)</f>
        <v>0</v>
      </c>
      <c r="E17" s="15">
        <f t="shared" si="3"/>
        <v>0</v>
      </c>
      <c r="F17" s="16" t="str">
        <f t="shared" si="4"/>
        <v/>
      </c>
      <c r="G17" s="17"/>
      <c r="H17" s="17">
        <f>SUM(Jul!H17, Aug!H17, Sep!H17)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11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 ht="13.15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 ht="13.15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 ht="13.15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 ht="13.15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 ht="13.15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 ht="13.15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 ht="13.15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 ht="13.15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 ht="13.15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 ht="13.15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 ht="13.15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 ht="13.15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 ht="13.15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 ht="13.15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 ht="13.15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 ht="13.15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 ht="13.15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 ht="13.15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 ht="13.15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 ht="13.15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 ht="13.15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 ht="13.15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 ht="13.15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 ht="13.15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 ht="13.15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 ht="13.15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 ht="13.15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 ht="13.15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 ht="13.15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 ht="13.15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 ht="13.15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 ht="13.15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 ht="13.15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 ht="13.15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 ht="13.15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 ht="13.15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 ht="13.15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 ht="13.15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 ht="13.15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 ht="13.15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 ht="13.15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 ht="13.15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 ht="13.15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 ht="13.15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 ht="13.15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 ht="13.15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 ht="13.15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 ht="13.15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 ht="13.15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 ht="13.15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 ht="13.15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 ht="13.15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 ht="13.15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 ht="13.15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 ht="13.15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 ht="13.15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 ht="13.15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 ht="13.15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 ht="13.15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 ht="13.15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 ht="13.15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 ht="13.15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 ht="13.15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 ht="13.15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 ht="13.15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 ht="13.15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 ht="13.15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 ht="13.15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 ht="13.15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 ht="13.15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 ht="13.15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 ht="13.15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 ht="13.15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 ht="13.15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 ht="13.15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 ht="13.15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 ht="13.15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 ht="13.15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 ht="13.15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 ht="13.15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 ht="13.15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 ht="13.15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 ht="13.15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 ht="13.15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 ht="13.15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 ht="13.15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 ht="13.15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 ht="13.15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 ht="13.15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 ht="13.15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 ht="13.15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 ht="13.15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 ht="13.15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 ht="13.15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 ht="13.15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 ht="13.15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 ht="13.15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 ht="13.15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 ht="13.15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 ht="13.15">
      <c r="A342" s="18"/>
      <c r="B342" s="18"/>
      <c r="C342" s="18"/>
      <c r="D342" s="18"/>
      <c r="E342" s="18"/>
      <c r="F342" s="19"/>
      <c r="G342" s="18"/>
      <c r="H342" s="18"/>
      <c r="I342" s="19"/>
    </row>
  </sheetData>
  <mergeCells count="4">
    <mergeCell ref="G1:I1"/>
    <mergeCell ref="A1:C1"/>
    <mergeCell ref="D1:F1"/>
    <mergeCell ref="A2:B2"/>
  </mergeCells>
  <conditionalFormatting sqref="F2 I2">
    <cfRule type="cellIs" dxfId="58" priority="3" stopIfTrue="1" operator="lessThanOrEqual">
      <formula>-0.1</formula>
    </cfRule>
    <cfRule type="expression" dxfId="57" priority="4">
      <formula>AND(ISNUMBER(F2), F2&gt;=0.1)</formula>
    </cfRule>
  </conditionalFormatting>
  <conditionalFormatting sqref="F4:F137 I4:I137">
    <cfRule type="cellIs" dxfId="56" priority="1" stopIfTrue="1" operator="lessThanOrEqual">
      <formula>-0.1</formula>
    </cfRule>
    <cfRule type="expression" dxfId="5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42"/>
  <sheetViews>
    <sheetView workbookViewId="0">
      <pane xSplit="2" ySplit="3" topLeftCell="C4" activePane="bottomRight" state="frozen"/>
      <selection pane="bottomRight" activeCell="P16" sqref="P1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SUM(Oct!C5, Nov!C5, Dec!C5)</f>
        <v>0</v>
      </c>
      <c r="D5" s="15">
        <f>SUM(Oct!D5, Nov!D5, Dec!D5)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SUM(Oct!H5, Nov!H5, Dec!H5)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SUM(Oct!C6, Nov!C6, Dec!C6)</f>
        <v>0</v>
      </c>
      <c r="D6" s="11">
        <f>SUM(Oct!D6, Nov!D6, Dec!D6)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SUM(Oct!H6, Nov!H6, Dec!H6)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SUM(Oct!C7, Nov!C7, Dec!C7)</f>
        <v>0</v>
      </c>
      <c r="D7" s="15">
        <f>SUM(Oct!D7, Nov!D7, Dec!D7)</f>
        <v>0</v>
      </c>
      <c r="E7" s="15">
        <f t="shared" si="0"/>
        <v>0</v>
      </c>
      <c r="F7" s="16" t="str">
        <f t="shared" si="1"/>
        <v/>
      </c>
      <c r="G7" s="17"/>
      <c r="H7" s="17">
        <f>SUM(Oct!H7, Nov!H7, Dec!H7)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SUM(Oct!C8, Nov!C8, Dec!C8)</f>
        <v>0</v>
      </c>
      <c r="D8" s="11">
        <f>SUM(Oct!D8, Nov!D8, Dec!D8)</f>
        <v>0</v>
      </c>
      <c r="E8" s="11">
        <f t="shared" si="0"/>
        <v>0</v>
      </c>
      <c r="F8" s="12" t="str">
        <f t="shared" si="1"/>
        <v/>
      </c>
      <c r="G8" s="13"/>
      <c r="H8" s="13">
        <f>SUM(Oct!H8, Nov!H8, Dec!H8)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SUM(Oct!C9, Nov!C9, Dec!C9)</f>
        <v>0</v>
      </c>
      <c r="D9" s="15">
        <f>SUM(Oct!D9, Nov!D9, Dec!D9)</f>
        <v>0</v>
      </c>
      <c r="E9" s="15">
        <f t="shared" si="0"/>
        <v>0</v>
      </c>
      <c r="F9" s="16" t="str">
        <f t="shared" si="1"/>
        <v/>
      </c>
      <c r="G9" s="17"/>
      <c r="H9" s="17">
        <f>SUM(Oct!H9, Nov!H9, Dec!H9)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SUM(Oct!C10, Nov!C10, Dec!C10)</f>
        <v>0</v>
      </c>
      <c r="D10" s="11">
        <f>SUM(Oct!D10, Nov!D10, Dec!D10)</f>
        <v>0</v>
      </c>
      <c r="E10" s="11">
        <f t="shared" si="0"/>
        <v>0</v>
      </c>
      <c r="F10" s="12" t="str">
        <f t="shared" si="1"/>
        <v/>
      </c>
      <c r="G10" s="13"/>
      <c r="H10" s="13">
        <f>SUM(Oct!H10, Nov!H10, Dec!H10)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SUM(Oct!C11, Nov!C11, Dec!C11)</f>
        <v>0</v>
      </c>
      <c r="D11" s="15">
        <f>SUM(Oct!D11, Nov!D11, Dec!D11)</f>
        <v>0</v>
      </c>
      <c r="E11" s="15">
        <f t="shared" si="0"/>
        <v>0</v>
      </c>
      <c r="F11" s="16" t="str">
        <f t="shared" si="1"/>
        <v/>
      </c>
      <c r="G11" s="17"/>
      <c r="H11" s="17">
        <f>SUM(Oct!H11, Nov!H11, Dec!H11)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SUM(Oct!C12, Nov!C12, Dec!C12)</f>
        <v>0</v>
      </c>
      <c r="D12" s="11">
        <f>SUM(Oct!D12, Nov!D12, Dec!D12)</f>
        <v>0</v>
      </c>
      <c r="E12" s="11">
        <f t="shared" si="0"/>
        <v>0</v>
      </c>
      <c r="F12" s="12" t="str">
        <f t="shared" si="1"/>
        <v/>
      </c>
      <c r="G12" s="13"/>
      <c r="H12" s="13">
        <f>SUM(Oct!H12, Nov!H12, Dec!H12)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SUM(Oct!C13, Nov!C13, Dec!C13)</f>
        <v>0</v>
      </c>
      <c r="D13" s="15">
        <f>SUM(Oct!D13, Nov!D13, Dec!D13)</f>
        <v>0</v>
      </c>
      <c r="E13" s="15">
        <f t="shared" si="0"/>
        <v>0</v>
      </c>
      <c r="F13" s="16" t="str">
        <f t="shared" si="1"/>
        <v/>
      </c>
      <c r="G13" s="17"/>
      <c r="H13" s="17">
        <f>SUM(Oct!H13, Nov!H13, Dec!H13)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SUM(Oct!C14, Nov!C14, Dec!C14)</f>
        <v>0</v>
      </c>
      <c r="D14" s="11">
        <f>SUM(Oct!D14, Nov!D14, Dec!D14)</f>
        <v>0</v>
      </c>
      <c r="E14" s="11">
        <f t="shared" si="0"/>
        <v>0</v>
      </c>
      <c r="F14" s="12" t="str">
        <f t="shared" si="1"/>
        <v/>
      </c>
      <c r="G14" s="13"/>
      <c r="H14" s="13">
        <f>SUM(Oct!H14, Nov!H14, Dec!H14)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SUM(Oct!C15, Nov!C15, Dec!C15)</f>
        <v>0</v>
      </c>
      <c r="D15" s="15">
        <f>SUM(Oct!D15, Nov!D15, Dec!D15)</f>
        <v>0</v>
      </c>
      <c r="E15" s="15">
        <f t="shared" si="0"/>
        <v>0</v>
      </c>
      <c r="F15" s="16" t="str">
        <f t="shared" si="1"/>
        <v/>
      </c>
      <c r="G15" s="17"/>
      <c r="H15" s="17">
        <f>SUM(Oct!H15, Nov!H15, Dec!H15)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SUM(Oct!C16, Nov!C16, Dec!C16)</f>
        <v>0</v>
      </c>
      <c r="D16" s="11">
        <f>SUM(Oct!D16, Nov!D16, Dec!D16)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SUM(Oct!H16, Nov!H16, Dec!H16)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SUM(Oct!C17, Nov!C17, Dec!C17)</f>
        <v>0</v>
      </c>
      <c r="D17" s="15">
        <f>SUM(Oct!D17, Nov!D17, Dec!D17)</f>
        <v>0</v>
      </c>
      <c r="E17" s="15">
        <f t="shared" si="3"/>
        <v>0</v>
      </c>
      <c r="F17" s="16" t="str">
        <f t="shared" si="4"/>
        <v/>
      </c>
      <c r="G17" s="17"/>
      <c r="H17" s="17">
        <f>SUM(Oct!H17, Nov!H17, Dec!H17)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11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 ht="13.15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 ht="13.15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 ht="13.15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 ht="13.15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 ht="13.15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 ht="13.15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 ht="13.15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 ht="13.15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 ht="13.15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 ht="13.15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 ht="13.15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 ht="13.15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 ht="13.15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 ht="13.15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 ht="13.15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 ht="13.15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 ht="13.15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 ht="13.15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 ht="13.15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 ht="13.15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 ht="13.15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 ht="13.15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 ht="13.15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 ht="13.15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 ht="13.15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 ht="13.15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 ht="13.15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 ht="13.15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 ht="13.15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 ht="13.15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 ht="13.15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 ht="13.15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 ht="13.15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 ht="13.15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 ht="13.15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 ht="13.15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 ht="13.15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 ht="13.15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 ht="13.15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 ht="13.15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 ht="13.15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 ht="13.15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 ht="13.15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 ht="13.15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 ht="13.15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 ht="13.15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 ht="13.15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 ht="13.15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 ht="13.15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 ht="13.15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 ht="13.15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 ht="13.15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 ht="13.15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 ht="13.15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 ht="13.15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 ht="13.15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 ht="13.15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 ht="13.15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 ht="13.15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 ht="13.15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 ht="13.15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 ht="13.15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 ht="13.15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 ht="13.15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 ht="13.15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 ht="13.15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 ht="13.15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 ht="13.15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 ht="13.15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 ht="13.15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 ht="13.15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 ht="13.15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 ht="13.15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 ht="13.15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 ht="13.15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 ht="13.15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 ht="13.15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 ht="13.15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 ht="13.15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 ht="13.15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 ht="13.15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 ht="13.15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 ht="13.15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 ht="13.15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 ht="13.15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 ht="13.15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 ht="13.15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 ht="13.15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 ht="13.15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 ht="13.15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 ht="13.15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 ht="13.15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 ht="13.15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 ht="13.15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 ht="13.15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 ht="13.15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 ht="13.15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 ht="13.15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 ht="13.15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 ht="13.15">
      <c r="A342" s="18"/>
      <c r="B342" s="18"/>
      <c r="C342" s="18"/>
      <c r="D342" s="18"/>
      <c r="E342" s="18"/>
      <c r="F342" s="19"/>
      <c r="G342" s="18"/>
      <c r="H342" s="18"/>
      <c r="I342" s="19"/>
    </row>
  </sheetData>
  <mergeCells count="4">
    <mergeCell ref="G1:I1"/>
    <mergeCell ref="A1:C1"/>
    <mergeCell ref="D1:F1"/>
    <mergeCell ref="A2:B2"/>
  </mergeCells>
  <conditionalFormatting sqref="F2 I2">
    <cfRule type="cellIs" dxfId="54" priority="3" stopIfTrue="1" operator="lessThanOrEqual">
      <formula>-0.1</formula>
    </cfRule>
    <cfRule type="expression" dxfId="53" priority="4">
      <formula>AND(ISNUMBER(F2), F2&gt;=0.1)</formula>
    </cfRule>
  </conditionalFormatting>
  <conditionalFormatting sqref="F4:F137 I4:I137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90" zoomScaleNormal="90" workbookViewId="0">
      <pane xSplit="2" ySplit="3" topLeftCell="J129" activePane="bottomRight" state="frozen"/>
      <selection pane="bottomRight" activeCell="J116" sqref="J1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SUM(C4:C137)</f>
        <v>5231538.1062812647</v>
      </c>
      <c r="D2" s="6">
        <f>SUM(D4:D137)</f>
        <v>2888612.5548000005</v>
      </c>
      <c r="E2" s="6">
        <f>C2-D2</f>
        <v>2342925.5514812642</v>
      </c>
      <c r="F2" s="7">
        <f>IFERROR(E2/D2, 0)</f>
        <v>0.81109027501387487</v>
      </c>
      <c r="G2" s="6">
        <f>SUM(G4:G137)</f>
        <v>9202509.7462000009</v>
      </c>
      <c r="H2" s="8">
        <f>C2-G2</f>
        <v>-3970971.6399187362</v>
      </c>
      <c r="I2" s="7">
        <f>IFERROR(H2/G2, 0)</f>
        <v>-0.43150963698337536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4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7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v>9019.8055667054105</v>
      </c>
      <c r="D4" s="11">
        <v>7182.884</v>
      </c>
      <c r="E4" s="11">
        <f>IF(AND(ISNUMBER(C4),ISNUMBER(D4)), C4-D4, "")</f>
        <v>1836.9215667054104</v>
      </c>
      <c r="F4" s="12">
        <f>IFERROR(E4/D4, "")</f>
        <v>0.25573593652708443</v>
      </c>
      <c r="G4" s="13">
        <v>9612.777</v>
      </c>
      <c r="H4" s="13">
        <f>IF(AND(ISNUMBER(C4),ISNUMBER(G4)), C4-G4, "")</f>
        <v>-592.97143329458959</v>
      </c>
      <c r="I4" s="14">
        <f>IFERROR(H4/G4, "")</f>
        <v>-6.1685757746652144E-2</v>
      </c>
      <c r="J4" s="38" t="s">
        <v>22</v>
      </c>
      <c r="K4" s="38" t="s">
        <v>22</v>
      </c>
    </row>
    <row r="5" spans="1:11" ht="15.75">
      <c r="A5" s="27" t="str">
        <v>Fulton</v>
      </c>
      <c r="B5" s="28" t="str">
        <v>AZ</v>
      </c>
      <c r="C5" s="10">
        <v>29434.75</v>
      </c>
      <c r="D5" s="15">
        <v>28981.22</v>
      </c>
      <c r="E5" s="15">
        <f t="shared" ref="E5:E15" si="0">IF(AND(ISNUMBER(C5),ISNUMBER(D5)), C5-D5, "")</f>
        <v>453.52999999999884</v>
      </c>
      <c r="F5" s="16">
        <f>IFERROR(E5/D5, "")</f>
        <v>1.5649099658330425E-2</v>
      </c>
      <c r="G5" s="17">
        <v>39673.79</v>
      </c>
      <c r="H5" s="17">
        <f t="shared" ref="H5:H6" si="1">IF(AND(ISNUMBER(C5),ISNUMBER(G5)), C5-G5, "")</f>
        <v>-10239.040000000001</v>
      </c>
      <c r="I5" s="16">
        <f t="shared" ref="I5:I6" si="2">IFERROR(H5/G5, "")</f>
        <v>-0.25808071273251182</v>
      </c>
      <c r="J5" s="39" t="s">
        <v>22</v>
      </c>
      <c r="K5" s="39" t="s">
        <v>22</v>
      </c>
    </row>
    <row r="6" spans="1:11" ht="15.75">
      <c r="A6" s="25" t="str">
        <v>JFK Elementary</v>
      </c>
      <c r="B6" s="26" t="str">
        <v>AZ</v>
      </c>
      <c r="C6" s="21">
        <v>15656.69</v>
      </c>
      <c r="D6" s="11">
        <v>0</v>
      </c>
      <c r="E6" s="11">
        <f t="shared" si="0"/>
        <v>15656.69</v>
      </c>
      <c r="F6" s="12" t="str">
        <f t="shared" ref="F6:F15" si="3">IFERROR(E6/D6, "")</f>
        <v/>
      </c>
      <c r="G6" s="13">
        <v>1973</v>
      </c>
      <c r="H6" s="13">
        <f t="shared" si="1"/>
        <v>13683.69</v>
      </c>
      <c r="I6" s="14">
        <f t="shared" si="2"/>
        <v>6.9354738976178414</v>
      </c>
      <c r="J6" s="38" t="s">
        <v>22</v>
      </c>
      <c r="K6" s="38" t="s">
        <v>22</v>
      </c>
    </row>
    <row r="7" spans="1:11" ht="15.75">
      <c r="A7" s="27" t="str">
        <v>Noble</v>
      </c>
      <c r="B7" s="28" t="str">
        <v>AZ</v>
      </c>
      <c r="C7" s="10">
        <v>8806.2478459322592</v>
      </c>
      <c r="D7" s="15">
        <v>12098.42</v>
      </c>
      <c r="E7" s="15">
        <f t="shared" si="0"/>
        <v>-3292.1721540677408</v>
      </c>
      <c r="F7" s="16">
        <f t="shared" si="3"/>
        <v>-0.27211587579764474</v>
      </c>
      <c r="G7" s="17">
        <v>11218.66</v>
      </c>
      <c r="H7" s="17">
        <f t="shared" ref="H7:H15" si="4">IF(AND(ISNUMBER(C7),ISNUMBER(G7)), C7-G7, "")</f>
        <v>-2412.4121540677406</v>
      </c>
      <c r="I7" s="16">
        <f t="shared" ref="I7:I15" si="5">IFERROR(H7/G7, "")</f>
        <v>-0.21503567752902225</v>
      </c>
      <c r="J7" s="39" t="s">
        <v>22</v>
      </c>
      <c r="K7" s="40" t="s">
        <v>22</v>
      </c>
    </row>
    <row r="8" spans="1:11" ht="28.5">
      <c r="A8" s="25" t="str">
        <v>Parking 3</v>
      </c>
      <c r="B8" s="26" t="str">
        <v>AZ</v>
      </c>
      <c r="C8" s="21">
        <v>16586.8</v>
      </c>
      <c r="D8" s="11">
        <v>24366.89</v>
      </c>
      <c r="E8" s="11">
        <f t="shared" si="0"/>
        <v>-7780.09</v>
      </c>
      <c r="F8" s="12">
        <f t="shared" si="3"/>
        <v>-0.31928941280565554</v>
      </c>
      <c r="G8" s="13">
        <v>24201.63</v>
      </c>
      <c r="H8" s="13">
        <f t="shared" si="4"/>
        <v>-7614.8300000000017</v>
      </c>
      <c r="I8" s="14">
        <f t="shared" si="5"/>
        <v>-0.31464120391890965</v>
      </c>
      <c r="J8" s="38" t="s">
        <v>23</v>
      </c>
      <c r="K8" s="38" t="s">
        <v>24</v>
      </c>
    </row>
    <row r="9" spans="1:11" ht="15.75">
      <c r="A9" s="27" t="str">
        <v>PE East</v>
      </c>
      <c r="B9" s="28" t="str">
        <v>AZ</v>
      </c>
      <c r="C9" s="10">
        <v>20730.183365017401</v>
      </c>
      <c r="D9" s="15">
        <v>16836.22</v>
      </c>
      <c r="E9" s="15">
        <f t="shared" si="0"/>
        <v>3893.9633650174001</v>
      </c>
      <c r="F9" s="16">
        <f t="shared" si="3"/>
        <v>0.23128489441319963</v>
      </c>
      <c r="G9" s="17">
        <v>24326.73</v>
      </c>
      <c r="H9" s="17">
        <f t="shared" si="4"/>
        <v>-3596.5466349825983</v>
      </c>
      <c r="I9" s="16">
        <f t="shared" si="5"/>
        <v>-0.14784340661414824</v>
      </c>
      <c r="J9" s="39" t="s">
        <v>22</v>
      </c>
      <c r="K9" s="40" t="s">
        <v>22</v>
      </c>
    </row>
    <row r="10" spans="1:11" ht="15.75">
      <c r="A10" s="25" t="str">
        <v>Schwada</v>
      </c>
      <c r="B10" s="26" t="str">
        <v>AZ</v>
      </c>
      <c r="C10" s="21">
        <v>8912.9887629654295</v>
      </c>
      <c r="D10" s="11">
        <v>7118.6189999999997</v>
      </c>
      <c r="E10" s="11">
        <f t="shared" si="0"/>
        <v>1794.3697629654298</v>
      </c>
      <c r="F10" s="12">
        <f t="shared" si="3"/>
        <v>0.25206711624339356</v>
      </c>
      <c r="G10" s="13">
        <v>10705</v>
      </c>
      <c r="H10" s="13">
        <f t="shared" si="4"/>
        <v>-1792.0112370345705</v>
      </c>
      <c r="I10" s="14">
        <f t="shared" si="5"/>
        <v>-0.16739946165666236</v>
      </c>
      <c r="J10" s="38" t="s">
        <v>22</v>
      </c>
      <c r="K10" s="38" t="s">
        <v>22</v>
      </c>
    </row>
    <row r="11" spans="1:11" ht="15.75">
      <c r="A11" s="27" t="str">
        <v>Starshine</v>
      </c>
      <c r="B11" s="28" t="str">
        <v>AZ</v>
      </c>
      <c r="C11" s="10">
        <v>3747.203</v>
      </c>
      <c r="D11" s="15">
        <v>0</v>
      </c>
      <c r="E11" s="15">
        <f t="shared" si="0"/>
        <v>3747.203</v>
      </c>
      <c r="F11" s="16" t="str">
        <f t="shared" si="3"/>
        <v/>
      </c>
      <c r="G11" s="17">
        <v>0</v>
      </c>
      <c r="H11" s="17">
        <f t="shared" si="4"/>
        <v>3747.203</v>
      </c>
      <c r="I11" s="16" t="str">
        <f t="shared" si="5"/>
        <v/>
      </c>
      <c r="J11" s="39" t="s">
        <v>25</v>
      </c>
      <c r="K11" s="40" t="s">
        <v>26</v>
      </c>
    </row>
    <row r="12" spans="1:11" ht="15.75">
      <c r="A12" s="25" t="str">
        <v>Yuma Airport</v>
      </c>
      <c r="B12" s="26" t="str">
        <v>AZ</v>
      </c>
      <c r="C12" s="21">
        <v>52995</v>
      </c>
      <c r="D12" s="11">
        <v>74566.16</v>
      </c>
      <c r="E12" s="11">
        <f t="shared" si="0"/>
        <v>-21571.160000000003</v>
      </c>
      <c r="F12" s="12">
        <f t="shared" si="3"/>
        <v>-0.28928886776521684</v>
      </c>
      <c r="G12" s="13">
        <v>67067</v>
      </c>
      <c r="H12" s="13">
        <f t="shared" si="4"/>
        <v>-14072</v>
      </c>
      <c r="I12" s="14">
        <f t="shared" si="5"/>
        <v>-0.20982003071555311</v>
      </c>
      <c r="J12" s="38" t="s">
        <v>22</v>
      </c>
      <c r="K12" s="38" t="s">
        <v>22</v>
      </c>
    </row>
    <row r="13" spans="1:11" ht="15.75">
      <c r="A13" s="27" t="str">
        <v>Kinsman</v>
      </c>
      <c r="B13" s="28" t="str">
        <v>OH</v>
      </c>
      <c r="C13" s="10">
        <v>20047.7890625</v>
      </c>
      <c r="D13" s="15">
        <v>40688.25</v>
      </c>
      <c r="E13" s="15">
        <f t="shared" si="0"/>
        <v>-20640.4609375</v>
      </c>
      <c r="F13" s="16">
        <f t="shared" si="3"/>
        <v>-0.50728308387556609</v>
      </c>
      <c r="G13" s="17">
        <v>55531</v>
      </c>
      <c r="H13" s="17">
        <f t="shared" si="4"/>
        <v>-35483.2109375</v>
      </c>
      <c r="I13" s="16">
        <f t="shared" si="5"/>
        <v>-0.63898022613495165</v>
      </c>
      <c r="J13" s="39" t="s">
        <v>27</v>
      </c>
      <c r="K13" s="40" t="s">
        <v>28</v>
      </c>
    </row>
    <row r="14" spans="1:11" ht="15.75">
      <c r="A14" s="25" t="str">
        <v>Wooster</v>
      </c>
      <c r="B14" s="26" t="str">
        <v>OH</v>
      </c>
      <c r="C14" s="21">
        <v>6323.25</v>
      </c>
      <c r="D14" s="11">
        <v>0</v>
      </c>
      <c r="E14" s="11">
        <f t="shared" si="0"/>
        <v>6323.25</v>
      </c>
      <c r="F14" s="12" t="str">
        <f t="shared" si="3"/>
        <v/>
      </c>
      <c r="G14" s="13">
        <v>12400</v>
      </c>
      <c r="H14" s="13">
        <f t="shared" si="4"/>
        <v>-6076.75</v>
      </c>
      <c r="I14" s="14">
        <f t="shared" si="5"/>
        <v>-0.49006048387096773</v>
      </c>
      <c r="J14" s="38" t="s">
        <v>22</v>
      </c>
      <c r="K14" s="38" t="s">
        <v>29</v>
      </c>
    </row>
    <row r="15" spans="1:11" ht="15.75">
      <c r="A15" s="27" t="str">
        <v>Globe Gila CC</v>
      </c>
      <c r="B15" s="28" t="str">
        <v>AZ</v>
      </c>
      <c r="C15" s="10">
        <v>10382.7778156565</v>
      </c>
      <c r="D15" s="15">
        <v>0</v>
      </c>
      <c r="E15" s="15">
        <f t="shared" si="0"/>
        <v>10382.7778156565</v>
      </c>
      <c r="F15" s="16" t="str">
        <f t="shared" si="3"/>
        <v/>
      </c>
      <c r="G15" s="17">
        <v>11007</v>
      </c>
      <c r="H15" s="17">
        <f t="shared" si="4"/>
        <v>-624.22218434349998</v>
      </c>
      <c r="I15" s="16">
        <f t="shared" si="5"/>
        <v>-5.6711382242527482E-2</v>
      </c>
      <c r="J15" s="39" t="s">
        <v>22</v>
      </c>
      <c r="K15" s="40" t="s">
        <v>29</v>
      </c>
    </row>
    <row r="16" spans="1:11" ht="15.75">
      <c r="A16" s="25" t="str">
        <v>Payson Gila CC</v>
      </c>
      <c r="B16" s="26" t="str">
        <v>AZ</v>
      </c>
      <c r="C16" s="21">
        <v>6804.58081607043</v>
      </c>
      <c r="D16" s="11">
        <v>0</v>
      </c>
      <c r="E16" s="11">
        <f t="shared" ref="E16:E79" si="6">IF(AND(ISNUMBER(C16),ISNUMBER(D16)), C16-D16, "")</f>
        <v>6804.58081607043</v>
      </c>
      <c r="F16" s="12" t="str">
        <f t="shared" ref="F16:F79" si="7">IFERROR(E16/D16, "")</f>
        <v/>
      </c>
      <c r="G16" s="13">
        <v>8517</v>
      </c>
      <c r="H16" s="13">
        <f t="shared" ref="H16:H17" si="8">IF(AND(ISNUMBER(C16),ISNUMBER(G16)), C16-G16, "")</f>
        <v>-1712.41918392957</v>
      </c>
      <c r="I16" s="14">
        <f t="shared" ref="I16:I17" si="9">IFERROR(H16/G16, "")</f>
        <v>-0.20105896253722788</v>
      </c>
      <c r="J16" s="38" t="s">
        <v>22</v>
      </c>
      <c r="K16" s="38" t="s">
        <v>29</v>
      </c>
    </row>
    <row r="17" spans="1:11" ht="15.75">
      <c r="A17" s="27" t="str">
        <v>SCNM</v>
      </c>
      <c r="B17" s="28" t="str">
        <v>AZ</v>
      </c>
      <c r="C17" s="10">
        <v>51680.32</v>
      </c>
      <c r="D17" s="15">
        <v>0</v>
      </c>
      <c r="E17" s="15">
        <f t="shared" si="6"/>
        <v>51680.32</v>
      </c>
      <c r="F17" s="16" t="str">
        <f t="shared" si="7"/>
        <v/>
      </c>
      <c r="G17" s="17">
        <v>28849</v>
      </c>
      <c r="H17" s="17">
        <f t="shared" si="8"/>
        <v>22831.32</v>
      </c>
      <c r="I17" s="16">
        <f t="shared" si="9"/>
        <v>0.79140767444278826</v>
      </c>
      <c r="J17" s="39" t="s">
        <v>22</v>
      </c>
      <c r="K17" s="39" t="s">
        <v>29</v>
      </c>
    </row>
    <row r="18" spans="1:11" ht="15.75">
      <c r="A18" s="25" t="str">
        <v>Sequoia Charter School</v>
      </c>
      <c r="B18" s="26" t="str">
        <v>AZ</v>
      </c>
      <c r="C18" s="21">
        <v>20768</v>
      </c>
      <c r="D18" s="11">
        <v>0</v>
      </c>
      <c r="E18" s="11">
        <f t="shared" si="6"/>
        <v>20768</v>
      </c>
      <c r="F18" s="12" t="str">
        <f t="shared" si="7"/>
        <v/>
      </c>
      <c r="G18" s="13">
        <v>8180</v>
      </c>
      <c r="H18" s="13">
        <f t="shared" ref="H18:H81" si="10">IF(AND(ISNUMBER(C18),ISNUMBER(G18)), C18-G18, "")</f>
        <v>12588</v>
      </c>
      <c r="I18" s="14">
        <f t="shared" ref="I18:I81" si="11">IFERROR(H18/G18, "")</f>
        <v>1.5388753056234719</v>
      </c>
      <c r="J18" s="38" t="s">
        <v>22</v>
      </c>
      <c r="K18" s="38" t="s">
        <v>29</v>
      </c>
    </row>
    <row r="19" spans="1:11" ht="15.75">
      <c r="A19" s="27" t="str">
        <v>RCAB</v>
      </c>
      <c r="B19" s="28" t="str">
        <v>MA</v>
      </c>
      <c r="C19" s="10">
        <v>23135</v>
      </c>
      <c r="D19" s="15">
        <v>43481.120000000003</v>
      </c>
      <c r="E19" s="15">
        <f t="shared" si="6"/>
        <v>-20346.120000000003</v>
      </c>
      <c r="F19" s="16">
        <f t="shared" si="7"/>
        <v>-0.4679299889239284</v>
      </c>
      <c r="G19" s="17">
        <v>47410.87</v>
      </c>
      <c r="H19" s="17">
        <f t="shared" si="10"/>
        <v>-24275.870000000003</v>
      </c>
      <c r="I19" s="16">
        <f t="shared" si="11"/>
        <v>-0.51203173449464234</v>
      </c>
      <c r="J19" s="39" t="s">
        <v>22</v>
      </c>
      <c r="K19" s="40" t="s">
        <v>29</v>
      </c>
    </row>
    <row r="20" spans="1:11" ht="15.75">
      <c r="A20" s="25" t="str">
        <v>Spectro Coatings</v>
      </c>
      <c r="B20" s="26" t="str">
        <v>MA</v>
      </c>
      <c r="C20" s="21">
        <v>5510.625</v>
      </c>
      <c r="D20" s="11">
        <v>12146.73</v>
      </c>
      <c r="E20" s="11">
        <f t="shared" si="6"/>
        <v>-6636.1049999999996</v>
      </c>
      <c r="F20" s="12">
        <f t="shared" si="7"/>
        <v>-0.54632851804559746</v>
      </c>
      <c r="G20" s="13">
        <v>11789.76</v>
      </c>
      <c r="H20" s="13">
        <f t="shared" si="10"/>
        <v>-6279.1350000000002</v>
      </c>
      <c r="I20" s="14">
        <f t="shared" si="11"/>
        <v>-0.53259226650924196</v>
      </c>
      <c r="J20" s="38" t="s">
        <v>30</v>
      </c>
      <c r="K20" s="38" t="s">
        <v>31</v>
      </c>
    </row>
    <row r="21" spans="1:11" ht="15.75">
      <c r="A21" s="27" t="str">
        <v>K026</v>
      </c>
      <c r="B21" s="28" t="str">
        <v>NY</v>
      </c>
      <c r="C21" s="10">
        <v>7049.125</v>
      </c>
      <c r="D21" s="15">
        <v>12398.04</v>
      </c>
      <c r="E21" s="15">
        <f t="shared" si="6"/>
        <v>-5348.9150000000009</v>
      </c>
      <c r="F21" s="16">
        <f t="shared" si="7"/>
        <v>-0.43143230704208091</v>
      </c>
      <c r="G21" s="17">
        <v>18592.650000000001</v>
      </c>
      <c r="H21" s="17">
        <f t="shared" si="10"/>
        <v>-11543.525000000001</v>
      </c>
      <c r="I21" s="16">
        <f t="shared" si="11"/>
        <v>-0.62086496545678005</v>
      </c>
      <c r="J21" s="39" t="s">
        <v>22</v>
      </c>
      <c r="K21" s="40" t="s">
        <v>22</v>
      </c>
    </row>
    <row r="22" spans="1:11" ht="15.75">
      <c r="A22" s="25" t="str">
        <v>K041</v>
      </c>
      <c r="B22" s="26" t="str">
        <v>NY</v>
      </c>
      <c r="C22" s="21">
        <v>2400.5965820312499</v>
      </c>
      <c r="D22" s="11">
        <v>0</v>
      </c>
      <c r="E22" s="11">
        <f t="shared" si="6"/>
        <v>2400.5965820312499</v>
      </c>
      <c r="F22" s="12" t="str">
        <f t="shared" si="7"/>
        <v/>
      </c>
      <c r="G22" s="13">
        <v>0</v>
      </c>
      <c r="H22" s="13">
        <f t="shared" si="10"/>
        <v>2400.5965820312499</v>
      </c>
      <c r="I22" s="14" t="str">
        <f t="shared" si="11"/>
        <v/>
      </c>
      <c r="J22" s="38" t="s">
        <v>32</v>
      </c>
      <c r="K22" s="38" t="s">
        <v>33</v>
      </c>
    </row>
    <row r="23" spans="1:11" ht="15.75">
      <c r="A23" s="27" t="str">
        <v>K043</v>
      </c>
      <c r="B23" s="28" t="str">
        <v>NY</v>
      </c>
      <c r="C23" s="10">
        <v>7037.328125</v>
      </c>
      <c r="D23" s="15">
        <v>10909.38</v>
      </c>
      <c r="E23" s="15">
        <f t="shared" si="6"/>
        <v>-3872.0518749999992</v>
      </c>
      <c r="F23" s="16">
        <f t="shared" si="7"/>
        <v>-0.35492868293156893</v>
      </c>
      <c r="G23" s="17">
        <v>20258</v>
      </c>
      <c r="H23" s="17">
        <f t="shared" si="10"/>
        <v>-13220.671875</v>
      </c>
      <c r="I23" s="16">
        <f t="shared" si="11"/>
        <v>-0.65261486202981533</v>
      </c>
      <c r="J23" s="39" t="s">
        <v>22</v>
      </c>
      <c r="K23" s="40" t="s">
        <v>29</v>
      </c>
    </row>
    <row r="24" spans="1:11" ht="15.75">
      <c r="A24" s="25" t="str">
        <v>K058</v>
      </c>
      <c r="B24" s="26" t="str">
        <v>NY</v>
      </c>
      <c r="C24" s="21">
        <v>5262.6875</v>
      </c>
      <c r="D24" s="11">
        <v>8705.5619999999999</v>
      </c>
      <c r="E24" s="11">
        <f t="shared" si="6"/>
        <v>-3442.8744999999999</v>
      </c>
      <c r="F24" s="12">
        <f t="shared" si="7"/>
        <v>-0.39547986677942215</v>
      </c>
      <c r="G24" s="13">
        <v>13134.4</v>
      </c>
      <c r="H24" s="13">
        <f t="shared" si="10"/>
        <v>-7871.7124999999996</v>
      </c>
      <c r="I24" s="14">
        <f t="shared" si="11"/>
        <v>-0.59932029632111095</v>
      </c>
      <c r="J24" s="38" t="s">
        <v>22</v>
      </c>
      <c r="K24" s="38" t="s">
        <v>29</v>
      </c>
    </row>
    <row r="25" spans="1:11" ht="28.5">
      <c r="A25" s="27" t="str">
        <v>K115</v>
      </c>
      <c r="B25" s="28" t="str">
        <v>NY</v>
      </c>
      <c r="C25" s="10">
        <v>1496.6525963930401</v>
      </c>
      <c r="D25" s="15">
        <v>5139.6459999999997</v>
      </c>
      <c r="E25" s="15">
        <f t="shared" si="6"/>
        <v>-3642.9934036069599</v>
      </c>
      <c r="F25" s="16">
        <f t="shared" si="7"/>
        <v>-0.70880239682012347</v>
      </c>
      <c r="G25" s="17">
        <v>4549.33</v>
      </c>
      <c r="H25" s="17">
        <f t="shared" si="10"/>
        <v>-3052.6774036069601</v>
      </c>
      <c r="I25" s="16">
        <f t="shared" si="11"/>
        <v>-0.67101691976773725</v>
      </c>
      <c r="J25" s="39" t="s">
        <v>34</v>
      </c>
      <c r="K25" s="40" t="s">
        <v>35</v>
      </c>
    </row>
    <row r="26" spans="1:11" ht="15.75">
      <c r="A26" s="25" t="str">
        <v>K152</v>
      </c>
      <c r="B26" s="26" t="str">
        <v>NY</v>
      </c>
      <c r="C26" s="21">
        <v>1927.1875</v>
      </c>
      <c r="D26" s="11">
        <v>3008.1570000000002</v>
      </c>
      <c r="E26" s="11">
        <f t="shared" si="6"/>
        <v>-1080.9695000000002</v>
      </c>
      <c r="F26" s="12">
        <f t="shared" si="7"/>
        <v>-0.3593461046082369</v>
      </c>
      <c r="G26" s="13">
        <v>798</v>
      </c>
      <c r="H26" s="13">
        <f t="shared" si="10"/>
        <v>1129.1875</v>
      </c>
      <c r="I26" s="14">
        <f t="shared" si="11"/>
        <v>1.4150219298245614</v>
      </c>
      <c r="J26" s="38" t="s">
        <v>22</v>
      </c>
      <c r="K26" s="38" t="s">
        <v>29</v>
      </c>
    </row>
    <row r="27" spans="1:11" ht="15.75">
      <c r="A27" s="27" t="str">
        <v>K166</v>
      </c>
      <c r="B27" s="28" t="str">
        <v>NY</v>
      </c>
      <c r="C27" s="10">
        <v>7390.625</v>
      </c>
      <c r="D27" s="15">
        <v>11891.79</v>
      </c>
      <c r="E27" s="15">
        <f t="shared" si="6"/>
        <v>-4501.1650000000009</v>
      </c>
      <c r="F27" s="16">
        <f t="shared" si="7"/>
        <v>-0.37851029996325203</v>
      </c>
      <c r="G27" s="17">
        <v>18302.04</v>
      </c>
      <c r="H27" s="17">
        <f t="shared" si="10"/>
        <v>-10911.415000000001</v>
      </c>
      <c r="I27" s="16">
        <f t="shared" si="11"/>
        <v>-0.59618572574423401</v>
      </c>
      <c r="J27" s="39" t="s">
        <v>22</v>
      </c>
      <c r="K27" s="40" t="s">
        <v>29</v>
      </c>
    </row>
    <row r="28" spans="1:11" ht="15.75">
      <c r="A28" s="25" t="str">
        <v>K206</v>
      </c>
      <c r="B28" s="26" t="str">
        <v>NY</v>
      </c>
      <c r="C28" s="21">
        <v>4600.7732192947096</v>
      </c>
      <c r="D28" s="11">
        <v>0</v>
      </c>
      <c r="E28" s="11">
        <f t="shared" si="6"/>
        <v>4600.7732192947096</v>
      </c>
      <c r="F28" s="12" t="str">
        <f t="shared" si="7"/>
        <v/>
      </c>
      <c r="G28" s="13">
        <v>0</v>
      </c>
      <c r="H28" s="13">
        <f t="shared" si="10"/>
        <v>4600.7732192947096</v>
      </c>
      <c r="I28" s="14" t="str">
        <f t="shared" si="11"/>
        <v/>
      </c>
      <c r="J28" s="38" t="s">
        <v>22</v>
      </c>
      <c r="K28" s="38" t="s">
        <v>29</v>
      </c>
    </row>
    <row r="29" spans="1:11" ht="15.75">
      <c r="A29" s="27" t="str">
        <v>K251</v>
      </c>
      <c r="B29" s="28" t="str">
        <v>NY</v>
      </c>
      <c r="C29" s="10">
        <v>4966.375</v>
      </c>
      <c r="D29" s="15">
        <v>7470.1769999999997</v>
      </c>
      <c r="E29" s="15">
        <f t="shared" si="6"/>
        <v>-2503.8019999999997</v>
      </c>
      <c r="F29" s="16">
        <f t="shared" si="7"/>
        <v>-0.33517304877782678</v>
      </c>
      <c r="G29" s="17">
        <v>9815.6869999999999</v>
      </c>
      <c r="H29" s="17">
        <f t="shared" si="10"/>
        <v>-4849.3119999999999</v>
      </c>
      <c r="I29" s="16">
        <f t="shared" si="11"/>
        <v>-0.49403694310953478</v>
      </c>
      <c r="J29" s="39" t="s">
        <v>22</v>
      </c>
      <c r="K29" s="39" t="s">
        <v>29</v>
      </c>
    </row>
    <row r="30" spans="1:11" ht="15.75">
      <c r="A30" s="25" t="str">
        <v>K269</v>
      </c>
      <c r="B30" s="26" t="str">
        <v>NY</v>
      </c>
      <c r="C30" s="21">
        <v>4328.3125</v>
      </c>
      <c r="D30" s="11">
        <v>0</v>
      </c>
      <c r="E30" s="11">
        <f t="shared" si="6"/>
        <v>4328.3125</v>
      </c>
      <c r="F30" s="12" t="str">
        <f t="shared" si="7"/>
        <v/>
      </c>
      <c r="G30" s="13">
        <v>10978.73</v>
      </c>
      <c r="H30" s="13">
        <f t="shared" si="10"/>
        <v>-6650.4174999999996</v>
      </c>
      <c r="I30" s="14">
        <f t="shared" si="11"/>
        <v>-0.60575471844193274</v>
      </c>
      <c r="J30" s="38" t="s">
        <v>22</v>
      </c>
      <c r="K30" s="38" t="s">
        <v>29</v>
      </c>
    </row>
    <row r="31" spans="1:11" ht="15.75">
      <c r="A31" s="27" t="str">
        <v>K273</v>
      </c>
      <c r="B31" s="28" t="str">
        <v>NY</v>
      </c>
      <c r="C31" s="10">
        <v>5062.03125</v>
      </c>
      <c r="D31" s="15">
        <v>0</v>
      </c>
      <c r="E31" s="15">
        <f t="shared" si="6"/>
        <v>5062.03125</v>
      </c>
      <c r="F31" s="16" t="str">
        <f t="shared" si="7"/>
        <v/>
      </c>
      <c r="G31" s="17">
        <v>11224</v>
      </c>
      <c r="H31" s="17">
        <f t="shared" si="10"/>
        <v>-6161.96875</v>
      </c>
      <c r="I31" s="16">
        <f t="shared" si="11"/>
        <v>-0.54899935406272271</v>
      </c>
      <c r="J31" s="39" t="s">
        <v>22</v>
      </c>
      <c r="K31" s="40" t="s">
        <v>29</v>
      </c>
    </row>
    <row r="32" spans="1:11" ht="15.75">
      <c r="A32" s="25" t="str">
        <v>K287</v>
      </c>
      <c r="B32" s="26" t="str">
        <v>NY</v>
      </c>
      <c r="C32" s="21">
        <v>3720.0499218750001</v>
      </c>
      <c r="D32" s="11">
        <v>5487.5860000000002</v>
      </c>
      <c r="E32" s="11">
        <f t="shared" si="6"/>
        <v>-1767.5360781250001</v>
      </c>
      <c r="F32" s="12">
        <f t="shared" si="7"/>
        <v>-0.32209719868171544</v>
      </c>
      <c r="G32" s="13">
        <v>0</v>
      </c>
      <c r="H32" s="13">
        <f t="shared" si="10"/>
        <v>3720.0499218750001</v>
      </c>
      <c r="I32" s="14" t="str">
        <f t="shared" si="11"/>
        <v/>
      </c>
      <c r="J32" s="38" t="s">
        <v>22</v>
      </c>
      <c r="K32" s="38" t="s">
        <v>29</v>
      </c>
    </row>
    <row r="33" spans="1:11" ht="44.25" customHeight="1">
      <c r="A33" s="27" t="str">
        <v>K298</v>
      </c>
      <c r="B33" s="28" t="str">
        <v>NY</v>
      </c>
      <c r="C33" s="10">
        <v>3421.078125</v>
      </c>
      <c r="D33" s="15">
        <v>7008.5879999999997</v>
      </c>
      <c r="E33" s="15">
        <f t="shared" si="6"/>
        <v>-3587.5098749999997</v>
      </c>
      <c r="F33" s="16">
        <f t="shared" si="7"/>
        <v>-0.51187341515865958</v>
      </c>
      <c r="G33" s="17">
        <v>0</v>
      </c>
      <c r="H33" s="17">
        <f t="shared" si="10"/>
        <v>3421.078125</v>
      </c>
      <c r="I33" s="16" t="str">
        <f t="shared" si="11"/>
        <v/>
      </c>
      <c r="J33" s="39" t="s">
        <v>36</v>
      </c>
      <c r="K33" s="40" t="s">
        <v>37</v>
      </c>
    </row>
    <row r="34" spans="1:11" ht="15.75">
      <c r="A34" s="25" t="str">
        <v>K335</v>
      </c>
      <c r="B34" s="26" t="str">
        <v>NY</v>
      </c>
      <c r="C34" s="21">
        <v>4100.5625</v>
      </c>
      <c r="D34" s="11">
        <v>7358.259</v>
      </c>
      <c r="E34" s="11">
        <f t="shared" si="6"/>
        <v>-3257.6965</v>
      </c>
      <c r="F34" s="12">
        <f t="shared" si="7"/>
        <v>-0.44272653354550306</v>
      </c>
      <c r="G34" s="13">
        <v>11610</v>
      </c>
      <c r="H34" s="13">
        <f t="shared" si="10"/>
        <v>-7509.4375</v>
      </c>
      <c r="I34" s="14">
        <f t="shared" si="11"/>
        <v>-0.64680770887166239</v>
      </c>
      <c r="J34" s="38" t="s">
        <v>22</v>
      </c>
      <c r="K34" s="38" t="s">
        <v>29</v>
      </c>
    </row>
    <row r="35" spans="1:11" ht="42.75">
      <c r="A35" s="27" t="str">
        <v>K345</v>
      </c>
      <c r="B35" s="28" t="str">
        <v>NY</v>
      </c>
      <c r="C35" s="10">
        <v>4561.296875</v>
      </c>
      <c r="D35" s="15">
        <v>0</v>
      </c>
      <c r="E35" s="15">
        <f t="shared" si="6"/>
        <v>4561.296875</v>
      </c>
      <c r="F35" s="16" t="str">
        <f t="shared" si="7"/>
        <v/>
      </c>
      <c r="G35" s="17">
        <v>0</v>
      </c>
      <c r="H35" s="17">
        <f t="shared" si="10"/>
        <v>4561.296875</v>
      </c>
      <c r="I35" s="16" t="str">
        <f t="shared" si="11"/>
        <v/>
      </c>
      <c r="J35" s="39" t="s">
        <v>38</v>
      </c>
      <c r="K35" s="40" t="s">
        <v>39</v>
      </c>
    </row>
    <row r="36" spans="1:11" ht="15.75">
      <c r="A36" s="25" t="str">
        <v>K445</v>
      </c>
      <c r="B36" s="26" t="str">
        <v>NY</v>
      </c>
      <c r="C36" s="21">
        <v>4488.8050683593801</v>
      </c>
      <c r="D36" s="11">
        <v>0</v>
      </c>
      <c r="E36" s="11">
        <f t="shared" si="6"/>
        <v>4488.8050683593801</v>
      </c>
      <c r="F36" s="12" t="str">
        <f t="shared" si="7"/>
        <v/>
      </c>
      <c r="G36" s="13">
        <v>0</v>
      </c>
      <c r="H36" s="13">
        <f t="shared" si="10"/>
        <v>4488.8050683593801</v>
      </c>
      <c r="I36" s="14" t="str">
        <f t="shared" si="11"/>
        <v/>
      </c>
      <c r="J36" s="38" t="s">
        <v>22</v>
      </c>
      <c r="K36" s="38" t="s">
        <v>29</v>
      </c>
    </row>
    <row r="37" spans="1:11" ht="42.75">
      <c r="A37" s="27" t="str">
        <v>K495</v>
      </c>
      <c r="B37" s="28" t="str">
        <v>NY</v>
      </c>
      <c r="C37" s="10">
        <v>20449.1875</v>
      </c>
      <c r="D37" s="15">
        <v>0</v>
      </c>
      <c r="E37" s="15">
        <f t="shared" si="6"/>
        <v>20449.1875</v>
      </c>
      <c r="F37" s="16" t="str">
        <f t="shared" si="7"/>
        <v/>
      </c>
      <c r="G37" s="17">
        <v>0</v>
      </c>
      <c r="H37" s="17">
        <f t="shared" si="10"/>
        <v>20449.1875</v>
      </c>
      <c r="I37" s="16" t="str">
        <f t="shared" si="11"/>
        <v/>
      </c>
      <c r="J37" s="39" t="s">
        <v>40</v>
      </c>
      <c r="K37" s="40" t="s">
        <v>41</v>
      </c>
    </row>
    <row r="38" spans="1:11" ht="15.75">
      <c r="A38" s="25" t="str">
        <v>M020</v>
      </c>
      <c r="B38" s="26" t="str">
        <v>NY</v>
      </c>
      <c r="C38" s="21">
        <v>4382.65625</v>
      </c>
      <c r="D38" s="11">
        <v>7052.3590000000004</v>
      </c>
      <c r="E38" s="11">
        <f t="shared" si="6"/>
        <v>-2669.7027500000004</v>
      </c>
      <c r="F38" s="12">
        <f t="shared" si="7"/>
        <v>-0.37855457301592277</v>
      </c>
      <c r="G38" s="13">
        <v>0</v>
      </c>
      <c r="H38" s="13">
        <f t="shared" si="10"/>
        <v>4382.65625</v>
      </c>
      <c r="I38" s="14" t="str">
        <f t="shared" si="11"/>
        <v/>
      </c>
      <c r="J38" s="38" t="s">
        <v>22</v>
      </c>
      <c r="K38" s="38" t="s">
        <v>29</v>
      </c>
    </row>
    <row r="39" spans="1:11" ht="15.75">
      <c r="A39" s="27" t="str">
        <v>M092</v>
      </c>
      <c r="B39" s="28" t="str">
        <v>NY</v>
      </c>
      <c r="C39" s="10">
        <v>4470.75</v>
      </c>
      <c r="D39" s="15">
        <v>7217.8190000000004</v>
      </c>
      <c r="E39" s="15">
        <f t="shared" si="6"/>
        <v>-2747.0690000000004</v>
      </c>
      <c r="F39" s="16">
        <f t="shared" si="7"/>
        <v>-0.38059544025695302</v>
      </c>
      <c r="G39" s="17">
        <v>11299.41</v>
      </c>
      <c r="H39" s="17">
        <f t="shared" si="10"/>
        <v>-6828.66</v>
      </c>
      <c r="I39" s="16">
        <f t="shared" si="11"/>
        <v>-0.60433774860811318</v>
      </c>
      <c r="J39" s="39" t="s">
        <v>22</v>
      </c>
      <c r="K39" s="40" t="s">
        <v>29</v>
      </c>
    </row>
    <row r="40" spans="1:11" ht="15.75">
      <c r="A40" s="25" t="str">
        <v>M143</v>
      </c>
      <c r="B40" s="26" t="str">
        <v>NY</v>
      </c>
      <c r="C40" s="21">
        <v>4964.5</v>
      </c>
      <c r="D40" s="11">
        <v>7892.9740000000002</v>
      </c>
      <c r="E40" s="11">
        <f t="shared" si="6"/>
        <v>-2928.4740000000002</v>
      </c>
      <c r="F40" s="12">
        <f t="shared" si="7"/>
        <v>-0.37102288693716717</v>
      </c>
      <c r="G40" s="13">
        <v>15533.26</v>
      </c>
      <c r="H40" s="13">
        <f t="shared" si="10"/>
        <v>-10568.76</v>
      </c>
      <c r="I40" s="14">
        <f t="shared" si="11"/>
        <v>-0.6803954868456461</v>
      </c>
      <c r="J40" s="38" t="s">
        <v>22</v>
      </c>
      <c r="K40" s="38" t="s">
        <v>29</v>
      </c>
    </row>
    <row r="41" spans="1:11" ht="15.75">
      <c r="A41" s="27" t="str">
        <v>M144</v>
      </c>
      <c r="B41" s="28" t="str">
        <v>NY</v>
      </c>
      <c r="C41" s="10">
        <v>7482.359375</v>
      </c>
      <c r="D41" s="15">
        <v>0</v>
      </c>
      <c r="E41" s="15">
        <f t="shared" si="6"/>
        <v>7482.359375</v>
      </c>
      <c r="F41" s="16" t="str">
        <f t="shared" si="7"/>
        <v/>
      </c>
      <c r="G41" s="17">
        <v>0</v>
      </c>
      <c r="H41" s="17">
        <f t="shared" si="10"/>
        <v>7482.359375</v>
      </c>
      <c r="I41" s="16" t="str">
        <f t="shared" si="11"/>
        <v/>
      </c>
      <c r="J41" s="39" t="s">
        <v>22</v>
      </c>
      <c r="K41" s="39" t="s">
        <v>29</v>
      </c>
    </row>
    <row r="42" spans="1:11" ht="15.75">
      <c r="A42" s="25" t="str">
        <v>M167</v>
      </c>
      <c r="B42" s="26" t="str">
        <v>NY</v>
      </c>
      <c r="C42" s="21">
        <v>4434</v>
      </c>
      <c r="D42" s="11">
        <v>5657</v>
      </c>
      <c r="E42" s="11">
        <f t="shared" si="6"/>
        <v>-1223</v>
      </c>
      <c r="F42" s="12">
        <f t="shared" si="7"/>
        <v>-0.21619232808909317</v>
      </c>
      <c r="G42" s="13">
        <v>10982</v>
      </c>
      <c r="H42" s="13">
        <f t="shared" si="10"/>
        <v>-6548</v>
      </c>
      <c r="I42" s="14">
        <f t="shared" si="11"/>
        <v>-0.59624840648333632</v>
      </c>
      <c r="J42" s="38" t="s">
        <v>22</v>
      </c>
      <c r="K42" s="38" t="s">
        <v>29</v>
      </c>
    </row>
    <row r="43" spans="1:11" ht="15.75">
      <c r="A43" s="27" t="str">
        <v>M188</v>
      </c>
      <c r="B43" s="28" t="str">
        <v>NY</v>
      </c>
      <c r="C43" s="10">
        <v>3879.9296875</v>
      </c>
      <c r="D43" s="15">
        <v>0</v>
      </c>
      <c r="E43" s="15">
        <f t="shared" si="6"/>
        <v>3879.9296875</v>
      </c>
      <c r="F43" s="16" t="str">
        <f t="shared" si="7"/>
        <v/>
      </c>
      <c r="G43" s="17">
        <v>0</v>
      </c>
      <c r="H43" s="17">
        <f t="shared" si="10"/>
        <v>3879.9296875</v>
      </c>
      <c r="I43" s="16" t="str">
        <f t="shared" si="11"/>
        <v/>
      </c>
      <c r="J43" s="39" t="s">
        <v>22</v>
      </c>
      <c r="K43" s="40" t="s">
        <v>29</v>
      </c>
    </row>
    <row r="44" spans="1:11" ht="15.75">
      <c r="A44" s="25" t="str">
        <v>EMHC</v>
      </c>
      <c r="B44" s="26" t="str">
        <v>NY</v>
      </c>
      <c r="C44" s="21">
        <v>911</v>
      </c>
      <c r="D44" s="11">
        <v>0</v>
      </c>
      <c r="E44" s="11">
        <f t="shared" si="6"/>
        <v>911</v>
      </c>
      <c r="F44" s="12" t="str">
        <f t="shared" si="7"/>
        <v/>
      </c>
      <c r="G44" s="13">
        <v>0</v>
      </c>
      <c r="H44" s="13">
        <f t="shared" si="10"/>
        <v>911</v>
      </c>
      <c r="I44" s="14" t="str">
        <f t="shared" si="11"/>
        <v/>
      </c>
      <c r="J44" s="38" t="s">
        <v>22</v>
      </c>
      <c r="K44" s="38" t="s">
        <v>29</v>
      </c>
    </row>
    <row r="45" spans="1:11" ht="15.75">
      <c r="A45" s="27" t="str">
        <v>Q008</v>
      </c>
      <c r="B45" s="28" t="str">
        <v>NY</v>
      </c>
      <c r="C45" s="10">
        <v>6839.03125</v>
      </c>
      <c r="D45" s="15">
        <v>9522.7690000000002</v>
      </c>
      <c r="E45" s="15">
        <f t="shared" si="6"/>
        <v>-2683.7377500000002</v>
      </c>
      <c r="F45" s="16">
        <f t="shared" si="7"/>
        <v>-0.281823254349654</v>
      </c>
      <c r="G45" s="17">
        <v>15253</v>
      </c>
      <c r="H45" s="17">
        <f t="shared" si="10"/>
        <v>-8413.96875</v>
      </c>
      <c r="I45" s="16">
        <f t="shared" si="11"/>
        <v>-0.55162713892349047</v>
      </c>
      <c r="J45" s="39" t="s">
        <v>22</v>
      </c>
      <c r="K45" s="40" t="s">
        <v>29</v>
      </c>
    </row>
    <row r="46" spans="1:11" ht="15.75">
      <c r="A46" s="25" t="str">
        <v>Q018</v>
      </c>
      <c r="B46" s="26" t="str">
        <v>NY</v>
      </c>
      <c r="C46" s="21">
        <v>4357.5</v>
      </c>
      <c r="D46" s="11">
        <v>5639.9430000000002</v>
      </c>
      <c r="E46" s="11">
        <f t="shared" si="6"/>
        <v>-1282.4430000000002</v>
      </c>
      <c r="F46" s="12">
        <f t="shared" si="7"/>
        <v>-0.2273858086863644</v>
      </c>
      <c r="G46" s="13">
        <v>9568.2369999999992</v>
      </c>
      <c r="H46" s="13">
        <f t="shared" si="10"/>
        <v>-5210.7369999999992</v>
      </c>
      <c r="I46" s="14">
        <f t="shared" si="11"/>
        <v>-0.54458694950804409</v>
      </c>
      <c r="J46" s="38" t="s">
        <v>22</v>
      </c>
      <c r="K46" s="38" t="s">
        <v>29</v>
      </c>
    </row>
    <row r="47" spans="1:11" ht="15.75">
      <c r="A47" s="27" t="str">
        <v>Q021</v>
      </c>
      <c r="B47" s="28" t="str">
        <v>NY</v>
      </c>
      <c r="C47" s="10">
        <v>3435.6875</v>
      </c>
      <c r="D47" s="15">
        <v>6008.808</v>
      </c>
      <c r="E47" s="15">
        <f t="shared" si="6"/>
        <v>-2573.1205</v>
      </c>
      <c r="F47" s="16">
        <f t="shared" si="7"/>
        <v>-0.42822478268568409</v>
      </c>
      <c r="G47" s="17">
        <v>4290.74</v>
      </c>
      <c r="H47" s="17">
        <f t="shared" si="10"/>
        <v>-855.05249999999978</v>
      </c>
      <c r="I47" s="16">
        <f t="shared" si="11"/>
        <v>-0.19927856267217306</v>
      </c>
      <c r="J47" s="39" t="s">
        <v>22</v>
      </c>
      <c r="K47" s="40" t="s">
        <v>29</v>
      </c>
    </row>
    <row r="48" spans="1:11" ht="15.75">
      <c r="A48" s="25" t="str">
        <v>Q025</v>
      </c>
      <c r="B48" s="26" t="str">
        <v>NY</v>
      </c>
      <c r="C48" s="21">
        <v>6042.5</v>
      </c>
      <c r="D48" s="11">
        <v>9148.84</v>
      </c>
      <c r="E48" s="11">
        <f t="shared" si="6"/>
        <v>-3106.34</v>
      </c>
      <c r="F48" s="12">
        <f t="shared" si="7"/>
        <v>-0.33953375509900707</v>
      </c>
      <c r="G48" s="13">
        <v>7767</v>
      </c>
      <c r="H48" s="13">
        <f t="shared" si="10"/>
        <v>-1724.5</v>
      </c>
      <c r="I48" s="14">
        <f t="shared" si="11"/>
        <v>-0.22202909746362817</v>
      </c>
      <c r="J48" s="38" t="s">
        <v>22</v>
      </c>
      <c r="K48" s="38" t="s">
        <v>29</v>
      </c>
    </row>
    <row r="49" spans="1:11" ht="15.75">
      <c r="A49" s="27" t="str">
        <v>Q074</v>
      </c>
      <c r="B49" s="28" t="str">
        <v>NY</v>
      </c>
      <c r="C49" s="10">
        <v>3737.71875</v>
      </c>
      <c r="D49" s="15">
        <v>5120.8</v>
      </c>
      <c r="E49" s="15">
        <f t="shared" si="6"/>
        <v>-1383.0812500000002</v>
      </c>
      <c r="F49" s="16">
        <f t="shared" si="7"/>
        <v>-0.27009085494453994</v>
      </c>
      <c r="G49" s="17">
        <v>8043.3059999999996</v>
      </c>
      <c r="H49" s="17">
        <f t="shared" si="10"/>
        <v>-4305.5872499999996</v>
      </c>
      <c r="I49" s="16">
        <f t="shared" si="11"/>
        <v>-0.53530068979098888</v>
      </c>
      <c r="J49" s="39" t="s">
        <v>22</v>
      </c>
      <c r="K49" s="40" t="s">
        <v>29</v>
      </c>
    </row>
    <row r="50" spans="1:11" ht="15.75">
      <c r="A50" s="25" t="str">
        <v>Q115</v>
      </c>
      <c r="B50" s="26" t="str">
        <v>NY</v>
      </c>
      <c r="C50" s="21">
        <v>4955.0625</v>
      </c>
      <c r="D50" s="11">
        <v>8344.5239999999994</v>
      </c>
      <c r="E50" s="11">
        <f t="shared" si="6"/>
        <v>-3389.4614999999994</v>
      </c>
      <c r="F50" s="12">
        <f t="shared" si="7"/>
        <v>-0.40618991568602353</v>
      </c>
      <c r="G50" s="13">
        <v>11121.22</v>
      </c>
      <c r="H50" s="13">
        <f t="shared" si="10"/>
        <v>-6166.1574999999993</v>
      </c>
      <c r="I50" s="14">
        <f t="shared" si="11"/>
        <v>-0.55444973662961439</v>
      </c>
      <c r="J50" s="38" t="s">
        <v>22</v>
      </c>
      <c r="K50" s="38" t="s">
        <v>29</v>
      </c>
    </row>
    <row r="51" spans="1:11" ht="15.75">
      <c r="A51" s="27" t="str">
        <v>Q139</v>
      </c>
      <c r="B51" s="28" t="str">
        <v>NY</v>
      </c>
      <c r="C51" s="10">
        <v>2925.8125</v>
      </c>
      <c r="D51" s="15">
        <v>4425.3320000000003</v>
      </c>
      <c r="E51" s="15">
        <f t="shared" si="6"/>
        <v>-1499.5195000000003</v>
      </c>
      <c r="F51" s="16">
        <f t="shared" si="7"/>
        <v>-0.33884904002682742</v>
      </c>
      <c r="G51" s="17">
        <v>6324</v>
      </c>
      <c r="H51" s="17">
        <f t="shared" si="10"/>
        <v>-3398.1875</v>
      </c>
      <c r="I51" s="16">
        <f t="shared" si="11"/>
        <v>-0.53734780202403543</v>
      </c>
      <c r="J51" s="39" t="s">
        <v>22</v>
      </c>
      <c r="K51" s="40" t="s">
        <v>29</v>
      </c>
    </row>
    <row r="52" spans="1:11" ht="15.75">
      <c r="A52" s="25" t="str">
        <v>Q157</v>
      </c>
      <c r="B52" s="26" t="str">
        <v>NY</v>
      </c>
      <c r="C52" s="21">
        <v>4902.4375</v>
      </c>
      <c r="D52" s="11">
        <v>8720.9449999999997</v>
      </c>
      <c r="E52" s="11">
        <f t="shared" si="6"/>
        <v>-3818.5074999999997</v>
      </c>
      <c r="F52" s="12">
        <f t="shared" si="7"/>
        <v>-0.43785478523256366</v>
      </c>
      <c r="G52" s="13">
        <v>11481.79</v>
      </c>
      <c r="H52" s="13">
        <f t="shared" si="10"/>
        <v>-6579.3525000000009</v>
      </c>
      <c r="I52" s="14">
        <f t="shared" si="11"/>
        <v>-0.57302498129647039</v>
      </c>
      <c r="J52" s="38" t="s">
        <v>22</v>
      </c>
      <c r="K52" s="38" t="s">
        <v>29</v>
      </c>
    </row>
    <row r="53" spans="1:11" ht="15.75">
      <c r="A53" s="27" t="str">
        <v>Q192</v>
      </c>
      <c r="B53" s="28" t="str">
        <v>NY</v>
      </c>
      <c r="C53" s="10">
        <v>8347.5</v>
      </c>
      <c r="D53" s="15">
        <v>13350</v>
      </c>
      <c r="E53" s="15">
        <f t="shared" si="6"/>
        <v>-5002.5</v>
      </c>
      <c r="F53" s="16">
        <f t="shared" si="7"/>
        <v>-0.37471910112359552</v>
      </c>
      <c r="G53" s="17">
        <v>16384.009999999998</v>
      </c>
      <c r="H53" s="17">
        <f t="shared" si="10"/>
        <v>-8036.5099999999984</v>
      </c>
      <c r="I53" s="16">
        <f t="shared" si="11"/>
        <v>-0.49050934417154279</v>
      </c>
      <c r="J53" s="39" t="s">
        <v>42</v>
      </c>
      <c r="K53" s="39" t="s">
        <v>43</v>
      </c>
    </row>
    <row r="54" spans="1:11" ht="15.75">
      <c r="A54" s="25" t="str">
        <v>Q210</v>
      </c>
      <c r="B54" s="26" t="str">
        <v>NY</v>
      </c>
      <c r="C54" s="21">
        <v>6315.875</v>
      </c>
      <c r="D54" s="11">
        <v>9204.3379999999997</v>
      </c>
      <c r="E54" s="11">
        <f t="shared" si="6"/>
        <v>-2888.4629999999997</v>
      </c>
      <c r="F54" s="12">
        <f t="shared" si="7"/>
        <v>-0.31381539878261749</v>
      </c>
      <c r="G54" s="13">
        <v>15624</v>
      </c>
      <c r="H54" s="13">
        <f t="shared" si="10"/>
        <v>-9308.125</v>
      </c>
      <c r="I54" s="14">
        <f t="shared" si="11"/>
        <v>-0.59575812852022525</v>
      </c>
      <c r="J54" s="38" t="s">
        <v>44</v>
      </c>
      <c r="K54" s="38" t="s">
        <v>45</v>
      </c>
    </row>
    <row r="55" spans="1:11" ht="15.75">
      <c r="A55" s="27" t="str">
        <v>Q229</v>
      </c>
      <c r="B55" s="28" t="str">
        <v>NY</v>
      </c>
      <c r="C55" s="10">
        <v>2660.53125000006</v>
      </c>
      <c r="D55" s="15">
        <v>3950.5940000000001</v>
      </c>
      <c r="E55" s="15">
        <f t="shared" si="6"/>
        <v>-1290.06274999994</v>
      </c>
      <c r="F55" s="16">
        <f t="shared" si="7"/>
        <v>-0.32654905819224656</v>
      </c>
      <c r="G55" s="17">
        <v>7281.06</v>
      </c>
      <c r="H55" s="17">
        <f t="shared" si="10"/>
        <v>-4620.5287499999404</v>
      </c>
      <c r="I55" s="16">
        <f t="shared" si="11"/>
        <v>-0.63459561519887764</v>
      </c>
      <c r="J55" s="39" t="s">
        <v>22</v>
      </c>
      <c r="K55" s="40" t="s">
        <v>29</v>
      </c>
    </row>
    <row r="56" spans="1:11" ht="15.75">
      <c r="A56" s="25" t="str">
        <v>Q231</v>
      </c>
      <c r="B56" s="26" t="str">
        <v>NY</v>
      </c>
      <c r="C56" s="21">
        <v>11460.875</v>
      </c>
      <c r="D56" s="11">
        <v>21002.59</v>
      </c>
      <c r="E56" s="11">
        <f t="shared" si="6"/>
        <v>-9541.7150000000001</v>
      </c>
      <c r="F56" s="12">
        <f t="shared" si="7"/>
        <v>-0.4543113492193106</v>
      </c>
      <c r="G56" s="13">
        <v>0</v>
      </c>
      <c r="H56" s="13">
        <f t="shared" si="10"/>
        <v>11460.875</v>
      </c>
      <c r="I56" s="14" t="str">
        <f t="shared" si="11"/>
        <v/>
      </c>
      <c r="J56" s="38" t="s">
        <v>22</v>
      </c>
      <c r="K56" s="38" t="s">
        <v>22</v>
      </c>
    </row>
    <row r="57" spans="1:11" ht="15.75">
      <c r="A57" s="27" t="str">
        <v>Q405</v>
      </c>
      <c r="B57" s="28" t="str">
        <v>NY</v>
      </c>
      <c r="C57" s="10">
        <v>12294.25</v>
      </c>
      <c r="D57" s="15">
        <v>18722.73</v>
      </c>
      <c r="E57" s="15">
        <f t="shared" si="6"/>
        <v>-6428.48</v>
      </c>
      <c r="F57" s="16">
        <f t="shared" si="7"/>
        <v>-0.34335163728793822</v>
      </c>
      <c r="G57" s="17">
        <v>20486.32</v>
      </c>
      <c r="H57" s="17">
        <f t="shared" si="10"/>
        <v>-8192.07</v>
      </c>
      <c r="I57" s="16">
        <f t="shared" si="11"/>
        <v>-0.39988001749460128</v>
      </c>
      <c r="J57" s="39" t="s">
        <v>46</v>
      </c>
      <c r="K57" s="40" t="s">
        <v>47</v>
      </c>
    </row>
    <row r="58" spans="1:11" ht="15.75">
      <c r="A58" s="25" t="str">
        <v>Q435</v>
      </c>
      <c r="B58" s="26" t="str">
        <v>NY</v>
      </c>
      <c r="C58" s="21">
        <v>0</v>
      </c>
      <c r="D58" s="11">
        <v>0</v>
      </c>
      <c r="E58" s="11">
        <f t="shared" si="6"/>
        <v>0</v>
      </c>
      <c r="F58" s="12" t="str">
        <f t="shared" si="7"/>
        <v/>
      </c>
      <c r="G58" s="13">
        <v>0</v>
      </c>
      <c r="H58" s="13">
        <f t="shared" si="10"/>
        <v>0</v>
      </c>
      <c r="I58" s="14" t="str">
        <f t="shared" si="11"/>
        <v/>
      </c>
      <c r="J58" s="38" t="s">
        <v>48</v>
      </c>
      <c r="K58" s="38" t="s">
        <v>49</v>
      </c>
    </row>
    <row r="59" spans="1:11" ht="31.5">
      <c r="A59" s="27" t="str">
        <v>Q485</v>
      </c>
      <c r="B59" s="28" t="str">
        <v>NY</v>
      </c>
      <c r="C59" s="10">
        <v>12481.4388279307</v>
      </c>
      <c r="D59" s="15">
        <v>12754.8</v>
      </c>
      <c r="E59" s="15">
        <f t="shared" si="6"/>
        <v>-273.36117206929885</v>
      </c>
      <c r="F59" s="16">
        <f t="shared" si="7"/>
        <v>-2.1432023400547156E-2</v>
      </c>
      <c r="G59" s="17">
        <v>27674.85</v>
      </c>
      <c r="H59" s="17">
        <f t="shared" si="10"/>
        <v>-15193.411172069298</v>
      </c>
      <c r="I59" s="16">
        <f t="shared" si="11"/>
        <v>-0.5489970558853724</v>
      </c>
      <c r="J59" s="39" t="s">
        <v>50</v>
      </c>
      <c r="K59" s="40" t="s">
        <v>51</v>
      </c>
    </row>
    <row r="60" spans="1:11" ht="15.75">
      <c r="A60" s="25" t="str">
        <v>Q490</v>
      </c>
      <c r="B60" s="26" t="str">
        <v>NY</v>
      </c>
      <c r="C60" s="21">
        <v>10238.1439808419</v>
      </c>
      <c r="D60" s="11">
        <v>0</v>
      </c>
      <c r="E60" s="11">
        <f t="shared" si="6"/>
        <v>10238.1439808419</v>
      </c>
      <c r="F60" s="12" t="str">
        <f t="shared" si="7"/>
        <v/>
      </c>
      <c r="G60" s="13">
        <v>21505.42</v>
      </c>
      <c r="H60" s="13">
        <f t="shared" si="10"/>
        <v>-11267.276019158098</v>
      </c>
      <c r="I60" s="14">
        <f t="shared" si="11"/>
        <v>-0.52392727131849082</v>
      </c>
      <c r="J60" s="38" t="s">
        <v>52</v>
      </c>
      <c r="K60" s="38" t="s">
        <v>53</v>
      </c>
    </row>
    <row r="61" spans="1:11" ht="15.75">
      <c r="A61" s="27" t="str">
        <v>Q620</v>
      </c>
      <c r="B61" s="28" t="str">
        <v>NY</v>
      </c>
      <c r="C61" s="10">
        <v>15903</v>
      </c>
      <c r="D61" s="15">
        <v>23742.06</v>
      </c>
      <c r="E61" s="15">
        <f t="shared" si="6"/>
        <v>-7839.0600000000013</v>
      </c>
      <c r="F61" s="16">
        <f t="shared" si="7"/>
        <v>-0.33017606728312543</v>
      </c>
      <c r="G61" s="17">
        <v>34544.519999999997</v>
      </c>
      <c r="H61" s="17">
        <f t="shared" si="10"/>
        <v>-18641.519999999997</v>
      </c>
      <c r="I61" s="16">
        <f t="shared" si="11"/>
        <v>-0.53963754598413871</v>
      </c>
      <c r="J61" s="39" t="s">
        <v>22</v>
      </c>
      <c r="K61" s="40" t="s">
        <v>29</v>
      </c>
    </row>
    <row r="62" spans="1:11" ht="15.75">
      <c r="A62" s="25" t="str">
        <v>QMOA</v>
      </c>
      <c r="B62" s="26" t="str">
        <v>NY</v>
      </c>
      <c r="C62" s="21">
        <v>1546.0999999999899</v>
      </c>
      <c r="D62" s="11">
        <v>0</v>
      </c>
      <c r="E62" s="11">
        <f t="shared" si="6"/>
        <v>1546.0999999999899</v>
      </c>
      <c r="F62" s="12" t="str">
        <f t="shared" si="7"/>
        <v/>
      </c>
      <c r="G62" s="13">
        <v>2946.8270000000002</v>
      </c>
      <c r="H62" s="13">
        <f t="shared" si="10"/>
        <v>-1400.7270000000103</v>
      </c>
      <c r="I62" s="14">
        <f t="shared" si="11"/>
        <v>-0.47533397786840226</v>
      </c>
      <c r="J62" s="38" t="s">
        <v>22</v>
      </c>
      <c r="K62" s="38" t="s">
        <v>29</v>
      </c>
    </row>
    <row r="63" spans="1:11" ht="15.75">
      <c r="A63" s="27" t="str">
        <v>X024</v>
      </c>
      <c r="B63" s="28" t="str">
        <v>NY</v>
      </c>
      <c r="C63" s="10">
        <v>5421</v>
      </c>
      <c r="D63" s="15">
        <v>0</v>
      </c>
      <c r="E63" s="15">
        <f t="shared" si="6"/>
        <v>5421</v>
      </c>
      <c r="F63" s="16" t="str">
        <f t="shared" si="7"/>
        <v/>
      </c>
      <c r="G63" s="17">
        <v>0</v>
      </c>
      <c r="H63" s="17">
        <f t="shared" si="10"/>
        <v>5421</v>
      </c>
      <c r="I63" s="16" t="str">
        <f t="shared" si="11"/>
        <v/>
      </c>
      <c r="J63" s="39" t="s">
        <v>22</v>
      </c>
      <c r="K63" s="40" t="s">
        <v>29</v>
      </c>
    </row>
    <row r="64" spans="1:11" ht="15.75">
      <c r="A64" s="25" t="str">
        <v>X026</v>
      </c>
      <c r="B64" s="26" t="str">
        <v>NY</v>
      </c>
      <c r="C64" s="21">
        <v>4766.8999999999696</v>
      </c>
      <c r="D64" s="11">
        <v>7713.94</v>
      </c>
      <c r="E64" s="11">
        <f t="shared" si="6"/>
        <v>-2947.04000000003</v>
      </c>
      <c r="F64" s="12">
        <f t="shared" si="7"/>
        <v>-0.38204082479252238</v>
      </c>
      <c r="G64" s="13">
        <v>14664.49</v>
      </c>
      <c r="H64" s="13">
        <f t="shared" si="10"/>
        <v>-9897.5900000000292</v>
      </c>
      <c r="I64" s="14">
        <f t="shared" si="11"/>
        <v>-0.67493584843387189</v>
      </c>
      <c r="J64" s="38" t="s">
        <v>22</v>
      </c>
      <c r="K64" s="38" t="s">
        <v>29</v>
      </c>
    </row>
    <row r="65" spans="1:11" ht="15.75">
      <c r="A65" s="27" t="str">
        <v>X090</v>
      </c>
      <c r="B65" s="28" t="str">
        <v>NY</v>
      </c>
      <c r="C65" s="10">
        <v>4671.94531250001</v>
      </c>
      <c r="D65" s="15">
        <v>4641.6970000000001</v>
      </c>
      <c r="E65" s="15">
        <f t="shared" si="6"/>
        <v>30.248312500009888</v>
      </c>
      <c r="F65" s="16">
        <f t="shared" si="7"/>
        <v>6.5166495141776573E-3</v>
      </c>
      <c r="G65" s="17">
        <v>9177</v>
      </c>
      <c r="H65" s="17">
        <f t="shared" si="10"/>
        <v>-4505.05468749999</v>
      </c>
      <c r="I65" s="16">
        <f t="shared" si="11"/>
        <v>-0.49090712514983004</v>
      </c>
      <c r="J65" s="39" t="s">
        <v>22</v>
      </c>
      <c r="K65" s="39" t="s">
        <v>29</v>
      </c>
    </row>
    <row r="66" spans="1:11" ht="15.75">
      <c r="A66" s="25" t="str">
        <v>X117</v>
      </c>
      <c r="B66" s="26" t="str">
        <v>NY</v>
      </c>
      <c r="C66" s="21">
        <v>3429.2000000000098</v>
      </c>
      <c r="D66" s="11">
        <v>6689.2290000000003</v>
      </c>
      <c r="E66" s="11">
        <f t="shared" si="6"/>
        <v>-3260.0289999999904</v>
      </c>
      <c r="F66" s="12">
        <f t="shared" si="7"/>
        <v>-0.48735497020657992</v>
      </c>
      <c r="G66" s="13">
        <v>16899.22</v>
      </c>
      <c r="H66" s="13">
        <f t="shared" si="10"/>
        <v>-13470.019999999991</v>
      </c>
      <c r="I66" s="14">
        <f t="shared" si="11"/>
        <v>-0.79707939182991816</v>
      </c>
      <c r="J66" s="38" t="s">
        <v>22</v>
      </c>
      <c r="K66" s="38" t="s">
        <v>29</v>
      </c>
    </row>
    <row r="67" spans="1:11" ht="15.75">
      <c r="A67" s="27" t="str">
        <v>X125</v>
      </c>
      <c r="B67" s="28" t="str">
        <v>NY</v>
      </c>
      <c r="C67" s="10">
        <v>7318.96875</v>
      </c>
      <c r="D67" s="15">
        <v>11623.7</v>
      </c>
      <c r="E67" s="15">
        <f t="shared" si="6"/>
        <v>-4304.7312500000007</v>
      </c>
      <c r="F67" s="16">
        <f t="shared" si="7"/>
        <v>-0.37034087682923683</v>
      </c>
      <c r="G67" s="17">
        <v>10537.29</v>
      </c>
      <c r="H67" s="17">
        <f t="shared" si="10"/>
        <v>-3218.3212500000009</v>
      </c>
      <c r="I67" s="16">
        <f t="shared" si="11"/>
        <v>-0.30542210093866645</v>
      </c>
      <c r="J67" s="39" t="s">
        <v>22</v>
      </c>
      <c r="K67" s="40" t="s">
        <v>29</v>
      </c>
    </row>
    <row r="68" spans="1:11" ht="15.75">
      <c r="A68" s="25" t="str">
        <v>X134</v>
      </c>
      <c r="B68" s="26" t="str">
        <v>NY</v>
      </c>
      <c r="C68" s="21">
        <v>6696.25</v>
      </c>
      <c r="D68" s="11">
        <v>0</v>
      </c>
      <c r="E68" s="11">
        <f t="shared" si="6"/>
        <v>6696.25</v>
      </c>
      <c r="F68" s="12" t="str">
        <f t="shared" si="7"/>
        <v/>
      </c>
      <c r="G68" s="13">
        <v>0</v>
      </c>
      <c r="H68" s="13">
        <f t="shared" si="10"/>
        <v>6696.25</v>
      </c>
      <c r="I68" s="14" t="str">
        <f t="shared" si="11"/>
        <v/>
      </c>
      <c r="J68" s="38" t="s">
        <v>22</v>
      </c>
      <c r="K68" s="38" t="s">
        <v>29</v>
      </c>
    </row>
    <row r="69" spans="1:11" ht="15.75">
      <c r="A69" s="27" t="str">
        <v>X135</v>
      </c>
      <c r="B69" s="28" t="str">
        <v>NY</v>
      </c>
      <c r="C69" s="10">
        <v>5327.84375</v>
      </c>
      <c r="D69" s="15">
        <v>0</v>
      </c>
      <c r="E69" s="15">
        <f t="shared" si="6"/>
        <v>5327.84375</v>
      </c>
      <c r="F69" s="16" t="str">
        <f t="shared" si="7"/>
        <v/>
      </c>
      <c r="G69" s="17">
        <v>0</v>
      </c>
      <c r="H69" s="17">
        <f t="shared" si="10"/>
        <v>5327.84375</v>
      </c>
      <c r="I69" s="16" t="str">
        <f t="shared" si="11"/>
        <v/>
      </c>
      <c r="J69" s="39" t="s">
        <v>22</v>
      </c>
      <c r="K69" s="40" t="s">
        <v>29</v>
      </c>
    </row>
    <row r="70" spans="1:11" ht="15.75">
      <c r="A70" s="25" t="str">
        <v>X139 JHS 222</v>
      </c>
      <c r="B70" s="26" t="str">
        <v>NY</v>
      </c>
      <c r="C70" s="21">
        <v>8332.7036999624706</v>
      </c>
      <c r="D70" s="11">
        <v>11815.57</v>
      </c>
      <c r="E70" s="11">
        <f t="shared" si="6"/>
        <v>-3482.8663000375291</v>
      </c>
      <c r="F70" s="12">
        <f t="shared" si="7"/>
        <v>-0.29476921553827107</v>
      </c>
      <c r="G70" s="13">
        <v>22550</v>
      </c>
      <c r="H70" s="13">
        <f t="shared" si="10"/>
        <v>-14217.296300037529</v>
      </c>
      <c r="I70" s="14">
        <f t="shared" si="11"/>
        <v>-0.63047877162028954</v>
      </c>
      <c r="J70" s="38" t="s">
        <v>22</v>
      </c>
      <c r="K70" s="38" t="s">
        <v>29</v>
      </c>
    </row>
    <row r="71" spans="1:11" ht="15.75">
      <c r="A71" s="27" t="str">
        <v>X140</v>
      </c>
      <c r="B71" s="28" t="str">
        <v>NY</v>
      </c>
      <c r="C71" s="10">
        <v>3985</v>
      </c>
      <c r="D71" s="15">
        <v>5753</v>
      </c>
      <c r="E71" s="15">
        <f t="shared" si="6"/>
        <v>-1768</v>
      </c>
      <c r="F71" s="16">
        <f t="shared" si="7"/>
        <v>-0.3073179210846515</v>
      </c>
      <c r="G71" s="17">
        <v>9034</v>
      </c>
      <c r="H71" s="17">
        <f t="shared" si="10"/>
        <v>-5049</v>
      </c>
      <c r="I71" s="16">
        <f t="shared" si="11"/>
        <v>-0.55888864290458273</v>
      </c>
      <c r="J71" s="39" t="s">
        <v>22</v>
      </c>
      <c r="K71" s="40" t="s">
        <v>29</v>
      </c>
    </row>
    <row r="72" spans="1:11" ht="15.75">
      <c r="A72" s="25" t="str">
        <v>X166</v>
      </c>
      <c r="B72" s="26" t="str">
        <v>NY</v>
      </c>
      <c r="C72" s="21">
        <v>5046.3999999999696</v>
      </c>
      <c r="D72" s="11">
        <v>7824.4260000000004</v>
      </c>
      <c r="E72" s="11">
        <f t="shared" si="6"/>
        <v>-2778.0260000000308</v>
      </c>
      <c r="F72" s="12">
        <f t="shared" si="7"/>
        <v>-0.35504534134517096</v>
      </c>
      <c r="G72" s="13">
        <v>0</v>
      </c>
      <c r="H72" s="13">
        <f t="shared" si="10"/>
        <v>5046.3999999999696</v>
      </c>
      <c r="I72" s="14" t="str">
        <f t="shared" si="11"/>
        <v/>
      </c>
      <c r="J72" s="38" t="s">
        <v>22</v>
      </c>
      <c r="K72" s="38" t="s">
        <v>29</v>
      </c>
    </row>
    <row r="73" spans="1:11" ht="47.25">
      <c r="A73" s="27" t="str">
        <v>Murphy</v>
      </c>
      <c r="B73" s="28" t="str">
        <v>MN</v>
      </c>
      <c r="C73" s="10">
        <v>286090</v>
      </c>
      <c r="D73" s="15">
        <v>414785.1</v>
      </c>
      <c r="E73" s="15">
        <f t="shared" si="6"/>
        <v>-128695.09999999998</v>
      </c>
      <c r="F73" s="16">
        <f t="shared" si="7"/>
        <v>-0.31026934188330291</v>
      </c>
      <c r="G73" s="17">
        <v>533246.5</v>
      </c>
      <c r="H73" s="17">
        <f t="shared" si="10"/>
        <v>-247156.5</v>
      </c>
      <c r="I73" s="16">
        <f t="shared" si="11"/>
        <v>-0.46349390010061015</v>
      </c>
      <c r="J73" s="39" t="s">
        <v>54</v>
      </c>
      <c r="K73" s="40" t="s">
        <v>55</v>
      </c>
    </row>
    <row r="74" spans="1:11" ht="15.75">
      <c r="A74" s="25" t="str">
        <v>Terning</v>
      </c>
      <c r="B74" s="26" t="str">
        <v>MN</v>
      </c>
      <c r="C74" s="21">
        <v>283485</v>
      </c>
      <c r="D74" s="11">
        <v>410301.4</v>
      </c>
      <c r="E74" s="11">
        <f t="shared" si="6"/>
        <v>-126816.40000000002</v>
      </c>
      <c r="F74" s="12">
        <f t="shared" si="7"/>
        <v>-0.30908108039602111</v>
      </c>
      <c r="G74" s="13">
        <v>483171.2</v>
      </c>
      <c r="H74" s="13">
        <f t="shared" si="10"/>
        <v>-199686.2</v>
      </c>
      <c r="I74" s="14">
        <f t="shared" si="11"/>
        <v>-0.41328249697001812</v>
      </c>
      <c r="J74" s="38" t="s">
        <v>22</v>
      </c>
      <c r="K74" s="38" t="s">
        <v>29</v>
      </c>
    </row>
    <row r="75" spans="1:11" ht="15.75">
      <c r="A75" s="27" t="str">
        <v>Boas Road 04</v>
      </c>
      <c r="B75" s="28" t="str">
        <v>NY</v>
      </c>
      <c r="C75" s="10">
        <v>33560</v>
      </c>
      <c r="D75" s="15">
        <v>0</v>
      </c>
      <c r="E75" s="15">
        <f t="shared" si="6"/>
        <v>33560</v>
      </c>
      <c r="F75" s="16" t="str">
        <f t="shared" si="7"/>
        <v/>
      </c>
      <c r="G75" s="17">
        <v>220064.68</v>
      </c>
      <c r="H75" s="17">
        <f t="shared" si="10"/>
        <v>-186504.68</v>
      </c>
      <c r="I75" s="16">
        <f t="shared" si="11"/>
        <v>-0.84749938063663832</v>
      </c>
      <c r="J75" s="39" t="s">
        <v>22</v>
      </c>
      <c r="K75" s="40" t="s">
        <v>29</v>
      </c>
    </row>
    <row r="76" spans="1:11" ht="28.5">
      <c r="A76" s="25" t="str">
        <v>Kelly Bridge Farm</v>
      </c>
      <c r="B76" s="26" t="str">
        <v>NY</v>
      </c>
      <c r="C76" s="21">
        <v>39040</v>
      </c>
      <c r="D76" s="11">
        <v>0</v>
      </c>
      <c r="E76" s="11">
        <f t="shared" si="6"/>
        <v>39040</v>
      </c>
      <c r="F76" s="12" t="str">
        <f t="shared" si="7"/>
        <v/>
      </c>
      <c r="G76" s="13">
        <v>209445.59</v>
      </c>
      <c r="H76" s="13">
        <f t="shared" si="10"/>
        <v>-170405.59</v>
      </c>
      <c r="I76" s="14">
        <f t="shared" si="11"/>
        <v>-0.81360314151279101</v>
      </c>
      <c r="J76" s="38" t="s">
        <v>56</v>
      </c>
      <c r="K76" s="38" t="s">
        <v>57</v>
      </c>
    </row>
    <row r="77" spans="1:11" ht="15.75">
      <c r="A77" s="27" t="str">
        <v>Pool Brook Road</v>
      </c>
      <c r="B77" s="28" t="str">
        <v>NY</v>
      </c>
      <c r="C77" s="10">
        <v>35247</v>
      </c>
      <c r="D77" s="15">
        <v>0</v>
      </c>
      <c r="E77" s="15">
        <f t="shared" si="6"/>
        <v>35247</v>
      </c>
      <c r="F77" s="16" t="str">
        <f t="shared" si="7"/>
        <v/>
      </c>
      <c r="G77" s="17">
        <v>194874.12</v>
      </c>
      <c r="H77" s="17">
        <f t="shared" si="10"/>
        <v>-159627.12</v>
      </c>
      <c r="I77" s="16">
        <f t="shared" si="11"/>
        <v>-0.81912939491400905</v>
      </c>
      <c r="J77" s="39" t="s">
        <v>22</v>
      </c>
      <c r="K77" s="39" t="s">
        <v>29</v>
      </c>
    </row>
    <row r="78" spans="1:11" ht="28.5">
      <c r="A78" s="25" t="str">
        <v>Sackett Lake</v>
      </c>
      <c r="B78" s="26" t="str">
        <v>NY</v>
      </c>
      <c r="C78" s="21">
        <v>43312</v>
      </c>
      <c r="D78" s="11">
        <v>0</v>
      </c>
      <c r="E78" s="11">
        <f t="shared" si="6"/>
        <v>43312</v>
      </c>
      <c r="F78" s="12" t="str">
        <f t="shared" si="7"/>
        <v/>
      </c>
      <c r="G78" s="13">
        <v>223309.11</v>
      </c>
      <c r="H78" s="13">
        <f t="shared" si="10"/>
        <v>-179997.11</v>
      </c>
      <c r="I78" s="14">
        <f t="shared" si="11"/>
        <v>-0.80604463472179888</v>
      </c>
      <c r="J78" s="38" t="s">
        <v>58</v>
      </c>
      <c r="K78" s="38" t="s">
        <v>59</v>
      </c>
    </row>
    <row r="79" spans="1:11" ht="15.75">
      <c r="A79" s="27" t="str">
        <v>Burritt Road</v>
      </c>
      <c r="B79" s="28" t="str">
        <v>NY</v>
      </c>
      <c r="C79" s="10">
        <v>72810</v>
      </c>
      <c r="D79" s="15">
        <v>97923.36</v>
      </c>
      <c r="E79" s="15">
        <f t="shared" si="6"/>
        <v>-25113.360000000001</v>
      </c>
      <c r="F79" s="16">
        <f t="shared" si="7"/>
        <v>-0.25645933717960656</v>
      </c>
      <c r="G79" s="17">
        <v>111632.62</v>
      </c>
      <c r="H79" s="17">
        <f t="shared" si="10"/>
        <v>-38822.619999999995</v>
      </c>
      <c r="I79" s="16">
        <f t="shared" si="11"/>
        <v>-0.34777128763975973</v>
      </c>
      <c r="J79" s="39" t="s">
        <v>22</v>
      </c>
      <c r="K79" s="40" t="s">
        <v>29</v>
      </c>
    </row>
    <row r="80" spans="1:11" ht="28.5">
      <c r="A80" s="25" t="str">
        <v>Villa Roma 1</v>
      </c>
      <c r="B80" s="26" t="str">
        <v>NY</v>
      </c>
      <c r="C80" s="21">
        <v>8879</v>
      </c>
      <c r="D80" s="11">
        <v>74159.11</v>
      </c>
      <c r="E80" s="11">
        <f t="shared" ref="E80:E137" si="12">IF(AND(ISNUMBER(C80),ISNUMBER(D80)), C80-D80, "")</f>
        <v>-65280.11</v>
      </c>
      <c r="F80" s="12">
        <f t="shared" ref="F80:F137" si="13">IFERROR(E80/D80, "")</f>
        <v>-0.88027094715672827</v>
      </c>
      <c r="G80" s="13">
        <v>118883.5</v>
      </c>
      <c r="H80" s="13">
        <f t="shared" si="10"/>
        <v>-110004.5</v>
      </c>
      <c r="I80" s="14">
        <f t="shared" si="11"/>
        <v>-0.92531343710439207</v>
      </c>
      <c r="J80" s="38" t="s">
        <v>60</v>
      </c>
      <c r="K80" s="38" t="s">
        <v>61</v>
      </c>
    </row>
    <row r="81" spans="1:11" ht="42.75">
      <c r="A81" s="27" t="str">
        <v>Villa Roma 2</v>
      </c>
      <c r="B81" s="28" t="str">
        <v>NY</v>
      </c>
      <c r="C81" s="10">
        <v>67057</v>
      </c>
      <c r="D81" s="15">
        <v>110773.82</v>
      </c>
      <c r="E81" s="15">
        <f t="shared" si="12"/>
        <v>-43716.820000000007</v>
      </c>
      <c r="F81" s="16">
        <f t="shared" si="13"/>
        <v>-0.39464938556781742</v>
      </c>
      <c r="G81" s="17">
        <v>115878.35</v>
      </c>
      <c r="H81" s="17">
        <f t="shared" si="10"/>
        <v>-48821.350000000006</v>
      </c>
      <c r="I81" s="16">
        <f t="shared" si="11"/>
        <v>-0.42131554341255295</v>
      </c>
      <c r="J81" s="39" t="s">
        <v>62</v>
      </c>
      <c r="K81" s="40" t="s">
        <v>63</v>
      </c>
    </row>
    <row r="82" spans="1:11" ht="15.75">
      <c r="A82" s="25" t="str">
        <v>Washington 1</v>
      </c>
      <c r="B82" s="26" t="str">
        <v>NY</v>
      </c>
      <c r="C82" s="21">
        <v>55740</v>
      </c>
      <c r="D82" s="11">
        <v>109395.46</v>
      </c>
      <c r="E82" s="11">
        <f t="shared" si="12"/>
        <v>-53655.460000000006</v>
      </c>
      <c r="F82" s="12">
        <f t="shared" si="13"/>
        <v>-0.49047245653521637</v>
      </c>
      <c r="G82" s="13">
        <v>107420.17</v>
      </c>
      <c r="H82" s="13">
        <f t="shared" ref="H82:H137" si="14">IF(AND(ISNUMBER(C82),ISNUMBER(G82)), C82-G82, "")</f>
        <v>-51680.17</v>
      </c>
      <c r="I82" s="14">
        <f t="shared" ref="I82:I137" si="15">IFERROR(H82/G82, "")</f>
        <v>-0.4811030367946727</v>
      </c>
      <c r="J82" s="38" t="s">
        <v>64</v>
      </c>
      <c r="K82" s="38" t="s">
        <v>65</v>
      </c>
    </row>
    <row r="83" spans="1:11" ht="71.25">
      <c r="A83" s="27" t="str">
        <v>Washington 3</v>
      </c>
      <c r="B83" s="28" t="str">
        <v>NY</v>
      </c>
      <c r="C83" s="10">
        <v>48791</v>
      </c>
      <c r="D83" s="15">
        <v>117227.81</v>
      </c>
      <c r="E83" s="15">
        <f t="shared" si="12"/>
        <v>-68436.81</v>
      </c>
      <c r="F83" s="16">
        <f t="shared" si="13"/>
        <v>-0.58379329955920867</v>
      </c>
      <c r="G83" s="17">
        <v>130931.08</v>
      </c>
      <c r="H83" s="17">
        <f t="shared" si="14"/>
        <v>-82140.08</v>
      </c>
      <c r="I83" s="16">
        <f t="shared" si="15"/>
        <v>-0.6273535664717651</v>
      </c>
      <c r="J83" s="39" t="s">
        <v>66</v>
      </c>
      <c r="K83" s="40" t="s">
        <v>67</v>
      </c>
    </row>
    <row r="84" spans="1:11" ht="15.75">
      <c r="A84" s="25" t="str">
        <v>Washington 4</v>
      </c>
      <c r="B84" s="26" t="str">
        <v>NY</v>
      </c>
      <c r="C84" s="21">
        <v>81604</v>
      </c>
      <c r="D84" s="11">
        <v>0</v>
      </c>
      <c r="E84" s="11">
        <f t="shared" si="12"/>
        <v>81604</v>
      </c>
      <c r="F84" s="12" t="str">
        <f t="shared" si="13"/>
        <v/>
      </c>
      <c r="G84" s="13">
        <v>131400.47</v>
      </c>
      <c r="H84" s="13">
        <f t="shared" si="14"/>
        <v>-49796.47</v>
      </c>
      <c r="I84" s="14">
        <f t="shared" si="15"/>
        <v>-0.37896721373979864</v>
      </c>
      <c r="J84" s="38" t="s">
        <v>68</v>
      </c>
      <c r="K84" s="38" t="s">
        <v>69</v>
      </c>
    </row>
    <row r="85" spans="1:11" ht="15.75">
      <c r="A85" s="27" t="str">
        <v>Big Tree</v>
      </c>
      <c r="B85" s="28" t="str">
        <v>NY</v>
      </c>
      <c r="C85" s="10">
        <v>32655</v>
      </c>
      <c r="D85" s="15">
        <v>0</v>
      </c>
      <c r="E85" s="15">
        <f t="shared" si="12"/>
        <v>32655</v>
      </c>
      <c r="F85" s="16" t="str">
        <f t="shared" si="13"/>
        <v/>
      </c>
      <c r="G85" s="17">
        <v>107924</v>
      </c>
      <c r="H85" s="17">
        <f t="shared" si="14"/>
        <v>-75269</v>
      </c>
      <c r="I85" s="16">
        <f t="shared" si="15"/>
        <v>-0.69742596642081467</v>
      </c>
      <c r="J85" s="39" t="s">
        <v>22</v>
      </c>
      <c r="K85" s="40" t="s">
        <v>29</v>
      </c>
    </row>
    <row r="86" spans="1:11" ht="42.75">
      <c r="A86" s="25" t="str">
        <v>Canoga</v>
      </c>
      <c r="B86" s="26" t="str">
        <v>NY</v>
      </c>
      <c r="C86" s="21">
        <v>219933</v>
      </c>
      <c r="D86" s="11">
        <v>0</v>
      </c>
      <c r="E86" s="11">
        <f t="shared" si="12"/>
        <v>219933</v>
      </c>
      <c r="F86" s="12" t="str">
        <f t="shared" si="13"/>
        <v/>
      </c>
      <c r="G86" s="13">
        <v>305951</v>
      </c>
      <c r="H86" s="13">
        <f t="shared" si="14"/>
        <v>-86018</v>
      </c>
      <c r="I86" s="14">
        <f t="shared" si="15"/>
        <v>-0.2811495958503159</v>
      </c>
      <c r="J86" s="38" t="s">
        <v>70</v>
      </c>
      <c r="K86" s="38" t="s">
        <v>71</v>
      </c>
    </row>
    <row r="87" spans="1:11" ht="71.25">
      <c r="A87" s="27" t="str">
        <v>County Route 84</v>
      </c>
      <c r="B87" s="28" t="str">
        <v>NY</v>
      </c>
      <c r="C87" s="10">
        <v>240973</v>
      </c>
      <c r="D87" s="15">
        <v>0</v>
      </c>
      <c r="E87" s="15">
        <f t="shared" si="12"/>
        <v>240973</v>
      </c>
      <c r="F87" s="16" t="str">
        <f t="shared" si="13"/>
        <v/>
      </c>
      <c r="G87" s="17">
        <v>377147</v>
      </c>
      <c r="H87" s="17">
        <f t="shared" si="14"/>
        <v>-136174</v>
      </c>
      <c r="I87" s="16">
        <f t="shared" si="15"/>
        <v>-0.36106345801504452</v>
      </c>
      <c r="J87" s="39" t="s">
        <v>72</v>
      </c>
      <c r="K87" s="40" t="s">
        <v>73</v>
      </c>
    </row>
    <row r="88" spans="1:11" ht="15.75">
      <c r="A88" s="25" t="str">
        <v>Donati</v>
      </c>
      <c r="B88" s="26" t="str">
        <v>NY</v>
      </c>
      <c r="C88" s="21">
        <v>82618</v>
      </c>
      <c r="D88" s="11">
        <v>0</v>
      </c>
      <c r="E88" s="11">
        <f t="shared" si="12"/>
        <v>82618</v>
      </c>
      <c r="F88" s="12" t="str">
        <f t="shared" si="13"/>
        <v/>
      </c>
      <c r="G88" s="13">
        <v>120408</v>
      </c>
      <c r="H88" s="13">
        <f t="shared" si="14"/>
        <v>-37790</v>
      </c>
      <c r="I88" s="14">
        <f t="shared" si="15"/>
        <v>-0.31384957810112285</v>
      </c>
      <c r="J88" s="38" t="s">
        <v>74</v>
      </c>
      <c r="K88" s="38" t="s">
        <v>75</v>
      </c>
    </row>
    <row r="89" spans="1:11" ht="15.75">
      <c r="A89" s="27" t="str">
        <v>Henrietta</v>
      </c>
      <c r="B89" s="28" t="str">
        <v>NY</v>
      </c>
      <c r="C89" s="10">
        <v>149508</v>
      </c>
      <c r="D89" s="15">
        <v>0</v>
      </c>
      <c r="E89" s="15">
        <f t="shared" si="12"/>
        <v>149508</v>
      </c>
      <c r="F89" s="16" t="str">
        <f t="shared" si="13"/>
        <v/>
      </c>
      <c r="G89" s="17">
        <v>231860</v>
      </c>
      <c r="H89" s="17">
        <f t="shared" si="14"/>
        <v>-82352</v>
      </c>
      <c r="I89" s="16">
        <f t="shared" si="15"/>
        <v>-0.35517984990942808</v>
      </c>
      <c r="J89" s="39" t="s">
        <v>76</v>
      </c>
      <c r="K89" s="39" t="s">
        <v>77</v>
      </c>
    </row>
    <row r="90" spans="1:11" ht="28.5">
      <c r="A90" s="25" t="str">
        <v>NY 70</v>
      </c>
      <c r="B90" s="26" t="str">
        <v>NY</v>
      </c>
      <c r="C90" s="21">
        <v>202299</v>
      </c>
      <c r="D90" s="11">
        <v>0</v>
      </c>
      <c r="E90" s="11">
        <f t="shared" si="12"/>
        <v>202299</v>
      </c>
      <c r="F90" s="12" t="str">
        <f t="shared" si="13"/>
        <v/>
      </c>
      <c r="G90" s="13">
        <v>360230</v>
      </c>
      <c r="H90" s="13">
        <f t="shared" si="14"/>
        <v>-157931</v>
      </c>
      <c r="I90" s="14">
        <f t="shared" si="15"/>
        <v>-0.43841712239402603</v>
      </c>
      <c r="J90" s="38" t="s">
        <v>78</v>
      </c>
      <c r="K90" s="38" t="s">
        <v>79</v>
      </c>
    </row>
    <row r="91" spans="1:11" ht="15.75">
      <c r="A91" s="27" t="str">
        <v>Reid</v>
      </c>
      <c r="B91" s="28" t="str">
        <v>NY</v>
      </c>
      <c r="C91" s="10">
        <v>161556.07105237199</v>
      </c>
      <c r="D91" s="15">
        <v>184058</v>
      </c>
      <c r="E91" s="15">
        <f t="shared" si="12"/>
        <v>-22501.92894762801</v>
      </c>
      <c r="F91" s="16">
        <f t="shared" si="13"/>
        <v>-0.12225455534466315</v>
      </c>
      <c r="G91" s="17">
        <v>380016</v>
      </c>
      <c r="H91" s="17">
        <f t="shared" si="14"/>
        <v>-218459.92894762801</v>
      </c>
      <c r="I91" s="16">
        <f t="shared" si="15"/>
        <v>-0.57487034479502974</v>
      </c>
      <c r="J91" s="39" t="s">
        <v>22</v>
      </c>
      <c r="K91" s="40" t="s">
        <v>29</v>
      </c>
    </row>
    <row r="92" spans="1:11" ht="15.75">
      <c r="A92" s="25" t="str">
        <v>Sangolqui</v>
      </c>
      <c r="B92" s="26" t="str">
        <v>NY</v>
      </c>
      <c r="C92" s="21">
        <v>76404</v>
      </c>
      <c r="D92" s="11">
        <v>0</v>
      </c>
      <c r="E92" s="11">
        <f t="shared" si="12"/>
        <v>76404</v>
      </c>
      <c r="F92" s="12" t="str">
        <f t="shared" si="13"/>
        <v/>
      </c>
      <c r="G92" s="13">
        <v>117423</v>
      </c>
      <c r="H92" s="13">
        <f t="shared" si="14"/>
        <v>-41019</v>
      </c>
      <c r="I92" s="14">
        <f t="shared" si="15"/>
        <v>-0.34932679287703433</v>
      </c>
      <c r="J92" s="38" t="s">
        <v>80</v>
      </c>
      <c r="K92" s="38" t="s">
        <v>81</v>
      </c>
    </row>
    <row r="93" spans="1:11" ht="31.5">
      <c r="A93" s="27" t="str">
        <v>State Highway 17B</v>
      </c>
      <c r="B93" s="28" t="str">
        <v>NY</v>
      </c>
      <c r="C93" s="10">
        <v>175181</v>
      </c>
      <c r="D93" s="15">
        <v>0</v>
      </c>
      <c r="E93" s="15">
        <f t="shared" si="12"/>
        <v>175181</v>
      </c>
      <c r="F93" s="16" t="str">
        <f t="shared" si="13"/>
        <v/>
      </c>
      <c r="G93" s="17">
        <v>323774</v>
      </c>
      <c r="H93" s="17">
        <f t="shared" si="14"/>
        <v>-148593</v>
      </c>
      <c r="I93" s="16">
        <f t="shared" si="15"/>
        <v>-0.45894049553083321</v>
      </c>
      <c r="J93" s="39" t="s">
        <v>82</v>
      </c>
      <c r="K93" s="40" t="s">
        <v>83</v>
      </c>
    </row>
    <row r="94" spans="1:11" ht="15.75">
      <c r="A94" s="25" t="str">
        <v>State Route 14A</v>
      </c>
      <c r="B94" s="26" t="str">
        <v>NY</v>
      </c>
      <c r="C94" s="21">
        <v>251217</v>
      </c>
      <c r="D94" s="11">
        <v>0</v>
      </c>
      <c r="E94" s="11">
        <f t="shared" si="12"/>
        <v>251217</v>
      </c>
      <c r="F94" s="12" t="str">
        <f t="shared" si="13"/>
        <v/>
      </c>
      <c r="G94" s="13">
        <v>347615</v>
      </c>
      <c r="H94" s="13">
        <f t="shared" si="14"/>
        <v>-96398</v>
      </c>
      <c r="I94" s="14">
        <f t="shared" si="15"/>
        <v>-0.27731254405017047</v>
      </c>
      <c r="J94" s="38" t="s">
        <v>84</v>
      </c>
      <c r="K94" s="38" t="s">
        <v>85</v>
      </c>
    </row>
    <row r="95" spans="1:11" ht="15.75">
      <c r="A95" s="27" t="str">
        <v>West Creek</v>
      </c>
      <c r="B95" s="28" t="str">
        <v>NY</v>
      </c>
      <c r="C95" s="10">
        <v>204956</v>
      </c>
      <c r="D95" s="15">
        <v>0</v>
      </c>
      <c r="E95" s="15">
        <f t="shared" si="12"/>
        <v>204956</v>
      </c>
      <c r="F95" s="16" t="str">
        <f t="shared" si="13"/>
        <v/>
      </c>
      <c r="G95" s="17">
        <v>298444</v>
      </c>
      <c r="H95" s="17">
        <f t="shared" si="14"/>
        <v>-93488</v>
      </c>
      <c r="I95" s="16">
        <f t="shared" si="15"/>
        <v>-0.3132513972470547</v>
      </c>
      <c r="J95" s="39" t="s">
        <v>86</v>
      </c>
      <c r="K95" s="40" t="s">
        <v>87</v>
      </c>
    </row>
    <row r="96" spans="1:11" ht="42.75">
      <c r="A96" s="25" t="str">
        <v>Wildflower</v>
      </c>
      <c r="B96" s="26" t="str">
        <v>NY</v>
      </c>
      <c r="C96" s="21">
        <v>222902</v>
      </c>
      <c r="D96" s="11">
        <v>0</v>
      </c>
      <c r="E96" s="11">
        <f t="shared" si="12"/>
        <v>222902</v>
      </c>
      <c r="F96" s="12" t="str">
        <f t="shared" si="13"/>
        <v/>
      </c>
      <c r="G96" s="13">
        <v>406945</v>
      </c>
      <c r="H96" s="13">
        <f t="shared" si="14"/>
        <v>-184043</v>
      </c>
      <c r="I96" s="14">
        <f t="shared" si="15"/>
        <v>-0.45225521876420649</v>
      </c>
      <c r="J96" s="38" t="s">
        <v>88</v>
      </c>
      <c r="K96" s="38" t="s">
        <v>89</v>
      </c>
    </row>
    <row r="97" spans="1:11" ht="15.75">
      <c r="A97" s="27" t="str">
        <v>Glen Mary 1</v>
      </c>
      <c r="B97" s="28" t="str">
        <v>NY</v>
      </c>
      <c r="C97" s="10">
        <v>90965</v>
      </c>
      <c r="D97" s="15">
        <v>0</v>
      </c>
      <c r="E97" s="15">
        <f t="shared" si="12"/>
        <v>90965</v>
      </c>
      <c r="F97" s="16" t="str">
        <f t="shared" si="13"/>
        <v/>
      </c>
      <c r="G97" s="17">
        <v>0</v>
      </c>
      <c r="H97" s="17">
        <f t="shared" si="14"/>
        <v>90965</v>
      </c>
      <c r="I97" s="16" t="str">
        <f t="shared" si="15"/>
        <v/>
      </c>
      <c r="J97" s="39" t="s">
        <v>22</v>
      </c>
      <c r="K97" s="40" t="s">
        <v>29</v>
      </c>
    </row>
    <row r="98" spans="1:11" ht="15.75">
      <c r="A98" s="25" t="str">
        <v>Glen Mary 2</v>
      </c>
      <c r="B98" s="26" t="str">
        <v>NY</v>
      </c>
      <c r="C98" s="21">
        <v>39864</v>
      </c>
      <c r="D98" s="11">
        <v>0</v>
      </c>
      <c r="E98" s="11">
        <f t="shared" si="12"/>
        <v>39864</v>
      </c>
      <c r="F98" s="12" t="str">
        <f t="shared" si="13"/>
        <v/>
      </c>
      <c r="G98" s="13">
        <v>159217</v>
      </c>
      <c r="H98" s="13">
        <f t="shared" si="14"/>
        <v>-119353</v>
      </c>
      <c r="I98" s="14">
        <f t="shared" si="15"/>
        <v>-0.74962472600287655</v>
      </c>
      <c r="J98" s="38" t="s">
        <v>22</v>
      </c>
      <c r="K98" s="38" t="s">
        <v>29</v>
      </c>
    </row>
    <row r="99" spans="1:11" ht="31.5">
      <c r="A99" s="27" t="str">
        <v>Telegraph 1</v>
      </c>
      <c r="B99" s="28" t="str">
        <v>NY</v>
      </c>
      <c r="C99" s="10">
        <v>54564</v>
      </c>
      <c r="D99" s="15">
        <v>0</v>
      </c>
      <c r="E99" s="15">
        <f t="shared" si="12"/>
        <v>54564</v>
      </c>
      <c r="F99" s="16" t="str">
        <f t="shared" si="13"/>
        <v/>
      </c>
      <c r="G99" s="17">
        <v>264699</v>
      </c>
      <c r="H99" s="17">
        <f t="shared" si="14"/>
        <v>-210135</v>
      </c>
      <c r="I99" s="16">
        <f t="shared" si="15"/>
        <v>-0.79386397379665208</v>
      </c>
      <c r="J99" s="39" t="s">
        <v>90</v>
      </c>
      <c r="K99" s="40" t="s">
        <v>91</v>
      </c>
    </row>
    <row r="100" spans="1:11" ht="28.5">
      <c r="A100" s="25" t="str">
        <v>Telegraph 2</v>
      </c>
      <c r="B100" s="26" t="str">
        <v>NY</v>
      </c>
      <c r="C100" s="21">
        <v>29393</v>
      </c>
      <c r="D100" s="11">
        <v>0</v>
      </c>
      <c r="E100" s="11">
        <f t="shared" si="12"/>
        <v>29393</v>
      </c>
      <c r="F100" s="12" t="str">
        <f t="shared" si="13"/>
        <v/>
      </c>
      <c r="G100" s="13">
        <v>137325</v>
      </c>
      <c r="H100" s="13">
        <f t="shared" si="14"/>
        <v>-107932</v>
      </c>
      <c r="I100" s="14">
        <f t="shared" si="15"/>
        <v>-0.78596031312579651</v>
      </c>
      <c r="J100" s="38" t="s">
        <v>90</v>
      </c>
      <c r="K100" s="38" t="s">
        <v>92</v>
      </c>
    </row>
    <row r="101" spans="1:11" ht="15.75">
      <c r="A101" s="27" t="str">
        <v>Cafferty Hill</v>
      </c>
      <c r="B101" s="28" t="str">
        <v>NY</v>
      </c>
      <c r="C101" s="10">
        <v>100252</v>
      </c>
      <c r="D101" s="15">
        <v>0</v>
      </c>
      <c r="E101" s="15">
        <f t="shared" si="12"/>
        <v>100252</v>
      </c>
      <c r="F101" s="16" t="str">
        <f t="shared" si="13"/>
        <v/>
      </c>
      <c r="G101" s="17">
        <v>312360</v>
      </c>
      <c r="H101" s="17">
        <f t="shared" si="14"/>
        <v>-212108</v>
      </c>
      <c r="I101" s="16">
        <f t="shared" si="15"/>
        <v>-0.67904981431681388</v>
      </c>
      <c r="J101" s="39" t="s">
        <v>22</v>
      </c>
      <c r="K101" s="39" t="s">
        <v>22</v>
      </c>
    </row>
    <row r="102" spans="1:11" ht="42.75">
      <c r="A102" s="25" t="str">
        <v>Dunkleman</v>
      </c>
      <c r="B102" s="26" t="str">
        <v>NY</v>
      </c>
      <c r="C102" s="21">
        <v>83950</v>
      </c>
      <c r="D102" s="11">
        <v>0</v>
      </c>
      <c r="E102" s="11">
        <f t="shared" si="12"/>
        <v>83950</v>
      </c>
      <c r="F102" s="12" t="str">
        <f t="shared" si="13"/>
        <v/>
      </c>
      <c r="G102" s="13">
        <v>0</v>
      </c>
      <c r="H102" s="13">
        <f t="shared" si="14"/>
        <v>83950</v>
      </c>
      <c r="I102" s="14" t="str">
        <f t="shared" si="15"/>
        <v/>
      </c>
      <c r="J102" s="38" t="s">
        <v>93</v>
      </c>
      <c r="K102" s="38" t="s">
        <v>94</v>
      </c>
    </row>
    <row r="103" spans="1:11" ht="31.5">
      <c r="A103" s="27" t="str">
        <v>Route 19 1</v>
      </c>
      <c r="B103" s="28" t="str">
        <v>NY</v>
      </c>
      <c r="C103" s="10">
        <v>29341</v>
      </c>
      <c r="D103" s="15">
        <v>0</v>
      </c>
      <c r="E103" s="15">
        <f t="shared" si="12"/>
        <v>29341</v>
      </c>
      <c r="F103" s="16" t="str">
        <f t="shared" si="13"/>
        <v/>
      </c>
      <c r="G103" s="17">
        <v>133344</v>
      </c>
      <c r="H103" s="17">
        <f t="shared" si="14"/>
        <v>-104003</v>
      </c>
      <c r="I103" s="16">
        <f t="shared" si="15"/>
        <v>-0.77996010319174469</v>
      </c>
      <c r="J103" s="39" t="s">
        <v>90</v>
      </c>
      <c r="K103" s="40" t="s">
        <v>95</v>
      </c>
    </row>
    <row r="104" spans="1:11" ht="28.5">
      <c r="A104" s="25" t="str">
        <v>Route 19 2</v>
      </c>
      <c r="B104" s="26" t="str">
        <v>NY</v>
      </c>
      <c r="C104" s="21">
        <v>66472</v>
      </c>
      <c r="D104" s="11">
        <v>0</v>
      </c>
      <c r="E104" s="11">
        <f t="shared" si="12"/>
        <v>66472</v>
      </c>
      <c r="F104" s="12" t="str">
        <f t="shared" si="13"/>
        <v/>
      </c>
      <c r="G104" s="13">
        <v>361225</v>
      </c>
      <c r="H104" s="13">
        <f t="shared" si="14"/>
        <v>-294753</v>
      </c>
      <c r="I104" s="14">
        <f t="shared" si="15"/>
        <v>-0.81598172883936604</v>
      </c>
      <c r="J104" s="38" t="s">
        <v>90</v>
      </c>
      <c r="K104" s="38" t="s">
        <v>96</v>
      </c>
    </row>
    <row r="105" spans="1:11" ht="31.5">
      <c r="A105" s="27" t="str">
        <v>Yellow Mills 1</v>
      </c>
      <c r="B105" s="28" t="str">
        <v>NY</v>
      </c>
      <c r="C105" s="10">
        <v>31915</v>
      </c>
      <c r="D105" s="15">
        <v>0</v>
      </c>
      <c r="E105" s="15">
        <f t="shared" si="12"/>
        <v>31915</v>
      </c>
      <c r="F105" s="16" t="str">
        <f t="shared" si="13"/>
        <v/>
      </c>
      <c r="G105" s="17">
        <v>0</v>
      </c>
      <c r="H105" s="17">
        <f t="shared" si="14"/>
        <v>31915</v>
      </c>
      <c r="I105" s="16" t="str">
        <f t="shared" si="15"/>
        <v/>
      </c>
      <c r="J105" s="39" t="s">
        <v>97</v>
      </c>
      <c r="K105" s="40" t="s">
        <v>98</v>
      </c>
    </row>
    <row r="106" spans="1:11" ht="28.5">
      <c r="A106" s="25" t="str">
        <v>Yellow Mills 2</v>
      </c>
      <c r="B106" s="26" t="str">
        <v>NY</v>
      </c>
      <c r="C106" s="21">
        <v>31675</v>
      </c>
      <c r="D106" s="11">
        <v>0</v>
      </c>
      <c r="E106" s="11">
        <f t="shared" si="12"/>
        <v>31675</v>
      </c>
      <c r="F106" s="12" t="str">
        <f t="shared" si="13"/>
        <v/>
      </c>
      <c r="G106" s="13">
        <v>0</v>
      </c>
      <c r="H106" s="13">
        <f t="shared" si="14"/>
        <v>31675</v>
      </c>
      <c r="I106" s="14" t="str">
        <f t="shared" si="15"/>
        <v/>
      </c>
      <c r="J106" s="38" t="s">
        <v>97</v>
      </c>
      <c r="K106" s="38" t="s">
        <v>99</v>
      </c>
    </row>
    <row r="107" spans="1:11" ht="31.5">
      <c r="A107" s="27" t="str">
        <v>Yellow Mills 3</v>
      </c>
      <c r="B107" s="28" t="str">
        <v>NY</v>
      </c>
      <c r="C107" s="10">
        <v>68145</v>
      </c>
      <c r="D107" s="15">
        <v>0</v>
      </c>
      <c r="E107" s="15">
        <f t="shared" si="12"/>
        <v>68145</v>
      </c>
      <c r="F107" s="16" t="str">
        <f t="shared" si="13"/>
        <v/>
      </c>
      <c r="G107" s="17">
        <v>0</v>
      </c>
      <c r="H107" s="17">
        <f t="shared" si="14"/>
        <v>68145</v>
      </c>
      <c r="I107" s="16" t="str">
        <f t="shared" si="15"/>
        <v/>
      </c>
      <c r="J107" s="39" t="s">
        <v>97</v>
      </c>
      <c r="K107" s="40" t="s">
        <v>100</v>
      </c>
    </row>
    <row r="108" spans="1:11" ht="42.75">
      <c r="A108" s="25" t="str">
        <v>Catskill</v>
      </c>
      <c r="B108" s="26" t="str">
        <v>NY</v>
      </c>
      <c r="C108" s="21">
        <v>186426</v>
      </c>
      <c r="D108" s="11">
        <v>0</v>
      </c>
      <c r="E108" s="11">
        <f t="shared" si="12"/>
        <v>186426</v>
      </c>
      <c r="F108" s="12" t="str">
        <f t="shared" si="13"/>
        <v/>
      </c>
      <c r="G108" s="13">
        <v>0</v>
      </c>
      <c r="H108" s="13">
        <f t="shared" si="14"/>
        <v>186426</v>
      </c>
      <c r="I108" s="14" t="str">
        <f t="shared" si="15"/>
        <v/>
      </c>
      <c r="J108" s="38" t="s">
        <v>101</v>
      </c>
      <c r="K108" s="38" t="s">
        <v>102</v>
      </c>
    </row>
    <row r="109" spans="1:11" ht="28.5">
      <c r="A109" s="27" t="str">
        <v>Eddy Ridge</v>
      </c>
      <c r="B109" s="28" t="str">
        <v>NY</v>
      </c>
      <c r="C109" s="10">
        <v>108825</v>
      </c>
      <c r="D109" s="15">
        <v>0</v>
      </c>
      <c r="E109" s="15">
        <f t="shared" si="12"/>
        <v>108825</v>
      </c>
      <c r="F109" s="16" t="str">
        <f t="shared" si="13"/>
        <v/>
      </c>
      <c r="G109" s="17">
        <v>0</v>
      </c>
      <c r="H109" s="17">
        <f t="shared" si="14"/>
        <v>108825</v>
      </c>
      <c r="I109" s="16" t="str">
        <f t="shared" si="15"/>
        <v/>
      </c>
      <c r="J109" s="39" t="s">
        <v>103</v>
      </c>
      <c r="K109" s="40" t="s">
        <v>104</v>
      </c>
    </row>
    <row r="110" spans="1:11" ht="15.75">
      <c r="A110" s="25" t="str">
        <v>Ridgeway #1</v>
      </c>
      <c r="B110" s="26" t="str">
        <v>NY</v>
      </c>
      <c r="C110" s="21">
        <v>0</v>
      </c>
      <c r="D110" s="11">
        <v>0</v>
      </c>
      <c r="E110" s="11">
        <f t="shared" si="12"/>
        <v>0</v>
      </c>
      <c r="F110" s="12" t="str">
        <f t="shared" si="13"/>
        <v/>
      </c>
      <c r="G110" s="13">
        <v>0</v>
      </c>
      <c r="H110" s="13">
        <f t="shared" si="14"/>
        <v>0</v>
      </c>
      <c r="I110" s="14" t="str">
        <f t="shared" si="15"/>
        <v/>
      </c>
      <c r="J110" s="38" t="s">
        <v>105</v>
      </c>
      <c r="K110" s="38" t="s">
        <v>22</v>
      </c>
    </row>
    <row r="111" spans="1:11" ht="28.5">
      <c r="A111" s="27" t="str">
        <v>Rivard 1</v>
      </c>
      <c r="B111" s="28" t="str">
        <v>NY</v>
      </c>
      <c r="C111" s="10">
        <v>148695.250778894</v>
      </c>
      <c r="D111" s="15">
        <v>188962.4</v>
      </c>
      <c r="E111" s="15">
        <f t="shared" si="12"/>
        <v>-40267.149221105996</v>
      </c>
      <c r="F111" s="16">
        <f t="shared" si="13"/>
        <v>-0.21309609330272053</v>
      </c>
      <c r="G111" s="17">
        <v>269901.7</v>
      </c>
      <c r="H111" s="17">
        <f t="shared" si="14"/>
        <v>-121206.44922110601</v>
      </c>
      <c r="I111" s="16">
        <f t="shared" si="15"/>
        <v>-0.44907627192087346</v>
      </c>
      <c r="J111" s="39" t="s">
        <v>106</v>
      </c>
      <c r="K111" s="40" t="s">
        <v>107</v>
      </c>
    </row>
    <row r="112" spans="1:11" ht="71.25">
      <c r="A112" s="25" t="str">
        <v>Rivard 2</v>
      </c>
      <c r="B112" s="26" t="str">
        <v>NY</v>
      </c>
      <c r="C112" s="21">
        <v>28249.4825870647</v>
      </c>
      <c r="D112" s="11">
        <v>48018.29</v>
      </c>
      <c r="E112" s="11">
        <f t="shared" si="12"/>
        <v>-19768.807412935301</v>
      </c>
      <c r="F112" s="12">
        <f t="shared" si="13"/>
        <v>-0.41169328214176931</v>
      </c>
      <c r="G112" s="13">
        <v>258654.9</v>
      </c>
      <c r="H112" s="13">
        <f t="shared" si="14"/>
        <v>-230405.41741293529</v>
      </c>
      <c r="I112" s="14">
        <f t="shared" si="15"/>
        <v>-0.89078311453962522</v>
      </c>
      <c r="J112" s="38" t="s">
        <v>108</v>
      </c>
      <c r="K112" s="38" t="s">
        <v>109</v>
      </c>
    </row>
    <row r="113" spans="1:11" ht="15.75">
      <c r="A113" s="27" t="str">
        <v>Essex</v>
      </c>
      <c r="B113" s="28" t="str">
        <v>DC</v>
      </c>
      <c r="C113" s="10">
        <v>870</v>
      </c>
      <c r="D113" s="15">
        <v>1507.5250000000001</v>
      </c>
      <c r="E113" s="15">
        <f t="shared" si="12"/>
        <v>-637.52500000000009</v>
      </c>
      <c r="F113" s="16">
        <f t="shared" si="13"/>
        <v>-0.42289514270078443</v>
      </c>
      <c r="G113" s="17">
        <v>2164.9670000000001</v>
      </c>
      <c r="H113" s="17">
        <f t="shared" si="14"/>
        <v>-1294.9670000000001</v>
      </c>
      <c r="I113" s="16">
        <f t="shared" si="15"/>
        <v>-0.59814629968955646</v>
      </c>
      <c r="J113" s="39" t="s">
        <v>22</v>
      </c>
      <c r="K113" s="39" t="s">
        <v>29</v>
      </c>
    </row>
    <row r="114" spans="1:11" ht="15.75">
      <c r="A114" s="25" t="str">
        <v>Temple Sinai</v>
      </c>
      <c r="B114" s="26" t="str">
        <v>DC</v>
      </c>
      <c r="C114" s="21">
        <v>2505.62</v>
      </c>
      <c r="D114" s="11">
        <v>4293.1019999999999</v>
      </c>
      <c r="E114" s="11">
        <f t="shared" si="12"/>
        <v>-1787.482</v>
      </c>
      <c r="F114" s="12">
        <f t="shared" si="13"/>
        <v>-0.41636140953557593</v>
      </c>
      <c r="G114" s="13">
        <v>5237.6580000000004</v>
      </c>
      <c r="H114" s="13">
        <f t="shared" si="14"/>
        <v>-2732.0380000000005</v>
      </c>
      <c r="I114" s="14">
        <f t="shared" si="15"/>
        <v>-0.52161443148827213</v>
      </c>
      <c r="J114" s="38" t="s">
        <v>22</v>
      </c>
      <c r="K114" s="38" t="s">
        <v>29</v>
      </c>
    </row>
    <row r="115" spans="1:11" ht="15.75">
      <c r="A115" s="27" t="str">
        <v>Weinberg 1</v>
      </c>
      <c r="B115" s="28" t="str">
        <v>DC</v>
      </c>
      <c r="C115" s="10">
        <v>385</v>
      </c>
      <c r="D115" s="15">
        <v>590.59410000000003</v>
      </c>
      <c r="E115" s="15">
        <f t="shared" si="12"/>
        <v>-205.59410000000003</v>
      </c>
      <c r="F115" s="16">
        <f t="shared" si="13"/>
        <v>-0.34811404313046812</v>
      </c>
      <c r="G115" s="17">
        <v>808.99249999999995</v>
      </c>
      <c r="H115" s="17">
        <f t="shared" si="14"/>
        <v>-423.99249999999995</v>
      </c>
      <c r="I115" s="16">
        <f t="shared" si="15"/>
        <v>-0.52409941995753972</v>
      </c>
      <c r="J115" s="39" t="s">
        <v>22</v>
      </c>
      <c r="K115" s="40" t="s">
        <v>29</v>
      </c>
    </row>
    <row r="116" spans="1:11" ht="15.75">
      <c r="A116" s="25" t="str">
        <v>Weinberg 2</v>
      </c>
      <c r="B116" s="26" t="str">
        <v>DC</v>
      </c>
      <c r="C116" s="21">
        <v>398</v>
      </c>
      <c r="D116" s="11">
        <v>563.71370000000002</v>
      </c>
      <c r="E116" s="11">
        <f t="shared" si="12"/>
        <v>-165.71370000000002</v>
      </c>
      <c r="F116" s="12">
        <f t="shared" si="13"/>
        <v>-0.2939678421865568</v>
      </c>
      <c r="G116" s="13">
        <v>862.08870000000002</v>
      </c>
      <c r="H116" s="13">
        <f t="shared" si="14"/>
        <v>-464.08870000000002</v>
      </c>
      <c r="I116" s="14">
        <f t="shared" si="15"/>
        <v>-0.53833056853662509</v>
      </c>
      <c r="J116" s="38" t="s">
        <v>22</v>
      </c>
      <c r="K116" s="38" t="s">
        <v>29</v>
      </c>
    </row>
    <row r="117" spans="1:11" ht="15.75">
      <c r="A117" s="27" t="str">
        <v>Weinberg 3</v>
      </c>
      <c r="B117" s="28" t="str">
        <v>DC</v>
      </c>
      <c r="C117" s="10">
        <v>464</v>
      </c>
      <c r="D117" s="15">
        <v>551.17399999999998</v>
      </c>
      <c r="E117" s="15">
        <f t="shared" si="12"/>
        <v>-87.173999999999978</v>
      </c>
      <c r="F117" s="16">
        <f t="shared" si="13"/>
        <v>-0.15816058086919918</v>
      </c>
      <c r="G117" s="17">
        <v>893</v>
      </c>
      <c r="H117" s="17">
        <f t="shared" si="14"/>
        <v>-429</v>
      </c>
      <c r="I117" s="16">
        <f t="shared" si="15"/>
        <v>-0.48040313549832026</v>
      </c>
      <c r="J117" s="39" t="s">
        <v>22</v>
      </c>
      <c r="K117" s="40" t="s">
        <v>29</v>
      </c>
    </row>
    <row r="118" spans="1:11" ht="15.75">
      <c r="A118" s="25" t="str">
        <v>Clayton Hall</v>
      </c>
      <c r="B118" s="26" t="str">
        <v>DE</v>
      </c>
      <c r="C118" s="21">
        <v>3000</v>
      </c>
      <c r="D118" s="11">
        <v>5979.6080000000002</v>
      </c>
      <c r="E118" s="11">
        <f t="shared" si="12"/>
        <v>-2979.6080000000002</v>
      </c>
      <c r="F118" s="12">
        <f t="shared" si="13"/>
        <v>-0.4982948715032825</v>
      </c>
      <c r="G118" s="13">
        <v>2819</v>
      </c>
      <c r="H118" s="13">
        <f t="shared" si="14"/>
        <v>181</v>
      </c>
      <c r="I118" s="14">
        <f t="shared" si="15"/>
        <v>6.4207165661582119E-2</v>
      </c>
      <c r="J118" s="38" t="s">
        <v>22</v>
      </c>
      <c r="K118" s="38" t="s">
        <v>29</v>
      </c>
    </row>
    <row r="119" spans="1:11" ht="15.75">
      <c r="A119" s="27" t="str">
        <v>Field House</v>
      </c>
      <c r="B119" s="28" t="str">
        <v>DE</v>
      </c>
      <c r="C119" s="10">
        <v>17646</v>
      </c>
      <c r="D119" s="15">
        <v>0</v>
      </c>
      <c r="E119" s="15">
        <f t="shared" si="12"/>
        <v>17646</v>
      </c>
      <c r="F119" s="16" t="str">
        <f t="shared" si="13"/>
        <v/>
      </c>
      <c r="G119" s="17">
        <v>28692</v>
      </c>
      <c r="H119" s="17">
        <f t="shared" si="14"/>
        <v>-11046</v>
      </c>
      <c r="I119" s="16">
        <f t="shared" si="15"/>
        <v>-0.3849853617733166</v>
      </c>
      <c r="J119" s="39" t="s">
        <v>22</v>
      </c>
      <c r="K119" s="40" t="s">
        <v>29</v>
      </c>
    </row>
    <row r="120" spans="1:11" ht="15.75">
      <c r="A120" s="25" t="str">
        <v>Wyoming Road</v>
      </c>
      <c r="B120" s="26" t="str">
        <v>DE</v>
      </c>
      <c r="C120" s="21">
        <v>7263</v>
      </c>
      <c r="D120" s="11">
        <v>10662</v>
      </c>
      <c r="E120" s="11">
        <f t="shared" si="12"/>
        <v>-3399</v>
      </c>
      <c r="F120" s="12">
        <f t="shared" si="13"/>
        <v>-0.31879572312886889</v>
      </c>
      <c r="G120" s="13">
        <v>16720</v>
      </c>
      <c r="H120" s="13">
        <f t="shared" si="14"/>
        <v>-9457</v>
      </c>
      <c r="I120" s="14">
        <f t="shared" si="15"/>
        <v>-0.56561004784688995</v>
      </c>
      <c r="J120" s="38" t="s">
        <v>22</v>
      </c>
      <c r="K120" s="38" t="s">
        <v>29</v>
      </c>
    </row>
    <row r="121" spans="1:11" ht="15.75">
      <c r="A121" s="27" t="str">
        <v>Leoku</v>
      </c>
      <c r="B121" s="28" t="str">
        <v>HI</v>
      </c>
      <c r="C121" s="10">
        <v>8344</v>
      </c>
      <c r="D121" s="15">
        <v>7977.7489999999998</v>
      </c>
      <c r="E121" s="15">
        <f t="shared" si="12"/>
        <v>366.2510000000002</v>
      </c>
      <c r="F121" s="16">
        <f t="shared" si="13"/>
        <v>4.5909065326572726E-2</v>
      </c>
      <c r="G121" s="17">
        <v>10288</v>
      </c>
      <c r="H121" s="17">
        <f t="shared" si="14"/>
        <v>-1944</v>
      </c>
      <c r="I121" s="16">
        <f t="shared" si="15"/>
        <v>-0.18895800933125972</v>
      </c>
      <c r="J121" s="39" t="s">
        <v>110</v>
      </c>
      <c r="K121" s="40" t="s">
        <v>111</v>
      </c>
    </row>
    <row r="122" spans="1:11" ht="15.75">
      <c r="A122" s="25" t="str">
        <v>Waipahu</v>
      </c>
      <c r="B122" s="26" t="str">
        <v>HI</v>
      </c>
      <c r="C122" s="21">
        <v>7031</v>
      </c>
      <c r="D122" s="11">
        <v>7601.15</v>
      </c>
      <c r="E122" s="11">
        <f t="shared" si="12"/>
        <v>-570.14999999999964</v>
      </c>
      <c r="F122" s="12">
        <f t="shared" si="13"/>
        <v>-7.5008386888825995E-2</v>
      </c>
      <c r="G122" s="13">
        <v>10288</v>
      </c>
      <c r="H122" s="13">
        <f t="shared" si="14"/>
        <v>-3257</v>
      </c>
      <c r="I122" s="14">
        <f t="shared" si="15"/>
        <v>-0.31658242612752724</v>
      </c>
      <c r="J122" s="38" t="s">
        <v>112</v>
      </c>
      <c r="K122" s="38" t="s">
        <v>113</v>
      </c>
    </row>
    <row r="123" spans="1:11" ht="15.75">
      <c r="A123" s="27" t="str">
        <v>Bird in Hand</v>
      </c>
      <c r="B123" s="28" t="str">
        <v>MD</v>
      </c>
      <c r="C123" s="10">
        <v>82202</v>
      </c>
      <c r="D123" s="15">
        <v>92318.48</v>
      </c>
      <c r="E123" s="15">
        <f t="shared" si="12"/>
        <v>-10116.479999999996</v>
      </c>
      <c r="F123" s="16">
        <f t="shared" si="13"/>
        <v>-0.10958239347094965</v>
      </c>
      <c r="G123" s="17">
        <v>127325.2</v>
      </c>
      <c r="H123" s="17">
        <f t="shared" si="14"/>
        <v>-45123.199999999997</v>
      </c>
      <c r="I123" s="16">
        <f t="shared" si="15"/>
        <v>-0.35439331726948003</v>
      </c>
      <c r="J123" s="39" t="s">
        <v>22</v>
      </c>
      <c r="K123" s="40" t="s">
        <v>29</v>
      </c>
    </row>
    <row r="124" spans="1:11" ht="15.75">
      <c r="A124" s="25" t="str">
        <v>Shortal</v>
      </c>
      <c r="B124" s="26" t="str">
        <v>MD</v>
      </c>
      <c r="C124" s="21">
        <v>86841</v>
      </c>
      <c r="D124" s="11">
        <v>66423.12</v>
      </c>
      <c r="E124" s="11">
        <f t="shared" si="12"/>
        <v>20417.880000000005</v>
      </c>
      <c r="F124" s="12">
        <f t="shared" si="13"/>
        <v>0.30739116139079292</v>
      </c>
      <c r="G124" s="13">
        <v>6278.299</v>
      </c>
      <c r="H124" s="13">
        <f t="shared" si="14"/>
        <v>80562.701000000001</v>
      </c>
      <c r="I124" s="14">
        <f t="shared" si="15"/>
        <v>12.831931228506321</v>
      </c>
      <c r="J124" s="38" t="s">
        <v>22</v>
      </c>
      <c r="K124" s="38" t="s">
        <v>29</v>
      </c>
    </row>
    <row r="125" spans="1:11" ht="15.75">
      <c r="A125" s="27" t="str">
        <v>Aguadilla</v>
      </c>
      <c r="B125" s="28" t="str">
        <v>PR</v>
      </c>
      <c r="C125" s="10">
        <v>17577</v>
      </c>
      <c r="D125" s="15">
        <v>15476.68</v>
      </c>
      <c r="E125" s="15">
        <f t="shared" si="12"/>
        <v>2100.3199999999997</v>
      </c>
      <c r="F125" s="16">
        <f t="shared" si="13"/>
        <v>0.13570869204506392</v>
      </c>
      <c r="G125" s="17">
        <v>18224</v>
      </c>
      <c r="H125" s="17">
        <f t="shared" si="14"/>
        <v>-647</v>
      </c>
      <c r="I125" s="16">
        <f t="shared" si="15"/>
        <v>-3.5502633889376647E-2</v>
      </c>
      <c r="J125" s="39" t="s">
        <v>114</v>
      </c>
      <c r="K125" s="39" t="s">
        <v>115</v>
      </c>
    </row>
    <row r="126" spans="1:11" ht="57">
      <c r="A126" s="25" t="str">
        <v>Bayamon</v>
      </c>
      <c r="B126" s="26" t="str">
        <v>PR</v>
      </c>
      <c r="C126" s="21">
        <v>52498</v>
      </c>
      <c r="D126" s="11">
        <v>58863.74</v>
      </c>
      <c r="E126" s="11">
        <f t="shared" si="12"/>
        <v>-6365.739999999998</v>
      </c>
      <c r="F126" s="12">
        <f t="shared" si="13"/>
        <v>-0.10814365516020556</v>
      </c>
      <c r="G126" s="13">
        <v>0</v>
      </c>
      <c r="H126" s="13">
        <f t="shared" si="14"/>
        <v>52498</v>
      </c>
      <c r="I126" s="14" t="str">
        <f t="shared" si="15"/>
        <v/>
      </c>
      <c r="J126" s="38" t="s">
        <v>116</v>
      </c>
      <c r="K126" s="38" t="s">
        <v>117</v>
      </c>
    </row>
    <row r="127" spans="1:11" ht="57">
      <c r="A127" s="27" t="str">
        <v>St Francis</v>
      </c>
      <c r="B127" s="28" t="str">
        <v>PR</v>
      </c>
      <c r="C127" s="10">
        <v>13494</v>
      </c>
      <c r="D127" s="15">
        <v>34760.43</v>
      </c>
      <c r="E127" s="15">
        <f t="shared" si="12"/>
        <v>-21266.43</v>
      </c>
      <c r="F127" s="16">
        <f t="shared" si="13"/>
        <v>-0.61179996910279877</v>
      </c>
      <c r="G127" s="17">
        <v>23239</v>
      </c>
      <c r="H127" s="17">
        <f t="shared" si="14"/>
        <v>-9745</v>
      </c>
      <c r="I127" s="16">
        <f t="shared" si="15"/>
        <v>-0.41933818150522828</v>
      </c>
      <c r="J127" s="39" t="s">
        <v>118</v>
      </c>
      <c r="K127" s="39" t="s">
        <v>119</v>
      </c>
    </row>
    <row r="128" spans="1:11" ht="15.75">
      <c r="A128" s="25" t="str">
        <v>Seaport</v>
      </c>
      <c r="B128" s="26" t="str">
        <v>MA</v>
      </c>
      <c r="C128" s="21">
        <v>15979.5</v>
      </c>
      <c r="D128" s="11">
        <v>16624.46</v>
      </c>
      <c r="E128" s="11">
        <f t="shared" si="12"/>
        <v>-644.95999999999913</v>
      </c>
      <c r="F128" s="12">
        <f t="shared" si="13"/>
        <v>-3.8795846601934691E-2</v>
      </c>
      <c r="G128" s="13">
        <v>23841.21</v>
      </c>
      <c r="H128" s="13">
        <f t="shared" si="14"/>
        <v>-7861.7099999999991</v>
      </c>
      <c r="I128" s="14">
        <f t="shared" si="15"/>
        <v>-0.32975297814162952</v>
      </c>
      <c r="J128" s="38" t="s">
        <v>120</v>
      </c>
      <c r="K128" s="38" t="s">
        <v>121</v>
      </c>
    </row>
    <row r="129" spans="1:11" ht="15.75">
      <c r="A129" s="27" t="str">
        <v>Sprague St</v>
      </c>
      <c r="B129" s="28" t="str">
        <v>MA</v>
      </c>
      <c r="C129" s="10">
        <v>32699.5</v>
      </c>
      <c r="D129" s="15">
        <v>50419.89</v>
      </c>
      <c r="E129" s="15">
        <f t="shared" si="12"/>
        <v>-17720.39</v>
      </c>
      <c r="F129" s="16">
        <f t="shared" si="13"/>
        <v>-0.35145633994838149</v>
      </c>
      <c r="G129" s="17">
        <v>52949.27</v>
      </c>
      <c r="H129" s="17">
        <f t="shared" si="14"/>
        <v>-20249.769999999997</v>
      </c>
      <c r="I129" s="16">
        <f t="shared" si="15"/>
        <v>-0.38243718940789928</v>
      </c>
      <c r="J129" s="39" t="s">
        <v>22</v>
      </c>
      <c r="K129" s="40" t="s">
        <v>29</v>
      </c>
    </row>
    <row r="130" spans="1:11" ht="15.75">
      <c r="A130" s="25" t="str">
        <v>Summer St</v>
      </c>
      <c r="B130" s="26" t="str">
        <v>MA</v>
      </c>
      <c r="C130" s="21">
        <v>74644</v>
      </c>
      <c r="D130" s="11">
        <v>104933.8</v>
      </c>
      <c r="E130" s="11">
        <f t="shared" si="12"/>
        <v>-30289.800000000003</v>
      </c>
      <c r="F130" s="12">
        <f t="shared" si="13"/>
        <v>-0.28865627662392862</v>
      </c>
      <c r="G130" s="13">
        <v>132017.60000000001</v>
      </c>
      <c r="H130" s="13">
        <f t="shared" si="14"/>
        <v>-57373.600000000006</v>
      </c>
      <c r="I130" s="14">
        <f t="shared" si="15"/>
        <v>-0.43459053944322579</v>
      </c>
      <c r="J130" s="38" t="s">
        <v>122</v>
      </c>
      <c r="K130" s="38" t="s">
        <v>123</v>
      </c>
    </row>
    <row r="131" spans="1:11" ht="15.75">
      <c r="A131" s="27" t="str">
        <v>Brock St Vocational</v>
      </c>
      <c r="B131" s="28" t="str">
        <v>NH</v>
      </c>
      <c r="C131" s="10">
        <v>1820.4686795321199</v>
      </c>
      <c r="D131" s="15">
        <v>4815.5290000000005</v>
      </c>
      <c r="E131" s="15">
        <f t="shared" si="12"/>
        <v>-2995.0603204678805</v>
      </c>
      <c r="F131" s="16">
        <f t="shared" si="13"/>
        <v>-0.62195873401818991</v>
      </c>
      <c r="G131" s="17">
        <v>4801.3860000000004</v>
      </c>
      <c r="H131" s="17">
        <f t="shared" si="14"/>
        <v>-2980.9173204678805</v>
      </c>
      <c r="I131" s="16">
        <f t="shared" si="15"/>
        <v>-0.62084517272051865</v>
      </c>
      <c r="J131" s="39" t="s">
        <v>22</v>
      </c>
      <c r="K131" s="40" t="s">
        <v>29</v>
      </c>
    </row>
    <row r="132" spans="1:11" ht="15.75">
      <c r="A132" s="25" t="str">
        <v>McClelland ES</v>
      </c>
      <c r="B132" s="26" t="str">
        <v>NH</v>
      </c>
      <c r="C132" s="21">
        <v>1822.9083103328601</v>
      </c>
      <c r="D132" s="11">
        <v>5664.0169999999998</v>
      </c>
      <c r="E132" s="11">
        <f t="shared" si="12"/>
        <v>-3841.1086896671395</v>
      </c>
      <c r="F132" s="12">
        <f t="shared" si="13"/>
        <v>-0.67815980948982668</v>
      </c>
      <c r="G132" s="13">
        <v>3544.0749999999998</v>
      </c>
      <c r="H132" s="13">
        <f t="shared" si="14"/>
        <v>-1721.1666896671397</v>
      </c>
      <c r="I132" s="14">
        <f t="shared" si="15"/>
        <v>-0.48564623764089071</v>
      </c>
      <c r="J132" s="38" t="s">
        <v>22</v>
      </c>
      <c r="K132" s="38" t="s">
        <v>29</v>
      </c>
    </row>
    <row r="133" spans="1:11" ht="15.75">
      <c r="A133" s="27" t="str">
        <v>Portland St</v>
      </c>
      <c r="B133" s="28" t="str">
        <v>NH</v>
      </c>
      <c r="C133" s="10">
        <v>1250</v>
      </c>
      <c r="D133" s="15">
        <v>2762</v>
      </c>
      <c r="E133" s="15">
        <f t="shared" si="12"/>
        <v>-1512</v>
      </c>
      <c r="F133" s="16">
        <f t="shared" si="13"/>
        <v>-0.54742939898624188</v>
      </c>
      <c r="G133" s="17">
        <v>4395</v>
      </c>
      <c r="H133" s="17">
        <f t="shared" si="14"/>
        <v>-3145</v>
      </c>
      <c r="I133" s="16">
        <f t="shared" si="15"/>
        <v>-0.71558589306029574</v>
      </c>
      <c r="J133" s="39" t="s">
        <v>22</v>
      </c>
      <c r="K133" s="40" t="s">
        <v>29</v>
      </c>
    </row>
    <row r="134" spans="1:11" ht="15.75">
      <c r="A134" s="25" t="str">
        <v>Portsmouth HS</v>
      </c>
      <c r="B134" s="26" t="str">
        <v>NH</v>
      </c>
      <c r="C134" s="21">
        <v>6169.25</v>
      </c>
      <c r="D134" s="11">
        <v>11780.96</v>
      </c>
      <c r="E134" s="11">
        <f t="shared" si="12"/>
        <v>-5611.7099999999991</v>
      </c>
      <c r="F134" s="12">
        <f t="shared" si="13"/>
        <v>-0.47633724246580922</v>
      </c>
      <c r="G134" s="13">
        <v>7989.4369999999999</v>
      </c>
      <c r="H134" s="13">
        <f t="shared" si="14"/>
        <v>-1820.1869999999999</v>
      </c>
      <c r="I134" s="14">
        <f t="shared" si="15"/>
        <v>-0.2278241883627094</v>
      </c>
      <c r="J134" s="38" t="s">
        <v>22</v>
      </c>
      <c r="K134" s="38" t="s">
        <v>29</v>
      </c>
    </row>
    <row r="135" spans="1:11" ht="15.75">
      <c r="A135" s="27" t="str">
        <v>Portsmouth WTP</v>
      </c>
      <c r="B135" s="28" t="str">
        <v>NH</v>
      </c>
      <c r="C135" s="10">
        <v>7384.75</v>
      </c>
      <c r="D135" s="15">
        <v>15101.21</v>
      </c>
      <c r="E135" s="15">
        <f t="shared" si="12"/>
        <v>-7716.4599999999991</v>
      </c>
      <c r="F135" s="16">
        <f t="shared" si="13"/>
        <v>-0.51098289474816916</v>
      </c>
      <c r="G135" s="17">
        <v>14831.87</v>
      </c>
      <c r="H135" s="17">
        <f t="shared" si="14"/>
        <v>-7447.1200000000008</v>
      </c>
      <c r="I135" s="16">
        <f t="shared" si="15"/>
        <v>-0.50210256697233735</v>
      </c>
      <c r="J135" s="39" t="s">
        <v>22</v>
      </c>
      <c r="K135" s="40" t="s">
        <v>29</v>
      </c>
    </row>
    <row r="136" spans="1:11" ht="15.75">
      <c r="A136" s="25" t="str">
        <v>Rochester St</v>
      </c>
      <c r="B136" s="26" t="str">
        <v>NH</v>
      </c>
      <c r="C136" s="21">
        <v>5444.625</v>
      </c>
      <c r="D136" s="11">
        <v>16420.68</v>
      </c>
      <c r="E136" s="11">
        <f t="shared" si="12"/>
        <v>-10976.055</v>
      </c>
      <c r="F136" s="12">
        <f t="shared" si="13"/>
        <v>-0.66842877396063993</v>
      </c>
      <c r="G136" s="13">
        <v>11432.38</v>
      </c>
      <c r="H136" s="13">
        <f t="shared" si="14"/>
        <v>-5987.7549999999992</v>
      </c>
      <c r="I136" s="14">
        <f t="shared" si="15"/>
        <v>-0.52375402147234429</v>
      </c>
      <c r="J136" s="38" t="s">
        <v>22</v>
      </c>
      <c r="K136" s="38" t="s">
        <v>29</v>
      </c>
    </row>
    <row r="137" spans="1:11" ht="15.75">
      <c r="A137" s="27" t="str">
        <v>Spaulding HS</v>
      </c>
      <c r="B137" s="28" t="str">
        <v>NH</v>
      </c>
      <c r="C137" s="10">
        <v>2486.1234915329801</v>
      </c>
      <c r="D137" s="15">
        <v>6531.7079999999996</v>
      </c>
      <c r="E137" s="15">
        <f t="shared" si="12"/>
        <v>-4045.5845084670195</v>
      </c>
      <c r="F137" s="16">
        <f t="shared" si="13"/>
        <v>-0.61937620427413775</v>
      </c>
      <c r="G137" s="17">
        <v>5447.299</v>
      </c>
      <c r="H137" s="17">
        <f t="shared" si="14"/>
        <v>-2961.1755084670199</v>
      </c>
      <c r="I137" s="16">
        <f t="shared" si="15"/>
        <v>-0.54360436400994694</v>
      </c>
      <c r="J137" s="39" t="s">
        <v>22</v>
      </c>
      <c r="K137" s="40" t="s">
        <v>29</v>
      </c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D1:F1"/>
    <mergeCell ref="A1:C1"/>
    <mergeCell ref="G1:I1"/>
    <mergeCell ref="A2:B2"/>
  </mergeCells>
  <conditionalFormatting sqref="F2 I2">
    <cfRule type="cellIs" dxfId="50" priority="8" stopIfTrue="1" operator="lessThanOrEqual">
      <formula>-0.1</formula>
    </cfRule>
    <cfRule type="expression" dxfId="49" priority="9">
      <formula>AND(ISNUMBER(F2), F2&gt;=0.1)</formula>
    </cfRule>
  </conditionalFormatting>
  <conditionalFormatting sqref="F4:F137 I4:I137">
    <cfRule type="cellIs" dxfId="48" priority="1" stopIfTrue="1" operator="lessThanOrEqual">
      <formula>-0.1</formula>
    </cfRule>
    <cfRule type="expression" dxfId="4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tabSelected="1" zoomScale="70" zoomScaleNormal="70" workbookViewId="0">
      <pane xSplit="2" ySplit="3" topLeftCell="C73" activePane="bottomRight" state="frozen"/>
      <selection pane="bottomRight" activeCell="J80" sqref="J8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110.28515625" style="56" customWidth="1"/>
    <col min="11" max="11" width="30.42578125" customWidth="1"/>
  </cols>
  <sheetData>
    <row r="1" spans="1:11" ht="15">
      <c r="A1" s="67" t="str" cm="1">
        <f t="array" ref="A1">portfolio</f>
        <v>Generate Capital</v>
      </c>
      <c r="B1" s="67"/>
      <c r="C1" s="67"/>
      <c r="D1" s="68" t="s">
        <v>124</v>
      </c>
      <c r="E1" s="68"/>
      <c r="F1" s="68"/>
      <c r="G1" s="66" t="s">
        <v>125</v>
      </c>
      <c r="H1" s="66"/>
      <c r="I1" s="66"/>
      <c r="J1" s="52"/>
      <c r="K1" s="5"/>
    </row>
    <row r="2" spans="1:11" ht="15">
      <c r="A2" s="69" t="s">
        <v>2</v>
      </c>
      <c r="B2" s="69"/>
      <c r="C2" s="6">
        <f>SUM(C4:C137)</f>
        <v>16791596.324729182</v>
      </c>
      <c r="D2" s="6">
        <f>SUM(D4:D137)</f>
        <v>6681816.9851000011</v>
      </c>
      <c r="E2" s="6">
        <f>C2-D2</f>
        <v>10109779.339629181</v>
      </c>
      <c r="F2" s="7">
        <f>IFERROR(E2/D2, 0)</f>
        <v>1.5130284714731492</v>
      </c>
      <c r="G2" s="6">
        <f>SUM(G4:G137)</f>
        <v>11065785.448600005</v>
      </c>
      <c r="H2" s="8">
        <f>C2-G2</f>
        <v>5725810.8761291765</v>
      </c>
      <c r="I2" s="7">
        <f>IFERROR(H2/G2, 0)</f>
        <v>0.51743375133426073</v>
      </c>
      <c r="J2" s="53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5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54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>
        <v>10378.094243421099</v>
      </c>
      <c r="D4" s="11">
        <v>7847.527</v>
      </c>
      <c r="E4" s="11">
        <f>IF(AND(ISNUMBER(C4),ISNUMBER(D4)), C4-D4, "")</f>
        <v>2530.5672434210992</v>
      </c>
      <c r="F4" s="12">
        <f>IFERROR(E4/D4, "")</f>
        <v>0.32246684126363617</v>
      </c>
      <c r="G4" s="13">
        <v>10339.17</v>
      </c>
      <c r="H4" s="13">
        <f>IF(AND(ISNUMBER(C4),ISNUMBER(G4)), C4-G4, "")</f>
        <v>38.924243421099163</v>
      </c>
      <c r="I4" s="14">
        <f>IFERROR(H4/G4, "")</f>
        <v>3.7647357980475382E-3</v>
      </c>
      <c r="J4" s="55"/>
      <c r="K4" s="38"/>
    </row>
    <row r="5" spans="1:11" ht="28.5">
      <c r="A5" s="27" t="str">
        <v>Fulton</v>
      </c>
      <c r="B5" s="28" t="str">
        <v>AZ</v>
      </c>
      <c r="C5" s="10">
        <v>30613.5</v>
      </c>
      <c r="D5" s="15">
        <v>35548.239999999998</v>
      </c>
      <c r="E5" s="15">
        <f t="shared" ref="E5:E15" si="0">IF(AND(ISNUMBER(C5),ISNUMBER(D5)), C5-D5, "")</f>
        <v>-4934.739999999998</v>
      </c>
      <c r="F5" s="16">
        <f>IFERROR(E5/D5, "")</f>
        <v>-0.13881812432908067</v>
      </c>
      <c r="G5" s="17">
        <v>40290</v>
      </c>
      <c r="H5" s="17">
        <f t="shared" ref="H5:H15" si="1">IF(AND(ISNUMBER(C5),ISNUMBER(G5)), C5-G5, "")</f>
        <v>-9676.5</v>
      </c>
      <c r="I5" s="16">
        <f t="shared" ref="I5:I15" si="2">IFERROR(H5/G5, "")</f>
        <v>-0.24017125837676842</v>
      </c>
      <c r="J5" s="57" t="s">
        <v>126</v>
      </c>
      <c r="K5" s="57" t="s">
        <v>127</v>
      </c>
    </row>
    <row r="6" spans="1:11" ht="15.75">
      <c r="A6" s="25" t="str">
        <v>JFK Elementary</v>
      </c>
      <c r="B6" s="26" t="str">
        <v>AZ</v>
      </c>
      <c r="C6" s="21">
        <v>16543.18</v>
      </c>
      <c r="D6" s="11">
        <v>0</v>
      </c>
      <c r="E6" s="11">
        <f t="shared" si="0"/>
        <v>16543.18</v>
      </c>
      <c r="F6" s="12" t="str">
        <f t="shared" ref="F6:F15" si="3">IFERROR(E6/D6, "")</f>
        <v/>
      </c>
      <c r="G6" s="13">
        <v>1876</v>
      </c>
      <c r="H6" s="13">
        <f t="shared" si="1"/>
        <v>14667.18</v>
      </c>
      <c r="I6" s="14">
        <f t="shared" si="2"/>
        <v>7.8183262260127933</v>
      </c>
      <c r="J6" s="58"/>
      <c r="K6" s="59"/>
    </row>
    <row r="7" spans="1:11" ht="15.75">
      <c r="A7" s="27" t="str">
        <v>Noble</v>
      </c>
      <c r="B7" s="28" t="str">
        <v>AZ</v>
      </c>
      <c r="C7" s="10">
        <v>9896.6511571287392</v>
      </c>
      <c r="D7" s="15">
        <v>13290.27</v>
      </c>
      <c r="E7" s="15">
        <f t="shared" si="0"/>
        <v>-3393.6188428712612</v>
      </c>
      <c r="F7" s="16">
        <f t="shared" si="3"/>
        <v>-0.25534611733781637</v>
      </c>
      <c r="G7" s="17">
        <v>10566.75</v>
      </c>
      <c r="H7" s="17">
        <f t="shared" si="1"/>
        <v>-670.09884287126079</v>
      </c>
      <c r="I7" s="16">
        <f t="shared" si="2"/>
        <v>-6.3415794153477728E-2</v>
      </c>
      <c r="J7" s="57"/>
      <c r="K7" s="60"/>
    </row>
    <row r="8" spans="1:11" ht="15.75">
      <c r="A8" s="25" t="str">
        <v>Parking 3</v>
      </c>
      <c r="B8" s="26" t="str">
        <v>AZ</v>
      </c>
      <c r="C8" s="21">
        <v>24635.19</v>
      </c>
      <c r="D8" s="11">
        <v>26794.79</v>
      </c>
      <c r="E8" s="11">
        <f t="shared" si="0"/>
        <v>-2159.6000000000022</v>
      </c>
      <c r="F8" s="12">
        <f t="shared" si="3"/>
        <v>-8.0597757996983821E-2</v>
      </c>
      <c r="G8" s="13">
        <v>25826.39</v>
      </c>
      <c r="H8" s="13">
        <f t="shared" si="1"/>
        <v>-1191.2000000000007</v>
      </c>
      <c r="I8" s="14">
        <f t="shared" si="2"/>
        <v>-4.6123364512035976E-2</v>
      </c>
      <c r="J8" s="58" t="s">
        <v>128</v>
      </c>
      <c r="K8" s="59" t="s">
        <v>129</v>
      </c>
    </row>
    <row r="9" spans="1:11" ht="15.75">
      <c r="A9" s="27" t="str">
        <v>PE East</v>
      </c>
      <c r="B9" s="28" t="str">
        <v>AZ</v>
      </c>
      <c r="C9" s="10">
        <v>23621.417332634799</v>
      </c>
      <c r="D9" s="15">
        <v>18394.21</v>
      </c>
      <c r="E9" s="15">
        <f t="shared" si="0"/>
        <v>5227.2073326348</v>
      </c>
      <c r="F9" s="16">
        <f t="shared" si="3"/>
        <v>0.28417677805324609</v>
      </c>
      <c r="G9" s="17">
        <v>24794.87</v>
      </c>
      <c r="H9" s="17">
        <f t="shared" si="1"/>
        <v>-1173.4526673651999</v>
      </c>
      <c r="I9" s="16">
        <f t="shared" si="2"/>
        <v>-4.7326429514056738E-2</v>
      </c>
      <c r="J9" s="57"/>
      <c r="K9" s="60"/>
    </row>
    <row r="10" spans="1:11" ht="15.75">
      <c r="A10" s="25" t="str">
        <v>Schwada</v>
      </c>
      <c r="B10" s="26" t="str">
        <v>AZ</v>
      </c>
      <c r="C10" s="21">
        <v>10153.304277221199</v>
      </c>
      <c r="D10" s="11">
        <v>7717.9830000000002</v>
      </c>
      <c r="E10" s="11">
        <f t="shared" si="0"/>
        <v>2435.3212772211991</v>
      </c>
      <c r="F10" s="12">
        <f t="shared" si="3"/>
        <v>0.31553856457330876</v>
      </c>
      <c r="G10" s="13">
        <v>10882</v>
      </c>
      <c r="H10" s="13">
        <f t="shared" si="1"/>
        <v>-728.6957227788007</v>
      </c>
      <c r="I10" s="14">
        <f t="shared" si="2"/>
        <v>-6.6963400365631379E-2</v>
      </c>
      <c r="J10" s="58"/>
      <c r="K10" s="59"/>
    </row>
    <row r="11" spans="1:11" s="50" customFormat="1" ht="15.75">
      <c r="A11" s="44" t="str">
        <v>Starshine</v>
      </c>
      <c r="B11" s="45" t="str">
        <v>AZ</v>
      </c>
      <c r="C11" s="46">
        <v>3146.5940000000001</v>
      </c>
      <c r="D11" s="47">
        <v>0</v>
      </c>
      <c r="E11" s="47">
        <f t="shared" si="0"/>
        <v>3146.5940000000001</v>
      </c>
      <c r="F11" s="48" t="str">
        <f t="shared" si="3"/>
        <v/>
      </c>
      <c r="G11" s="49">
        <v>0</v>
      </c>
      <c r="H11" s="49">
        <f t="shared" si="1"/>
        <v>3146.5940000000001</v>
      </c>
      <c r="I11" s="48" t="str">
        <f t="shared" si="2"/>
        <v/>
      </c>
      <c r="J11" s="61" t="s">
        <v>130</v>
      </c>
      <c r="K11" s="62" t="s">
        <v>131</v>
      </c>
    </row>
    <row r="12" spans="1:11" ht="15.75">
      <c r="A12" s="25" t="str">
        <v>Yuma Airport</v>
      </c>
      <c r="B12" s="26" t="str">
        <v>AZ</v>
      </c>
      <c r="C12" s="21">
        <v>64193</v>
      </c>
      <c r="D12" s="11">
        <v>78368.52</v>
      </c>
      <c r="E12" s="11">
        <f t="shared" si="0"/>
        <v>-14175.520000000004</v>
      </c>
      <c r="F12" s="12">
        <f t="shared" si="3"/>
        <v>-0.18088283407674413</v>
      </c>
      <c r="G12" s="13">
        <v>63360</v>
      </c>
      <c r="H12" s="13">
        <f t="shared" si="1"/>
        <v>833</v>
      </c>
      <c r="I12" s="14">
        <f t="shared" si="2"/>
        <v>1.3147095959595959E-2</v>
      </c>
      <c r="J12" s="58"/>
      <c r="K12" s="59"/>
    </row>
    <row r="13" spans="1:11" ht="15.75">
      <c r="A13" s="27" t="str">
        <v>Kinsman</v>
      </c>
      <c r="B13" s="28" t="str">
        <v>OH</v>
      </c>
      <c r="C13" s="10">
        <v>84185.890625</v>
      </c>
      <c r="D13" s="15">
        <v>115574.5</v>
      </c>
      <c r="E13" s="15">
        <f t="shared" si="0"/>
        <v>-31388.609375</v>
      </c>
      <c r="F13" s="16">
        <f t="shared" si="3"/>
        <v>-0.27158767180476662</v>
      </c>
      <c r="G13" s="17">
        <v>65827</v>
      </c>
      <c r="H13" s="17">
        <f t="shared" si="1"/>
        <v>18358.890625</v>
      </c>
      <c r="I13" s="16">
        <f t="shared" si="2"/>
        <v>0.27889605519011956</v>
      </c>
      <c r="J13" s="57"/>
      <c r="K13" s="60"/>
    </row>
    <row r="14" spans="1:11" ht="15.75">
      <c r="A14" s="25" t="str">
        <v>Wooster</v>
      </c>
      <c r="B14" s="26" t="str">
        <v>OH</v>
      </c>
      <c r="C14" s="21">
        <v>16957.75</v>
      </c>
      <c r="D14" s="11">
        <v>0</v>
      </c>
      <c r="E14" s="11">
        <f t="shared" si="0"/>
        <v>16957.75</v>
      </c>
      <c r="F14" s="12" t="str">
        <f t="shared" si="3"/>
        <v/>
      </c>
      <c r="G14" s="13">
        <v>14218</v>
      </c>
      <c r="H14" s="13">
        <f t="shared" si="1"/>
        <v>2739.75</v>
      </c>
      <c r="I14" s="14">
        <f t="shared" si="2"/>
        <v>0.19269587846391897</v>
      </c>
      <c r="J14" s="58"/>
      <c r="K14" s="59"/>
    </row>
    <row r="15" spans="1:11" ht="15.75">
      <c r="A15" s="27" t="str">
        <v>Globe Gila CC</v>
      </c>
      <c r="B15" s="28" t="str">
        <v>AZ</v>
      </c>
      <c r="C15" s="10">
        <v>11714.4420394031</v>
      </c>
      <c r="D15" s="15">
        <v>0</v>
      </c>
      <c r="E15" s="15">
        <f t="shared" si="0"/>
        <v>11714.4420394031</v>
      </c>
      <c r="F15" s="16" t="str">
        <f t="shared" si="3"/>
        <v/>
      </c>
      <c r="G15" s="17">
        <v>10665</v>
      </c>
      <c r="H15" s="17">
        <f t="shared" si="1"/>
        <v>1049.4420394031004</v>
      </c>
      <c r="I15" s="16">
        <f t="shared" si="2"/>
        <v>9.8400566282522306E-2</v>
      </c>
      <c r="J15" s="57"/>
      <c r="K15" s="60"/>
    </row>
    <row r="16" spans="1:11" ht="15.75">
      <c r="A16" s="25" t="str">
        <v>Payson Gila CC</v>
      </c>
      <c r="B16" s="26" t="str">
        <v>AZ</v>
      </c>
      <c r="C16" s="21">
        <v>7699.9745473954799</v>
      </c>
      <c r="D16" s="11">
        <v>0</v>
      </c>
      <c r="E16" s="11">
        <f t="shared" ref="E16:E17" si="4">IF(AND(ISNUMBER(C16),ISNUMBER(D16)), C16-D16, "")</f>
        <v>7699.9745473954799</v>
      </c>
      <c r="F16" s="12" t="str">
        <f t="shared" ref="F16:F17" si="5">IFERROR(E16/D16, "")</f>
        <v/>
      </c>
      <c r="G16" s="13">
        <v>9141</v>
      </c>
      <c r="H16" s="13">
        <f t="shared" ref="H16:H17" si="6">IF(AND(ISNUMBER(C16),ISNUMBER(G16)), C16-G16, "")</f>
        <v>-1441.0254526045201</v>
      </c>
      <c r="I16" s="14">
        <f t="shared" ref="I16:I17" si="7">IFERROR(H16/G16, "")</f>
        <v>-0.15764418035275354</v>
      </c>
      <c r="J16" s="58"/>
      <c r="K16" s="59"/>
    </row>
    <row r="17" spans="1:11" ht="15.75">
      <c r="A17" s="27" t="str">
        <v>SCNM</v>
      </c>
      <c r="B17" s="28" t="str">
        <v>AZ</v>
      </c>
      <c r="C17" s="10">
        <v>56041.06</v>
      </c>
      <c r="D17" s="15">
        <v>0</v>
      </c>
      <c r="E17" s="15">
        <f t="shared" si="4"/>
        <v>56041.06</v>
      </c>
      <c r="F17" s="16" t="str">
        <f t="shared" si="5"/>
        <v/>
      </c>
      <c r="G17" s="17">
        <v>27038</v>
      </c>
      <c r="H17" s="17">
        <f t="shared" si="6"/>
        <v>29003.059999999998</v>
      </c>
      <c r="I17" s="16">
        <f t="shared" si="7"/>
        <v>1.0726777128485834</v>
      </c>
      <c r="J17" s="57" t="s">
        <v>132</v>
      </c>
      <c r="K17" s="60" t="s">
        <v>133</v>
      </c>
    </row>
    <row r="18" spans="1:11" ht="15.75">
      <c r="A18" s="25" t="str">
        <v>Sequoia Charter School</v>
      </c>
      <c r="B18" s="26" t="str">
        <v>AZ</v>
      </c>
      <c r="C18" s="21">
        <v>25607.37</v>
      </c>
      <c r="D18" s="11">
        <v>0</v>
      </c>
      <c r="E18" s="11">
        <f t="shared" ref="E18:E81" si="8">IF(AND(ISNUMBER(C18),ISNUMBER(D18)), C18-D18, "")</f>
        <v>25607.37</v>
      </c>
      <c r="F18" s="12" t="str">
        <f t="shared" ref="F18:F81" si="9">IFERROR(E18/D18, "")</f>
        <v/>
      </c>
      <c r="G18" s="13">
        <v>8900</v>
      </c>
      <c r="H18" s="13">
        <f t="shared" ref="H18:H81" si="10">IF(AND(ISNUMBER(C18),ISNUMBER(G18)), C18-G18, "")</f>
        <v>16707.37</v>
      </c>
      <c r="I18" s="14">
        <f t="shared" ref="I18:I81" si="11">IFERROR(H18/G18, "")</f>
        <v>1.8772325842696629</v>
      </c>
      <c r="J18" s="58"/>
      <c r="K18" s="59"/>
    </row>
    <row r="19" spans="1:11" ht="15.75">
      <c r="A19" s="27" t="str">
        <v>RCAB</v>
      </c>
      <c r="B19" s="28" t="str">
        <v>MA</v>
      </c>
      <c r="C19" s="10">
        <v>63236</v>
      </c>
      <c r="D19" s="15">
        <v>78953.95</v>
      </c>
      <c r="E19" s="15">
        <f t="shared" si="8"/>
        <v>-15717.949999999997</v>
      </c>
      <c r="F19" s="16">
        <f t="shared" si="9"/>
        <v>-0.19907743691100949</v>
      </c>
      <c r="G19" s="17">
        <v>64151.06</v>
      </c>
      <c r="H19" s="17">
        <f t="shared" si="10"/>
        <v>-915.05999999999767</v>
      </c>
      <c r="I19" s="16">
        <f t="shared" si="11"/>
        <v>-1.4264144661054669E-2</v>
      </c>
      <c r="J19" s="57"/>
      <c r="K19" s="60"/>
    </row>
    <row r="20" spans="1:11" ht="28.5">
      <c r="A20" s="25" t="str">
        <v>Spectro Coatings</v>
      </c>
      <c r="B20" s="26" t="str">
        <v>MA</v>
      </c>
      <c r="C20" s="21">
        <v>11878.5</v>
      </c>
      <c r="D20" s="11">
        <v>25057.18</v>
      </c>
      <c r="E20" s="11">
        <f t="shared" si="8"/>
        <v>-13178.68</v>
      </c>
      <c r="F20" s="12">
        <f t="shared" si="9"/>
        <v>-0.52594426028786956</v>
      </c>
      <c r="G20" s="13">
        <v>16839.5</v>
      </c>
      <c r="H20" s="13">
        <f t="shared" si="10"/>
        <v>-4961</v>
      </c>
      <c r="I20" s="14">
        <f t="shared" si="11"/>
        <v>-0.29460494670269305</v>
      </c>
      <c r="J20" s="58" t="s">
        <v>134</v>
      </c>
      <c r="K20" s="59" t="s">
        <v>135</v>
      </c>
    </row>
    <row r="21" spans="1:11" ht="15.75">
      <c r="A21" s="27" t="str">
        <v>K026</v>
      </c>
      <c r="B21" s="28" t="str">
        <v>NY</v>
      </c>
      <c r="C21" s="10">
        <v>14883.333433014501</v>
      </c>
      <c r="D21" s="15">
        <v>23285.08</v>
      </c>
      <c r="E21" s="15">
        <f t="shared" si="8"/>
        <v>-8401.746566985501</v>
      </c>
      <c r="F21" s="16">
        <f t="shared" si="9"/>
        <v>-0.36082103076242383</v>
      </c>
      <c r="G21" s="17">
        <v>23184.85</v>
      </c>
      <c r="H21" s="17">
        <f t="shared" si="10"/>
        <v>-8301.5165669854978</v>
      </c>
      <c r="I21" s="16">
        <f t="shared" si="11"/>
        <v>-0.35805780787822644</v>
      </c>
      <c r="J21" s="57"/>
      <c r="K21" s="60"/>
    </row>
    <row r="22" spans="1:11" ht="15.75">
      <c r="A22" s="25" t="str">
        <v>K041</v>
      </c>
      <c r="B22" s="26" t="str">
        <v>NY</v>
      </c>
      <c r="C22" s="21">
        <v>12699.726000000001</v>
      </c>
      <c r="D22" s="11">
        <v>0</v>
      </c>
      <c r="E22" s="11">
        <f t="shared" si="8"/>
        <v>12699.726000000001</v>
      </c>
      <c r="F22" s="12" t="str">
        <f t="shared" si="9"/>
        <v/>
      </c>
      <c r="G22" s="13">
        <v>0</v>
      </c>
      <c r="H22" s="13">
        <f t="shared" si="10"/>
        <v>12699.726000000001</v>
      </c>
      <c r="I22" s="14" t="str">
        <f t="shared" si="11"/>
        <v/>
      </c>
      <c r="J22" s="58"/>
      <c r="K22" s="59"/>
    </row>
    <row r="23" spans="1:11" ht="15.75">
      <c r="A23" s="27" t="str">
        <v>K043</v>
      </c>
      <c r="B23" s="28" t="str">
        <v>NY</v>
      </c>
      <c r="C23" s="10">
        <v>13738.875</v>
      </c>
      <c r="D23" s="15">
        <v>19314.28</v>
      </c>
      <c r="E23" s="15">
        <f t="shared" si="8"/>
        <v>-5575.4049999999988</v>
      </c>
      <c r="F23" s="16">
        <f t="shared" si="9"/>
        <v>-0.28866750404364022</v>
      </c>
      <c r="G23" s="17">
        <v>24182</v>
      </c>
      <c r="H23" s="17">
        <f t="shared" si="10"/>
        <v>-10443.125</v>
      </c>
      <c r="I23" s="16">
        <f t="shared" si="11"/>
        <v>-0.43185530559920604</v>
      </c>
      <c r="J23" s="57"/>
      <c r="K23" s="60"/>
    </row>
    <row r="24" spans="1:11" ht="15.75">
      <c r="A24" s="25" t="str">
        <v>K058</v>
      </c>
      <c r="B24" s="26" t="str">
        <v>NY</v>
      </c>
      <c r="C24" s="21">
        <v>11751.8125</v>
      </c>
      <c r="D24" s="11">
        <v>16058.48</v>
      </c>
      <c r="E24" s="11">
        <f t="shared" si="8"/>
        <v>-4306.6674999999996</v>
      </c>
      <c r="F24" s="12">
        <f t="shared" si="9"/>
        <v>-0.26818649710308817</v>
      </c>
      <c r="G24" s="13">
        <v>15926.33</v>
      </c>
      <c r="H24" s="13">
        <f t="shared" si="10"/>
        <v>-4174.5174999999999</v>
      </c>
      <c r="I24" s="14">
        <f t="shared" si="11"/>
        <v>-0.26211421589280143</v>
      </c>
      <c r="J24" s="58"/>
      <c r="K24" s="59"/>
    </row>
    <row r="25" spans="1:11" ht="15.75">
      <c r="A25" s="27" t="str">
        <v>K115</v>
      </c>
      <c r="B25" s="28" t="str">
        <v>NY</v>
      </c>
      <c r="C25" s="10">
        <v>2969.1286536069601</v>
      </c>
      <c r="D25" s="15">
        <v>8398.1460000000006</v>
      </c>
      <c r="E25" s="15">
        <f t="shared" si="8"/>
        <v>-5429.0173463930405</v>
      </c>
      <c r="F25" s="16">
        <f t="shared" si="9"/>
        <v>-0.64645427054888549</v>
      </c>
      <c r="G25" s="17">
        <v>5544.3429999999998</v>
      </c>
      <c r="H25" s="17">
        <f t="shared" si="10"/>
        <v>-2575.2143463930397</v>
      </c>
      <c r="I25" s="16">
        <f t="shared" si="11"/>
        <v>-0.46447601571422253</v>
      </c>
      <c r="J25" s="57" t="s">
        <v>34</v>
      </c>
      <c r="K25" s="60" t="s">
        <v>35</v>
      </c>
    </row>
    <row r="26" spans="1:11" ht="15.75">
      <c r="A26" s="25" t="str">
        <v>K152</v>
      </c>
      <c r="B26" s="26" t="str">
        <v>NY</v>
      </c>
      <c r="C26" s="21">
        <v>4632.078125</v>
      </c>
      <c r="D26" s="11">
        <v>5853.1670000000004</v>
      </c>
      <c r="E26" s="11">
        <f t="shared" si="8"/>
        <v>-1221.0888750000004</v>
      </c>
      <c r="F26" s="12">
        <f t="shared" si="9"/>
        <v>-0.20862020082461347</v>
      </c>
      <c r="G26" s="13">
        <v>1081</v>
      </c>
      <c r="H26" s="13">
        <f t="shared" si="10"/>
        <v>3551.078125</v>
      </c>
      <c r="I26" s="14">
        <f t="shared" si="11"/>
        <v>3.2849936401480111</v>
      </c>
      <c r="J26" s="58"/>
      <c r="K26" s="59"/>
    </row>
    <row r="27" spans="1:11" ht="15.75">
      <c r="A27" s="27" t="str">
        <v>K166</v>
      </c>
      <c r="B27" s="28" t="str">
        <v>NY</v>
      </c>
      <c r="C27" s="10">
        <v>16586.375</v>
      </c>
      <c r="D27" s="15">
        <v>22508.54</v>
      </c>
      <c r="E27" s="15">
        <f t="shared" si="8"/>
        <v>-5922.1650000000009</v>
      </c>
      <c r="F27" s="16">
        <f t="shared" si="9"/>
        <v>-0.26310746943160246</v>
      </c>
      <c r="G27" s="17">
        <v>23922.34</v>
      </c>
      <c r="H27" s="17">
        <f t="shared" si="10"/>
        <v>-7335.9650000000001</v>
      </c>
      <c r="I27" s="16">
        <f t="shared" si="11"/>
        <v>-0.30665750089665139</v>
      </c>
      <c r="J27" s="57"/>
      <c r="K27" s="60"/>
    </row>
    <row r="28" spans="1:11" ht="15.75">
      <c r="A28" s="25" t="str">
        <v>K206</v>
      </c>
      <c r="B28" s="26" t="str">
        <v>NY</v>
      </c>
      <c r="C28" s="21">
        <v>9460.9240000000009</v>
      </c>
      <c r="D28" s="11">
        <v>0</v>
      </c>
      <c r="E28" s="11">
        <f t="shared" si="8"/>
        <v>9460.9240000000009</v>
      </c>
      <c r="F28" s="12" t="str">
        <f t="shared" si="9"/>
        <v/>
      </c>
      <c r="G28" s="13">
        <v>0</v>
      </c>
      <c r="H28" s="13">
        <f t="shared" si="10"/>
        <v>9460.9240000000009</v>
      </c>
      <c r="I28" s="14" t="str">
        <f t="shared" si="11"/>
        <v/>
      </c>
      <c r="J28" s="58"/>
      <c r="K28" s="59"/>
    </row>
    <row r="29" spans="1:11" ht="15.75">
      <c r="A29" s="27" t="str">
        <v>K251</v>
      </c>
      <c r="B29" s="28" t="str">
        <v>NY</v>
      </c>
      <c r="C29" s="10">
        <v>10884.625</v>
      </c>
      <c r="D29" s="15">
        <v>14018.29</v>
      </c>
      <c r="E29" s="15">
        <f t="shared" si="8"/>
        <v>-3133.6650000000009</v>
      </c>
      <c r="F29" s="16">
        <f t="shared" si="9"/>
        <v>-0.22354117370948959</v>
      </c>
      <c r="G29" s="17">
        <v>12921.92</v>
      </c>
      <c r="H29" s="17">
        <f t="shared" si="10"/>
        <v>-2037.2950000000001</v>
      </c>
      <c r="I29" s="16">
        <f t="shared" si="11"/>
        <v>-0.15766194187860627</v>
      </c>
      <c r="J29" s="57"/>
      <c r="K29" s="60"/>
    </row>
    <row r="30" spans="1:11" ht="15.75">
      <c r="A30" s="25" t="str">
        <v>K269</v>
      </c>
      <c r="B30" s="26" t="str">
        <v>NY</v>
      </c>
      <c r="C30" s="21">
        <v>9933.21875</v>
      </c>
      <c r="D30" s="11">
        <v>0</v>
      </c>
      <c r="E30" s="11">
        <f t="shared" si="8"/>
        <v>9933.21875</v>
      </c>
      <c r="F30" s="12" t="str">
        <f t="shared" si="9"/>
        <v/>
      </c>
      <c r="G30" s="13">
        <v>14500.27</v>
      </c>
      <c r="H30" s="13">
        <f t="shared" si="10"/>
        <v>-4567.0512500000004</v>
      </c>
      <c r="I30" s="14">
        <f t="shared" si="11"/>
        <v>-0.31496318689238201</v>
      </c>
      <c r="J30" s="58"/>
      <c r="K30" s="59"/>
    </row>
    <row r="31" spans="1:11" ht="15.75">
      <c r="A31" s="27" t="str">
        <v>K273</v>
      </c>
      <c r="B31" s="28" t="str">
        <v>NY</v>
      </c>
      <c r="C31" s="10">
        <v>10966.5625</v>
      </c>
      <c r="D31" s="15">
        <v>0</v>
      </c>
      <c r="E31" s="15">
        <f t="shared" si="8"/>
        <v>10966.5625</v>
      </c>
      <c r="F31" s="16" t="str">
        <f t="shared" si="9"/>
        <v/>
      </c>
      <c r="G31" s="17">
        <v>14879</v>
      </c>
      <c r="H31" s="17">
        <f t="shared" si="10"/>
        <v>-3912.4375</v>
      </c>
      <c r="I31" s="16">
        <f t="shared" si="11"/>
        <v>-0.26295029907923917</v>
      </c>
      <c r="J31" s="57"/>
      <c r="K31" s="60"/>
    </row>
    <row r="32" spans="1:11" ht="15.75">
      <c r="A32" s="25" t="str">
        <v>K287</v>
      </c>
      <c r="B32" s="26" t="str">
        <v>NY</v>
      </c>
      <c r="C32" s="21">
        <v>8921.2469531250008</v>
      </c>
      <c r="D32" s="11">
        <v>10128.11</v>
      </c>
      <c r="E32" s="11">
        <f t="shared" si="8"/>
        <v>-1206.8630468749998</v>
      </c>
      <c r="F32" s="12">
        <f t="shared" si="9"/>
        <v>-0.11915974914125139</v>
      </c>
      <c r="G32" s="13">
        <v>0</v>
      </c>
      <c r="H32" s="13">
        <f t="shared" si="10"/>
        <v>8921.2469531250008</v>
      </c>
      <c r="I32" s="14" t="str">
        <f t="shared" si="11"/>
        <v/>
      </c>
      <c r="J32" s="58"/>
      <c r="K32" s="59"/>
    </row>
    <row r="33" spans="1:11" ht="15.75">
      <c r="A33" s="27" t="str">
        <v>K298</v>
      </c>
      <c r="B33" s="28" t="str">
        <v>NY</v>
      </c>
      <c r="C33" s="10">
        <v>8100.8125</v>
      </c>
      <c r="D33" s="15">
        <v>13207.68</v>
      </c>
      <c r="E33" s="15">
        <f t="shared" si="8"/>
        <v>-5106.8675000000003</v>
      </c>
      <c r="F33" s="16">
        <f t="shared" si="9"/>
        <v>-0.38665893631584047</v>
      </c>
      <c r="G33" s="17">
        <v>0</v>
      </c>
      <c r="H33" s="17">
        <f t="shared" si="10"/>
        <v>8100.8125</v>
      </c>
      <c r="I33" s="16" t="str">
        <f t="shared" si="11"/>
        <v/>
      </c>
      <c r="J33" s="57" t="s">
        <v>136</v>
      </c>
      <c r="K33" s="60" t="s">
        <v>137</v>
      </c>
    </row>
    <row r="34" spans="1:11" ht="15.75">
      <c r="A34" s="25" t="str">
        <v>K335</v>
      </c>
      <c r="B34" s="26" t="str">
        <v>NY</v>
      </c>
      <c r="C34" s="21">
        <v>9156.96875</v>
      </c>
      <c r="D34" s="11">
        <v>13942.97</v>
      </c>
      <c r="E34" s="11">
        <f t="shared" si="8"/>
        <v>-4786.0012499999993</v>
      </c>
      <c r="F34" s="12">
        <f t="shared" si="9"/>
        <v>-0.34325550797283505</v>
      </c>
      <c r="G34" s="13">
        <v>14555</v>
      </c>
      <c r="H34" s="13">
        <f t="shared" si="10"/>
        <v>-5398.03125</v>
      </c>
      <c r="I34" s="14">
        <f t="shared" si="11"/>
        <v>-0.37087126417038818</v>
      </c>
      <c r="J34" s="58"/>
      <c r="K34" s="59"/>
    </row>
    <row r="35" spans="1:11" ht="28.5">
      <c r="A35" s="27" t="str">
        <v>K345</v>
      </c>
      <c r="B35" s="28" t="str">
        <v>NY</v>
      </c>
      <c r="C35" s="10">
        <v>9252.7980664062507</v>
      </c>
      <c r="D35" s="15">
        <v>9601.5740000000005</v>
      </c>
      <c r="E35" s="15">
        <f t="shared" si="8"/>
        <v>-348.77593359374987</v>
      </c>
      <c r="F35" s="16">
        <f t="shared" si="9"/>
        <v>-3.6324870650765159E-2</v>
      </c>
      <c r="G35" s="17">
        <v>7610</v>
      </c>
      <c r="H35" s="17">
        <f t="shared" si="10"/>
        <v>1642.7980664062507</v>
      </c>
      <c r="I35" s="16">
        <f t="shared" si="11"/>
        <v>0.21587359611120246</v>
      </c>
      <c r="J35" s="57" t="s">
        <v>138</v>
      </c>
      <c r="K35" s="60" t="s">
        <v>139</v>
      </c>
    </row>
    <row r="36" spans="1:11" ht="15.75">
      <c r="A36" s="25" t="str">
        <v>K445</v>
      </c>
      <c r="B36" s="26" t="str">
        <v>NY</v>
      </c>
      <c r="C36" s="21">
        <v>9518.3829999999998</v>
      </c>
      <c r="D36" s="11">
        <v>0</v>
      </c>
      <c r="E36" s="11">
        <f t="shared" si="8"/>
        <v>9518.3829999999998</v>
      </c>
      <c r="F36" s="12" t="str">
        <f t="shared" si="9"/>
        <v/>
      </c>
      <c r="G36" s="13">
        <v>0</v>
      </c>
      <c r="H36" s="13">
        <f t="shared" si="10"/>
        <v>9518.3829999999998</v>
      </c>
      <c r="I36" s="14" t="str">
        <f t="shared" si="11"/>
        <v/>
      </c>
      <c r="J36" s="58"/>
      <c r="K36" s="59"/>
    </row>
    <row r="37" spans="1:11" ht="15.75">
      <c r="A37" s="27" t="str">
        <v>K495</v>
      </c>
      <c r="B37" s="28" t="str">
        <v>NY</v>
      </c>
      <c r="C37" s="10">
        <v>41137.3125</v>
      </c>
      <c r="D37" s="15">
        <v>0</v>
      </c>
      <c r="E37" s="15">
        <f t="shared" si="8"/>
        <v>41137.3125</v>
      </c>
      <c r="F37" s="16" t="str">
        <f t="shared" si="9"/>
        <v/>
      </c>
      <c r="G37" s="17">
        <v>0</v>
      </c>
      <c r="H37" s="17">
        <f t="shared" si="10"/>
        <v>41137.3125</v>
      </c>
      <c r="I37" s="16" t="str">
        <f t="shared" si="11"/>
        <v/>
      </c>
      <c r="J37" s="57" t="s">
        <v>140</v>
      </c>
      <c r="K37" s="60" t="s">
        <v>141</v>
      </c>
    </row>
    <row r="38" spans="1:11" ht="15.75">
      <c r="A38" s="25" t="str">
        <v>M020</v>
      </c>
      <c r="B38" s="26" t="str">
        <v>NY</v>
      </c>
      <c r="C38" s="21">
        <v>9899.21875</v>
      </c>
      <c r="D38" s="11">
        <v>8106.8879999999999</v>
      </c>
      <c r="E38" s="11">
        <f t="shared" si="8"/>
        <v>1792.3307500000001</v>
      </c>
      <c r="F38" s="12">
        <f t="shared" si="9"/>
        <v>0.22108739506454267</v>
      </c>
      <c r="G38" s="13">
        <v>0</v>
      </c>
      <c r="H38" s="13">
        <f t="shared" si="10"/>
        <v>9899.21875</v>
      </c>
      <c r="I38" s="14" t="str">
        <f t="shared" si="11"/>
        <v/>
      </c>
      <c r="J38" s="58"/>
      <c r="K38" s="59"/>
    </row>
    <row r="39" spans="1:11" ht="15.75">
      <c r="A39" s="27" t="str">
        <v>M092</v>
      </c>
      <c r="B39" s="28" t="str">
        <v>NY</v>
      </c>
      <c r="C39" s="10">
        <v>9074.4375</v>
      </c>
      <c r="D39" s="15">
        <v>13564.97</v>
      </c>
      <c r="E39" s="15">
        <f t="shared" si="8"/>
        <v>-4490.5324999999993</v>
      </c>
      <c r="F39" s="16">
        <f t="shared" si="9"/>
        <v>-0.33103888176678603</v>
      </c>
      <c r="G39" s="17">
        <v>14231.42</v>
      </c>
      <c r="H39" s="17">
        <f t="shared" si="10"/>
        <v>-5156.9825000000001</v>
      </c>
      <c r="I39" s="16">
        <f t="shared" si="11"/>
        <v>-0.36236598315558111</v>
      </c>
      <c r="J39" s="57"/>
      <c r="K39" s="60"/>
    </row>
    <row r="40" spans="1:11" ht="15.75">
      <c r="A40" s="25" t="str">
        <v>M143</v>
      </c>
      <c r="B40" s="26" t="str">
        <v>NY</v>
      </c>
      <c r="C40" s="21">
        <v>9946.8125</v>
      </c>
      <c r="D40" s="11">
        <v>15822.48</v>
      </c>
      <c r="E40" s="11">
        <f t="shared" si="8"/>
        <v>-5875.6674999999996</v>
      </c>
      <c r="F40" s="12">
        <f t="shared" si="9"/>
        <v>-0.37134933967367945</v>
      </c>
      <c r="G40" s="13">
        <v>18573.72</v>
      </c>
      <c r="H40" s="13">
        <f t="shared" si="10"/>
        <v>-8626.9075000000012</v>
      </c>
      <c r="I40" s="14">
        <f t="shared" si="11"/>
        <v>-0.46446848019675113</v>
      </c>
      <c r="J40" s="58"/>
      <c r="K40" s="59"/>
    </row>
    <row r="41" spans="1:11" ht="15.75">
      <c r="A41" s="27" t="str">
        <v>M144</v>
      </c>
      <c r="B41" s="28" t="str">
        <v>NY</v>
      </c>
      <c r="C41" s="10">
        <v>15594.5</v>
      </c>
      <c r="D41" s="15">
        <v>0</v>
      </c>
      <c r="E41" s="15">
        <f t="shared" si="8"/>
        <v>15594.5</v>
      </c>
      <c r="F41" s="16" t="str">
        <f t="shared" si="9"/>
        <v/>
      </c>
      <c r="G41" s="17">
        <v>0</v>
      </c>
      <c r="H41" s="17">
        <f t="shared" si="10"/>
        <v>15594.5</v>
      </c>
      <c r="I41" s="16" t="str">
        <f t="shared" si="11"/>
        <v/>
      </c>
      <c r="J41" s="57"/>
      <c r="K41" s="60"/>
    </row>
    <row r="42" spans="1:11" ht="28.5">
      <c r="A42" s="25" t="str">
        <v>M167</v>
      </c>
      <c r="B42" s="26" t="str">
        <v>NY</v>
      </c>
      <c r="C42" s="21">
        <v>10945.180405273401</v>
      </c>
      <c r="D42" s="11">
        <v>12895.85</v>
      </c>
      <c r="E42" s="11">
        <f t="shared" si="8"/>
        <v>-1950.6695947265998</v>
      </c>
      <c r="F42" s="12">
        <f t="shared" si="9"/>
        <v>-0.15126335950919093</v>
      </c>
      <c r="G42" s="13">
        <v>13415.56</v>
      </c>
      <c r="H42" s="13">
        <f t="shared" si="10"/>
        <v>-2470.379594726599</v>
      </c>
      <c r="I42" s="14">
        <f t="shared" si="11"/>
        <v>-0.18414286058327786</v>
      </c>
      <c r="J42" s="58" t="s">
        <v>142</v>
      </c>
      <c r="K42" s="59" t="s">
        <v>143</v>
      </c>
    </row>
    <row r="43" spans="1:11" ht="15.75">
      <c r="A43" s="27" t="str">
        <v>M188</v>
      </c>
      <c r="B43" s="28" t="str">
        <v>NY</v>
      </c>
      <c r="C43" s="10">
        <v>8728.4586718749797</v>
      </c>
      <c r="D43" s="15">
        <v>0</v>
      </c>
      <c r="E43" s="15">
        <f t="shared" si="8"/>
        <v>8728.4586718749797</v>
      </c>
      <c r="F43" s="16" t="str">
        <f t="shared" si="9"/>
        <v/>
      </c>
      <c r="G43" s="17">
        <v>0</v>
      </c>
      <c r="H43" s="17">
        <f t="shared" si="10"/>
        <v>8728.4586718749797</v>
      </c>
      <c r="I43" s="16" t="str">
        <f t="shared" si="11"/>
        <v/>
      </c>
      <c r="J43" s="57"/>
      <c r="K43" s="60"/>
    </row>
    <row r="44" spans="1:11" ht="15.75">
      <c r="A44" s="25" t="str">
        <v>EMHC</v>
      </c>
      <c r="B44" s="26" t="str">
        <v>NY</v>
      </c>
      <c r="C44" s="21">
        <v>2373.40241699219</v>
      </c>
      <c r="D44" s="11">
        <v>0</v>
      </c>
      <c r="E44" s="11">
        <f t="shared" si="8"/>
        <v>2373.40241699219</v>
      </c>
      <c r="F44" s="12" t="str">
        <f t="shared" si="9"/>
        <v/>
      </c>
      <c r="G44" s="13">
        <v>0</v>
      </c>
      <c r="H44" s="13">
        <f t="shared" si="10"/>
        <v>2373.40241699219</v>
      </c>
      <c r="I44" s="14" t="str">
        <f t="shared" si="11"/>
        <v/>
      </c>
      <c r="J44" s="58"/>
      <c r="K44" s="59"/>
    </row>
    <row r="45" spans="1:11" ht="15.75">
      <c r="A45" s="27" t="str">
        <v>Q008</v>
      </c>
      <c r="B45" s="28" t="str">
        <v>NY</v>
      </c>
      <c r="C45" s="10">
        <v>14341.1171875</v>
      </c>
      <c r="D45" s="15">
        <v>17495.71</v>
      </c>
      <c r="E45" s="15">
        <f t="shared" si="8"/>
        <v>-3154.5928124999991</v>
      </c>
      <c r="F45" s="16">
        <f t="shared" si="9"/>
        <v>-0.18030664731525609</v>
      </c>
      <c r="G45" s="17">
        <v>18089</v>
      </c>
      <c r="H45" s="17">
        <f t="shared" si="10"/>
        <v>-3747.8828125</v>
      </c>
      <c r="I45" s="16">
        <f t="shared" si="11"/>
        <v>-0.20719126610094532</v>
      </c>
      <c r="J45" s="57"/>
      <c r="K45" s="60"/>
    </row>
    <row r="46" spans="1:11" ht="15.75">
      <c r="A46" s="25" t="str">
        <v>Q018</v>
      </c>
      <c r="B46" s="26" t="str">
        <v>NY</v>
      </c>
      <c r="C46" s="21">
        <v>8095.6875</v>
      </c>
      <c r="D46" s="11">
        <v>12613.08</v>
      </c>
      <c r="E46" s="11">
        <f t="shared" si="8"/>
        <v>-4517.3924999999999</v>
      </c>
      <c r="F46" s="12">
        <f t="shared" si="9"/>
        <v>-0.35815141900313008</v>
      </c>
      <c r="G46" s="13">
        <v>12784.81</v>
      </c>
      <c r="H46" s="13">
        <f t="shared" si="10"/>
        <v>-4689.1224999999995</v>
      </c>
      <c r="I46" s="14">
        <f t="shared" si="11"/>
        <v>-0.36677295165121732</v>
      </c>
      <c r="J46" s="58"/>
      <c r="K46" s="59"/>
    </row>
    <row r="47" spans="1:11" ht="15.75">
      <c r="A47" s="27" t="str">
        <v>Q021</v>
      </c>
      <c r="B47" s="28" t="str">
        <v>NY</v>
      </c>
      <c r="C47" s="10">
        <v>6658.71875</v>
      </c>
      <c r="D47" s="15">
        <v>10734.29</v>
      </c>
      <c r="E47" s="15">
        <f t="shared" si="8"/>
        <v>-4075.5712500000009</v>
      </c>
      <c r="F47" s="16">
        <f t="shared" si="9"/>
        <v>-0.37967776629846972</v>
      </c>
      <c r="G47" s="17">
        <v>5480.9939999999997</v>
      </c>
      <c r="H47" s="17">
        <f t="shared" si="10"/>
        <v>1177.7247500000003</v>
      </c>
      <c r="I47" s="16">
        <f t="shared" si="11"/>
        <v>0.21487430017256001</v>
      </c>
      <c r="J47" s="57"/>
      <c r="K47" s="60"/>
    </row>
    <row r="48" spans="1:11" ht="15.75">
      <c r="A48" s="25" t="str">
        <v>Q025</v>
      </c>
      <c r="B48" s="26" t="str">
        <v>NY</v>
      </c>
      <c r="C48" s="21">
        <v>10992.375</v>
      </c>
      <c r="D48" s="11">
        <v>16909.419999999998</v>
      </c>
      <c r="E48" s="11">
        <f t="shared" si="8"/>
        <v>-5917.0449999999983</v>
      </c>
      <c r="F48" s="12">
        <f t="shared" si="9"/>
        <v>-0.34992595843027136</v>
      </c>
      <c r="G48" s="13">
        <v>9540</v>
      </c>
      <c r="H48" s="13">
        <f t="shared" si="10"/>
        <v>1452.375</v>
      </c>
      <c r="I48" s="14">
        <f t="shared" si="11"/>
        <v>0.15224056603773584</v>
      </c>
      <c r="J48" s="58"/>
      <c r="K48" s="59"/>
    </row>
    <row r="49" spans="1:11" ht="28.5">
      <c r="A49" s="27" t="str">
        <v>Q074</v>
      </c>
      <c r="B49" s="28" t="str">
        <v>NY</v>
      </c>
      <c r="C49" s="10">
        <v>6577.59375</v>
      </c>
      <c r="D49" s="15">
        <v>10436.129999999999</v>
      </c>
      <c r="E49" s="15">
        <f t="shared" si="8"/>
        <v>-3858.5362499999992</v>
      </c>
      <c r="F49" s="16">
        <f t="shared" si="9"/>
        <v>-0.36972864941314448</v>
      </c>
      <c r="G49" s="17">
        <v>10440.209999999999</v>
      </c>
      <c r="H49" s="17">
        <f t="shared" si="10"/>
        <v>-3862.6162499999991</v>
      </c>
      <c r="I49" s="16">
        <f t="shared" si="11"/>
        <v>-0.36997495740028213</v>
      </c>
      <c r="J49" s="57" t="s">
        <v>144</v>
      </c>
      <c r="K49" s="57" t="s">
        <v>145</v>
      </c>
    </row>
    <row r="50" spans="1:11" ht="15.75">
      <c r="A50" s="25" t="str">
        <v>Q115</v>
      </c>
      <c r="B50" s="26" t="str">
        <v>NY</v>
      </c>
      <c r="C50" s="21">
        <v>9157.21875</v>
      </c>
      <c r="D50" s="11">
        <v>15076.37</v>
      </c>
      <c r="E50" s="11">
        <f t="shared" si="8"/>
        <v>-5919.1512500000008</v>
      </c>
      <c r="F50" s="12">
        <f t="shared" si="9"/>
        <v>-0.39261116900155679</v>
      </c>
      <c r="G50" s="13">
        <v>14141.7</v>
      </c>
      <c r="H50" s="13">
        <f t="shared" si="10"/>
        <v>-4984.4812500000007</v>
      </c>
      <c r="I50" s="14">
        <f t="shared" si="11"/>
        <v>-0.35246690638324957</v>
      </c>
      <c r="J50" s="58"/>
      <c r="K50" s="59"/>
    </row>
    <row r="51" spans="1:11" ht="15.75">
      <c r="A51" s="27" t="str">
        <v>Q139</v>
      </c>
      <c r="B51" s="28" t="str">
        <v>NY</v>
      </c>
      <c r="C51" s="10">
        <v>5878.21875</v>
      </c>
      <c r="D51" s="15">
        <v>8344.6959999999999</v>
      </c>
      <c r="E51" s="15">
        <f t="shared" si="8"/>
        <v>-2466.4772499999999</v>
      </c>
      <c r="F51" s="16">
        <f t="shared" si="9"/>
        <v>-0.29557424860054815</v>
      </c>
      <c r="G51" s="17">
        <v>8025</v>
      </c>
      <c r="H51" s="17">
        <f t="shared" si="10"/>
        <v>-2146.78125</v>
      </c>
      <c r="I51" s="16">
        <f t="shared" si="11"/>
        <v>-0.26751168224299066</v>
      </c>
      <c r="J51" s="57"/>
      <c r="K51" s="60"/>
    </row>
    <row r="52" spans="1:11" ht="28.5">
      <c r="A52" s="25" t="str">
        <v>Q157</v>
      </c>
      <c r="B52" s="26" t="str">
        <v>NY</v>
      </c>
      <c r="C52" s="21">
        <v>9228.1875</v>
      </c>
      <c r="D52" s="11">
        <v>16163.48</v>
      </c>
      <c r="E52" s="11">
        <f t="shared" si="8"/>
        <v>-6935.2924999999996</v>
      </c>
      <c r="F52" s="12">
        <f t="shared" si="9"/>
        <v>-0.42907174073899929</v>
      </c>
      <c r="G52" s="13">
        <v>15359.34</v>
      </c>
      <c r="H52" s="13">
        <f t="shared" si="10"/>
        <v>-6131.1525000000001</v>
      </c>
      <c r="I52" s="14">
        <f t="shared" si="11"/>
        <v>-0.3991807265155925</v>
      </c>
      <c r="J52" s="58" t="s">
        <v>146</v>
      </c>
      <c r="K52" s="59" t="s">
        <v>147</v>
      </c>
    </row>
    <row r="53" spans="1:11" ht="15.75">
      <c r="A53" s="27" t="str">
        <v>Q192</v>
      </c>
      <c r="B53" s="28" t="str">
        <v>NY</v>
      </c>
      <c r="C53" s="10">
        <v>15802.6875</v>
      </c>
      <c r="D53" s="15">
        <v>24783.49</v>
      </c>
      <c r="E53" s="15">
        <f t="shared" si="8"/>
        <v>-8980.8025000000016</v>
      </c>
      <c r="F53" s="16">
        <f t="shared" si="9"/>
        <v>-0.36237037237289826</v>
      </c>
      <c r="G53" s="17">
        <v>21116.05</v>
      </c>
      <c r="H53" s="17">
        <f t="shared" si="10"/>
        <v>-5313.3624999999993</v>
      </c>
      <c r="I53" s="16">
        <f t="shared" si="11"/>
        <v>-0.25162672469519626</v>
      </c>
      <c r="J53" s="57"/>
      <c r="K53" s="60"/>
    </row>
    <row r="54" spans="1:11" ht="15.75">
      <c r="A54" s="25" t="str">
        <v>Q210</v>
      </c>
      <c r="B54" s="26" t="str">
        <v>NY</v>
      </c>
      <c r="C54" s="21">
        <v>12134.875</v>
      </c>
      <c r="D54" s="11">
        <v>17223.77</v>
      </c>
      <c r="E54" s="11">
        <f t="shared" si="8"/>
        <v>-5088.8950000000004</v>
      </c>
      <c r="F54" s="12">
        <f t="shared" si="9"/>
        <v>-0.29545767273947576</v>
      </c>
      <c r="G54" s="13">
        <v>18108</v>
      </c>
      <c r="H54" s="13">
        <f t="shared" si="10"/>
        <v>-5973.125</v>
      </c>
      <c r="I54" s="14">
        <f t="shared" si="11"/>
        <v>-0.3298611111111111</v>
      </c>
      <c r="J54" s="58" t="s">
        <v>148</v>
      </c>
      <c r="K54" s="59" t="s">
        <v>45</v>
      </c>
    </row>
    <row r="55" spans="1:11" ht="15.75">
      <c r="A55" s="27" t="str">
        <v>Q229</v>
      </c>
      <c r="B55" s="28" t="str">
        <v>NY</v>
      </c>
      <c r="C55" s="10">
        <v>5675.18749999994</v>
      </c>
      <c r="D55" s="15">
        <v>8021.049</v>
      </c>
      <c r="E55" s="15">
        <f t="shared" si="8"/>
        <v>-2345.86150000006</v>
      </c>
      <c r="F55" s="16">
        <f t="shared" si="9"/>
        <v>-0.29246318031470198</v>
      </c>
      <c r="G55" s="17">
        <v>8779.7330000000002</v>
      </c>
      <c r="H55" s="17">
        <f t="shared" si="10"/>
        <v>-3104.5455000000602</v>
      </c>
      <c r="I55" s="16">
        <f t="shared" si="11"/>
        <v>-0.35360363464356603</v>
      </c>
      <c r="J55" s="57"/>
      <c r="K55" s="60"/>
    </row>
    <row r="56" spans="1:11" ht="15.75">
      <c r="A56" s="25" t="str">
        <v>Q231</v>
      </c>
      <c r="B56" s="26" t="str">
        <v>NY</v>
      </c>
      <c r="C56" s="21">
        <v>22856.1875</v>
      </c>
      <c r="D56" s="11">
        <v>35658.61</v>
      </c>
      <c r="E56" s="11">
        <f t="shared" si="8"/>
        <v>-12802.422500000001</v>
      </c>
      <c r="F56" s="12">
        <f t="shared" si="9"/>
        <v>-0.35902752518956854</v>
      </c>
      <c r="G56" s="13">
        <v>0</v>
      </c>
      <c r="H56" s="13">
        <f t="shared" si="10"/>
        <v>22856.1875</v>
      </c>
      <c r="I56" s="14" t="str">
        <f t="shared" si="11"/>
        <v/>
      </c>
      <c r="J56" s="58"/>
      <c r="K56" s="59"/>
    </row>
    <row r="57" spans="1:11" ht="15.75">
      <c r="A57" s="27" t="str">
        <v>Q405</v>
      </c>
      <c r="B57" s="28" t="str">
        <v>NY</v>
      </c>
      <c r="C57" s="10">
        <v>23173.875</v>
      </c>
      <c r="D57" s="15">
        <v>34907.18</v>
      </c>
      <c r="E57" s="15">
        <f t="shared" si="8"/>
        <v>-11733.305</v>
      </c>
      <c r="F57" s="16">
        <f t="shared" si="9"/>
        <v>-0.33612869902409764</v>
      </c>
      <c r="G57" s="17">
        <v>26531.72</v>
      </c>
      <c r="H57" s="17">
        <f t="shared" si="10"/>
        <v>-3357.8450000000012</v>
      </c>
      <c r="I57" s="16">
        <f t="shared" si="11"/>
        <v>-0.12655964257123176</v>
      </c>
      <c r="J57" s="57"/>
      <c r="K57" s="60"/>
    </row>
    <row r="58" spans="1:11" ht="15.75">
      <c r="A58" s="25" t="str">
        <v>Q435</v>
      </c>
      <c r="B58" s="26" t="str">
        <v>NY</v>
      </c>
      <c r="C58" s="21"/>
      <c r="D58" s="11">
        <v>0</v>
      </c>
      <c r="E58" s="11" t="str">
        <f t="shared" si="8"/>
        <v/>
      </c>
      <c r="F58" s="12" t="str">
        <f t="shared" si="9"/>
        <v/>
      </c>
      <c r="G58" s="13">
        <v>0</v>
      </c>
      <c r="H58" s="13" t="str">
        <f t="shared" si="10"/>
        <v/>
      </c>
      <c r="I58" s="14" t="str">
        <f t="shared" si="11"/>
        <v/>
      </c>
      <c r="J58" s="58" t="s">
        <v>149</v>
      </c>
      <c r="K58" s="59" t="s">
        <v>49</v>
      </c>
    </row>
    <row r="59" spans="1:11" ht="57">
      <c r="A59" s="27" t="str">
        <v>Q485</v>
      </c>
      <c r="B59" s="28" t="str">
        <v>NY</v>
      </c>
      <c r="C59" s="10">
        <v>23492.947499999998</v>
      </c>
      <c r="D59" s="15">
        <v>26113.119999999999</v>
      </c>
      <c r="E59" s="15">
        <f t="shared" si="8"/>
        <v>-2620.1725000000006</v>
      </c>
      <c r="F59" s="16">
        <f t="shared" si="9"/>
        <v>-0.10033931219249177</v>
      </c>
      <c r="G59" s="17">
        <v>31669.23</v>
      </c>
      <c r="H59" s="17">
        <f t="shared" si="10"/>
        <v>-8176.2825000000012</v>
      </c>
      <c r="I59" s="16">
        <f t="shared" si="11"/>
        <v>-0.25817749594795963</v>
      </c>
      <c r="J59" s="57" t="s">
        <v>150</v>
      </c>
      <c r="K59" s="57" t="s">
        <v>151</v>
      </c>
    </row>
    <row r="60" spans="1:11" ht="28.5">
      <c r="A60" s="25" t="str">
        <v>Q490</v>
      </c>
      <c r="B60" s="26" t="str">
        <v>NY</v>
      </c>
      <c r="C60" s="21">
        <v>19705.7056880938</v>
      </c>
      <c r="D60" s="11">
        <v>0</v>
      </c>
      <c r="E60" s="11">
        <f t="shared" si="8"/>
        <v>19705.7056880938</v>
      </c>
      <c r="F60" s="12" t="str">
        <f t="shared" si="9"/>
        <v/>
      </c>
      <c r="G60" s="13">
        <v>28902.87</v>
      </c>
      <c r="H60" s="13">
        <f t="shared" si="10"/>
        <v>-9197.1643119061991</v>
      </c>
      <c r="I60" s="14">
        <f t="shared" si="11"/>
        <v>-0.3182093789269439</v>
      </c>
      <c r="J60" s="58" t="s">
        <v>152</v>
      </c>
      <c r="K60" s="59" t="s">
        <v>153</v>
      </c>
    </row>
    <row r="61" spans="1:11" ht="15.75">
      <c r="A61" s="27" t="str">
        <v>Q620</v>
      </c>
      <c r="B61" s="28" t="str">
        <v>NY</v>
      </c>
      <c r="C61" s="10">
        <v>29063.125</v>
      </c>
      <c r="D61" s="15">
        <v>43869.760000000002</v>
      </c>
      <c r="E61" s="15">
        <f t="shared" si="8"/>
        <v>-14806.635000000002</v>
      </c>
      <c r="F61" s="16">
        <f t="shared" si="9"/>
        <v>-0.33751347169439727</v>
      </c>
      <c r="G61" s="17">
        <v>45011.46</v>
      </c>
      <c r="H61" s="17">
        <f t="shared" si="10"/>
        <v>-15948.334999999999</v>
      </c>
      <c r="I61" s="16">
        <f t="shared" si="11"/>
        <v>-0.35431721166120805</v>
      </c>
      <c r="J61" s="57"/>
      <c r="K61" s="60"/>
    </row>
    <row r="62" spans="1:11" ht="15.75">
      <c r="A62" s="25" t="str">
        <v>QMOA</v>
      </c>
      <c r="B62" s="26" t="str">
        <v>NY</v>
      </c>
      <c r="C62" s="21">
        <v>3142</v>
      </c>
      <c r="D62" s="11">
        <v>0</v>
      </c>
      <c r="E62" s="11">
        <f t="shared" si="8"/>
        <v>3142</v>
      </c>
      <c r="F62" s="12" t="str">
        <f t="shared" si="9"/>
        <v/>
      </c>
      <c r="G62" s="13">
        <v>3731.7240000000002</v>
      </c>
      <c r="H62" s="13">
        <f t="shared" si="10"/>
        <v>-589.72400000000016</v>
      </c>
      <c r="I62" s="14">
        <f t="shared" si="11"/>
        <v>-0.15802990789243795</v>
      </c>
      <c r="J62" s="58"/>
      <c r="K62" s="59"/>
    </row>
    <row r="63" spans="1:11" ht="15.75">
      <c r="A63" s="27" t="str">
        <v>X024</v>
      </c>
      <c r="B63" s="28" t="str">
        <v>NY</v>
      </c>
      <c r="C63" s="10">
        <v>10749.876</v>
      </c>
      <c r="D63" s="15">
        <v>0</v>
      </c>
      <c r="E63" s="15">
        <f t="shared" si="8"/>
        <v>10749.876</v>
      </c>
      <c r="F63" s="16" t="str">
        <f t="shared" si="9"/>
        <v/>
      </c>
      <c r="G63" s="17">
        <v>0</v>
      </c>
      <c r="H63" s="17">
        <f t="shared" si="10"/>
        <v>10749.876</v>
      </c>
      <c r="I63" s="16" t="str">
        <f t="shared" si="11"/>
        <v/>
      </c>
      <c r="J63" s="57"/>
      <c r="K63" s="60"/>
    </row>
    <row r="64" spans="1:11" ht="15.75">
      <c r="A64" s="25" t="str">
        <v>X026</v>
      </c>
      <c r="B64" s="26" t="str">
        <v>NY</v>
      </c>
      <c r="C64" s="21">
        <v>8054.2000000000698</v>
      </c>
      <c r="D64" s="11">
        <v>14614.25</v>
      </c>
      <c r="E64" s="11">
        <f t="shared" si="8"/>
        <v>-6560.0499999999302</v>
      </c>
      <c r="F64" s="12">
        <f t="shared" si="9"/>
        <v>-0.44888037360794636</v>
      </c>
      <c r="G64" s="13">
        <v>16730.150000000001</v>
      </c>
      <c r="H64" s="13">
        <f t="shared" si="10"/>
        <v>-8675.9499999999316</v>
      </c>
      <c r="I64" s="14">
        <f t="shared" si="11"/>
        <v>-0.5185817222200596</v>
      </c>
      <c r="J64" s="58" t="s">
        <v>154</v>
      </c>
      <c r="K64" s="59" t="s">
        <v>155</v>
      </c>
    </row>
    <row r="65" spans="1:11" ht="15.75">
      <c r="A65" s="27" t="str">
        <v>X090</v>
      </c>
      <c r="B65" s="28" t="str">
        <v>NY</v>
      </c>
      <c r="C65" s="10">
        <v>9045.1328124999909</v>
      </c>
      <c r="D65" s="15">
        <v>9690.9269999999997</v>
      </c>
      <c r="E65" s="15">
        <f t="shared" si="8"/>
        <v>-645.79418750000877</v>
      </c>
      <c r="F65" s="16">
        <f t="shared" si="9"/>
        <v>-6.6639051919389014E-2</v>
      </c>
      <c r="G65" s="17">
        <v>11057</v>
      </c>
      <c r="H65" s="17">
        <f t="shared" si="10"/>
        <v>-2011.8671875000091</v>
      </c>
      <c r="I65" s="16">
        <f t="shared" si="11"/>
        <v>-0.181954163651986</v>
      </c>
      <c r="J65" s="57"/>
      <c r="K65" s="60"/>
    </row>
    <row r="66" spans="1:11" ht="15.75">
      <c r="A66" s="25" t="str">
        <v>X117</v>
      </c>
      <c r="B66" s="26" t="str">
        <v>NY</v>
      </c>
      <c r="C66" s="21">
        <v>6764.6000000000304</v>
      </c>
      <c r="D66" s="11">
        <v>12607.26</v>
      </c>
      <c r="E66" s="11">
        <f t="shared" si="8"/>
        <v>-5842.6599999999698</v>
      </c>
      <c r="F66" s="12">
        <f t="shared" si="9"/>
        <v>-0.46343614710888564</v>
      </c>
      <c r="G66" s="13">
        <v>18680.64</v>
      </c>
      <c r="H66" s="13">
        <f t="shared" si="10"/>
        <v>-11916.039999999968</v>
      </c>
      <c r="I66" s="14">
        <f t="shared" si="11"/>
        <v>-0.63788178563475173</v>
      </c>
      <c r="J66" s="58"/>
      <c r="K66" s="59"/>
    </row>
    <row r="67" spans="1:11" ht="15.75">
      <c r="A67" s="27" t="str">
        <v>X125</v>
      </c>
      <c r="B67" s="28" t="str">
        <v>NY</v>
      </c>
      <c r="C67" s="10">
        <v>14000.8125</v>
      </c>
      <c r="D67" s="15">
        <v>21066.57</v>
      </c>
      <c r="E67" s="15">
        <f t="shared" si="8"/>
        <v>-7065.7574999999997</v>
      </c>
      <c r="F67" s="16">
        <f t="shared" si="9"/>
        <v>-0.33540142035461873</v>
      </c>
      <c r="G67" s="17">
        <v>13446.52</v>
      </c>
      <c r="H67" s="17">
        <f t="shared" si="10"/>
        <v>554.29249999999956</v>
      </c>
      <c r="I67" s="16">
        <f t="shared" si="11"/>
        <v>4.1222003908818007E-2</v>
      </c>
      <c r="J67" s="57"/>
      <c r="K67" s="60"/>
    </row>
    <row r="68" spans="1:11" ht="15.75">
      <c r="A68" s="25" t="str">
        <v>X134</v>
      </c>
      <c r="B68" s="26" t="str">
        <v>NY</v>
      </c>
      <c r="C68" s="21">
        <v>12948.28125</v>
      </c>
      <c r="D68" s="11">
        <v>0</v>
      </c>
      <c r="E68" s="11">
        <f t="shared" si="8"/>
        <v>12948.28125</v>
      </c>
      <c r="F68" s="12" t="str">
        <f t="shared" si="9"/>
        <v/>
      </c>
      <c r="G68" s="13">
        <v>0</v>
      </c>
      <c r="H68" s="13">
        <f t="shared" si="10"/>
        <v>12948.28125</v>
      </c>
      <c r="I68" s="14" t="str">
        <f t="shared" si="11"/>
        <v/>
      </c>
      <c r="J68" s="58"/>
      <c r="K68" s="59"/>
    </row>
    <row r="69" spans="1:11" ht="15.75">
      <c r="A69" s="27" t="str">
        <v>X135</v>
      </c>
      <c r="B69" s="28" t="str">
        <v>NY</v>
      </c>
      <c r="C69" s="10">
        <v>9774.890625</v>
      </c>
      <c r="D69" s="15">
        <v>0</v>
      </c>
      <c r="E69" s="15">
        <f t="shared" si="8"/>
        <v>9774.890625</v>
      </c>
      <c r="F69" s="16" t="str">
        <f t="shared" si="9"/>
        <v/>
      </c>
      <c r="G69" s="17">
        <v>0</v>
      </c>
      <c r="H69" s="17">
        <f t="shared" si="10"/>
        <v>9774.890625</v>
      </c>
      <c r="I69" s="16" t="str">
        <f t="shared" si="11"/>
        <v/>
      </c>
      <c r="J69" s="57"/>
      <c r="K69" s="60"/>
    </row>
    <row r="70" spans="1:11" ht="15.75">
      <c r="A70" s="25" t="str">
        <v>X139 JHS 222</v>
      </c>
      <c r="B70" s="26" t="str">
        <v>NY</v>
      </c>
      <c r="C70" s="21">
        <v>17038.219891019799</v>
      </c>
      <c r="D70" s="11">
        <v>22535.35</v>
      </c>
      <c r="E70" s="11">
        <f t="shared" si="8"/>
        <v>-5497.1301089802</v>
      </c>
      <c r="F70" s="12">
        <f t="shared" si="9"/>
        <v>-0.24393364686948285</v>
      </c>
      <c r="G70" s="13">
        <v>28008</v>
      </c>
      <c r="H70" s="13">
        <f t="shared" si="10"/>
        <v>-10969.780108980201</v>
      </c>
      <c r="I70" s="14">
        <f t="shared" si="11"/>
        <v>-0.39166595647601404</v>
      </c>
      <c r="J70" s="58"/>
      <c r="K70" s="59"/>
    </row>
    <row r="71" spans="1:11" ht="15.75">
      <c r="A71" s="27" t="str">
        <v>X140</v>
      </c>
      <c r="B71" s="28" t="str">
        <v>NY</v>
      </c>
      <c r="C71" s="10">
        <v>9393.2780000000002</v>
      </c>
      <c r="D71" s="15">
        <v>11697.657999999999</v>
      </c>
      <c r="E71" s="15">
        <f t="shared" si="8"/>
        <v>-2304.3799999999992</v>
      </c>
      <c r="F71" s="16">
        <f t="shared" si="9"/>
        <v>-0.19699498822755798</v>
      </c>
      <c r="G71" s="17">
        <v>11811.069</v>
      </c>
      <c r="H71" s="17">
        <f t="shared" si="10"/>
        <v>-2417.7909999999993</v>
      </c>
      <c r="I71" s="16">
        <f t="shared" si="11"/>
        <v>-0.20470551818806573</v>
      </c>
      <c r="J71" s="57" t="s">
        <v>156</v>
      </c>
      <c r="K71" s="57" t="s">
        <v>157</v>
      </c>
    </row>
    <row r="72" spans="1:11" ht="15.75">
      <c r="A72" s="25" t="str">
        <v>X166</v>
      </c>
      <c r="B72" s="26" t="str">
        <v>NY</v>
      </c>
      <c r="C72" s="21">
        <v>10298.799999999999</v>
      </c>
      <c r="D72" s="11">
        <v>14615.42</v>
      </c>
      <c r="E72" s="11">
        <f t="shared" si="8"/>
        <v>-4316.6200000000008</v>
      </c>
      <c r="F72" s="12">
        <f t="shared" si="9"/>
        <v>-0.29534696915996944</v>
      </c>
      <c r="G72" s="13">
        <v>0</v>
      </c>
      <c r="H72" s="13">
        <f t="shared" si="10"/>
        <v>10298.799999999999</v>
      </c>
      <c r="I72" s="14" t="str">
        <f t="shared" si="11"/>
        <v/>
      </c>
      <c r="J72" s="58"/>
      <c r="K72" s="59"/>
    </row>
    <row r="73" spans="1:11" ht="99.75">
      <c r="A73" s="27" t="str">
        <v>Murphy</v>
      </c>
      <c r="B73" s="28" t="str">
        <v>MN</v>
      </c>
      <c r="C73" s="10">
        <v>575720</v>
      </c>
      <c r="D73" s="15">
        <v>738454.1</v>
      </c>
      <c r="E73" s="15">
        <f t="shared" si="8"/>
        <v>-162734.09999999998</v>
      </c>
      <c r="F73" s="16">
        <f t="shared" si="9"/>
        <v>-0.22037131353187692</v>
      </c>
      <c r="G73" s="17">
        <v>691411.1</v>
      </c>
      <c r="H73" s="17">
        <f t="shared" si="10"/>
        <v>-115691.09999999998</v>
      </c>
      <c r="I73" s="16">
        <f t="shared" si="11"/>
        <v>-0.16732606693760049</v>
      </c>
      <c r="J73" s="57" t="s">
        <v>158</v>
      </c>
      <c r="K73" s="57" t="s">
        <v>159</v>
      </c>
    </row>
    <row r="74" spans="1:11" ht="15.75">
      <c r="A74" s="25" t="str">
        <v>Terning</v>
      </c>
      <c r="B74" s="26" t="str">
        <v>MN</v>
      </c>
      <c r="C74" s="21">
        <v>579703</v>
      </c>
      <c r="D74" s="11">
        <v>721827.7</v>
      </c>
      <c r="E74" s="11">
        <f t="shared" si="8"/>
        <v>-142124.69999999995</v>
      </c>
      <c r="F74" s="12">
        <f t="shared" si="9"/>
        <v>-0.19689560264866526</v>
      </c>
      <c r="G74" s="13">
        <v>652717.9</v>
      </c>
      <c r="H74" s="13">
        <f t="shared" si="10"/>
        <v>-73014.900000000023</v>
      </c>
      <c r="I74" s="14">
        <f t="shared" si="11"/>
        <v>-0.11186287368555393</v>
      </c>
      <c r="J74" s="58"/>
      <c r="K74" s="59"/>
    </row>
    <row r="75" spans="1:11" ht="28.5">
      <c r="A75" s="27" t="str">
        <v>Boas Road 04</v>
      </c>
      <c r="B75" s="28" t="str">
        <v>NY</v>
      </c>
      <c r="C75" s="10">
        <v>192892</v>
      </c>
      <c r="D75" s="15">
        <v>264045.63</v>
      </c>
      <c r="E75" s="15">
        <f t="shared" si="8"/>
        <v>-71153.63</v>
      </c>
      <c r="F75" s="16">
        <f t="shared" si="9"/>
        <v>-0.2694747494968957</v>
      </c>
      <c r="G75" s="17">
        <v>220064.68</v>
      </c>
      <c r="H75" s="17">
        <f t="shared" si="10"/>
        <v>-27172.679999999993</v>
      </c>
      <c r="I75" s="16">
        <f t="shared" si="11"/>
        <v>-0.1234758799094884</v>
      </c>
      <c r="J75" s="57" t="s">
        <v>160</v>
      </c>
      <c r="K75" s="57" t="s">
        <v>161</v>
      </c>
    </row>
    <row r="76" spans="1:11" ht="71.25" customHeight="1">
      <c r="A76" s="25" t="str">
        <v>Kelly Bridge Farm</v>
      </c>
      <c r="B76" s="26" t="str">
        <v>NY</v>
      </c>
      <c r="C76" s="21">
        <v>242237</v>
      </c>
      <c r="D76" s="11">
        <v>291693.36</v>
      </c>
      <c r="E76" s="11">
        <f t="shared" si="8"/>
        <v>-49456.359999999986</v>
      </c>
      <c r="F76" s="12">
        <f t="shared" si="9"/>
        <v>-0.16954914571932658</v>
      </c>
      <c r="G76" s="13">
        <v>209445.59</v>
      </c>
      <c r="H76" s="13">
        <f t="shared" si="10"/>
        <v>32791.410000000003</v>
      </c>
      <c r="I76" s="14">
        <f t="shared" si="11"/>
        <v>0.15656290495302386</v>
      </c>
      <c r="J76" s="58" t="s">
        <v>162</v>
      </c>
      <c r="K76" s="59" t="s">
        <v>163</v>
      </c>
    </row>
    <row r="77" spans="1:11" ht="15.75">
      <c r="A77" s="27" t="str">
        <v>Pool Brook Road</v>
      </c>
      <c r="B77" s="28" t="str">
        <v>NY</v>
      </c>
      <c r="C77" s="10">
        <v>227358</v>
      </c>
      <c r="D77" s="15">
        <v>253637.61</v>
      </c>
      <c r="E77" s="15">
        <f t="shared" si="8"/>
        <v>-26279.609999999986</v>
      </c>
      <c r="F77" s="16">
        <f t="shared" si="9"/>
        <v>-0.1036108564498774</v>
      </c>
      <c r="G77" s="17">
        <v>194874.12</v>
      </c>
      <c r="H77" s="17">
        <f t="shared" si="10"/>
        <v>32483.880000000005</v>
      </c>
      <c r="I77" s="16">
        <f t="shared" si="11"/>
        <v>0.16669160584278717</v>
      </c>
      <c r="J77" s="57" t="s">
        <v>164</v>
      </c>
      <c r="K77" s="60" t="s">
        <v>165</v>
      </c>
    </row>
    <row r="78" spans="1:11" ht="15.75">
      <c r="A78" s="25" t="str">
        <v>Sackett Lake</v>
      </c>
      <c r="B78" s="26" t="str">
        <v>NY</v>
      </c>
      <c r="C78" s="21">
        <v>272809</v>
      </c>
      <c r="D78" s="11">
        <v>302531.58</v>
      </c>
      <c r="E78" s="11">
        <f t="shared" si="8"/>
        <v>-29722.580000000016</v>
      </c>
      <c r="F78" s="12">
        <f t="shared" si="9"/>
        <v>-9.8246206230767755E-2</v>
      </c>
      <c r="G78" s="13">
        <v>223309.11</v>
      </c>
      <c r="H78" s="13">
        <f t="shared" si="10"/>
        <v>49499.890000000014</v>
      </c>
      <c r="I78" s="14">
        <f t="shared" si="11"/>
        <v>0.22166534092585841</v>
      </c>
      <c r="J78" s="58" t="s">
        <v>166</v>
      </c>
      <c r="K78" s="59" t="s">
        <v>167</v>
      </c>
    </row>
    <row r="79" spans="1:11" ht="28.5">
      <c r="A79" s="27" t="str">
        <v>Burritt Road</v>
      </c>
      <c r="B79" s="28" t="str">
        <v>NY</v>
      </c>
      <c r="C79" s="10">
        <v>191650</v>
      </c>
      <c r="D79" s="15">
        <v>156033.66</v>
      </c>
      <c r="E79" s="15">
        <f t="shared" si="8"/>
        <v>35616.339999999997</v>
      </c>
      <c r="F79" s="16">
        <f t="shared" si="9"/>
        <v>0.22826062017644139</v>
      </c>
      <c r="G79" s="17">
        <v>175660.86</v>
      </c>
      <c r="H79" s="17">
        <f t="shared" si="10"/>
        <v>15989.140000000014</v>
      </c>
      <c r="I79" s="16">
        <f t="shared" si="11"/>
        <v>9.1022781056633875E-2</v>
      </c>
      <c r="J79" s="57" t="s">
        <v>168</v>
      </c>
      <c r="K79" s="57" t="s">
        <v>169</v>
      </c>
    </row>
    <row r="80" spans="1:11" ht="15.75">
      <c r="A80" s="25" t="str">
        <v>Villa Roma 1</v>
      </c>
      <c r="B80" s="26" t="str">
        <v>NY</v>
      </c>
      <c r="C80" s="21">
        <v>231364</v>
      </c>
      <c r="D80" s="11">
        <v>200.4</v>
      </c>
      <c r="E80" s="11">
        <f t="shared" si="8"/>
        <v>231163.6</v>
      </c>
      <c r="F80" s="12">
        <f t="shared" si="9"/>
        <v>1153.5109780439122</v>
      </c>
      <c r="G80" s="13">
        <v>154208.4</v>
      </c>
      <c r="H80" s="13">
        <f t="shared" si="10"/>
        <v>77155.600000000006</v>
      </c>
      <c r="I80" s="14">
        <f t="shared" si="11"/>
        <v>0.50033331517608648</v>
      </c>
      <c r="J80" s="58" t="s">
        <v>170</v>
      </c>
      <c r="K80" s="59"/>
    </row>
    <row r="81" spans="1:11" ht="33" customHeight="1">
      <c r="A81" s="27" t="str">
        <v>Villa Roma 2</v>
      </c>
      <c r="B81" s="28" t="str">
        <v>NY</v>
      </c>
      <c r="C81" s="65">
        <v>204180</v>
      </c>
      <c r="D81" s="15">
        <v>244833.94</v>
      </c>
      <c r="E81" s="15">
        <f t="shared" si="8"/>
        <v>-40653.94</v>
      </c>
      <c r="F81" s="16">
        <f t="shared" si="9"/>
        <v>-0.16604699495502953</v>
      </c>
      <c r="G81" s="17">
        <v>149312.26</v>
      </c>
      <c r="H81" s="17">
        <f t="shared" si="10"/>
        <v>54867.739999999991</v>
      </c>
      <c r="I81" s="16">
        <f t="shared" si="11"/>
        <v>0.36746975767428602</v>
      </c>
      <c r="J81" s="57" t="s">
        <v>171</v>
      </c>
      <c r="K81" s="60" t="s">
        <v>172</v>
      </c>
    </row>
    <row r="82" spans="1:11" ht="15.75">
      <c r="A82" s="25" t="str">
        <v>Washington 1</v>
      </c>
      <c r="B82" s="26" t="str">
        <v>NY</v>
      </c>
      <c r="C82" s="21">
        <v>209440</v>
      </c>
      <c r="D82" s="11">
        <v>242548.32</v>
      </c>
      <c r="E82" s="11">
        <f t="shared" ref="E82:E137" si="12">IF(AND(ISNUMBER(C82),ISNUMBER(D82)), C82-D82, "")</f>
        <v>-33108.320000000007</v>
      </c>
      <c r="F82" s="12">
        <f t="shared" ref="F82:F137" si="13">IFERROR(E82/D82, "")</f>
        <v>-0.13650195556910064</v>
      </c>
      <c r="G82" s="13">
        <v>173775.12</v>
      </c>
      <c r="H82" s="13">
        <f t="shared" ref="H82:H137" si="14">IF(AND(ISNUMBER(C82),ISNUMBER(G82)), C82-G82, "")</f>
        <v>35664.880000000005</v>
      </c>
      <c r="I82" s="14">
        <f t="shared" ref="I82:I137" si="15">IFERROR(H82/G82, "")</f>
        <v>0.20523582432283749</v>
      </c>
      <c r="J82" s="58"/>
      <c r="K82" s="59"/>
    </row>
    <row r="83" spans="1:11" ht="71.25">
      <c r="A83" s="27" t="str">
        <v>Washington 3</v>
      </c>
      <c r="B83" s="28" t="str">
        <v>NY</v>
      </c>
      <c r="C83" s="10">
        <v>188205</v>
      </c>
      <c r="D83" s="15">
        <v>225708.02</v>
      </c>
      <c r="E83" s="15">
        <f t="shared" si="12"/>
        <v>-37503.01999999999</v>
      </c>
      <c r="F83" s="16">
        <f t="shared" si="13"/>
        <v>-0.16615723269381386</v>
      </c>
      <c r="G83" s="17">
        <v>211399.74</v>
      </c>
      <c r="H83" s="17">
        <f t="shared" si="14"/>
        <v>-23194.739999999991</v>
      </c>
      <c r="I83" s="16">
        <f t="shared" si="15"/>
        <v>-0.10971981327886209</v>
      </c>
      <c r="J83" s="57" t="s">
        <v>173</v>
      </c>
      <c r="K83" s="60" t="s">
        <v>174</v>
      </c>
    </row>
    <row r="84" spans="1:11" ht="15.75">
      <c r="A84" s="25" t="str">
        <v>Washington 4</v>
      </c>
      <c r="B84" s="26" t="str">
        <v>NY</v>
      </c>
      <c r="C84" s="21">
        <v>255677</v>
      </c>
      <c r="D84" s="11">
        <v>0</v>
      </c>
      <c r="E84" s="11">
        <f t="shared" si="12"/>
        <v>255677</v>
      </c>
      <c r="F84" s="12" t="str">
        <f t="shared" si="13"/>
        <v/>
      </c>
      <c r="G84" s="13">
        <v>212129.44</v>
      </c>
      <c r="H84" s="13">
        <f t="shared" si="14"/>
        <v>43547.56</v>
      </c>
      <c r="I84" s="14">
        <f t="shared" si="15"/>
        <v>0.20528767718427013</v>
      </c>
      <c r="J84" s="58"/>
      <c r="K84" s="59"/>
    </row>
    <row r="85" spans="1:11" ht="15.75">
      <c r="A85" s="27" t="str">
        <v>Big Tree</v>
      </c>
      <c r="B85" s="28" t="str">
        <v>NY</v>
      </c>
      <c r="C85" s="10">
        <v>205830</v>
      </c>
      <c r="D85" s="15">
        <v>0</v>
      </c>
      <c r="E85" s="15">
        <f t="shared" si="12"/>
        <v>205830</v>
      </c>
      <c r="F85" s="16" t="str">
        <f t="shared" si="13"/>
        <v/>
      </c>
      <c r="G85" s="17">
        <v>100951</v>
      </c>
      <c r="H85" s="17">
        <f t="shared" si="14"/>
        <v>104879</v>
      </c>
      <c r="I85" s="16">
        <f t="shared" si="15"/>
        <v>1.038909966221236</v>
      </c>
      <c r="J85" s="57"/>
      <c r="K85" s="57"/>
    </row>
    <row r="86" spans="1:11" ht="42.75">
      <c r="A86" s="25" t="str">
        <v>Canoga</v>
      </c>
      <c r="B86" s="26" t="str">
        <v>NY</v>
      </c>
      <c r="C86" s="21">
        <v>588710</v>
      </c>
      <c r="D86" s="11">
        <v>0</v>
      </c>
      <c r="E86" s="11">
        <f t="shared" si="12"/>
        <v>588710</v>
      </c>
      <c r="F86" s="12" t="str">
        <f t="shared" si="13"/>
        <v/>
      </c>
      <c r="G86" s="13">
        <v>286181</v>
      </c>
      <c r="H86" s="13">
        <f t="shared" si="14"/>
        <v>302529</v>
      </c>
      <c r="I86" s="14">
        <f t="shared" si="15"/>
        <v>1.0571246868240729</v>
      </c>
      <c r="J86" s="58" t="s">
        <v>175</v>
      </c>
      <c r="K86" s="58" t="s">
        <v>176</v>
      </c>
    </row>
    <row r="87" spans="1:11" ht="28.5">
      <c r="A87" s="27" t="str">
        <v>County Route 84</v>
      </c>
      <c r="B87" s="28" t="str">
        <v>NY</v>
      </c>
      <c r="C87" s="10">
        <v>643919</v>
      </c>
      <c r="D87" s="15">
        <v>0</v>
      </c>
      <c r="E87" s="15">
        <f t="shared" si="12"/>
        <v>643919</v>
      </c>
      <c r="F87" s="16" t="str">
        <f t="shared" si="13"/>
        <v/>
      </c>
      <c r="G87" s="17">
        <v>352818</v>
      </c>
      <c r="H87" s="17">
        <f t="shared" si="14"/>
        <v>291101</v>
      </c>
      <c r="I87" s="16">
        <f t="shared" si="15"/>
        <v>0.82507411753368587</v>
      </c>
      <c r="J87" s="57" t="s">
        <v>177</v>
      </c>
      <c r="K87" s="57" t="s">
        <v>178</v>
      </c>
    </row>
    <row r="88" spans="1:11" ht="15.75">
      <c r="A88" s="25" t="str">
        <v>Donati</v>
      </c>
      <c r="B88" s="26" t="str">
        <v>NY</v>
      </c>
      <c r="C88" s="21">
        <v>235734</v>
      </c>
      <c r="D88" s="11">
        <v>0</v>
      </c>
      <c r="E88" s="11">
        <f t="shared" si="12"/>
        <v>235734</v>
      </c>
      <c r="F88" s="12" t="str">
        <f t="shared" si="13"/>
        <v/>
      </c>
      <c r="G88" s="13">
        <v>112628</v>
      </c>
      <c r="H88" s="13">
        <f t="shared" si="14"/>
        <v>123106</v>
      </c>
      <c r="I88" s="14">
        <f t="shared" si="15"/>
        <v>1.093031928117342</v>
      </c>
      <c r="J88" s="58"/>
      <c r="K88" s="58"/>
    </row>
    <row r="89" spans="1:11" ht="30.75">
      <c r="A89" s="27" t="str">
        <v>Henrietta</v>
      </c>
      <c r="B89" s="28" t="str">
        <v>NY</v>
      </c>
      <c r="C89" s="65">
        <v>413041</v>
      </c>
      <c r="D89" s="15">
        <v>0</v>
      </c>
      <c r="E89" s="15">
        <f t="shared" si="12"/>
        <v>413041</v>
      </c>
      <c r="F89" s="16" t="str">
        <f t="shared" si="13"/>
        <v/>
      </c>
      <c r="G89" s="17">
        <v>216878</v>
      </c>
      <c r="H89" s="17">
        <f t="shared" si="14"/>
        <v>196163</v>
      </c>
      <c r="I89" s="16">
        <f t="shared" si="15"/>
        <v>0.90448547109434796</v>
      </c>
      <c r="J89" s="57" t="s">
        <v>179</v>
      </c>
      <c r="K89" s="57" t="s">
        <v>180</v>
      </c>
    </row>
    <row r="90" spans="1:11" ht="28.5">
      <c r="A90" s="25" t="str">
        <v>NY 70</v>
      </c>
      <c r="B90" s="26" t="str">
        <v>NY</v>
      </c>
      <c r="C90" s="21">
        <v>513047</v>
      </c>
      <c r="D90" s="11">
        <v>0</v>
      </c>
      <c r="E90" s="11">
        <f t="shared" si="12"/>
        <v>513047</v>
      </c>
      <c r="F90" s="12" t="str">
        <f t="shared" si="13"/>
        <v/>
      </c>
      <c r="G90" s="13">
        <v>336952</v>
      </c>
      <c r="H90" s="13">
        <f t="shared" si="14"/>
        <v>176095</v>
      </c>
      <c r="I90" s="14">
        <f t="shared" si="15"/>
        <v>0.52261152923858589</v>
      </c>
      <c r="J90" s="58" t="s">
        <v>181</v>
      </c>
      <c r="K90" s="58" t="s">
        <v>182</v>
      </c>
    </row>
    <row r="91" spans="1:11" ht="28.5">
      <c r="A91" s="27" t="str">
        <v>Reid</v>
      </c>
      <c r="B91" s="28" t="str">
        <v>NY</v>
      </c>
      <c r="C91" s="10">
        <v>532878.94852957898</v>
      </c>
      <c r="D91" s="15">
        <v>547634.5</v>
      </c>
      <c r="E91" s="15">
        <f t="shared" si="12"/>
        <v>-14755.551470421022</v>
      </c>
      <c r="F91" s="16">
        <f t="shared" si="13"/>
        <v>-2.6944159782521047E-2</v>
      </c>
      <c r="G91" s="17">
        <v>486135</v>
      </c>
      <c r="H91" s="17">
        <f t="shared" si="14"/>
        <v>46743.948529578978</v>
      </c>
      <c r="I91" s="16">
        <f t="shared" si="15"/>
        <v>9.6154254537482345E-2</v>
      </c>
      <c r="J91" s="57" t="s">
        <v>183</v>
      </c>
      <c r="K91" s="57" t="s">
        <v>184</v>
      </c>
    </row>
    <row r="92" spans="1:11" ht="15.75">
      <c r="A92" s="25" t="str">
        <v>Sangolqui</v>
      </c>
      <c r="B92" s="26" t="str">
        <v>NY</v>
      </c>
      <c r="C92" s="21">
        <v>232615</v>
      </c>
      <c r="D92" s="11">
        <v>0</v>
      </c>
      <c r="E92" s="11">
        <f t="shared" si="12"/>
        <v>232615</v>
      </c>
      <c r="F92" s="12" t="str">
        <f t="shared" si="13"/>
        <v/>
      </c>
      <c r="G92" s="13">
        <v>109835</v>
      </c>
      <c r="H92" s="13">
        <f t="shared" si="14"/>
        <v>122780</v>
      </c>
      <c r="I92" s="14">
        <f t="shared" si="15"/>
        <v>1.1178586060909546</v>
      </c>
      <c r="J92" s="58"/>
      <c r="K92" s="59"/>
    </row>
    <row r="93" spans="1:11" ht="28.5">
      <c r="A93" s="27" t="str">
        <v>State Highway 17B</v>
      </c>
      <c r="B93" s="28" t="str">
        <v>NY</v>
      </c>
      <c r="C93" s="10">
        <v>573455</v>
      </c>
      <c r="D93" s="15">
        <v>0</v>
      </c>
      <c r="E93" s="15">
        <f t="shared" si="12"/>
        <v>573455</v>
      </c>
      <c r="F93" s="16" t="str">
        <f t="shared" si="13"/>
        <v/>
      </c>
      <c r="G93" s="17">
        <v>302852</v>
      </c>
      <c r="H93" s="17">
        <f t="shared" si="14"/>
        <v>270603</v>
      </c>
      <c r="I93" s="16">
        <f t="shared" si="15"/>
        <v>0.89351564460528576</v>
      </c>
      <c r="J93" s="57" t="s">
        <v>185</v>
      </c>
      <c r="K93" s="57" t="s">
        <v>186</v>
      </c>
    </row>
    <row r="94" spans="1:11" ht="15.75">
      <c r="A94" s="25" t="str">
        <v>State Route 14A</v>
      </c>
      <c r="B94" s="26" t="str">
        <v>NY</v>
      </c>
      <c r="C94" s="21">
        <v>556372</v>
      </c>
      <c r="D94" s="11">
        <v>0</v>
      </c>
      <c r="E94" s="11">
        <f t="shared" si="12"/>
        <v>556372</v>
      </c>
      <c r="F94" s="12" t="str">
        <f t="shared" si="13"/>
        <v/>
      </c>
      <c r="G94" s="13">
        <v>325152</v>
      </c>
      <c r="H94" s="13">
        <f t="shared" si="14"/>
        <v>231220</v>
      </c>
      <c r="I94" s="14">
        <f t="shared" si="15"/>
        <v>0.71111357149886822</v>
      </c>
      <c r="J94" s="58" t="s">
        <v>187</v>
      </c>
      <c r="K94" s="59" t="s">
        <v>188</v>
      </c>
    </row>
    <row r="95" spans="1:11" ht="15.75">
      <c r="A95" s="27" t="str">
        <v>West Creek</v>
      </c>
      <c r="B95" s="28" t="str">
        <v>NY</v>
      </c>
      <c r="C95" s="10">
        <v>644863</v>
      </c>
      <c r="D95" s="15">
        <v>0</v>
      </c>
      <c r="E95" s="15">
        <f t="shared" si="12"/>
        <v>644863</v>
      </c>
      <c r="F95" s="16" t="str">
        <f t="shared" si="13"/>
        <v/>
      </c>
      <c r="G95" s="17">
        <v>279159</v>
      </c>
      <c r="H95" s="17">
        <f t="shared" si="14"/>
        <v>365704</v>
      </c>
      <c r="I95" s="16">
        <f t="shared" si="15"/>
        <v>1.3100204542930731</v>
      </c>
      <c r="J95" s="57"/>
      <c r="K95" s="60"/>
    </row>
    <row r="96" spans="1:11" ht="15.75">
      <c r="A96" s="25" t="str">
        <v>Wildflower</v>
      </c>
      <c r="B96" s="26" t="str">
        <v>NY</v>
      </c>
      <c r="C96" s="21">
        <v>591798</v>
      </c>
      <c r="D96" s="11">
        <v>0</v>
      </c>
      <c r="E96" s="11">
        <f t="shared" si="12"/>
        <v>591798</v>
      </c>
      <c r="F96" s="12" t="str">
        <f t="shared" si="13"/>
        <v/>
      </c>
      <c r="G96" s="13">
        <v>380649</v>
      </c>
      <c r="H96" s="13">
        <f t="shared" si="14"/>
        <v>211149</v>
      </c>
      <c r="I96" s="14">
        <f t="shared" si="15"/>
        <v>0.55470788048832387</v>
      </c>
      <c r="J96" s="58"/>
      <c r="K96" s="59"/>
    </row>
    <row r="97" spans="1:12" ht="15.75">
      <c r="A97" s="27" t="str">
        <v>Glen Mary 1</v>
      </c>
      <c r="B97" s="28" t="str">
        <v>NY</v>
      </c>
      <c r="C97" s="10">
        <v>614649</v>
      </c>
      <c r="D97" s="15">
        <v>0</v>
      </c>
      <c r="E97" s="15">
        <f t="shared" si="12"/>
        <v>614649</v>
      </c>
      <c r="F97" s="16" t="str">
        <f t="shared" si="13"/>
        <v/>
      </c>
      <c r="G97" s="17">
        <v>364876</v>
      </c>
      <c r="H97" s="17">
        <f t="shared" si="14"/>
        <v>249773</v>
      </c>
      <c r="I97" s="16">
        <f t="shared" si="15"/>
        <v>0.68454214582488293</v>
      </c>
      <c r="J97" s="57" t="s">
        <v>189</v>
      </c>
      <c r="K97" s="60" t="s">
        <v>190</v>
      </c>
    </row>
    <row r="98" spans="1:12" ht="15.75">
      <c r="A98" s="25" t="str">
        <v>Glen Mary 2</v>
      </c>
      <c r="B98" s="26" t="str">
        <v>NY</v>
      </c>
      <c r="C98" s="21">
        <v>279832</v>
      </c>
      <c r="D98" s="11">
        <v>0</v>
      </c>
      <c r="E98" s="11">
        <f t="shared" si="12"/>
        <v>279832</v>
      </c>
      <c r="F98" s="12" t="str">
        <f t="shared" si="13"/>
        <v/>
      </c>
      <c r="G98" s="13">
        <v>148929</v>
      </c>
      <c r="H98" s="13">
        <f t="shared" si="14"/>
        <v>130903</v>
      </c>
      <c r="I98" s="14">
        <f t="shared" si="15"/>
        <v>0.87896245862122224</v>
      </c>
      <c r="J98" s="58" t="s">
        <v>191</v>
      </c>
      <c r="K98" s="59" t="s">
        <v>192</v>
      </c>
    </row>
    <row r="99" spans="1:12" ht="28.5">
      <c r="A99" s="27" t="str">
        <v>Telegraph 1</v>
      </c>
      <c r="B99" s="28" t="str">
        <v>NY</v>
      </c>
      <c r="C99" s="10">
        <v>399000</v>
      </c>
      <c r="D99" s="15">
        <v>0</v>
      </c>
      <c r="E99" s="15">
        <f t="shared" si="12"/>
        <v>399000</v>
      </c>
      <c r="F99" s="16" t="str">
        <f t="shared" si="13"/>
        <v/>
      </c>
      <c r="G99" s="17">
        <v>209445.59</v>
      </c>
      <c r="H99" s="17">
        <f t="shared" si="14"/>
        <v>189554.41</v>
      </c>
      <c r="I99" s="16">
        <f t="shared" si="15"/>
        <v>0.90502936824785862</v>
      </c>
      <c r="J99" s="57" t="s">
        <v>193</v>
      </c>
      <c r="K99" s="60" t="s">
        <v>194</v>
      </c>
    </row>
    <row r="100" spans="1:12" ht="15.75">
      <c r="A100" s="25" t="str">
        <v>Telegraph 2</v>
      </c>
      <c r="B100" s="26" t="str">
        <v>NY</v>
      </c>
      <c r="C100" s="21">
        <v>213368</v>
      </c>
      <c r="D100" s="11">
        <v>0</v>
      </c>
      <c r="E100" s="11">
        <f t="shared" si="12"/>
        <v>213368</v>
      </c>
      <c r="F100" s="12" t="str">
        <f t="shared" si="13"/>
        <v/>
      </c>
      <c r="G100" s="13">
        <v>194874.12</v>
      </c>
      <c r="H100" s="13">
        <f t="shared" si="14"/>
        <v>18493.880000000005</v>
      </c>
      <c r="I100" s="14">
        <f t="shared" si="15"/>
        <v>9.4901672936355042E-2</v>
      </c>
      <c r="J100" s="58" t="s">
        <v>195</v>
      </c>
      <c r="K100" s="59" t="s">
        <v>196</v>
      </c>
      <c r="L100" s="51"/>
    </row>
    <row r="101" spans="1:12" ht="15.75">
      <c r="A101" s="27" t="str">
        <v>Cafferty Hill</v>
      </c>
      <c r="B101" s="28" t="str">
        <v>NY</v>
      </c>
      <c r="C101" s="10">
        <v>661076</v>
      </c>
      <c r="D101" s="15">
        <v>0</v>
      </c>
      <c r="E101" s="15">
        <f t="shared" si="12"/>
        <v>661076</v>
      </c>
      <c r="F101" s="16" t="str">
        <f t="shared" si="13"/>
        <v/>
      </c>
      <c r="G101" s="17">
        <v>292175</v>
      </c>
      <c r="H101" s="17">
        <f t="shared" si="14"/>
        <v>368901</v>
      </c>
      <c r="I101" s="16">
        <f t="shared" si="15"/>
        <v>1.262602892102336</v>
      </c>
      <c r="J101" s="63"/>
      <c r="K101" s="60"/>
    </row>
    <row r="102" spans="1:12" ht="28.5">
      <c r="A102" s="25" t="str">
        <v>Dunkleman</v>
      </c>
      <c r="B102" s="26" t="str">
        <v>NY</v>
      </c>
      <c r="C102" s="21">
        <v>380284</v>
      </c>
      <c r="D102" s="11">
        <v>0</v>
      </c>
      <c r="E102" s="11">
        <f t="shared" si="12"/>
        <v>380284</v>
      </c>
      <c r="F102" s="12" t="str">
        <f t="shared" si="13"/>
        <v/>
      </c>
      <c r="G102" s="13">
        <v>305903</v>
      </c>
      <c r="H102" s="13">
        <f t="shared" si="14"/>
        <v>74381</v>
      </c>
      <c r="I102" s="14">
        <f t="shared" si="15"/>
        <v>0.24315224106988162</v>
      </c>
      <c r="J102" s="57" t="s">
        <v>197</v>
      </c>
      <c r="K102" s="59" t="s">
        <v>198</v>
      </c>
    </row>
    <row r="103" spans="1:12" ht="15.75">
      <c r="A103" s="27" t="str">
        <v>Route 19 1</v>
      </c>
      <c r="B103" s="28" t="str">
        <v>NY</v>
      </c>
      <c r="C103" s="10">
        <v>236607</v>
      </c>
      <c r="D103" s="15">
        <v>0</v>
      </c>
      <c r="E103" s="15">
        <f t="shared" si="12"/>
        <v>236607</v>
      </c>
      <c r="F103" s="16" t="str">
        <f t="shared" si="13"/>
        <v/>
      </c>
      <c r="G103" s="17">
        <v>223309.11</v>
      </c>
      <c r="H103" s="17">
        <f t="shared" si="14"/>
        <v>13297.890000000014</v>
      </c>
      <c r="I103" s="16">
        <f t="shared" si="15"/>
        <v>5.9549249916405179E-2</v>
      </c>
      <c r="J103" s="57" t="s">
        <v>199</v>
      </c>
      <c r="K103" s="60" t="s">
        <v>200</v>
      </c>
    </row>
    <row r="104" spans="1:12" ht="15.75">
      <c r="A104" s="25" t="str">
        <v>Route 19 2</v>
      </c>
      <c r="B104" s="26" t="str">
        <v>NY</v>
      </c>
      <c r="C104" s="21">
        <v>554800</v>
      </c>
      <c r="D104" s="11">
        <v>0</v>
      </c>
      <c r="E104" s="11">
        <f t="shared" si="12"/>
        <v>554800</v>
      </c>
      <c r="F104" s="12" t="str">
        <f t="shared" si="13"/>
        <v/>
      </c>
      <c r="G104" s="13">
        <v>337883</v>
      </c>
      <c r="H104" s="13">
        <f t="shared" si="14"/>
        <v>216917</v>
      </c>
      <c r="I104" s="14">
        <f t="shared" si="15"/>
        <v>0.64198849897745669</v>
      </c>
      <c r="J104" s="57" t="s">
        <v>201</v>
      </c>
      <c r="K104" s="59" t="s">
        <v>202</v>
      </c>
    </row>
    <row r="105" spans="1:12" ht="15.75">
      <c r="A105" s="27" t="str">
        <v>Yellow Mills 1</v>
      </c>
      <c r="B105" s="28" t="str">
        <v>NY</v>
      </c>
      <c r="C105" s="10">
        <v>231858</v>
      </c>
      <c r="D105" s="15">
        <v>0</v>
      </c>
      <c r="E105" s="15">
        <f t="shared" si="12"/>
        <v>231858</v>
      </c>
      <c r="F105" s="16" t="str">
        <f t="shared" si="13"/>
        <v/>
      </c>
      <c r="G105" s="17">
        <v>0</v>
      </c>
      <c r="H105" s="17">
        <f t="shared" si="14"/>
        <v>231858</v>
      </c>
      <c r="I105" s="16" t="str">
        <f t="shared" si="15"/>
        <v/>
      </c>
      <c r="J105" s="57"/>
      <c r="K105" s="57"/>
    </row>
    <row r="106" spans="1:12" ht="61.5" customHeight="1">
      <c r="A106" s="25" t="str">
        <v>Yellow Mills 2</v>
      </c>
      <c r="B106" s="26" t="str">
        <v>NY</v>
      </c>
      <c r="C106" s="21">
        <v>208657</v>
      </c>
      <c r="D106" s="11">
        <v>0</v>
      </c>
      <c r="E106" s="11">
        <f t="shared" si="12"/>
        <v>208657</v>
      </c>
      <c r="F106" s="12" t="str">
        <f t="shared" si="13"/>
        <v/>
      </c>
      <c r="G106" s="13">
        <v>0</v>
      </c>
      <c r="H106" s="13">
        <f t="shared" si="14"/>
        <v>208657</v>
      </c>
      <c r="I106" s="14" t="str">
        <f t="shared" si="15"/>
        <v/>
      </c>
      <c r="J106" s="57" t="s">
        <v>203</v>
      </c>
      <c r="K106" s="59" t="s">
        <v>204</v>
      </c>
    </row>
    <row r="107" spans="1:12" ht="15.75">
      <c r="A107" s="27" t="str">
        <v>Yellow Mills 3</v>
      </c>
      <c r="B107" s="28" t="str">
        <v>NY</v>
      </c>
      <c r="C107" s="10">
        <v>42064</v>
      </c>
      <c r="D107" s="15">
        <v>0</v>
      </c>
      <c r="E107" s="15">
        <f t="shared" si="12"/>
        <v>42064</v>
      </c>
      <c r="F107" s="16" t="str">
        <f t="shared" si="13"/>
        <v/>
      </c>
      <c r="G107" s="17">
        <v>0</v>
      </c>
      <c r="H107" s="17">
        <f t="shared" si="14"/>
        <v>42064</v>
      </c>
      <c r="I107" s="16" t="str">
        <f t="shared" si="15"/>
        <v/>
      </c>
      <c r="J107" s="57" t="s">
        <v>205</v>
      </c>
      <c r="K107" s="60" t="s">
        <v>206</v>
      </c>
    </row>
    <row r="108" spans="1:12" ht="28.5">
      <c r="A108" s="25" t="str">
        <v>Catskill</v>
      </c>
      <c r="B108" s="26" t="str">
        <v>NY</v>
      </c>
      <c r="C108" s="21">
        <v>454121</v>
      </c>
      <c r="D108" s="11">
        <v>0</v>
      </c>
      <c r="E108" s="11">
        <f t="shared" si="12"/>
        <v>454121</v>
      </c>
      <c r="F108" s="12" t="str">
        <f t="shared" si="13"/>
        <v/>
      </c>
      <c r="G108" s="13">
        <v>0</v>
      </c>
      <c r="H108" s="13">
        <f t="shared" si="14"/>
        <v>454121</v>
      </c>
      <c r="I108" s="14" t="str">
        <f t="shared" si="15"/>
        <v/>
      </c>
      <c r="J108" s="58" t="s">
        <v>207</v>
      </c>
      <c r="K108" s="59" t="s">
        <v>208</v>
      </c>
    </row>
    <row r="109" spans="1:12" ht="30.75">
      <c r="A109" s="27" t="str">
        <v>Eddy Ridge</v>
      </c>
      <c r="B109" s="28" t="str">
        <v>NY</v>
      </c>
      <c r="C109" s="10">
        <v>276167.8</v>
      </c>
      <c r="D109" s="15">
        <v>0</v>
      </c>
      <c r="E109" s="15">
        <f t="shared" si="12"/>
        <v>276167.8</v>
      </c>
      <c r="F109" s="16" t="str">
        <f t="shared" si="13"/>
        <v/>
      </c>
      <c r="G109" s="17">
        <v>0</v>
      </c>
      <c r="H109" s="17">
        <f t="shared" si="14"/>
        <v>276167.8</v>
      </c>
      <c r="I109" s="16" t="str">
        <f t="shared" si="15"/>
        <v/>
      </c>
      <c r="J109" s="57" t="s">
        <v>209</v>
      </c>
      <c r="K109" s="60" t="s">
        <v>210</v>
      </c>
    </row>
    <row r="110" spans="1:12" ht="78" customHeight="1">
      <c r="A110" s="25" t="str">
        <v>Ridgeway #1</v>
      </c>
      <c r="B110" s="26" t="str">
        <v>NY</v>
      </c>
      <c r="C110" s="21">
        <v>439556.49</v>
      </c>
      <c r="D110" s="11">
        <v>0</v>
      </c>
      <c r="E110" s="11">
        <f t="shared" si="12"/>
        <v>439556.49</v>
      </c>
      <c r="F110" s="12" t="str">
        <f t="shared" si="13"/>
        <v/>
      </c>
      <c r="G110" s="13">
        <v>0</v>
      </c>
      <c r="H110" s="13">
        <f t="shared" si="14"/>
        <v>439556.49</v>
      </c>
      <c r="I110" s="14" t="str">
        <f t="shared" si="15"/>
        <v/>
      </c>
      <c r="J110" s="59" t="s">
        <v>211</v>
      </c>
      <c r="K110" s="59" t="s">
        <v>212</v>
      </c>
    </row>
    <row r="111" spans="1:12" ht="71.650000000000006" customHeight="1">
      <c r="A111" s="27" t="str">
        <v>Rivard 1</v>
      </c>
      <c r="B111" s="28" t="str">
        <v>NY</v>
      </c>
      <c r="C111" s="10">
        <v>356850.90500000003</v>
      </c>
      <c r="D111" s="15">
        <v>440280.9</v>
      </c>
      <c r="E111" s="15">
        <f t="shared" si="12"/>
        <v>-83429.994999999995</v>
      </c>
      <c r="F111" s="16">
        <f t="shared" si="13"/>
        <v>-0.18949265116883332</v>
      </c>
      <c r="G111" s="17">
        <v>418704.8</v>
      </c>
      <c r="H111" s="17">
        <f t="shared" si="14"/>
        <v>-61853.89499999996</v>
      </c>
      <c r="I111" s="16">
        <f t="shared" si="15"/>
        <v>-0.14772673969823122</v>
      </c>
      <c r="J111" s="57" t="s">
        <v>213</v>
      </c>
      <c r="K111" s="57" t="s">
        <v>214</v>
      </c>
    </row>
    <row r="112" spans="1:12" ht="84.75" customHeight="1">
      <c r="A112" s="25" t="str">
        <v>Rivard 2</v>
      </c>
      <c r="B112" s="26" t="str">
        <v>NY</v>
      </c>
      <c r="C112" s="21">
        <v>367054.47894736798</v>
      </c>
      <c r="D112" s="11">
        <v>374976.3</v>
      </c>
      <c r="E112" s="11">
        <f t="shared" si="12"/>
        <v>-7921.8210526320036</v>
      </c>
      <c r="F112" s="12">
        <f t="shared" si="13"/>
        <v>-2.112619131564316E-2</v>
      </c>
      <c r="G112" s="13">
        <v>401534</v>
      </c>
      <c r="H112" s="13">
        <f t="shared" si="14"/>
        <v>-34479.521052632015</v>
      </c>
      <c r="I112" s="14">
        <f t="shared" si="15"/>
        <v>-8.5869493125443966E-2</v>
      </c>
      <c r="J112" s="58" t="s">
        <v>215</v>
      </c>
      <c r="K112" s="59" t="s">
        <v>216</v>
      </c>
    </row>
    <row r="113" spans="1:11" ht="15.75">
      <c r="A113" s="27" t="str">
        <v>Essex</v>
      </c>
      <c r="B113" s="28" t="str">
        <v>DC</v>
      </c>
      <c r="C113" s="10">
        <v>2236</v>
      </c>
      <c r="D113" s="15">
        <v>3005.7849999999999</v>
      </c>
      <c r="E113" s="15">
        <f t="shared" si="12"/>
        <v>-769.78499999999985</v>
      </c>
      <c r="F113" s="16">
        <f t="shared" si="13"/>
        <v>-0.25610115161264024</v>
      </c>
      <c r="G113" s="17">
        <v>2654.511</v>
      </c>
      <c r="H113" s="17">
        <f t="shared" si="14"/>
        <v>-418.51099999999997</v>
      </c>
      <c r="I113" s="16">
        <f t="shared" si="15"/>
        <v>-0.15766029976895932</v>
      </c>
      <c r="J113" s="57"/>
      <c r="K113" s="60"/>
    </row>
    <row r="114" spans="1:11" ht="15.75">
      <c r="A114" s="25" t="str">
        <v>Temple Sinai</v>
      </c>
      <c r="B114" s="26" t="str">
        <v>DC</v>
      </c>
      <c r="C114" s="21">
        <v>6407.6899999999396</v>
      </c>
      <c r="D114" s="11">
        <v>8966.9449999999997</v>
      </c>
      <c r="E114" s="11">
        <f t="shared" si="12"/>
        <v>-2559.2550000000601</v>
      </c>
      <c r="F114" s="12">
        <f t="shared" si="13"/>
        <v>-0.28540991385584058</v>
      </c>
      <c r="G114" s="13">
        <v>6422.192</v>
      </c>
      <c r="H114" s="13">
        <f t="shared" si="14"/>
        <v>-14.502000000060434</v>
      </c>
      <c r="I114" s="14">
        <f t="shared" si="15"/>
        <v>-2.2581075122108515E-3</v>
      </c>
      <c r="J114" s="58" t="s">
        <v>217</v>
      </c>
      <c r="K114" s="59" t="s">
        <v>218</v>
      </c>
    </row>
    <row r="115" spans="1:11" ht="15.75">
      <c r="A115" s="27" t="str">
        <v>Weinberg 1</v>
      </c>
      <c r="B115" s="28" t="str">
        <v>DC</v>
      </c>
      <c r="C115" s="10">
        <v>990</v>
      </c>
      <c r="D115" s="15">
        <v>1021.15</v>
      </c>
      <c r="E115" s="15">
        <f t="shared" si="12"/>
        <v>-31.149999999999977</v>
      </c>
      <c r="F115" s="16">
        <f t="shared" si="13"/>
        <v>-3.050482299368357E-2</v>
      </c>
      <c r="G115" s="17">
        <v>989.09860000000003</v>
      </c>
      <c r="H115" s="17">
        <f t="shared" si="14"/>
        <v>0.90139999999996689</v>
      </c>
      <c r="I115" s="16">
        <f t="shared" si="15"/>
        <v>9.113348254663052E-4</v>
      </c>
      <c r="J115" s="57"/>
      <c r="K115" s="60"/>
    </row>
    <row r="116" spans="1:11" ht="15.75">
      <c r="A116" s="25" t="str">
        <v>Weinberg 2</v>
      </c>
      <c r="B116" s="26" t="str">
        <v>DC</v>
      </c>
      <c r="C116" s="21">
        <v>1015</v>
      </c>
      <c r="D116" s="11">
        <v>957.60879999999997</v>
      </c>
      <c r="E116" s="11">
        <f t="shared" si="12"/>
        <v>57.391200000000026</v>
      </c>
      <c r="F116" s="12">
        <f t="shared" si="13"/>
        <v>5.9931780075538184E-2</v>
      </c>
      <c r="G116" s="13">
        <v>1030.5930000000001</v>
      </c>
      <c r="H116" s="13">
        <f t="shared" si="14"/>
        <v>-15.593000000000075</v>
      </c>
      <c r="I116" s="14">
        <f t="shared" si="15"/>
        <v>-1.5130124113010736E-2</v>
      </c>
      <c r="J116" s="58"/>
      <c r="K116" s="59"/>
    </row>
    <row r="117" spans="1:11" ht="15.75">
      <c r="A117" s="27" t="str">
        <v>Weinberg 3</v>
      </c>
      <c r="B117" s="28" t="str">
        <v>DC</v>
      </c>
      <c r="C117" s="10">
        <v>1162</v>
      </c>
      <c r="D117" s="15">
        <v>999.51030000000003</v>
      </c>
      <c r="E117" s="15">
        <f t="shared" si="12"/>
        <v>162.48969999999997</v>
      </c>
      <c r="F117" s="16">
        <f t="shared" si="13"/>
        <v>0.16256931019120061</v>
      </c>
      <c r="G117" s="17">
        <v>1068</v>
      </c>
      <c r="H117" s="17">
        <f t="shared" si="14"/>
        <v>94</v>
      </c>
      <c r="I117" s="16">
        <f t="shared" si="15"/>
        <v>8.8014981273408247E-2</v>
      </c>
      <c r="J117" s="57"/>
      <c r="K117" s="60"/>
    </row>
    <row r="118" spans="1:11" ht="15.75">
      <c r="A118" s="25" t="str">
        <v>Clayton Hall</v>
      </c>
      <c r="B118" s="26" t="str">
        <v>DE</v>
      </c>
      <c r="C118" s="21">
        <v>8519</v>
      </c>
      <c r="D118" s="11">
        <v>13058.816000000001</v>
      </c>
      <c r="E118" s="11">
        <f t="shared" si="12"/>
        <v>-4539.8160000000007</v>
      </c>
      <c r="F118" s="12">
        <f t="shared" si="13"/>
        <v>-0.34764376801082125</v>
      </c>
      <c r="G118" s="13">
        <v>2769.31</v>
      </c>
      <c r="H118" s="13">
        <f t="shared" si="14"/>
        <v>5749.6900000000005</v>
      </c>
      <c r="I118" s="14">
        <f t="shared" si="15"/>
        <v>2.0762175415536723</v>
      </c>
      <c r="J118" s="58" t="s">
        <v>219</v>
      </c>
      <c r="K118" s="59" t="s">
        <v>220</v>
      </c>
    </row>
    <row r="119" spans="1:11" ht="15.75">
      <c r="A119" s="27" t="str">
        <v>Field House</v>
      </c>
      <c r="B119" s="28" t="str">
        <v>DE</v>
      </c>
      <c r="C119" s="10">
        <v>41381</v>
      </c>
      <c r="D119" s="15">
        <v>0</v>
      </c>
      <c r="E119" s="15">
        <f t="shared" si="12"/>
        <v>41381</v>
      </c>
      <c r="F119" s="16" t="str">
        <f t="shared" si="13"/>
        <v/>
      </c>
      <c r="G119" s="17">
        <v>34707.084000000003</v>
      </c>
      <c r="H119" s="17">
        <f t="shared" si="14"/>
        <v>6673.9159999999974</v>
      </c>
      <c r="I119" s="16">
        <f t="shared" si="15"/>
        <v>0.19229261668885803</v>
      </c>
      <c r="J119" s="57"/>
      <c r="K119" s="60"/>
    </row>
    <row r="120" spans="1:11" ht="15.75">
      <c r="A120" s="25" t="str">
        <v>Wyoming Road</v>
      </c>
      <c r="B120" s="26" t="str">
        <v>DE</v>
      </c>
      <c r="C120" s="21">
        <v>21132</v>
      </c>
      <c r="D120" s="11">
        <v>20852.716</v>
      </c>
      <c r="E120" s="11">
        <f t="shared" si="12"/>
        <v>279.28399999999965</v>
      </c>
      <c r="F120" s="12">
        <f t="shared" si="13"/>
        <v>1.3393171421890542E-2</v>
      </c>
      <c r="G120" s="13">
        <v>23225.645</v>
      </c>
      <c r="H120" s="13">
        <f t="shared" si="14"/>
        <v>-2093.6450000000004</v>
      </c>
      <c r="I120" s="14">
        <f t="shared" si="15"/>
        <v>-9.014367523485356E-2</v>
      </c>
      <c r="J120" s="58"/>
      <c r="K120" s="59"/>
    </row>
    <row r="121" spans="1:11" ht="15.75">
      <c r="A121" s="27" t="str">
        <v>Leoku</v>
      </c>
      <c r="B121" s="28" t="str">
        <v>HI</v>
      </c>
      <c r="C121" s="10">
        <v>10185</v>
      </c>
      <c r="D121" s="15">
        <v>9559.4519999999993</v>
      </c>
      <c r="E121" s="15">
        <f t="shared" si="12"/>
        <v>625.54800000000068</v>
      </c>
      <c r="F121" s="16">
        <f t="shared" si="13"/>
        <v>6.5437642241417265E-2</v>
      </c>
      <c r="G121" s="17">
        <v>10774.923000000001</v>
      </c>
      <c r="H121" s="17">
        <f t="shared" si="14"/>
        <v>-589.92300000000068</v>
      </c>
      <c r="I121" s="16">
        <f t="shared" si="15"/>
        <v>-5.4749625588971784E-2</v>
      </c>
      <c r="J121" s="57"/>
      <c r="K121" s="60"/>
    </row>
    <row r="122" spans="1:11" ht="15.75">
      <c r="A122" s="25" t="str">
        <v>Waipahu</v>
      </c>
      <c r="B122" s="26" t="str">
        <v>HI</v>
      </c>
      <c r="C122" s="21">
        <v>11085</v>
      </c>
      <c r="D122" s="11">
        <v>9130.9279999999999</v>
      </c>
      <c r="E122" s="11">
        <f t="shared" si="12"/>
        <v>1954.0720000000001</v>
      </c>
      <c r="F122" s="12">
        <f t="shared" si="13"/>
        <v>0.21400584913165455</v>
      </c>
      <c r="G122" s="13">
        <v>10774.923000000001</v>
      </c>
      <c r="H122" s="13">
        <f t="shared" si="14"/>
        <v>310.07699999999932</v>
      </c>
      <c r="I122" s="14">
        <f t="shared" si="15"/>
        <v>2.8777653445876069E-2</v>
      </c>
      <c r="J122" s="58"/>
      <c r="K122" s="59"/>
    </row>
    <row r="123" spans="1:11" ht="15.75">
      <c r="A123" s="27" t="str">
        <v>Bird in Hand</v>
      </c>
      <c r="B123" s="28" t="str">
        <v>MD</v>
      </c>
      <c r="C123" s="10">
        <v>137720</v>
      </c>
      <c r="D123" s="15">
        <v>139927.70000000001</v>
      </c>
      <c r="E123" s="15">
        <f t="shared" si="12"/>
        <v>-2207.7000000000116</v>
      </c>
      <c r="F123" s="16">
        <f t="shared" si="13"/>
        <v>-1.5777433631797073E-2</v>
      </c>
      <c r="G123" s="17">
        <v>134561.5</v>
      </c>
      <c r="H123" s="17">
        <f t="shared" si="14"/>
        <v>3158.5</v>
      </c>
      <c r="I123" s="16">
        <f t="shared" si="15"/>
        <v>2.3472538579014057E-2</v>
      </c>
      <c r="J123" s="57"/>
      <c r="K123" s="60"/>
    </row>
    <row r="124" spans="1:11" ht="15.75">
      <c r="A124" s="25" t="str">
        <v>Shortal</v>
      </c>
      <c r="B124" s="26" t="str">
        <v>MD</v>
      </c>
      <c r="C124" s="21">
        <v>145554</v>
      </c>
      <c r="D124" s="11">
        <v>100718.3</v>
      </c>
      <c r="E124" s="11">
        <f t="shared" si="12"/>
        <v>44835.7</v>
      </c>
      <c r="F124" s="12">
        <f t="shared" si="13"/>
        <v>0.44515941988695196</v>
      </c>
      <c r="G124" s="13">
        <v>7485.1170000000002</v>
      </c>
      <c r="H124" s="13">
        <f t="shared" si="14"/>
        <v>138068.883</v>
      </c>
      <c r="I124" s="14">
        <f t="shared" si="15"/>
        <v>18.445788222148032</v>
      </c>
      <c r="J124" s="58"/>
      <c r="K124" s="59"/>
    </row>
    <row r="125" spans="1:11" ht="15.75">
      <c r="A125" s="27" t="str">
        <v>Aguadilla</v>
      </c>
      <c r="B125" s="28" t="str">
        <v>PR</v>
      </c>
      <c r="C125" s="10">
        <v>15313</v>
      </c>
      <c r="D125" s="15">
        <v>14685.7</v>
      </c>
      <c r="E125" s="15">
        <f t="shared" si="12"/>
        <v>627.29999999999927</v>
      </c>
      <c r="F125" s="16">
        <f t="shared" si="13"/>
        <v>4.2715022096324946E-2</v>
      </c>
      <c r="G125" s="17">
        <v>18246</v>
      </c>
      <c r="H125" s="17">
        <f t="shared" si="14"/>
        <v>-2933</v>
      </c>
      <c r="I125" s="16">
        <f t="shared" si="15"/>
        <v>-0.16074756110928423</v>
      </c>
      <c r="J125" s="57" t="s">
        <v>221</v>
      </c>
      <c r="K125" s="60" t="s">
        <v>222</v>
      </c>
    </row>
    <row r="126" spans="1:11" ht="42.75">
      <c r="A126" s="25" t="str">
        <v>Bayamon</v>
      </c>
      <c r="B126" s="26" t="str">
        <v>PR</v>
      </c>
      <c r="C126" s="21">
        <v>46973</v>
      </c>
      <c r="D126" s="11">
        <v>57930.46</v>
      </c>
      <c r="E126" s="11">
        <f t="shared" si="12"/>
        <v>-10957.46</v>
      </c>
      <c r="F126" s="12">
        <f t="shared" si="13"/>
        <v>-0.18914850667507213</v>
      </c>
      <c r="G126" s="13">
        <v>0</v>
      </c>
      <c r="H126" s="13">
        <f t="shared" si="14"/>
        <v>46973</v>
      </c>
      <c r="I126" s="14" t="str">
        <f t="shared" si="15"/>
        <v/>
      </c>
      <c r="J126" s="58" t="s">
        <v>223</v>
      </c>
      <c r="K126" s="59" t="s">
        <v>224</v>
      </c>
    </row>
    <row r="127" spans="1:11" ht="42.75">
      <c r="A127" s="27" t="str">
        <v>St Francis</v>
      </c>
      <c r="B127" s="28" t="str">
        <v>PR</v>
      </c>
      <c r="C127" s="10">
        <v>13954</v>
      </c>
      <c r="D127" s="15">
        <v>34576.160000000003</v>
      </c>
      <c r="E127" s="15">
        <f t="shared" si="12"/>
        <v>-20622.160000000003</v>
      </c>
      <c r="F127" s="16">
        <f t="shared" si="13"/>
        <v>-0.59642713360882182</v>
      </c>
      <c r="G127" s="17">
        <v>24282</v>
      </c>
      <c r="H127" s="17">
        <f t="shared" si="14"/>
        <v>-10328</v>
      </c>
      <c r="I127" s="16">
        <f t="shared" si="15"/>
        <v>-0.42533563956840459</v>
      </c>
      <c r="J127" s="57" t="s">
        <v>225</v>
      </c>
      <c r="K127" s="64" t="s">
        <v>226</v>
      </c>
    </row>
    <row r="128" spans="1:11" ht="15.75">
      <c r="A128" s="25" t="str">
        <v>Seaport</v>
      </c>
      <c r="B128" s="26" t="str">
        <v>MA</v>
      </c>
      <c r="C128" s="21">
        <v>41241</v>
      </c>
      <c r="D128" s="11">
        <v>35120.870000000003</v>
      </c>
      <c r="E128" s="11">
        <f t="shared" si="12"/>
        <v>6120.1299999999974</v>
      </c>
      <c r="F128" s="12">
        <f t="shared" si="13"/>
        <v>0.1742590659058274</v>
      </c>
      <c r="G128" s="13">
        <v>35874.839999999997</v>
      </c>
      <c r="H128" s="13">
        <f t="shared" si="14"/>
        <v>5366.1600000000035</v>
      </c>
      <c r="I128" s="14">
        <f t="shared" si="15"/>
        <v>0.14958003993885419</v>
      </c>
      <c r="J128" s="58" t="s">
        <v>227</v>
      </c>
      <c r="K128" s="59" t="s">
        <v>228</v>
      </c>
    </row>
    <row r="129" spans="1:11" ht="15.75">
      <c r="A129" s="27" t="str">
        <v>Sprague St</v>
      </c>
      <c r="B129" s="28" t="str">
        <v>MA</v>
      </c>
      <c r="C129" s="10">
        <v>94270.5</v>
      </c>
      <c r="D129" s="15">
        <v>92569.847999999998</v>
      </c>
      <c r="E129" s="15">
        <f t="shared" si="12"/>
        <v>1700.6520000000019</v>
      </c>
      <c r="F129" s="16">
        <f t="shared" si="13"/>
        <v>1.8371554418021751E-2</v>
      </c>
      <c r="G129" s="17">
        <v>73764.990999999995</v>
      </c>
      <c r="H129" s="17">
        <f t="shared" si="14"/>
        <v>20505.509000000005</v>
      </c>
      <c r="I129" s="16">
        <f t="shared" si="15"/>
        <v>0.27798429474491504</v>
      </c>
      <c r="J129" s="57" t="s">
        <v>229</v>
      </c>
      <c r="K129" s="60" t="s">
        <v>230</v>
      </c>
    </row>
    <row r="130" spans="1:11" ht="15.75">
      <c r="A130" s="25" t="str">
        <v>Summer St</v>
      </c>
      <c r="B130" s="26" t="str">
        <v>MA</v>
      </c>
      <c r="C130" s="21">
        <v>199486</v>
      </c>
      <c r="D130" s="11">
        <v>198743.2</v>
      </c>
      <c r="E130" s="11">
        <f t="shared" si="12"/>
        <v>742.79999999998836</v>
      </c>
      <c r="F130" s="12">
        <f t="shared" si="13"/>
        <v>3.7374863643132861E-3</v>
      </c>
      <c r="G130" s="13">
        <v>171694.9</v>
      </c>
      <c r="H130" s="13">
        <f t="shared" si="14"/>
        <v>27791.100000000006</v>
      </c>
      <c r="I130" s="14">
        <f t="shared" si="15"/>
        <v>0.16186328190295696</v>
      </c>
      <c r="J130" s="58"/>
      <c r="K130" s="59"/>
    </row>
    <row r="131" spans="1:11" ht="15.75">
      <c r="A131" s="27" t="str">
        <v>Brock St Vocational</v>
      </c>
      <c r="B131" s="28" t="str">
        <v>NH</v>
      </c>
      <c r="C131" s="10">
        <v>7683.0969245387796</v>
      </c>
      <c r="D131" s="15">
        <v>9051.2430000000004</v>
      </c>
      <c r="E131" s="15">
        <f t="shared" si="12"/>
        <v>-1368.1460754612208</v>
      </c>
      <c r="F131" s="16">
        <f t="shared" si="13"/>
        <v>-0.15115560099990916</v>
      </c>
      <c r="G131" s="17">
        <v>5578.1639999999998</v>
      </c>
      <c r="H131" s="17">
        <f t="shared" si="14"/>
        <v>2104.9329245387798</v>
      </c>
      <c r="I131" s="16">
        <f t="shared" si="15"/>
        <v>0.37735228375120916</v>
      </c>
      <c r="J131" s="57"/>
      <c r="K131" s="60"/>
    </row>
    <row r="132" spans="1:11" ht="15.75">
      <c r="A132" s="25" t="str">
        <v>McClelland ES</v>
      </c>
      <c r="B132" s="26" t="str">
        <v>NH</v>
      </c>
      <c r="C132" s="21">
        <v>6756.0919999999996</v>
      </c>
      <c r="D132" s="11">
        <v>9837.4619999999995</v>
      </c>
      <c r="E132" s="11">
        <f t="shared" si="12"/>
        <v>-3081.37</v>
      </c>
      <c r="F132" s="12">
        <f t="shared" si="13"/>
        <v>-0.31322814766654244</v>
      </c>
      <c r="G132" s="13">
        <v>4705.1850000000004</v>
      </c>
      <c r="H132" s="13">
        <f t="shared" si="14"/>
        <v>2050.9069999999992</v>
      </c>
      <c r="I132" s="14">
        <f t="shared" si="15"/>
        <v>0.43588232981274894</v>
      </c>
      <c r="J132" s="58"/>
      <c r="K132" s="59"/>
    </row>
    <row r="133" spans="1:11" ht="15.75">
      <c r="A133" s="27" t="str">
        <v>Portland St</v>
      </c>
      <c r="B133" s="28" t="str">
        <v>NH</v>
      </c>
      <c r="C133" s="10">
        <v>4841.2209999999995</v>
      </c>
      <c r="D133" s="15">
        <v>5080.41</v>
      </c>
      <c r="E133" s="15">
        <f t="shared" si="12"/>
        <v>-239.18900000000031</v>
      </c>
      <c r="F133" s="16">
        <f t="shared" si="13"/>
        <v>-4.7080649002738027E-2</v>
      </c>
      <c r="G133" s="17">
        <v>5616.41</v>
      </c>
      <c r="H133" s="17">
        <f t="shared" si="14"/>
        <v>-775.18900000000031</v>
      </c>
      <c r="I133" s="16">
        <f t="shared" si="15"/>
        <v>-0.1380221529411137</v>
      </c>
      <c r="J133" s="57"/>
      <c r="K133" s="60"/>
    </row>
    <row r="134" spans="1:11" ht="15.75">
      <c r="A134" s="25" t="str">
        <v>Portsmouth HS</v>
      </c>
      <c r="B134" s="26" t="str">
        <v>NH</v>
      </c>
      <c r="C134" s="21">
        <v>23245</v>
      </c>
      <c r="D134" s="11">
        <v>23386.526999999998</v>
      </c>
      <c r="E134" s="11">
        <f t="shared" si="12"/>
        <v>-141.52699999999822</v>
      </c>
      <c r="F134" s="12">
        <f t="shared" si="13"/>
        <v>-6.0516467451536618E-3</v>
      </c>
      <c r="G134" s="13">
        <v>10031.109</v>
      </c>
      <c r="H134" s="13">
        <f t="shared" si="14"/>
        <v>13213.891</v>
      </c>
      <c r="I134" s="14">
        <f t="shared" si="15"/>
        <v>1.3172911389956983</v>
      </c>
      <c r="J134" s="58"/>
      <c r="K134" s="59"/>
    </row>
    <row r="135" spans="1:11" ht="15.75">
      <c r="A135" s="27" t="str">
        <v>Portsmouth WTP</v>
      </c>
      <c r="B135" s="28" t="str">
        <v>NH</v>
      </c>
      <c r="C135" s="10">
        <v>24756.5</v>
      </c>
      <c r="D135" s="15">
        <v>28681.8</v>
      </c>
      <c r="E135" s="15">
        <f t="shared" si="12"/>
        <v>-3925.2999999999993</v>
      </c>
      <c r="F135" s="16">
        <f t="shared" si="13"/>
        <v>-0.1368568220962422</v>
      </c>
      <c r="G135" s="17">
        <v>15500.15</v>
      </c>
      <c r="H135" s="17">
        <f t="shared" si="14"/>
        <v>9256.35</v>
      </c>
      <c r="I135" s="16">
        <f t="shared" si="15"/>
        <v>0.59717809182491788</v>
      </c>
      <c r="J135" s="57" t="s">
        <v>231</v>
      </c>
      <c r="K135" s="60" t="s">
        <v>232</v>
      </c>
    </row>
    <row r="136" spans="1:11" ht="15.75">
      <c r="A136" s="25" t="str">
        <v>Rochester St</v>
      </c>
      <c r="B136" s="26" t="str">
        <v>NH</v>
      </c>
      <c r="C136" s="21">
        <v>20943.878000000001</v>
      </c>
      <c r="D136" s="11">
        <v>28162.888999999999</v>
      </c>
      <c r="E136" s="11">
        <f t="shared" si="12"/>
        <v>-7219.0109999999986</v>
      </c>
      <c r="F136" s="12">
        <f t="shared" si="13"/>
        <v>-0.25633062715973487</v>
      </c>
      <c r="G136" s="13">
        <v>14876.294</v>
      </c>
      <c r="H136" s="13">
        <f t="shared" si="14"/>
        <v>6067.5840000000007</v>
      </c>
      <c r="I136" s="14">
        <f t="shared" si="15"/>
        <v>0.40786932551884231</v>
      </c>
      <c r="J136" s="58"/>
      <c r="K136" s="59"/>
    </row>
    <row r="137" spans="1:11" ht="15.75">
      <c r="A137" s="27" t="str">
        <v>Spaulding HS</v>
      </c>
      <c r="B137" s="28" t="str">
        <v>NH</v>
      </c>
      <c r="C137" s="10">
        <v>9600.8161760828207</v>
      </c>
      <c r="D137" s="15">
        <v>11954.22</v>
      </c>
      <c r="E137" s="15">
        <f t="shared" si="12"/>
        <v>-2353.4038239171787</v>
      </c>
      <c r="F137" s="16">
        <f t="shared" si="13"/>
        <v>-0.19686803688715607</v>
      </c>
      <c r="G137" s="17">
        <v>6332.8559999999998</v>
      </c>
      <c r="H137" s="17">
        <f t="shared" si="14"/>
        <v>3267.9601760828209</v>
      </c>
      <c r="I137" s="16">
        <f t="shared" si="15"/>
        <v>0.51603260457569555</v>
      </c>
      <c r="J137" s="70"/>
      <c r="K137" s="40"/>
    </row>
    <row r="138" spans="1:11">
      <c r="A138" s="18"/>
      <c r="B138" s="30"/>
      <c r="C138" s="18"/>
      <c r="D138" s="18"/>
      <c r="E138" s="18"/>
      <c r="F138" s="19"/>
      <c r="G138" s="18"/>
      <c r="H138" s="18"/>
      <c r="I138" s="19"/>
      <c r="K138" s="18"/>
    </row>
    <row r="139" spans="1:11">
      <c r="A139" s="18"/>
      <c r="B139" s="30"/>
      <c r="C139" s="18"/>
      <c r="D139" s="18"/>
      <c r="E139" s="18"/>
      <c r="F139" s="19"/>
      <c r="G139" s="18"/>
      <c r="H139" s="18"/>
      <c r="I139" s="19"/>
      <c r="K139" s="18"/>
    </row>
    <row r="140" spans="1:11">
      <c r="A140" s="18"/>
      <c r="B140" s="30"/>
      <c r="C140" s="18"/>
      <c r="D140" s="18"/>
      <c r="E140" s="18"/>
      <c r="F140" s="19"/>
      <c r="G140" s="18"/>
      <c r="H140" s="18"/>
      <c r="I140" s="19"/>
      <c r="K140" s="18"/>
    </row>
    <row r="141" spans="1:11">
      <c r="A141" s="18"/>
      <c r="B141" s="30"/>
      <c r="C141" s="18"/>
      <c r="D141" s="18"/>
      <c r="E141" s="18"/>
      <c r="F141" s="19"/>
      <c r="G141" s="18"/>
      <c r="H141" s="18"/>
      <c r="I141" s="19"/>
      <c r="K141" s="18"/>
    </row>
    <row r="142" spans="1:11">
      <c r="A142" s="18"/>
      <c r="B142" s="30"/>
      <c r="C142" s="18"/>
      <c r="D142" s="18"/>
      <c r="E142" s="18"/>
      <c r="F142" s="19"/>
      <c r="G142" s="18"/>
      <c r="H142" s="18"/>
      <c r="I142" s="19"/>
      <c r="K142" s="18"/>
    </row>
    <row r="143" spans="1:11">
      <c r="A143" s="18"/>
      <c r="B143" s="30"/>
      <c r="C143" s="18"/>
      <c r="D143" s="18"/>
      <c r="E143" s="18"/>
      <c r="F143" s="19"/>
      <c r="G143" s="18"/>
      <c r="H143" s="18"/>
      <c r="I143" s="19"/>
      <c r="K143" s="18"/>
    </row>
    <row r="144" spans="1:11">
      <c r="A144" s="18"/>
      <c r="B144" s="30"/>
      <c r="C144" s="18"/>
      <c r="D144" s="18"/>
      <c r="E144" s="18"/>
      <c r="F144" s="19"/>
      <c r="G144" s="18"/>
      <c r="H144" s="18"/>
      <c r="I144" s="19"/>
      <c r="K144" s="18"/>
    </row>
    <row r="145" spans="1:11">
      <c r="A145" s="18"/>
      <c r="B145" s="30"/>
      <c r="C145" s="18"/>
      <c r="D145" s="18"/>
      <c r="E145" s="18"/>
      <c r="F145" s="19"/>
      <c r="G145" s="18"/>
      <c r="H145" s="18"/>
      <c r="I145" s="19"/>
      <c r="K145" s="18"/>
    </row>
    <row r="146" spans="1:11">
      <c r="A146" s="18"/>
      <c r="B146" s="30"/>
      <c r="C146" s="18"/>
      <c r="D146" s="18"/>
      <c r="E146" s="18"/>
      <c r="F146" s="19"/>
      <c r="G146" s="18"/>
      <c r="H146" s="18"/>
      <c r="I146" s="19"/>
      <c r="K146" s="18"/>
    </row>
    <row r="147" spans="1:11">
      <c r="A147" s="18"/>
      <c r="B147" s="30"/>
      <c r="C147" s="18"/>
      <c r="D147" s="18"/>
      <c r="E147" s="18"/>
      <c r="F147" s="19"/>
      <c r="G147" s="18"/>
      <c r="H147" s="18"/>
      <c r="I147" s="19"/>
      <c r="K147" s="18"/>
    </row>
    <row r="148" spans="1:11">
      <c r="A148" s="18"/>
      <c r="B148" s="30"/>
      <c r="C148" s="18"/>
      <c r="D148" s="18"/>
      <c r="E148" s="18"/>
      <c r="F148" s="19"/>
      <c r="G148" s="18"/>
      <c r="H148" s="18"/>
      <c r="I148" s="19"/>
      <c r="K148" s="18"/>
    </row>
    <row r="149" spans="1:11">
      <c r="A149" s="18"/>
      <c r="B149" s="30"/>
      <c r="C149" s="18"/>
      <c r="D149" s="18"/>
      <c r="E149" s="18"/>
      <c r="F149" s="19"/>
      <c r="G149" s="18"/>
      <c r="H149" s="18"/>
      <c r="I149" s="19"/>
      <c r="K149" s="18"/>
    </row>
    <row r="150" spans="1:11">
      <c r="A150" s="18"/>
      <c r="B150" s="30"/>
      <c r="C150" s="18"/>
      <c r="D150" s="18"/>
      <c r="E150" s="18"/>
      <c r="F150" s="19"/>
      <c r="G150" s="18"/>
      <c r="H150" s="18"/>
      <c r="I150" s="19"/>
      <c r="K150" s="18"/>
    </row>
    <row r="151" spans="1:11">
      <c r="A151" s="18"/>
      <c r="B151" s="30"/>
      <c r="C151" s="18"/>
      <c r="D151" s="18"/>
      <c r="E151" s="18"/>
      <c r="F151" s="19"/>
      <c r="G151" s="18"/>
      <c r="H151" s="18"/>
      <c r="I151" s="19"/>
      <c r="K151" s="18"/>
    </row>
    <row r="152" spans="1:11">
      <c r="A152" s="18"/>
      <c r="B152" s="30"/>
      <c r="C152" s="18"/>
      <c r="D152" s="18"/>
      <c r="E152" s="18"/>
      <c r="F152" s="19"/>
      <c r="G152" s="18"/>
      <c r="H152" s="18"/>
      <c r="I152" s="19"/>
      <c r="K152" s="18"/>
    </row>
    <row r="153" spans="1:11">
      <c r="A153" s="18"/>
      <c r="B153" s="30"/>
      <c r="C153" s="18"/>
      <c r="D153" s="18"/>
      <c r="E153" s="18"/>
      <c r="F153" s="19"/>
      <c r="G153" s="18"/>
      <c r="H153" s="18"/>
      <c r="I153" s="19"/>
      <c r="K153" s="18"/>
    </row>
    <row r="154" spans="1:11">
      <c r="A154" s="18"/>
      <c r="B154" s="30"/>
      <c r="C154" s="18"/>
      <c r="D154" s="18"/>
      <c r="E154" s="18"/>
      <c r="F154" s="19"/>
      <c r="G154" s="18"/>
      <c r="H154" s="18"/>
      <c r="I154" s="19"/>
      <c r="K154" s="18"/>
    </row>
    <row r="155" spans="1:11">
      <c r="A155" s="18"/>
      <c r="B155" s="30"/>
      <c r="C155" s="18"/>
      <c r="D155" s="18"/>
      <c r="E155" s="18"/>
      <c r="F155" s="19"/>
      <c r="G155" s="18"/>
      <c r="H155" s="18"/>
      <c r="I155" s="19"/>
      <c r="K155" s="18"/>
    </row>
    <row r="156" spans="1:11">
      <c r="A156" s="18"/>
      <c r="B156" s="30"/>
      <c r="C156" s="18"/>
      <c r="D156" s="18"/>
      <c r="E156" s="18"/>
      <c r="F156" s="19"/>
      <c r="G156" s="18"/>
      <c r="H156" s="18"/>
      <c r="I156" s="19"/>
      <c r="K156" s="18"/>
    </row>
    <row r="157" spans="1:11">
      <c r="A157" s="18"/>
      <c r="B157" s="30"/>
      <c r="C157" s="18"/>
      <c r="D157" s="18"/>
      <c r="E157" s="18"/>
      <c r="F157" s="19"/>
      <c r="G157" s="18"/>
      <c r="H157" s="18"/>
      <c r="I157" s="19"/>
      <c r="K157" s="18"/>
    </row>
    <row r="158" spans="1:11">
      <c r="A158" s="18"/>
      <c r="B158" s="30"/>
      <c r="C158" s="18"/>
      <c r="D158" s="18"/>
      <c r="E158" s="18"/>
      <c r="F158" s="19"/>
      <c r="G158" s="18"/>
      <c r="H158" s="18"/>
      <c r="I158" s="19"/>
      <c r="K158" s="18"/>
    </row>
    <row r="159" spans="1:11">
      <c r="A159" s="18"/>
      <c r="B159" s="30"/>
      <c r="C159" s="18"/>
      <c r="D159" s="18"/>
      <c r="E159" s="18"/>
      <c r="F159" s="19"/>
      <c r="G159" s="18"/>
      <c r="H159" s="18"/>
      <c r="I159" s="19"/>
      <c r="K159" s="18"/>
    </row>
    <row r="160" spans="1:11">
      <c r="A160" s="18"/>
      <c r="B160" s="30"/>
      <c r="C160" s="18"/>
      <c r="D160" s="18"/>
      <c r="E160" s="18"/>
      <c r="F160" s="19"/>
      <c r="G160" s="18"/>
      <c r="H160" s="18"/>
      <c r="I160" s="19"/>
      <c r="K160" s="18"/>
    </row>
    <row r="161" spans="1:11">
      <c r="A161" s="18"/>
      <c r="B161" s="30"/>
      <c r="C161" s="18"/>
      <c r="D161" s="18"/>
      <c r="E161" s="18"/>
      <c r="F161" s="19"/>
      <c r="G161" s="18"/>
      <c r="H161" s="18"/>
      <c r="I161" s="19"/>
      <c r="K161" s="18"/>
    </row>
    <row r="162" spans="1:11">
      <c r="A162" s="18"/>
      <c r="B162" s="30"/>
      <c r="C162" s="18"/>
      <c r="D162" s="18"/>
      <c r="E162" s="18"/>
      <c r="F162" s="19"/>
      <c r="G162" s="18"/>
      <c r="H162" s="18"/>
      <c r="I162" s="19"/>
      <c r="K162" s="18"/>
    </row>
    <row r="163" spans="1:11">
      <c r="A163" s="18"/>
      <c r="B163" s="30"/>
      <c r="C163" s="18"/>
      <c r="D163" s="18"/>
      <c r="E163" s="18"/>
      <c r="F163" s="19"/>
      <c r="G163" s="18"/>
      <c r="H163" s="18"/>
      <c r="I163" s="19"/>
      <c r="K163" s="18"/>
    </row>
    <row r="164" spans="1:11">
      <c r="A164" s="18"/>
      <c r="B164" s="30"/>
      <c r="C164" s="18"/>
      <c r="D164" s="18"/>
      <c r="E164" s="18"/>
      <c r="F164" s="19"/>
      <c r="G164" s="18"/>
      <c r="H164" s="18"/>
      <c r="I164" s="19"/>
      <c r="K164" s="18"/>
    </row>
    <row r="165" spans="1:11">
      <c r="A165" s="18"/>
      <c r="B165" s="30"/>
      <c r="C165" s="18"/>
      <c r="D165" s="18"/>
      <c r="E165" s="18"/>
      <c r="F165" s="19"/>
      <c r="G165" s="18"/>
      <c r="H165" s="18"/>
      <c r="I165" s="19"/>
      <c r="K165" s="18"/>
    </row>
    <row r="166" spans="1:11">
      <c r="A166" s="18"/>
      <c r="B166" s="30"/>
      <c r="C166" s="18"/>
      <c r="D166" s="18"/>
      <c r="E166" s="18"/>
      <c r="F166" s="19"/>
      <c r="G166" s="18"/>
      <c r="H166" s="18"/>
      <c r="I166" s="19"/>
      <c r="K166" s="18"/>
    </row>
    <row r="167" spans="1:11">
      <c r="A167" s="18"/>
      <c r="B167" s="30"/>
      <c r="C167" s="18"/>
      <c r="D167" s="18"/>
      <c r="E167" s="18"/>
      <c r="F167" s="19"/>
      <c r="G167" s="18"/>
      <c r="H167" s="18"/>
      <c r="I167" s="19"/>
      <c r="K167" s="18"/>
    </row>
    <row r="168" spans="1:11">
      <c r="A168" s="18"/>
      <c r="B168" s="30"/>
      <c r="C168" s="18"/>
      <c r="D168" s="18"/>
      <c r="E168" s="18"/>
      <c r="F168" s="19"/>
      <c r="G168" s="18"/>
      <c r="H168" s="18"/>
      <c r="I168" s="19"/>
      <c r="K168" s="18"/>
    </row>
    <row r="169" spans="1:11">
      <c r="A169" s="18"/>
      <c r="B169" s="30"/>
      <c r="C169" s="18"/>
      <c r="D169" s="18"/>
      <c r="E169" s="18"/>
      <c r="F169" s="19"/>
      <c r="G169" s="18"/>
      <c r="H169" s="18"/>
      <c r="I169" s="19"/>
      <c r="K169" s="18"/>
    </row>
    <row r="170" spans="1:11">
      <c r="A170" s="18"/>
      <c r="B170" s="30"/>
      <c r="C170" s="18"/>
      <c r="D170" s="18"/>
      <c r="E170" s="18"/>
      <c r="F170" s="19"/>
      <c r="G170" s="18"/>
      <c r="H170" s="18"/>
      <c r="I170" s="19"/>
      <c r="K170" s="18"/>
    </row>
    <row r="171" spans="1:11">
      <c r="A171" s="18"/>
      <c r="B171" s="30"/>
      <c r="C171" s="18"/>
      <c r="D171" s="18"/>
      <c r="E171" s="18"/>
      <c r="F171" s="19"/>
      <c r="G171" s="18"/>
      <c r="H171" s="18"/>
      <c r="I171" s="19"/>
      <c r="K171" s="18"/>
    </row>
    <row r="172" spans="1:11">
      <c r="A172" s="18"/>
      <c r="B172" s="30"/>
      <c r="C172" s="18"/>
      <c r="D172" s="18"/>
      <c r="E172" s="18"/>
      <c r="F172" s="19"/>
      <c r="G172" s="18"/>
      <c r="H172" s="18"/>
      <c r="I172" s="19"/>
      <c r="K172" s="18"/>
    </row>
    <row r="173" spans="1:11">
      <c r="A173" s="18"/>
      <c r="B173" s="30"/>
      <c r="C173" s="18"/>
      <c r="D173" s="18"/>
      <c r="E173" s="18"/>
      <c r="F173" s="19"/>
      <c r="G173" s="18"/>
      <c r="H173" s="18"/>
      <c r="I173" s="19"/>
      <c r="K173" s="18"/>
    </row>
    <row r="174" spans="1:11">
      <c r="A174" s="18"/>
      <c r="B174" s="30"/>
      <c r="C174" s="18"/>
      <c r="D174" s="18"/>
      <c r="E174" s="18"/>
      <c r="F174" s="19"/>
      <c r="G174" s="18"/>
      <c r="H174" s="18"/>
      <c r="I174" s="19"/>
      <c r="K174" s="18"/>
    </row>
    <row r="175" spans="1:11">
      <c r="A175" s="18"/>
      <c r="B175" s="30"/>
      <c r="C175" s="18"/>
      <c r="D175" s="18"/>
      <c r="E175" s="18"/>
      <c r="F175" s="19"/>
      <c r="G175" s="18"/>
      <c r="H175" s="18"/>
      <c r="I175" s="19"/>
      <c r="K175" s="18"/>
    </row>
    <row r="176" spans="1:11">
      <c r="A176" s="18"/>
      <c r="B176" s="30"/>
      <c r="C176" s="18"/>
      <c r="D176" s="18"/>
      <c r="E176" s="18"/>
      <c r="F176" s="19"/>
      <c r="G176" s="18"/>
      <c r="H176" s="18"/>
      <c r="I176" s="19"/>
      <c r="K176" s="18"/>
    </row>
    <row r="177" spans="1:11">
      <c r="A177" s="18"/>
      <c r="B177" s="30"/>
      <c r="C177" s="18"/>
      <c r="D177" s="18"/>
      <c r="E177" s="18"/>
      <c r="F177" s="19"/>
      <c r="G177" s="18"/>
      <c r="H177" s="18"/>
      <c r="I177" s="19"/>
      <c r="K177" s="18"/>
    </row>
    <row r="178" spans="1:11">
      <c r="A178" s="18"/>
      <c r="B178" s="30"/>
      <c r="C178" s="18"/>
      <c r="D178" s="18"/>
      <c r="E178" s="18"/>
      <c r="F178" s="19"/>
      <c r="G178" s="18"/>
      <c r="H178" s="18"/>
      <c r="I178" s="19"/>
      <c r="K178" s="18"/>
    </row>
    <row r="179" spans="1:11">
      <c r="A179" s="18"/>
      <c r="B179" s="30"/>
      <c r="C179" s="18"/>
      <c r="D179" s="18"/>
      <c r="E179" s="18"/>
      <c r="F179" s="19"/>
      <c r="G179" s="18"/>
      <c r="H179" s="18"/>
      <c r="I179" s="19"/>
      <c r="K179" s="18"/>
    </row>
    <row r="180" spans="1:11">
      <c r="A180" s="18"/>
      <c r="B180" s="30"/>
      <c r="C180" s="18"/>
      <c r="D180" s="18"/>
      <c r="E180" s="18"/>
      <c r="F180" s="19"/>
      <c r="G180" s="18"/>
      <c r="H180" s="18"/>
      <c r="I180" s="19"/>
      <c r="K180" s="18"/>
    </row>
    <row r="181" spans="1:11">
      <c r="A181" s="18"/>
      <c r="B181" s="30"/>
      <c r="C181" s="18"/>
      <c r="D181" s="18"/>
      <c r="E181" s="18"/>
      <c r="F181" s="19"/>
      <c r="G181" s="18"/>
      <c r="H181" s="18"/>
      <c r="I181" s="19"/>
      <c r="K181" s="18"/>
    </row>
    <row r="182" spans="1:11">
      <c r="A182" s="18"/>
      <c r="B182" s="30"/>
      <c r="C182" s="18"/>
      <c r="D182" s="18"/>
      <c r="E182" s="18"/>
      <c r="F182" s="19"/>
      <c r="G182" s="18"/>
      <c r="H182" s="18"/>
      <c r="I182" s="19"/>
      <c r="K182" s="18"/>
    </row>
    <row r="183" spans="1:11">
      <c r="A183" s="18"/>
      <c r="B183" s="30"/>
      <c r="C183" s="18"/>
      <c r="D183" s="18"/>
      <c r="E183" s="18"/>
      <c r="F183" s="19"/>
      <c r="G183" s="18"/>
      <c r="H183" s="18"/>
      <c r="I183" s="19"/>
      <c r="K183" s="18"/>
    </row>
    <row r="184" spans="1:11">
      <c r="A184" s="18"/>
      <c r="B184" s="30"/>
      <c r="C184" s="18"/>
      <c r="D184" s="18"/>
      <c r="E184" s="18"/>
      <c r="F184" s="19"/>
      <c r="G184" s="18"/>
      <c r="H184" s="18"/>
      <c r="I184" s="19"/>
      <c r="K184" s="18"/>
    </row>
    <row r="185" spans="1:11">
      <c r="A185" s="18"/>
      <c r="B185" s="30"/>
      <c r="C185" s="18"/>
      <c r="D185" s="18"/>
      <c r="E185" s="18"/>
      <c r="F185" s="19"/>
      <c r="G185" s="18"/>
      <c r="H185" s="18"/>
      <c r="I185" s="19"/>
      <c r="K185" s="18"/>
    </row>
    <row r="186" spans="1:11">
      <c r="A186" s="18"/>
      <c r="B186" s="30"/>
      <c r="C186" s="18"/>
      <c r="D186" s="18"/>
      <c r="E186" s="18"/>
      <c r="F186" s="19"/>
      <c r="G186" s="18"/>
      <c r="H186" s="18"/>
      <c r="I186" s="19"/>
      <c r="K186" s="18"/>
    </row>
    <row r="187" spans="1:11">
      <c r="A187" s="18"/>
      <c r="B187" s="30"/>
      <c r="C187" s="18"/>
      <c r="D187" s="18"/>
      <c r="E187" s="18"/>
      <c r="F187" s="19"/>
      <c r="G187" s="18"/>
      <c r="H187" s="18"/>
      <c r="I187" s="19"/>
      <c r="K187" s="18"/>
    </row>
    <row r="188" spans="1:11">
      <c r="A188" s="18"/>
      <c r="B188" s="30"/>
      <c r="C188" s="18"/>
      <c r="D188" s="18"/>
      <c r="E188" s="18"/>
      <c r="F188" s="19"/>
      <c r="G188" s="18"/>
      <c r="H188" s="18"/>
      <c r="I188" s="19"/>
      <c r="K188" s="18"/>
    </row>
    <row r="189" spans="1:11">
      <c r="A189" s="18"/>
      <c r="B189" s="30"/>
      <c r="C189" s="18"/>
      <c r="D189" s="18"/>
      <c r="E189" s="18"/>
      <c r="F189" s="19"/>
      <c r="G189" s="18"/>
      <c r="H189" s="18"/>
      <c r="I189" s="19"/>
      <c r="K189" s="18"/>
    </row>
    <row r="190" spans="1:11">
      <c r="A190" s="18"/>
      <c r="B190" s="30"/>
      <c r="C190" s="18"/>
      <c r="D190" s="18"/>
      <c r="E190" s="18"/>
      <c r="F190" s="19"/>
      <c r="G190" s="18"/>
      <c r="H190" s="18"/>
      <c r="I190" s="19"/>
      <c r="K190" s="18"/>
    </row>
    <row r="191" spans="1:11">
      <c r="A191" s="18"/>
      <c r="B191" s="30"/>
      <c r="C191" s="18"/>
      <c r="D191" s="18"/>
      <c r="E191" s="18"/>
      <c r="F191" s="19"/>
      <c r="G191" s="18"/>
      <c r="H191" s="18"/>
      <c r="I191" s="19"/>
      <c r="K191" s="18"/>
    </row>
    <row r="192" spans="1:11">
      <c r="A192" s="18"/>
      <c r="B192" s="30"/>
      <c r="C192" s="18"/>
      <c r="D192" s="18"/>
      <c r="E192" s="18"/>
      <c r="F192" s="19"/>
      <c r="G192" s="18"/>
      <c r="H192" s="18"/>
      <c r="I192" s="19"/>
      <c r="K192" s="18"/>
    </row>
    <row r="193" spans="1:11">
      <c r="A193" s="18"/>
      <c r="B193" s="30"/>
      <c r="C193" s="18"/>
      <c r="D193" s="18"/>
      <c r="E193" s="18"/>
      <c r="F193" s="19"/>
      <c r="G193" s="18"/>
      <c r="H193" s="18"/>
      <c r="I193" s="19"/>
      <c r="K193" s="18"/>
    </row>
    <row r="194" spans="1:11">
      <c r="A194" s="18"/>
      <c r="B194" s="30"/>
      <c r="C194" s="18"/>
      <c r="D194" s="18"/>
      <c r="E194" s="18"/>
      <c r="F194" s="19"/>
      <c r="G194" s="18"/>
      <c r="H194" s="18"/>
      <c r="I194" s="19"/>
      <c r="K194" s="18"/>
    </row>
    <row r="195" spans="1:11">
      <c r="A195" s="18"/>
      <c r="B195" s="30"/>
      <c r="C195" s="18"/>
      <c r="D195" s="18"/>
      <c r="E195" s="18"/>
      <c r="F195" s="19"/>
      <c r="G195" s="18"/>
      <c r="H195" s="18"/>
      <c r="I195" s="19"/>
      <c r="K195" s="18"/>
    </row>
    <row r="196" spans="1:11">
      <c r="A196" s="18"/>
      <c r="B196" s="30"/>
      <c r="C196" s="18"/>
      <c r="D196" s="18"/>
      <c r="E196" s="18"/>
      <c r="F196" s="19"/>
      <c r="G196" s="18"/>
      <c r="H196" s="18"/>
      <c r="I196" s="19"/>
      <c r="K196" s="18"/>
    </row>
    <row r="197" spans="1:11">
      <c r="A197" s="18"/>
      <c r="B197" s="30"/>
      <c r="C197" s="18"/>
      <c r="D197" s="18"/>
      <c r="E197" s="18"/>
      <c r="F197" s="19"/>
      <c r="G197" s="18"/>
      <c r="H197" s="18"/>
      <c r="I197" s="19"/>
      <c r="K197" s="18"/>
    </row>
    <row r="198" spans="1:11">
      <c r="A198" s="18"/>
      <c r="B198" s="30"/>
      <c r="C198" s="18"/>
      <c r="D198" s="18"/>
      <c r="E198" s="18"/>
      <c r="F198" s="19"/>
      <c r="G198" s="18"/>
      <c r="H198" s="18"/>
      <c r="I198" s="19"/>
      <c r="K198" s="18"/>
    </row>
    <row r="199" spans="1:11">
      <c r="A199" s="18"/>
      <c r="B199" s="30"/>
      <c r="C199" s="18"/>
      <c r="D199" s="18"/>
      <c r="E199" s="18"/>
      <c r="F199" s="19"/>
      <c r="G199" s="18"/>
      <c r="H199" s="18"/>
      <c r="I199" s="19"/>
      <c r="K199" s="18"/>
    </row>
    <row r="200" spans="1:11">
      <c r="A200" s="18"/>
      <c r="B200" s="30"/>
      <c r="C200" s="18"/>
      <c r="D200" s="18"/>
      <c r="E200" s="18"/>
      <c r="F200" s="19"/>
      <c r="G200" s="18"/>
      <c r="H200" s="18"/>
      <c r="I200" s="19"/>
      <c r="K200" s="18"/>
    </row>
    <row r="201" spans="1:11">
      <c r="A201" s="18"/>
      <c r="B201" s="30"/>
      <c r="C201" s="18"/>
      <c r="D201" s="18"/>
      <c r="E201" s="18"/>
      <c r="F201" s="19"/>
      <c r="G201" s="18"/>
      <c r="H201" s="18"/>
      <c r="I201" s="19"/>
      <c r="K201" s="18"/>
    </row>
    <row r="202" spans="1:11">
      <c r="A202" s="18"/>
      <c r="B202" s="30"/>
      <c r="C202" s="18"/>
      <c r="D202" s="18"/>
      <c r="E202" s="18"/>
      <c r="F202" s="19"/>
      <c r="G202" s="18"/>
      <c r="H202" s="18"/>
      <c r="I202" s="19"/>
      <c r="K202" s="18"/>
    </row>
    <row r="203" spans="1:11">
      <c r="A203" s="18"/>
      <c r="B203" s="30"/>
      <c r="C203" s="18"/>
      <c r="D203" s="18"/>
      <c r="E203" s="18"/>
      <c r="F203" s="19"/>
      <c r="G203" s="18"/>
      <c r="H203" s="18"/>
      <c r="I203" s="19"/>
      <c r="K203" s="18"/>
    </row>
    <row r="204" spans="1:11">
      <c r="A204" s="18"/>
      <c r="B204" s="30"/>
      <c r="C204" s="18"/>
      <c r="D204" s="18"/>
      <c r="E204" s="18"/>
      <c r="F204" s="19"/>
      <c r="G204" s="18"/>
      <c r="H204" s="18"/>
      <c r="I204" s="19"/>
      <c r="K204" s="18"/>
    </row>
    <row r="205" spans="1:11">
      <c r="A205" s="18"/>
      <c r="B205" s="30"/>
      <c r="C205" s="18"/>
      <c r="D205" s="18"/>
      <c r="E205" s="18"/>
      <c r="F205" s="19"/>
      <c r="G205" s="18"/>
      <c r="H205" s="18"/>
      <c r="I205" s="19"/>
      <c r="K205" s="18"/>
    </row>
    <row r="206" spans="1:11">
      <c r="A206" s="18"/>
      <c r="B206" s="30"/>
      <c r="C206" s="18"/>
      <c r="D206" s="18"/>
      <c r="E206" s="18"/>
      <c r="F206" s="19"/>
      <c r="G206" s="18"/>
      <c r="H206" s="18"/>
      <c r="I206" s="19"/>
      <c r="K206" s="18"/>
    </row>
    <row r="207" spans="1:11">
      <c r="A207" s="18"/>
      <c r="B207" s="30"/>
      <c r="C207" s="18"/>
      <c r="D207" s="18"/>
      <c r="E207" s="18"/>
      <c r="F207" s="19"/>
      <c r="G207" s="18"/>
      <c r="H207" s="18"/>
      <c r="I207" s="19"/>
      <c r="K207" s="18"/>
    </row>
    <row r="208" spans="1:11">
      <c r="A208" s="18"/>
      <c r="B208" s="30"/>
      <c r="C208" s="18"/>
      <c r="D208" s="18"/>
      <c r="E208" s="18"/>
      <c r="F208" s="19"/>
      <c r="G208" s="18"/>
      <c r="H208" s="18"/>
      <c r="I208" s="19"/>
      <c r="K208" s="18"/>
    </row>
    <row r="209" spans="1:11">
      <c r="A209" s="18"/>
      <c r="B209" s="30"/>
      <c r="C209" s="18"/>
      <c r="D209" s="18"/>
      <c r="E209" s="18"/>
      <c r="F209" s="19"/>
      <c r="G209" s="18"/>
      <c r="H209" s="18"/>
      <c r="I209" s="19"/>
      <c r="K209" s="18"/>
    </row>
    <row r="210" spans="1:11">
      <c r="A210" s="18"/>
      <c r="B210" s="30"/>
      <c r="C210" s="18"/>
      <c r="D210" s="18"/>
      <c r="E210" s="18"/>
      <c r="F210" s="19"/>
      <c r="G210" s="18"/>
      <c r="H210" s="18"/>
      <c r="I210" s="19"/>
      <c r="K210" s="18"/>
    </row>
    <row r="211" spans="1:11">
      <c r="A211" s="18"/>
      <c r="B211" s="30"/>
      <c r="C211" s="18"/>
      <c r="D211" s="18"/>
      <c r="E211" s="18"/>
      <c r="F211" s="19"/>
      <c r="G211" s="18"/>
      <c r="H211" s="18"/>
      <c r="I211" s="19"/>
      <c r="K211" s="18"/>
    </row>
    <row r="212" spans="1:11">
      <c r="A212" s="18"/>
      <c r="B212" s="30"/>
      <c r="C212" s="18"/>
      <c r="D212" s="18"/>
      <c r="E212" s="18"/>
      <c r="F212" s="19"/>
      <c r="G212" s="18"/>
      <c r="H212" s="18"/>
      <c r="I212" s="19"/>
      <c r="K212" s="18"/>
    </row>
    <row r="213" spans="1:11">
      <c r="A213" s="18"/>
      <c r="B213" s="30"/>
      <c r="C213" s="18"/>
      <c r="D213" s="18"/>
      <c r="E213" s="18"/>
      <c r="F213" s="19"/>
      <c r="G213" s="18"/>
      <c r="H213" s="18"/>
      <c r="I213" s="19"/>
      <c r="K213" s="18"/>
    </row>
    <row r="214" spans="1:11">
      <c r="A214" s="18"/>
      <c r="B214" s="30"/>
      <c r="C214" s="18"/>
      <c r="D214" s="18"/>
      <c r="E214" s="18"/>
      <c r="F214" s="19"/>
      <c r="G214" s="18"/>
      <c r="H214" s="18"/>
      <c r="I214" s="19"/>
      <c r="K214" s="18"/>
    </row>
    <row r="215" spans="1:11">
      <c r="A215" s="18"/>
      <c r="B215" s="30"/>
      <c r="C215" s="18"/>
      <c r="D215" s="18"/>
      <c r="E215" s="18"/>
      <c r="F215" s="19"/>
      <c r="G215" s="18"/>
      <c r="H215" s="18"/>
      <c r="I215" s="19"/>
      <c r="K215" s="18"/>
    </row>
    <row r="216" spans="1:11">
      <c r="A216" s="18"/>
      <c r="B216" s="30"/>
      <c r="C216" s="18"/>
      <c r="D216" s="18"/>
      <c r="E216" s="18"/>
      <c r="F216" s="19"/>
      <c r="G216" s="18"/>
      <c r="H216" s="18"/>
      <c r="I216" s="19"/>
      <c r="K216" s="18"/>
    </row>
    <row r="217" spans="1:11">
      <c r="A217" s="18"/>
      <c r="B217" s="30"/>
      <c r="C217" s="18"/>
      <c r="D217" s="18"/>
      <c r="E217" s="18"/>
      <c r="F217" s="19"/>
      <c r="G217" s="18"/>
      <c r="H217" s="18"/>
      <c r="I217" s="19"/>
      <c r="K217" s="18"/>
    </row>
    <row r="218" spans="1:11">
      <c r="A218" s="18"/>
      <c r="B218" s="30"/>
      <c r="C218" s="18"/>
      <c r="D218" s="18"/>
      <c r="E218" s="18"/>
      <c r="F218" s="19"/>
      <c r="G218" s="18"/>
      <c r="H218" s="18"/>
      <c r="I218" s="19"/>
      <c r="K218" s="18"/>
    </row>
    <row r="219" spans="1:11">
      <c r="A219" s="18"/>
      <c r="B219" s="30"/>
      <c r="C219" s="18"/>
      <c r="D219" s="18"/>
      <c r="E219" s="18"/>
      <c r="F219" s="19"/>
      <c r="G219" s="18"/>
      <c r="H219" s="18"/>
      <c r="I219" s="19"/>
      <c r="K219" s="18"/>
    </row>
    <row r="220" spans="1:11">
      <c r="A220" s="18"/>
      <c r="B220" s="30"/>
      <c r="C220" s="18"/>
      <c r="D220" s="18"/>
      <c r="E220" s="18"/>
      <c r="F220" s="19"/>
      <c r="G220" s="18"/>
      <c r="H220" s="18"/>
      <c r="I220" s="19"/>
      <c r="K220" s="18"/>
    </row>
    <row r="221" spans="1:11">
      <c r="A221" s="18"/>
      <c r="B221" s="30"/>
      <c r="C221" s="18"/>
      <c r="D221" s="18"/>
      <c r="E221" s="18"/>
      <c r="F221" s="19"/>
      <c r="G221" s="18"/>
      <c r="H221" s="18"/>
      <c r="I221" s="19"/>
      <c r="K221" s="18"/>
    </row>
    <row r="222" spans="1:11">
      <c r="A222" s="18"/>
      <c r="B222" s="30"/>
      <c r="C222" s="18"/>
      <c r="D222" s="18"/>
      <c r="E222" s="18"/>
      <c r="F222" s="19"/>
      <c r="G222" s="18"/>
      <c r="H222" s="18"/>
      <c r="I222" s="19"/>
      <c r="K222" s="18"/>
    </row>
    <row r="223" spans="1:11">
      <c r="A223" s="18"/>
      <c r="B223" s="30"/>
      <c r="C223" s="18"/>
      <c r="D223" s="18"/>
      <c r="E223" s="18"/>
      <c r="F223" s="19"/>
      <c r="G223" s="18"/>
      <c r="H223" s="18"/>
      <c r="I223" s="19"/>
      <c r="K223" s="18"/>
    </row>
    <row r="224" spans="1:11">
      <c r="A224" s="18"/>
      <c r="B224" s="30"/>
      <c r="C224" s="18"/>
      <c r="D224" s="18"/>
      <c r="E224" s="18"/>
      <c r="F224" s="19"/>
      <c r="G224" s="18"/>
      <c r="H224" s="18"/>
      <c r="I224" s="19"/>
      <c r="K224" s="18"/>
    </row>
    <row r="225" spans="1:11">
      <c r="A225" s="18"/>
      <c r="B225" s="30"/>
      <c r="C225" s="18"/>
      <c r="D225" s="18"/>
      <c r="E225" s="18"/>
      <c r="F225" s="19"/>
      <c r="G225" s="18"/>
      <c r="H225" s="18"/>
      <c r="I225" s="19"/>
      <c r="K225" s="18"/>
    </row>
    <row r="226" spans="1:11">
      <c r="A226" s="18"/>
      <c r="B226" s="30"/>
      <c r="C226" s="18"/>
      <c r="D226" s="18"/>
      <c r="E226" s="18"/>
      <c r="F226" s="19"/>
      <c r="G226" s="18"/>
      <c r="H226" s="18"/>
      <c r="I226" s="19"/>
      <c r="K226" s="18"/>
    </row>
    <row r="227" spans="1:11">
      <c r="A227" s="18"/>
      <c r="B227" s="30"/>
      <c r="C227" s="18"/>
      <c r="D227" s="18"/>
      <c r="E227" s="18"/>
      <c r="F227" s="19"/>
      <c r="G227" s="18"/>
      <c r="H227" s="18"/>
      <c r="I227" s="19"/>
      <c r="K227" s="18"/>
    </row>
    <row r="228" spans="1:11">
      <c r="A228" s="18"/>
      <c r="B228" s="30"/>
      <c r="C228" s="18"/>
      <c r="D228" s="18"/>
      <c r="E228" s="18"/>
      <c r="F228" s="19"/>
      <c r="G228" s="18"/>
      <c r="H228" s="18"/>
      <c r="I228" s="19"/>
      <c r="K228" s="18"/>
    </row>
    <row r="229" spans="1:11">
      <c r="A229" s="18"/>
      <c r="B229" s="30"/>
      <c r="C229" s="18"/>
      <c r="D229" s="18"/>
      <c r="E229" s="18"/>
      <c r="F229" s="19"/>
      <c r="G229" s="18"/>
      <c r="H229" s="18"/>
      <c r="I229" s="19"/>
      <c r="K229" s="18"/>
    </row>
    <row r="230" spans="1:11">
      <c r="A230" s="18"/>
      <c r="B230" s="30"/>
      <c r="C230" s="18"/>
      <c r="D230" s="18"/>
      <c r="E230" s="18"/>
      <c r="F230" s="19"/>
      <c r="G230" s="18"/>
      <c r="H230" s="18"/>
      <c r="I230" s="19"/>
      <c r="K230" s="18"/>
    </row>
    <row r="231" spans="1:11">
      <c r="A231" s="18"/>
      <c r="B231" s="30"/>
      <c r="C231" s="18"/>
      <c r="D231" s="18"/>
      <c r="E231" s="18"/>
      <c r="F231" s="19"/>
      <c r="G231" s="18"/>
      <c r="H231" s="18"/>
      <c r="I231" s="19"/>
      <c r="K231" s="18"/>
    </row>
    <row r="232" spans="1:11">
      <c r="A232" s="18"/>
      <c r="B232" s="30"/>
      <c r="C232" s="18"/>
      <c r="D232" s="18"/>
      <c r="E232" s="18"/>
      <c r="F232" s="19"/>
      <c r="G232" s="18"/>
      <c r="H232" s="18"/>
      <c r="I232" s="19"/>
      <c r="K232" s="18"/>
    </row>
    <row r="233" spans="1:11">
      <c r="A233" s="18"/>
      <c r="B233" s="30"/>
      <c r="C233" s="18"/>
      <c r="D233" s="18"/>
      <c r="E233" s="18"/>
      <c r="F233" s="19"/>
      <c r="G233" s="18"/>
      <c r="H233" s="18"/>
      <c r="I233" s="19"/>
      <c r="K233" s="18"/>
    </row>
    <row r="234" spans="1:11">
      <c r="A234" s="18"/>
      <c r="B234" s="30"/>
      <c r="C234" s="18"/>
      <c r="D234" s="18"/>
      <c r="E234" s="18"/>
      <c r="F234" s="19"/>
      <c r="G234" s="18"/>
      <c r="H234" s="18"/>
      <c r="I234" s="19"/>
      <c r="K234" s="18"/>
    </row>
    <row r="235" spans="1:11">
      <c r="A235" s="18"/>
      <c r="B235" s="30"/>
      <c r="C235" s="18"/>
      <c r="D235" s="18"/>
      <c r="E235" s="18"/>
      <c r="F235" s="19"/>
      <c r="G235" s="18"/>
      <c r="H235" s="18"/>
      <c r="I235" s="19"/>
      <c r="K235" s="18"/>
    </row>
    <row r="236" spans="1:11">
      <c r="A236" s="18"/>
      <c r="B236" s="30"/>
      <c r="C236" s="18"/>
      <c r="D236" s="18"/>
      <c r="E236" s="18"/>
      <c r="F236" s="19"/>
      <c r="G236" s="18"/>
      <c r="H236" s="18"/>
      <c r="I236" s="19"/>
      <c r="K236" s="18"/>
    </row>
    <row r="237" spans="1:11">
      <c r="A237" s="18"/>
      <c r="B237" s="30"/>
      <c r="C237" s="18"/>
      <c r="D237" s="18"/>
      <c r="E237" s="18"/>
      <c r="F237" s="19"/>
      <c r="G237" s="18"/>
      <c r="H237" s="18"/>
      <c r="I237" s="19"/>
      <c r="K237" s="18"/>
    </row>
    <row r="238" spans="1:11">
      <c r="A238" s="18"/>
      <c r="B238" s="30"/>
      <c r="C238" s="18"/>
      <c r="D238" s="18"/>
      <c r="E238" s="18"/>
      <c r="F238" s="19"/>
      <c r="G238" s="18"/>
      <c r="H238" s="18"/>
      <c r="I238" s="19"/>
      <c r="K238" s="18"/>
    </row>
    <row r="239" spans="1:11">
      <c r="A239" s="18"/>
      <c r="B239" s="30"/>
      <c r="C239" s="18"/>
      <c r="D239" s="18"/>
      <c r="E239" s="18"/>
      <c r="F239" s="19"/>
      <c r="G239" s="18"/>
      <c r="H239" s="18"/>
      <c r="I239" s="19"/>
      <c r="K239" s="18"/>
    </row>
    <row r="240" spans="1:11">
      <c r="A240" s="18"/>
      <c r="B240" s="30"/>
      <c r="C240" s="18"/>
      <c r="D240" s="18"/>
      <c r="E240" s="18"/>
      <c r="F240" s="19"/>
      <c r="G240" s="18"/>
      <c r="H240" s="18"/>
      <c r="I240" s="19"/>
      <c r="K240" s="18"/>
    </row>
    <row r="241" spans="1:11">
      <c r="A241" s="18"/>
      <c r="B241" s="30"/>
      <c r="C241" s="18"/>
      <c r="D241" s="18"/>
      <c r="E241" s="18"/>
      <c r="F241" s="19"/>
      <c r="G241" s="18"/>
      <c r="H241" s="18"/>
      <c r="I241" s="19"/>
      <c r="K241" s="18"/>
    </row>
    <row r="242" spans="1:11">
      <c r="A242" s="18"/>
      <c r="B242" s="30"/>
      <c r="C242" s="18"/>
      <c r="D242" s="18"/>
      <c r="E242" s="18"/>
      <c r="F242" s="19"/>
      <c r="G242" s="18"/>
      <c r="H242" s="18"/>
      <c r="I242" s="19"/>
      <c r="K242" s="18"/>
    </row>
    <row r="243" spans="1:11">
      <c r="A243" s="18"/>
      <c r="B243" s="30"/>
      <c r="C243" s="18"/>
      <c r="D243" s="18"/>
      <c r="E243" s="18"/>
      <c r="F243" s="19"/>
      <c r="G243" s="18"/>
      <c r="H243" s="18"/>
      <c r="I243" s="19"/>
      <c r="K243" s="18"/>
    </row>
    <row r="244" spans="1:11">
      <c r="A244" s="18"/>
      <c r="B244" s="30"/>
      <c r="C244" s="18"/>
      <c r="D244" s="18"/>
      <c r="E244" s="18"/>
      <c r="F244" s="19"/>
      <c r="G244" s="18"/>
      <c r="H244" s="18"/>
      <c r="I244" s="19"/>
      <c r="K244" s="18"/>
    </row>
    <row r="245" spans="1:11">
      <c r="A245" s="18"/>
      <c r="B245" s="30"/>
      <c r="C245" s="18"/>
      <c r="D245" s="18"/>
      <c r="E245" s="18"/>
      <c r="F245" s="19"/>
      <c r="G245" s="18"/>
      <c r="H245" s="18"/>
      <c r="I245" s="19"/>
      <c r="K245" s="18"/>
    </row>
    <row r="246" spans="1:11">
      <c r="A246" s="18"/>
      <c r="B246" s="30"/>
      <c r="C246" s="18"/>
      <c r="D246" s="18"/>
      <c r="E246" s="18"/>
      <c r="F246" s="19"/>
      <c r="G246" s="18"/>
      <c r="H246" s="18"/>
      <c r="I246" s="19"/>
      <c r="K246" s="18"/>
    </row>
    <row r="247" spans="1:11">
      <c r="A247" s="18"/>
      <c r="B247" s="30"/>
      <c r="C247" s="18"/>
      <c r="D247" s="18"/>
      <c r="E247" s="18"/>
      <c r="F247" s="19"/>
      <c r="G247" s="18"/>
      <c r="H247" s="18"/>
      <c r="I247" s="19"/>
      <c r="K247" s="18"/>
    </row>
    <row r="248" spans="1:11">
      <c r="A248" s="18"/>
      <c r="B248" s="30"/>
      <c r="C248" s="18"/>
      <c r="D248" s="18"/>
      <c r="E248" s="18"/>
      <c r="F248" s="19"/>
      <c r="G248" s="18"/>
      <c r="H248" s="18"/>
      <c r="I248" s="19"/>
      <c r="K248" s="18"/>
    </row>
    <row r="249" spans="1:11">
      <c r="A249" s="18"/>
      <c r="B249" s="30"/>
      <c r="C249" s="18"/>
      <c r="D249" s="18"/>
      <c r="E249" s="18"/>
      <c r="F249" s="19"/>
      <c r="G249" s="18"/>
      <c r="H249" s="18"/>
      <c r="I249" s="19"/>
      <c r="K249" s="18"/>
    </row>
    <row r="250" spans="1:11">
      <c r="A250" s="18"/>
      <c r="B250" s="30"/>
      <c r="C250" s="18"/>
      <c r="D250" s="18"/>
      <c r="E250" s="18"/>
      <c r="F250" s="19"/>
      <c r="G250" s="18"/>
      <c r="H250" s="18"/>
      <c r="I250" s="19"/>
      <c r="K250" s="18"/>
    </row>
    <row r="251" spans="1:11">
      <c r="A251" s="18"/>
      <c r="B251" s="30"/>
      <c r="C251" s="18"/>
      <c r="D251" s="18"/>
      <c r="E251" s="18"/>
      <c r="F251" s="19"/>
      <c r="G251" s="18"/>
      <c r="H251" s="18"/>
      <c r="I251" s="19"/>
      <c r="K251" s="18"/>
    </row>
    <row r="252" spans="1:11">
      <c r="A252" s="18"/>
      <c r="B252" s="30"/>
      <c r="C252" s="18"/>
      <c r="D252" s="18"/>
      <c r="E252" s="18"/>
      <c r="F252" s="19"/>
      <c r="G252" s="18"/>
      <c r="H252" s="18"/>
      <c r="I252" s="19"/>
      <c r="K252" s="18"/>
    </row>
    <row r="253" spans="1:11">
      <c r="A253" s="18"/>
      <c r="B253" s="30"/>
      <c r="C253" s="18"/>
      <c r="D253" s="18"/>
      <c r="E253" s="18"/>
      <c r="F253" s="19"/>
      <c r="G253" s="18"/>
      <c r="H253" s="18"/>
      <c r="I253" s="19"/>
      <c r="K253" s="18"/>
    </row>
    <row r="254" spans="1:11">
      <c r="A254" s="18"/>
      <c r="B254" s="30"/>
      <c r="C254" s="18"/>
      <c r="D254" s="18"/>
      <c r="E254" s="18"/>
      <c r="F254" s="19"/>
      <c r="G254" s="18"/>
      <c r="H254" s="18"/>
      <c r="I254" s="19"/>
      <c r="K254" s="18"/>
    </row>
    <row r="255" spans="1:11">
      <c r="A255" s="18"/>
      <c r="B255" s="30"/>
      <c r="C255" s="18"/>
      <c r="D255" s="18"/>
      <c r="E255" s="18"/>
      <c r="F255" s="19"/>
      <c r="G255" s="18"/>
      <c r="H255" s="18"/>
      <c r="I255" s="19"/>
      <c r="K255" s="18"/>
    </row>
    <row r="256" spans="1:11">
      <c r="A256" s="18"/>
      <c r="B256" s="30"/>
      <c r="C256" s="18"/>
      <c r="D256" s="18"/>
      <c r="E256" s="18"/>
      <c r="F256" s="19"/>
      <c r="G256" s="18"/>
      <c r="H256" s="18"/>
      <c r="I256" s="19"/>
      <c r="K256" s="18"/>
    </row>
    <row r="257" spans="1:11">
      <c r="A257" s="18"/>
      <c r="B257" s="30"/>
      <c r="C257" s="18"/>
      <c r="D257" s="18"/>
      <c r="E257" s="18"/>
      <c r="F257" s="19"/>
      <c r="G257" s="18"/>
      <c r="H257" s="18"/>
      <c r="I257" s="19"/>
      <c r="K257" s="18"/>
    </row>
    <row r="258" spans="1:11">
      <c r="A258" s="18"/>
      <c r="B258" s="30"/>
      <c r="C258" s="18"/>
      <c r="D258" s="18"/>
      <c r="E258" s="18"/>
      <c r="F258" s="19"/>
      <c r="G258" s="18"/>
      <c r="H258" s="18"/>
      <c r="I258" s="19"/>
      <c r="K258" s="18"/>
    </row>
    <row r="259" spans="1:11">
      <c r="A259" s="18"/>
      <c r="B259" s="30"/>
      <c r="C259" s="18"/>
      <c r="D259" s="18"/>
      <c r="E259" s="18"/>
      <c r="F259" s="19"/>
      <c r="G259" s="18"/>
      <c r="H259" s="18"/>
      <c r="I259" s="19"/>
      <c r="K259" s="18"/>
    </row>
    <row r="260" spans="1:11">
      <c r="A260" s="18"/>
      <c r="B260" s="30"/>
      <c r="C260" s="18"/>
      <c r="D260" s="18"/>
      <c r="E260" s="18"/>
      <c r="F260" s="19"/>
      <c r="G260" s="18"/>
      <c r="H260" s="18"/>
      <c r="I260" s="19"/>
      <c r="K260" s="18"/>
    </row>
    <row r="261" spans="1:11">
      <c r="A261" s="18"/>
      <c r="B261" s="30"/>
      <c r="C261" s="18"/>
      <c r="D261" s="18"/>
      <c r="E261" s="18"/>
      <c r="F261" s="19"/>
      <c r="G261" s="18"/>
      <c r="H261" s="18"/>
      <c r="I261" s="19"/>
      <c r="K261" s="18"/>
    </row>
    <row r="262" spans="1:11">
      <c r="A262" s="18"/>
      <c r="B262" s="30"/>
      <c r="C262" s="18"/>
      <c r="D262" s="18"/>
      <c r="E262" s="18"/>
      <c r="F262" s="19"/>
      <c r="G262" s="18"/>
      <c r="H262" s="18"/>
      <c r="I262" s="19"/>
      <c r="K262" s="18"/>
    </row>
    <row r="263" spans="1:11">
      <c r="A263" s="18"/>
      <c r="B263" s="30"/>
      <c r="C263" s="18"/>
      <c r="D263" s="18"/>
      <c r="E263" s="18"/>
      <c r="F263" s="19"/>
      <c r="G263" s="18"/>
      <c r="H263" s="18"/>
      <c r="I263" s="19"/>
      <c r="K263" s="18"/>
    </row>
    <row r="264" spans="1:11">
      <c r="A264" s="18"/>
      <c r="B264" s="30"/>
      <c r="C264" s="18"/>
      <c r="D264" s="18"/>
      <c r="E264" s="18"/>
      <c r="F264" s="19"/>
      <c r="G264" s="18"/>
      <c r="H264" s="18"/>
      <c r="I264" s="19"/>
      <c r="K264" s="18"/>
    </row>
    <row r="265" spans="1:11">
      <c r="A265" s="18"/>
      <c r="B265" s="30"/>
      <c r="C265" s="18"/>
      <c r="D265" s="18"/>
      <c r="E265" s="18"/>
      <c r="F265" s="19"/>
      <c r="G265" s="18"/>
      <c r="H265" s="18"/>
      <c r="I265" s="19"/>
      <c r="K265" s="18"/>
    </row>
    <row r="266" spans="1:11">
      <c r="A266" s="18"/>
      <c r="B266" s="30"/>
      <c r="C266" s="18"/>
      <c r="D266" s="18"/>
      <c r="E266" s="18"/>
      <c r="F266" s="19"/>
      <c r="G266" s="18"/>
      <c r="H266" s="18"/>
      <c r="I266" s="19"/>
      <c r="K266" s="18"/>
    </row>
    <row r="267" spans="1:11">
      <c r="A267" s="18"/>
      <c r="B267" s="30"/>
      <c r="C267" s="18"/>
      <c r="D267" s="18"/>
      <c r="E267" s="18"/>
      <c r="F267" s="19"/>
      <c r="G267" s="18"/>
      <c r="H267" s="18"/>
      <c r="I267" s="19"/>
      <c r="K267" s="18"/>
    </row>
    <row r="268" spans="1:11">
      <c r="A268" s="18"/>
      <c r="B268" s="30"/>
      <c r="C268" s="18"/>
      <c r="D268" s="18"/>
      <c r="E268" s="18"/>
      <c r="F268" s="19"/>
      <c r="G268" s="18"/>
      <c r="H268" s="18"/>
      <c r="I268" s="19"/>
      <c r="K268" s="18"/>
    </row>
    <row r="269" spans="1:11">
      <c r="A269" s="18"/>
      <c r="B269" s="30"/>
      <c r="C269" s="18"/>
      <c r="D269" s="18"/>
      <c r="E269" s="18"/>
      <c r="F269" s="19"/>
      <c r="G269" s="18"/>
      <c r="H269" s="18"/>
      <c r="I269" s="19"/>
      <c r="K269" s="18"/>
    </row>
    <row r="270" spans="1:11">
      <c r="A270" s="18"/>
      <c r="B270" s="30"/>
      <c r="C270" s="18"/>
      <c r="D270" s="18"/>
      <c r="E270" s="18"/>
      <c r="F270" s="19"/>
      <c r="G270" s="18"/>
      <c r="H270" s="18"/>
      <c r="I270" s="19"/>
      <c r="K270" s="18"/>
    </row>
    <row r="271" spans="1:11">
      <c r="A271" s="18"/>
      <c r="B271" s="30"/>
      <c r="C271" s="18"/>
      <c r="D271" s="18"/>
      <c r="E271" s="18"/>
      <c r="F271" s="19"/>
      <c r="G271" s="18"/>
      <c r="H271" s="18"/>
      <c r="I271" s="19"/>
      <c r="K271" s="18"/>
    </row>
    <row r="272" spans="1:11">
      <c r="A272" s="18"/>
      <c r="B272" s="30"/>
      <c r="C272" s="18"/>
      <c r="D272" s="18"/>
      <c r="E272" s="18"/>
      <c r="F272" s="19"/>
      <c r="G272" s="18"/>
      <c r="H272" s="18"/>
      <c r="I272" s="19"/>
      <c r="K272" s="18"/>
    </row>
    <row r="273" spans="1:11">
      <c r="A273" s="18"/>
      <c r="B273" s="30"/>
      <c r="C273" s="18"/>
      <c r="D273" s="18"/>
      <c r="E273" s="18"/>
      <c r="F273" s="19"/>
      <c r="G273" s="18"/>
      <c r="H273" s="18"/>
      <c r="I273" s="19"/>
      <c r="K273" s="18"/>
    </row>
    <row r="274" spans="1:11">
      <c r="A274" s="18"/>
      <c r="B274" s="30"/>
      <c r="C274" s="18"/>
      <c r="D274" s="18"/>
      <c r="E274" s="18"/>
      <c r="F274" s="19"/>
      <c r="G274" s="18"/>
      <c r="H274" s="18"/>
      <c r="I274" s="19"/>
      <c r="K274" s="18"/>
    </row>
    <row r="275" spans="1:11">
      <c r="A275" s="18"/>
      <c r="B275" s="30"/>
      <c r="C275" s="18"/>
      <c r="D275" s="18"/>
      <c r="E275" s="18"/>
      <c r="F275" s="19"/>
      <c r="G275" s="18"/>
      <c r="H275" s="18"/>
      <c r="I275" s="19"/>
      <c r="K275" s="18"/>
    </row>
    <row r="276" spans="1:11">
      <c r="A276" s="18"/>
      <c r="B276" s="30"/>
      <c r="C276" s="18"/>
      <c r="D276" s="18"/>
      <c r="E276" s="18"/>
      <c r="F276" s="19"/>
      <c r="G276" s="18"/>
      <c r="H276" s="18"/>
      <c r="I276" s="19"/>
      <c r="K276" s="18"/>
    </row>
    <row r="277" spans="1:11">
      <c r="A277" s="18"/>
      <c r="B277" s="30"/>
      <c r="C277" s="18"/>
      <c r="D277" s="18"/>
      <c r="E277" s="18"/>
      <c r="F277" s="19"/>
      <c r="G277" s="18"/>
      <c r="H277" s="18"/>
      <c r="I277" s="19"/>
      <c r="K277" s="18"/>
    </row>
    <row r="278" spans="1:11">
      <c r="A278" s="18"/>
      <c r="B278" s="30"/>
      <c r="C278" s="18"/>
      <c r="D278" s="18"/>
      <c r="E278" s="18"/>
      <c r="F278" s="19"/>
      <c r="G278" s="18"/>
      <c r="H278" s="18"/>
      <c r="I278" s="19"/>
      <c r="K278" s="18"/>
    </row>
    <row r="279" spans="1:11">
      <c r="A279" s="18"/>
      <c r="B279" s="30"/>
      <c r="C279" s="18"/>
      <c r="D279" s="18"/>
      <c r="E279" s="18"/>
      <c r="F279" s="19"/>
      <c r="G279" s="18"/>
      <c r="H279" s="18"/>
      <c r="I279" s="19"/>
      <c r="K279" s="18"/>
    </row>
    <row r="280" spans="1:11">
      <c r="A280" s="18"/>
      <c r="B280" s="30"/>
      <c r="C280" s="18"/>
      <c r="D280" s="18"/>
      <c r="E280" s="18"/>
      <c r="F280" s="19"/>
      <c r="G280" s="18"/>
      <c r="H280" s="18"/>
      <c r="I280" s="19"/>
      <c r="K280" s="18"/>
    </row>
    <row r="281" spans="1:11">
      <c r="A281" s="18"/>
      <c r="B281" s="30"/>
      <c r="C281" s="18"/>
      <c r="D281" s="18"/>
      <c r="E281" s="18"/>
      <c r="F281" s="19"/>
      <c r="G281" s="18"/>
      <c r="H281" s="18"/>
      <c r="I281" s="19"/>
      <c r="K281" s="18"/>
    </row>
    <row r="282" spans="1:11">
      <c r="A282" s="18"/>
      <c r="B282" s="30"/>
      <c r="C282" s="18"/>
      <c r="D282" s="18"/>
      <c r="E282" s="18"/>
      <c r="F282" s="19"/>
      <c r="G282" s="18"/>
      <c r="H282" s="18"/>
      <c r="I282" s="19"/>
      <c r="K282" s="18"/>
    </row>
    <row r="283" spans="1:11">
      <c r="A283" s="18"/>
      <c r="B283" s="30"/>
      <c r="C283" s="18"/>
      <c r="D283" s="18"/>
      <c r="E283" s="18"/>
      <c r="F283" s="19"/>
      <c r="G283" s="18"/>
      <c r="H283" s="18"/>
      <c r="I283" s="19"/>
      <c r="K283" s="18"/>
    </row>
    <row r="284" spans="1:11">
      <c r="A284" s="18"/>
      <c r="B284" s="30"/>
      <c r="C284" s="18"/>
      <c r="D284" s="18"/>
      <c r="E284" s="18"/>
      <c r="F284" s="19"/>
      <c r="G284" s="18"/>
      <c r="H284" s="18"/>
      <c r="I284" s="19"/>
      <c r="K284" s="18"/>
    </row>
    <row r="285" spans="1:11">
      <c r="A285" s="18"/>
      <c r="B285" s="30"/>
      <c r="C285" s="18"/>
      <c r="D285" s="18"/>
      <c r="E285" s="18"/>
      <c r="F285" s="19"/>
      <c r="G285" s="18"/>
      <c r="H285" s="18"/>
      <c r="I285" s="19"/>
      <c r="K285" s="18"/>
    </row>
    <row r="286" spans="1:11">
      <c r="A286" s="18"/>
      <c r="B286" s="30"/>
      <c r="C286" s="18"/>
      <c r="D286" s="18"/>
      <c r="E286" s="18"/>
      <c r="F286" s="19"/>
      <c r="G286" s="18"/>
      <c r="H286" s="18"/>
      <c r="I286" s="19"/>
      <c r="K286" s="18"/>
    </row>
    <row r="287" spans="1:11">
      <c r="A287" s="18"/>
      <c r="B287" s="30"/>
      <c r="C287" s="18"/>
      <c r="D287" s="18"/>
      <c r="E287" s="18"/>
      <c r="F287" s="19"/>
      <c r="G287" s="18"/>
      <c r="H287" s="18"/>
      <c r="I287" s="19"/>
      <c r="K287" s="18"/>
    </row>
    <row r="288" spans="1:11">
      <c r="A288" s="18"/>
      <c r="B288" s="30"/>
      <c r="C288" s="18"/>
      <c r="D288" s="18"/>
      <c r="E288" s="18"/>
      <c r="F288" s="19"/>
      <c r="G288" s="18"/>
      <c r="H288" s="18"/>
      <c r="I288" s="19"/>
      <c r="K288" s="18"/>
    </row>
    <row r="289" spans="1:11">
      <c r="A289" s="18"/>
      <c r="B289" s="30"/>
      <c r="C289" s="18"/>
      <c r="D289" s="18"/>
      <c r="E289" s="18"/>
      <c r="F289" s="19"/>
      <c r="G289" s="18"/>
      <c r="H289" s="18"/>
      <c r="I289" s="19"/>
      <c r="K289" s="18"/>
    </row>
    <row r="290" spans="1:11">
      <c r="A290" s="18"/>
      <c r="B290" s="30"/>
      <c r="C290" s="18"/>
      <c r="D290" s="18"/>
      <c r="E290" s="18"/>
      <c r="F290" s="19"/>
      <c r="G290" s="18"/>
      <c r="H290" s="18"/>
      <c r="I290" s="19"/>
      <c r="K290" s="18"/>
    </row>
    <row r="291" spans="1:11">
      <c r="A291" s="18"/>
      <c r="B291" s="30"/>
      <c r="C291" s="18"/>
      <c r="D291" s="18"/>
      <c r="E291" s="18"/>
      <c r="F291" s="19"/>
      <c r="G291" s="18"/>
      <c r="H291" s="18"/>
      <c r="I291" s="19"/>
      <c r="K291" s="18"/>
    </row>
    <row r="292" spans="1:11">
      <c r="A292" s="18"/>
      <c r="B292" s="30"/>
      <c r="C292" s="18"/>
      <c r="D292" s="18"/>
      <c r="E292" s="18"/>
      <c r="F292" s="19"/>
      <c r="G292" s="18"/>
      <c r="H292" s="18"/>
      <c r="I292" s="19"/>
      <c r="K292" s="18"/>
    </row>
    <row r="293" spans="1:11">
      <c r="A293" s="18"/>
      <c r="B293" s="30"/>
      <c r="C293" s="18"/>
      <c r="D293" s="18"/>
      <c r="E293" s="18"/>
      <c r="F293" s="19"/>
      <c r="G293" s="18"/>
      <c r="H293" s="18"/>
      <c r="I293" s="19"/>
      <c r="K293" s="18"/>
    </row>
    <row r="294" spans="1:11">
      <c r="A294" s="18"/>
      <c r="B294" s="30"/>
      <c r="C294" s="18"/>
      <c r="D294" s="18"/>
      <c r="E294" s="18"/>
      <c r="F294" s="19"/>
      <c r="G294" s="18"/>
      <c r="H294" s="18"/>
      <c r="I294" s="19"/>
      <c r="K294" s="18"/>
    </row>
    <row r="295" spans="1:11">
      <c r="A295" s="18"/>
      <c r="B295" s="30"/>
      <c r="C295" s="18"/>
      <c r="D295" s="18"/>
      <c r="E295" s="18"/>
      <c r="F295" s="19"/>
      <c r="G295" s="18"/>
      <c r="H295" s="18"/>
      <c r="I295" s="19"/>
      <c r="K295" s="18"/>
    </row>
    <row r="296" spans="1:11">
      <c r="A296" s="18"/>
      <c r="B296" s="30"/>
      <c r="C296" s="18"/>
      <c r="D296" s="18"/>
      <c r="E296" s="18"/>
      <c r="F296" s="19"/>
      <c r="G296" s="18"/>
      <c r="H296" s="18"/>
      <c r="I296" s="19"/>
      <c r="K296" s="18"/>
    </row>
    <row r="297" spans="1:11">
      <c r="A297" s="18"/>
      <c r="B297" s="30"/>
      <c r="C297" s="18"/>
      <c r="D297" s="18"/>
      <c r="E297" s="18"/>
      <c r="F297" s="19"/>
      <c r="G297" s="18"/>
      <c r="H297" s="18"/>
      <c r="I297" s="19"/>
      <c r="K297" s="18"/>
    </row>
    <row r="298" spans="1:11">
      <c r="A298" s="18"/>
      <c r="B298" s="30"/>
      <c r="C298" s="18"/>
      <c r="D298" s="18"/>
      <c r="E298" s="18"/>
      <c r="F298" s="19"/>
      <c r="G298" s="18"/>
      <c r="H298" s="18"/>
      <c r="I298" s="19"/>
      <c r="K298" s="18"/>
    </row>
    <row r="299" spans="1:11">
      <c r="A299" s="18"/>
      <c r="B299" s="30"/>
      <c r="C299" s="18"/>
      <c r="D299" s="18"/>
      <c r="E299" s="18"/>
      <c r="F299" s="19"/>
      <c r="G299" s="18"/>
      <c r="H299" s="18"/>
      <c r="I299" s="19"/>
      <c r="K299" s="18"/>
    </row>
    <row r="300" spans="1:11">
      <c r="A300" s="18"/>
      <c r="B300" s="30"/>
      <c r="C300" s="18"/>
      <c r="D300" s="18"/>
      <c r="E300" s="18"/>
      <c r="F300" s="19"/>
      <c r="G300" s="18"/>
      <c r="H300" s="18"/>
      <c r="I300" s="19"/>
      <c r="K300" s="18"/>
    </row>
    <row r="301" spans="1:11">
      <c r="A301" s="18"/>
      <c r="B301" s="30"/>
      <c r="C301" s="18"/>
      <c r="D301" s="18"/>
      <c r="E301" s="18"/>
      <c r="F301" s="19"/>
      <c r="G301" s="18"/>
      <c r="H301" s="18"/>
      <c r="I301" s="19"/>
      <c r="K301" s="18"/>
    </row>
    <row r="302" spans="1:11">
      <c r="A302" s="18"/>
      <c r="B302" s="30"/>
      <c r="C302" s="18"/>
      <c r="D302" s="18"/>
      <c r="E302" s="18"/>
      <c r="F302" s="19"/>
      <c r="G302" s="18"/>
      <c r="H302" s="18"/>
      <c r="I302" s="19"/>
      <c r="K302" s="18"/>
    </row>
    <row r="303" spans="1:11">
      <c r="A303" s="18"/>
      <c r="B303" s="30"/>
      <c r="C303" s="18"/>
      <c r="D303" s="18"/>
      <c r="E303" s="18"/>
      <c r="F303" s="19"/>
      <c r="G303" s="18"/>
      <c r="H303" s="18"/>
      <c r="I303" s="19"/>
      <c r="K303" s="18"/>
    </row>
    <row r="304" spans="1:11">
      <c r="A304" s="18"/>
      <c r="B304" s="30"/>
      <c r="C304" s="18"/>
      <c r="D304" s="18"/>
      <c r="E304" s="18"/>
      <c r="F304" s="19"/>
      <c r="G304" s="18"/>
      <c r="H304" s="18"/>
      <c r="I304" s="19"/>
      <c r="K304" s="18"/>
    </row>
    <row r="305" spans="1:11">
      <c r="A305" s="18"/>
      <c r="B305" s="30"/>
      <c r="C305" s="18"/>
      <c r="D305" s="18"/>
      <c r="E305" s="18"/>
      <c r="F305" s="19"/>
      <c r="G305" s="18"/>
      <c r="H305" s="18"/>
      <c r="I305" s="19"/>
      <c r="K305" s="18"/>
    </row>
    <row r="306" spans="1:11">
      <c r="A306" s="18"/>
      <c r="B306" s="30"/>
      <c r="C306" s="18"/>
      <c r="D306" s="18"/>
      <c r="E306" s="18"/>
      <c r="F306" s="19"/>
      <c r="G306" s="18"/>
      <c r="H306" s="18"/>
      <c r="I306" s="19"/>
      <c r="K306" s="18"/>
    </row>
    <row r="307" spans="1:11">
      <c r="A307" s="18"/>
      <c r="B307" s="30"/>
      <c r="C307" s="18"/>
      <c r="D307" s="18"/>
      <c r="E307" s="18"/>
      <c r="F307" s="19"/>
      <c r="G307" s="18"/>
      <c r="H307" s="18"/>
      <c r="I307" s="19"/>
      <c r="K307" s="18"/>
    </row>
    <row r="308" spans="1:11">
      <c r="A308" s="18"/>
      <c r="B308" s="30"/>
      <c r="C308" s="18"/>
      <c r="D308" s="18"/>
      <c r="E308" s="18"/>
      <c r="F308" s="19"/>
      <c r="G308" s="18"/>
      <c r="H308" s="18"/>
      <c r="I308" s="19"/>
      <c r="K308" s="18"/>
    </row>
    <row r="309" spans="1:11">
      <c r="A309" s="18"/>
      <c r="B309" s="30"/>
      <c r="C309" s="18"/>
      <c r="D309" s="18"/>
      <c r="E309" s="18"/>
      <c r="F309" s="19"/>
      <c r="G309" s="18"/>
      <c r="H309" s="18"/>
      <c r="I309" s="19"/>
      <c r="K309" s="18"/>
    </row>
    <row r="310" spans="1:11">
      <c r="A310" s="18"/>
      <c r="B310" s="30"/>
      <c r="C310" s="18"/>
      <c r="D310" s="18"/>
      <c r="E310" s="18"/>
      <c r="F310" s="19"/>
      <c r="G310" s="18"/>
      <c r="H310" s="18"/>
      <c r="I310" s="19"/>
      <c r="K310" s="18"/>
    </row>
    <row r="311" spans="1:11">
      <c r="A311" s="18"/>
      <c r="B311" s="30"/>
      <c r="C311" s="18"/>
      <c r="D311" s="18"/>
      <c r="E311" s="18"/>
      <c r="F311" s="19"/>
      <c r="G311" s="18"/>
      <c r="H311" s="18"/>
      <c r="I311" s="19"/>
      <c r="K311" s="18"/>
    </row>
    <row r="312" spans="1:11">
      <c r="A312" s="18"/>
      <c r="B312" s="30"/>
      <c r="C312" s="18"/>
      <c r="D312" s="18"/>
      <c r="E312" s="18"/>
      <c r="F312" s="19"/>
      <c r="G312" s="18"/>
      <c r="H312" s="18"/>
      <c r="I312" s="19"/>
      <c r="K312" s="18"/>
    </row>
    <row r="313" spans="1:11">
      <c r="A313" s="18"/>
      <c r="B313" s="30"/>
      <c r="C313" s="18"/>
      <c r="D313" s="18"/>
      <c r="E313" s="18"/>
      <c r="F313" s="19"/>
      <c r="G313" s="18"/>
      <c r="H313" s="18"/>
      <c r="I313" s="19"/>
      <c r="K313" s="18"/>
    </row>
    <row r="314" spans="1:11">
      <c r="A314" s="18"/>
      <c r="B314" s="30"/>
      <c r="C314" s="18"/>
      <c r="D314" s="18"/>
      <c r="E314" s="18"/>
      <c r="F314" s="19"/>
      <c r="G314" s="18"/>
      <c r="H314" s="18"/>
      <c r="I314" s="19"/>
      <c r="K314" s="18"/>
    </row>
    <row r="315" spans="1:11">
      <c r="A315" s="18"/>
      <c r="B315" s="30"/>
      <c r="C315" s="18"/>
      <c r="D315" s="18"/>
      <c r="E315" s="18"/>
      <c r="F315" s="19"/>
      <c r="G315" s="18"/>
      <c r="H315" s="18"/>
      <c r="I315" s="19"/>
      <c r="K315" s="18"/>
    </row>
    <row r="316" spans="1:11">
      <c r="A316" s="18"/>
      <c r="B316" s="30"/>
      <c r="C316" s="18"/>
      <c r="D316" s="18"/>
      <c r="E316" s="18"/>
      <c r="F316" s="19"/>
      <c r="G316" s="18"/>
      <c r="H316" s="18"/>
      <c r="I316" s="19"/>
      <c r="K316" s="18"/>
    </row>
    <row r="317" spans="1:11">
      <c r="A317" s="18"/>
      <c r="B317" s="30"/>
      <c r="C317" s="18"/>
      <c r="D317" s="18"/>
      <c r="E317" s="18"/>
      <c r="F317" s="19"/>
      <c r="G317" s="18"/>
      <c r="H317" s="18"/>
      <c r="I317" s="19"/>
      <c r="K317" s="18"/>
    </row>
    <row r="318" spans="1:11">
      <c r="A318" s="18"/>
      <c r="B318" s="30"/>
      <c r="C318" s="18"/>
      <c r="D318" s="18"/>
      <c r="E318" s="18"/>
      <c r="F318" s="19"/>
      <c r="G318" s="18"/>
      <c r="H318" s="18"/>
      <c r="I318" s="19"/>
      <c r="K318" s="18"/>
    </row>
    <row r="319" spans="1:11">
      <c r="A319" s="18"/>
      <c r="B319" s="30"/>
      <c r="C319" s="18"/>
      <c r="D319" s="18"/>
      <c r="E319" s="18"/>
      <c r="F319" s="19"/>
      <c r="G319" s="18"/>
      <c r="H319" s="18"/>
      <c r="I319" s="19"/>
      <c r="K319" s="18"/>
    </row>
    <row r="320" spans="1:11">
      <c r="A320" s="18"/>
      <c r="B320" s="30"/>
      <c r="C320" s="18"/>
      <c r="D320" s="18"/>
      <c r="E320" s="18"/>
      <c r="F320" s="19"/>
      <c r="G320" s="18"/>
      <c r="H320" s="18"/>
      <c r="I320" s="19"/>
      <c r="K320" s="18"/>
    </row>
    <row r="321" spans="1:11">
      <c r="A321" s="18"/>
      <c r="B321" s="30"/>
      <c r="C321" s="18"/>
      <c r="D321" s="18"/>
      <c r="E321" s="18"/>
      <c r="F321" s="19"/>
      <c r="G321" s="18"/>
      <c r="H321" s="18"/>
      <c r="I321" s="19"/>
      <c r="K321" s="18"/>
    </row>
    <row r="322" spans="1:11">
      <c r="A322" s="18"/>
      <c r="B322" s="30"/>
      <c r="C322" s="18"/>
      <c r="D322" s="18"/>
      <c r="E322" s="18"/>
      <c r="F322" s="19"/>
      <c r="G322" s="18"/>
      <c r="H322" s="18"/>
      <c r="I322" s="19"/>
      <c r="K322" s="18"/>
    </row>
    <row r="323" spans="1:11">
      <c r="A323" s="18"/>
      <c r="B323" s="30"/>
      <c r="C323" s="18"/>
      <c r="D323" s="18"/>
      <c r="E323" s="18"/>
      <c r="F323" s="19"/>
      <c r="G323" s="18"/>
      <c r="H323" s="18"/>
      <c r="I323" s="19"/>
      <c r="K323" s="18"/>
    </row>
    <row r="324" spans="1:11">
      <c r="A324" s="18"/>
      <c r="B324" s="30"/>
      <c r="C324" s="18"/>
      <c r="D324" s="18"/>
      <c r="E324" s="18"/>
      <c r="F324" s="19"/>
      <c r="G324" s="18"/>
      <c r="H324" s="18"/>
      <c r="I324" s="19"/>
      <c r="K324" s="18"/>
    </row>
    <row r="325" spans="1:11">
      <c r="A325" s="18"/>
      <c r="B325" s="30"/>
      <c r="C325" s="18"/>
      <c r="D325" s="18"/>
      <c r="E325" s="18"/>
      <c r="F325" s="19"/>
      <c r="G325" s="18"/>
      <c r="H325" s="18"/>
      <c r="I325" s="19"/>
      <c r="K325" s="18"/>
    </row>
    <row r="326" spans="1:11">
      <c r="A326" s="18"/>
      <c r="B326" s="30"/>
      <c r="C326" s="18"/>
      <c r="D326" s="18"/>
      <c r="E326" s="18"/>
      <c r="F326" s="19"/>
      <c r="G326" s="18"/>
      <c r="H326" s="18"/>
      <c r="I326" s="19"/>
      <c r="K326" s="18"/>
    </row>
    <row r="327" spans="1:11">
      <c r="A327" s="18"/>
      <c r="B327" s="30"/>
      <c r="C327" s="18"/>
      <c r="D327" s="18"/>
      <c r="E327" s="18"/>
      <c r="F327" s="19"/>
      <c r="G327" s="18"/>
      <c r="H327" s="18"/>
      <c r="I327" s="19"/>
      <c r="K327" s="18"/>
    </row>
    <row r="328" spans="1:11">
      <c r="A328" s="18"/>
      <c r="B328" s="30"/>
      <c r="C328" s="18"/>
      <c r="D328" s="18"/>
      <c r="E328" s="18"/>
      <c r="F328" s="19"/>
      <c r="G328" s="18"/>
      <c r="H328" s="18"/>
      <c r="I328" s="19"/>
      <c r="K328" s="18"/>
    </row>
    <row r="329" spans="1:11">
      <c r="A329" s="18"/>
      <c r="B329" s="30"/>
      <c r="C329" s="18"/>
      <c r="D329" s="18"/>
      <c r="E329" s="18"/>
      <c r="F329" s="19"/>
      <c r="G329" s="18"/>
      <c r="H329" s="18"/>
      <c r="I329" s="19"/>
      <c r="K329" s="18"/>
    </row>
    <row r="330" spans="1:11">
      <c r="A330" s="18"/>
      <c r="B330" s="30"/>
      <c r="C330" s="18"/>
      <c r="D330" s="18"/>
      <c r="E330" s="18"/>
      <c r="F330" s="19"/>
      <c r="G330" s="18"/>
      <c r="H330" s="18"/>
      <c r="I330" s="19"/>
      <c r="K330" s="18"/>
    </row>
    <row r="331" spans="1:11">
      <c r="A331" s="18"/>
      <c r="B331" s="30"/>
      <c r="C331" s="18"/>
      <c r="D331" s="18"/>
      <c r="E331" s="18"/>
      <c r="F331" s="19"/>
      <c r="G331" s="18"/>
      <c r="H331" s="18"/>
      <c r="I331" s="19"/>
      <c r="K331" s="18"/>
    </row>
    <row r="332" spans="1:11">
      <c r="A332" s="18"/>
      <c r="B332" s="30"/>
      <c r="C332" s="18"/>
      <c r="D332" s="18"/>
      <c r="E332" s="18"/>
      <c r="F332" s="19"/>
      <c r="G332" s="18"/>
      <c r="H332" s="18"/>
      <c r="I332" s="19"/>
      <c r="K332" s="18"/>
    </row>
    <row r="333" spans="1:11">
      <c r="A333" s="18"/>
      <c r="B333" s="30"/>
      <c r="C333" s="18"/>
      <c r="D333" s="18"/>
      <c r="E333" s="18"/>
      <c r="F333" s="19"/>
      <c r="G333" s="18"/>
      <c r="H333" s="18"/>
      <c r="I333" s="19"/>
      <c r="K333" s="18"/>
    </row>
    <row r="334" spans="1:11">
      <c r="A334" s="18"/>
      <c r="B334" s="30"/>
      <c r="C334" s="18"/>
      <c r="D334" s="18"/>
      <c r="E334" s="18"/>
      <c r="F334" s="19"/>
      <c r="G334" s="18"/>
      <c r="H334" s="18"/>
      <c r="I334" s="19"/>
      <c r="K334" s="18"/>
    </row>
    <row r="335" spans="1:11">
      <c r="A335" s="18"/>
      <c r="B335" s="30"/>
      <c r="C335" s="18"/>
      <c r="D335" s="18"/>
      <c r="E335" s="18"/>
      <c r="F335" s="19"/>
      <c r="G335" s="18"/>
      <c r="H335" s="18"/>
      <c r="I335" s="19"/>
      <c r="K335" s="18"/>
    </row>
    <row r="336" spans="1:11">
      <c r="A336" s="18"/>
      <c r="B336" s="30"/>
      <c r="C336" s="18"/>
      <c r="D336" s="18"/>
      <c r="E336" s="18"/>
      <c r="F336" s="19"/>
      <c r="G336" s="18"/>
      <c r="H336" s="18"/>
      <c r="I336" s="19"/>
      <c r="K336" s="18"/>
    </row>
    <row r="337" spans="1:11">
      <c r="A337" s="18"/>
      <c r="B337" s="30"/>
      <c r="C337" s="18"/>
      <c r="D337" s="18"/>
      <c r="E337" s="18"/>
      <c r="F337" s="19"/>
      <c r="G337" s="18"/>
      <c r="H337" s="18"/>
      <c r="I337" s="19"/>
      <c r="K337" s="18"/>
    </row>
    <row r="338" spans="1:11">
      <c r="A338" s="18"/>
      <c r="B338" s="30"/>
      <c r="C338" s="18"/>
      <c r="D338" s="18"/>
      <c r="E338" s="18"/>
      <c r="F338" s="19"/>
      <c r="G338" s="18"/>
      <c r="H338" s="18"/>
      <c r="I338" s="19"/>
      <c r="K338" s="18"/>
    </row>
    <row r="339" spans="1:11">
      <c r="A339" s="18"/>
      <c r="B339" s="30"/>
      <c r="C339" s="18"/>
      <c r="D339" s="18"/>
      <c r="E339" s="18"/>
      <c r="F339" s="19"/>
      <c r="G339" s="18"/>
      <c r="H339" s="18"/>
      <c r="I339" s="19"/>
      <c r="K339" s="18"/>
    </row>
    <row r="340" spans="1:11">
      <c r="A340" s="18"/>
      <c r="B340" s="30"/>
      <c r="C340" s="18"/>
      <c r="D340" s="18"/>
      <c r="E340" s="18"/>
      <c r="F340" s="19"/>
      <c r="G340" s="18"/>
      <c r="H340" s="18"/>
      <c r="I340" s="19"/>
      <c r="K340" s="18"/>
    </row>
    <row r="341" spans="1:11">
      <c r="A341" s="18"/>
      <c r="B341" s="30"/>
      <c r="C341" s="18"/>
      <c r="D341" s="18"/>
      <c r="E341" s="18"/>
      <c r="F341" s="19"/>
      <c r="G341" s="18"/>
      <c r="H341" s="18"/>
      <c r="I341" s="19"/>
      <c r="K341" s="18"/>
    </row>
    <row r="342" spans="1:11">
      <c r="C342" s="18"/>
      <c r="D342" s="18"/>
      <c r="E342" s="18"/>
      <c r="F342" s="19"/>
      <c r="G342" s="18"/>
      <c r="H342" s="18"/>
      <c r="I342" s="19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46" priority="7" stopIfTrue="1" operator="lessThanOrEqual">
      <formula>-0.1</formula>
    </cfRule>
    <cfRule type="expression" dxfId="45" priority="8">
      <formula>AND(ISNUMBER(F2), F2&gt;=0.1)</formula>
    </cfRule>
  </conditionalFormatting>
  <conditionalFormatting sqref="F4:F137 I4:I137">
    <cfRule type="cellIs" dxfId="44" priority="1" stopIfTrue="1" operator="lessThanOrEqual">
      <formula>-0.1</formula>
    </cfRule>
    <cfRule type="expression" dxfId="43" priority="2">
      <formula>AND(ISNUMBER(F4), F4&gt;=0.1)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J23" sqref="J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233</v>
      </c>
      <c r="E1" s="68"/>
      <c r="F1" s="68"/>
      <c r="G1" s="66" t="s">
        <v>234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42" priority="5" stopIfTrue="1" operator="lessThanOrEqual">
      <formula>-0.1</formula>
    </cfRule>
    <cfRule type="expression" dxfId="41" priority="6">
      <formula>AND(ISNUMBER(F2), F2&gt;=0.1)</formula>
    </cfRule>
  </conditionalFormatting>
  <conditionalFormatting sqref="F4:F137 I4:I137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235</v>
      </c>
      <c r="E1" s="68"/>
      <c r="F1" s="68"/>
      <c r="G1" s="66" t="s">
        <v>236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8" priority="5" stopIfTrue="1" operator="lessThanOrEqual">
      <formula>-0.1</formula>
    </cfRule>
    <cfRule type="expression" dxfId="37" priority="6">
      <formula>AND(ISNUMBER(F2), F2&gt;=0.1)</formula>
    </cfRule>
  </conditionalFormatting>
  <conditionalFormatting sqref="F4:F137 I4:I137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237</v>
      </c>
      <c r="E1" s="68"/>
      <c r="F1" s="68"/>
      <c r="G1" s="66" t="s">
        <v>238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137 I4:I137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239</v>
      </c>
      <c r="E1" s="68"/>
      <c r="F1" s="68"/>
      <c r="G1" s="66" t="s">
        <v>240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137 I4:I137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241</v>
      </c>
      <c r="E1" s="68"/>
      <c r="F1" s="68"/>
      <c r="G1" s="66" t="s">
        <v>242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137 I4:I137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243</v>
      </c>
      <c r="E1" s="68"/>
      <c r="F1" s="68"/>
      <c r="G1" s="66" t="s">
        <v>244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137 I4:I137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245</v>
      </c>
      <c r="E1" s="68"/>
      <c r="F1" s="68"/>
      <c r="G1" s="66" t="s">
        <v>246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137 I4:I13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247</v>
      </c>
      <c r="E1" s="68"/>
      <c r="F1" s="68"/>
      <c r="G1" s="66" t="s">
        <v>248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137 I4:I137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249</v>
      </c>
      <c r="E1" s="68"/>
      <c r="F1" s="68"/>
      <c r="G1" s="66" t="s">
        <v>250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137 I4:I137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M17" sqref="M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Generate Capital</v>
      </c>
      <c r="B1" s="67"/>
      <c r="C1" s="67"/>
      <c r="D1" s="68" t="s">
        <v>251</v>
      </c>
      <c r="E1" s="68"/>
      <c r="F1" s="68"/>
      <c r="G1" s="66" t="s">
        <v>252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7">Sites[Site]</f>
        <v>Farmer</v>
      </c>
      <c r="B4" s="26" t="str" cm="1">
        <f t="array" ref="B4:B137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137 I4:I137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37"/>
  <sheetViews>
    <sheetView workbookViewId="0">
      <pane ySplit="3" topLeftCell="A139" activePane="bottomLeft" state="frozen"/>
      <selection pane="bottomLeft" activeCell="J120" sqref="J12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253</v>
      </c>
      <c r="B1" t="s">
        <v>254</v>
      </c>
    </row>
    <row r="3" spans="1:7">
      <c r="A3" t="s">
        <v>255</v>
      </c>
      <c r="B3" t="s">
        <v>3</v>
      </c>
      <c r="C3" t="s">
        <v>4</v>
      </c>
      <c r="D3" t="s">
        <v>256</v>
      </c>
      <c r="E3" s="2" t="s">
        <v>257</v>
      </c>
    </row>
    <row r="4" spans="1:7" ht="14.25">
      <c r="A4" s="41" t="s">
        <v>258</v>
      </c>
      <c r="B4" s="4" t="s">
        <v>259</v>
      </c>
      <c r="C4" s="4" t="s">
        <v>260</v>
      </c>
      <c r="E4" t="s">
        <v>261</v>
      </c>
      <c r="G4" s="3"/>
    </row>
    <row r="5" spans="1:7" ht="14.25">
      <c r="A5" s="41" t="s">
        <v>262</v>
      </c>
      <c r="B5" s="4" t="s">
        <v>263</v>
      </c>
      <c r="C5" s="4" t="s">
        <v>260</v>
      </c>
      <c r="E5" t="s">
        <v>261</v>
      </c>
      <c r="G5" s="3"/>
    </row>
    <row r="6" spans="1:7" ht="14.25">
      <c r="A6" s="41" t="s">
        <v>264</v>
      </c>
      <c r="B6" s="4" t="s">
        <v>264</v>
      </c>
      <c r="C6" s="4" t="s">
        <v>260</v>
      </c>
      <c r="E6" t="s">
        <v>261</v>
      </c>
      <c r="G6" s="3"/>
    </row>
    <row r="7" spans="1:7" ht="12.75" customHeight="1">
      <c r="A7" s="41" t="s">
        <v>265</v>
      </c>
      <c r="B7" s="4" t="s">
        <v>266</v>
      </c>
      <c r="C7" s="4" t="s">
        <v>260</v>
      </c>
      <c r="E7" t="s">
        <v>261</v>
      </c>
    </row>
    <row r="8" spans="1:7" ht="12.75" customHeight="1">
      <c r="A8" s="41" t="s">
        <v>267</v>
      </c>
      <c r="B8" s="4" t="s">
        <v>268</v>
      </c>
      <c r="C8" s="4" t="s">
        <v>260</v>
      </c>
      <c r="E8" t="s">
        <v>261</v>
      </c>
    </row>
    <row r="9" spans="1:7" ht="12.75" customHeight="1">
      <c r="A9" s="41" t="s">
        <v>269</v>
      </c>
      <c r="B9" s="4" t="s">
        <v>270</v>
      </c>
      <c r="C9" s="4" t="s">
        <v>260</v>
      </c>
      <c r="E9" t="s">
        <v>261</v>
      </c>
    </row>
    <row r="10" spans="1:7" ht="12.75" customHeight="1">
      <c r="A10" s="41" t="s">
        <v>271</v>
      </c>
      <c r="B10" s="4" t="s">
        <v>272</v>
      </c>
      <c r="C10" s="4" t="s">
        <v>260</v>
      </c>
      <c r="E10" t="s">
        <v>261</v>
      </c>
    </row>
    <row r="11" spans="1:7" ht="12.75" customHeight="1">
      <c r="A11" s="41" t="s">
        <v>273</v>
      </c>
      <c r="B11" s="4" t="s">
        <v>273</v>
      </c>
      <c r="C11" s="4" t="s">
        <v>260</v>
      </c>
      <c r="E11" t="s">
        <v>261</v>
      </c>
    </row>
    <row r="12" spans="1:7" ht="12.75" customHeight="1">
      <c r="A12" s="41" t="s">
        <v>274</v>
      </c>
      <c r="B12" s="4" t="s">
        <v>274</v>
      </c>
      <c r="C12" s="4" t="s">
        <v>260</v>
      </c>
      <c r="E12" t="s">
        <v>261</v>
      </c>
    </row>
    <row r="13" spans="1:7" ht="12.75" customHeight="1">
      <c r="A13" s="41" t="s">
        <v>275</v>
      </c>
      <c r="B13" s="4" t="s">
        <v>276</v>
      </c>
      <c r="C13" s="4" t="s">
        <v>277</v>
      </c>
      <c r="E13" t="s">
        <v>261</v>
      </c>
    </row>
    <row r="14" spans="1:7" ht="12.75" customHeight="1">
      <c r="A14" s="41" t="s">
        <v>278</v>
      </c>
      <c r="B14" s="4" t="s">
        <v>279</v>
      </c>
      <c r="C14" s="4" t="s">
        <v>277</v>
      </c>
      <c r="E14" t="s">
        <v>261</v>
      </c>
    </row>
    <row r="15" spans="1:7" ht="12.75" customHeight="1">
      <c r="A15" s="41" t="s">
        <v>280</v>
      </c>
      <c r="B15" s="4" t="s">
        <v>281</v>
      </c>
      <c r="C15" s="4" t="s">
        <v>260</v>
      </c>
      <c r="E15" t="s">
        <v>261</v>
      </c>
    </row>
    <row r="16" spans="1:7" ht="12.75" customHeight="1">
      <c r="A16" s="41" t="s">
        <v>282</v>
      </c>
      <c r="B16" s="4" t="s">
        <v>283</v>
      </c>
      <c r="C16" s="4" t="s">
        <v>260</v>
      </c>
      <c r="E16" t="s">
        <v>261</v>
      </c>
    </row>
    <row r="17" spans="1:5" ht="12.75" customHeight="1">
      <c r="A17" s="41" t="s">
        <v>284</v>
      </c>
      <c r="B17" s="4" t="s">
        <v>285</v>
      </c>
      <c r="C17" s="4" t="s">
        <v>260</v>
      </c>
      <c r="E17" t="s">
        <v>261</v>
      </c>
    </row>
    <row r="18" spans="1:5" ht="12.75" customHeight="1">
      <c r="A18" s="41" t="s">
        <v>286</v>
      </c>
      <c r="B18" s="4" t="s">
        <v>286</v>
      </c>
      <c r="C18" s="4" t="s">
        <v>260</v>
      </c>
      <c r="E18" t="s">
        <v>261</v>
      </c>
    </row>
    <row r="19" spans="1:5" ht="12.75" customHeight="1">
      <c r="A19" s="41" t="s">
        <v>287</v>
      </c>
      <c r="B19" s="4" t="s">
        <v>288</v>
      </c>
      <c r="C19" s="4" t="s">
        <v>289</v>
      </c>
      <c r="E19" t="s">
        <v>261</v>
      </c>
    </row>
    <row r="20" spans="1:5" ht="12.75" customHeight="1">
      <c r="A20" s="41" t="s">
        <v>290</v>
      </c>
      <c r="B20" s="4" t="s">
        <v>291</v>
      </c>
      <c r="C20" s="4" t="s">
        <v>289</v>
      </c>
      <c r="E20" t="s">
        <v>261</v>
      </c>
    </row>
    <row r="21" spans="1:5" ht="12.75" customHeight="1">
      <c r="A21" s="41" t="s">
        <v>292</v>
      </c>
      <c r="B21" s="4" t="s">
        <v>292</v>
      </c>
      <c r="C21" s="4" t="s">
        <v>293</v>
      </c>
      <c r="E21" t="s">
        <v>261</v>
      </c>
    </row>
    <row r="22" spans="1:5" ht="12.75" customHeight="1">
      <c r="A22" s="41" t="s">
        <v>294</v>
      </c>
      <c r="B22" s="4" t="s">
        <v>294</v>
      </c>
      <c r="C22" s="4" t="s">
        <v>293</v>
      </c>
      <c r="E22" t="s">
        <v>261</v>
      </c>
    </row>
    <row r="23" spans="1:5" ht="12.75" customHeight="1">
      <c r="A23" s="42" t="s">
        <v>295</v>
      </c>
      <c r="B23" t="s">
        <v>296</v>
      </c>
      <c r="C23" s="4" t="s">
        <v>293</v>
      </c>
      <c r="E23" t="s">
        <v>261</v>
      </c>
    </row>
    <row r="24" spans="1:5" ht="12.75" customHeight="1">
      <c r="A24" s="41" t="s">
        <v>297</v>
      </c>
      <c r="B24" s="4" t="s">
        <v>297</v>
      </c>
      <c r="C24" s="4" t="s">
        <v>293</v>
      </c>
      <c r="E24" t="s">
        <v>261</v>
      </c>
    </row>
    <row r="25" spans="1:5" ht="12.75" customHeight="1">
      <c r="A25" s="42" t="s">
        <v>298</v>
      </c>
      <c r="B25" t="s">
        <v>298</v>
      </c>
      <c r="C25" s="4" t="s">
        <v>293</v>
      </c>
      <c r="E25" t="s">
        <v>261</v>
      </c>
    </row>
    <row r="26" spans="1:5" ht="12.75" customHeight="1">
      <c r="A26" s="41" t="s">
        <v>299</v>
      </c>
      <c r="B26" s="4" t="s">
        <v>299</v>
      </c>
      <c r="C26" s="4" t="s">
        <v>293</v>
      </c>
      <c r="E26" t="s">
        <v>261</v>
      </c>
    </row>
    <row r="27" spans="1:5" ht="12.75" customHeight="1">
      <c r="A27" s="41" t="s">
        <v>300</v>
      </c>
      <c r="B27" s="4" t="s">
        <v>300</v>
      </c>
      <c r="C27" s="4" t="s">
        <v>293</v>
      </c>
      <c r="E27" t="s">
        <v>261</v>
      </c>
    </row>
    <row r="28" spans="1:5" ht="12.75" customHeight="1">
      <c r="A28" s="41" t="s">
        <v>301</v>
      </c>
      <c r="B28" s="4" t="s">
        <v>301</v>
      </c>
      <c r="C28" s="4" t="s">
        <v>293</v>
      </c>
      <c r="E28" t="s">
        <v>261</v>
      </c>
    </row>
    <row r="29" spans="1:5" ht="12.75" customHeight="1">
      <c r="A29" s="41" t="s">
        <v>302</v>
      </c>
      <c r="B29" s="4" t="s">
        <v>302</v>
      </c>
      <c r="C29" s="4" t="s">
        <v>293</v>
      </c>
      <c r="E29" t="s">
        <v>261</v>
      </c>
    </row>
    <row r="30" spans="1:5" ht="12.75" customHeight="1">
      <c r="A30" s="41" t="s">
        <v>303</v>
      </c>
      <c r="B30" s="4" t="s">
        <v>303</v>
      </c>
      <c r="C30" s="4" t="s">
        <v>293</v>
      </c>
      <c r="E30" t="s">
        <v>261</v>
      </c>
    </row>
    <row r="31" spans="1:5" ht="12.75" customHeight="1">
      <c r="A31" s="41" t="s">
        <v>304</v>
      </c>
      <c r="B31" s="4" t="s">
        <v>304</v>
      </c>
      <c r="C31" s="4" t="s">
        <v>293</v>
      </c>
      <c r="E31" t="s">
        <v>261</v>
      </c>
    </row>
    <row r="32" spans="1:5" ht="12.75" customHeight="1">
      <c r="A32" s="42" t="s">
        <v>305</v>
      </c>
      <c r="B32" t="s">
        <v>305</v>
      </c>
      <c r="C32" s="4" t="s">
        <v>293</v>
      </c>
      <c r="E32" t="s">
        <v>261</v>
      </c>
    </row>
    <row r="33" spans="1:5" ht="12.75" customHeight="1">
      <c r="A33" s="42" t="s">
        <v>306</v>
      </c>
      <c r="B33" t="s">
        <v>306</v>
      </c>
      <c r="C33" s="4" t="s">
        <v>293</v>
      </c>
      <c r="E33" t="s">
        <v>261</v>
      </c>
    </row>
    <row r="34" spans="1:5" ht="12.75" customHeight="1">
      <c r="A34" s="41" t="s">
        <v>307</v>
      </c>
      <c r="B34" s="4" t="s">
        <v>307</v>
      </c>
      <c r="C34" s="4" t="s">
        <v>293</v>
      </c>
      <c r="E34" t="s">
        <v>261</v>
      </c>
    </row>
    <row r="35" spans="1:5" ht="12.75" customHeight="1">
      <c r="A35" s="41" t="s">
        <v>308</v>
      </c>
      <c r="B35" s="4" t="s">
        <v>308</v>
      </c>
      <c r="C35" s="4" t="s">
        <v>293</v>
      </c>
      <c r="E35" t="s">
        <v>261</v>
      </c>
    </row>
    <row r="36" spans="1:5" ht="12.75" customHeight="1">
      <c r="A36" s="41" t="s">
        <v>309</v>
      </c>
      <c r="B36" s="4" t="s">
        <v>309</v>
      </c>
      <c r="C36" s="4" t="s">
        <v>293</v>
      </c>
      <c r="E36" t="s">
        <v>261</v>
      </c>
    </row>
    <row r="37" spans="1:5" ht="12.75" customHeight="1">
      <c r="A37" s="42" t="s">
        <v>310</v>
      </c>
      <c r="B37" t="s">
        <v>310</v>
      </c>
      <c r="C37" s="4" t="s">
        <v>293</v>
      </c>
      <c r="E37" t="s">
        <v>261</v>
      </c>
    </row>
    <row r="38" spans="1:5" ht="12.75" customHeight="1">
      <c r="A38" s="41" t="s">
        <v>311</v>
      </c>
      <c r="B38" s="4" t="s">
        <v>311</v>
      </c>
      <c r="C38" s="4" t="s">
        <v>293</v>
      </c>
      <c r="E38" t="s">
        <v>261</v>
      </c>
    </row>
    <row r="39" spans="1:5" ht="12.75" customHeight="1">
      <c r="A39" s="41" t="s">
        <v>312</v>
      </c>
      <c r="B39" s="4" t="s">
        <v>312</v>
      </c>
      <c r="C39" s="4" t="s">
        <v>293</v>
      </c>
      <c r="E39" t="s">
        <v>261</v>
      </c>
    </row>
    <row r="40" spans="1:5" ht="12.75" customHeight="1">
      <c r="A40" s="41" t="s">
        <v>313</v>
      </c>
      <c r="B40" s="4" t="s">
        <v>313</v>
      </c>
      <c r="C40" s="4" t="s">
        <v>293</v>
      </c>
      <c r="E40" t="s">
        <v>261</v>
      </c>
    </row>
    <row r="41" spans="1:5" ht="12.75" customHeight="1">
      <c r="A41" s="42" t="s">
        <v>314</v>
      </c>
      <c r="B41" t="s">
        <v>314</v>
      </c>
      <c r="C41" s="4" t="s">
        <v>293</v>
      </c>
      <c r="E41" t="s">
        <v>261</v>
      </c>
    </row>
    <row r="42" spans="1:5" ht="12.75" customHeight="1">
      <c r="A42" s="42" t="s">
        <v>315</v>
      </c>
      <c r="B42" t="s">
        <v>315</v>
      </c>
      <c r="C42" s="4" t="s">
        <v>293</v>
      </c>
      <c r="E42" t="s">
        <v>261</v>
      </c>
    </row>
    <row r="43" spans="1:5" ht="12.75" customHeight="1">
      <c r="A43" s="41" t="s">
        <v>316</v>
      </c>
      <c r="B43" s="4" t="s">
        <v>316</v>
      </c>
      <c r="C43" s="4" t="s">
        <v>293</v>
      </c>
      <c r="E43" t="s">
        <v>261</v>
      </c>
    </row>
    <row r="44" spans="1:5" ht="12.75" customHeight="1">
      <c r="A44" s="41" t="s">
        <v>317</v>
      </c>
      <c r="B44" s="4" t="s">
        <v>318</v>
      </c>
      <c r="C44" s="4" t="s">
        <v>293</v>
      </c>
      <c r="E44" t="s">
        <v>261</v>
      </c>
    </row>
    <row r="45" spans="1:5" ht="12.75" customHeight="1">
      <c r="A45" s="42" t="s">
        <v>319</v>
      </c>
      <c r="B45" t="s">
        <v>319</v>
      </c>
      <c r="C45" s="4" t="s">
        <v>293</v>
      </c>
      <c r="E45" t="s">
        <v>261</v>
      </c>
    </row>
    <row r="46" spans="1:5" ht="12.75" customHeight="1">
      <c r="A46" s="41" t="s">
        <v>320</v>
      </c>
      <c r="B46" s="4" t="s">
        <v>320</v>
      </c>
      <c r="C46" s="4" t="s">
        <v>293</v>
      </c>
      <c r="E46" t="s">
        <v>261</v>
      </c>
    </row>
    <row r="47" spans="1:5" ht="12.75" customHeight="1">
      <c r="A47" s="41" t="s">
        <v>321</v>
      </c>
      <c r="B47" s="4" t="s">
        <v>321</v>
      </c>
      <c r="C47" s="4" t="s">
        <v>293</v>
      </c>
      <c r="E47" t="s">
        <v>261</v>
      </c>
    </row>
    <row r="48" spans="1:5" ht="12.75" customHeight="1">
      <c r="A48" s="41" t="s">
        <v>322</v>
      </c>
      <c r="B48" s="4" t="s">
        <v>322</v>
      </c>
      <c r="C48" s="4" t="s">
        <v>293</v>
      </c>
      <c r="E48" t="s">
        <v>261</v>
      </c>
    </row>
    <row r="49" spans="1:5" ht="12.75" customHeight="1">
      <c r="A49" s="41" t="s">
        <v>323</v>
      </c>
      <c r="B49" s="4" t="s">
        <v>323</v>
      </c>
      <c r="C49" s="4" t="s">
        <v>293</v>
      </c>
      <c r="E49" t="s">
        <v>261</v>
      </c>
    </row>
    <row r="50" spans="1:5" ht="12.75" customHeight="1">
      <c r="A50" s="41" t="s">
        <v>324</v>
      </c>
      <c r="B50" s="4" t="s">
        <v>324</v>
      </c>
      <c r="C50" s="4" t="s">
        <v>293</v>
      </c>
      <c r="E50" t="s">
        <v>261</v>
      </c>
    </row>
    <row r="51" spans="1:5" ht="12.75" customHeight="1">
      <c r="A51" s="41" t="s">
        <v>325</v>
      </c>
      <c r="B51" s="4" t="s">
        <v>325</v>
      </c>
      <c r="C51" s="4" t="s">
        <v>293</v>
      </c>
      <c r="E51" t="s">
        <v>261</v>
      </c>
    </row>
    <row r="52" spans="1:5" ht="12.75" customHeight="1">
      <c r="A52" s="41" t="s">
        <v>326</v>
      </c>
      <c r="B52" s="4" t="s">
        <v>326</v>
      </c>
      <c r="C52" s="4" t="s">
        <v>293</v>
      </c>
      <c r="E52" t="s">
        <v>261</v>
      </c>
    </row>
    <row r="53" spans="1:5" ht="12.75" customHeight="1">
      <c r="A53" s="41" t="s">
        <v>327</v>
      </c>
      <c r="B53" s="4" t="s">
        <v>327</v>
      </c>
      <c r="C53" s="4" t="s">
        <v>293</v>
      </c>
      <c r="E53" t="s">
        <v>261</v>
      </c>
    </row>
    <row r="54" spans="1:5" ht="12.75" customHeight="1">
      <c r="A54" s="41" t="s">
        <v>328</v>
      </c>
      <c r="B54" s="4" t="s">
        <v>328</v>
      </c>
      <c r="C54" s="4" t="s">
        <v>293</v>
      </c>
      <c r="E54" t="s">
        <v>261</v>
      </c>
    </row>
    <row r="55" spans="1:5" ht="12.75" customHeight="1">
      <c r="A55" s="41" t="s">
        <v>329</v>
      </c>
      <c r="B55" s="4" t="s">
        <v>329</v>
      </c>
      <c r="C55" s="4" t="s">
        <v>293</v>
      </c>
      <c r="E55" t="s">
        <v>261</v>
      </c>
    </row>
    <row r="56" spans="1:5" ht="12.75" customHeight="1">
      <c r="A56" s="41" t="s">
        <v>330</v>
      </c>
      <c r="B56" s="4" t="s">
        <v>330</v>
      </c>
      <c r="C56" s="4" t="s">
        <v>293</v>
      </c>
      <c r="E56" t="s">
        <v>261</v>
      </c>
    </row>
    <row r="57" spans="1:5" ht="12.75" customHeight="1">
      <c r="A57" s="41" t="s">
        <v>331</v>
      </c>
      <c r="B57" s="4" t="s">
        <v>331</v>
      </c>
      <c r="C57" s="4" t="s">
        <v>293</v>
      </c>
      <c r="E57" t="s">
        <v>261</v>
      </c>
    </row>
    <row r="58" spans="1:5" ht="12.75" customHeight="1">
      <c r="A58" s="42" t="s">
        <v>332</v>
      </c>
      <c r="B58" t="s">
        <v>332</v>
      </c>
      <c r="C58" s="4" t="s">
        <v>293</v>
      </c>
      <c r="E58" t="s">
        <v>261</v>
      </c>
    </row>
    <row r="59" spans="1:5" ht="12.75" customHeight="1">
      <c r="A59" s="42" t="s">
        <v>333</v>
      </c>
      <c r="B59" t="s">
        <v>333</v>
      </c>
      <c r="C59" s="4" t="s">
        <v>293</v>
      </c>
      <c r="E59" t="s">
        <v>261</v>
      </c>
    </row>
    <row r="60" spans="1:5" ht="12.75" customHeight="1">
      <c r="A60" s="41" t="s">
        <v>334</v>
      </c>
      <c r="B60" s="4" t="s">
        <v>334</v>
      </c>
      <c r="C60" s="4" t="s">
        <v>293</v>
      </c>
      <c r="E60" t="s">
        <v>261</v>
      </c>
    </row>
    <row r="61" spans="1:5" ht="12.75" customHeight="1">
      <c r="A61" s="41" t="s">
        <v>335</v>
      </c>
      <c r="B61" s="4" t="s">
        <v>335</v>
      </c>
      <c r="C61" s="4" t="s">
        <v>293</v>
      </c>
      <c r="E61" t="s">
        <v>261</v>
      </c>
    </row>
    <row r="62" spans="1:5" ht="12.75" customHeight="1">
      <c r="A62" s="42" t="s">
        <v>336</v>
      </c>
      <c r="B62" t="s">
        <v>337</v>
      </c>
      <c r="C62" s="4" t="s">
        <v>293</v>
      </c>
      <c r="E62" t="s">
        <v>261</v>
      </c>
    </row>
    <row r="63" spans="1:5" ht="12.75" customHeight="1">
      <c r="A63" s="42" t="s">
        <v>338</v>
      </c>
      <c r="B63" t="s">
        <v>338</v>
      </c>
      <c r="C63" s="4" t="s">
        <v>293</v>
      </c>
      <c r="E63" t="s">
        <v>261</v>
      </c>
    </row>
    <row r="64" spans="1:5" ht="12.75" customHeight="1">
      <c r="A64" s="41">
        <v>38</v>
      </c>
      <c r="B64" s="4" t="s">
        <v>339</v>
      </c>
      <c r="C64" s="4" t="s">
        <v>293</v>
      </c>
      <c r="E64" t="s">
        <v>261</v>
      </c>
    </row>
    <row r="65" spans="1:5" ht="12.75" customHeight="1">
      <c r="A65" s="42">
        <v>144</v>
      </c>
      <c r="B65" t="s">
        <v>340</v>
      </c>
      <c r="C65" s="4" t="s">
        <v>293</v>
      </c>
      <c r="E65" t="s">
        <v>261</v>
      </c>
    </row>
    <row r="66" spans="1:5" ht="12.75" customHeight="1">
      <c r="A66" s="41">
        <v>279</v>
      </c>
      <c r="B66" s="4" t="s">
        <v>341</v>
      </c>
      <c r="C66" s="4" t="s">
        <v>293</v>
      </c>
      <c r="E66" t="s">
        <v>261</v>
      </c>
    </row>
    <row r="67" spans="1:5" ht="12.75" customHeight="1">
      <c r="A67" s="41">
        <v>293</v>
      </c>
      <c r="B67" s="4" t="s">
        <v>342</v>
      </c>
      <c r="C67" s="4" t="s">
        <v>293</v>
      </c>
      <c r="E67" t="s">
        <v>261</v>
      </c>
    </row>
    <row r="68" spans="1:5" ht="12.75" customHeight="1">
      <c r="A68" s="42">
        <v>308</v>
      </c>
      <c r="B68" t="s">
        <v>343</v>
      </c>
      <c r="C68" s="4" t="s">
        <v>293</v>
      </c>
      <c r="E68" t="s">
        <v>261</v>
      </c>
    </row>
    <row r="69" spans="1:5" ht="12.75" customHeight="1">
      <c r="A69" s="42">
        <v>309</v>
      </c>
      <c r="B69" t="s">
        <v>344</v>
      </c>
      <c r="C69" s="4" t="s">
        <v>293</v>
      </c>
      <c r="E69" t="s">
        <v>261</v>
      </c>
    </row>
    <row r="70" spans="1:5" ht="12.75" customHeight="1">
      <c r="A70" s="42" t="s">
        <v>345</v>
      </c>
      <c r="B70" t="s">
        <v>346</v>
      </c>
      <c r="C70" s="4" t="s">
        <v>293</v>
      </c>
      <c r="E70" t="s">
        <v>261</v>
      </c>
    </row>
    <row r="71" spans="1:5" ht="12.75" customHeight="1">
      <c r="A71" s="41" t="s">
        <v>347</v>
      </c>
      <c r="B71" s="4" t="s">
        <v>347</v>
      </c>
      <c r="C71" s="4" t="s">
        <v>293</v>
      </c>
      <c r="E71" t="s">
        <v>261</v>
      </c>
    </row>
    <row r="72" spans="1:5" ht="12.75" customHeight="1">
      <c r="A72" s="41">
        <v>358</v>
      </c>
      <c r="B72" s="4" t="s">
        <v>348</v>
      </c>
      <c r="C72" s="4" t="s">
        <v>293</v>
      </c>
      <c r="E72" t="s">
        <v>261</v>
      </c>
    </row>
    <row r="73" spans="1:5" ht="12.75" customHeight="1">
      <c r="A73" s="41" t="s">
        <v>349</v>
      </c>
      <c r="B73" s="4" t="s">
        <v>350</v>
      </c>
      <c r="C73" s="4" t="s">
        <v>351</v>
      </c>
      <c r="E73" t="s">
        <v>261</v>
      </c>
    </row>
    <row r="74" spans="1:5" ht="12.75" customHeight="1">
      <c r="A74" s="41" t="s">
        <v>352</v>
      </c>
      <c r="B74" s="4" t="s">
        <v>353</v>
      </c>
      <c r="C74" s="4" t="s">
        <v>351</v>
      </c>
      <c r="E74" t="s">
        <v>261</v>
      </c>
    </row>
    <row r="75" spans="1:5" ht="12.75" customHeight="1">
      <c r="A75" s="41" t="s">
        <v>354</v>
      </c>
      <c r="B75" s="41" t="s">
        <v>354</v>
      </c>
      <c r="C75" s="4" t="s">
        <v>293</v>
      </c>
      <c r="E75" t="s">
        <v>355</v>
      </c>
    </row>
    <row r="76" spans="1:5" ht="12.75" customHeight="1">
      <c r="A76" s="41" t="s">
        <v>356</v>
      </c>
      <c r="B76" s="4" t="s">
        <v>356</v>
      </c>
      <c r="C76" s="4" t="s">
        <v>293</v>
      </c>
      <c r="E76" s="43" t="s">
        <v>355</v>
      </c>
    </row>
    <row r="77" spans="1:5" ht="12.75" customHeight="1">
      <c r="A77" s="41" t="s">
        <v>357</v>
      </c>
      <c r="B77" s="4" t="s">
        <v>358</v>
      </c>
      <c r="C77" s="4" t="s">
        <v>293</v>
      </c>
      <c r="E77" s="43" t="s">
        <v>355</v>
      </c>
    </row>
    <row r="78" spans="1:5" ht="12.75" customHeight="1">
      <c r="A78" s="41" t="s">
        <v>359</v>
      </c>
      <c r="B78" s="4" t="s">
        <v>360</v>
      </c>
      <c r="C78" s="4" t="s">
        <v>293</v>
      </c>
      <c r="E78" s="43" t="s">
        <v>355</v>
      </c>
    </row>
    <row r="79" spans="1:5" ht="12.75" customHeight="1">
      <c r="A79" s="41" t="s">
        <v>361</v>
      </c>
      <c r="B79" s="4" t="s">
        <v>361</v>
      </c>
      <c r="C79" s="4" t="s">
        <v>293</v>
      </c>
      <c r="E79" t="s">
        <v>355</v>
      </c>
    </row>
    <row r="80" spans="1:5" ht="12.75" customHeight="1">
      <c r="A80" s="41" t="s">
        <v>362</v>
      </c>
      <c r="B80" s="41" t="s">
        <v>362</v>
      </c>
      <c r="C80" s="4" t="s">
        <v>293</v>
      </c>
      <c r="E80" t="s">
        <v>355</v>
      </c>
    </row>
    <row r="81" spans="1:5" ht="12.75" customHeight="1">
      <c r="A81" s="41" t="s">
        <v>363</v>
      </c>
      <c r="B81" s="41" t="s">
        <v>363</v>
      </c>
      <c r="C81" s="4" t="s">
        <v>293</v>
      </c>
      <c r="E81" t="s">
        <v>355</v>
      </c>
    </row>
    <row r="82" spans="1:5" ht="12.75" customHeight="1">
      <c r="A82" s="41" t="s">
        <v>364</v>
      </c>
      <c r="B82" s="41" t="s">
        <v>364</v>
      </c>
      <c r="C82" s="4" t="s">
        <v>293</v>
      </c>
      <c r="E82" t="s">
        <v>355</v>
      </c>
    </row>
    <row r="83" spans="1:5" ht="12.75" customHeight="1">
      <c r="A83" s="41" t="s">
        <v>365</v>
      </c>
      <c r="B83" s="41" t="s">
        <v>365</v>
      </c>
      <c r="C83" s="4" t="s">
        <v>293</v>
      </c>
      <c r="E83" t="s">
        <v>355</v>
      </c>
    </row>
    <row r="84" spans="1:5" ht="12.75" customHeight="1">
      <c r="A84" s="41" t="s">
        <v>366</v>
      </c>
      <c r="B84" s="41" t="s">
        <v>366</v>
      </c>
      <c r="C84" s="4" t="s">
        <v>293</v>
      </c>
      <c r="E84" t="s">
        <v>355</v>
      </c>
    </row>
    <row r="85" spans="1:5" ht="12.75" customHeight="1">
      <c r="A85" s="41" t="s">
        <v>367</v>
      </c>
      <c r="B85" s="41" t="s">
        <v>367</v>
      </c>
      <c r="C85" s="4" t="s">
        <v>293</v>
      </c>
      <c r="E85" t="s">
        <v>355</v>
      </c>
    </row>
    <row r="86" spans="1:5" ht="12.75" customHeight="1">
      <c r="A86" s="41" t="s">
        <v>368</v>
      </c>
      <c r="B86" s="4" t="s">
        <v>368</v>
      </c>
      <c r="C86" s="4" t="s">
        <v>293</v>
      </c>
      <c r="E86" t="s">
        <v>355</v>
      </c>
    </row>
    <row r="87" spans="1:5" ht="12.75" customHeight="1">
      <c r="A87" s="41" t="s">
        <v>369</v>
      </c>
      <c r="B87" s="4" t="s">
        <v>369</v>
      </c>
      <c r="C87" s="4" t="s">
        <v>293</v>
      </c>
      <c r="E87" t="s">
        <v>355</v>
      </c>
    </row>
    <row r="88" spans="1:5" ht="12.75" customHeight="1">
      <c r="A88" s="41" t="s">
        <v>370</v>
      </c>
      <c r="B88" s="4" t="s">
        <v>370</v>
      </c>
      <c r="C88" s="4" t="s">
        <v>293</v>
      </c>
      <c r="E88" t="s">
        <v>355</v>
      </c>
    </row>
    <row r="89" spans="1:5" ht="12.75" customHeight="1">
      <c r="A89" s="41" t="s">
        <v>371</v>
      </c>
      <c r="B89" s="4" t="s">
        <v>371</v>
      </c>
      <c r="C89" s="4" t="s">
        <v>293</v>
      </c>
      <c r="E89" t="s">
        <v>355</v>
      </c>
    </row>
    <row r="90" spans="1:5" ht="12.75" customHeight="1">
      <c r="A90" s="41" t="s">
        <v>372</v>
      </c>
      <c r="B90" s="4" t="s">
        <v>372</v>
      </c>
      <c r="C90" s="4" t="s">
        <v>293</v>
      </c>
      <c r="E90" t="s">
        <v>355</v>
      </c>
    </row>
    <row r="91" spans="1:5" ht="12.75" customHeight="1">
      <c r="A91" s="41" t="s">
        <v>373</v>
      </c>
      <c r="B91" s="4" t="s">
        <v>374</v>
      </c>
      <c r="C91" s="4" t="s">
        <v>293</v>
      </c>
      <c r="E91" t="s">
        <v>261</v>
      </c>
    </row>
    <row r="92" spans="1:5" ht="12.75" customHeight="1">
      <c r="A92" s="41" t="s">
        <v>375</v>
      </c>
      <c r="B92" s="4" t="s">
        <v>375</v>
      </c>
      <c r="C92" s="4" t="s">
        <v>293</v>
      </c>
      <c r="E92" t="s">
        <v>355</v>
      </c>
    </row>
    <row r="93" spans="1:5" ht="12.75" customHeight="1">
      <c r="A93" s="41" t="s">
        <v>376</v>
      </c>
      <c r="B93" s="4" t="s">
        <v>376</v>
      </c>
      <c r="C93" s="4" t="s">
        <v>293</v>
      </c>
      <c r="E93" t="s">
        <v>355</v>
      </c>
    </row>
    <row r="94" spans="1:5" ht="12.75" customHeight="1">
      <c r="A94" s="41" t="s">
        <v>377</v>
      </c>
      <c r="B94" s="4" t="s">
        <v>377</v>
      </c>
      <c r="C94" s="4" t="s">
        <v>293</v>
      </c>
      <c r="E94" t="s">
        <v>355</v>
      </c>
    </row>
    <row r="95" spans="1:5" ht="12.75" customHeight="1">
      <c r="A95" s="41" t="s">
        <v>378</v>
      </c>
      <c r="B95" s="4" t="s">
        <v>378</v>
      </c>
      <c r="C95" s="4" t="s">
        <v>293</v>
      </c>
      <c r="E95" t="s">
        <v>355</v>
      </c>
    </row>
    <row r="96" spans="1:5" ht="12.75" customHeight="1">
      <c r="A96" s="4" t="s">
        <v>379</v>
      </c>
      <c r="B96" s="4" t="s">
        <v>379</v>
      </c>
      <c r="C96" s="4" t="s">
        <v>293</v>
      </c>
      <c r="E96" t="s">
        <v>355</v>
      </c>
    </row>
    <row r="97" spans="1:5" ht="12.75" customHeight="1">
      <c r="A97" s="4" t="s">
        <v>380</v>
      </c>
      <c r="B97" s="4" t="s">
        <v>380</v>
      </c>
      <c r="C97" s="4" t="s">
        <v>293</v>
      </c>
      <c r="E97" t="s">
        <v>355</v>
      </c>
    </row>
    <row r="98" spans="1:5" ht="12.75" customHeight="1">
      <c r="A98" s="4" t="s">
        <v>381</v>
      </c>
      <c r="B98" s="4" t="s">
        <v>381</v>
      </c>
      <c r="C98" s="4" t="s">
        <v>293</v>
      </c>
      <c r="E98" t="s">
        <v>355</v>
      </c>
    </row>
    <row r="99" spans="1:5" ht="12.75" customHeight="1">
      <c r="A99" s="4" t="s">
        <v>382</v>
      </c>
      <c r="B99" s="4" t="s">
        <v>382</v>
      </c>
      <c r="C99" s="4" t="s">
        <v>293</v>
      </c>
      <c r="E99" t="s">
        <v>355</v>
      </c>
    </row>
    <row r="100" spans="1:5" ht="12.75" customHeight="1">
      <c r="A100" s="4" t="s">
        <v>383</v>
      </c>
      <c r="B100" s="4" t="s">
        <v>383</v>
      </c>
      <c r="C100" s="4" t="s">
        <v>293</v>
      </c>
      <c r="E100" t="s">
        <v>355</v>
      </c>
    </row>
    <row r="101" spans="1:5" ht="12.75" customHeight="1">
      <c r="A101" s="4" t="s">
        <v>384</v>
      </c>
      <c r="B101" s="4" t="s">
        <v>384</v>
      </c>
      <c r="C101" s="4" t="s">
        <v>293</v>
      </c>
      <c r="E101" t="s">
        <v>355</v>
      </c>
    </row>
    <row r="102" spans="1:5" ht="12.75" customHeight="1">
      <c r="A102" s="4" t="s">
        <v>385</v>
      </c>
      <c r="B102" s="4" t="s">
        <v>385</v>
      </c>
      <c r="C102" s="4" t="s">
        <v>293</v>
      </c>
      <c r="E102" t="s">
        <v>355</v>
      </c>
    </row>
    <row r="103" spans="1:5" ht="12.75" customHeight="1">
      <c r="A103" s="4" t="s">
        <v>386</v>
      </c>
      <c r="B103" s="4" t="s">
        <v>387</v>
      </c>
      <c r="C103" s="4" t="s">
        <v>293</v>
      </c>
      <c r="E103" t="s">
        <v>355</v>
      </c>
    </row>
    <row r="104" spans="1:5" ht="12.75" customHeight="1">
      <c r="A104" s="4" t="s">
        <v>388</v>
      </c>
      <c r="B104" s="4" t="s">
        <v>389</v>
      </c>
      <c r="C104" s="4" t="s">
        <v>293</v>
      </c>
      <c r="E104" t="s">
        <v>355</v>
      </c>
    </row>
    <row r="105" spans="1:5" ht="12.75" customHeight="1">
      <c r="A105" s="4" t="s">
        <v>390</v>
      </c>
      <c r="B105" s="4" t="s">
        <v>390</v>
      </c>
      <c r="C105" s="4" t="s">
        <v>293</v>
      </c>
      <c r="E105" t="s">
        <v>355</v>
      </c>
    </row>
    <row r="106" spans="1:5" ht="12.75" customHeight="1">
      <c r="A106" s="4" t="s">
        <v>391</v>
      </c>
      <c r="B106" s="4" t="s">
        <v>391</v>
      </c>
      <c r="C106" s="4" t="s">
        <v>293</v>
      </c>
      <c r="E106" t="s">
        <v>355</v>
      </c>
    </row>
    <row r="107" spans="1:5" ht="12.75" customHeight="1">
      <c r="A107" s="4" t="s">
        <v>392</v>
      </c>
      <c r="B107" s="4" t="s">
        <v>392</v>
      </c>
      <c r="C107" s="4" t="s">
        <v>293</v>
      </c>
      <c r="E107" t="s">
        <v>355</v>
      </c>
    </row>
    <row r="108" spans="1:5" ht="12.75" customHeight="1">
      <c r="A108" s="41" t="s">
        <v>393</v>
      </c>
      <c r="B108" s="4" t="s">
        <v>393</v>
      </c>
      <c r="C108" s="4" t="s">
        <v>293</v>
      </c>
      <c r="E108" t="s">
        <v>355</v>
      </c>
    </row>
    <row r="109" spans="1:5" ht="12.75" customHeight="1">
      <c r="A109" s="41" t="s">
        <v>394</v>
      </c>
      <c r="B109" s="4" t="s">
        <v>394</v>
      </c>
      <c r="C109" s="4" t="s">
        <v>293</v>
      </c>
      <c r="E109" t="s">
        <v>355</v>
      </c>
    </row>
    <row r="110" spans="1:5" ht="12.75" customHeight="1">
      <c r="A110" s="41" t="s">
        <v>395</v>
      </c>
      <c r="B110" s="4" t="s">
        <v>395</v>
      </c>
      <c r="C110" s="4" t="s">
        <v>293</v>
      </c>
      <c r="E110" t="s">
        <v>355</v>
      </c>
    </row>
    <row r="111" spans="1:5" ht="12.75" customHeight="1">
      <c r="A111" s="41" t="s">
        <v>396</v>
      </c>
      <c r="B111" s="4" t="s">
        <v>396</v>
      </c>
      <c r="C111" s="4" t="s">
        <v>293</v>
      </c>
      <c r="E111" t="s">
        <v>261</v>
      </c>
    </row>
    <row r="112" spans="1:5" ht="12.75" customHeight="1">
      <c r="A112" s="41" t="s">
        <v>397</v>
      </c>
      <c r="B112" s="4" t="s">
        <v>397</v>
      </c>
      <c r="C112" s="4" t="s">
        <v>293</v>
      </c>
      <c r="E112" t="s">
        <v>261</v>
      </c>
    </row>
    <row r="113" spans="1:5" ht="12.75" customHeight="1">
      <c r="A113" s="41" t="s">
        <v>398</v>
      </c>
      <c r="B113" s="4" t="s">
        <v>399</v>
      </c>
      <c r="C113" s="4" t="s">
        <v>400</v>
      </c>
      <c r="E113" t="s">
        <v>261</v>
      </c>
    </row>
    <row r="114" spans="1:5" ht="12.75" customHeight="1">
      <c r="A114" s="41" t="s">
        <v>401</v>
      </c>
      <c r="B114" s="4" t="s">
        <v>401</v>
      </c>
      <c r="C114" s="4" t="s">
        <v>400</v>
      </c>
      <c r="E114" t="s">
        <v>261</v>
      </c>
    </row>
    <row r="115" spans="1:5" ht="12.75" customHeight="1">
      <c r="A115" s="41" t="s">
        <v>402</v>
      </c>
      <c r="B115" s="4" t="s">
        <v>403</v>
      </c>
      <c r="C115" s="4" t="s">
        <v>400</v>
      </c>
      <c r="E115" t="s">
        <v>261</v>
      </c>
    </row>
    <row r="116" spans="1:5" ht="12.75" customHeight="1">
      <c r="A116" s="41" t="s">
        <v>404</v>
      </c>
      <c r="B116" s="4" t="s">
        <v>405</v>
      </c>
      <c r="C116" s="4" t="s">
        <v>400</v>
      </c>
      <c r="E116" t="s">
        <v>261</v>
      </c>
    </row>
    <row r="117" spans="1:5" ht="12.75" customHeight="1">
      <c r="A117" s="41" t="s">
        <v>406</v>
      </c>
      <c r="B117" s="4" t="s">
        <v>407</v>
      </c>
      <c r="C117" s="4" t="s">
        <v>400</v>
      </c>
      <c r="E117" t="s">
        <v>261</v>
      </c>
    </row>
    <row r="118" spans="1:5" ht="12.75" customHeight="1">
      <c r="A118" s="41" t="s">
        <v>408</v>
      </c>
      <c r="B118" s="4" t="s">
        <v>409</v>
      </c>
      <c r="C118" s="4" t="s">
        <v>410</v>
      </c>
      <c r="E118" t="s">
        <v>261</v>
      </c>
    </row>
    <row r="119" spans="1:5" ht="12.75" customHeight="1">
      <c r="A119" s="41" t="s">
        <v>411</v>
      </c>
      <c r="B119" s="4" t="s">
        <v>412</v>
      </c>
      <c r="C119" s="4" t="s">
        <v>410</v>
      </c>
      <c r="E119" t="s">
        <v>261</v>
      </c>
    </row>
    <row r="120" spans="1:5" ht="12.75" customHeight="1">
      <c r="A120" s="41" t="s">
        <v>413</v>
      </c>
      <c r="B120" s="4" t="s">
        <v>414</v>
      </c>
      <c r="C120" s="4" t="s">
        <v>410</v>
      </c>
      <c r="E120" t="s">
        <v>261</v>
      </c>
    </row>
    <row r="121" spans="1:5" ht="12.75" customHeight="1">
      <c r="A121" s="41" t="s">
        <v>415</v>
      </c>
      <c r="B121" s="4" t="s">
        <v>416</v>
      </c>
      <c r="C121" s="4" t="s">
        <v>417</v>
      </c>
      <c r="E121" t="s">
        <v>261</v>
      </c>
    </row>
    <row r="122" spans="1:5" ht="12.75" customHeight="1">
      <c r="A122" s="41" t="s">
        <v>418</v>
      </c>
      <c r="B122" s="4" t="s">
        <v>419</v>
      </c>
      <c r="C122" s="4" t="s">
        <v>417</v>
      </c>
      <c r="E122" t="s">
        <v>261</v>
      </c>
    </row>
    <row r="123" spans="1:5" ht="12.75" customHeight="1">
      <c r="A123" s="41" t="s">
        <v>420</v>
      </c>
      <c r="B123" s="4" t="s">
        <v>421</v>
      </c>
      <c r="C123" s="4" t="s">
        <v>422</v>
      </c>
      <c r="E123" t="s">
        <v>261</v>
      </c>
    </row>
    <row r="124" spans="1:5" ht="12.75" customHeight="1">
      <c r="A124" s="41" t="s">
        <v>423</v>
      </c>
      <c r="B124" s="4" t="s">
        <v>424</v>
      </c>
      <c r="C124" s="4" t="s">
        <v>422</v>
      </c>
      <c r="E124" t="s">
        <v>261</v>
      </c>
    </row>
    <row r="125" spans="1:5" ht="12.75" customHeight="1">
      <c r="A125" s="41" t="s">
        <v>425</v>
      </c>
      <c r="B125" s="4" t="s">
        <v>426</v>
      </c>
      <c r="C125" s="4" t="s">
        <v>427</v>
      </c>
      <c r="E125" t="s">
        <v>261</v>
      </c>
    </row>
    <row r="126" spans="1:5" ht="12.75" customHeight="1">
      <c r="A126" s="41" t="s">
        <v>428</v>
      </c>
      <c r="B126" s="4" t="s">
        <v>429</v>
      </c>
      <c r="C126" s="4" t="s">
        <v>427</v>
      </c>
      <c r="E126" t="s">
        <v>261</v>
      </c>
    </row>
    <row r="127" spans="1:5" ht="12.75" customHeight="1">
      <c r="A127" s="41" t="s">
        <v>430</v>
      </c>
      <c r="B127" s="4" t="s">
        <v>431</v>
      </c>
      <c r="C127" s="4" t="s">
        <v>427</v>
      </c>
      <c r="E127" t="s">
        <v>261</v>
      </c>
    </row>
    <row r="128" spans="1:5" ht="12.75" customHeight="1">
      <c r="A128" s="41" t="s">
        <v>432</v>
      </c>
      <c r="B128" s="4" t="s">
        <v>433</v>
      </c>
      <c r="C128" s="4" t="s">
        <v>289</v>
      </c>
      <c r="E128" t="s">
        <v>261</v>
      </c>
    </row>
    <row r="129" spans="1:5" ht="12.75" customHeight="1">
      <c r="A129" s="41" t="s">
        <v>434</v>
      </c>
      <c r="B129" s="4" t="s">
        <v>435</v>
      </c>
      <c r="C129" s="4" t="s">
        <v>289</v>
      </c>
      <c r="E129" t="s">
        <v>261</v>
      </c>
    </row>
    <row r="130" spans="1:5" ht="12.75" customHeight="1">
      <c r="A130" s="41" t="s">
        <v>436</v>
      </c>
      <c r="B130" s="4" t="s">
        <v>437</v>
      </c>
      <c r="C130" s="4" t="s">
        <v>289</v>
      </c>
      <c r="E130" t="s">
        <v>261</v>
      </c>
    </row>
    <row r="131" spans="1:5" ht="12.75" customHeight="1">
      <c r="A131" s="41" t="s">
        <v>438</v>
      </c>
      <c r="B131" s="4" t="s">
        <v>439</v>
      </c>
      <c r="C131" s="4" t="s">
        <v>440</v>
      </c>
      <c r="E131" t="s">
        <v>261</v>
      </c>
    </row>
    <row r="132" spans="1:5" ht="12.75" customHeight="1">
      <c r="A132" s="41" t="s">
        <v>441</v>
      </c>
      <c r="B132" s="4" t="s">
        <v>442</v>
      </c>
      <c r="C132" s="4" t="s">
        <v>440</v>
      </c>
      <c r="E132" t="s">
        <v>261</v>
      </c>
    </row>
    <row r="133" spans="1:5" ht="12.75" customHeight="1">
      <c r="A133" s="41" t="s">
        <v>443</v>
      </c>
      <c r="B133" s="4" t="s">
        <v>444</v>
      </c>
      <c r="C133" s="4" t="s">
        <v>440</v>
      </c>
      <c r="E133" t="s">
        <v>261</v>
      </c>
    </row>
    <row r="134" spans="1:5" ht="12.75" customHeight="1">
      <c r="A134" s="41" t="s">
        <v>445</v>
      </c>
      <c r="B134" s="4" t="s">
        <v>446</v>
      </c>
      <c r="C134" s="4" t="s">
        <v>440</v>
      </c>
      <c r="E134" t="s">
        <v>261</v>
      </c>
    </row>
    <row r="135" spans="1:5" ht="12.75" customHeight="1">
      <c r="A135" s="41" t="s">
        <v>447</v>
      </c>
      <c r="B135" s="4" t="s">
        <v>448</v>
      </c>
      <c r="C135" s="4" t="s">
        <v>440</v>
      </c>
      <c r="E135" t="s">
        <v>261</v>
      </c>
    </row>
    <row r="136" spans="1:5" ht="12.75" customHeight="1">
      <c r="A136" s="41" t="s">
        <v>449</v>
      </c>
      <c r="B136" s="4" t="s">
        <v>450</v>
      </c>
      <c r="C136" s="4" t="s">
        <v>440</v>
      </c>
      <c r="E136" t="s">
        <v>261</v>
      </c>
    </row>
    <row r="137" spans="1:5" ht="12.75" customHeight="1">
      <c r="A137" s="41" t="s">
        <v>451</v>
      </c>
      <c r="B137" s="4" t="s">
        <v>452</v>
      </c>
      <c r="C137" s="4" t="s">
        <v>440</v>
      </c>
      <c r="E137" t="s">
        <v>261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2024-03-20T17:24:01Z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