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New Format\"/>
    </mc:Choice>
  </mc:AlternateContent>
  <xr:revisionPtr revIDLastSave="0" documentId="13_ncr:1_{C7B45C67-EF3A-40A4-A998-DE23049B581D}" xr6:coauthVersionLast="47" xr6:coauthVersionMax="47" xr10:uidLastSave="{00000000-0000-0000-0000-000000000000}"/>
  <bookViews>
    <workbookView xWindow="-28920" yWindow="7725" windowWidth="29040" windowHeight="15720" tabRatio="866" firstSheet="1" activeTab="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2" l="1"/>
  <c r="F4" i="72" s="1"/>
  <c r="E5" i="72"/>
  <c r="E6" i="72"/>
  <c r="E7" i="72"/>
  <c r="F7" i="72" s="1"/>
  <c r="E8" i="72"/>
  <c r="F8" i="72" s="1"/>
  <c r="F5" i="72"/>
  <c r="F6" i="72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G6" i="1"/>
  <c r="G6" i="34" s="1"/>
  <c r="G7" i="1"/>
  <c r="G7" i="34" s="1"/>
  <c r="G8" i="1"/>
  <c r="G8" i="34" s="1"/>
  <c r="G5" i="1"/>
  <c r="G5" i="34" s="1"/>
  <c r="G4" i="1"/>
  <c r="G4" i="34" s="1"/>
  <c r="D8" i="34"/>
  <c r="D7" i="34"/>
  <c r="D6" i="34"/>
  <c r="D5" i="34"/>
  <c r="C8" i="34"/>
  <c r="C7" i="34"/>
  <c r="C6" i="34"/>
  <c r="C5" i="34"/>
  <c r="B4" i="34" a="1"/>
  <c r="B4" i="34" s="1"/>
  <c r="A4" i="34" a="1"/>
  <c r="A4" i="34" s="1"/>
  <c r="A1" i="34" a="1"/>
  <c r="A1" i="34" s="1"/>
  <c r="D8" i="30"/>
  <c r="C8" i="30"/>
  <c r="E8" i="30" s="1"/>
  <c r="F8" i="30" s="1"/>
  <c r="D7" i="30"/>
  <c r="C7" i="30"/>
  <c r="D6" i="30"/>
  <c r="C6" i="30"/>
  <c r="D5" i="30"/>
  <c r="C5" i="30"/>
  <c r="E5" i="30" s="1"/>
  <c r="F5" i="30" s="1"/>
  <c r="D4" i="30"/>
  <c r="C4" i="30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D4" i="29"/>
  <c r="C4" i="29"/>
  <c r="D8" i="18"/>
  <c r="C8" i="18"/>
  <c r="D7" i="18"/>
  <c r="C7" i="18"/>
  <c r="E7" i="18" s="1"/>
  <c r="F7" i="18" s="1"/>
  <c r="D6" i="18"/>
  <c r="D2" i="18" s="1"/>
  <c r="C6" i="18"/>
  <c r="D5" i="18"/>
  <c r="C5" i="18"/>
  <c r="E5" i="18" s="1"/>
  <c r="F5" i="18" s="1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H6" i="29" l="1"/>
  <c r="I6" i="29" s="1"/>
  <c r="E4" i="18"/>
  <c r="F4" i="18" s="1"/>
  <c r="E8" i="18"/>
  <c r="F8" i="18" s="1"/>
  <c r="E6" i="30"/>
  <c r="F6" i="30" s="1"/>
  <c r="H7" i="29"/>
  <c r="I7" i="29" s="1"/>
  <c r="D4" i="34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E5" i="34"/>
  <c r="F5" i="34" s="1"/>
  <c r="G2" i="1"/>
  <c r="E6" i="34"/>
  <c r="F6" i="34" s="1"/>
  <c r="D2" i="34"/>
  <c r="E8" i="1"/>
  <c r="F8" i="1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H8" i="30"/>
  <c r="I8" i="30" s="1"/>
  <c r="E7" i="29"/>
  <c r="F7" i="29" s="1"/>
  <c r="H8" i="29"/>
  <c r="I8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H6" i="34"/>
  <c r="I6" i="34" s="1"/>
  <c r="H7" i="34"/>
  <c r="I7" i="34" s="1"/>
  <c r="H8" i="34"/>
  <c r="I8" i="34" s="1"/>
  <c r="H5" i="34"/>
  <c r="I5" i="34" s="1"/>
  <c r="E7" i="34"/>
  <c r="F7" i="34" s="1"/>
  <c r="E8" i="34"/>
  <c r="F8" i="34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<sst xmlns="http://schemas.openxmlformats.org/spreadsheetml/2006/main" count="272" uniqueCount="73">
  <si>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</si>
  <si>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</si>
  <si>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</si>
  <si>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</si>
  <si>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</si>
  <si>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</si>
  <si>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</si>
  <si>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</si>
  <si>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</si>
  <si>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</si>
  <si>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</si>
  <si>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</si>
  <si>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</si>
  <si>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</si>
  <si>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</si>
  <si>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</si>
  <si>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</si>
  <si>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</si>
  <si>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</si>
  <si>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</si>
  <si>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</si>
  <si>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</si>
  <si>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</si>
  <si>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was offline on 01/07 at 10:00AM and later back online on 01/08 at 15:30.
2. Site tripped offline on 01/22 at 10:15AM and later back online on 01/25 at 15:45.
3. Inverters 28, 29 &amp; 39 are offline from 01/26 and later back online on 01/31 at 14:45.</t>
  </si>
  <si>
    <t>1. SR080001
2. SR080133
3. SR080577</t>
  </si>
  <si>
    <t>1. Site was offline on 01/13 from 06:15 to 11:30 .
2. Site was offline from 01/14  at 11:00 to 01/15 at 15:00.</t>
  </si>
  <si>
    <t>1. SR080191
2. SR080222</t>
  </si>
  <si>
    <t>February Actual v. Expected</t>
  </si>
  <si>
    <t>February Actual v. Forecasted</t>
  </si>
  <si>
    <t>1. Site relay tripped open at 15:00 on 02/29 and back online next day.</t>
  </si>
  <si>
    <t>1. SR081475</t>
  </si>
  <si>
    <t>1. Inverter 11 tripped offline twice this month and self-resolved itself each time.</t>
  </si>
  <si>
    <t>1. SR081067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</si>
  <si>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</si>
  <si>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</si>
  <si>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</si>
  <si>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</si>
  <si>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</si>
  <si>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</si>
  <si>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</si>
  <si>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</si>
  <si>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</si>
  <si>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</si>
  <si>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</si>
  <si>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</si>
  <si>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</si>
  <si>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</si>
  <si>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</si>
  <si>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</si>
  <si>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</si>
  <si>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</si>
  <si>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</si>
  <si>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</si>
  <si>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</si>
  <si>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Agilitas Energy</t>
  </si>
  <si>
    <t>Site DAS Name</t>
  </si>
  <si>
    <t>Update</t>
  </si>
  <si>
    <t>DAS</t>
  </si>
  <si>
    <t>Central Street Solar, Rowley</t>
  </si>
  <si>
    <t>Rowley - Central Street Solar</t>
  </si>
  <si>
    <t>MA</t>
  </si>
  <si>
    <t>AEF</t>
  </si>
  <si>
    <t>PowerTrack</t>
  </si>
  <si>
    <t>Leicester Street Solar: DAS + BESS</t>
  </si>
  <si>
    <t>Auburn - Leicester Street Solar</t>
  </si>
  <si>
    <t>Middleboro Road</t>
  </si>
  <si>
    <t>Rochester - Old Middleboro</t>
  </si>
  <si>
    <t>Littleworth Road Solar</t>
  </si>
  <si>
    <t>Dover - Littleworth Road</t>
  </si>
  <si>
    <t>NH</t>
  </si>
  <si>
    <t>SolrenView</t>
  </si>
  <si>
    <t>Milton Municipal Landfill</t>
  </si>
  <si>
    <t>Milton - Landfill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</si>
</sst>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" totalsRowShown="0">
  <autoFilter ref="A3:E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H26" sqref="H26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Agilitas Energy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SUM(C4:C80)</f>
        <v>2216107.6166509623</v>
      </c>
      <c r="D2" s="5">
        <f>SUM(D4:D80)</f>
        <v>1725797.66</v>
      </c>
      <c r="E2" s="5">
        <f>C2-D2</f>
        <v>490309.95665096235</v>
      </c>
      <c r="F2" s="6">
        <f>IFERROR(E2/D2, 0)</f>
        <v>0.28410628199076499</v>
      </c>
      <c r="G2" s="5">
        <f>SUM(G4:G80)</f>
        <v>1003502.73</v>
      </c>
      <c r="H2" s="7">
        <f>C2-G2</f>
        <v>1212604.8866509623</v>
      </c>
      <c r="I2" s="6">
        <f>IFERROR(H2/G2, 0)</f>
        <v>1.2083722847978324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51" t="str" cm="1">
        <f t="array" ref="A4:A8">Sites[Site]</f>
        <v>Rowley - Central Street Solar</v>
      </c>
      <c r="B4" s="31" t="str" cm="1">
        <f t="array" ref="B4:B8">Sites[State]</f>
        <v>MA</v>
      </c>
      <c r="C4" s="23">
        <f>SUM('1st Qtr'!C4, '2nd Qtr'!C4, '3rd Qtr'!C4, '4th Qtr'!C4)</f>
        <v>88839.949984296501</v>
      </c>
      <c r="D4" s="12">
        <f>SUM('1st Qtr'!D4, '2nd Qtr'!D4, '3rd Qtr'!D4, '4th Qtr'!D4)</f>
        <v>95594.66</v>
      </c>
      <c r="E4" s="12">
        <f>IF(AND(ISNUMBER(C4),ISNUMBER(D4)), C4-D4, "")</f>
        <v>-6754.710015703502</v>
      </c>
      <c r="F4" s="13">
        <f>IFERROR(E4/D4, "")</f>
        <v>-7.0659909410248453E-2</v>
      </c>
      <c r="G4" s="14">
        <f>SUM('1st Qtr'!G4, '2nd Qtr'!G4, '3rd Qtr'!G4, '4th Qtr'!G4)</f>
        <v>90949.13</v>
      </c>
      <c r="H4" s="14">
        <f>SUM('1st Qtr'!H4, '2nd Qtr'!H4, '3rd Qtr'!H4, '4th Qtr'!H4)</f>
        <v>-2109.1800157034959</v>
      </c>
      <c r="I4" s="15">
        <f>IFERROR(H4/G4, "")</f>
        <v>-2.3190766263552997E-2</v>
      </c>
    </row>
    <row r="5" spans="1:9" ht="15.75">
      <c r="A5" s="52" t="str">
        <v>Auburn - Leicester Street Solar</v>
      </c>
      <c r="B5" s="29" t="str">
        <v>MA</v>
      </c>
      <c r="C5" s="11">
        <f>SUM(Jan!C5, Feb!C5, Mar!C5)</f>
        <v>782823.66666666605</v>
      </c>
      <c r="D5" s="17">
        <f>SUM(Jan!D5, Feb!D5, Mar!D5)</f>
        <v>467792.3</v>
      </c>
      <c r="E5" s="17">
        <f t="shared" ref="E5:E8" si="0">IF(AND(ISNUMBER(C5),ISNUMBER(D5)), C5-D5, "")</f>
        <v>315031.36666666606</v>
      </c>
      <c r="F5" s="18">
        <f>IFERROR(E5/D5, "")</f>
        <v>0.67344282209575934</v>
      </c>
      <c r="G5" s="19">
        <f>SUM('1st Qtr'!G5, '2nd Qtr'!G5, '3rd Qtr'!G5, '4th Qtr'!G5)</f>
        <v>0</v>
      </c>
      <c r="H5" s="19">
        <f>SUM(Jan!H5, Feb!H5, Mar!H5)</f>
        <v>782823.66666666605</v>
      </c>
      <c r="I5" s="18" t="str">
        <f>IFERROR(H5/G5, "")</f>
        <v/>
      </c>
    </row>
    <row r="6" spans="1:9" ht="15.75">
      <c r="A6" s="53" t="str">
        <v>Rochester - Old Middleboro</v>
      </c>
      <c r="B6" s="27" t="str">
        <v>MA</v>
      </c>
      <c r="C6" s="23">
        <f>SUM(Jan!C6, Feb!C6, Mar!C6)</f>
        <v>1168756</v>
      </c>
      <c r="D6" s="12">
        <f>SUM(Jan!D6, Feb!D6, Mar!D6)</f>
        <v>1162410.7</v>
      </c>
      <c r="E6" s="12">
        <f t="shared" si="0"/>
        <v>6345.3000000000466</v>
      </c>
      <c r="F6" s="13">
        <f t="shared" ref="F6:F8" si="1">IFERROR(E6/D6, "")</f>
        <v>5.4587419059374167E-3</v>
      </c>
      <c r="G6" s="14">
        <f>SUM('1st Qtr'!G6, '2nd Qtr'!G6, '3rd Qtr'!G6, '4th Qtr'!G6)</f>
        <v>912553.6</v>
      </c>
      <c r="H6" s="14">
        <f>SUM(Jan!H6, Feb!H6, Mar!H6)</f>
        <v>256202.40000000002</v>
      </c>
      <c r="I6" s="15">
        <f t="shared" ref="I6:I8" si="2">IFERROR(H6/G6, "")</f>
        <v>0.28075326205496315</v>
      </c>
    </row>
    <row r="7" spans="1:9" ht="15.75">
      <c r="A7" s="52" t="str">
        <v>Dover - Littleworth Road</v>
      </c>
      <c r="B7" s="29" t="str">
        <v>NH</v>
      </c>
      <c r="C7" s="11">
        <f>SUM(Jan!C7, Feb!C7, Mar!C7)</f>
        <v>43521</v>
      </c>
      <c r="D7" s="17">
        <f>SUM(Jan!D7, Feb!D7, Mar!D7)</f>
        <v>0</v>
      </c>
      <c r="E7" s="17">
        <f t="shared" si="0"/>
        <v>43521</v>
      </c>
      <c r="F7" s="18" t="str">
        <f t="shared" si="1"/>
        <v/>
      </c>
      <c r="G7" s="19">
        <f>SUM('1st Qtr'!G7, '2nd Qtr'!G7, '3rd Qtr'!G7, '4th Qtr'!G7)</f>
        <v>0</v>
      </c>
      <c r="H7" s="19">
        <f>SUM(Jan!H7, Feb!H7, Mar!H7)</f>
        <v>43521</v>
      </c>
      <c r="I7" s="18" t="str">
        <f t="shared" si="2"/>
        <v/>
      </c>
    </row>
    <row r="8" spans="1:9" ht="15.75">
      <c r="A8" s="53" t="str">
        <v>Milton - Landfill</v>
      </c>
      <c r="B8" s="27" t="str">
        <v>NH</v>
      </c>
      <c r="C8" s="23">
        <f>SUM(Jan!C8, Feb!C8, Mar!C8)</f>
        <v>132167</v>
      </c>
      <c r="D8" s="12">
        <f>SUM(Jan!D8, Feb!D8, Mar!D8)</f>
        <v>0</v>
      </c>
      <c r="E8" s="12">
        <f t="shared" si="0"/>
        <v>132167</v>
      </c>
      <c r="F8" s="13" t="str">
        <f t="shared" si="1"/>
        <v/>
      </c>
      <c r="G8" s="14">
        <f>SUM('1st Qtr'!G8, '2nd Qtr'!G8, '3rd Qtr'!G8, '4th Qtr'!G8)</f>
        <v>0</v>
      </c>
      <c r="H8" s="14">
        <f>SUM(Jan!H8, Feb!H8, Mar!H8)</f>
        <v>132167</v>
      </c>
      <c r="I8" s="15" t="str">
        <f t="shared" si="2"/>
        <v/>
      </c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>
      <c r="A322" s="20"/>
      <c r="B322" s="20"/>
      <c r="C322" s="20"/>
      <c r="D322" s="20"/>
      <c r="E322" s="20"/>
      <c r="F322" s="21"/>
      <c r="G322" s="20"/>
      <c r="H322" s="20"/>
      <c r="I322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tabSelected="1" workbookViewId="0">
      <pane xSplit="2" ySplit="3" topLeftCell="C4" activePane="bottomRight" state="frozen"/>
      <selection pane="bottomRight" activeCell="D17" sqref="D17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Agilitas Energy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SUM(C4:C80)</f>
        <v>2216107.6166509623</v>
      </c>
      <c r="D2" s="5">
        <f>SUM(D4:D80)</f>
        <v>1725797.66</v>
      </c>
      <c r="E2" s="5">
        <f>C2-D2</f>
        <v>490309.95665096235</v>
      </c>
      <c r="F2" s="6">
        <f>IFERROR(E2/D2, 0)</f>
        <v>0.28410628199076499</v>
      </c>
      <c r="G2" s="5">
        <f>SUM(G4:G80)</f>
        <v>1003502.73</v>
      </c>
      <c r="H2" s="7">
        <f>C2-G2</f>
        <v>1212604.8866509623</v>
      </c>
      <c r="I2" s="6">
        <f>IFERROR(H2/G2, 0)</f>
        <v>1.2083722847978324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SUM(Jan!C4, Feb!C4, Mar!C4)</f>
        <v>88839.949984296501</v>
      </c>
      <c r="D4" s="12">
        <f>SUM(Jan!D4, Feb!D4, Mar!D4)</f>
        <v>95594.66</v>
      </c>
      <c r="E4" s="12">
        <f>IF(AND(ISNUMBER(C4),ISNUMBER(D4)), C4-D4, "")</f>
        <v>-6754.710015703502</v>
      </c>
      <c r="F4" s="13">
        <f>IFERROR(E4/D4, "")</f>
        <v>-7.0659909410248453E-2</v>
      </c>
      <c r="G4" s="14">
        <f>SUM(Jan!G4, Feb!G4, Mar!G4)</f>
        <v>90949.13</v>
      </c>
      <c r="H4" s="14">
        <f>SUM(Jan!H4, Feb!H4, Mar!H4)</f>
        <v>-2109.1800157034959</v>
      </c>
      <c r="I4" s="15">
        <f>IFERROR(H4/G4, "")</f>
        <v>-2.3190766263552997E-2</v>
      </c>
    </row>
    <row r="5" spans="1:9" ht="15.75">
      <c r="A5" s="49" t="str">
        <v>Auburn - Leicester Street Solar</v>
      </c>
      <c r="B5" s="10" t="str">
        <v>MA</v>
      </c>
      <c r="C5" s="11">
        <f>SUM(Jan!C5, Feb!C5, Mar!C5)</f>
        <v>782823.66666666605</v>
      </c>
      <c r="D5" s="17">
        <f>SUM(Jan!D5, Feb!D5, Mar!D5)</f>
        <v>467792.3</v>
      </c>
      <c r="E5" s="17">
        <f t="shared" ref="E5:E8" si="0">IF(AND(ISNUMBER(C5),ISNUMBER(D5)), C5-D5, "")</f>
        <v>315031.36666666606</v>
      </c>
      <c r="F5" s="18">
        <f>IFERROR(E5/D5, "")</f>
        <v>0.67344282209575934</v>
      </c>
      <c r="G5" s="19">
        <f>SUM(Jan!G5, Feb!G5, Mar!G5)</f>
        <v>0</v>
      </c>
      <c r="H5" s="19">
        <f>SUM(Jan!H5, Feb!H5, Mar!H5)</f>
        <v>782823.66666666605</v>
      </c>
      <c r="I5" s="18" t="str">
        <f>IFERROR(H5/G5, "")</f>
        <v/>
      </c>
    </row>
    <row r="6" spans="1:9" ht="15.75">
      <c r="A6" s="48" t="str">
        <v>Rochester - Old Middleboro</v>
      </c>
      <c r="B6" s="9" t="str">
        <v>MA</v>
      </c>
      <c r="C6" s="23">
        <f>SUM(Jan!C6, Feb!C6, Mar!C6)</f>
        <v>1168756</v>
      </c>
      <c r="D6" s="12">
        <f>SUM(Jan!D6, Feb!D6, Mar!D6)</f>
        <v>1162410.7</v>
      </c>
      <c r="E6" s="12">
        <f t="shared" si="0"/>
        <v>6345.3000000000466</v>
      </c>
      <c r="F6" s="13">
        <f t="shared" ref="F6:F8" si="1">IFERROR(E6/D6, "")</f>
        <v>5.4587419059374167E-3</v>
      </c>
      <c r="G6" s="14">
        <f>SUM(Jan!G6, Feb!G6, Mar!G6)</f>
        <v>912553.6</v>
      </c>
      <c r="H6" s="14">
        <f>SUM(Jan!H6, Feb!H6, Mar!H6)</f>
        <v>256202.40000000002</v>
      </c>
      <c r="I6" s="15">
        <f t="shared" ref="I6:I8" si="2">IFERROR(H6/G6, "")</f>
        <v>0.28075326205496315</v>
      </c>
    </row>
    <row r="7" spans="1:9" ht="15.75">
      <c r="A7" s="49" t="str">
        <v>Dover - Littleworth Road</v>
      </c>
      <c r="B7" s="10" t="str">
        <v>NH</v>
      </c>
      <c r="C7" s="11">
        <f>SUM(Jan!C7, Feb!C7, Mar!C7)</f>
        <v>43521</v>
      </c>
      <c r="D7" s="17">
        <f>SUM(Jan!D7, Feb!D7, Mar!D7)</f>
        <v>0</v>
      </c>
      <c r="E7" s="17">
        <f t="shared" si="0"/>
        <v>43521</v>
      </c>
      <c r="F7" s="18" t="str">
        <f t="shared" si="1"/>
        <v/>
      </c>
      <c r="G7" s="19">
        <f>SUM(Jan!G7, Feb!G7, Mar!G7)</f>
        <v>0</v>
      </c>
      <c r="H7" s="19">
        <f>SUM(Jan!H7, Feb!H7, Mar!H7)</f>
        <v>43521</v>
      </c>
      <c r="I7" s="18" t="str">
        <f t="shared" si="2"/>
        <v/>
      </c>
    </row>
    <row r="8" spans="1:9" ht="15.75">
      <c r="A8" s="48" t="str">
        <v>Milton - Landfill</v>
      </c>
      <c r="B8" s="9" t="str">
        <v>NH</v>
      </c>
      <c r="C8" s="23">
        <f>SUM(Jan!C8, Feb!C8, Mar!C8)</f>
        <v>132167</v>
      </c>
      <c r="D8" s="12">
        <f>SUM(Jan!D8, Feb!D8, Mar!D8)</f>
        <v>0</v>
      </c>
      <c r="E8" s="12">
        <f t="shared" si="0"/>
        <v>132167</v>
      </c>
      <c r="F8" s="13" t="str">
        <f t="shared" si="1"/>
        <v/>
      </c>
      <c r="G8" s="14">
        <f>SUM(Jan!G8, Feb!G8, Mar!G8)</f>
        <v>0</v>
      </c>
      <c r="H8" s="14">
        <f>SUM(Jan!H8, Feb!H8, Mar!H8)</f>
        <v>132167</v>
      </c>
      <c r="I8" s="15" t="str">
        <f t="shared" si="2"/>
        <v/>
      </c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Agilitas Energy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 ht="15.75">
      <c r="A5" s="49" t="str">
        <v>Auburn - Leicester Street Solar</v>
      </c>
      <c r="B5" s="10" t="str">
        <v>MA</v>
      </c>
      <c r="C5" s="11">
        <f>SUM(Apr!C5, May!C5, Jun!C5)</f>
        <v>0</v>
      </c>
      <c r="D5" s="17">
        <f>SUM(Apr!D5, May!D5, Jun!D5)</f>
        <v>0</v>
      </c>
      <c r="E5" s="17">
        <f t="shared" ref="E5:E8" si="0">IF(AND(ISNUMBER(C5),ISNUMBER(D5)), C5-D5, "")</f>
        <v>0</v>
      </c>
      <c r="F5" s="18" t="str">
        <f>IFERROR(E5/D5, "")</f>
        <v/>
      </c>
      <c r="G5" s="19"/>
      <c r="H5" s="19">
        <f>SUM(Apr!H5, May!H5, Jun!H5)</f>
        <v>0</v>
      </c>
      <c r="I5" s="18" t="str">
        <f>IFERROR(H5/G5, "")</f>
        <v/>
      </c>
    </row>
    <row r="6" spans="1:9" ht="15.75">
      <c r="A6" s="48" t="str">
        <v>Rochester - Old Middleboro</v>
      </c>
      <c r="B6" s="9" t="str">
        <v>MA</v>
      </c>
      <c r="C6" s="23">
        <f>SUM(Apr!C6, May!C6, Jun!C6)</f>
        <v>0</v>
      </c>
      <c r="D6" s="12">
        <f>SUM(Apr!D6, May!D6, Jun!D6)</f>
        <v>0</v>
      </c>
      <c r="E6" s="12">
        <f t="shared" si="0"/>
        <v>0</v>
      </c>
      <c r="F6" s="13" t="str">
        <f t="shared" ref="F6:F8" si="1">IFERROR(E6/D6, "")</f>
        <v/>
      </c>
      <c r="G6" s="14"/>
      <c r="H6" s="14">
        <f>SUM(Apr!H6, May!H6, Jun!H6)</f>
        <v>0</v>
      </c>
      <c r="I6" s="15" t="str">
        <f t="shared" ref="I6:I8" si="2">IFERROR(H6/G6, "")</f>
        <v/>
      </c>
    </row>
    <row r="7" spans="1:9" ht="15.75">
      <c r="A7" s="49" t="str">
        <v>Dover - Littleworth Road</v>
      </c>
      <c r="B7" s="10" t="str">
        <v>NH</v>
      </c>
      <c r="C7" s="11">
        <f>SUM(Apr!C7, May!C7, Jun!C7)</f>
        <v>0</v>
      </c>
      <c r="D7" s="17">
        <f>SUM(Apr!D7, May!D7, Jun!D7)</f>
        <v>0</v>
      </c>
      <c r="E7" s="17">
        <f t="shared" si="0"/>
        <v>0</v>
      </c>
      <c r="F7" s="18" t="str">
        <f t="shared" si="1"/>
        <v/>
      </c>
      <c r="G7" s="19"/>
      <c r="H7" s="19">
        <f>SUM(Apr!H7, May!H7, Jun!H7)</f>
        <v>0</v>
      </c>
      <c r="I7" s="18" t="str">
        <f t="shared" si="2"/>
        <v/>
      </c>
    </row>
    <row r="8" spans="1:9" ht="15.75">
      <c r="A8" s="48" t="str">
        <v>Milton - Landfill</v>
      </c>
      <c r="B8" s="9" t="str">
        <v>NH</v>
      </c>
      <c r="C8" s="23">
        <f>SUM(Apr!C8, May!C8, Jun!C8)</f>
        <v>0</v>
      </c>
      <c r="D8" s="12">
        <f>SUM(Apr!D8, May!D8, Jun!D8)</f>
        <v>0</v>
      </c>
      <c r="E8" s="12">
        <f t="shared" si="0"/>
        <v>0</v>
      </c>
      <c r="F8" s="13" t="str">
        <f t="shared" si="1"/>
        <v/>
      </c>
      <c r="G8" s="14"/>
      <c r="H8" s="14">
        <f>SUM(Apr!H8, May!H8, Jun!H8)</f>
        <v>0</v>
      </c>
      <c r="I8" s="15" t="str">
        <f t="shared" si="2"/>
        <v/>
      </c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Agilitas Energy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>
      <c r="A5" s="49" t="str">
        <v>Auburn - Leicester Street Solar</v>
      </c>
      <c r="B5" s="10" t="str">
        <v>MA</v>
      </c>
      <c r="C5" s="11">
        <f>SUM(Jul!C5, Aug!C5, Sep!C5)</f>
        <v>0</v>
      </c>
      <c r="D5" s="17">
        <f>SUM(Jul!D5, Aug!D5, Sep!D5)</f>
        <v>0</v>
      </c>
      <c r="E5" s="17">
        <f t="shared" ref="E5:E8" si="0">IF(AND(ISNUMBER(C5),ISNUMBER(D5)), C5-D5, "")</f>
        <v>0</v>
      </c>
      <c r="F5" s="18" t="str">
        <f>IFERROR(E5/D5, "")</f>
        <v/>
      </c>
      <c r="G5" s="19"/>
      <c r="H5" s="19">
        <f>SUM(Jul!H5, Aug!H5, Sep!H5)</f>
        <v>0</v>
      </c>
      <c r="I5" s="18" t="str">
        <f>IFERROR(H5/G5, "")</f>
        <v/>
      </c>
    </row>
    <row r="6" spans="1:9" ht="15.75">
      <c r="A6" s="48" t="str">
        <v>Rochester - Old Middleboro</v>
      </c>
      <c r="B6" s="9" t="str">
        <v>MA</v>
      </c>
      <c r="C6" s="23">
        <f>SUM(Jul!C6, Aug!C6, Sep!C6)</f>
        <v>0</v>
      </c>
      <c r="D6" s="12">
        <f>SUM(Jul!D6, Aug!D6, Sep!D6)</f>
        <v>0</v>
      </c>
      <c r="E6" s="12">
        <f t="shared" si="0"/>
        <v>0</v>
      </c>
      <c r="F6" s="13" t="str">
        <f t="shared" ref="F6:F8" si="1">IFERROR(E6/D6, "")</f>
        <v/>
      </c>
      <c r="G6" s="14"/>
      <c r="H6" s="14">
        <f>SUM(Jul!H6, Aug!H6, Sep!H6)</f>
        <v>0</v>
      </c>
      <c r="I6" s="15" t="str">
        <f t="shared" ref="I6:I8" si="2">IFERROR(H6/G6, "")</f>
        <v/>
      </c>
    </row>
    <row r="7" spans="1:9" ht="15.75">
      <c r="A7" s="49" t="str">
        <v>Dover - Littleworth Road</v>
      </c>
      <c r="B7" s="10" t="str">
        <v>NH</v>
      </c>
      <c r="C7" s="11">
        <f>SUM(Jul!C7, Aug!C7, Sep!C7)</f>
        <v>0</v>
      </c>
      <c r="D7" s="17">
        <f>SUM(Jul!D7, Aug!D7, Sep!D7)</f>
        <v>0</v>
      </c>
      <c r="E7" s="17">
        <f t="shared" si="0"/>
        <v>0</v>
      </c>
      <c r="F7" s="18" t="str">
        <f t="shared" si="1"/>
        <v/>
      </c>
      <c r="G7" s="19"/>
      <c r="H7" s="19">
        <f>SUM(Jul!H7, Aug!H7, Sep!H7)</f>
        <v>0</v>
      </c>
      <c r="I7" s="18" t="str">
        <f t="shared" si="2"/>
        <v/>
      </c>
    </row>
    <row r="8" spans="1:9" ht="15.75">
      <c r="A8" s="48" t="str">
        <v>Milton - Landfill</v>
      </c>
      <c r="B8" s="9" t="str">
        <v>NH</v>
      </c>
      <c r="C8" s="23">
        <f>SUM(Jul!C8, Aug!C8, Sep!C8)</f>
        <v>0</v>
      </c>
      <c r="D8" s="12">
        <f>SUM(Jul!D8, Aug!D8, Sep!D8)</f>
        <v>0</v>
      </c>
      <c r="E8" s="12">
        <f t="shared" si="0"/>
        <v>0</v>
      </c>
      <c r="F8" s="13" t="str">
        <f t="shared" si="1"/>
        <v/>
      </c>
      <c r="G8" s="14"/>
      <c r="H8" s="14">
        <f>SUM(Jul!H8, Aug!H8, Sep!H8)</f>
        <v>0</v>
      </c>
      <c r="I8" s="15" t="str">
        <f t="shared" si="2"/>
        <v/>
      </c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5.75">
      <c r="A11" s="16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>
      <c r="A322" s="20"/>
      <c r="B322" s="20"/>
      <c r="C322" s="20"/>
      <c r="D322" s="20"/>
      <c r="E322" s="20"/>
      <c r="F322" s="21"/>
      <c r="G322" s="20"/>
      <c r="H322" s="20"/>
      <c r="I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Agilitas Energy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>
      <c r="A5" s="49" t="str">
        <v>Auburn - Leicester Street Solar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:E8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5.75">
      <c r="A6" s="48" t="str">
        <v>Rochester - Old Middleboro</v>
      </c>
      <c r="B6" s="9" t="str">
        <v>MA</v>
      </c>
      <c r="C6" s="23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8" si="1">IFERROR(E6/D6, "")</f>
        <v/>
      </c>
      <c r="G6" s="14"/>
      <c r="H6" s="14">
        <f>SUM(Oct!H6, Nov!H6, Dec!H6)</f>
        <v>0</v>
      </c>
      <c r="I6" s="15" t="str">
        <f t="shared" ref="I6:I8" si="2">IFERROR(H6/G6, "")</f>
        <v/>
      </c>
    </row>
    <row r="7" spans="1:9" ht="15.75">
      <c r="A7" s="49" t="str">
        <v>Dover - Littleworth Road</v>
      </c>
      <c r="B7" s="10" t="str">
        <v>NH</v>
      </c>
      <c r="C7" s="11">
        <f>SUM(Oct!C7, Nov!C7, Dec!C7)</f>
        <v>0</v>
      </c>
      <c r="D7" s="17">
        <f>SUM(Oct!D7, Nov!D7, Dec!D7)</f>
        <v>0</v>
      </c>
      <c r="E7" s="17">
        <f t="shared" si="0"/>
        <v>0</v>
      </c>
      <c r="F7" s="18" t="str">
        <f t="shared" si="1"/>
        <v/>
      </c>
      <c r="G7" s="19"/>
      <c r="H7" s="19">
        <f>SUM(Oct!H7, Nov!H7, Dec!H7)</f>
        <v>0</v>
      </c>
      <c r="I7" s="18" t="str">
        <f t="shared" si="2"/>
        <v/>
      </c>
    </row>
    <row r="8" spans="1:9" ht="15.75">
      <c r="A8" s="48" t="str">
        <v>Milton - Landfill</v>
      </c>
      <c r="B8" s="9" t="str">
        <v>NH</v>
      </c>
      <c r="C8" s="23">
        <f>SUM(Oct!C8, Nov!C8, Dec!C8)</f>
        <v>0</v>
      </c>
      <c r="D8" s="12">
        <f>SUM(Oct!D8, Nov!D8, Dec!D8)</f>
        <v>0</v>
      </c>
      <c r="E8" s="12">
        <f t="shared" si="0"/>
        <v>0</v>
      </c>
      <c r="F8" s="13" t="str">
        <f t="shared" si="1"/>
        <v/>
      </c>
      <c r="G8" s="14"/>
      <c r="H8" s="14">
        <f>SUM(Oct!H8, Nov!H8, Dec!H8)</f>
        <v>0</v>
      </c>
      <c r="I8" s="15" t="str">
        <f t="shared" si="2"/>
        <v/>
      </c>
    </row>
    <row r="9" spans="1:9" ht="14.25">
      <c r="A9" s="20"/>
      <c r="B9" s="10"/>
      <c r="C9" s="45"/>
      <c r="D9" s="17"/>
      <c r="E9" s="17"/>
      <c r="F9" s="18"/>
      <c r="G9" s="19"/>
      <c r="H9" s="19"/>
      <c r="I9" s="18"/>
    </row>
    <row r="10" spans="1:9" ht="14.25">
      <c r="A10" s="20"/>
      <c r="B10" s="10"/>
      <c r="C10" s="45"/>
      <c r="D10" s="17"/>
      <c r="E10" s="17"/>
      <c r="F10" s="18"/>
      <c r="G10" s="19"/>
      <c r="H10" s="19"/>
      <c r="I10" s="18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>
      <c r="A322" s="20"/>
      <c r="B322" s="20"/>
      <c r="C322" s="20"/>
      <c r="D322" s="20"/>
      <c r="E322" s="20"/>
      <c r="F322" s="21"/>
      <c r="G322" s="20"/>
      <c r="H322" s="20"/>
      <c r="I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J11" sqref="J11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Agilitas Energy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643797.64335669298</v>
      </c>
      <c r="D2" s="5">
        <f>SUM(D4:D79)</f>
        <v>502858.5</v>
      </c>
      <c r="E2" s="5">
        <f>C2-D2</f>
        <v>140939.14335669298</v>
      </c>
      <c r="F2" s="6">
        <f>IFERROR(E2/D2, 0)</f>
        <v>0.28027594911231085</v>
      </c>
      <c r="G2" s="5">
        <f>SUM(G4:G79)</f>
        <v>459223.17</v>
      </c>
      <c r="H2" s="7">
        <f>C2-G2</f>
        <v>184574.47335669299</v>
      </c>
      <c r="I2" s="6">
        <f>IFERROR(H2/G2, 0)</f>
        <v>0.40192761475143557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51" t="str" cm="1">
        <f t="array" ref="A4:A8">Sites[Site]</f>
        <v>Rowley - Central Street Solar</v>
      </c>
      <c r="B4" s="28" t="str" cm="1">
        <f t="array" ref="B4:B8">Sites[State]</f>
        <v>MA</v>
      </c>
      <c r="C4" s="12">
        <v>23660.310023359001</v>
      </c>
      <c r="D4" s="12">
        <v>29500.5</v>
      </c>
      <c r="E4" s="12">
        <f>IF(AND(ISNUMBER(C4),ISNUMBER(D4)), C4-D4, "")</f>
        <v>-5840.1899766409988</v>
      </c>
      <c r="F4" s="44">
        <f>IFERROR(E4/D4, "")</f>
        <v>-0.1979691861711157</v>
      </c>
      <c r="G4" s="14">
        <v>37551.17</v>
      </c>
      <c r="H4" s="14">
        <f>IF(AND(ISNUMBER(C4),ISNUMBER(G4)), C4-G4, "")</f>
        <v>-13890.859976640997</v>
      </c>
      <c r="I4" s="15">
        <f>IFERROR(H4/G4, "")</f>
        <v>-0.36991816704089375</v>
      </c>
      <c r="J4" s="40" t="s">
        <v>22</v>
      </c>
      <c r="K4" s="40" t="s">
        <v>22</v>
      </c>
    </row>
    <row r="5" spans="1:11" ht="57">
      <c r="A5" s="52" t="str">
        <v>Auburn - Leicester Street Solar</v>
      </c>
      <c r="B5" s="30" t="str">
        <v>MA</v>
      </c>
      <c r="C5" s="17">
        <v>172284.33333333401</v>
      </c>
      <c r="D5" s="17">
        <v>0</v>
      </c>
      <c r="E5" s="17">
        <f t="shared" ref="E5:E8" si="0">IF(AND(ISNUMBER(C5),ISNUMBER(D5)), C5-D5, "")</f>
        <v>172284.33333333401</v>
      </c>
      <c r="F5" s="44" t="str">
        <f t="shared" ref="F5:F8" si="1">IFERROR(E5/D5, "")</f>
        <v/>
      </c>
      <c r="G5" s="19">
        <v>0</v>
      </c>
      <c r="H5" s="19">
        <f t="shared" ref="H5:H6" si="2">IF(AND(ISNUMBER(C5),ISNUMBER(G5)), C5-G5, "")</f>
        <v>172284.33333333401</v>
      </c>
      <c r="I5" s="18" t="str">
        <f t="shared" ref="I5:I6" si="3">IFERROR(H5/G5, "")</f>
        <v/>
      </c>
      <c r="J5" s="41" t="s">
        <v>23</v>
      </c>
      <c r="K5" s="41" t="s">
        <v>24</v>
      </c>
    </row>
    <row r="6" spans="1:11" ht="28.5">
      <c r="A6" s="53" t="str">
        <v>Rochester - Old Middleboro</v>
      </c>
      <c r="B6" s="28" t="str">
        <v>MA</v>
      </c>
      <c r="C6" s="12">
        <v>406951</v>
      </c>
      <c r="D6" s="12">
        <v>473358</v>
      </c>
      <c r="E6" s="12">
        <f t="shared" si="0"/>
        <v>-66407</v>
      </c>
      <c r="F6" s="44">
        <f t="shared" si="1"/>
        <v>-0.14028916802927172</v>
      </c>
      <c r="G6" s="14">
        <v>421672</v>
      </c>
      <c r="H6" s="14">
        <f t="shared" si="2"/>
        <v>-14721</v>
      </c>
      <c r="I6" s="15">
        <f t="shared" si="3"/>
        <v>-3.4911020888273352E-2</v>
      </c>
      <c r="J6" s="40" t="s">
        <v>25</v>
      </c>
      <c r="K6" s="40" t="s">
        <v>26</v>
      </c>
    </row>
    <row r="7" spans="1:11" ht="15.75">
      <c r="A7" s="52" t="str">
        <v>Dover - Littleworth Road</v>
      </c>
      <c r="B7" s="30" t="str">
        <v>NH</v>
      </c>
      <c r="C7" s="17">
        <v>10197</v>
      </c>
      <c r="D7" s="17">
        <v>0</v>
      </c>
      <c r="E7" s="17">
        <f t="shared" si="0"/>
        <v>10197</v>
      </c>
      <c r="F7" s="44" t="str">
        <f t="shared" si="1"/>
        <v/>
      </c>
      <c r="G7" s="19">
        <v>0</v>
      </c>
      <c r="H7" s="19">
        <f t="shared" ref="H7:H8" si="4">IF(AND(ISNUMBER(C7),ISNUMBER(G7)), C7-G7, "")</f>
        <v>10197</v>
      </c>
      <c r="I7" s="18" t="str">
        <f t="shared" ref="I7:I8" si="5">IFERROR(H7/G7, "")</f>
        <v/>
      </c>
      <c r="J7" s="41" t="s">
        <v>22</v>
      </c>
      <c r="K7" s="41" t="s">
        <v>22</v>
      </c>
    </row>
    <row r="8" spans="1:11" ht="15.75">
      <c r="A8" s="53" t="str">
        <v>Milton - Landfill</v>
      </c>
      <c r="B8" s="28" t="str">
        <v>NH</v>
      </c>
      <c r="C8" s="12">
        <v>30705</v>
      </c>
      <c r="D8" s="12">
        <v>0</v>
      </c>
      <c r="E8" s="12">
        <f t="shared" si="0"/>
        <v>30705</v>
      </c>
      <c r="F8" s="44" t="str">
        <f t="shared" si="1"/>
        <v/>
      </c>
      <c r="G8" s="14">
        <v>0</v>
      </c>
      <c r="H8" s="14">
        <f t="shared" si="4"/>
        <v>30705</v>
      </c>
      <c r="I8" s="15" t="str">
        <f t="shared" si="5"/>
        <v/>
      </c>
      <c r="J8" s="40" t="s">
        <v>22</v>
      </c>
      <c r="K8" s="40" t="s">
        <v>22</v>
      </c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D1:F1"/>
    <mergeCell ref="A1:C1"/>
    <mergeCell ref="G1:I1"/>
    <mergeCell ref="A2:B2"/>
  </mergeCells>
  <conditionalFormatting sqref="F2 I2 I4:I79 F9:F79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D21" sqref="D21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Agilitas Energy</v>
      </c>
      <c r="B1" s="55"/>
      <c r="C1" s="55"/>
      <c r="D1" s="56" t="s">
        <v>27</v>
      </c>
      <c r="E1" s="56"/>
      <c r="F1" s="56"/>
      <c r="G1" s="54" t="s">
        <v>28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1572309.9732942695</v>
      </c>
      <c r="D2" s="5">
        <f>SUM(D4:D80)</f>
        <v>1222939.1599999999</v>
      </c>
      <c r="E2" s="5">
        <f>C2-D2</f>
        <v>349370.81329426961</v>
      </c>
      <c r="F2" s="6">
        <f>IFERROR(E2/D2, 0)</f>
        <v>0.28568127076270061</v>
      </c>
      <c r="G2" s="5">
        <f>SUM(G4:G80)</f>
        <v>544279.55999999994</v>
      </c>
      <c r="H2" s="7">
        <f>C2-G2</f>
        <v>1028030.4132942696</v>
      </c>
      <c r="I2" s="6">
        <f>IFERROR(H2/G2, 0)</f>
        <v>1.8887911449297667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51" t="str" cm="1">
        <f t="array" ref="A4:A8">Sites[Site]</f>
        <v>Rowley - Central Street Solar</v>
      </c>
      <c r="B4" s="28" t="str" cm="1">
        <f t="array" ref="B4:B8">Sites[State]</f>
        <v>MA</v>
      </c>
      <c r="C4" s="23">
        <v>65179.6399609375</v>
      </c>
      <c r="D4" s="12">
        <v>66094.16</v>
      </c>
      <c r="E4" s="12">
        <f>IF(AND(ISNUMBER(C4),ISNUMBER(D4)), C4-D4, "")</f>
        <v>-914.5200390625032</v>
      </c>
      <c r="F4" s="13">
        <f>IFERROR(E4/D4, "")</f>
        <v>-1.3836623978011116E-2</v>
      </c>
      <c r="G4" s="14">
        <v>53397.96</v>
      </c>
      <c r="H4" s="14">
        <f>IF(AND(ISNUMBER(C4),ISNUMBER(G4)), C4-G4, "")</f>
        <v>11781.679960937501</v>
      </c>
      <c r="I4" s="15">
        <f>IFERROR(H4/G4, "")</f>
        <v>0.22063913978993768</v>
      </c>
      <c r="J4" s="40"/>
      <c r="K4" s="40"/>
    </row>
    <row r="5" spans="1:11" ht="15.75">
      <c r="A5" s="52" t="str">
        <v>Auburn - Leicester Street Solar</v>
      </c>
      <c r="B5" s="30" t="str">
        <v>MA</v>
      </c>
      <c r="C5" s="11">
        <v>610539.33333333198</v>
      </c>
      <c r="D5" s="17">
        <v>467792.3</v>
      </c>
      <c r="E5" s="17">
        <f t="shared" ref="E5:E8" si="0">IF(AND(ISNUMBER(C5),ISNUMBER(D5)), C5-D5, "")</f>
        <v>142747.03333333199</v>
      </c>
      <c r="F5" s="13">
        <f t="shared" ref="F5:F8" si="1">IFERROR(E5/D5, "")</f>
        <v>0.30515045530533957</v>
      </c>
      <c r="G5" s="19">
        <v>0</v>
      </c>
      <c r="H5" s="19">
        <f t="shared" ref="H5:H8" si="2">IF(AND(ISNUMBER(C5),ISNUMBER(G5)), C5-G5, "")</f>
        <v>610539.33333333198</v>
      </c>
      <c r="I5" s="18" t="str">
        <f t="shared" ref="I5:I8" si="3">IFERROR(H5/G5, "")</f>
        <v/>
      </c>
      <c r="J5" s="41"/>
      <c r="K5" s="41"/>
    </row>
    <row r="6" spans="1:11" ht="15.75">
      <c r="A6" s="53" t="str">
        <v>Rochester - Old Middleboro</v>
      </c>
      <c r="B6" s="28" t="str">
        <v>MA</v>
      </c>
      <c r="C6" s="23">
        <v>761805</v>
      </c>
      <c r="D6" s="12">
        <v>689052.7</v>
      </c>
      <c r="E6" s="12">
        <f t="shared" si="0"/>
        <v>72752.300000000047</v>
      </c>
      <c r="F6" s="13">
        <f t="shared" si="1"/>
        <v>0.10558307078689344</v>
      </c>
      <c r="G6" s="14">
        <v>490881.6</v>
      </c>
      <c r="H6" s="14">
        <f t="shared" si="2"/>
        <v>270923.40000000002</v>
      </c>
      <c r="I6" s="15">
        <f t="shared" si="3"/>
        <v>0.55191190706679583</v>
      </c>
      <c r="J6" s="40" t="s">
        <v>29</v>
      </c>
      <c r="K6" s="40" t="s">
        <v>30</v>
      </c>
    </row>
    <row r="7" spans="1:11" ht="15.75">
      <c r="A7" s="52" t="str">
        <v>Dover - Littleworth Road</v>
      </c>
      <c r="B7" s="30" t="str">
        <v>NH</v>
      </c>
      <c r="C7" s="11">
        <v>33324</v>
      </c>
      <c r="D7" s="17">
        <v>0</v>
      </c>
      <c r="E7" s="17">
        <f t="shared" si="0"/>
        <v>33324</v>
      </c>
      <c r="F7" s="13" t="str">
        <f t="shared" si="1"/>
        <v/>
      </c>
      <c r="G7" s="19">
        <v>0</v>
      </c>
      <c r="H7" s="19">
        <f t="shared" si="2"/>
        <v>33324</v>
      </c>
      <c r="I7" s="18" t="str">
        <f t="shared" si="3"/>
        <v/>
      </c>
      <c r="J7" s="41"/>
      <c r="K7" s="42"/>
    </row>
    <row r="8" spans="1:11" ht="15.75">
      <c r="A8" s="53" t="str">
        <v>Milton - Landfill</v>
      </c>
      <c r="B8" s="28" t="str">
        <v>NH</v>
      </c>
      <c r="C8" s="23">
        <v>101462</v>
      </c>
      <c r="D8" s="12">
        <v>0</v>
      </c>
      <c r="E8" s="12">
        <f t="shared" si="0"/>
        <v>101462</v>
      </c>
      <c r="F8" s="13" t="str">
        <f t="shared" si="1"/>
        <v/>
      </c>
      <c r="G8" s="14">
        <v>0</v>
      </c>
      <c r="H8" s="14">
        <f t="shared" si="2"/>
        <v>101462</v>
      </c>
      <c r="I8" s="15" t="str">
        <f t="shared" si="3"/>
        <v/>
      </c>
      <c r="J8" s="40" t="s">
        <v>31</v>
      </c>
      <c r="K8" s="40" t="s">
        <v>32</v>
      </c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Agilitas Energy</v>
      </c>
      <c r="B1" s="55"/>
      <c r="C1" s="55"/>
      <c r="D1" s="56" t="s">
        <v>33</v>
      </c>
      <c r="E1" s="56"/>
      <c r="F1" s="56"/>
      <c r="G1" s="54" t="s">
        <v>34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C4" activePane="bottomRight" state="frozen"/>
      <selection pane="bottomRight" activeCell="F19" sqref="F19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Agilitas Energy</v>
      </c>
      <c r="B1" s="55"/>
      <c r="C1" s="55"/>
      <c r="D1" s="56" t="s">
        <v>35</v>
      </c>
      <c r="E1" s="56"/>
      <c r="F1" s="56"/>
      <c r="G1" s="54" t="s">
        <v>36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Agilitas Energy</v>
      </c>
      <c r="B1" s="55"/>
      <c r="C1" s="55"/>
      <c r="D1" s="56" t="s">
        <v>37</v>
      </c>
      <c r="E1" s="56"/>
      <c r="F1" s="56"/>
      <c r="G1" s="54" t="s">
        <v>38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Agilitas Energy</v>
      </c>
      <c r="B1" s="55"/>
      <c r="C1" s="55"/>
      <c r="D1" s="56" t="s">
        <v>39</v>
      </c>
      <c r="E1" s="56"/>
      <c r="F1" s="56"/>
      <c r="G1" s="54" t="s">
        <v>40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Agilitas Energy</v>
      </c>
      <c r="B1" s="55"/>
      <c r="C1" s="55"/>
      <c r="D1" s="56" t="s">
        <v>41</v>
      </c>
      <c r="E1" s="56"/>
      <c r="F1" s="56"/>
      <c r="G1" s="54" t="s">
        <v>42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Agilitas Energy</v>
      </c>
      <c r="B1" s="55"/>
      <c r="C1" s="55"/>
      <c r="D1" s="56" t="s">
        <v>43</v>
      </c>
      <c r="E1" s="56"/>
      <c r="F1" s="56"/>
      <c r="G1" s="54" t="s">
        <v>44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Agilitas Energy</v>
      </c>
      <c r="B1" s="55"/>
      <c r="C1" s="55"/>
      <c r="D1" s="56" t="s">
        <v>45</v>
      </c>
      <c r="E1" s="56"/>
      <c r="F1" s="56"/>
      <c r="G1" s="54" t="s">
        <v>46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Agilitas Energy</v>
      </c>
      <c r="B1" s="55"/>
      <c r="C1" s="55"/>
      <c r="D1" s="56" t="s">
        <v>47</v>
      </c>
      <c r="E1" s="56"/>
      <c r="F1" s="56"/>
      <c r="G1" s="54" t="s">
        <v>48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Agilitas Energy</v>
      </c>
      <c r="B1" s="55"/>
      <c r="C1" s="55"/>
      <c r="D1" s="56" t="s">
        <v>49</v>
      </c>
      <c r="E1" s="56"/>
      <c r="F1" s="56"/>
      <c r="G1" s="54" t="s">
        <v>50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Agilitas Energy</v>
      </c>
      <c r="B1" s="55"/>
      <c r="C1" s="55"/>
      <c r="D1" s="56" t="s">
        <v>51</v>
      </c>
      <c r="E1" s="56"/>
      <c r="F1" s="56"/>
      <c r="G1" s="54" t="s">
        <v>52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B12" sqref="B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53</v>
      </c>
      <c r="B1" t="s">
        <v>54</v>
      </c>
    </row>
    <row r="3" spans="1:12">
      <c r="A3" t="s">
        <v>55</v>
      </c>
      <c r="B3" t="s">
        <v>3</v>
      </c>
      <c r="C3" t="s">
        <v>4</v>
      </c>
      <c r="D3" t="s">
        <v>56</v>
      </c>
      <c r="E3" s="2" t="s">
        <v>57</v>
      </c>
    </row>
    <row r="4" spans="1:12" ht="14.25">
      <c r="A4" s="50" t="s">
        <v>58</v>
      </c>
      <c r="B4" t="s">
        <v>59</v>
      </c>
      <c r="C4" s="47" t="s">
        <v>60</v>
      </c>
      <c r="D4" s="46" t="s">
        <v>61</v>
      </c>
      <c r="E4" t="s">
        <v>62</v>
      </c>
      <c r="G4" s="3"/>
    </row>
    <row r="5" spans="1:12" ht="14.25">
      <c r="A5" s="50" t="s">
        <v>63</v>
      </c>
      <c r="B5" t="s">
        <v>64</v>
      </c>
      <c r="C5" s="47" t="s">
        <v>60</v>
      </c>
      <c r="D5" s="46" t="s">
        <v>61</v>
      </c>
      <c r="E5" t="s">
        <v>62</v>
      </c>
      <c r="G5" s="3"/>
    </row>
    <row r="6" spans="1:12" ht="14.25">
      <c r="A6" s="50" t="s">
        <v>65</v>
      </c>
      <c r="B6" t="s">
        <v>66</v>
      </c>
      <c r="C6" s="47" t="s">
        <v>60</v>
      </c>
      <c r="D6" s="46" t="s">
        <v>61</v>
      </c>
      <c r="E6" t="s">
        <v>62</v>
      </c>
      <c r="G6" s="3"/>
    </row>
    <row r="7" spans="1:12" ht="12.75" customHeight="1">
      <c r="A7" s="50" t="s">
        <v>67</v>
      </c>
      <c r="B7" t="s">
        <v>68</v>
      </c>
      <c r="C7" s="47" t="s">
        <v>69</v>
      </c>
      <c r="D7" s="46"/>
      <c r="E7" t="s">
        <v>70</v>
      </c>
    </row>
    <row r="8" spans="1:12" ht="12.75" customHeight="1">
      <c r="A8" s="50" t="s">
        <v>71</v>
      </c>
      <c r="B8" t="s">
        <v>72</v>
      </c>
      <c r="C8" s="47" t="s">
        <v>69</v>
      </c>
      <c r="D8" s="46"/>
      <c r="E8" t="s">
        <v>70</v>
      </c>
    </row>
    <row r="9" spans="1:12" ht="12.75" customHeight="1">
      <c r="K9" s="43"/>
      <c r="L9" s="43"/>
    </row>
    <row r="10" spans="1:12" ht="12.75" customHeight="1"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  <row r="13" spans="1:12" ht="12.75" customHeight="1">
      <c r="K13" s="43"/>
      <c r="L13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Chase, Henry</cp:lastModifiedBy>
  <cp:revision/>
  <dcterms:created xsi:type="dcterms:W3CDTF">2021-01-01T16:39:53Z</dcterms:created>
  <dcterms:modified xsi:type="dcterms:W3CDTF">2024-04-04T20:26:46Z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