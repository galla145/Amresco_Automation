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yatinb_libsysinc_com/Documents/Microsoft Teams Chat Files/"/>
    </mc:Choice>
  </mc:AlternateContent>
  <xr:revisionPtr revIDLastSave="40" documentId="13_ncr:1_{A7AD8582-40CF-41C0-839F-8BED636136B7}" xr6:coauthVersionLast="47" xr6:coauthVersionMax="47" xr10:uidLastSave="{6B7C8891-E9F9-40E2-878F-9112AAD98884}"/>
  <bookViews>
    <workbookView xWindow="-108" yWindow="-108" windowWidth="23256" windowHeight="12456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33" l="1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I17" i="21" s="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F5" i="3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G6" i="1"/>
  <c r="G7" i="1"/>
  <c r="G8" i="1"/>
  <c r="G5" i="1"/>
  <c r="G4" i="1"/>
  <c r="D8" i="34"/>
  <c r="D7" i="34"/>
  <c r="D6" i="34"/>
  <c r="D5" i="34"/>
  <c r="C8" i="34"/>
  <c r="C7" i="34"/>
  <c r="C6" i="34"/>
  <c r="C5" i="34"/>
  <c r="B4" i="34" a="1"/>
  <c r="B4" i="34" s="1"/>
  <c r="A4" i="34" a="1"/>
  <c r="A4" i="34" s="1"/>
  <c r="G2" i="34"/>
  <c r="A1" i="34" a="1"/>
  <c r="A1" i="34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D2" i="30" s="1"/>
  <c r="C5" i="30"/>
  <c r="D4" i="30"/>
  <c r="C4" i="30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C4" i="29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8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I14" i="4"/>
  <c r="H14" i="4"/>
  <c r="F14" i="4"/>
  <c r="E14" i="4"/>
  <c r="H13" i="4"/>
  <c r="I13" i="4" s="1"/>
  <c r="E13" i="4"/>
  <c r="F13" i="4" s="1"/>
  <c r="H12" i="4"/>
  <c r="I12" i="4" s="1"/>
  <c r="F12" i="4"/>
  <c r="E12" i="4"/>
  <c r="I11" i="4"/>
  <c r="H11" i="4"/>
  <c r="E11" i="4"/>
  <c r="F11" i="4" s="1"/>
  <c r="H10" i="4"/>
  <c r="I10" i="4" s="1"/>
  <c r="E10" i="4"/>
  <c r="F10" i="4" s="1"/>
  <c r="I9" i="4"/>
  <c r="H9" i="4"/>
  <c r="F9" i="4"/>
  <c r="E9" i="4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5" i="72"/>
  <c r="I5" i="72" s="1"/>
  <c r="H4" i="72"/>
  <c r="I4" i="72" s="1"/>
  <c r="G2" i="72"/>
  <c r="D2" i="72"/>
  <c r="C2" i="72"/>
  <c r="J2" i="72" s="1"/>
  <c r="A1" i="72" a="1"/>
  <c r="A1" i="72" s="1"/>
  <c r="D4" i="34" l="1"/>
  <c r="D2" i="34" s="1"/>
  <c r="E4" i="30"/>
  <c r="F4" i="30" s="1"/>
  <c r="E5" i="30"/>
  <c r="F5" i="30" s="1"/>
  <c r="D2" i="29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5" i="34"/>
  <c r="F5" i="34" s="1"/>
  <c r="G2" i="1"/>
  <c r="E6" i="34"/>
  <c r="F6" i="34" s="1"/>
  <c r="E8" i="1"/>
  <c r="F8" i="1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H8" i="30"/>
  <c r="I8" i="30" s="1"/>
  <c r="E7" i="29"/>
  <c r="F7" i="29" s="1"/>
  <c r="H8" i="29"/>
  <c r="I8" i="29" s="1"/>
  <c r="I6" i="26"/>
  <c r="I9" i="26"/>
  <c r="I12" i="26"/>
  <c r="I15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8" i="18"/>
  <c r="I8" i="18" s="1"/>
  <c r="H6" i="34"/>
  <c r="I6" i="34" s="1"/>
  <c r="H7" i="34"/>
  <c r="I7" i="34" s="1"/>
  <c r="H8" i="34"/>
  <c r="I8" i="34" s="1"/>
  <c r="H5" i="34"/>
  <c r="I5" i="34" s="1"/>
  <c r="E7" i="34"/>
  <c r="F7" i="34" s="1"/>
  <c r="E8" i="34"/>
  <c r="F8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<sst xmlns="http://schemas.openxmlformats.org/spreadsheetml/2006/main" count="264" uniqueCount="73">
  <si>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</si>
  <si>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</si>
  <si>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</si>
  <si>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</si>
  <si>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</si>
  <si>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</si>
  <si>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</si>
  <si>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</si>
  <si>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</si>
  <si>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</si>
  <si>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</si>
  <si>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</si>
  <si>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</si>
  <si>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</si>
  <si>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</si>
  <si>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</si>
  <si>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</si>
  <si>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</si>
  <si>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</si>
  <si>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</si>
  <si>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</si>
  <si>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</si>
  <si>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 is offline on 01/09, 01/10, 01/12, 01/17.</t>
  </si>
  <si>
    <t>1. SR080094</t>
  </si>
  <si>
    <t>1. Site was not communicating from 04/22</t>
  </si>
  <si>
    <t>1. SR077495</t>
  </si>
  <si>
    <t>1. Inverter was barely produced on 1/13, 1/14 and 1/15</t>
  </si>
  <si>
    <t>1. SR080235</t>
  </si>
  <si>
    <t>1. Site was not communicating from 05/23/2022</t>
  </si>
  <si>
    <t>1. SR079089</t>
  </si>
  <si>
    <t>February Actual v. Expected</t>
  </si>
  <si>
    <t>February Actual v. Forecasted</t>
  </si>
  <si>
    <t>1. Site stopped communicating from 04/22</t>
  </si>
  <si>
    <t>1. SR077494</t>
  </si>
  <si>
    <t xml:space="preserve">1.(A) Inverter 2 was taken offline by technician on 02/26/2024 at 13:30 to 15:00 &amp; inverter 1 at 15:00 - 16:15.
1.(B) Inverter 2 tripped offline on 02/27/2024 at 15:48 &amp; back online at 12:00 on 02/28/2024. </t>
  </si>
  <si>
    <t>1. SR081345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</si>
  <si>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</si>
  <si>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</si>
  <si>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</si>
  <si>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</si>
  <si>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</si>
  <si>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</si>
  <si>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</si>
  <si>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</si>
  <si>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</si>
  <si>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</si>
  <si>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</si>
  <si>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</si>
  <si>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</si>
  <si>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</si>
  <si>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</si>
  <si>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</si>
  <si>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</si>
  <si>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</si>
  <si>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</si>
  <si>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</si>
  <si>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</si>
  <si>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Ecofin</t>
  </si>
  <si>
    <t>Site DAS Name</t>
  </si>
  <si>
    <t>Update</t>
  </si>
  <si>
    <t>DAS</t>
  </si>
  <si>
    <t>003 - Alamosa School District</t>
  </si>
  <si>
    <t>Alamosa School District</t>
  </si>
  <si>
    <t>CO</t>
  </si>
  <si>
    <t>002 - San Luis Valley Regional MC</t>
  </si>
  <si>
    <t>San Luis Valley</t>
  </si>
  <si>
    <t>002 - NREL 2</t>
  </si>
  <si>
    <t>Golden NREL 2</t>
  </si>
  <si>
    <t>004 - NREL Wind 3</t>
  </si>
  <si>
    <t>Golden NREL Wind 3</t>
  </si>
  <si>
    <t>Kenyon Energy KS Solar</t>
  </si>
  <si>
    <t>Pratt Solar Farm</t>
  </si>
  <si>
    <t>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</si>
</sst>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1"/>
      <name val="Calibri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53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23" fillId="0" borderId="0" xfId="43" applyFont="1"/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3" fillId="0" borderId="0" xfId="0" applyFont="1"/>
    <xf numFmtId="0" fontId="36" fillId="0" borderId="0" xfId="0" applyFont="1"/>
    <xf numFmtId="49" fontId="37" fillId="38" borderId="0" xfId="2" applyNumberFormat="1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 wrapText="1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" totalsRowShown="0">
  <autoFilter ref="A3:E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xSplit="2" ySplit="3" topLeftCell="C4" activePane="bottomRight" state="frozen"/>
      <selection pane="bottomRight" activeCell="E26" sqref="E26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Ecofin</v>
      </c>
      <c r="B1" s="49"/>
      <c r="C1" s="49"/>
      <c r="D1" s="50" t="s">
        <v>0</v>
      </c>
      <c r="E1" s="50"/>
      <c r="F1" s="50"/>
      <c r="G1" s="48" t="s">
        <v>1</v>
      </c>
      <c r="H1" s="48"/>
      <c r="I1" s="48"/>
    </row>
    <row r="2" spans="1:9" ht="19.5" customHeight="1">
      <c r="A2" s="51" t="s">
        <v>2</v>
      </c>
      <c r="B2" s="51"/>
      <c r="C2" s="6">
        <f>SUM(C4:C91)</f>
        <v>990872</v>
      </c>
      <c r="D2" s="6">
        <f>SUM(D4:D91)</f>
        <v>1156313.5530000001</v>
      </c>
      <c r="E2" s="6">
        <f>C2-D2</f>
        <v>-165441.55300000007</v>
      </c>
      <c r="F2" s="7">
        <f>IFERROR(E2/D2, 0)</f>
        <v>-0.14307672220114509</v>
      </c>
      <c r="G2" s="6">
        <f>SUM(G4:G91)</f>
        <v>0</v>
      </c>
      <c r="H2" s="8">
        <f>C2-G2</f>
        <v>990872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8">Sites[Site]</f>
        <v>Alamosa School District</v>
      </c>
      <c r="B4" s="10" t="str" cm="1">
        <f t="array" ref="B4:B8">Sites[State]</f>
        <v>CO</v>
      </c>
      <c r="C4" s="25">
        <f>SUM('1st Qtr'!C4, '2nd Qtr'!C4, '3rd Qtr'!C4, '4th Qtr'!C4)</f>
        <v>173290</v>
      </c>
      <c r="D4" s="14">
        <f>SUM('1st Qtr'!D4, '2nd Qtr'!D4, '3rd Qtr'!D4, '4th Qtr'!D4)</f>
        <v>164291.5</v>
      </c>
      <c r="E4" s="14">
        <f>IF(AND(ISNUMBER(C4),ISNUMBER(D4)), C4-D4, "")</f>
        <v>8998.5</v>
      </c>
      <c r="F4" s="15">
        <f>IFERROR(E4/D4, "")</f>
        <v>5.4771549349783767E-2</v>
      </c>
      <c r="G4" s="16"/>
      <c r="H4" s="16">
        <f>SUM('1st Qtr'!H4, '2nd Qtr'!H4, '3rd Qtr'!H4, '4th Qtr'!H4)</f>
        <v>-17528.300000000003</v>
      </c>
      <c r="I4" s="17" t="str">
        <f>IFERROR(H4/G4, "")</f>
        <v/>
      </c>
    </row>
    <row r="5" spans="1:9" ht="15.6">
      <c r="A5" s="18" t="str">
        <v>San Luis Valley</v>
      </c>
      <c r="B5" s="11" t="str">
        <v>CO</v>
      </c>
      <c r="C5" s="12">
        <f>SUM(Jan!C5, Feb!C5, Mar!C5)</f>
        <v>0</v>
      </c>
      <c r="D5" s="19">
        <f>SUM(Jan!D5, Feb!D5, Mar!D5)</f>
        <v>0</v>
      </c>
      <c r="E5" s="19">
        <f t="shared" ref="E5:E8" si="0">IF(AND(ISNUMBER(C5),ISNUMBER(D5)), C5-D5, "")</f>
        <v>0</v>
      </c>
      <c r="F5" s="20" t="str">
        <f>IFERROR(E5/D5, "")</f>
        <v/>
      </c>
      <c r="G5" s="21"/>
      <c r="H5" s="21">
        <f>SUM(Jan!H5, Feb!H5, Mar!H5)</f>
        <v>0</v>
      </c>
      <c r="I5" s="20" t="str">
        <f>IFERROR(H5/G5, "")</f>
        <v/>
      </c>
    </row>
    <row r="6" spans="1:9" ht="15.6">
      <c r="A6" s="13" t="str">
        <v>Golden NREL 2</v>
      </c>
      <c r="B6" s="10" t="str">
        <v>CO</v>
      </c>
      <c r="C6" s="25">
        <f>SUM(Jan!C6, Feb!C6, Mar!C6)</f>
        <v>12692</v>
      </c>
      <c r="D6" s="14">
        <f>SUM(Jan!D6, Feb!D6, Mar!D6)</f>
        <v>13124.8</v>
      </c>
      <c r="E6" s="14">
        <f t="shared" si="0"/>
        <v>-432.79999999999927</v>
      </c>
      <c r="F6" s="15">
        <f t="shared" ref="F6:F8" si="1">IFERROR(E6/D6, "")</f>
        <v>-3.2975740582713589E-2</v>
      </c>
      <c r="G6" s="16"/>
      <c r="H6" s="16">
        <f>SUM(Jan!H6, Feb!H6, Mar!H6)</f>
        <v>-3948.2000000000007</v>
      </c>
      <c r="I6" s="17" t="str">
        <f t="shared" ref="I6:I8" si="2">IFERROR(H6/G6, "")</f>
        <v/>
      </c>
    </row>
    <row r="7" spans="1:9" ht="15.6">
      <c r="A7" s="18" t="str">
        <v>Golden NREL Wind 3</v>
      </c>
      <c r="B7" s="11" t="str">
        <v>CO</v>
      </c>
      <c r="C7" s="12">
        <f>SUM(Jan!C7, Feb!C7, Mar!C7)</f>
        <v>0</v>
      </c>
      <c r="D7" s="19">
        <f>SUM(Jan!D7, Feb!D7, Mar!D7)</f>
        <v>0</v>
      </c>
      <c r="E7" s="19">
        <f t="shared" si="0"/>
        <v>0</v>
      </c>
      <c r="F7" s="20" t="str">
        <f t="shared" si="1"/>
        <v/>
      </c>
      <c r="G7" s="21"/>
      <c r="H7" s="21">
        <f>SUM(Jan!H7, Feb!H7, Mar!H7)</f>
        <v>0</v>
      </c>
      <c r="I7" s="20" t="str">
        <f t="shared" si="2"/>
        <v/>
      </c>
    </row>
    <row r="8" spans="1:9" ht="15.6">
      <c r="A8" s="13" t="str">
        <v>Pratt Solar Farm</v>
      </c>
      <c r="B8" s="10" t="str">
        <v>KS</v>
      </c>
      <c r="C8" s="25">
        <f>SUM(Jan!C8, Feb!C8, Mar!C8)</f>
        <v>804890</v>
      </c>
      <c r="D8" s="14">
        <f>SUM(Jan!D8, Feb!D8, Mar!D8)</f>
        <v>978897.25300000003</v>
      </c>
      <c r="E8" s="14">
        <f t="shared" si="0"/>
        <v>-174007.25300000003</v>
      </c>
      <c r="F8" s="15">
        <f t="shared" si="1"/>
        <v>-0.17775844448099604</v>
      </c>
      <c r="G8" s="16"/>
      <c r="H8" s="16">
        <f>SUM(Jan!H8, Feb!H8, Mar!H8)</f>
        <v>-33325.859999999986</v>
      </c>
      <c r="I8" s="17" t="str">
        <f t="shared" si="2"/>
        <v/>
      </c>
    </row>
    <row r="9" spans="1:9" ht="12.75" customHeight="1">
      <c r="A9" s="22"/>
      <c r="B9" s="22"/>
      <c r="C9" s="22"/>
      <c r="D9" s="22"/>
      <c r="E9" s="22"/>
      <c r="F9" s="22"/>
      <c r="G9" s="22"/>
      <c r="H9" s="22"/>
      <c r="I9" s="22"/>
    </row>
    <row r="10" spans="1:9" ht="13.9">
      <c r="A10" s="22"/>
      <c r="B10" s="22"/>
      <c r="C10" s="22"/>
      <c r="D10" s="22"/>
      <c r="E10" s="22"/>
      <c r="F10" s="22"/>
      <c r="G10" s="22"/>
      <c r="H10" s="22"/>
      <c r="I10" s="22"/>
    </row>
    <row r="11" spans="1:9" ht="13.9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3.9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3.9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3"/>
  <sheetViews>
    <sheetView workbookViewId="0">
      <pane xSplit="2" ySplit="3" topLeftCell="C4" activePane="bottomRight" state="frozen"/>
      <selection pane="bottomRight" activeCell="B27" sqref="B2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Ecofin</v>
      </c>
      <c r="B1" s="49"/>
      <c r="C1" s="49"/>
      <c r="D1" s="50" t="s">
        <v>10</v>
      </c>
      <c r="E1" s="50"/>
      <c r="F1" s="50"/>
      <c r="G1" s="48" t="s">
        <v>11</v>
      </c>
      <c r="H1" s="48"/>
      <c r="I1" s="48"/>
    </row>
    <row r="2" spans="1:9" ht="19.5" customHeight="1">
      <c r="A2" s="51" t="s">
        <v>2</v>
      </c>
      <c r="B2" s="51"/>
      <c r="C2" s="6">
        <f>SUM(C4:C91)</f>
        <v>990872</v>
      </c>
      <c r="D2" s="6">
        <f>SUM(D4:D91)</f>
        <v>1156313.5530000001</v>
      </c>
      <c r="E2" s="6">
        <f>C2-D2</f>
        <v>-165441.55300000007</v>
      </c>
      <c r="F2" s="7">
        <f>IFERROR(E2/D2, 0)</f>
        <v>-0.14307672220114509</v>
      </c>
      <c r="G2" s="6">
        <f>SUM(G4:G91)</f>
        <v>1045674.36</v>
      </c>
      <c r="H2" s="8">
        <f>C2-G2</f>
        <v>-54802.359999999986</v>
      </c>
      <c r="I2" s="7">
        <f>IFERROR(H2/G2, 0)</f>
        <v>-5.2408629393953951E-2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8">Sites[Site]</f>
        <v>Alamosa School District</v>
      </c>
      <c r="B4" s="10" t="str" cm="1">
        <f t="array" ref="B4:B8">Sites[State]</f>
        <v>CO</v>
      </c>
      <c r="C4" s="25">
        <f>SUM(Jan!C4, Feb!C4, Mar!C4)</f>
        <v>173290</v>
      </c>
      <c r="D4" s="14">
        <f>SUM(Jan!D4, Feb!D4, Mar!D4)</f>
        <v>164291.5</v>
      </c>
      <c r="E4" s="14">
        <f>IF(AND(ISNUMBER(C4),ISNUMBER(D4)), C4-D4, "")</f>
        <v>8998.5</v>
      </c>
      <c r="F4" s="15">
        <f>IFERROR(E4/D4, "")</f>
        <v>5.4771549349783767E-2</v>
      </c>
      <c r="G4" s="16">
        <f>SUM(Jan!G4, Feb!G4, Mar!G4)</f>
        <v>190818.3</v>
      </c>
      <c r="H4" s="16">
        <f>SUM(Jan!H4, Feb!H4, Mar!H4)</f>
        <v>-17528.300000000003</v>
      </c>
      <c r="I4" s="17">
        <f>IFERROR(H4/G4, "")</f>
        <v>-9.1858590082817021E-2</v>
      </c>
    </row>
    <row r="5" spans="1:9" ht="15.6">
      <c r="A5" s="18" t="str">
        <v>San Luis Valley</v>
      </c>
      <c r="B5" s="11" t="str">
        <v>CO</v>
      </c>
      <c r="C5" s="12">
        <f>SUM(Jan!C5, Feb!C5, Mar!C5)</f>
        <v>0</v>
      </c>
      <c r="D5" s="19">
        <f>SUM(Jan!D5, Feb!D5, Mar!D5)</f>
        <v>0</v>
      </c>
      <c r="E5" s="19">
        <f t="shared" ref="E5:E8" si="0">IF(AND(ISNUMBER(C5),ISNUMBER(D5)), C5-D5, "")</f>
        <v>0</v>
      </c>
      <c r="F5" s="20" t="str">
        <f>IFERROR(E5/D5, "")</f>
        <v/>
      </c>
      <c r="G5" s="21">
        <f>SUM(Jan!G5, Feb!G5, Mar!G5)</f>
        <v>0</v>
      </c>
      <c r="H5" s="21">
        <f>SUM(Jan!H5, Feb!H5, Mar!H5)</f>
        <v>0</v>
      </c>
      <c r="I5" s="20" t="str">
        <f>IFERROR(H5/G5, "")</f>
        <v/>
      </c>
    </row>
    <row r="6" spans="1:9" ht="15.6">
      <c r="A6" s="13" t="str">
        <v>Golden NREL 2</v>
      </c>
      <c r="B6" s="10" t="str">
        <v>CO</v>
      </c>
      <c r="C6" s="25">
        <f>SUM(Jan!C6, Feb!C6, Mar!C6)</f>
        <v>12692</v>
      </c>
      <c r="D6" s="14">
        <f>SUM(Jan!D6, Feb!D6, Mar!D6)</f>
        <v>13124.8</v>
      </c>
      <c r="E6" s="14">
        <f t="shared" si="0"/>
        <v>-432.79999999999927</v>
      </c>
      <c r="F6" s="15">
        <f t="shared" ref="F6:F8" si="1">IFERROR(E6/D6, "")</f>
        <v>-3.2975740582713589E-2</v>
      </c>
      <c r="G6" s="16">
        <f>SUM(Jan!G6, Feb!G6, Mar!G6)</f>
        <v>16640.2</v>
      </c>
      <c r="H6" s="16">
        <f>SUM(Jan!H6, Feb!H6, Mar!H6)</f>
        <v>-3948.2000000000007</v>
      </c>
      <c r="I6" s="17">
        <f t="shared" ref="I6:I8" si="2">IFERROR(H6/G6, "")</f>
        <v>-0.23726878282712952</v>
      </c>
    </row>
    <row r="7" spans="1:9" ht="15.6">
      <c r="A7" s="18" t="str">
        <v>Golden NREL Wind 3</v>
      </c>
      <c r="B7" s="11" t="str">
        <v>CO</v>
      </c>
      <c r="C7" s="12">
        <f>SUM(Jan!C7, Feb!C7, Mar!C7)</f>
        <v>0</v>
      </c>
      <c r="D7" s="19">
        <f>SUM(Jan!D7, Feb!D7, Mar!D7)</f>
        <v>0</v>
      </c>
      <c r="E7" s="19">
        <f t="shared" si="0"/>
        <v>0</v>
      </c>
      <c r="F7" s="20" t="str">
        <f t="shared" si="1"/>
        <v/>
      </c>
      <c r="G7" s="21">
        <f>SUM(Jan!G7, Feb!G7, Mar!G7)</f>
        <v>0</v>
      </c>
      <c r="H7" s="21">
        <f>SUM(Jan!H7, Feb!H7, Mar!H7)</f>
        <v>0</v>
      </c>
      <c r="I7" s="20" t="str">
        <f t="shared" si="2"/>
        <v/>
      </c>
    </row>
    <row r="8" spans="1:9" ht="15.6">
      <c r="A8" s="13" t="str">
        <v>Pratt Solar Farm</v>
      </c>
      <c r="B8" s="10" t="str">
        <v>KS</v>
      </c>
      <c r="C8" s="25">
        <f>SUM(Jan!C8, Feb!C8, Mar!C8)</f>
        <v>804890</v>
      </c>
      <c r="D8" s="14">
        <f>SUM(Jan!D8, Feb!D8, Mar!D8)</f>
        <v>978897.25300000003</v>
      </c>
      <c r="E8" s="14">
        <f t="shared" si="0"/>
        <v>-174007.25300000003</v>
      </c>
      <c r="F8" s="15">
        <f t="shared" si="1"/>
        <v>-0.17775844448099604</v>
      </c>
      <c r="G8" s="16">
        <f>SUM(Jan!G8, Feb!G8, Mar!G8)</f>
        <v>838215.86</v>
      </c>
      <c r="H8" s="16">
        <f>SUM(Jan!H8, Feb!H8, Mar!H8)</f>
        <v>-33325.859999999986</v>
      </c>
      <c r="I8" s="17">
        <f t="shared" si="2"/>
        <v>-3.9758088089624055E-2</v>
      </c>
    </row>
    <row r="9" spans="1:9" ht="12.75" customHeight="1">
      <c r="A9" s="22"/>
      <c r="B9" s="22"/>
      <c r="C9" s="22"/>
      <c r="D9" s="22"/>
      <c r="E9" s="22"/>
      <c r="F9" s="22"/>
      <c r="G9" s="22"/>
      <c r="H9" s="22"/>
      <c r="I9" s="22"/>
    </row>
    <row r="10" spans="1:9" ht="13.9">
      <c r="A10" s="22"/>
      <c r="B10" s="22"/>
      <c r="C10" s="22"/>
      <c r="D10" s="22"/>
      <c r="E10" s="22"/>
      <c r="F10" s="22"/>
      <c r="G10" s="22"/>
      <c r="H10" s="22"/>
      <c r="I10" s="22"/>
    </row>
    <row r="11" spans="1:9" ht="13.9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3.9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3.9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1 I4:I91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3"/>
  <sheetViews>
    <sheetView workbookViewId="0">
      <pane xSplit="2" ySplit="3" topLeftCell="C4" activePane="bottomRight" state="frozen"/>
      <selection pane="bottomRight" activeCell="A9" sqref="A9:XFD1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Ecofin</v>
      </c>
      <c r="B1" s="49"/>
      <c r="C1" s="49"/>
      <c r="D1" s="50" t="s">
        <v>12</v>
      </c>
      <c r="E1" s="50"/>
      <c r="F1" s="50"/>
      <c r="G1" s="48" t="s">
        <v>13</v>
      </c>
      <c r="H1" s="48"/>
      <c r="I1" s="48"/>
    </row>
    <row r="2" spans="1:9" ht="19.5" customHeight="1">
      <c r="A2" s="51" t="s">
        <v>2</v>
      </c>
      <c r="B2" s="51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8">Sites[Site]</f>
        <v>Alamosa School District</v>
      </c>
      <c r="B4" s="10" t="str" cm="1">
        <f t="array" ref="B4:B8">Sites[State]</f>
        <v>CO</v>
      </c>
      <c r="C4" s="25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6">
      <c r="A5" s="18" t="str">
        <v>San Luis Valley</v>
      </c>
      <c r="B5" s="11" t="str">
        <v>CO</v>
      </c>
      <c r="C5" s="12">
        <f>SUM(Apr!C5, May!C5, Jun!C5)</f>
        <v>0</v>
      </c>
      <c r="D5" s="19">
        <f>SUM(Apr!D5, May!D5, Jun!D5)</f>
        <v>0</v>
      </c>
      <c r="E5" s="19">
        <f t="shared" ref="E5:E8" si="0">IF(AND(ISNUMBER(C5),ISNUMBER(D5)), C5-D5, "")</f>
        <v>0</v>
      </c>
      <c r="F5" s="20" t="str">
        <f>IFERROR(E5/D5, "")</f>
        <v/>
      </c>
      <c r="G5" s="21"/>
      <c r="H5" s="21">
        <f>SUM(Apr!H5, May!H5, Jun!H5)</f>
        <v>0</v>
      </c>
      <c r="I5" s="20" t="str">
        <f>IFERROR(H5/G5, "")</f>
        <v/>
      </c>
    </row>
    <row r="6" spans="1:9" ht="15.6">
      <c r="A6" s="13" t="str">
        <v>Golden NREL 2</v>
      </c>
      <c r="B6" s="10" t="str">
        <v>CO</v>
      </c>
      <c r="C6" s="25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:F8" si="1">IFERROR(E6/D6, "")</f>
        <v/>
      </c>
      <c r="G6" s="16"/>
      <c r="H6" s="16">
        <f>SUM(Apr!H6, May!H6, Jun!H6)</f>
        <v>0</v>
      </c>
      <c r="I6" s="17" t="str">
        <f t="shared" ref="I6:I8" si="2">IFERROR(H6/G6, "")</f>
        <v/>
      </c>
    </row>
    <row r="7" spans="1:9" ht="15.6">
      <c r="A7" s="18" t="str">
        <v>Golden NREL Wind 3</v>
      </c>
      <c r="B7" s="11" t="str">
        <v>CO</v>
      </c>
      <c r="C7" s="12">
        <f>SUM(Apr!C7, May!C7, Jun!C7)</f>
        <v>0</v>
      </c>
      <c r="D7" s="19">
        <f>SUM(Apr!D7, May!D7, Jun!D7)</f>
        <v>0</v>
      </c>
      <c r="E7" s="19">
        <f t="shared" si="0"/>
        <v>0</v>
      </c>
      <c r="F7" s="20" t="str">
        <f t="shared" si="1"/>
        <v/>
      </c>
      <c r="G7" s="21"/>
      <c r="H7" s="21">
        <f>SUM(Apr!H7, May!H7, Jun!H7)</f>
        <v>0</v>
      </c>
      <c r="I7" s="20" t="str">
        <f t="shared" si="2"/>
        <v/>
      </c>
    </row>
    <row r="8" spans="1:9" ht="15.6">
      <c r="A8" s="13" t="str">
        <v>Pratt Solar Farm</v>
      </c>
      <c r="B8" s="10" t="str">
        <v>KS</v>
      </c>
      <c r="C8" s="25">
        <f>SUM(Apr!C8, May!C8, Jun!C8)</f>
        <v>0</v>
      </c>
      <c r="D8" s="14">
        <f>SUM(Apr!D8, May!D8, Jun!D8)</f>
        <v>0</v>
      </c>
      <c r="E8" s="14">
        <f t="shared" si="0"/>
        <v>0</v>
      </c>
      <c r="F8" s="15" t="str">
        <f t="shared" si="1"/>
        <v/>
      </c>
      <c r="G8" s="16"/>
      <c r="H8" s="16">
        <f>SUM(Apr!H8, May!H8, Jun!H8)</f>
        <v>0</v>
      </c>
      <c r="I8" s="17" t="str">
        <f t="shared" si="2"/>
        <v/>
      </c>
    </row>
    <row r="9" spans="1:9" ht="12.75" customHeight="1">
      <c r="A9" s="22"/>
      <c r="B9" s="22"/>
      <c r="C9" s="22"/>
      <c r="D9" s="22"/>
      <c r="E9" s="22"/>
      <c r="F9" s="22"/>
      <c r="G9" s="22"/>
      <c r="H9" s="22"/>
      <c r="I9" s="22"/>
    </row>
    <row r="10" spans="1:9" ht="13.9">
      <c r="A10" s="22"/>
      <c r="B10" s="22"/>
      <c r="C10" s="22"/>
      <c r="D10" s="22"/>
      <c r="E10" s="22"/>
      <c r="F10" s="22"/>
      <c r="G10" s="22"/>
      <c r="H10" s="22"/>
      <c r="I10" s="22"/>
    </row>
    <row r="11" spans="1:9" ht="13.9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3.9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3.9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1 I4:I91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3"/>
  <sheetViews>
    <sheetView workbookViewId="0">
      <pane xSplit="2" ySplit="3" topLeftCell="C4" activePane="bottomRight" state="frozen"/>
      <selection pane="bottomRight" activeCell="A9" sqref="A9:XFD1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Ecofin</v>
      </c>
      <c r="B1" s="49"/>
      <c r="C1" s="49"/>
      <c r="D1" s="50" t="s">
        <v>14</v>
      </c>
      <c r="E1" s="50"/>
      <c r="F1" s="50"/>
      <c r="G1" s="48" t="s">
        <v>15</v>
      </c>
      <c r="H1" s="48"/>
      <c r="I1" s="48"/>
    </row>
    <row r="2" spans="1:9" ht="19.5" customHeight="1">
      <c r="A2" s="51" t="s">
        <v>2</v>
      </c>
      <c r="B2" s="51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8">Sites[Site]</f>
        <v>Alamosa School District</v>
      </c>
      <c r="B4" s="10" t="str" cm="1">
        <f t="array" ref="B4:B8">Sites[State]</f>
        <v>CO</v>
      </c>
      <c r="C4" s="25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6">
      <c r="A5" s="18" t="str">
        <v>San Luis Valley</v>
      </c>
      <c r="B5" s="11" t="str">
        <v>CO</v>
      </c>
      <c r="C5" s="12">
        <f>SUM(Jul!C5, Aug!C5, Sep!C5)</f>
        <v>0</v>
      </c>
      <c r="D5" s="19">
        <f>SUM(Jul!D5, Aug!D5, Sep!D5)</f>
        <v>0</v>
      </c>
      <c r="E5" s="19">
        <f t="shared" ref="E5:E8" si="0">IF(AND(ISNUMBER(C5),ISNUMBER(D5)), C5-D5, "")</f>
        <v>0</v>
      </c>
      <c r="F5" s="20" t="str">
        <f>IFERROR(E5/D5, "")</f>
        <v/>
      </c>
      <c r="G5" s="21"/>
      <c r="H5" s="21">
        <f>SUM(Jul!H5, Aug!H5, Sep!H5)</f>
        <v>0</v>
      </c>
      <c r="I5" s="20" t="str">
        <f>IFERROR(H5/G5, "")</f>
        <v/>
      </c>
    </row>
    <row r="6" spans="1:9" ht="15.6">
      <c r="A6" s="13" t="str">
        <v>Golden NREL 2</v>
      </c>
      <c r="B6" s="10" t="str">
        <v>CO</v>
      </c>
      <c r="C6" s="25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8" si="1">IFERROR(E6/D6, "")</f>
        <v/>
      </c>
      <c r="G6" s="16"/>
      <c r="H6" s="16">
        <f>SUM(Jul!H6, Aug!H6, Sep!H6)</f>
        <v>0</v>
      </c>
      <c r="I6" s="17" t="str">
        <f t="shared" ref="I6:I8" si="2">IFERROR(H6/G6, "")</f>
        <v/>
      </c>
    </row>
    <row r="7" spans="1:9" ht="15.6">
      <c r="A7" s="18" t="str">
        <v>Golden NREL Wind 3</v>
      </c>
      <c r="B7" s="11" t="str">
        <v>CO</v>
      </c>
      <c r="C7" s="12">
        <f>SUM(Jul!C7, Aug!C7, Sep!C7)</f>
        <v>0</v>
      </c>
      <c r="D7" s="19">
        <f>SUM(Jul!D7, Aug!D7, Sep!D7)</f>
        <v>0</v>
      </c>
      <c r="E7" s="19">
        <f t="shared" si="0"/>
        <v>0</v>
      </c>
      <c r="F7" s="20" t="str">
        <f t="shared" si="1"/>
        <v/>
      </c>
      <c r="G7" s="21"/>
      <c r="H7" s="21">
        <f>SUM(Jul!H7, Aug!H7, Sep!H7)</f>
        <v>0</v>
      </c>
      <c r="I7" s="20" t="str">
        <f t="shared" si="2"/>
        <v/>
      </c>
    </row>
    <row r="8" spans="1:9" ht="15.6">
      <c r="A8" s="13" t="str">
        <v>Pratt Solar Farm</v>
      </c>
      <c r="B8" s="10" t="str">
        <v>KS</v>
      </c>
      <c r="C8" s="25">
        <f>SUM(Jul!C8, Aug!C8, Sep!C8)</f>
        <v>0</v>
      </c>
      <c r="D8" s="14">
        <f>SUM(Jul!D8, Aug!D8, Sep!D8)</f>
        <v>0</v>
      </c>
      <c r="E8" s="14">
        <f t="shared" si="0"/>
        <v>0</v>
      </c>
      <c r="F8" s="15" t="str">
        <f t="shared" si="1"/>
        <v/>
      </c>
      <c r="G8" s="16"/>
      <c r="H8" s="16">
        <f>SUM(Jul!H8, Aug!H8, Sep!H8)</f>
        <v>0</v>
      </c>
      <c r="I8" s="17" t="str">
        <f t="shared" si="2"/>
        <v/>
      </c>
    </row>
    <row r="9" spans="1:9" ht="12.75" customHeight="1">
      <c r="A9" s="22"/>
      <c r="B9" s="22"/>
      <c r="C9" s="22"/>
      <c r="D9" s="22"/>
      <c r="E9" s="22"/>
      <c r="F9" s="22"/>
      <c r="G9" s="22"/>
      <c r="H9" s="22"/>
      <c r="I9" s="22"/>
    </row>
    <row r="10" spans="1:9" ht="13.9">
      <c r="A10" s="22"/>
      <c r="B10" s="22"/>
      <c r="C10" s="22"/>
      <c r="D10" s="22"/>
      <c r="E10" s="22"/>
      <c r="F10" s="22"/>
      <c r="G10" s="22"/>
      <c r="H10" s="22"/>
      <c r="I10" s="22"/>
    </row>
    <row r="11" spans="1:9" ht="13.9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3.9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3.9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3"/>
  <sheetViews>
    <sheetView workbookViewId="0">
      <pane xSplit="2" ySplit="3" topLeftCell="C9" activePane="bottomRight" state="frozen"/>
      <selection pane="bottomRight" activeCell="A9" sqref="A9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Ecofin</v>
      </c>
      <c r="B1" s="49"/>
      <c r="C1" s="49"/>
      <c r="D1" s="50" t="s">
        <v>16</v>
      </c>
      <c r="E1" s="50"/>
      <c r="F1" s="50"/>
      <c r="G1" s="48" t="s">
        <v>17</v>
      </c>
      <c r="H1" s="48"/>
      <c r="I1" s="48"/>
    </row>
    <row r="2" spans="1:9" ht="19.5" customHeight="1">
      <c r="A2" s="51" t="s">
        <v>2</v>
      </c>
      <c r="B2" s="51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8">Sites[Site]</f>
        <v>Alamosa School District</v>
      </c>
      <c r="B4" s="10" t="str" cm="1">
        <f t="array" ref="B4:B8">Sites[State]</f>
        <v>CO</v>
      </c>
      <c r="C4" s="25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8" t="str">
        <v>San Luis Valley</v>
      </c>
      <c r="B5" s="11" t="str">
        <v>CO</v>
      </c>
      <c r="C5" s="12">
        <f>SUM(Oct!C5, Nov!C5, Dec!C5)</f>
        <v>0</v>
      </c>
      <c r="D5" s="19">
        <f>SUM(Oct!D5, Nov!D5, Dec!D5)</f>
        <v>0</v>
      </c>
      <c r="E5" s="19">
        <f t="shared" ref="E5:E8" si="0">IF(AND(ISNUMBER(C5),ISNUMBER(D5)), C5-D5, "")</f>
        <v>0</v>
      </c>
      <c r="F5" s="20" t="str">
        <f>IFERROR(E5/D5, "")</f>
        <v/>
      </c>
      <c r="G5" s="21"/>
      <c r="H5" s="21">
        <f>SUM(Oct!H5, Nov!H5, Dec!H5)</f>
        <v>0</v>
      </c>
      <c r="I5" s="20" t="str">
        <f>IFERROR(H5/G5, "")</f>
        <v/>
      </c>
    </row>
    <row r="6" spans="1:9" ht="15.6">
      <c r="A6" s="13" t="str">
        <v>Golden NREL 2</v>
      </c>
      <c r="B6" s="10" t="str">
        <v>CO</v>
      </c>
      <c r="C6" s="25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8" si="1">IFERROR(E6/D6, "")</f>
        <v/>
      </c>
      <c r="G6" s="16"/>
      <c r="H6" s="16">
        <f>SUM(Oct!H6, Nov!H6, Dec!H6)</f>
        <v>0</v>
      </c>
      <c r="I6" s="17" t="str">
        <f t="shared" ref="I6:I8" si="2">IFERROR(H6/G6, "")</f>
        <v/>
      </c>
    </row>
    <row r="7" spans="1:9" ht="15.6">
      <c r="A7" s="18" t="str">
        <v>Golden NREL Wind 3</v>
      </c>
      <c r="B7" s="11" t="str">
        <v>CO</v>
      </c>
      <c r="C7" s="12">
        <f>SUM(Oct!C7, Nov!C7, Dec!C7)</f>
        <v>0</v>
      </c>
      <c r="D7" s="19">
        <f>SUM(Oct!D7, Nov!D7, Dec!D7)</f>
        <v>0</v>
      </c>
      <c r="E7" s="19">
        <f t="shared" si="0"/>
        <v>0</v>
      </c>
      <c r="F7" s="20" t="str">
        <f t="shared" si="1"/>
        <v/>
      </c>
      <c r="G7" s="21"/>
      <c r="H7" s="21">
        <f>SUM(Oct!H7, Nov!H7, Dec!H7)</f>
        <v>0</v>
      </c>
      <c r="I7" s="20" t="str">
        <f t="shared" si="2"/>
        <v/>
      </c>
    </row>
    <row r="8" spans="1:9" ht="15.6">
      <c r="A8" s="13" t="str">
        <v>Pratt Solar Farm</v>
      </c>
      <c r="B8" s="10" t="str">
        <v>KS</v>
      </c>
      <c r="C8" s="25">
        <f>SUM(Oct!C8, Nov!C8, Dec!C8)</f>
        <v>0</v>
      </c>
      <c r="D8" s="14">
        <f>SUM(Oct!D8, Nov!D8, Dec!D8)</f>
        <v>0</v>
      </c>
      <c r="E8" s="14">
        <f t="shared" si="0"/>
        <v>0</v>
      </c>
      <c r="F8" s="15" t="str">
        <f t="shared" si="1"/>
        <v/>
      </c>
      <c r="G8" s="16"/>
      <c r="H8" s="16">
        <f>SUM(Oct!H8, Nov!H8, Dec!H8)</f>
        <v>0</v>
      </c>
      <c r="I8" s="17" t="str">
        <f t="shared" si="2"/>
        <v/>
      </c>
    </row>
    <row r="9" spans="1:9" ht="12.75" customHeight="1">
      <c r="A9" s="22"/>
      <c r="B9" s="22"/>
      <c r="C9" s="22"/>
      <c r="D9" s="22"/>
      <c r="E9" s="22"/>
      <c r="F9" s="22"/>
      <c r="G9" s="22"/>
      <c r="H9" s="22"/>
      <c r="I9" s="22"/>
    </row>
    <row r="10" spans="1:9" ht="13.9">
      <c r="A10" s="22"/>
      <c r="B10" s="22"/>
      <c r="C10" s="22"/>
      <c r="D10" s="22"/>
      <c r="E10" s="22"/>
      <c r="F10" s="22"/>
      <c r="G10" s="22"/>
      <c r="H10" s="22"/>
      <c r="I10" s="22"/>
    </row>
    <row r="11" spans="1:9" ht="13.9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3.9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3.9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4"/>
  <sheetViews>
    <sheetView workbookViewId="0">
      <pane xSplit="2" ySplit="3" topLeftCell="C4" activePane="bottomRight" state="frozen"/>
      <selection pane="bottomRight" activeCell="J7" sqref="J7:K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Ecofin</v>
      </c>
      <c r="B1" s="49"/>
      <c r="C1" s="49"/>
      <c r="D1" s="50" t="s">
        <v>18</v>
      </c>
      <c r="E1" s="50"/>
      <c r="F1" s="50"/>
      <c r="G1" s="48" t="s">
        <v>19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SUM(C4:C82)</f>
        <v>78991</v>
      </c>
      <c r="D2" s="6">
        <f>SUM(D4:D82)</f>
        <v>79673</v>
      </c>
      <c r="E2" s="6">
        <f>C2-D2</f>
        <v>-682</v>
      </c>
      <c r="F2" s="7">
        <f>IFERROR(E2/D2, 0)</f>
        <v>-8.5599889548529616E-3</v>
      </c>
      <c r="G2" s="6">
        <f>SUM(G4:G82)</f>
        <v>100783</v>
      </c>
      <c r="H2" s="8">
        <f>C2-G2</f>
        <v>-21792</v>
      </c>
      <c r="I2" s="7">
        <f>IFERROR(H2/G2, 0)</f>
        <v>-0.21622694303602791</v>
      </c>
      <c r="J2" s="27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28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>
        <v>72896</v>
      </c>
      <c r="D4" s="14">
        <v>73786</v>
      </c>
      <c r="E4" s="14">
        <f>IF(AND(ISNUMBER(C4),ISNUMBER(D4)), C4-D4, "")</f>
        <v>-890</v>
      </c>
      <c r="F4" s="15">
        <f>IFERROR(E4/D4, "")</f>
        <v>-1.2061908763180007E-2</v>
      </c>
      <c r="G4" s="16">
        <v>93005</v>
      </c>
      <c r="H4" s="16">
        <f>IF(AND(ISNUMBER(C4),ISNUMBER(G4)), C4-G4, "")</f>
        <v>-20109</v>
      </c>
      <c r="I4" s="17">
        <f>IFERROR(H4/G4, "")</f>
        <v>-0.21621418203322401</v>
      </c>
      <c r="J4" s="42" t="s">
        <v>22</v>
      </c>
      <c r="K4" s="42" t="s">
        <v>23</v>
      </c>
    </row>
    <row r="5" spans="1:11" ht="15.6">
      <c r="A5" s="31" t="str">
        <v>San Luis Valley</v>
      </c>
      <c r="B5" s="32" t="str">
        <v>CO</v>
      </c>
      <c r="C5" s="12">
        <v>0</v>
      </c>
      <c r="D5" s="19">
        <v>0</v>
      </c>
      <c r="E5" s="19">
        <f t="shared" ref="E5:E8" si="0">IF(AND(ISNUMBER(C5),ISNUMBER(D5)), C5-D5, "")</f>
        <v>0</v>
      </c>
      <c r="F5" s="20" t="str">
        <f>IFERROR(E5/D5, "")</f>
        <v/>
      </c>
      <c r="G5" s="21">
        <v>0</v>
      </c>
      <c r="H5" s="21">
        <f t="shared" ref="H5:H6" si="1">IF(AND(ISNUMBER(C5),ISNUMBER(G5)), C5-G5, "")</f>
        <v>0</v>
      </c>
      <c r="I5" s="20" t="str">
        <f t="shared" ref="I5:I6" si="2">IFERROR(H5/G5, "")</f>
        <v/>
      </c>
      <c r="J5" s="43" t="s">
        <v>24</v>
      </c>
      <c r="K5" s="43" t="s">
        <v>25</v>
      </c>
    </row>
    <row r="6" spans="1:11" ht="15.6">
      <c r="A6" s="29" t="str">
        <v>Golden NREL 2</v>
      </c>
      <c r="B6" s="30" t="str">
        <v>CO</v>
      </c>
      <c r="C6" s="25">
        <v>6095</v>
      </c>
      <c r="D6" s="14">
        <v>5887</v>
      </c>
      <c r="E6" s="14">
        <f t="shared" si="0"/>
        <v>208</v>
      </c>
      <c r="F6" s="15">
        <f t="shared" ref="F6:F8" si="3">IFERROR(E6/D6, "")</f>
        <v>3.5332087650755906E-2</v>
      </c>
      <c r="G6" s="16">
        <v>7778</v>
      </c>
      <c r="H6" s="16">
        <f t="shared" si="1"/>
        <v>-1683</v>
      </c>
      <c r="I6" s="17">
        <f t="shared" si="2"/>
        <v>-0.21637953201337104</v>
      </c>
      <c r="J6" s="42" t="s">
        <v>26</v>
      </c>
      <c r="K6" s="42" t="s">
        <v>27</v>
      </c>
    </row>
    <row r="7" spans="1:11" ht="15.6">
      <c r="A7" s="31" t="str">
        <v>Golden NREL Wind 3</v>
      </c>
      <c r="B7" s="32" t="str">
        <v>CO</v>
      </c>
      <c r="C7" s="12">
        <v>0</v>
      </c>
      <c r="D7" s="19">
        <v>0</v>
      </c>
      <c r="E7" s="19">
        <f t="shared" si="0"/>
        <v>0</v>
      </c>
      <c r="F7" s="20" t="str">
        <f t="shared" si="3"/>
        <v/>
      </c>
      <c r="G7" s="21">
        <v>0</v>
      </c>
      <c r="H7" s="21">
        <f t="shared" ref="H7:H8" si="4">IF(AND(ISNUMBER(C7),ISNUMBER(G7)), C7-G7, "")</f>
        <v>0</v>
      </c>
      <c r="I7" s="20" t="str">
        <f t="shared" ref="I7:I8" si="5">IFERROR(H7/G7, "")</f>
        <v/>
      </c>
      <c r="J7" s="43" t="s">
        <v>28</v>
      </c>
      <c r="K7" s="44" t="s">
        <v>29</v>
      </c>
    </row>
    <row r="8" spans="1:11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4"/>
        <v/>
      </c>
      <c r="I8" s="17" t="str">
        <f t="shared" si="5"/>
        <v/>
      </c>
      <c r="J8" s="42"/>
      <c r="K8" s="42"/>
    </row>
    <row r="9" spans="1:11" ht="14.45">
      <c r="A9" s="22"/>
      <c r="B9" s="34"/>
      <c r="C9" s="22"/>
      <c r="D9" s="22"/>
      <c r="E9" s="22"/>
      <c r="F9" s="22"/>
      <c r="G9" s="22"/>
      <c r="H9" s="22"/>
      <c r="I9" s="22"/>
      <c r="J9" s="22"/>
      <c r="K9" s="22"/>
    </row>
    <row r="10" spans="1:11" ht="14.45">
      <c r="A10" s="22"/>
      <c r="B10" s="34"/>
      <c r="C10" s="22"/>
      <c r="D10" s="22"/>
      <c r="E10" s="22"/>
      <c r="F10" s="22"/>
      <c r="G10" s="22"/>
      <c r="H10" s="22"/>
      <c r="I10" s="22"/>
      <c r="J10" s="22"/>
      <c r="K10" s="22"/>
    </row>
    <row r="11" spans="1:11" ht="14.45">
      <c r="A11" s="22"/>
      <c r="B11" s="34"/>
      <c r="C11" s="22"/>
      <c r="D11" s="22"/>
      <c r="E11" s="22"/>
      <c r="F11" s="22"/>
      <c r="G11" s="22"/>
      <c r="H11" s="22"/>
      <c r="I11" s="22"/>
      <c r="J11" s="22"/>
      <c r="K11" s="22"/>
    </row>
    <row r="12" spans="1:11" ht="14.45">
      <c r="A12" s="22"/>
      <c r="B12" s="34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14.45">
      <c r="A13" s="22"/>
      <c r="B13" s="34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4.45">
      <c r="A14" s="22"/>
      <c r="B14" s="34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4"/>
      <c r="C15" s="22"/>
      <c r="D15" s="22"/>
      <c r="E15" s="22"/>
      <c r="F15" s="23"/>
      <c r="G15" s="22"/>
      <c r="H15" s="22"/>
      <c r="I15" s="23"/>
      <c r="J15" s="22"/>
      <c r="K15" s="22"/>
    </row>
    <row r="16" spans="1:11" ht="14.45">
      <c r="A16" s="22"/>
      <c r="B16" s="34"/>
      <c r="C16" s="22"/>
      <c r="D16" s="22"/>
      <c r="E16" s="22"/>
      <c r="F16" s="23"/>
      <c r="G16" s="22"/>
      <c r="H16" s="22"/>
      <c r="I16" s="23"/>
      <c r="J16" s="22"/>
      <c r="K16" s="22"/>
    </row>
    <row r="17" spans="1:11" ht="14.45">
      <c r="A17" s="22"/>
      <c r="B17" s="34"/>
      <c r="C17" s="22"/>
      <c r="D17" s="22"/>
      <c r="E17" s="22"/>
      <c r="F17" s="23"/>
      <c r="G17" s="22"/>
      <c r="H17" s="22"/>
      <c r="I17" s="23"/>
      <c r="J17" s="22"/>
      <c r="K17" s="22"/>
    </row>
    <row r="18" spans="1:11" ht="14.45">
      <c r="A18" s="22"/>
      <c r="B18" s="34"/>
      <c r="C18" s="22"/>
      <c r="D18" s="22"/>
      <c r="E18" s="22"/>
      <c r="F18" s="23"/>
      <c r="G18" s="22"/>
      <c r="H18" s="22"/>
      <c r="I18" s="23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</sheetData>
  <mergeCells count="4">
    <mergeCell ref="D1:F1"/>
    <mergeCell ref="A1:C1"/>
    <mergeCell ref="G1:I1"/>
    <mergeCell ref="A2:B2"/>
  </mergeCells>
  <conditionalFormatting sqref="F2 I2 F4:F82 I4:I82">
    <cfRule type="cellIs" dxfId="46" priority="4" stopIfTrue="1" operator="lessThanOrEqual">
      <formula>-0.1</formula>
    </cfRule>
    <cfRule type="expression" dxfId="4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3"/>
  <sheetViews>
    <sheetView tabSelected="1" workbookViewId="0">
      <pane xSplit="2" ySplit="3" topLeftCell="C4" activePane="bottomRight" state="frozen"/>
      <selection pane="bottomRight" activeCell="J14" sqref="J1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Ecofin</v>
      </c>
      <c r="B1" s="49"/>
      <c r="C1" s="49"/>
      <c r="D1" s="50" t="s">
        <v>30</v>
      </c>
      <c r="E1" s="50"/>
      <c r="F1" s="50"/>
      <c r="G1" s="48" t="s">
        <v>31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SUM(C4:C91)</f>
        <v>911881</v>
      </c>
      <c r="D2" s="6">
        <f>SUM(D4:D91)</f>
        <v>1076640.5530000001</v>
      </c>
      <c r="E2" s="6">
        <f>C2-D2</f>
        <v>-164759.55300000007</v>
      </c>
      <c r="F2" s="7">
        <f>IFERROR(E2/D2, 0)</f>
        <v>-0.15303116025205124</v>
      </c>
      <c r="G2" s="6">
        <f>SUM(G4:G91)</f>
        <v>944891.36</v>
      </c>
      <c r="H2" s="8">
        <f>C2-G2</f>
        <v>-33010.359999999986</v>
      </c>
      <c r="I2" s="7">
        <f>IFERROR(H2/G2, 0)</f>
        <v>-3.4935614185317543E-2</v>
      </c>
      <c r="J2" s="27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>
        <v>100394</v>
      </c>
      <c r="D4" s="14">
        <v>90505.5</v>
      </c>
      <c r="E4" s="14">
        <f>IF(AND(ISNUMBER(C4),ISNUMBER(D4)), C4-D4, "")</f>
        <v>9888.5</v>
      </c>
      <c r="F4" s="15">
        <f>IFERROR(E4/D4, "")</f>
        <v>0.10925855334758661</v>
      </c>
      <c r="G4" s="16">
        <v>97813.3</v>
      </c>
      <c r="H4" s="16">
        <f>IF(AND(ISNUMBER(C4),ISNUMBER(G4)), C4-G4, "")</f>
        <v>2580.6999999999971</v>
      </c>
      <c r="I4" s="17">
        <f>IFERROR(H4/G4, "")</f>
        <v>2.6383937562683164E-2</v>
      </c>
      <c r="J4" s="47"/>
      <c r="K4" s="47"/>
    </row>
    <row r="5" spans="1:11" ht="15.75">
      <c r="A5" s="31" t="str">
        <v>San Luis Valley</v>
      </c>
      <c r="B5" s="32" t="str">
        <v>CO</v>
      </c>
      <c r="C5" s="12">
        <v>0</v>
      </c>
      <c r="D5" s="46">
        <v>0</v>
      </c>
      <c r="E5" s="19">
        <v>0</v>
      </c>
      <c r="F5" s="20" t="str">
        <f>IFERROR(E5/D5, "")</f>
        <v/>
      </c>
      <c r="G5" s="46">
        <v>0</v>
      </c>
      <c r="H5" s="21">
        <f t="shared" ref="H5:H8" si="0">IF(AND(ISNUMBER(C5),ISNUMBER(G5)), C5-G5, "")</f>
        <v>0</v>
      </c>
      <c r="I5" s="20" t="str">
        <f t="shared" ref="I5:I8" si="1">IFERROR(H5/G5, "")</f>
        <v/>
      </c>
      <c r="J5" s="52" t="s">
        <v>32</v>
      </c>
      <c r="K5" s="52" t="s">
        <v>33</v>
      </c>
    </row>
    <row r="6" spans="1:11" ht="15.75">
      <c r="A6" s="29" t="str">
        <v>Golden NREL 2</v>
      </c>
      <c r="B6" s="30" t="str">
        <v>CO</v>
      </c>
      <c r="C6" s="25">
        <v>6597</v>
      </c>
      <c r="D6" s="14">
        <v>7237.8</v>
      </c>
      <c r="E6" s="14">
        <f t="shared" ref="E5:E8" si="2">IF(AND(ISNUMBER(C6),ISNUMBER(D6)), C6-D6, "")</f>
        <v>-640.80000000000018</v>
      </c>
      <c r="F6" s="15">
        <f t="shared" ref="F6:F8" si="3">IFERROR(E6/D6, "")</f>
        <v>-8.8535190251181325E-2</v>
      </c>
      <c r="G6" s="16">
        <v>8862.2000000000007</v>
      </c>
      <c r="H6" s="16">
        <f t="shared" si="0"/>
        <v>-2265.2000000000007</v>
      </c>
      <c r="I6" s="17">
        <f t="shared" si="1"/>
        <v>-0.25560244634515139</v>
      </c>
      <c r="J6" s="47"/>
      <c r="K6" s="47"/>
    </row>
    <row r="7" spans="1:11" ht="15.75">
      <c r="A7" s="31" t="str">
        <v>Golden NREL Wind 3</v>
      </c>
      <c r="B7" s="32" t="str">
        <v>CO</v>
      </c>
      <c r="C7" s="12">
        <v>0</v>
      </c>
      <c r="D7" s="46">
        <v>0</v>
      </c>
      <c r="E7" s="19">
        <f t="shared" si="2"/>
        <v>0</v>
      </c>
      <c r="F7" s="20" t="str">
        <f t="shared" si="3"/>
        <v/>
      </c>
      <c r="G7" s="46">
        <v>0</v>
      </c>
      <c r="H7" s="21">
        <f t="shared" si="0"/>
        <v>0</v>
      </c>
      <c r="I7" s="20" t="str">
        <f t="shared" si="1"/>
        <v/>
      </c>
      <c r="J7" s="52" t="s">
        <v>28</v>
      </c>
      <c r="K7" s="52" t="s">
        <v>29</v>
      </c>
    </row>
    <row r="8" spans="1:11" ht="60.75">
      <c r="A8" s="29" t="str">
        <v>Pratt Solar Farm</v>
      </c>
      <c r="B8" s="30" t="str">
        <v>KS</v>
      </c>
      <c r="C8" s="25">
        <v>804890</v>
      </c>
      <c r="D8" s="14">
        <v>978897.25300000003</v>
      </c>
      <c r="E8" s="14">
        <f t="shared" si="2"/>
        <v>-174007.25300000003</v>
      </c>
      <c r="F8" s="15">
        <f t="shared" si="3"/>
        <v>-0.17775844448099604</v>
      </c>
      <c r="G8" s="16">
        <v>838215.86</v>
      </c>
      <c r="H8" s="16">
        <f t="shared" si="0"/>
        <v>-33325.859999999986</v>
      </c>
      <c r="I8" s="17">
        <f t="shared" si="1"/>
        <v>-3.9758088089624055E-2</v>
      </c>
      <c r="J8" s="47" t="s">
        <v>34</v>
      </c>
      <c r="K8" s="47" t="s">
        <v>35</v>
      </c>
    </row>
    <row r="9" spans="1:11" ht="12.75" customHeight="1">
      <c r="A9" s="22"/>
      <c r="B9" s="34"/>
      <c r="C9" s="22"/>
      <c r="D9" s="22"/>
      <c r="E9" s="22"/>
      <c r="F9" s="22"/>
      <c r="G9" s="22"/>
      <c r="H9" s="22"/>
      <c r="I9" s="22"/>
      <c r="J9" s="22"/>
      <c r="K9" s="22"/>
    </row>
    <row r="10" spans="1:11" ht="14.45">
      <c r="A10" s="22"/>
      <c r="B10" s="34"/>
      <c r="C10" s="22"/>
      <c r="D10" s="22"/>
      <c r="E10" s="22"/>
      <c r="F10" s="22"/>
      <c r="G10" s="22"/>
      <c r="H10" s="22"/>
      <c r="I10" s="22"/>
      <c r="J10" s="22"/>
      <c r="K10" s="22"/>
    </row>
    <row r="11" spans="1:11" ht="14.45">
      <c r="A11" s="22"/>
      <c r="B11" s="34"/>
      <c r="C11" s="22"/>
      <c r="D11" s="22"/>
      <c r="E11" s="22"/>
      <c r="F11" s="22"/>
      <c r="G11" s="22"/>
      <c r="H11" s="22"/>
      <c r="I11" s="22"/>
      <c r="J11" s="22"/>
      <c r="K11" s="22"/>
    </row>
    <row r="12" spans="1:11" ht="14.45">
      <c r="A12" s="22"/>
      <c r="B12" s="34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15">
      <c r="A13" s="22"/>
      <c r="B13" s="34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4.45">
      <c r="A14" s="22"/>
      <c r="B14" s="34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C333" s="22"/>
      <c r="D333" s="22"/>
      <c r="E333" s="22"/>
      <c r="F333" s="23"/>
      <c r="G333" s="22"/>
      <c r="H333" s="22"/>
      <c r="I333" s="23"/>
      <c r="J333" s="22"/>
      <c r="K333" s="22"/>
    </row>
  </sheetData>
  <mergeCells count="4">
    <mergeCell ref="G1:I1"/>
    <mergeCell ref="A1:C1"/>
    <mergeCell ref="D1:F1"/>
    <mergeCell ref="A2:B2"/>
  </mergeCells>
  <conditionalFormatting sqref="F2 I2 F4:F91 I4:I91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Ecofin</v>
      </c>
      <c r="B1" s="49"/>
      <c r="C1" s="49"/>
      <c r="D1" s="50" t="s">
        <v>36</v>
      </c>
      <c r="E1" s="50"/>
      <c r="F1" s="50"/>
      <c r="G1" s="48" t="s">
        <v>37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1" ht="15.6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1" ht="15.6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1" ht="15.6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1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1" ht="15.6">
      <c r="A9" s="31"/>
      <c r="B9" s="32"/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3"/>
      <c r="K9" s="44"/>
    </row>
    <row r="10" spans="1:11" ht="15.6">
      <c r="A10" s="29"/>
      <c r="B10" s="30"/>
      <c r="C10" s="25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42"/>
      <c r="K10" s="42"/>
    </row>
    <row r="11" spans="1:11" ht="15.6">
      <c r="A11" s="31"/>
      <c r="B11" s="32"/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43"/>
      <c r="K11" s="44"/>
    </row>
    <row r="12" spans="1:11" ht="15.6">
      <c r="A12" s="29"/>
      <c r="B12" s="30"/>
      <c r="C12" s="25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42"/>
      <c r="K12" s="42"/>
    </row>
    <row r="13" spans="1:11" ht="15.6">
      <c r="A13" s="31"/>
      <c r="B13" s="32"/>
      <c r="C13" s="12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43"/>
      <c r="K13" s="44"/>
    </row>
    <row r="14" spans="1:11" ht="15.6">
      <c r="A14" s="29"/>
      <c r="B14" s="30"/>
      <c r="C14" s="25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42"/>
      <c r="K14" s="42"/>
    </row>
    <row r="15" spans="1:11" ht="15.6">
      <c r="A15" s="31"/>
      <c r="B15" s="32"/>
      <c r="C15" s="12"/>
      <c r="D15" s="19"/>
      <c r="E15" s="19" t="str">
        <f t="shared" si="0"/>
        <v/>
      </c>
      <c r="F15" s="20" t="str">
        <f t="shared" si="3"/>
        <v/>
      </c>
      <c r="G15" s="21"/>
      <c r="H15" s="21" t="str">
        <f t="shared" si="1"/>
        <v/>
      </c>
      <c r="I15" s="20" t="str">
        <f t="shared" si="2"/>
        <v/>
      </c>
      <c r="J15" s="43"/>
      <c r="K15" s="44"/>
    </row>
    <row r="16" spans="1:11" ht="15.6">
      <c r="A16" s="29"/>
      <c r="B16" s="30"/>
      <c r="C16" s="25"/>
      <c r="D16" s="14"/>
      <c r="E16" s="14" t="str">
        <f t="shared" si="0"/>
        <v/>
      </c>
      <c r="F16" s="15" t="str">
        <f t="shared" si="3"/>
        <v/>
      </c>
      <c r="G16" s="16"/>
      <c r="H16" s="16" t="str">
        <f t="shared" si="1"/>
        <v/>
      </c>
      <c r="I16" s="17" t="str">
        <f t="shared" si="2"/>
        <v/>
      </c>
      <c r="J16" s="42"/>
      <c r="K16" s="42"/>
    </row>
    <row r="17" spans="1:11" ht="15.6">
      <c r="A17" s="31"/>
      <c r="B17" s="32"/>
      <c r="C17" s="12"/>
      <c r="D17" s="19"/>
      <c r="E17" s="19" t="str">
        <f t="shared" si="0"/>
        <v/>
      </c>
      <c r="F17" s="20" t="str">
        <f t="shared" si="3"/>
        <v/>
      </c>
      <c r="G17" s="21"/>
      <c r="H17" s="21" t="str">
        <f t="shared" si="1"/>
        <v/>
      </c>
      <c r="I17" s="20" t="str">
        <f t="shared" si="2"/>
        <v/>
      </c>
      <c r="J17" s="43"/>
      <c r="K17" s="44"/>
    </row>
    <row r="18" spans="1:11" ht="12.75" customHeight="1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4:F100 I4:I100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4" activePane="bottomRight" state="frozen"/>
      <selection pane="bottomRight" activeCell="J18" sqref="J1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Ecofin</v>
      </c>
      <c r="B1" s="49"/>
      <c r="C1" s="49"/>
      <c r="D1" s="50" t="s">
        <v>38</v>
      </c>
      <c r="E1" s="50"/>
      <c r="F1" s="50"/>
      <c r="G1" s="48" t="s">
        <v>39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1" ht="15.6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1" ht="15.6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1" ht="15.6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1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1" ht="15.6">
      <c r="A9" s="31"/>
      <c r="B9" s="32"/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3"/>
      <c r="K9" s="44"/>
    </row>
    <row r="10" spans="1:11" ht="15.6">
      <c r="A10" s="29"/>
      <c r="B10" s="30"/>
      <c r="C10" s="25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42"/>
      <c r="K10" s="42"/>
    </row>
    <row r="11" spans="1:11" ht="15.6">
      <c r="A11" s="31"/>
      <c r="B11" s="32"/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43"/>
      <c r="K11" s="44"/>
    </row>
    <row r="12" spans="1:11" ht="15.6">
      <c r="A12" s="29"/>
      <c r="B12" s="30"/>
      <c r="C12" s="25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42"/>
      <c r="K12" s="42"/>
    </row>
    <row r="13" spans="1:11" ht="15.6">
      <c r="A13" s="31"/>
      <c r="B13" s="32"/>
      <c r="C13" s="12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43"/>
      <c r="K13" s="44"/>
    </row>
    <row r="14" spans="1:11" ht="15.6">
      <c r="A14" s="29"/>
      <c r="B14" s="30"/>
      <c r="C14" s="25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42"/>
      <c r="K14" s="42"/>
    </row>
    <row r="15" spans="1:11" ht="15.6">
      <c r="A15" s="31"/>
      <c r="B15" s="32"/>
      <c r="C15" s="12"/>
      <c r="D15" s="19"/>
      <c r="E15" s="19" t="str">
        <f t="shared" si="0"/>
        <v/>
      </c>
      <c r="F15" s="20" t="str">
        <f t="shared" si="3"/>
        <v/>
      </c>
      <c r="G15" s="21"/>
      <c r="H15" s="21" t="str">
        <f t="shared" si="1"/>
        <v/>
      </c>
      <c r="I15" s="20" t="str">
        <f t="shared" si="2"/>
        <v/>
      </c>
      <c r="J15" s="43"/>
      <c r="K15" s="44"/>
    </row>
    <row r="16" spans="1:11" ht="15.6">
      <c r="A16" s="29"/>
      <c r="B16" s="30"/>
      <c r="C16" s="25"/>
      <c r="D16" s="14"/>
      <c r="E16" s="14" t="str">
        <f t="shared" si="0"/>
        <v/>
      </c>
      <c r="F16" s="15" t="str">
        <f t="shared" si="3"/>
        <v/>
      </c>
      <c r="G16" s="16"/>
      <c r="H16" s="16" t="str">
        <f t="shared" si="1"/>
        <v/>
      </c>
      <c r="I16" s="17" t="str">
        <f t="shared" si="2"/>
        <v/>
      </c>
      <c r="J16" s="42"/>
      <c r="K16" s="42"/>
    </row>
    <row r="17" spans="1:11" ht="15.6">
      <c r="A17" s="31"/>
      <c r="B17" s="32"/>
      <c r="C17" s="12"/>
      <c r="D17" s="19"/>
      <c r="E17" s="19" t="str">
        <f t="shared" si="0"/>
        <v/>
      </c>
      <c r="F17" s="20" t="str">
        <f t="shared" si="3"/>
        <v/>
      </c>
      <c r="G17" s="21"/>
      <c r="H17" s="21" t="str">
        <f t="shared" si="1"/>
        <v/>
      </c>
      <c r="I17" s="20" t="str">
        <f t="shared" si="2"/>
        <v/>
      </c>
      <c r="J17" s="43"/>
      <c r="K17" s="44"/>
    </row>
    <row r="18" spans="1:11" ht="12.75" customHeight="1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conditionalFormatting sqref="F4:F100 I4:I100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Ecofin</v>
      </c>
      <c r="B1" s="49"/>
      <c r="C1" s="49"/>
      <c r="D1" s="50" t="s">
        <v>40</v>
      </c>
      <c r="E1" s="50"/>
      <c r="F1" s="50"/>
      <c r="G1" s="48" t="s">
        <v>41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1" ht="15.6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1" ht="15.6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1" ht="15.6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1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1" ht="15.6">
      <c r="A9" s="31"/>
      <c r="B9" s="32"/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3"/>
      <c r="K9" s="44"/>
    </row>
    <row r="10" spans="1:11" ht="15.6">
      <c r="A10" s="29"/>
      <c r="B10" s="30"/>
      <c r="C10" s="25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42"/>
      <c r="K10" s="42"/>
    </row>
    <row r="11" spans="1:11" ht="15.6">
      <c r="A11" s="31"/>
      <c r="B11" s="32"/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43"/>
      <c r="K11" s="44"/>
    </row>
    <row r="12" spans="1:11" ht="15.6">
      <c r="A12" s="29"/>
      <c r="B12" s="30"/>
      <c r="C12" s="25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42"/>
      <c r="K12" s="42"/>
    </row>
    <row r="13" spans="1:11" ht="15.6">
      <c r="A13" s="31"/>
      <c r="B13" s="32"/>
      <c r="C13" s="12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43"/>
      <c r="K13" s="44"/>
    </row>
    <row r="14" spans="1:11" ht="15.6">
      <c r="A14" s="29"/>
      <c r="B14" s="30"/>
      <c r="C14" s="25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42"/>
      <c r="K14" s="42"/>
    </row>
    <row r="15" spans="1:11" ht="15.6">
      <c r="A15" s="31"/>
      <c r="B15" s="32"/>
      <c r="C15" s="12"/>
      <c r="D15" s="19"/>
      <c r="E15" s="19" t="str">
        <f t="shared" si="0"/>
        <v/>
      </c>
      <c r="F15" s="20" t="str">
        <f t="shared" si="3"/>
        <v/>
      </c>
      <c r="G15" s="21"/>
      <c r="H15" s="21" t="str">
        <f t="shared" si="1"/>
        <v/>
      </c>
      <c r="I15" s="20" t="str">
        <f t="shared" si="2"/>
        <v/>
      </c>
      <c r="J15" s="43"/>
      <c r="K15" s="44"/>
    </row>
    <row r="16" spans="1:11" ht="15.6">
      <c r="A16" s="29"/>
      <c r="B16" s="30"/>
      <c r="C16" s="25"/>
      <c r="D16" s="14"/>
      <c r="E16" s="14" t="str">
        <f t="shared" si="0"/>
        <v/>
      </c>
      <c r="F16" s="15" t="str">
        <f t="shared" si="3"/>
        <v/>
      </c>
      <c r="G16" s="16"/>
      <c r="H16" s="16" t="str">
        <f t="shared" si="1"/>
        <v/>
      </c>
      <c r="I16" s="17" t="str">
        <f t="shared" si="2"/>
        <v/>
      </c>
      <c r="J16" s="42"/>
      <c r="K16" s="42"/>
    </row>
    <row r="17" spans="1:11" ht="15.6">
      <c r="A17" s="31"/>
      <c r="B17" s="32"/>
      <c r="C17" s="12"/>
      <c r="D17" s="19"/>
      <c r="E17" s="19" t="str">
        <f t="shared" si="0"/>
        <v/>
      </c>
      <c r="F17" s="20" t="str">
        <f t="shared" si="3"/>
        <v/>
      </c>
      <c r="G17" s="21"/>
      <c r="H17" s="21" t="str">
        <f t="shared" si="1"/>
        <v/>
      </c>
      <c r="I17" s="20" t="str">
        <f t="shared" si="2"/>
        <v/>
      </c>
      <c r="J17" s="43"/>
      <c r="K17" s="44"/>
    </row>
    <row r="18" spans="1:11" ht="12.75" customHeight="1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conditionalFormatting sqref="F4:F100 I4:I100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Ecofin</v>
      </c>
      <c r="B1" s="49"/>
      <c r="C1" s="49"/>
      <c r="D1" s="50" t="s">
        <v>42</v>
      </c>
      <c r="E1" s="50"/>
      <c r="F1" s="50"/>
      <c r="G1" s="48" t="s">
        <v>43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1" ht="15.6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1" ht="15.6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1" ht="15.6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1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1" ht="15.6">
      <c r="A9" s="31"/>
      <c r="B9" s="32"/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3"/>
      <c r="K9" s="44"/>
    </row>
    <row r="10" spans="1:11" ht="15.6">
      <c r="A10" s="29"/>
      <c r="B10" s="30"/>
      <c r="C10" s="25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42"/>
      <c r="K10" s="42"/>
    </row>
    <row r="11" spans="1:11" ht="15.6">
      <c r="A11" s="31"/>
      <c r="B11" s="32"/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43"/>
      <c r="K11" s="44"/>
    </row>
    <row r="12" spans="1:11" ht="15.6">
      <c r="A12" s="29"/>
      <c r="B12" s="30"/>
      <c r="C12" s="25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42"/>
      <c r="K12" s="42"/>
    </row>
    <row r="13" spans="1:11" ht="15.6">
      <c r="A13" s="31"/>
      <c r="B13" s="32"/>
      <c r="C13" s="12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43"/>
      <c r="K13" s="44"/>
    </row>
    <row r="14" spans="1:11" ht="15.6">
      <c r="A14" s="29"/>
      <c r="B14" s="30"/>
      <c r="C14" s="25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42"/>
      <c r="K14" s="42"/>
    </row>
    <row r="15" spans="1:11" ht="15.6">
      <c r="A15" s="31"/>
      <c r="B15" s="32"/>
      <c r="C15" s="12"/>
      <c r="D15" s="19"/>
      <c r="E15" s="19" t="str">
        <f t="shared" si="0"/>
        <v/>
      </c>
      <c r="F15" s="20" t="str">
        <f t="shared" si="3"/>
        <v/>
      </c>
      <c r="G15" s="21"/>
      <c r="H15" s="21" t="str">
        <f t="shared" si="1"/>
        <v/>
      </c>
      <c r="I15" s="20" t="str">
        <f t="shared" si="2"/>
        <v/>
      </c>
      <c r="J15" s="43"/>
      <c r="K15" s="44"/>
    </row>
    <row r="16" spans="1:11" ht="15.6">
      <c r="A16" s="29"/>
      <c r="B16" s="30"/>
      <c r="C16" s="25"/>
      <c r="D16" s="14"/>
      <c r="E16" s="14" t="str">
        <f t="shared" si="0"/>
        <v/>
      </c>
      <c r="F16" s="15" t="str">
        <f t="shared" si="3"/>
        <v/>
      </c>
      <c r="G16" s="16"/>
      <c r="H16" s="16" t="str">
        <f t="shared" si="1"/>
        <v/>
      </c>
      <c r="I16" s="17" t="str">
        <f t="shared" si="2"/>
        <v/>
      </c>
      <c r="J16" s="42"/>
      <c r="K16" s="42"/>
    </row>
    <row r="17" spans="1:11" ht="15.6">
      <c r="A17" s="31"/>
      <c r="B17" s="32"/>
      <c r="C17" s="12"/>
      <c r="D17" s="19"/>
      <c r="E17" s="19" t="str">
        <f t="shared" si="0"/>
        <v/>
      </c>
      <c r="F17" s="20" t="str">
        <f t="shared" si="3"/>
        <v/>
      </c>
      <c r="G17" s="21"/>
      <c r="H17" s="21" t="str">
        <f t="shared" si="1"/>
        <v/>
      </c>
      <c r="I17" s="20" t="str">
        <f t="shared" si="2"/>
        <v/>
      </c>
      <c r="J17" s="43"/>
      <c r="K17" s="44"/>
    </row>
    <row r="18" spans="1:11" ht="12.75" customHeight="1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conditionalFormatting sqref="F4:F100 I4:I100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Ecofin</v>
      </c>
      <c r="B1" s="49"/>
      <c r="C1" s="49"/>
      <c r="D1" s="50" t="s">
        <v>44</v>
      </c>
      <c r="E1" s="50"/>
      <c r="F1" s="50"/>
      <c r="G1" s="48" t="s">
        <v>45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1" ht="15.6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1" ht="15.6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1" ht="15.6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1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1" ht="15.6">
      <c r="A9" s="31"/>
      <c r="B9" s="32"/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3"/>
      <c r="K9" s="44"/>
    </row>
    <row r="10" spans="1:11" ht="15.6">
      <c r="A10" s="29"/>
      <c r="B10" s="30"/>
      <c r="C10" s="25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42"/>
      <c r="K10" s="42"/>
    </row>
    <row r="11" spans="1:11" ht="15.6">
      <c r="A11" s="31"/>
      <c r="B11" s="32"/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43"/>
      <c r="K11" s="44"/>
    </row>
    <row r="12" spans="1:11" ht="15.6">
      <c r="A12" s="29"/>
      <c r="B12" s="30"/>
      <c r="C12" s="25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42"/>
      <c r="K12" s="42"/>
    </row>
    <row r="13" spans="1:11" ht="15.6">
      <c r="A13" s="31"/>
      <c r="B13" s="32"/>
      <c r="C13" s="12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43"/>
      <c r="K13" s="44"/>
    </row>
    <row r="14" spans="1:11" ht="15.6">
      <c r="A14" s="29"/>
      <c r="B14" s="30"/>
      <c r="C14" s="25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42"/>
      <c r="K14" s="42"/>
    </row>
    <row r="15" spans="1:11" ht="15.6">
      <c r="A15" s="31"/>
      <c r="B15" s="32"/>
      <c r="C15" s="12"/>
      <c r="D15" s="19"/>
      <c r="E15" s="19" t="str">
        <f t="shared" si="0"/>
        <v/>
      </c>
      <c r="F15" s="20" t="str">
        <f t="shared" si="3"/>
        <v/>
      </c>
      <c r="G15" s="21"/>
      <c r="H15" s="21" t="str">
        <f t="shared" si="1"/>
        <v/>
      </c>
      <c r="I15" s="20" t="str">
        <f t="shared" si="2"/>
        <v/>
      </c>
      <c r="J15" s="43"/>
      <c r="K15" s="44"/>
    </row>
    <row r="16" spans="1:11" ht="15.6">
      <c r="A16" s="29"/>
      <c r="B16" s="30"/>
      <c r="C16" s="25"/>
      <c r="D16" s="14"/>
      <c r="E16" s="14" t="str">
        <f t="shared" si="0"/>
        <v/>
      </c>
      <c r="F16" s="15" t="str">
        <f t="shared" si="3"/>
        <v/>
      </c>
      <c r="G16" s="16"/>
      <c r="H16" s="16" t="str">
        <f t="shared" si="1"/>
        <v/>
      </c>
      <c r="I16" s="17" t="str">
        <f t="shared" si="2"/>
        <v/>
      </c>
      <c r="J16" s="42"/>
      <c r="K16" s="42"/>
    </row>
    <row r="17" spans="1:11" ht="15.6">
      <c r="A17" s="31"/>
      <c r="B17" s="32"/>
      <c r="C17" s="12"/>
      <c r="D17" s="19"/>
      <c r="E17" s="19" t="str">
        <f t="shared" si="0"/>
        <v/>
      </c>
      <c r="F17" s="20" t="str">
        <f t="shared" si="3"/>
        <v/>
      </c>
      <c r="G17" s="21"/>
      <c r="H17" s="21" t="str">
        <f t="shared" si="1"/>
        <v/>
      </c>
      <c r="I17" s="20" t="str">
        <f t="shared" si="2"/>
        <v/>
      </c>
      <c r="J17" s="43"/>
      <c r="K17" s="44"/>
    </row>
    <row r="18" spans="1:11" ht="12.75" customHeight="1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100 I4:I100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Ecofin</v>
      </c>
      <c r="B1" s="49"/>
      <c r="C1" s="49"/>
      <c r="D1" s="50" t="s">
        <v>46</v>
      </c>
      <c r="E1" s="50"/>
      <c r="F1" s="50"/>
      <c r="G1" s="48" t="s">
        <v>47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1" ht="15.6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1" ht="15.6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1" ht="15.6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1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1" ht="15.6">
      <c r="A9" s="31"/>
      <c r="B9" s="32"/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3"/>
      <c r="K9" s="44"/>
    </row>
    <row r="10" spans="1:11" ht="15.6">
      <c r="A10" s="29"/>
      <c r="B10" s="30"/>
      <c r="C10" s="25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42"/>
      <c r="K10" s="42"/>
    </row>
    <row r="11" spans="1:11" ht="15.6">
      <c r="A11" s="31"/>
      <c r="B11" s="32"/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43"/>
      <c r="K11" s="44"/>
    </row>
    <row r="12" spans="1:11" ht="15.6">
      <c r="A12" s="29"/>
      <c r="B12" s="30"/>
      <c r="C12" s="25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42"/>
      <c r="K12" s="42"/>
    </row>
    <row r="13" spans="1:11" ht="15.6">
      <c r="A13" s="31"/>
      <c r="B13" s="32"/>
      <c r="C13" s="12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43"/>
      <c r="K13" s="44"/>
    </row>
    <row r="14" spans="1:11" ht="15.6">
      <c r="A14" s="29"/>
      <c r="B14" s="30"/>
      <c r="C14" s="25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42"/>
      <c r="K14" s="42"/>
    </row>
    <row r="15" spans="1:11" ht="15.6">
      <c r="A15" s="31"/>
      <c r="B15" s="32"/>
      <c r="C15" s="12"/>
      <c r="D15" s="19"/>
      <c r="E15" s="19" t="str">
        <f t="shared" si="0"/>
        <v/>
      </c>
      <c r="F15" s="20" t="str">
        <f t="shared" si="3"/>
        <v/>
      </c>
      <c r="G15" s="21"/>
      <c r="H15" s="21" t="str">
        <f t="shared" si="1"/>
        <v/>
      </c>
      <c r="I15" s="20" t="str">
        <f t="shared" si="2"/>
        <v/>
      </c>
      <c r="J15" s="43"/>
      <c r="K15" s="44"/>
    </row>
    <row r="16" spans="1:11" ht="15.6">
      <c r="A16" s="29"/>
      <c r="B16" s="30"/>
      <c r="C16" s="25"/>
      <c r="D16" s="14"/>
      <c r="E16" s="14" t="str">
        <f t="shared" si="0"/>
        <v/>
      </c>
      <c r="F16" s="15" t="str">
        <f t="shared" si="3"/>
        <v/>
      </c>
      <c r="G16" s="16"/>
      <c r="H16" s="16" t="str">
        <f t="shared" si="1"/>
        <v/>
      </c>
      <c r="I16" s="17" t="str">
        <f t="shared" si="2"/>
        <v/>
      </c>
      <c r="J16" s="42"/>
      <c r="K16" s="42"/>
    </row>
    <row r="17" spans="1:11" ht="15.6">
      <c r="A17" s="31"/>
      <c r="B17" s="32"/>
      <c r="C17" s="12"/>
      <c r="D17" s="19"/>
      <c r="E17" s="19" t="str">
        <f t="shared" si="0"/>
        <v/>
      </c>
      <c r="F17" s="20" t="str">
        <f t="shared" si="3"/>
        <v/>
      </c>
      <c r="G17" s="21"/>
      <c r="H17" s="21" t="str">
        <f t="shared" si="1"/>
        <v/>
      </c>
      <c r="I17" s="20" t="str">
        <f t="shared" si="2"/>
        <v/>
      </c>
      <c r="J17" s="43"/>
      <c r="K17" s="44"/>
    </row>
    <row r="18" spans="1:11" ht="12.75" customHeight="1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100 I4:I10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Ecofin</v>
      </c>
      <c r="B1" s="49"/>
      <c r="C1" s="49"/>
      <c r="D1" s="50" t="s">
        <v>48</v>
      </c>
      <c r="E1" s="50"/>
      <c r="F1" s="50"/>
      <c r="G1" s="48" t="s">
        <v>49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1" ht="15.6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1" ht="15.6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1" ht="15.6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1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1" ht="15.6">
      <c r="A9" s="31"/>
      <c r="B9" s="32"/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3"/>
      <c r="K9" s="44"/>
    </row>
    <row r="10" spans="1:11" ht="15.6">
      <c r="A10" s="29"/>
      <c r="B10" s="30"/>
      <c r="C10" s="25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42"/>
      <c r="K10" s="42"/>
    </row>
    <row r="11" spans="1:11" ht="15.6">
      <c r="A11" s="31"/>
      <c r="B11" s="32"/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43"/>
      <c r="K11" s="44"/>
    </row>
    <row r="12" spans="1:11" ht="15.6">
      <c r="A12" s="29"/>
      <c r="B12" s="30"/>
      <c r="C12" s="25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42"/>
      <c r="K12" s="42"/>
    </row>
    <row r="13" spans="1:11" ht="15.6">
      <c r="A13" s="31"/>
      <c r="B13" s="32"/>
      <c r="C13" s="12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43"/>
      <c r="K13" s="44"/>
    </row>
    <row r="14" spans="1:11" ht="15.6">
      <c r="A14" s="29"/>
      <c r="B14" s="30"/>
      <c r="C14" s="25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42"/>
      <c r="K14" s="42"/>
    </row>
    <row r="15" spans="1:11" ht="15.6">
      <c r="A15" s="31"/>
      <c r="B15" s="32"/>
      <c r="C15" s="12"/>
      <c r="D15" s="19"/>
      <c r="E15" s="19" t="str">
        <f t="shared" si="0"/>
        <v/>
      </c>
      <c r="F15" s="20" t="str">
        <f t="shared" si="3"/>
        <v/>
      </c>
      <c r="G15" s="21"/>
      <c r="H15" s="21" t="str">
        <f t="shared" si="1"/>
        <v/>
      </c>
      <c r="I15" s="20" t="str">
        <f t="shared" si="2"/>
        <v/>
      </c>
      <c r="J15" s="43"/>
      <c r="K15" s="44"/>
    </row>
    <row r="16" spans="1:11" ht="15.6">
      <c r="A16" s="29"/>
      <c r="B16" s="30"/>
      <c r="C16" s="25"/>
      <c r="D16" s="14"/>
      <c r="E16" s="14" t="str">
        <f t="shared" si="0"/>
        <v/>
      </c>
      <c r="F16" s="15" t="str">
        <f t="shared" si="3"/>
        <v/>
      </c>
      <c r="G16" s="16"/>
      <c r="H16" s="16" t="str">
        <f t="shared" si="1"/>
        <v/>
      </c>
      <c r="I16" s="17" t="str">
        <f t="shared" si="2"/>
        <v/>
      </c>
      <c r="J16" s="42"/>
      <c r="K16" s="42"/>
    </row>
    <row r="17" spans="1:11" ht="15.6">
      <c r="A17" s="31"/>
      <c r="B17" s="32"/>
      <c r="C17" s="12"/>
      <c r="D17" s="19"/>
      <c r="E17" s="19" t="str">
        <f t="shared" si="0"/>
        <v/>
      </c>
      <c r="F17" s="20" t="str">
        <f t="shared" si="3"/>
        <v/>
      </c>
      <c r="G17" s="21"/>
      <c r="H17" s="21" t="str">
        <f t="shared" si="1"/>
        <v/>
      </c>
      <c r="I17" s="20" t="str">
        <f t="shared" si="2"/>
        <v/>
      </c>
      <c r="J17" s="43"/>
      <c r="K17" s="44"/>
    </row>
    <row r="18" spans="1:11" ht="12.75" customHeight="1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4:F100 I4:I100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Ecofin</v>
      </c>
      <c r="B1" s="49"/>
      <c r="C1" s="49"/>
      <c r="D1" s="50" t="s">
        <v>50</v>
      </c>
      <c r="E1" s="50"/>
      <c r="F1" s="50"/>
      <c r="G1" s="48" t="s">
        <v>51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1" ht="15.6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1" ht="15.6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1" ht="15.6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1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1" ht="15.6">
      <c r="A9" s="31"/>
      <c r="B9" s="32"/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3"/>
      <c r="K9" s="44"/>
    </row>
    <row r="10" spans="1:11" ht="15.6">
      <c r="A10" s="29"/>
      <c r="B10" s="30"/>
      <c r="C10" s="25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42"/>
      <c r="K10" s="42"/>
    </row>
    <row r="11" spans="1:11" ht="15.6">
      <c r="A11" s="31"/>
      <c r="B11" s="32"/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43"/>
      <c r="K11" s="44"/>
    </row>
    <row r="12" spans="1:11" ht="15.6">
      <c r="A12" s="29"/>
      <c r="B12" s="30"/>
      <c r="C12" s="25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42"/>
      <c r="K12" s="42"/>
    </row>
    <row r="13" spans="1:11" ht="15.6">
      <c r="A13" s="31"/>
      <c r="B13" s="32"/>
      <c r="C13" s="12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43"/>
      <c r="K13" s="44"/>
    </row>
    <row r="14" spans="1:11" ht="15.6">
      <c r="A14" s="29"/>
      <c r="B14" s="30"/>
      <c r="C14" s="25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42"/>
      <c r="K14" s="42"/>
    </row>
    <row r="15" spans="1:11" ht="15.6">
      <c r="A15" s="31"/>
      <c r="B15" s="32"/>
      <c r="C15" s="12"/>
      <c r="D15" s="19"/>
      <c r="E15" s="19" t="str">
        <f t="shared" si="0"/>
        <v/>
      </c>
      <c r="F15" s="20" t="str">
        <f t="shared" si="3"/>
        <v/>
      </c>
      <c r="G15" s="21"/>
      <c r="H15" s="21" t="str">
        <f t="shared" si="1"/>
        <v/>
      </c>
      <c r="I15" s="20" t="str">
        <f t="shared" si="2"/>
        <v/>
      </c>
      <c r="J15" s="43"/>
      <c r="K15" s="44"/>
    </row>
    <row r="16" spans="1:11" ht="15.6">
      <c r="A16" s="29"/>
      <c r="B16" s="30"/>
      <c r="C16" s="25"/>
      <c r="D16" s="14"/>
      <c r="E16" s="14" t="str">
        <f t="shared" si="0"/>
        <v/>
      </c>
      <c r="F16" s="15" t="str">
        <f t="shared" si="3"/>
        <v/>
      </c>
      <c r="G16" s="16"/>
      <c r="H16" s="16" t="str">
        <f t="shared" si="1"/>
        <v/>
      </c>
      <c r="I16" s="17" t="str">
        <f t="shared" si="2"/>
        <v/>
      </c>
      <c r="J16" s="42"/>
      <c r="K16" s="42"/>
    </row>
    <row r="17" spans="1:11" ht="15.6">
      <c r="A17" s="31"/>
      <c r="B17" s="32"/>
      <c r="C17" s="12"/>
      <c r="D17" s="19"/>
      <c r="E17" s="19" t="str">
        <f t="shared" si="0"/>
        <v/>
      </c>
      <c r="F17" s="20" t="str">
        <f t="shared" si="3"/>
        <v/>
      </c>
      <c r="G17" s="21"/>
      <c r="H17" s="21" t="str">
        <f t="shared" si="1"/>
        <v/>
      </c>
      <c r="I17" s="20" t="str">
        <f t="shared" si="2"/>
        <v/>
      </c>
      <c r="J17" s="43"/>
      <c r="K17" s="44"/>
    </row>
    <row r="18" spans="1:11" ht="12.75" customHeight="1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00 I4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Ecofin</v>
      </c>
      <c r="B1" s="49"/>
      <c r="C1" s="49"/>
      <c r="D1" s="50" t="s">
        <v>52</v>
      </c>
      <c r="E1" s="50"/>
      <c r="F1" s="50"/>
      <c r="G1" s="48" t="s">
        <v>53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1" ht="15.6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1" ht="15.6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1" ht="15.6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1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1" ht="15.6">
      <c r="A9" s="31"/>
      <c r="B9" s="32"/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3"/>
      <c r="K9" s="44"/>
    </row>
    <row r="10" spans="1:11" ht="15.6">
      <c r="A10" s="29"/>
      <c r="B10" s="30"/>
      <c r="C10" s="25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42"/>
      <c r="K10" s="42"/>
    </row>
    <row r="11" spans="1:11" ht="15.6">
      <c r="A11" s="31"/>
      <c r="B11" s="32"/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43"/>
      <c r="K11" s="44"/>
    </row>
    <row r="12" spans="1:11" ht="15.6">
      <c r="A12" s="29"/>
      <c r="B12" s="30"/>
      <c r="C12" s="25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42"/>
      <c r="K12" s="42"/>
    </row>
    <row r="13" spans="1:11" ht="15.6">
      <c r="A13" s="31"/>
      <c r="B13" s="32"/>
      <c r="C13" s="12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43"/>
      <c r="K13" s="44"/>
    </row>
    <row r="14" spans="1:11" ht="15.6">
      <c r="A14" s="29"/>
      <c r="B14" s="30"/>
      <c r="C14" s="25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42"/>
      <c r="K14" s="42"/>
    </row>
    <row r="15" spans="1:11" ht="15.6">
      <c r="A15" s="31"/>
      <c r="B15" s="32"/>
      <c r="C15" s="12"/>
      <c r="D15" s="19"/>
      <c r="E15" s="19" t="str">
        <f t="shared" si="0"/>
        <v/>
      </c>
      <c r="F15" s="20" t="str">
        <f t="shared" si="3"/>
        <v/>
      </c>
      <c r="G15" s="21"/>
      <c r="H15" s="21" t="str">
        <f t="shared" si="1"/>
        <v/>
      </c>
      <c r="I15" s="20" t="str">
        <f t="shared" si="2"/>
        <v/>
      </c>
      <c r="J15" s="43"/>
      <c r="K15" s="44"/>
    </row>
    <row r="16" spans="1:11" ht="15.6">
      <c r="A16" s="29"/>
      <c r="B16" s="30"/>
      <c r="C16" s="25"/>
      <c r="D16" s="14"/>
      <c r="E16" s="14" t="str">
        <f t="shared" si="0"/>
        <v/>
      </c>
      <c r="F16" s="15" t="str">
        <f t="shared" si="3"/>
        <v/>
      </c>
      <c r="G16" s="16"/>
      <c r="H16" s="16" t="str">
        <f t="shared" si="1"/>
        <v/>
      </c>
      <c r="I16" s="17" t="str">
        <f t="shared" si="2"/>
        <v/>
      </c>
      <c r="J16" s="42"/>
      <c r="K16" s="42"/>
    </row>
    <row r="17" spans="1:11" ht="15.6">
      <c r="A17" s="31"/>
      <c r="B17" s="32"/>
      <c r="C17" s="12"/>
      <c r="D17" s="19"/>
      <c r="E17" s="19" t="str">
        <f t="shared" si="0"/>
        <v/>
      </c>
      <c r="F17" s="20" t="str">
        <f t="shared" si="3"/>
        <v/>
      </c>
      <c r="G17" s="21"/>
      <c r="H17" s="21" t="str">
        <f t="shared" si="1"/>
        <v/>
      </c>
      <c r="I17" s="20" t="str">
        <f t="shared" si="2"/>
        <v/>
      </c>
      <c r="J17" s="43"/>
      <c r="K17" s="44"/>
    </row>
    <row r="18" spans="1:11" ht="12.75" customHeight="1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Ecofin</v>
      </c>
      <c r="B1" s="49"/>
      <c r="C1" s="49"/>
      <c r="D1" s="50" t="s">
        <v>54</v>
      </c>
      <c r="E1" s="50"/>
      <c r="F1" s="50"/>
      <c r="G1" s="48" t="s">
        <v>55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1" ht="15.6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1" ht="15.6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1" ht="15.6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1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1" ht="15.6">
      <c r="A9" s="31"/>
      <c r="B9" s="32"/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3"/>
      <c r="K9" s="44"/>
    </row>
    <row r="10" spans="1:11" ht="15.6">
      <c r="A10" s="29"/>
      <c r="B10" s="30"/>
      <c r="C10" s="25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42"/>
      <c r="K10" s="42"/>
    </row>
    <row r="11" spans="1:11" ht="15.6">
      <c r="A11" s="31"/>
      <c r="B11" s="32"/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43"/>
      <c r="K11" s="44"/>
    </row>
    <row r="12" spans="1:11" ht="15.6">
      <c r="A12" s="29"/>
      <c r="B12" s="30"/>
      <c r="C12" s="25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42"/>
      <c r="K12" s="42"/>
    </row>
    <row r="13" spans="1:11" ht="15.6">
      <c r="A13" s="31"/>
      <c r="B13" s="32"/>
      <c r="C13" s="12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43"/>
      <c r="K13" s="44"/>
    </row>
    <row r="14" spans="1:11" ht="15.6">
      <c r="A14" s="29"/>
      <c r="B14" s="30"/>
      <c r="C14" s="25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42"/>
      <c r="K14" s="42"/>
    </row>
    <row r="15" spans="1:11" ht="15.6">
      <c r="A15" s="31"/>
      <c r="B15" s="32"/>
      <c r="C15" s="12"/>
      <c r="D15" s="19"/>
      <c r="E15" s="19" t="str">
        <f t="shared" si="0"/>
        <v/>
      </c>
      <c r="F15" s="20" t="str">
        <f t="shared" si="3"/>
        <v/>
      </c>
      <c r="G15" s="21"/>
      <c r="H15" s="21" t="str">
        <f t="shared" si="1"/>
        <v/>
      </c>
      <c r="I15" s="20" t="str">
        <f t="shared" si="2"/>
        <v/>
      </c>
      <c r="J15" s="43"/>
      <c r="K15" s="44"/>
    </row>
    <row r="16" spans="1:11" ht="15.6">
      <c r="A16" s="29"/>
      <c r="B16" s="30"/>
      <c r="C16" s="25"/>
      <c r="D16" s="14"/>
      <c r="E16" s="14" t="str">
        <f t="shared" si="0"/>
        <v/>
      </c>
      <c r="F16" s="15" t="str">
        <f t="shared" si="3"/>
        <v/>
      </c>
      <c r="G16" s="16"/>
      <c r="H16" s="16" t="str">
        <f t="shared" si="1"/>
        <v/>
      </c>
      <c r="I16" s="17" t="str">
        <f t="shared" si="2"/>
        <v/>
      </c>
      <c r="J16" s="42"/>
      <c r="K16" s="42"/>
    </row>
    <row r="17" spans="1:11" ht="15.6">
      <c r="A17" s="31"/>
      <c r="B17" s="32"/>
      <c r="C17" s="12"/>
      <c r="D17" s="19"/>
      <c r="E17" s="19" t="str">
        <f t="shared" si="0"/>
        <v/>
      </c>
      <c r="F17" s="20" t="str">
        <f t="shared" si="3"/>
        <v/>
      </c>
      <c r="G17" s="21"/>
      <c r="H17" s="21" t="str">
        <f t="shared" si="1"/>
        <v/>
      </c>
      <c r="I17" s="20" t="str">
        <f t="shared" si="2"/>
        <v/>
      </c>
      <c r="J17" s="43"/>
      <c r="K17" s="44"/>
    </row>
    <row r="18" spans="1:11" ht="12.75" customHeight="1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100 I4:I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8"/>
  <sheetViews>
    <sheetView workbookViewId="0">
      <pane ySplit="3" topLeftCell="A4" activePane="bottomLeft" state="frozen"/>
      <selection pane="bottomLeft" activeCell="A9" sqref="A9:XFD17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56</v>
      </c>
      <c r="B1" s="45" t="s">
        <v>57</v>
      </c>
    </row>
    <row r="3" spans="1:7" ht="13.15">
      <c r="A3" t="s">
        <v>58</v>
      </c>
      <c r="B3" t="s">
        <v>3</v>
      </c>
      <c r="C3" t="s">
        <v>4</v>
      </c>
      <c r="D3" t="s">
        <v>59</v>
      </c>
      <c r="E3" s="2" t="s">
        <v>60</v>
      </c>
    </row>
    <row r="4" spans="1:7" ht="14.45">
      <c r="A4" s="3" t="s">
        <v>61</v>
      </c>
      <c r="B4" t="s">
        <v>62</v>
      </c>
      <c r="C4" s="4" t="s">
        <v>63</v>
      </c>
      <c r="G4" s="3"/>
    </row>
    <row r="5" spans="1:7" ht="14.45">
      <c r="A5" s="3" t="s">
        <v>64</v>
      </c>
      <c r="B5" t="s">
        <v>65</v>
      </c>
      <c r="C5" s="4" t="s">
        <v>63</v>
      </c>
      <c r="G5" s="3"/>
    </row>
    <row r="6" spans="1:7" ht="14.45">
      <c r="A6" s="45" t="s">
        <v>66</v>
      </c>
      <c r="B6" t="s">
        <v>67</v>
      </c>
      <c r="C6" t="s">
        <v>63</v>
      </c>
      <c r="G6" s="3"/>
    </row>
    <row r="7" spans="1:7" ht="12.75" customHeight="1">
      <c r="A7" s="45" t="s">
        <v>68</v>
      </c>
      <c r="B7" t="s">
        <v>69</v>
      </c>
      <c r="C7" t="s">
        <v>63</v>
      </c>
    </row>
    <row r="8" spans="1:7" ht="12.75" customHeight="1">
      <c r="A8" s="4" t="s">
        <v>70</v>
      </c>
      <c r="B8" s="4" t="s">
        <v>71</v>
      </c>
      <c r="C8" s="4" t="s">
        <v>72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C0BCDC1E-6052-4E48-9BAF-94A40814E7C2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2024-04-07T04:58:54Z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