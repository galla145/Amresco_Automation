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Microsoft Teams Chat Files/"/>
    </mc:Choice>
  </mc:AlternateContent>
  <xr:revisionPtr revIDLastSave="13" documentId="13_ncr:1_{8D023F9B-5129-4D22-A3A0-0EAD8A4EA2B8}" xr6:coauthVersionLast="47" xr6:coauthVersionMax="47" xr10:uidLastSave="{7B50F633-E6AC-4958-ACA6-65917538CB66}"/>
  <bookViews>
    <workbookView minimized="1" xWindow="30210" yWindow="1395" windowWidth="17250" windowHeight="8865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2" l="1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C6" i="29"/>
  <c r="D5" i="29"/>
  <c r="C5" i="29"/>
  <c r="E5" i="29" s="1"/>
  <c r="F5" i="29" s="1"/>
  <c r="D4" i="29"/>
  <c r="D2" i="29" s="1"/>
  <c r="C4" i="29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E6" i="29" l="1"/>
  <c r="F6" i="29" s="1"/>
  <c r="H6" i="30"/>
  <c r="I6" i="30" s="1"/>
  <c r="D4" i="34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D2" i="34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E4" i="34" s="1"/>
  <c r="F4" i="34" s="1"/>
  <c r="H5" i="18"/>
  <c r="I5" i="18" s="1"/>
  <c r="H6" i="34"/>
  <c r="I6" i="34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<sst xmlns="http://schemas.openxmlformats.org/spreadsheetml/2006/main" count="272" uniqueCount="68">
  <si>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</si>
  <si>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</si>
  <si>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</si>
  <si>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</si>
  <si>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</si>
  <si>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</si>
  <si>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</si>
  <si>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</si>
  <si>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</si>
  <si>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</si>
  <si>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</si>
  <si>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</si>
  <si>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</si>
  <si>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</si>
  <si>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</si>
  <si>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</si>
  <si>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</si>
  <si>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</si>
  <si>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</si>
  <si>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</si>
  <si>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</si>
  <si>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</si>
  <si>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tripped offline on 01/10/2024 at 01:31 &amp; back online at 08:45</t>
  </si>
  <si>
    <t>1.SR080111</t>
  </si>
  <si>
    <t xml:space="preserve">1. Site tripped offline on 01/09/2024 at 14:30 &amp; back online on 01/12/2024 at 17:00. 
2. Inverter 2 tripped offline on 01/24/2024 at 14:00 &amp; back online on 01/25 at 10:00 </t>
  </si>
  <si>
    <t>1. SR080100
2. SR080446</t>
  </si>
  <si>
    <t>1. Site came back online from 02/29/2024</t>
  </si>
  <si>
    <t>1. SR079012</t>
  </si>
  <si>
    <t>February Actual v. Expected</t>
  </si>
  <si>
    <t>February Actual v. Forecasted</t>
  </si>
  <si>
    <t>1. Site tripped offline 2 times on 02/27 due to battery &amp; SEL relay settings and got autoreclosed on same day.</t>
  </si>
  <si>
    <t>1. 	SR080479</t>
  </si>
  <si>
    <t>1. Site is underproducing due to broken modules. 23 modules being replaced</t>
  </si>
  <si>
    <t>1. 	SR079138,SR079012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</si>
  <si>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</si>
  <si>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</si>
  <si>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</si>
  <si>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</si>
  <si>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</si>
  <si>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</si>
  <si>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</si>
  <si>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</si>
  <si>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</si>
  <si>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</si>
  <si>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</si>
  <si>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</si>
  <si>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</si>
  <si>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</si>
  <si>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</si>
  <si>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</si>
  <si>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</si>
  <si>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</si>
  <si>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</si>
  <si>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</si>
  <si>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</si>
  <si>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</si>
  <si>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</si>
  <si>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</si>
  <si>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</si>
  <si>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</si>
  <si>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</si>
  <si>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</si>
  <si>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AEF</t>
  </si>
  <si>
    <t>PowerTrack</t>
  </si>
  <si>
    <t>Bullis</t>
  </si>
  <si>
    <t>NY</t>
  </si>
  <si>
    <t>Rock Island NY (Renew Prop)</t>
  </si>
  <si>
    <t>Rock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</si>
</sst>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A4" sqref="A4:I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Renewable Properties</v>
      </c>
      <c r="B1" s="66"/>
      <c r="C1" s="66"/>
      <c r="D1" s="67" t="s">
        <v>0</v>
      </c>
      <c r="E1" s="67"/>
      <c r="F1" s="67"/>
      <c r="G1" s="65" t="s">
        <v>1</v>
      </c>
      <c r="H1" s="65"/>
      <c r="I1" s="65"/>
    </row>
    <row r="2" spans="1:9" ht="19.5" customHeight="1">
      <c r="A2" s="68" t="s">
        <v>2</v>
      </c>
      <c r="B2" s="68"/>
      <c r="C2" s="5">
        <f>SUM(C4:C80)</f>
        <v>620876.25</v>
      </c>
      <c r="D2" s="5">
        <f>SUM(D4:D80)</f>
        <v>658668.56310000003</v>
      </c>
      <c r="E2" s="5">
        <f>C2-D2</f>
        <v>-37792.313100000028</v>
      </c>
      <c r="F2" s="6">
        <f>IFERROR(E2/D2, 0)</f>
        <v>-5.7376828373487052E-2</v>
      </c>
      <c r="G2" s="5">
        <f>SUM(G4:G80)</f>
        <v>1175971.98</v>
      </c>
      <c r="H2" s="7">
        <f>C2-G2</f>
        <v>-555095.73</v>
      </c>
      <c r="I2" s="6">
        <f>IFERROR(H2/G2, 0)</f>
        <v>-0.47203142544263682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32" t="str" cm="1">
        <f t="array" ref="A4:A6">Sites[Site]</f>
        <v>Cedar Swamp Rd</v>
      </c>
      <c r="B4" s="33" t="str" cm="1">
        <f t="array" ref="B4:B6">Sites[State]</f>
        <v>MA</v>
      </c>
      <c r="C4" s="34">
        <f>SUM('1st Qtr'!C4, '2nd Qtr'!C4, '3rd Qtr'!C4, '4th Qtr'!C4)</f>
        <v>120197.75</v>
      </c>
      <c r="D4" s="35">
        <f>SUM('1st Qtr'!D4, '2nd Qtr'!D4, '3rd Qtr'!D4, '4th Qtr'!D4)</f>
        <v>114231.26999999999</v>
      </c>
      <c r="E4" s="35">
        <f>IF(AND(ISNUMBER(C4),ISNUMBER(D4)), C4-D4, "")</f>
        <v>5966.4800000000105</v>
      </c>
      <c r="F4" s="36">
        <f>IFERROR(E4/D4, "")</f>
        <v>5.2231582472995454E-2</v>
      </c>
      <c r="G4" s="37">
        <f>SUM('1st Qtr'!G4, '2nd Qtr'!G4, '3rd Qtr'!G4, '4th Qtr'!G4)</f>
        <v>97185.58</v>
      </c>
      <c r="H4" s="37">
        <f>SUM('1st Qtr'!H4, '2nd Qtr'!H4, '3rd Qtr'!H4, '4th Qtr'!H4)</f>
        <v>23012.17</v>
      </c>
      <c r="I4" s="38">
        <f>IFERROR(H4/G4, "")</f>
        <v>0.23678584827090601</v>
      </c>
    </row>
    <row r="5" spans="1:9" ht="15.6">
      <c r="A5" s="39" t="str">
        <v>Bullis</v>
      </c>
      <c r="B5" s="40" t="str">
        <v>NY</v>
      </c>
      <c r="C5" s="41">
        <f>SUM(Jan!C5, Feb!C5, Mar!C5)</f>
        <v>500110</v>
      </c>
      <c r="D5" s="42">
        <f>SUM(Jan!D5, Feb!D5, Mar!D5)</f>
        <v>543626</v>
      </c>
      <c r="E5" s="42">
        <f t="shared" ref="E5:E6" si="0">IF(AND(ISNUMBER(C5),ISNUMBER(D5)), C5-D5, "")</f>
        <v>-43516</v>
      </c>
      <c r="F5" s="43">
        <f>IFERROR(E5/D5, "")</f>
        <v>-8.0047679838712638E-2</v>
      </c>
      <c r="G5" s="44">
        <f>SUM('1st Qtr'!G5, '2nd Qtr'!G5, '3rd Qtr'!G5, '4th Qtr'!G5)</f>
        <v>689031</v>
      </c>
      <c r="H5" s="44">
        <f>SUM(Jan!H5, Feb!H5, Mar!H5)</f>
        <v>-188921</v>
      </c>
      <c r="I5" s="43">
        <f>IFERROR(H5/G5, "")</f>
        <v>-0.2741835998670597</v>
      </c>
    </row>
    <row r="6" spans="1:9" ht="15.6">
      <c r="A6" s="32" t="str">
        <v>Rock Island</v>
      </c>
      <c r="B6" s="33" t="str">
        <v>NY</v>
      </c>
      <c r="C6" s="34">
        <f>SUM(Jan!C6, Feb!C6, Mar!C6)</f>
        <v>568.5</v>
      </c>
      <c r="D6" s="35">
        <f>SUM(Jan!D6, Feb!D6, Mar!D6)</f>
        <v>811.29309999999998</v>
      </c>
      <c r="E6" s="35">
        <f t="shared" si="0"/>
        <v>-242.79309999999998</v>
      </c>
      <c r="F6" s="36">
        <f t="shared" ref="F6" si="1">IFERROR(E6/D6, "")</f>
        <v>-0.29926681245039555</v>
      </c>
      <c r="G6" s="37">
        <f>SUM('1st Qtr'!G6, '2nd Qtr'!G6, '3rd Qtr'!G6, '4th Qtr'!G6)</f>
        <v>389755.4</v>
      </c>
      <c r="H6" s="37">
        <f>SUM(Jan!H6, Feb!H6, Mar!H6)</f>
        <v>-389186.9</v>
      </c>
      <c r="I6" s="38">
        <f t="shared" ref="I6" si="2">IFERROR(H6/G6, "")</f>
        <v>-0.99854139288384458</v>
      </c>
    </row>
    <row r="7" spans="1:9" ht="13.9">
      <c r="A7" s="14"/>
      <c r="B7" s="14"/>
      <c r="C7" s="14"/>
      <c r="D7" s="14"/>
      <c r="E7" s="14"/>
      <c r="F7" s="14"/>
      <c r="G7" s="14"/>
      <c r="H7" s="14"/>
      <c r="I7" s="14"/>
    </row>
    <row r="8" spans="1:9" ht="13.9">
      <c r="A8" s="14"/>
      <c r="B8" s="14"/>
      <c r="C8" s="14"/>
      <c r="D8" s="14"/>
      <c r="E8" s="14"/>
      <c r="F8" s="14"/>
      <c r="G8" s="14"/>
      <c r="H8" s="14"/>
      <c r="I8" s="14"/>
    </row>
    <row r="9" spans="1:9" ht="13.9">
      <c r="A9" s="14"/>
      <c r="B9" s="14"/>
      <c r="C9" s="14"/>
      <c r="D9" s="14"/>
      <c r="E9" s="14"/>
      <c r="F9" s="14"/>
      <c r="G9" s="14"/>
      <c r="H9" s="14"/>
      <c r="I9" s="14"/>
    </row>
    <row r="10" spans="1:9" ht="13.9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9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A4" sqref="A4:I6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Renewable Properties</v>
      </c>
      <c r="B1" s="66"/>
      <c r="C1" s="66"/>
      <c r="D1" s="67" t="s">
        <v>10</v>
      </c>
      <c r="E1" s="67"/>
      <c r="F1" s="67"/>
      <c r="G1" s="65" t="s">
        <v>11</v>
      </c>
      <c r="H1" s="65"/>
      <c r="I1" s="65"/>
    </row>
    <row r="2" spans="1:9" ht="19.5" customHeight="1">
      <c r="A2" s="68" t="s">
        <v>2</v>
      </c>
      <c r="B2" s="68"/>
      <c r="C2" s="5">
        <f>SUM(C4:C80)</f>
        <v>620876.25</v>
      </c>
      <c r="D2" s="5">
        <f>SUM(D4:D80)</f>
        <v>658668.56310000003</v>
      </c>
      <c r="E2" s="5">
        <f>C2-D2</f>
        <v>-37792.313100000028</v>
      </c>
      <c r="F2" s="6">
        <f>IFERROR(E2/D2, 0)</f>
        <v>-5.7376828373487052E-2</v>
      </c>
      <c r="G2" s="5">
        <f>SUM(G4:G80)</f>
        <v>1175971.98</v>
      </c>
      <c r="H2" s="7">
        <f>C2-G2</f>
        <v>-555095.73</v>
      </c>
      <c r="I2" s="6">
        <f>IFERROR(H2/G2, 0)</f>
        <v>-0.47203142544263682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SUM(Jan!C4, Feb!C4, Mar!C4)</f>
        <v>120197.75</v>
      </c>
      <c r="D4" s="35">
        <f>SUM(Jan!D4, Feb!D4, Mar!D4)</f>
        <v>114231.26999999999</v>
      </c>
      <c r="E4" s="35">
        <f>IF(AND(ISNUMBER(C4),ISNUMBER(D4)), C4-D4, "")</f>
        <v>5966.4800000000105</v>
      </c>
      <c r="F4" s="36">
        <f>IFERROR(E4/D4, "")</f>
        <v>5.2231582472995454E-2</v>
      </c>
      <c r="G4" s="37">
        <f>SUM(Jan!G4, Feb!G4, Mar!G4)</f>
        <v>97185.58</v>
      </c>
      <c r="H4" s="37">
        <f>SUM(Jan!H4, Feb!H4, Mar!H4)</f>
        <v>23012.17</v>
      </c>
      <c r="I4" s="38">
        <f>IFERROR(H4/G4, "")</f>
        <v>0.23678584827090601</v>
      </c>
    </row>
    <row r="5" spans="1:9" ht="15.6">
      <c r="A5" s="46" t="str">
        <v>Bullis</v>
      </c>
      <c r="B5" s="40" t="str">
        <v>NY</v>
      </c>
      <c r="C5" s="41">
        <f>SUM(Jan!C5, Feb!C5, Mar!C5)</f>
        <v>500110</v>
      </c>
      <c r="D5" s="42">
        <f>SUM(Jan!D5, Feb!D5, Mar!D5)</f>
        <v>543626</v>
      </c>
      <c r="E5" s="42">
        <f t="shared" ref="E5:E6" si="0">IF(AND(ISNUMBER(C5),ISNUMBER(D5)), C5-D5, "")</f>
        <v>-43516</v>
      </c>
      <c r="F5" s="43">
        <f>IFERROR(E5/D5, "")</f>
        <v>-8.0047679838712638E-2</v>
      </c>
      <c r="G5" s="44">
        <f>SUM(Jan!G5, Feb!G5, Mar!G5)</f>
        <v>689031</v>
      </c>
      <c r="H5" s="44">
        <f>SUM(Jan!H5, Feb!H5, Mar!H5)</f>
        <v>-188921</v>
      </c>
      <c r="I5" s="43">
        <f>IFERROR(H5/G5, "")</f>
        <v>-0.2741835998670597</v>
      </c>
    </row>
    <row r="6" spans="1:9" ht="15.6">
      <c r="A6" s="45" t="str">
        <v>Rock Island</v>
      </c>
      <c r="B6" s="33" t="str">
        <v>NY</v>
      </c>
      <c r="C6" s="34">
        <f>SUM(Jan!C6, Feb!C6, Mar!C6)</f>
        <v>568.5</v>
      </c>
      <c r="D6" s="35">
        <f>SUM(Jan!D6, Feb!D6, Mar!D6)</f>
        <v>811.29309999999998</v>
      </c>
      <c r="E6" s="35">
        <f t="shared" si="0"/>
        <v>-242.79309999999998</v>
      </c>
      <c r="F6" s="36">
        <f t="shared" ref="F6" si="1">IFERROR(E6/D6, "")</f>
        <v>-0.29926681245039555</v>
      </c>
      <c r="G6" s="37">
        <f>SUM(Jan!G6, Feb!G6, Mar!G6)</f>
        <v>389755.4</v>
      </c>
      <c r="H6" s="37">
        <f>SUM(Jan!H6, Feb!H6, Mar!H6)</f>
        <v>-389186.9</v>
      </c>
      <c r="I6" s="38">
        <f t="shared" ref="I6" si="2">IFERROR(H6/G6, "")</f>
        <v>-0.99854139288384458</v>
      </c>
    </row>
    <row r="7" spans="1:9" ht="13.9">
      <c r="A7" s="14"/>
      <c r="B7" s="14"/>
      <c r="C7" s="14"/>
      <c r="D7" s="14"/>
      <c r="E7" s="14"/>
      <c r="F7" s="14"/>
      <c r="G7" s="14"/>
      <c r="H7" s="14"/>
      <c r="I7" s="14"/>
    </row>
    <row r="8" spans="1:9" ht="13.9">
      <c r="A8" s="14"/>
      <c r="B8" s="14"/>
      <c r="C8" s="14"/>
      <c r="D8" s="14"/>
      <c r="E8" s="14"/>
      <c r="F8" s="14"/>
      <c r="G8" s="14"/>
      <c r="H8" s="14"/>
      <c r="I8" s="14"/>
    </row>
    <row r="9" spans="1:9" ht="13.9">
      <c r="A9" s="14"/>
      <c r="B9" s="14"/>
      <c r="C9" s="14"/>
      <c r="D9" s="14"/>
      <c r="E9" s="14"/>
      <c r="F9" s="14"/>
      <c r="G9" s="14"/>
      <c r="H9" s="14"/>
      <c r="I9" s="14"/>
    </row>
    <row r="10" spans="1:9" ht="13.9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9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13" activePane="bottomRight" state="frozen"/>
      <selection pane="bottomRight" activeCell="A4" sqref="A4:I6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Renewable Properties</v>
      </c>
      <c r="B1" s="66"/>
      <c r="C1" s="66"/>
      <c r="D1" s="67" t="s">
        <v>12</v>
      </c>
      <c r="E1" s="67"/>
      <c r="F1" s="67"/>
      <c r="G1" s="65" t="s">
        <v>13</v>
      </c>
      <c r="H1" s="65"/>
      <c r="I1" s="65"/>
    </row>
    <row r="2" spans="1:9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SUM(Apr!C4, May!C4, Jun!C4)</f>
        <v>0</v>
      </c>
      <c r="D4" s="35">
        <f>SUM(Apr!D4, May!D4, Jun!D4)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SUM(Apr!H4, May!H4, Jun!H4)</f>
        <v>0</v>
      </c>
      <c r="I4" s="38" t="str">
        <f>IFERROR(H4/G4, "")</f>
        <v/>
      </c>
    </row>
    <row r="5" spans="1:9" ht="15.6">
      <c r="A5" s="46" t="str">
        <v>Bullis</v>
      </c>
      <c r="B5" s="40" t="str">
        <v>NY</v>
      </c>
      <c r="C5" s="41">
        <f>SUM(Apr!C5, May!C5, Jun!C5)</f>
        <v>0</v>
      </c>
      <c r="D5" s="42">
        <f>SUM(Apr!D5, May!D5, Jun!D5)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SUM(Apr!H5, May!H5, Jun!H5)</f>
        <v>0</v>
      </c>
      <c r="I5" s="43" t="str">
        <f>IFERROR(H5/G5, "")</f>
        <v/>
      </c>
    </row>
    <row r="6" spans="1:9" ht="15.6">
      <c r="A6" s="45" t="str">
        <v>Rock Island</v>
      </c>
      <c r="B6" s="33" t="str">
        <v>NY</v>
      </c>
      <c r="C6" s="34">
        <f>SUM(Apr!C6, May!C6, Jun!C6)</f>
        <v>0</v>
      </c>
      <c r="D6" s="35">
        <f>SUM(Apr!D6, May!D6, Jun!D6)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SUM(Apr!H6, May!H6, Jun!H6)</f>
        <v>0</v>
      </c>
      <c r="I6" s="38" t="str">
        <f t="shared" ref="I6" si="2">IFERROR(H6/G6, "")</f>
        <v/>
      </c>
    </row>
    <row r="7" spans="1:9" ht="13.9">
      <c r="A7" s="14"/>
      <c r="B7" s="14"/>
      <c r="C7" s="14"/>
      <c r="D7" s="14"/>
      <c r="E7" s="14"/>
      <c r="F7" s="14"/>
      <c r="G7" s="14"/>
      <c r="H7" s="14"/>
      <c r="I7" s="14"/>
    </row>
    <row r="8" spans="1:9" ht="13.9">
      <c r="A8" s="14"/>
      <c r="B8" s="14"/>
      <c r="C8" s="14"/>
      <c r="D8" s="14"/>
      <c r="E8" s="14"/>
      <c r="F8" s="14"/>
      <c r="G8" s="14"/>
      <c r="H8" s="14"/>
      <c r="I8" s="14"/>
    </row>
    <row r="9" spans="1:9" ht="13.9">
      <c r="A9" s="14"/>
      <c r="B9" s="14"/>
      <c r="C9" s="14"/>
      <c r="D9" s="14"/>
      <c r="E9" s="14"/>
      <c r="F9" s="14"/>
      <c r="G9" s="14"/>
      <c r="H9" s="14"/>
      <c r="I9" s="14"/>
    </row>
    <row r="10" spans="1:9" ht="13.9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9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A4" sqref="A4:I6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Renewable Properties</v>
      </c>
      <c r="B1" s="66"/>
      <c r="C1" s="66"/>
      <c r="D1" s="67" t="s">
        <v>14</v>
      </c>
      <c r="E1" s="67"/>
      <c r="F1" s="67"/>
      <c r="G1" s="65" t="s">
        <v>15</v>
      </c>
      <c r="H1" s="65"/>
      <c r="I1" s="65"/>
    </row>
    <row r="2" spans="1:9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SUM(Jul!C4, Aug!C4, Sep!C4)</f>
        <v>0</v>
      </c>
      <c r="D4" s="35">
        <f>SUM(Jul!D4, Aug!D4, Sep!D4)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SUM(Jul!H4, Aug!H4, Sep!H4)</f>
        <v>0</v>
      </c>
      <c r="I4" s="38" t="str">
        <f>IFERROR(H4/G4, "")</f>
        <v/>
      </c>
    </row>
    <row r="5" spans="1:9" ht="15.6">
      <c r="A5" s="46" t="str">
        <v>Bullis</v>
      </c>
      <c r="B5" s="40" t="str">
        <v>NY</v>
      </c>
      <c r="C5" s="41">
        <f>SUM(Jul!C5, Aug!C5, Sep!C5)</f>
        <v>0</v>
      </c>
      <c r="D5" s="42">
        <f>SUM(Jul!D5, Aug!D5, Sep!D5)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SUM(Jul!H5, Aug!H5, Sep!H5)</f>
        <v>0</v>
      </c>
      <c r="I5" s="43" t="str">
        <f>IFERROR(H5/G5, "")</f>
        <v/>
      </c>
    </row>
    <row r="6" spans="1:9" ht="15.6">
      <c r="A6" s="45" t="str">
        <v>Rock Island</v>
      </c>
      <c r="B6" s="33" t="str">
        <v>NY</v>
      </c>
      <c r="C6" s="34">
        <f>SUM(Jul!C6, Aug!C6, Sep!C6)</f>
        <v>0</v>
      </c>
      <c r="D6" s="35">
        <f>SUM(Jul!D6, Aug!D6, Sep!D6)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SUM(Jul!H6, Aug!H6, Sep!H6)</f>
        <v>0</v>
      </c>
      <c r="I6" s="38" t="str">
        <f t="shared" ref="I6" si="2">IFERROR(H6/G6, "")</f>
        <v/>
      </c>
    </row>
    <row r="7" spans="1:9" ht="15.6">
      <c r="A7" s="10"/>
      <c r="B7" s="14"/>
      <c r="C7" s="14"/>
      <c r="D7" s="14"/>
      <c r="E7" s="14"/>
      <c r="F7" s="14"/>
      <c r="G7" s="14"/>
      <c r="H7" s="14"/>
      <c r="I7" s="14"/>
    </row>
    <row r="8" spans="1:9" ht="15.6">
      <c r="A8" s="10"/>
      <c r="B8" s="14"/>
      <c r="C8" s="14"/>
      <c r="D8" s="14"/>
      <c r="E8" s="14"/>
      <c r="F8" s="14"/>
      <c r="G8" s="14"/>
      <c r="H8" s="14"/>
      <c r="I8" s="14"/>
    </row>
    <row r="9" spans="1:9" ht="15.6">
      <c r="A9" s="10"/>
      <c r="B9" s="14"/>
      <c r="C9" s="14"/>
      <c r="D9" s="14"/>
      <c r="E9" s="14"/>
      <c r="F9" s="14"/>
      <c r="G9" s="14"/>
      <c r="H9" s="14"/>
      <c r="I9" s="14"/>
    </row>
    <row r="10" spans="1:9" ht="15.6">
      <c r="A10" s="10"/>
      <c r="B10" s="14"/>
      <c r="C10" s="14"/>
      <c r="D10" s="14"/>
      <c r="E10" s="14"/>
      <c r="F10" s="14"/>
      <c r="G10" s="14"/>
      <c r="H10" s="14"/>
      <c r="I10" s="14"/>
    </row>
    <row r="11" spans="1:9" ht="15.6">
      <c r="A11" s="10"/>
      <c r="B11" s="14"/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A4" sqref="A4:I6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Renewable Properties</v>
      </c>
      <c r="B1" s="66"/>
      <c r="C1" s="66"/>
      <c r="D1" s="67" t="s">
        <v>16</v>
      </c>
      <c r="E1" s="67"/>
      <c r="F1" s="67"/>
      <c r="G1" s="65" t="s">
        <v>17</v>
      </c>
      <c r="H1" s="65"/>
      <c r="I1" s="65"/>
    </row>
    <row r="2" spans="1:9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5" t="str" cm="1">
        <f t="array" ref="A4:A6">Sites[Site]</f>
        <v>Cedar Swamp Rd</v>
      </c>
      <c r="B4" s="33" t="str" cm="1">
        <f t="array" ref="B4:B6">Sites[State]</f>
        <v>MA</v>
      </c>
      <c r="C4" s="34">
        <f>SUM(Oct!C4, Nov!C4, Dec!C4)</f>
        <v>0</v>
      </c>
      <c r="D4" s="35">
        <f>SUM(Oct!D4, Nov!D4, Dec!D4)</f>
        <v>0</v>
      </c>
      <c r="E4" s="35">
        <f>IF(AND(ISNUMBER(C4),ISNUMBER(D4)), C4-D4, "")</f>
        <v>0</v>
      </c>
      <c r="F4" s="36" t="str">
        <f>IFERROR(E4/D4, "")</f>
        <v/>
      </c>
      <c r="G4" s="37"/>
      <c r="H4" s="37">
        <f>SUM(Oct!H4, Nov!H4, Dec!H4)</f>
        <v>0</v>
      </c>
      <c r="I4" s="38" t="str">
        <f>IFERROR(H4/G4, "")</f>
        <v/>
      </c>
    </row>
    <row r="5" spans="1:9" ht="15.6">
      <c r="A5" s="46" t="str">
        <v>Bullis</v>
      </c>
      <c r="B5" s="40" t="str">
        <v>NY</v>
      </c>
      <c r="C5" s="41">
        <f>SUM(Oct!C5, Nov!C5, Dec!C5)</f>
        <v>0</v>
      </c>
      <c r="D5" s="42">
        <f>SUM(Oct!D5, Nov!D5, Dec!D5)</f>
        <v>0</v>
      </c>
      <c r="E5" s="42">
        <f t="shared" ref="E5:E6" si="0">IF(AND(ISNUMBER(C5),ISNUMBER(D5)), C5-D5, "")</f>
        <v>0</v>
      </c>
      <c r="F5" s="43" t="str">
        <f>IFERROR(E5/D5, "")</f>
        <v/>
      </c>
      <c r="G5" s="44"/>
      <c r="H5" s="44">
        <f>SUM(Oct!H5, Nov!H5, Dec!H5)</f>
        <v>0</v>
      </c>
      <c r="I5" s="43" t="str">
        <f>IFERROR(H5/G5, "")</f>
        <v/>
      </c>
    </row>
    <row r="6" spans="1:9" ht="15.6">
      <c r="A6" s="45" t="str">
        <v>Rock Island</v>
      </c>
      <c r="B6" s="33" t="str">
        <v>NY</v>
      </c>
      <c r="C6" s="34">
        <f>SUM(Oct!C6, Nov!C6, Dec!C6)</f>
        <v>0</v>
      </c>
      <c r="D6" s="35">
        <f>SUM(Oct!D6, Nov!D6, Dec!D6)</f>
        <v>0</v>
      </c>
      <c r="E6" s="35">
        <f t="shared" si="0"/>
        <v>0</v>
      </c>
      <c r="F6" s="36" t="str">
        <f t="shared" ref="F6" si="1">IFERROR(E6/D6, "")</f>
        <v/>
      </c>
      <c r="G6" s="37"/>
      <c r="H6" s="37">
        <f>SUM(Oct!H6, Nov!H6, Dec!H6)</f>
        <v>0</v>
      </c>
      <c r="I6" s="38" t="str">
        <f t="shared" ref="I6" si="2">IFERROR(H6/G6, "")</f>
        <v/>
      </c>
    </row>
    <row r="7" spans="1:9" ht="14.45">
      <c r="A7" s="14"/>
      <c r="B7" s="9"/>
      <c r="C7" s="28"/>
      <c r="D7" s="11"/>
      <c r="E7" s="11"/>
      <c r="F7" s="12"/>
      <c r="G7" s="13"/>
      <c r="H7" s="13"/>
      <c r="I7" s="12"/>
    </row>
    <row r="8" spans="1:9" ht="14.45">
      <c r="A8" s="14"/>
      <c r="B8" s="9"/>
      <c r="C8" s="28"/>
      <c r="D8" s="11"/>
      <c r="E8" s="11"/>
      <c r="F8" s="12"/>
      <c r="G8" s="13"/>
      <c r="H8" s="13"/>
      <c r="I8" s="12"/>
    </row>
    <row r="9" spans="1:9" ht="14.45">
      <c r="A9" s="14"/>
      <c r="B9" s="9"/>
      <c r="C9" s="28"/>
      <c r="D9" s="11"/>
      <c r="E9" s="11"/>
      <c r="F9" s="12"/>
      <c r="G9" s="13"/>
      <c r="H9" s="13"/>
      <c r="I9" s="12"/>
    </row>
    <row r="10" spans="1:9" ht="14.45">
      <c r="A10" s="14"/>
      <c r="B10" s="9"/>
      <c r="C10" s="28"/>
      <c r="D10" s="11"/>
      <c r="E10" s="11"/>
      <c r="F10" s="12"/>
      <c r="G10" s="13"/>
      <c r="H10" s="13"/>
      <c r="I10" s="12"/>
    </row>
    <row r="11" spans="1:9" ht="13.9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9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9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9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9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9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9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9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9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9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9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9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9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9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9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9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9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Renewable Properties</v>
      </c>
      <c r="B1" s="66"/>
      <c r="C1" s="66"/>
      <c r="D1" s="67" t="s">
        <v>18</v>
      </c>
      <c r="E1" s="67"/>
      <c r="F1" s="67"/>
      <c r="G1" s="65" t="s">
        <v>19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SUM(C4:C79)</f>
        <v>149017</v>
      </c>
      <c r="D2" s="5">
        <f>SUM(D4:D79)</f>
        <v>187289.57</v>
      </c>
      <c r="E2" s="5">
        <f>C2-D2</f>
        <v>-38272.570000000007</v>
      </c>
      <c r="F2" s="6">
        <f>IFERROR(E2/D2, 0)</f>
        <v>-0.20434971365463653</v>
      </c>
      <c r="G2" s="5">
        <f>SUM(G4:G79)</f>
        <v>307259.67</v>
      </c>
      <c r="H2" s="7">
        <f>C2-G2</f>
        <v>-158242.66999999998</v>
      </c>
      <c r="I2" s="6">
        <f>IFERROR(H2/G2, 0)</f>
        <v>-0.51501282286738115</v>
      </c>
      <c r="J2" s="1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6">
      <c r="A4" s="55" t="str" cm="1">
        <f t="array" ref="A4:A6">Sites[Site]</f>
        <v>Cedar Swamp Rd</v>
      </c>
      <c r="B4" s="56" t="str" cm="1">
        <f t="array" ref="B4:B6">Sites[State]</f>
        <v>MA</v>
      </c>
      <c r="C4" s="35">
        <v>47147</v>
      </c>
      <c r="D4" s="35">
        <v>40450.07</v>
      </c>
      <c r="E4" s="35">
        <f>IF(AND(ISNUMBER(C4),ISNUMBER(D4)), C4-D4, "")</f>
        <v>6696.93</v>
      </c>
      <c r="F4" s="38">
        <f>IFERROR(E4/D4, "")</f>
        <v>0.16556040570510758</v>
      </c>
      <c r="G4" s="37">
        <v>41873.17</v>
      </c>
      <c r="H4" s="37">
        <f>IF(AND(ISNUMBER(C4),ISNUMBER(G4)), C4-G4, "")</f>
        <v>5273.8300000000017</v>
      </c>
      <c r="I4" s="38">
        <f>IFERROR(H4/G4, "")</f>
        <v>0.12594771305826624</v>
      </c>
      <c r="J4" s="57" t="s">
        <v>22</v>
      </c>
      <c r="K4" s="57" t="s">
        <v>23</v>
      </c>
    </row>
    <row r="5" spans="1:11" ht="28.9">
      <c r="A5" s="58" t="str">
        <v>Bullis</v>
      </c>
      <c r="B5" s="59" t="str">
        <v>NY</v>
      </c>
      <c r="C5" s="42">
        <v>101870</v>
      </c>
      <c r="D5" s="42">
        <v>146839.5</v>
      </c>
      <c r="E5" s="42">
        <f t="shared" ref="E5:E6" si="0">IF(AND(ISNUMBER(C5),ISNUMBER(D5)), C5-D5, "")</f>
        <v>-44969.5</v>
      </c>
      <c r="F5" s="43">
        <f t="shared" ref="F5:F6" si="1">IFERROR(E5/D5, "")</f>
        <v>-0.30624934026607281</v>
      </c>
      <c r="G5" s="44">
        <v>265386.5</v>
      </c>
      <c r="H5" s="44">
        <f t="shared" ref="H5:H6" si="2">IF(AND(ISNUMBER(C5),ISNUMBER(G5)), C5-G5, "")</f>
        <v>-163516.5</v>
      </c>
      <c r="I5" s="43">
        <f t="shared" ref="I5:I6" si="3">IFERROR(H5/G5, "")</f>
        <v>-0.61614475491405929</v>
      </c>
      <c r="J5" s="60" t="s">
        <v>24</v>
      </c>
      <c r="K5" s="60" t="s">
        <v>25</v>
      </c>
    </row>
    <row r="6" spans="1:11" ht="15.6">
      <c r="A6" s="61" t="str">
        <v>Rock Island</v>
      </c>
      <c r="B6" s="56" t="str">
        <v>NY</v>
      </c>
      <c r="C6" s="35">
        <v>0</v>
      </c>
      <c r="D6" s="35">
        <v>0</v>
      </c>
      <c r="E6" s="35">
        <f t="shared" si="0"/>
        <v>0</v>
      </c>
      <c r="F6" s="38" t="str">
        <f t="shared" si="1"/>
        <v/>
      </c>
      <c r="G6" s="37">
        <v>0</v>
      </c>
      <c r="H6" s="37">
        <f t="shared" si="2"/>
        <v>0</v>
      </c>
      <c r="I6" s="38" t="str">
        <f t="shared" si="3"/>
        <v/>
      </c>
      <c r="J6" s="57" t="s">
        <v>26</v>
      </c>
      <c r="K6" s="57" t="s">
        <v>27</v>
      </c>
    </row>
    <row r="7" spans="1:11" ht="14.45">
      <c r="A7" s="14"/>
      <c r="B7" s="19"/>
      <c r="C7" s="14"/>
      <c r="D7" s="14"/>
      <c r="E7" s="14"/>
      <c r="F7" s="14"/>
      <c r="G7" s="14"/>
      <c r="H7" s="14"/>
      <c r="I7" s="14"/>
      <c r="J7" s="26"/>
      <c r="K7" s="1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</sheetData>
  <mergeCells count="4">
    <mergeCell ref="D1:F1"/>
    <mergeCell ref="A1:C1"/>
    <mergeCell ref="G1:I1"/>
    <mergeCell ref="A2:B2"/>
  </mergeCells>
  <conditionalFormatting sqref="F2 I2 F4:F79 I4:I79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tabSelected="1" workbookViewId="0">
      <pane xSplit="2" ySplit="3" topLeftCell="C4" activePane="bottomRight" state="frozen"/>
      <selection pane="bottomRight" activeCell="J15" sqref="J15"/>
      <selection pane="bottomLeft" activeCell="B15" sqref="B15"/>
      <selection pane="topRight" activeCell="B15" sqref="B15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Renewable Properties</v>
      </c>
      <c r="B1" s="66"/>
      <c r="C1" s="66"/>
      <c r="D1" s="67" t="s">
        <v>28</v>
      </c>
      <c r="E1" s="67"/>
      <c r="F1" s="67"/>
      <c r="G1" s="65" t="s">
        <v>29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471859.25</v>
      </c>
      <c r="D2" s="5">
        <f>SUM(D4:D80)</f>
        <v>471378.99310000002</v>
      </c>
      <c r="E2" s="5">
        <f>C2-D2</f>
        <v>480.25689999997849</v>
      </c>
      <c r="F2" s="6">
        <f>IFERROR(E2/D2, 0)</f>
        <v>1.0188339044164725E-3</v>
      </c>
      <c r="G2" s="5">
        <f>SUM(G4:G80)</f>
        <v>868712.31</v>
      </c>
      <c r="H2" s="7">
        <f>C2-G2</f>
        <v>-396853.06000000006</v>
      </c>
      <c r="I2" s="6">
        <f>IFERROR(H2/G2, 0)</f>
        <v>-0.45682909685025647</v>
      </c>
      <c r="J2" s="1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28.9">
      <c r="A4" s="55" t="str" cm="1">
        <f t="array" ref="A4:A6">Sites[Site]</f>
        <v>Cedar Swamp Rd</v>
      </c>
      <c r="B4" s="56" t="str" cm="1">
        <f t="array" ref="B4:B6">Sites[State]</f>
        <v>MA</v>
      </c>
      <c r="C4" s="34">
        <v>73050.75</v>
      </c>
      <c r="D4" s="35">
        <v>73781.2</v>
      </c>
      <c r="E4" s="35">
        <f>IF(AND(ISNUMBER(C4),ISNUMBER(D4)), C4-D4, "")</f>
        <v>-730.44999999999709</v>
      </c>
      <c r="F4" s="36">
        <f>IFERROR(E4/D4, "")</f>
        <v>-9.9002184838413738E-3</v>
      </c>
      <c r="G4" s="37">
        <v>55312.41</v>
      </c>
      <c r="H4" s="37">
        <f>IF(AND(ISNUMBER(C4),ISNUMBER(G4)), C4-G4, "")</f>
        <v>17738.339999999997</v>
      </c>
      <c r="I4" s="38">
        <f>IFERROR(H4/G4, "")</f>
        <v>0.32069367434902935</v>
      </c>
      <c r="J4" s="57" t="s">
        <v>30</v>
      </c>
      <c r="K4" s="57" t="s">
        <v>31</v>
      </c>
    </row>
    <row r="5" spans="1:11" ht="15.6">
      <c r="A5" s="58" t="str">
        <v>Bullis</v>
      </c>
      <c r="B5" s="59" t="str">
        <v>NY</v>
      </c>
      <c r="C5" s="41">
        <v>398240</v>
      </c>
      <c r="D5" s="42">
        <v>396786.5</v>
      </c>
      <c r="E5" s="42">
        <f t="shared" ref="E5:E6" si="0">IF(AND(ISNUMBER(C5),ISNUMBER(D5)), C5-D5, "")</f>
        <v>1453.5</v>
      </c>
      <c r="F5" s="43">
        <f>IFERROR(E5/D5, "")</f>
        <v>3.6631790648119331E-3</v>
      </c>
      <c r="G5" s="44">
        <v>423644.5</v>
      </c>
      <c r="H5" s="44">
        <f t="shared" ref="H5:H6" si="1">IF(AND(ISNUMBER(C5),ISNUMBER(G5)), C5-G5, "")</f>
        <v>-25404.5</v>
      </c>
      <c r="I5" s="43">
        <f t="shared" ref="I5:I6" si="2">IFERROR(H5/G5, "")</f>
        <v>-5.9966552144545722E-2</v>
      </c>
      <c r="J5" s="60" t="s">
        <v>32</v>
      </c>
      <c r="K5" s="60" t="s">
        <v>31</v>
      </c>
    </row>
    <row r="6" spans="1:11" ht="28.9">
      <c r="A6" s="61" t="str">
        <v>Rock Island</v>
      </c>
      <c r="B6" s="56" t="str">
        <v>NY</v>
      </c>
      <c r="C6" s="34">
        <v>568.5</v>
      </c>
      <c r="D6" s="35">
        <v>811.29309999999998</v>
      </c>
      <c r="E6" s="35">
        <f t="shared" si="0"/>
        <v>-242.79309999999998</v>
      </c>
      <c r="F6" s="36">
        <f t="shared" ref="F6" si="3">IFERROR(E6/D6, "")</f>
        <v>-0.29926681245039555</v>
      </c>
      <c r="G6" s="37">
        <v>389755.4</v>
      </c>
      <c r="H6" s="37">
        <f t="shared" si="1"/>
        <v>-389186.9</v>
      </c>
      <c r="I6" s="38">
        <f t="shared" si="2"/>
        <v>-0.99854139288384458</v>
      </c>
      <c r="J6" s="57" t="s">
        <v>26</v>
      </c>
      <c r="K6" s="57" t="s">
        <v>33</v>
      </c>
    </row>
    <row r="7" spans="1:11" ht="14.4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Renewable Properties</v>
      </c>
      <c r="B1" s="66"/>
      <c r="C1" s="66"/>
      <c r="D1" s="67" t="s">
        <v>34</v>
      </c>
      <c r="E1" s="67"/>
      <c r="F1" s="67"/>
      <c r="G1" s="65" t="s">
        <v>35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6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6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6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4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Renewable Properties</v>
      </c>
      <c r="B1" s="66"/>
      <c r="C1" s="66"/>
      <c r="D1" s="67" t="s">
        <v>36</v>
      </c>
      <c r="E1" s="67"/>
      <c r="F1" s="67"/>
      <c r="G1" s="65" t="s">
        <v>37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6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6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6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4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Renewable Properties</v>
      </c>
      <c r="B1" s="66"/>
      <c r="C1" s="66"/>
      <c r="D1" s="67" t="s">
        <v>38</v>
      </c>
      <c r="E1" s="67"/>
      <c r="F1" s="67"/>
      <c r="G1" s="65" t="s">
        <v>39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6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6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6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4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Renewable Properties</v>
      </c>
      <c r="B1" s="66"/>
      <c r="C1" s="66"/>
      <c r="D1" s="67" t="s">
        <v>40</v>
      </c>
      <c r="E1" s="67"/>
      <c r="F1" s="67"/>
      <c r="G1" s="65" t="s">
        <v>41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6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6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6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4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Renewable Properties</v>
      </c>
      <c r="B1" s="66"/>
      <c r="C1" s="66"/>
      <c r="D1" s="67" t="s">
        <v>42</v>
      </c>
      <c r="E1" s="67"/>
      <c r="F1" s="67"/>
      <c r="G1" s="65" t="s">
        <v>43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6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6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6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4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Renewable Properties</v>
      </c>
      <c r="B1" s="66"/>
      <c r="C1" s="66"/>
      <c r="D1" s="67" t="s">
        <v>44</v>
      </c>
      <c r="E1" s="67"/>
      <c r="F1" s="67"/>
      <c r="G1" s="65" t="s">
        <v>45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6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6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6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4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Renewable Properties</v>
      </c>
      <c r="B1" s="66"/>
      <c r="C1" s="66"/>
      <c r="D1" s="67" t="s">
        <v>46</v>
      </c>
      <c r="E1" s="67"/>
      <c r="F1" s="67"/>
      <c r="G1" s="65" t="s">
        <v>47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6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6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6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4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Renewable Properties</v>
      </c>
      <c r="B1" s="66"/>
      <c r="C1" s="66"/>
      <c r="D1" s="67" t="s">
        <v>48</v>
      </c>
      <c r="E1" s="67"/>
      <c r="F1" s="67"/>
      <c r="G1" s="65" t="s">
        <v>49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6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6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6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4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Renewable Properties</v>
      </c>
      <c r="B1" s="66"/>
      <c r="C1" s="66"/>
      <c r="D1" s="67" t="s">
        <v>50</v>
      </c>
      <c r="E1" s="67"/>
      <c r="F1" s="67"/>
      <c r="G1" s="65" t="s">
        <v>51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6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6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6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4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I11" sqref="I11"/>
      <selection pane="bottomLeft" activeCell="I11" sqref="I11"/>
      <selection pane="topRight" activeCell="I11" sqref="I11"/>
    </sheetView>
  </sheetViews>
  <sheetFormatPr defaultRowHeight="13.9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Renewable Properties</v>
      </c>
      <c r="B1" s="66"/>
      <c r="C1" s="66"/>
      <c r="D1" s="67" t="s">
        <v>52</v>
      </c>
      <c r="E1" s="67"/>
      <c r="F1" s="67"/>
      <c r="G1" s="65" t="s">
        <v>53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4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15.6">
      <c r="A4" s="62" t="str" cm="1">
        <f t="array" ref="A4:A6">Sites[Site]</f>
        <v>Cedar Swamp Rd</v>
      </c>
      <c r="B4" s="56" t="str" cm="1">
        <f t="array" ref="B4:B6">Sites[State]</f>
        <v>MA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7"/>
      <c r="K4" s="57"/>
    </row>
    <row r="5" spans="1:11" ht="15.6">
      <c r="A5" s="63" t="str">
        <v>Bullis</v>
      </c>
      <c r="B5" s="59" t="str">
        <v>NY</v>
      </c>
      <c r="C5" s="41"/>
      <c r="D5" s="42"/>
      <c r="E5" s="42" t="str">
        <f t="shared" ref="E5:E6" si="0">IF(AND(ISNUMBER(C5),ISNUMBER(D5)), C5-D5, "")</f>
        <v/>
      </c>
      <c r="F5" s="43" t="str">
        <f>IFERROR(E5/D5, "")</f>
        <v/>
      </c>
      <c r="G5" s="44"/>
      <c r="H5" s="44" t="str">
        <f t="shared" ref="H5:H6" si="1">IF(AND(ISNUMBER(C5),ISNUMBER(G5)), C5-G5, "")</f>
        <v/>
      </c>
      <c r="I5" s="43" t="str">
        <f t="shared" ref="I5:I6" si="2">IFERROR(H5/G5, "")</f>
        <v/>
      </c>
      <c r="J5" s="60"/>
      <c r="K5" s="60"/>
    </row>
    <row r="6" spans="1:11" ht="15.6">
      <c r="A6" s="64" t="str">
        <v>Rock Island</v>
      </c>
      <c r="B6" s="56" t="str">
        <v>NY</v>
      </c>
      <c r="C6" s="34"/>
      <c r="D6" s="35"/>
      <c r="E6" s="35" t="str">
        <f t="shared" si="0"/>
        <v/>
      </c>
      <c r="F6" s="36" t="str">
        <f t="shared" ref="F6" si="3">IFERROR(E6/D6, "")</f>
        <v/>
      </c>
      <c r="G6" s="37"/>
      <c r="H6" s="37" t="str">
        <f t="shared" si="1"/>
        <v/>
      </c>
      <c r="I6" s="38" t="str">
        <f t="shared" si="2"/>
        <v/>
      </c>
      <c r="J6" s="57" t="s">
        <v>26</v>
      </c>
      <c r="K6" s="57"/>
    </row>
    <row r="7" spans="1:11" ht="14.45">
      <c r="A7" s="14"/>
      <c r="B7" s="19"/>
      <c r="C7" s="14"/>
      <c r="D7" s="14"/>
      <c r="E7" s="14"/>
      <c r="F7" s="14"/>
      <c r="G7" s="14"/>
      <c r="H7" s="14"/>
      <c r="I7" s="14"/>
      <c r="J7" s="14"/>
      <c r="K7" s="14"/>
    </row>
    <row r="8" spans="1:11" ht="14.4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4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4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4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4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4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4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4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4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4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4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4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4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4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4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4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4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4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4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4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A7" sqref="A7:XFD2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31" t="s">
        <v>59</v>
      </c>
      <c r="B4" t="s">
        <v>60</v>
      </c>
      <c r="C4" s="30" t="s">
        <v>61</v>
      </c>
      <c r="D4" s="29" t="s">
        <v>62</v>
      </c>
      <c r="E4" t="s">
        <v>63</v>
      </c>
      <c r="G4" s="3"/>
    </row>
    <row r="5" spans="1:12" ht="14.45">
      <c r="A5" s="31" t="s">
        <v>64</v>
      </c>
      <c r="B5" t="s">
        <v>64</v>
      </c>
      <c r="C5" s="30" t="s">
        <v>65</v>
      </c>
      <c r="D5" s="29" t="s">
        <v>62</v>
      </c>
      <c r="E5" t="s">
        <v>63</v>
      </c>
      <c r="G5" s="3"/>
    </row>
    <row r="6" spans="1:12" ht="14.45">
      <c r="A6" s="31" t="s">
        <v>66</v>
      </c>
      <c r="B6" t="s">
        <v>67</v>
      </c>
      <c r="C6" s="30" t="s">
        <v>65</v>
      </c>
      <c r="D6" s="29" t="s">
        <v>62</v>
      </c>
      <c r="E6" t="s">
        <v>63</v>
      </c>
      <c r="G6" s="3"/>
    </row>
    <row r="7" spans="1:12" ht="12.75" customHeight="1">
      <c r="K7" s="27"/>
      <c r="L7" s="27"/>
    </row>
    <row r="8" spans="1:12" ht="12.75" customHeight="1">
      <c r="K8" s="27"/>
      <c r="L8" s="27"/>
    </row>
    <row r="9" spans="1:12" ht="12.75" customHeight="1">
      <c r="K9" s="27"/>
      <c r="L9" s="27"/>
    </row>
    <row r="10" spans="1:12" ht="12.75" customHeight="1">
      <c r="K10" s="27"/>
      <c r="L10" s="27"/>
    </row>
    <row r="11" spans="1:12" ht="12.75" customHeight="1">
      <c r="K11" s="27"/>
      <c r="L11" s="27"/>
    </row>
    <row r="12" spans="1:12" ht="12.75" customHeight="1">
      <c r="K12" s="27"/>
      <c r="L12" s="27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2024-03-13T14:27:01Z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