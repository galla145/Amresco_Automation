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D0224865-9586-44C1-9B44-AF95845EAE29}" xr6:coauthVersionLast="47" xr6:coauthVersionMax="47" xr10:uidLastSave="{6B5F803C-1AC4-4E0F-BF19-F89C304CAF06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2" i="18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H4" i="27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<sst xmlns="http://schemas.openxmlformats.org/spreadsheetml/2006/main" count="242" uniqueCount="56">
  <si>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</si>
  <si>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</si>
  <si>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</si>
  <si>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</si>
  <si>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</si>
  <si>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</si>
  <si>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</si>
  <si>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</si>
  <si>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</si>
  <si>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</si>
  <si>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</si>
  <si>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</si>
  <si>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</si>
  <si>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</si>
  <si>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</si>
  <si>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</si>
  <si>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</si>
  <si>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</si>
  <si>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</si>
  <si>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</si>
  <si>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</si>
  <si>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</si>
  <si>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</si>
  <si>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</si>
  <si>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</si>
  <si>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</si>
  <si>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</si>
  <si>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</si>
  <si>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</si>
  <si>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</si>
  <si>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Inverter is offline from 08:15AM to 11:30AM on 05/18.</t>
  </si>
  <si>
    <t>1. SR084825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</si>
  <si>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</si>
  <si>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</si>
  <si>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</si>
  <si>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</si>
  <si>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</si>
  <si>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</si>
  <si>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</si>
  <si>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</si>
  <si>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</si>
  <si>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</si>
  <si>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</si>
  <si>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</si>
  <si>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</si>
  <si>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</si>
  <si>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</si>
  <si>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New England Propeller</t>
  </si>
  <si>
    <t>Site DAS Name</t>
  </si>
  <si>
    <t>Update</t>
  </si>
  <si>
    <t>DAS</t>
  </si>
  <si>
    <t>New England Propeller Services</t>
  </si>
  <si>
    <t>CT: East Haddam - New England Propeller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</si>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</sst>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9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0"/>
  <sheetViews>
    <sheetView workbookViewId="0">
      <pane xSplit="2" ySplit="3" topLeftCell="C4" activePane="bottomRight" state="frozen"/>
      <selection pane="bottomRight" activeCell="C5" sqref="C5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SUM(C4:C58)</f>
        <v>59140.95</v>
      </c>
      <c r="D2" s="5">
        <f>SUM(D4:D58)</f>
        <v>0</v>
      </c>
      <c r="E2" s="5">
        <f>C2-D2</f>
        <v>59140.95</v>
      </c>
      <c r="F2" s="6">
        <f>IFERROR(E2/D2, 0)</f>
        <v>0</v>
      </c>
      <c r="G2" s="5">
        <f>SUM(G4:G58)</f>
        <v>75942.588999999993</v>
      </c>
      <c r="H2" s="7">
        <f>C2-G2</f>
        <v>-16801.638999999996</v>
      </c>
      <c r="I2" s="6">
        <f>IFERROR(H2/G2, 0)</f>
        <v>-0.2212413248118259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SUM('1st Qtr'!C4, '2nd Qtr'!C4, '3rd Qtr'!C4, '4th Qtr'!C4)</f>
        <v>59140.95</v>
      </c>
      <c r="D4" s="11">
        <f>SUM('1st Qtr'!D4, '2nd Qtr'!D4, '3rd Qtr'!D4, '4th Qtr'!D4)</f>
        <v>0</v>
      </c>
      <c r="E4" s="11">
        <f>IF(AND(ISNUMBER(C4),ISNUMBER(D4)), C4-D4, "")</f>
        <v>59140.95</v>
      </c>
      <c r="F4" s="12" t="str">
        <f>IFERROR(E4/D4, "")</f>
        <v/>
      </c>
      <c r="G4" s="13">
        <f>SUM('1st Qtr'!G4, '2nd Qtr'!G4, '3rd Qtr'!G4, '4th Qtr'!G4)</f>
        <v>75942.588999999993</v>
      </c>
      <c r="H4" s="13">
        <f>SUM('1st Qtr'!H4, '2nd Qtr'!H4, '3rd Qtr'!H4, '4th Qtr'!H4)</f>
        <v>-16801.638999999999</v>
      </c>
      <c r="I4" s="14">
        <f>IFERROR(H4/G4, "")</f>
        <v>-0.22124132481182596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8 I4:I5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0"/>
  <sheetViews>
    <sheetView workbookViewId="0">
      <pane xSplit="2" ySplit="3" topLeftCell="C13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SUM(C4:C58)</f>
        <v>18287.25</v>
      </c>
      <c r="D2" s="5">
        <f>SUM(D4:D58)</f>
        <v>0</v>
      </c>
      <c r="E2" s="5">
        <f>C2-D2</f>
        <v>18287.25</v>
      </c>
      <c r="F2" s="6">
        <f>IFERROR(E2/D2, 0)</f>
        <v>0</v>
      </c>
      <c r="G2" s="5">
        <f>SUM(G4:G58)</f>
        <v>27329.499</v>
      </c>
      <c r="H2" s="7">
        <f>C2-G2</f>
        <v>-9042.2489999999998</v>
      </c>
      <c r="I2" s="6">
        <f>IFERROR(H2/G2, 0)</f>
        <v>-0.33086040106333453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SUM(Jan!C4, Feb!C4, Mar!C4)</f>
        <v>18287.25</v>
      </c>
      <c r="D4" s="11">
        <f>SUM(Jan!D4, Feb!D4, Mar!D4)</f>
        <v>0</v>
      </c>
      <c r="E4" s="11">
        <f>IF(AND(ISNUMBER(C4),ISNUMBER(D4)), C4-D4, "")</f>
        <v>18287.25</v>
      </c>
      <c r="F4" s="12" t="str">
        <f>IFERROR(E4/D4, "")</f>
        <v/>
      </c>
      <c r="G4" s="13">
        <f>SUM(Jan!G4, Feb!G4, Mar!G4)</f>
        <v>27329.499</v>
      </c>
      <c r="H4" s="13">
        <f>SUM(Jan!H4, Feb!H4, Mar!H4)</f>
        <v>-9042.2489999999998</v>
      </c>
      <c r="I4" s="14">
        <f>IFERROR(H4/G4, "")</f>
        <v>-0.33086040106333453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8 I4:I5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0"/>
  <sheetViews>
    <sheetView workbookViewId="0">
      <pane xSplit="2" ySplit="3" topLeftCell="C4" activePane="bottomRight" state="frozen"/>
      <selection pane="bottomRight" activeCell="G5" sqref="G5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SUM(C4:C58)</f>
        <v>40853.699999999997</v>
      </c>
      <c r="D2" s="5">
        <f>SUM(D4:D58)</f>
        <v>0</v>
      </c>
      <c r="E2" s="5">
        <f>C2-D2</f>
        <v>40853.699999999997</v>
      </c>
      <c r="F2" s="6">
        <f>IFERROR(E2/D2, 0)</f>
        <v>0</v>
      </c>
      <c r="G2" s="5">
        <f>SUM(G4:G58)</f>
        <v>48613.09</v>
      </c>
      <c r="H2" s="7">
        <f>C2-G2</f>
        <v>-7759.3899999999994</v>
      </c>
      <c r="I2" s="6">
        <f>IFERROR(H2/G2, 0)</f>
        <v>-0.15961523943448153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SUM(Apr!C4, May!C4, Jun!C4)</f>
        <v>40853.699999999997</v>
      </c>
      <c r="D4" s="11">
        <f>SUM(Apr!D4, May!D4, Jun!D4)</f>
        <v>0</v>
      </c>
      <c r="E4" s="11">
        <f>IF(AND(ISNUMBER(C4),ISNUMBER(D4)), C4-D4, "")</f>
        <v>40853.699999999997</v>
      </c>
      <c r="F4" s="12" t="str">
        <f>IFERROR(E4/D4, "")</f>
        <v/>
      </c>
      <c r="G4" s="13">
        <f>SUM(Apr!G4,May!G4,Jun!G4)</f>
        <v>48613.09</v>
      </c>
      <c r="H4" s="13">
        <f>SUM(Apr!H4, May!H4, Jun!H4)</f>
        <v>-7759.3899999999994</v>
      </c>
      <c r="I4" s="14">
        <f>IFERROR(H4/G4, "")</f>
        <v>-0.15961523943448153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New England Propeller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East Haddam - New England Propeller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</sheetData>
  <mergeCells count="4">
    <mergeCell ref="G1:I1"/>
    <mergeCell ref="A1:C1"/>
    <mergeCell ref="D1:F1"/>
    <mergeCell ref="A2:B2"/>
  </mergeCells>
  <conditionalFormatting sqref="F2 I2 F4:F58 I4:I5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9"/>
  <sheetViews>
    <sheetView workbookViewId="0">
      <pane xSplit="2" ySplit="3" topLeftCell="G4" activePane="bottomRight" state="frozen"/>
      <selection pane="bottomRight" activeCell="G8" sqref="G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SUM(C4:C57)</f>
        <v>2608</v>
      </c>
      <c r="D2" s="5">
        <f>SUM(D4:D57)</f>
        <v>0</v>
      </c>
      <c r="E2" s="5">
        <f>C2-D2</f>
        <v>2608</v>
      </c>
      <c r="F2" s="6">
        <f>IFERROR(E2/D2, 0)</f>
        <v>0</v>
      </c>
      <c r="G2" s="5">
        <f>SUM(G4:G57)</f>
        <v>6291</v>
      </c>
      <c r="H2" s="7">
        <f>C2-G2</f>
        <v>-3683</v>
      </c>
      <c r="I2" s="6">
        <f>IFERROR(H2/G2, 0)</f>
        <v>-0.58543951676998884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1">
        <v>2608</v>
      </c>
      <c r="D4" s="11">
        <v>0</v>
      </c>
      <c r="E4" s="11">
        <f>IF(AND(ISNUMBER(C4),ISNUMBER(D4)), C4-D4, "")</f>
        <v>2608</v>
      </c>
      <c r="F4" s="34" t="str">
        <f>IFERROR(E4/D4, "")</f>
        <v/>
      </c>
      <c r="G4" s="40">
        <v>6291</v>
      </c>
      <c r="H4" s="13">
        <f>IF(AND(ISNUMBER(C4),ISNUMBER(G4)), C4-G4, "")</f>
        <v>-3683</v>
      </c>
      <c r="I4" s="14">
        <f>IFERROR(H4/G4, "")</f>
        <v>-0.58543951676998884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</sheetData>
  <mergeCells count="4">
    <mergeCell ref="D1:F1"/>
    <mergeCell ref="A1:C1"/>
    <mergeCell ref="G1:I1"/>
    <mergeCell ref="A2:B2"/>
  </mergeCells>
  <conditionalFormatting sqref="F2 I2 I4:I57 F5:F57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0"/>
  <sheetViews>
    <sheetView workbookViewId="0">
      <pane xSplit="2" ySplit="3" topLeftCell="G4" activePane="bottomRight" state="frozen"/>
      <selection pane="bottomRight" activeCell="G8" sqref="G8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22</v>
      </c>
      <c r="E1" s="43"/>
      <c r="F1" s="43"/>
      <c r="G1" s="41" t="s">
        <v>23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4983.25</v>
      </c>
      <c r="D2" s="5">
        <f>SUM(D4:D58)</f>
        <v>0</v>
      </c>
      <c r="E2" s="5">
        <f>C2-D2</f>
        <v>4983.25</v>
      </c>
      <c r="F2" s="6">
        <f>IFERROR(E2/D2, 0)</f>
        <v>0</v>
      </c>
      <c r="G2" s="5">
        <f>SUM(G4:G58)</f>
        <v>8295.4989999999998</v>
      </c>
      <c r="H2" s="7">
        <f>C2-G2</f>
        <v>-3312.2489999999998</v>
      </c>
      <c r="I2" s="6">
        <f>IFERROR(H2/G2, 0)</f>
        <v>-0.3992826712413563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4983.25</v>
      </c>
      <c r="D4" s="11">
        <v>0</v>
      </c>
      <c r="E4" s="11">
        <f>IF(AND(ISNUMBER(C4),ISNUMBER(D4)), C4-D4, "")</f>
        <v>4983.25</v>
      </c>
      <c r="F4" s="12" t="str">
        <f>IFERROR(E4/D4, "")</f>
        <v/>
      </c>
      <c r="G4" s="13">
        <v>8295.4989999999998</v>
      </c>
      <c r="H4" s="13">
        <f>IF(AND(ISNUMBER(C4),ISNUMBER(G4)), C4-G4, "")</f>
        <v>-3312.2489999999998</v>
      </c>
      <c r="I4" s="14">
        <f>IFERROR(H4/G4, "")</f>
        <v>-0.3992826712413563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0"/>
  <sheetViews>
    <sheetView workbookViewId="0">
      <pane xSplit="2" ySplit="3" topLeftCell="I4" activePane="bottomRight" state="frozen"/>
      <selection pane="bottomRight" activeCell="I12" sqref="I12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10696</v>
      </c>
      <c r="D2" s="5">
        <f>SUM(D4:D58)</f>
        <v>0</v>
      </c>
      <c r="E2" s="5">
        <f>C2-D2</f>
        <v>10696</v>
      </c>
      <c r="F2" s="6">
        <f>IFERROR(E2/D2, 0)</f>
        <v>0</v>
      </c>
      <c r="G2" s="5">
        <f>SUM(G4:G58)</f>
        <v>12743</v>
      </c>
      <c r="H2" s="7">
        <f>C2-G2</f>
        <v>-2047</v>
      </c>
      <c r="I2" s="6">
        <f>IFERROR(H2/G2, 0)</f>
        <v>-0.16063721258730285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10696</v>
      </c>
      <c r="D4" s="11">
        <v>0</v>
      </c>
      <c r="E4" s="11">
        <f>IF(AND(ISNUMBER(C4),ISNUMBER(D4)), C4-D4, "")</f>
        <v>10696</v>
      </c>
      <c r="F4" s="12" t="str">
        <f>IFERROR(E4/D4, "")</f>
        <v/>
      </c>
      <c r="G4" s="13">
        <v>12743</v>
      </c>
      <c r="H4" s="13">
        <f>IF(AND(ISNUMBER(C4),ISNUMBER(G4)), C4-G4, "")</f>
        <v>-2047</v>
      </c>
      <c r="I4" s="14">
        <f>IFERROR(H4/G4, "")</f>
        <v>-0.16063721258730285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0"/>
  <sheetViews>
    <sheetView workbookViewId="0">
      <pane xSplit="2" ySplit="3" topLeftCell="C4" activePane="bottomRight" state="frozen"/>
      <selection pane="bottomRight" activeCell="G5" sqref="G5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26</v>
      </c>
      <c r="E1" s="43"/>
      <c r="F1" s="43"/>
      <c r="G1" s="41" t="s">
        <v>27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11570</v>
      </c>
      <c r="D2" s="5">
        <f>SUM(D4:D58)</f>
        <v>0</v>
      </c>
      <c r="E2" s="5">
        <f>C2-D2</f>
        <v>11570</v>
      </c>
      <c r="F2" s="6">
        <f>IFERROR(E2/D2, 0)</f>
        <v>0</v>
      </c>
      <c r="G2" s="5">
        <f>SUM(G4:G58)</f>
        <v>14456.89</v>
      </c>
      <c r="H2" s="7">
        <f>C2-G2</f>
        <v>-2886.8899999999994</v>
      </c>
      <c r="I2" s="6">
        <f>IFERROR(H2/G2, 0)</f>
        <v>-0.19968955978775516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11570</v>
      </c>
      <c r="D4" s="11">
        <v>0</v>
      </c>
      <c r="E4" s="11">
        <f>IF(AND(ISNUMBER(C4),ISNUMBER(D4)), C4-D4, "")</f>
        <v>11570</v>
      </c>
      <c r="F4" s="12" t="str">
        <f>IFERROR(E4/D4, "")</f>
        <v/>
      </c>
      <c r="G4" s="13">
        <v>14456.89</v>
      </c>
      <c r="H4" s="13">
        <f>IF(AND(ISNUMBER(C4),ISNUMBER(G4)), C4-G4, "")</f>
        <v>-2886.8899999999994</v>
      </c>
      <c r="I4" s="14">
        <f>IFERROR(H4/G4, "")</f>
        <v>-0.19968955978775516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0"/>
  <sheetViews>
    <sheetView tabSelected="1" workbookViewId="0">
      <pane xSplit="2" ySplit="3" topLeftCell="E4" activePane="bottomRight" state="frozen"/>
      <selection pane="bottomRight" activeCell="K4" sqref="K4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28</v>
      </c>
      <c r="E1" s="43"/>
      <c r="F1" s="43"/>
      <c r="G1" s="41" t="s">
        <v>29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13790.2</v>
      </c>
      <c r="D2" s="5">
        <f>SUM(D4:D58)</f>
        <v>0</v>
      </c>
      <c r="E2" s="5">
        <f>C2-D2</f>
        <v>13790.2</v>
      </c>
      <c r="F2" s="6">
        <f>IFERROR(E2/D2, 0)</f>
        <v>0</v>
      </c>
      <c r="G2" s="5">
        <f>SUM(G4:G58)</f>
        <v>17047.900000000001</v>
      </c>
      <c r="H2" s="7">
        <f>C2-G2</f>
        <v>-3257.7000000000007</v>
      </c>
      <c r="I2" s="6">
        <f>IFERROR(H2/G2, 0)</f>
        <v>-0.1910909848133788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75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13790.2</v>
      </c>
      <c r="D4" s="11">
        <v>0</v>
      </c>
      <c r="E4" s="11">
        <f>IF(AND(ISNUMBER(C4),ISNUMBER(D4)), C4-D4, "")</f>
        <v>13790.2</v>
      </c>
      <c r="F4" s="12" t="str">
        <f>IFERROR(E4/D4, "")</f>
        <v/>
      </c>
      <c r="G4" s="13">
        <v>17047.900000000001</v>
      </c>
      <c r="H4" s="13">
        <f>IF(AND(ISNUMBER(C4),ISNUMBER(G4)), C4-G4, "")</f>
        <v>-3257.7000000000007</v>
      </c>
      <c r="I4" s="14">
        <f>IFERROR(H4/G4, "")</f>
        <v>-0.1910909848133788</v>
      </c>
      <c r="J4" s="32" t="s">
        <v>30</v>
      </c>
      <c r="K4" s="32" t="s">
        <v>31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0"/>
  <sheetViews>
    <sheetView workbookViewId="0">
      <pane xSplit="2" ySplit="3" topLeftCell="D4" activePane="bottomRight" state="frozen"/>
      <selection pane="bottomRight" activeCell="G5" sqref="G5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15493.5</v>
      </c>
      <c r="D2" s="5">
        <f>SUM(D4:D58)</f>
        <v>0</v>
      </c>
      <c r="E2" s="5">
        <f>C2-D2</f>
        <v>15493.5</v>
      </c>
      <c r="F2" s="6">
        <f>IFERROR(E2/D2, 0)</f>
        <v>0</v>
      </c>
      <c r="G2" s="5">
        <f>SUM(G4:G58)</f>
        <v>17108.3</v>
      </c>
      <c r="H2" s="7">
        <f>C2-G2</f>
        <v>-1614.7999999999993</v>
      </c>
      <c r="I2" s="6">
        <f>IFERROR(H2/G2, 0)</f>
        <v>-9.4386934996463667E-2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>
        <v>15493.5</v>
      </c>
      <c r="D4" s="11">
        <v>0</v>
      </c>
      <c r="E4" s="11">
        <f>IF(AND(ISNUMBER(C4),ISNUMBER(D4)), C4-D4, "")</f>
        <v>15493.5</v>
      </c>
      <c r="F4" s="12" t="str">
        <f>IFERROR(E4/D4, "")</f>
        <v/>
      </c>
      <c r="G4" s="13">
        <v>17108.3</v>
      </c>
      <c r="H4" s="13">
        <f>IF(AND(ISNUMBER(C4),ISNUMBER(G4)), C4-G4, "")</f>
        <v>-1614.7999999999993</v>
      </c>
      <c r="I4" s="14">
        <f>IFERROR(H4/G4, "")</f>
        <v>-9.4386934996463667E-2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8 I4:I5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38</v>
      </c>
      <c r="E1" s="43"/>
      <c r="F1" s="43"/>
      <c r="G1" s="41" t="s">
        <v>39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40</v>
      </c>
      <c r="E1" s="43"/>
      <c r="F1" s="43"/>
      <c r="G1" s="41" t="s">
        <v>41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0"/>
  <sheetViews>
    <sheetView workbookViewId="0">
      <pane xSplit="2" ySplit="3" topLeftCell="C4" activePane="bottomRight" state="frozen"/>
      <selection pane="bottomRight" activeCell="B13" sqref="B13"/>
      <selection pane="bottomLeft" activeCell="B13" sqref="B13"/>
      <selection pane="topRight" activeCell="B13" sqref="B13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New England Propeller</v>
      </c>
      <c r="B1" s="42"/>
      <c r="C1" s="42"/>
      <c r="D1" s="43" t="s">
        <v>44</v>
      </c>
      <c r="E1" s="43"/>
      <c r="F1" s="43"/>
      <c r="G1" s="41" t="s">
        <v>45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SUM(C4:C58)</f>
        <v>0</v>
      </c>
      <c r="D2" s="5">
        <f>SUM(D4:D58)</f>
        <v>0</v>
      </c>
      <c r="E2" s="5">
        <f>C2-D2</f>
        <v>0</v>
      </c>
      <c r="F2" s="6">
        <f>IFERROR(E2/D2, 0)</f>
        <v>0</v>
      </c>
      <c r="G2" s="5">
        <f>SUM(G4:G58)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East Haddam - New England Propeller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C300" s="15"/>
      <c r="D300" s="15"/>
      <c r="E300" s="15"/>
      <c r="F300" s="16"/>
      <c r="G300" s="15"/>
      <c r="H300" s="15"/>
      <c r="I300" s="16"/>
      <c r="J300" s="15"/>
      <c r="K300" s="15"/>
    </row>
  </sheetData>
  <mergeCells count="4">
    <mergeCell ref="G1:I1"/>
    <mergeCell ref="A1:C1"/>
    <mergeCell ref="D1:F1"/>
    <mergeCell ref="A2:B2"/>
  </mergeCells>
  <conditionalFormatting sqref="F2 I2 F4:F58 I4:I5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38" t="s">
        <v>51</v>
      </c>
      <c r="B4" t="s">
        <v>52</v>
      </c>
      <c r="C4" s="36" t="s">
        <v>53</v>
      </c>
      <c r="D4" s="35" t="s">
        <v>54</v>
      </c>
      <c r="E4" t="s">
        <v>55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2024-07-15T11:22:48Z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