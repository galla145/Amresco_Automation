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0" documentId="8_{5201A045-C77C-447A-9172-814B2F319C3B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12" i="18"/>
  <c r="G13" i="18"/>
  <c r="G14" i="18"/>
  <c r="G15" i="18"/>
  <c r="G16" i="18"/>
  <c r="G4" i="18"/>
  <c r="G4" i="1"/>
  <c r="H10" i="4"/>
  <c r="I10" i="4" s="1"/>
  <c r="H11" i="4"/>
  <c r="I11" i="4" s="1"/>
  <c r="C16" i="30"/>
  <c r="E16" i="30" s="1"/>
  <c r="F16" i="30" s="1"/>
  <c r="D16" i="30"/>
  <c r="C16" i="29"/>
  <c r="D16" i="29"/>
  <c r="E16" i="29" s="1"/>
  <c r="F16" i="29" s="1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9" i="1"/>
  <c r="G9" i="34" s="1"/>
  <c r="G10" i="1"/>
  <c r="G11" i="1"/>
  <c r="G12" i="1"/>
  <c r="G13" i="1"/>
  <c r="G14" i="1"/>
  <c r="G15" i="1"/>
  <c r="G15" i="34" s="1"/>
  <c r="G5" i="1"/>
  <c r="G4" i="34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D5" i="29"/>
  <c r="C5" i="29"/>
  <c r="E5" i="29" s="1"/>
  <c r="F5" i="29" s="1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4" i="34" s="1"/>
  <c r="C13" i="1"/>
  <c r="C12" i="1"/>
  <c r="C11" i="1"/>
  <c r="C10" i="1"/>
  <c r="C9" i="1"/>
  <c r="C8" i="1"/>
  <c r="C8" i="34" s="1"/>
  <c r="C7" i="1"/>
  <c r="C6" i="1"/>
  <c r="C5" i="1"/>
  <c r="C4" i="1"/>
  <c r="D6" i="1"/>
  <c r="D7" i="1"/>
  <c r="D8" i="1"/>
  <c r="D9" i="1"/>
  <c r="D10" i="1"/>
  <c r="D11" i="1"/>
  <c r="D11" i="34" s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8" i="34" l="1"/>
  <c r="E6" i="18"/>
  <c r="F6" i="18" s="1"/>
  <c r="D12" i="34"/>
  <c r="G10" i="34"/>
  <c r="E9" i="18"/>
  <c r="F9" i="18" s="1"/>
  <c r="C9" i="34"/>
  <c r="G16" i="34"/>
  <c r="G14" i="34"/>
  <c r="D14" i="34"/>
  <c r="E14" i="34" s="1"/>
  <c r="F14" i="34" s="1"/>
  <c r="G13" i="34"/>
  <c r="E13" i="18"/>
  <c r="F13" i="18" s="1"/>
  <c r="G12" i="34"/>
  <c r="G11" i="34"/>
  <c r="E11" i="18"/>
  <c r="F11" i="18" s="1"/>
  <c r="D10" i="34"/>
  <c r="E10" i="18"/>
  <c r="F10" i="18" s="1"/>
  <c r="D8" i="34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H9" i="34"/>
  <c r="I9" i="34" s="1"/>
  <c r="H10" i="34"/>
  <c r="I10" i="34" s="1"/>
  <c r="H11" i="34"/>
  <c r="H12" i="34"/>
  <c r="I12" i="34" s="1"/>
  <c r="H13" i="34"/>
  <c r="H14" i="34"/>
  <c r="I14" i="34" s="1"/>
  <c r="H15" i="34"/>
  <c r="I15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6" i="34" l="1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<sst xmlns="http://schemas.openxmlformats.org/spreadsheetml/2006/main" count="419" uniqueCount="182">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</sst>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0</v>
      </c>
      <c r="E1" s="93"/>
      <c r="F1" s="93"/>
      <c r="G1" s="91" t="s">
        <v>1</v>
      </c>
      <c r="H1" s="91"/>
      <c r="I1" s="91"/>
    </row>
    <row r="2" spans="1:9" ht="19.5" customHeight="1">
      <c r="A2" s="94" t="s">
        <v>2</v>
      </c>
      <c r="B2" s="94"/>
      <c r="C2" s="5">
        <f>SUM(C4:C91)</f>
        <v>14081219.624071455</v>
      </c>
      <c r="D2" s="5">
        <f>SUM(D4:D91)</f>
        <v>15024668.499999998</v>
      </c>
      <c r="E2" s="5">
        <f>C2-D2</f>
        <v>-943448.87592854351</v>
      </c>
      <c r="F2" s="6">
        <f>IFERROR(E2/D2, 0)</f>
        <v>-6.2793323921159633E-2</v>
      </c>
      <c r="G2" s="5">
        <f>SUM(G4:G91)</f>
        <v>14513936.159999998</v>
      </c>
      <c r="H2" s="7">
        <f>C2-G2</f>
        <v>-432716.53592854366</v>
      </c>
      <c r="I2" s="6">
        <f>IFERROR(H2/G2, 0)</f>
        <v>-2.9813865181596864E-2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2217994.6507960209</v>
      </c>
      <c r="D4" s="56">
        <f>SUM('1st Qtr'!D4, '2nd Qtr'!D4, '3rd Qtr'!D4, '4th Qtr'!D4)</f>
        <v>2165079.5</v>
      </c>
      <c r="E4" s="56">
        <f>IF(AND(ISNUMBER(C4),ISNUMBER(D4)), C4-D4, "")</f>
        <v>52915.150796020869</v>
      </c>
      <c r="F4" s="69">
        <f>IFERROR(E4/D4, "")</f>
        <v>2.4440280736121176E-2</v>
      </c>
      <c r="G4" s="58">
        <f>SUM('1st Qtr'!G4, '2nd Qtr'!G4, '3rd Qtr'!G4, '4th Qtr'!G4)</f>
        <v>2325644</v>
      </c>
      <c r="H4" s="58">
        <f>SUM('1st Qtr'!H4, '2nd Qtr'!H4, '3rd Qtr'!H4, '4th Qtr'!H4)</f>
        <v>-107649.34920397901</v>
      </c>
      <c r="I4" s="57">
        <f>IFERROR(H4/G4, "")</f>
        <v>-4.6287974085448595E-2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797578.99953658786</v>
      </c>
      <c r="D5" s="62">
        <f>SUM('1st Qtr'!D5, '2nd Qtr'!D5, '3rd Qtr'!D5, '4th Qtr'!D5)</f>
        <v>837194.32000000007</v>
      </c>
      <c r="E5" s="62">
        <f t="shared" ref="E5:E15" si="0">IF(AND(ISNUMBER(C5),ISNUMBER(D5)), C5-D5, "")</f>
        <v>-39615.320463412208</v>
      </c>
      <c r="F5" s="63">
        <f>IFERROR(E5/D5, "")</f>
        <v>-4.731914624481949E-2</v>
      </c>
      <c r="G5" s="64">
        <f>SUM('1st Qtr'!G5, '2nd Qtr'!G5, '3rd Qtr'!G5, '4th Qtr'!G5)</f>
        <v>846556.98</v>
      </c>
      <c r="H5" s="64">
        <f>SUM(Jan!H5, Feb!H5, Mar!H5)</f>
        <v>-59831.780463412106</v>
      </c>
      <c r="I5" s="63">
        <f>IFERROR(H5/G5, "")</f>
        <v>-7.0676613479003045E-2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635279</v>
      </c>
      <c r="D6" s="56">
        <f>SUM('1st Qtr'!D6, '2nd Qtr'!D6, '3rd Qtr'!D6, '4th Qtr'!D6)</f>
        <v>668189.04</v>
      </c>
      <c r="E6" s="56">
        <f t="shared" si="0"/>
        <v>-32910.040000000037</v>
      </c>
      <c r="F6" s="69">
        <f t="shared" ref="F6:F15" si="1">IFERROR(E6/D6, "")</f>
        <v>-4.9252588758414886E-2</v>
      </c>
      <c r="G6" s="58">
        <f>SUM('1st Qtr'!G6, '2nd Qtr'!G6, '3rd Qtr'!G6, '4th Qtr'!G6)</f>
        <v>646733.99</v>
      </c>
      <c r="H6" s="58">
        <f>SUM(Jan!H6, Feb!H6, Mar!H6)</f>
        <v>1599.6099999999933</v>
      </c>
      <c r="I6" s="57">
        <f t="shared" ref="I6:I15" si="2">IFERROR(H6/G6, "")</f>
        <v>2.4733662135184718E-3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841021.99508884398</v>
      </c>
      <c r="D7" s="62">
        <f>SUM('1st Qtr'!D7, '2nd Qtr'!D7, '3rd Qtr'!D7, '4th Qtr'!D7)</f>
        <v>869252.73</v>
      </c>
      <c r="E7" s="62">
        <f t="shared" si="0"/>
        <v>-28230.734911156003</v>
      </c>
      <c r="F7" s="63">
        <f t="shared" si="1"/>
        <v>-3.2477016104575256E-2</v>
      </c>
      <c r="G7" s="64">
        <f>SUM('1st Qtr'!G7, '2nd Qtr'!G7, '3rd Qtr'!G7, '4th Qtr'!G7)</f>
        <v>833604.92999999993</v>
      </c>
      <c r="H7" s="64">
        <f>SUM(Jan!H7, Feb!H7, Mar!H7)</f>
        <v>-21065.929999999993</v>
      </c>
      <c r="I7" s="63">
        <f t="shared" si="2"/>
        <v>-2.5270879815933903E-2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841280.11</v>
      </c>
      <c r="D8" s="56">
        <f>SUM('1st Qtr'!D8, '2nd Qtr'!D8, '3rd Qtr'!D8, '4th Qtr'!D8)</f>
        <v>943585.17</v>
      </c>
      <c r="E8" s="56">
        <f t="shared" si="0"/>
        <v>-102305.06000000006</v>
      </c>
      <c r="F8" s="69">
        <f t="shared" si="1"/>
        <v>-0.10842164889047594</v>
      </c>
      <c r="G8" s="58">
        <f>SUM('1st Qtr'!G8, '2nd Qtr'!G8, '3rd Qtr'!G8, '4th Qtr'!G8)</f>
        <v>843431</v>
      </c>
      <c r="H8" s="58">
        <f>SUM(Jan!H8, Feb!H8, Mar!H8)</f>
        <v>-12609.89</v>
      </c>
      <c r="I8" s="57">
        <f t="shared" si="2"/>
        <v>-1.4950707289630093E-2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1654712.12</v>
      </c>
      <c r="D9" s="62">
        <f>SUM('1st Qtr'!D9, '2nd Qtr'!D9, '3rd Qtr'!D9, '4th Qtr'!D9)</f>
        <v>1650224.7999999998</v>
      </c>
      <c r="E9" s="62">
        <f t="shared" si="0"/>
        <v>4487.320000000298</v>
      </c>
      <c r="F9" s="63">
        <f t="shared" si="1"/>
        <v>2.7192174060166217E-3</v>
      </c>
      <c r="G9" s="64">
        <f>SUM('1st Qtr'!G9, '2nd Qtr'!G9, '3rd Qtr'!G9, '4th Qtr'!G9)</f>
        <v>1615232.2000000002</v>
      </c>
      <c r="H9" s="64">
        <f>SUM(Jan!H9, Feb!H9, Mar!H9)</f>
        <v>-5460.9800000000105</v>
      </c>
      <c r="I9" s="63">
        <f t="shared" si="2"/>
        <v>-3.3809256650529935E-3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1665329.6364000011</v>
      </c>
      <c r="D10" s="56">
        <f>SUM('1st Qtr'!D10, '2nd Qtr'!D10, '3rd Qtr'!D10, '4th Qtr'!D10)</f>
        <v>1830908.4</v>
      </c>
      <c r="E10" s="56">
        <f t="shared" si="0"/>
        <v>-165578.76359999878</v>
      </c>
      <c r="F10" s="69">
        <f t="shared" si="1"/>
        <v>-9.0435307195050718E-2</v>
      </c>
      <c r="G10" s="58">
        <f>SUM('1st Qtr'!G10, '2nd Qtr'!G10, '3rd Qtr'!G10, '4th Qtr'!G10)</f>
        <v>1683772.1</v>
      </c>
      <c r="H10" s="58">
        <f>SUM(Jan!H10, Feb!H10, Mar!H10)</f>
        <v>-37845.963599998795</v>
      </c>
      <c r="I10" s="57">
        <f t="shared" si="2"/>
        <v>-2.2476891973681471E-2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1528491.3900000001</v>
      </c>
      <c r="D11" s="62">
        <f>SUM('1st Qtr'!D11, '2nd Qtr'!D11, '3rd Qtr'!D11, '4th Qtr'!D11)</f>
        <v>1772863.1</v>
      </c>
      <c r="E11" s="62">
        <f t="shared" si="0"/>
        <v>-244371.70999999996</v>
      </c>
      <c r="F11" s="63">
        <f t="shared" si="1"/>
        <v>-0.1378401468223914</v>
      </c>
      <c r="G11" s="64">
        <f>SUM('1st Qtr'!G11, '2nd Qtr'!G11, '3rd Qtr'!G11, '4th Qtr'!G11)</f>
        <v>1653182.9</v>
      </c>
      <c r="H11" s="64">
        <f>SUM(Jan!H11, Feb!H11, Mar!H11)</f>
        <v>-90612.409999999974</v>
      </c>
      <c r="I11" s="63">
        <f t="shared" si="2"/>
        <v>-5.4810880272231209E-2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1491762.43</v>
      </c>
      <c r="D12" s="56">
        <f>SUM('1st Qtr'!D12, '2nd Qtr'!D12, '3rd Qtr'!D12, '4th Qtr'!D12)</f>
        <v>1520269.5</v>
      </c>
      <c r="E12" s="56">
        <f t="shared" si="0"/>
        <v>-28507.070000000065</v>
      </c>
      <c r="F12" s="69">
        <f t="shared" si="1"/>
        <v>-1.8751326656227772E-2</v>
      </c>
      <c r="G12" s="58">
        <f>SUM('1st Qtr'!G12, '2nd Qtr'!G12, '3rd Qtr'!G12, '4th Qtr'!G12)</f>
        <v>1586096.1</v>
      </c>
      <c r="H12" s="58">
        <f>SUM(Jan!H12, Feb!H12, Mar!H12)</f>
        <v>-80776.570000000036</v>
      </c>
      <c r="I12" s="57">
        <f t="shared" si="2"/>
        <v>-5.0927916662805002E-2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422154.77749999997</v>
      </c>
      <c r="D13" s="62">
        <f>SUM('1st Qtr'!D13, '2nd Qtr'!D13, '3rd Qtr'!D13, '4th Qtr'!D13)</f>
        <v>415478.18</v>
      </c>
      <c r="E13" s="62">
        <f t="shared" si="0"/>
        <v>6676.5974999999744</v>
      </c>
      <c r="F13" s="63">
        <f t="shared" si="1"/>
        <v>1.6069670614230511E-2</v>
      </c>
      <c r="G13" s="64">
        <f>SUM('1st Qtr'!G13, '2nd Qtr'!G13, '3rd Qtr'!G13, '4th Qtr'!G13)</f>
        <v>407002.51</v>
      </c>
      <c r="H13" s="64">
        <f>SUM(Jan!H13, Feb!H13, Mar!H13)</f>
        <v>3513.7800000000134</v>
      </c>
      <c r="I13" s="63">
        <f t="shared" si="2"/>
        <v>8.6333128510681992E-3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823505.12000000011</v>
      </c>
      <c r="D14" s="56">
        <f>SUM('1st Qtr'!D14, '2nd Qtr'!D14, '3rd Qtr'!D14, '4th Qtr'!D14)</f>
        <v>962003.68000000017</v>
      </c>
      <c r="E14" s="56">
        <f t="shared" si="0"/>
        <v>-138498.56000000006</v>
      </c>
      <c r="F14" s="69">
        <f t="shared" si="1"/>
        <v>-0.14396884635618029</v>
      </c>
      <c r="G14" s="58">
        <f>SUM('1st Qtr'!G14, '2nd Qtr'!G14, '3rd Qtr'!G14, '4th Qtr'!G14)</f>
        <v>852306.99</v>
      </c>
      <c r="H14" s="58">
        <f>SUM(Jan!H14, Feb!H14, Mar!H14)</f>
        <v>-38015.669999999911</v>
      </c>
      <c r="I14" s="57">
        <f t="shared" si="2"/>
        <v>-4.4603259677595639E-2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823490.4</v>
      </c>
      <c r="D15" s="62">
        <f>SUM('1st Qtr'!D15, '2nd Qtr'!D15, '3rd Qtr'!D15, '4th Qtr'!D15)</f>
        <v>937660.26</v>
      </c>
      <c r="E15" s="62">
        <f t="shared" si="0"/>
        <v>-114169.85999999999</v>
      </c>
      <c r="F15" s="63">
        <f t="shared" si="1"/>
        <v>-0.12176036979534569</v>
      </c>
      <c r="G15" s="64">
        <f>SUM('1st Qtr'!G15, '2nd Qtr'!G15, '3rd Qtr'!G15, '4th Qtr'!G15)</f>
        <v>839077.59</v>
      </c>
      <c r="H15" s="64">
        <f>SUM(Jan!H15, Feb!H15, Mar!H15)</f>
        <v>-30572.690000000017</v>
      </c>
      <c r="I15" s="63">
        <f t="shared" si="2"/>
        <v>-3.6436070232789816E-2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338618.99475000001</v>
      </c>
      <c r="D16" s="56">
        <f>SUM('1st Qtr'!D16, '2nd Qtr'!D16, '3rd Qtr'!D16, '4th Qtr'!D16)</f>
        <v>451959.82</v>
      </c>
      <c r="E16" s="56">
        <f t="shared" ref="E16" si="3">IF(AND(ISNUMBER(C16),ISNUMBER(D16)), C16-D16, "")</f>
        <v>-113340.82524999999</v>
      </c>
      <c r="F16" s="69">
        <f t="shared" ref="F16" si="4">IFERROR(E16/D16, "")</f>
        <v>-0.25077633062602778</v>
      </c>
      <c r="G16" s="58">
        <f>SUM('1st Qtr'!G16, '2nd Qtr'!G16, '3rd Qtr'!G16, '4th Qtr'!G16)</f>
        <v>381294.87</v>
      </c>
      <c r="H16" s="58">
        <f>SUM(Jan!H16, Feb!H16, Mar!H16)</f>
        <v>-28589.281500000005</v>
      </c>
      <c r="I16" s="57">
        <f t="shared" ref="I16" si="5">IFERROR(H16/G16, "")</f>
        <v>-7.497945487700898E-2</v>
      </c>
    </row>
    <row r="17" spans="1:9" ht="14.2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10</v>
      </c>
      <c r="E1" s="93"/>
      <c r="F1" s="93"/>
      <c r="G1" s="91" t="s">
        <v>11</v>
      </c>
      <c r="H1" s="91"/>
      <c r="I1" s="91"/>
    </row>
    <row r="2" spans="1:9" ht="19.5" customHeight="1">
      <c r="A2" s="94" t="s">
        <v>2</v>
      </c>
      <c r="B2" s="94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2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12</v>
      </c>
      <c r="E1" s="93"/>
      <c r="F1" s="93"/>
      <c r="G1" s="91" t="s">
        <v>13</v>
      </c>
      <c r="H1" s="91"/>
      <c r="I1" s="91"/>
    </row>
    <row r="2" spans="1:9" ht="19.5" customHeight="1">
      <c r="A2" s="94" t="s">
        <v>2</v>
      </c>
      <c r="B2" s="94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75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75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75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75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75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1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F6" sqref="F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14</v>
      </c>
      <c r="E1" s="93"/>
      <c r="F1" s="93"/>
      <c r="G1" s="91" t="s">
        <v>15</v>
      </c>
      <c r="H1" s="91"/>
      <c r="I1" s="91"/>
    </row>
    <row r="2" spans="1:9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0</v>
      </c>
      <c r="D4" s="56">
        <f>SUM(Jul!D4, Aug!D4, Sep!D4)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SUM(Jul!H4, Aug!H4, Sep!H4)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SUM(Jul!C5, Aug!C5, Sep!C5)</f>
        <v>0</v>
      </c>
      <c r="D5" s="62">
        <f>SUM(Jul!D5, Aug!D5, Sep!D5)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SUM(Jul!H5, Aug!H5, Sep!H5)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SUM(Jul!C6, Aug!C6, Sep!C6)</f>
        <v>0</v>
      </c>
      <c r="D6" s="56">
        <f>SUM(Jul!D6, Aug!D6, Sep!D6)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SUM(Jul!H6, Aug!H6, Sep!H6)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SUM(Jul!C7, Aug!C7, Sep!C7)</f>
        <v>0</v>
      </c>
      <c r="D7" s="62">
        <f>SUM(Jul!D7, Aug!D7, Sep!D7)</f>
        <v>0</v>
      </c>
      <c r="E7" s="62">
        <f t="shared" si="0"/>
        <v>0</v>
      </c>
      <c r="F7" s="63" t="str">
        <f t="shared" si="1"/>
        <v/>
      </c>
      <c r="G7" s="64"/>
      <c r="H7" s="64">
        <f>SUM(Jul!H7, Aug!H7, Sep!H7)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SUM(Jul!C8, Aug!C8, Sep!C8)</f>
        <v>0</v>
      </c>
      <c r="D8" s="56">
        <f>SUM(Jul!D8, Aug!D8, Sep!D8)</f>
        <v>0</v>
      </c>
      <c r="E8" s="56">
        <f t="shared" si="0"/>
        <v>0</v>
      </c>
      <c r="F8" s="69" t="str">
        <f t="shared" si="1"/>
        <v/>
      </c>
      <c r="G8" s="58"/>
      <c r="H8" s="58">
        <f>SUM(Jul!H8, Aug!H8, Sep!H8)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SUM(Jul!C9, Aug!C9, Sep!C9)</f>
        <v>0</v>
      </c>
      <c r="D9" s="62">
        <f>SUM(Jul!D9, Aug!D9, Sep!D9)</f>
        <v>0</v>
      </c>
      <c r="E9" s="62">
        <f t="shared" si="0"/>
        <v>0</v>
      </c>
      <c r="F9" s="63" t="str">
        <f t="shared" si="1"/>
        <v/>
      </c>
      <c r="G9" s="64"/>
      <c r="H9" s="64">
        <f>SUM(Jul!H9, Aug!H9, Sep!H9)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0</v>
      </c>
      <c r="D10" s="56">
        <f>SUM(Jul!D10, Aug!D10, Sep!D10)</f>
        <v>0</v>
      </c>
      <c r="E10" s="56">
        <f t="shared" si="0"/>
        <v>0</v>
      </c>
      <c r="F10" s="69" t="str">
        <f t="shared" si="1"/>
        <v/>
      </c>
      <c r="G10" s="58"/>
      <c r="H10" s="58">
        <f>SUM(Jul!H10, Aug!H10, Sep!H10)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0</v>
      </c>
      <c r="D11" s="62">
        <f>SUM(Jul!D11, Aug!D11, Sep!D11)</f>
        <v>0</v>
      </c>
      <c r="E11" s="62">
        <f t="shared" si="0"/>
        <v>0</v>
      </c>
      <c r="F11" s="63" t="str">
        <f t="shared" si="1"/>
        <v/>
      </c>
      <c r="G11" s="64"/>
      <c r="H11" s="64">
        <f>SUM(Jul!H11, Aug!H11, Sep!H11)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0</v>
      </c>
      <c r="D12" s="56">
        <f>SUM(Jul!D12, Aug!D12, Sep!D12)</f>
        <v>0</v>
      </c>
      <c r="E12" s="56">
        <f t="shared" si="0"/>
        <v>0</v>
      </c>
      <c r="F12" s="69" t="str">
        <f t="shared" si="1"/>
        <v/>
      </c>
      <c r="G12" s="58"/>
      <c r="H12" s="58">
        <f>SUM(Jul!H12, Aug!H12, Sep!H12)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0</v>
      </c>
      <c r="D13" s="62">
        <f>SUM(Jul!D13, Aug!D13, Sep!D13)</f>
        <v>0</v>
      </c>
      <c r="E13" s="62">
        <f t="shared" si="0"/>
        <v>0</v>
      </c>
      <c r="F13" s="63" t="str">
        <f t="shared" si="1"/>
        <v/>
      </c>
      <c r="G13" s="64"/>
      <c r="H13" s="64">
        <f>SUM(Jul!H13, Aug!H13, Sep!H13)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0</v>
      </c>
      <c r="D14" s="56">
        <f>SUM(Jul!D14, Aug!D14, Sep!D14)</f>
        <v>0</v>
      </c>
      <c r="E14" s="56">
        <f t="shared" si="0"/>
        <v>0</v>
      </c>
      <c r="F14" s="69" t="str">
        <f t="shared" si="1"/>
        <v/>
      </c>
      <c r="G14" s="58"/>
      <c r="H14" s="58">
        <f>SUM(Jul!H14, Aug!H14, Sep!H14)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0</v>
      </c>
      <c r="D15" s="62">
        <f>SUM(Jul!D15, Aug!D15, Sep!D15)</f>
        <v>0</v>
      </c>
      <c r="E15" s="62">
        <f t="shared" si="0"/>
        <v>0</v>
      </c>
      <c r="F15" s="63" t="str">
        <f t="shared" si="1"/>
        <v/>
      </c>
      <c r="G15" s="64"/>
      <c r="H15" s="64">
        <f>SUM(Jul!H15, Aug!H15, Sep!H15)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0</v>
      </c>
      <c r="D16" s="56">
        <f>SUM(Jul!D16, Aug!D16, Sep!D16)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SUM(Jul!H16, Aug!H16, Sep!H16)</f>
        <v>0</v>
      </c>
      <c r="I16" s="57" t="str">
        <f t="shared" ref="I16" si="5">IFERROR(H16/G16, "")</f>
        <v/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16</v>
      </c>
      <c r="E1" s="93"/>
      <c r="F1" s="93"/>
      <c r="G1" s="91" t="s">
        <v>17</v>
      </c>
      <c r="H1" s="91"/>
      <c r="I1" s="91"/>
    </row>
    <row r="2" spans="1:9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2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2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2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2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">
      <c r="A1" s="92" t="str" cm="1">
        <f t="array" ref="A1">portfolio</f>
        <v>MN8 Bond</v>
      </c>
      <c r="B1" s="92"/>
      <c r="C1" s="92"/>
      <c r="D1" s="93" t="s">
        <v>18</v>
      </c>
      <c r="E1" s="93"/>
      <c r="F1" s="93"/>
      <c r="G1" s="91" t="s">
        <v>19</v>
      </c>
      <c r="H1" s="91"/>
      <c r="I1" s="91"/>
      <c r="J1" s="4"/>
      <c r="K1" s="4"/>
    </row>
    <row r="2" spans="1:11" ht="15">
      <c r="A2" s="94" t="s">
        <v>2</v>
      </c>
      <c r="B2" s="94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5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5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2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35</v>
      </c>
      <c r="E1" s="93"/>
      <c r="F1" s="93"/>
      <c r="G1" s="91" t="s">
        <v>36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5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5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53</v>
      </c>
      <c r="E1" s="93"/>
      <c r="F1" s="93"/>
      <c r="G1" s="91" t="s">
        <v>54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5.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5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5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5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99.7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5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5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5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F7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2" t="str" cm="1">
        <f t="array" ref="A1">portfolio</f>
        <v>MN8 Bond</v>
      </c>
      <c r="B1" s="92"/>
      <c r="C1" s="92"/>
      <c r="D1" s="93" t="s">
        <v>76</v>
      </c>
      <c r="E1" s="93"/>
      <c r="F1" s="93"/>
      <c r="G1" s="91" t="s">
        <v>77</v>
      </c>
      <c r="H1" s="91"/>
      <c r="I1" s="91"/>
      <c r="J1" s="4"/>
      <c r="K1" s="4"/>
    </row>
    <row r="2" spans="1:12" ht="19.5" customHeight="1">
      <c r="A2" s="94" t="s">
        <v>2</v>
      </c>
      <c r="B2" s="94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2.5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75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75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75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75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2.7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85.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75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75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75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2.7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10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95</v>
      </c>
      <c r="E1" s="93"/>
      <c r="F1" s="93"/>
      <c r="G1" s="91" t="s">
        <v>96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5.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75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5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5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75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75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75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75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6.5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tabSelected="1" zoomScale="90" zoomScaleNormal="90" workbookViewId="0">
      <pane xSplit="2" ySplit="3" topLeftCell="C11" activePane="bottomRight" state="frozen"/>
      <selection pane="bottomRight" activeCell="I12" sqref="I1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115</v>
      </c>
      <c r="E1" s="93"/>
      <c r="F1" s="93"/>
      <c r="G1" s="91" t="s">
        <v>116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83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5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75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75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91.5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106.5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75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30.75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5.7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xSplit="2" ySplit="3" topLeftCell="C4" activePane="bottomRight" state="frozen"/>
      <selection pane="bottomRight" activeCell="G22" sqref="G2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136</v>
      </c>
      <c r="E1" s="93"/>
      <c r="F1" s="93"/>
      <c r="G1" s="91" t="s">
        <v>137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138</v>
      </c>
      <c r="E1" s="93"/>
      <c r="F1" s="93"/>
      <c r="G1" s="91" t="s">
        <v>139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140</v>
      </c>
      <c r="E1" s="93"/>
      <c r="F1" s="93"/>
      <c r="G1" s="91" t="s">
        <v>141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142</v>
      </c>
      <c r="E1" s="93"/>
      <c r="F1" s="93"/>
      <c r="G1" s="91" t="s">
        <v>143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144</v>
      </c>
      <c r="E1" s="93"/>
      <c r="F1" s="93"/>
      <c r="G1" s="91" t="s">
        <v>145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146</v>
      </c>
      <c r="E1" s="93"/>
      <c r="F1" s="93"/>
      <c r="G1" s="91" t="s">
        <v>147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148</v>
      </c>
      <c r="B1" t="s">
        <v>149</v>
      </c>
    </row>
    <row r="3" spans="1:12">
      <c r="A3" t="s">
        <v>150</v>
      </c>
      <c r="B3" t="s">
        <v>3</v>
      </c>
      <c r="C3" t="s">
        <v>4</v>
      </c>
      <c r="D3" t="s">
        <v>151</v>
      </c>
      <c r="E3" s="2" t="s">
        <v>152</v>
      </c>
    </row>
    <row r="4" spans="1:12" ht="14.25">
      <c r="A4" s="46" t="s">
        <v>153</v>
      </c>
      <c r="B4" t="s">
        <v>154</v>
      </c>
      <c r="C4" s="45" t="s">
        <v>155</v>
      </c>
      <c r="D4" s="44" t="s">
        <v>156</v>
      </c>
      <c r="E4" t="s">
        <v>157</v>
      </c>
      <c r="G4" s="3"/>
    </row>
    <row r="5" spans="1:12" ht="14.25">
      <c r="A5" s="46" t="s">
        <v>158</v>
      </c>
      <c r="B5" t="s">
        <v>159</v>
      </c>
      <c r="C5" s="45" t="s">
        <v>155</v>
      </c>
      <c r="D5" s="44" t="s">
        <v>156</v>
      </c>
      <c r="E5" t="s">
        <v>157</v>
      </c>
      <c r="G5" s="3"/>
    </row>
    <row r="6" spans="1:12" ht="14.25">
      <c r="A6" s="46" t="s">
        <v>160</v>
      </c>
      <c r="B6" t="s">
        <v>161</v>
      </c>
      <c r="C6" s="45" t="s">
        <v>155</v>
      </c>
      <c r="D6" s="44" t="s">
        <v>156</v>
      </c>
      <c r="E6" t="s">
        <v>157</v>
      </c>
      <c r="G6" s="3"/>
    </row>
    <row r="7" spans="1:12" ht="12.75" customHeight="1">
      <c r="A7" s="46" t="s">
        <v>162</v>
      </c>
      <c r="B7" t="s">
        <v>163</v>
      </c>
      <c r="C7" s="45" t="s">
        <v>155</v>
      </c>
      <c r="D7" s="44" t="s">
        <v>156</v>
      </c>
      <c r="E7" t="s">
        <v>157</v>
      </c>
    </row>
    <row r="8" spans="1:12" ht="12.75" customHeight="1">
      <c r="A8" s="46" t="s">
        <v>164</v>
      </c>
      <c r="B8" t="s">
        <v>165</v>
      </c>
      <c r="C8" s="45" t="s">
        <v>155</v>
      </c>
      <c r="D8" s="44" t="s">
        <v>156</v>
      </c>
      <c r="E8" t="s">
        <v>157</v>
      </c>
    </row>
    <row r="9" spans="1:12" ht="12.75" customHeight="1">
      <c r="A9" s="46" t="s">
        <v>166</v>
      </c>
      <c r="B9" t="s">
        <v>167</v>
      </c>
      <c r="C9" s="45" t="s">
        <v>155</v>
      </c>
      <c r="D9" s="44" t="s">
        <v>156</v>
      </c>
      <c r="E9" t="s">
        <v>157</v>
      </c>
    </row>
    <row r="10" spans="1:12" ht="12.75" customHeight="1">
      <c r="A10" s="46" t="s">
        <v>168</v>
      </c>
      <c r="B10" t="s">
        <v>169</v>
      </c>
      <c r="C10" s="45" t="s">
        <v>155</v>
      </c>
      <c r="D10" s="44" t="s">
        <v>156</v>
      </c>
      <c r="E10" t="s">
        <v>157</v>
      </c>
      <c r="K10" s="41"/>
      <c r="L10" s="41"/>
    </row>
    <row r="11" spans="1:12" ht="12.75" customHeight="1">
      <c r="A11" s="46" t="s">
        <v>170</v>
      </c>
      <c r="B11" t="s">
        <v>171</v>
      </c>
      <c r="C11" s="45" t="s">
        <v>155</v>
      </c>
      <c r="D11" s="44" t="s">
        <v>156</v>
      </c>
      <c r="E11" t="s">
        <v>157</v>
      </c>
      <c r="K11" s="41"/>
      <c r="L11" s="41"/>
    </row>
    <row r="12" spans="1:12" ht="12.75" customHeight="1">
      <c r="A12" s="46" t="s">
        <v>172</v>
      </c>
      <c r="B12" t="s">
        <v>173</v>
      </c>
      <c r="C12" s="45" t="s">
        <v>155</v>
      </c>
      <c r="D12" s="44" t="s">
        <v>156</v>
      </c>
      <c r="E12" t="s">
        <v>157</v>
      </c>
      <c r="K12" s="41"/>
      <c r="L12" s="41"/>
    </row>
    <row r="13" spans="1:12" ht="12.75" customHeight="1">
      <c r="A13" s="46" t="s">
        <v>174</v>
      </c>
      <c r="B13" t="s">
        <v>175</v>
      </c>
      <c r="C13" s="45" t="s">
        <v>155</v>
      </c>
      <c r="D13" s="44" t="s">
        <v>156</v>
      </c>
      <c r="E13" t="s">
        <v>157</v>
      </c>
      <c r="K13" s="41"/>
      <c r="L13" s="41"/>
    </row>
    <row r="14" spans="1:12" ht="12.75" customHeight="1">
      <c r="A14" s="46" t="s">
        <v>176</v>
      </c>
      <c r="B14" t="s">
        <v>177</v>
      </c>
      <c r="C14" s="45" t="s">
        <v>155</v>
      </c>
      <c r="D14" s="44" t="s">
        <v>156</v>
      </c>
      <c r="E14" t="s">
        <v>157</v>
      </c>
      <c r="K14" s="41"/>
      <c r="L14" s="41"/>
    </row>
    <row r="15" spans="1:12" ht="12.75" customHeight="1">
      <c r="A15" s="46" t="s">
        <v>178</v>
      </c>
      <c r="B15" t="s">
        <v>179</v>
      </c>
      <c r="C15" s="45" t="s">
        <v>155</v>
      </c>
      <c r="D15" s="44" t="s">
        <v>156</v>
      </c>
      <c r="E15" t="s">
        <v>157</v>
      </c>
      <c r="K15" s="41"/>
      <c r="L15" s="41"/>
    </row>
    <row r="16" spans="1:12" ht="12.75" customHeight="1">
      <c r="A16" s="46" t="s">
        <v>180</v>
      </c>
      <c r="B16" t="s">
        <v>181</v>
      </c>
      <c r="C16" s="45" t="s">
        <v>155</v>
      </c>
      <c r="D16" s="44" t="s">
        <v>156</v>
      </c>
      <c r="E16" t="s">
        <v>157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2024-07-11T16:17:01Z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