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775F76F-1FE6-4E11-94D3-679F360E98A3}" xr6:coauthVersionLast="47" xr6:coauthVersionMax="47" xr10:uidLastSave="{00000000-0000-0000-0000-000000000000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<sst xmlns="http://schemas.openxmlformats.org/spreadsheetml/2006/main" count="240" uniqueCount="54">
  <si>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</si>
  <si>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</si>
  <si>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</si>
  <si>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</si>
  <si>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</si>
  <si>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</si>
  <si>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</si>
  <si>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</si>
  <si>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</si>
  <si>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</si>
  <si>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</si>
  <si>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</si>
  <si>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</si>
  <si>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</si>
  <si>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</si>
  <si>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</si>
  <si>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</si>
  <si>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</si>
  <si>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</si>
  <si>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</si>
  <si>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</si>
  <si>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</si>
  <si>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</si>
  <si>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</si>
  <si>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</si>
  <si>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</si>
  <si>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</si>
  <si>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</si>
  <si>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</si>
  <si>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</si>
  <si>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</si>
  <si>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</si>
  <si>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</si>
  <si>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</si>
  <si>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</si>
  <si>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</si>
  <si>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</si>
  <si>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</si>
  <si>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</si>
  <si>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</si>
  <si>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</si>
  <si>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</si>
  <si>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</si>
  <si>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</si>
  <si>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</si>
  <si>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National Grid</t>
  </si>
  <si>
    <t>Site DAS Name</t>
  </si>
  <si>
    <t>Update</t>
  </si>
  <si>
    <t>DAS</t>
  </si>
  <si>
    <t>PIII - Electric St, Athol</t>
  </si>
  <si>
    <t>NGRID - PIII - Electric St, Athol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</si>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</sst>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SUM(C4:C77)</f>
        <v>117057.675</v>
      </c>
      <c r="D2" s="5">
        <f>SUM(D4:D77)</f>
        <v>122544.182</v>
      </c>
      <c r="E2" s="5">
        <f>C2-D2</f>
        <v>-5486.5069999999978</v>
      </c>
      <c r="F2" s="6">
        <f>IFERROR(E2/D2, 0)</f>
        <v>-4.4771664476082572E-2</v>
      </c>
      <c r="G2" s="5">
        <f>SUM(G4:G77)</f>
        <v>93206.790000000008</v>
      </c>
      <c r="H2" s="7">
        <f>C2-G2</f>
        <v>23850.884999999995</v>
      </c>
      <c r="I2" s="6">
        <f>IFERROR(H2/G2, 0)</f>
        <v>0.25589214047603176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NGRID - PIII - Electric St, Athol</v>
      </c>
      <c r="B4" s="9" t="str" cm="1">
        <f t="array" ref="B4">Sites[State]</f>
        <v>MA</v>
      </c>
      <c r="C4" s="23">
        <f>SUM('1st Qtr'!C4, '2nd Qtr'!C4, '3rd Qtr'!C4, '4th Qtr'!C4)</f>
        <v>117057.675</v>
      </c>
      <c r="D4" s="12">
        <f>SUM('1st Qtr'!D4, '2nd Qtr'!D4, '3rd Qtr'!D4, '4th Qtr'!D4)</f>
        <v>122544.182</v>
      </c>
      <c r="E4" s="12">
        <f>IF(AND(ISNUMBER(C4),ISNUMBER(D4)), C4-D4, "")</f>
        <v>-5486.5069999999978</v>
      </c>
      <c r="F4" s="13">
        <f>IFERROR(E4/D4, "")</f>
        <v>-4.4771664476082572E-2</v>
      </c>
      <c r="G4" s="14">
        <f>SUM('1st Qtr'!G4, '2nd Qtr'!G4, '3rd Qtr'!G4, '4th Qtr'!G4)</f>
        <v>93206.790000000008</v>
      </c>
      <c r="H4" s="14">
        <f>SUM('1st Qtr'!H4, '2nd Qtr'!H4, '3rd Qtr'!H4, '4th Qtr'!H4)</f>
        <v>23850.884999999998</v>
      </c>
      <c r="I4" s="15">
        <f>IFERROR(H4/G4, "")</f>
        <v>0.25589214047603182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SUM(C4:C77)</f>
        <v>39722.5</v>
      </c>
      <c r="D2" s="5">
        <f>SUM(D4:D77)</f>
        <v>45212.182000000001</v>
      </c>
      <c r="E2" s="5">
        <f>C2-D2</f>
        <v>-5489.6820000000007</v>
      </c>
      <c r="F2" s="6">
        <f>IFERROR(E2/D2, 0)</f>
        <v>-0.12142041717871525</v>
      </c>
      <c r="G2" s="5">
        <f>SUM(G4:G77)</f>
        <v>40713.72</v>
      </c>
      <c r="H2" s="7">
        <f>C2-G2</f>
        <v>-991.22000000000116</v>
      </c>
      <c r="I2" s="6">
        <f>IFERROR(H2/G2, 0)</f>
        <v>-2.4346092668515704E-2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SUM(Jan!C4, Feb!C4, Mar!C4)</f>
        <v>39722.5</v>
      </c>
      <c r="D4" s="12">
        <f>SUM(Jan!D4, Feb!D4, Mar!D4)</f>
        <v>45212.182000000001</v>
      </c>
      <c r="E4" s="12">
        <f>IF(AND(ISNUMBER(C4),ISNUMBER(D4)), C4-D4, "")</f>
        <v>-5489.6820000000007</v>
      </c>
      <c r="F4" s="13">
        <f>IFERROR(E4/D4, "")</f>
        <v>-0.12142041717871525</v>
      </c>
      <c r="G4" s="14">
        <f>SUM(Jan!G4, Feb!G4, Mar!G4)</f>
        <v>40713.72</v>
      </c>
      <c r="H4" s="14">
        <f>SUM(Jan!H4, Feb!H4, Mar!H4)</f>
        <v>-991.22000000000116</v>
      </c>
      <c r="I4" s="15">
        <f>IFERROR(H4/G4, "")</f>
        <v>-2.4346092668515704E-2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E12" sqref="E12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SUM(C4:C77)</f>
        <v>77335.175000000003</v>
      </c>
      <c r="D2" s="5">
        <f>SUM(D4:D77)</f>
        <v>77332</v>
      </c>
      <c r="E2" s="5">
        <f>C2-D2</f>
        <v>3.1750000000029104</v>
      </c>
      <c r="F2" s="6">
        <f>IFERROR(E2/D2, 0)</f>
        <v>4.1056742357664491E-5</v>
      </c>
      <c r="G2" s="5">
        <f>SUM(G4:G77)</f>
        <v>52493.070000000007</v>
      </c>
      <c r="H2" s="7">
        <f>C2-G2</f>
        <v>24842.104999999996</v>
      </c>
      <c r="I2" s="6">
        <f>IFERROR(H2/G2, 0)</f>
        <v>0.47324542077649473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SUM(Apr!C4, May!C4, Jun!C4)</f>
        <v>77335.175000000003</v>
      </c>
      <c r="D4" s="12">
        <f>SUM(Apr!D4, May!D4, Jun!D4)</f>
        <v>77332</v>
      </c>
      <c r="E4" s="12">
        <f>IF(AND(ISNUMBER(C4),ISNUMBER(D4)), C4-D4, "")</f>
        <v>3.1750000000029104</v>
      </c>
      <c r="F4" s="13">
        <f>IFERROR(E4/D4, "")</f>
        <v>4.1056742357664491E-5</v>
      </c>
      <c r="G4" s="14">
        <f>SUM(Apr!G4,May!G4,Jun!G4)</f>
        <v>52493.070000000007</v>
      </c>
      <c r="H4" s="14">
        <f>SUM(Apr!H4, May!H4, Jun!H4)</f>
        <v>24842.105</v>
      </c>
      <c r="I4" s="15">
        <f>IFERROR(H4/G4, "")</f>
        <v>0.47324542077649479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NGRID - PIII - Electric St, Athol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G14" sqref="G14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SUM(C4:C76)</f>
        <v>3705</v>
      </c>
      <c r="D2" s="5">
        <f>SUM(D4:D76)</f>
        <v>7565.6319999999996</v>
      </c>
      <c r="E2" s="5">
        <f>C2-D2</f>
        <v>-3860.6319999999996</v>
      </c>
      <c r="F2" s="6">
        <f>IFERROR(E2/D2, 0)</f>
        <v>-0.5102854592980467</v>
      </c>
      <c r="G2" s="5">
        <f>SUM(G4:G76)</f>
        <v>11180.68</v>
      </c>
      <c r="H2" s="7">
        <f>C2-G2</f>
        <v>-7475.68</v>
      </c>
      <c r="I2" s="6">
        <f>IFERROR(H2/G2, 0)</f>
        <v>-0.66862480636240373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NGRID - PIII - Electric St, Athol</v>
      </c>
      <c r="B4" s="27" t="str" cm="1">
        <f t="array" ref="B4">Sites[State]</f>
        <v>MA</v>
      </c>
      <c r="C4" s="12">
        <v>3705</v>
      </c>
      <c r="D4" s="12">
        <v>7565.6319999999996</v>
      </c>
      <c r="E4" s="12">
        <f>IF(AND(ISNUMBER(C4),ISNUMBER(D4)), C4-D4, "")</f>
        <v>-3860.6319999999996</v>
      </c>
      <c r="F4" s="39">
        <f>IFERROR(E4/D4, "")</f>
        <v>-0.5102854592980467</v>
      </c>
      <c r="G4" s="14">
        <v>11180.68</v>
      </c>
      <c r="H4" s="14">
        <f>IF(AND(ISNUMBER(C4),ISNUMBER(G4)), C4-G4, "")</f>
        <v>-7475.68</v>
      </c>
      <c r="I4" s="15">
        <f>IFERROR(H4/G4, "")</f>
        <v>-0.66862480636240373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G11" sqref="G11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22</v>
      </c>
      <c r="E1" s="50"/>
      <c r="F1" s="50"/>
      <c r="G1" s="48" t="s">
        <v>23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16526.5</v>
      </c>
      <c r="D2" s="5">
        <f>SUM(D4:D77)</f>
        <v>17455.55</v>
      </c>
      <c r="E2" s="5">
        <f>C2-D2</f>
        <v>-929.04999999999927</v>
      </c>
      <c r="F2" s="6">
        <f>IFERROR(E2/D2, 0)</f>
        <v>-5.3223759778408548E-2</v>
      </c>
      <c r="G2" s="5">
        <f>SUM(G4:G77)</f>
        <v>13196.04</v>
      </c>
      <c r="H2" s="7">
        <f>C2-G2</f>
        <v>3330.4599999999991</v>
      </c>
      <c r="I2" s="6">
        <f>IFERROR(H2/G2, 0)</f>
        <v>0.25238329074479909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NGRID - PIII - Electric St, Athol</v>
      </c>
      <c r="B4" s="27" t="str" cm="1">
        <f t="array" ref="B4">Sites[State]</f>
        <v>MA</v>
      </c>
      <c r="C4" s="23">
        <v>16526.5</v>
      </c>
      <c r="D4" s="12">
        <v>17455.55</v>
      </c>
      <c r="E4" s="12">
        <f>IF(AND(ISNUMBER(C4),ISNUMBER(D4)), C4-D4, "")</f>
        <v>-929.04999999999927</v>
      </c>
      <c r="F4" s="13">
        <f>IFERROR(E4/D4, "")</f>
        <v>-5.3223759778408548E-2</v>
      </c>
      <c r="G4" s="14">
        <v>13196.04</v>
      </c>
      <c r="H4" s="14">
        <f>IF(AND(ISNUMBER(C4),ISNUMBER(G4)), C4-G4, "")</f>
        <v>3330.4599999999991</v>
      </c>
      <c r="I4" s="15">
        <f>IFERROR(H4/G4, "")</f>
        <v>0.25238329074479909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E4" activePane="bottomRight" state="frozen"/>
      <selection pane="bottomRight" activeCell="E10" sqref="E10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19491</v>
      </c>
      <c r="D2" s="5">
        <f>SUM(D4:D77)</f>
        <v>20191</v>
      </c>
      <c r="E2" s="5">
        <f>C2-D2</f>
        <v>-700</v>
      </c>
      <c r="F2" s="6">
        <f>IFERROR(E2/D2, 0)</f>
        <v>-3.4668911891436782E-2</v>
      </c>
      <c r="G2" s="5">
        <f>SUM(G4:G77)</f>
        <v>16337</v>
      </c>
      <c r="H2" s="7">
        <f>C2-G2</f>
        <v>3154</v>
      </c>
      <c r="I2" s="6">
        <f>IFERROR(H2/G2, 0)</f>
        <v>0.19305870110791454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19491</v>
      </c>
      <c r="D4" s="12">
        <v>20191</v>
      </c>
      <c r="E4" s="12">
        <f>IF(AND(ISNUMBER(C4),ISNUMBER(D4)), C4-D4, "")</f>
        <v>-700</v>
      </c>
      <c r="F4" s="13">
        <f>IFERROR(E4/D4, "")</f>
        <v>-3.4668911891436782E-2</v>
      </c>
      <c r="G4" s="14">
        <v>16337</v>
      </c>
      <c r="H4" s="14">
        <f>IF(AND(ISNUMBER(C4),ISNUMBER(G4)), C4-G4, "")</f>
        <v>3154</v>
      </c>
      <c r="I4" s="15">
        <f>IFERROR(H4/G4, "")</f>
        <v>0.19305870110791454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D4" activePane="bottomRight" state="frozen"/>
      <selection pane="bottomRight" activeCell="G5" sqref="G5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21790</v>
      </c>
      <c r="D2" s="5">
        <f>SUM(D4:D77)</f>
        <v>22066.9</v>
      </c>
      <c r="E2" s="5">
        <f>C2-D2</f>
        <v>-276.90000000000146</v>
      </c>
      <c r="F2" s="6">
        <f>IFERROR(E2/D2, 0)</f>
        <v>-1.2548205683625767E-2</v>
      </c>
      <c r="G2" s="5">
        <f>SUM(G4:G77)</f>
        <v>16572</v>
      </c>
      <c r="H2" s="7">
        <f>C2-G2</f>
        <v>5218</v>
      </c>
      <c r="I2" s="6">
        <f>IFERROR(H2/G2, 0)</f>
        <v>0.31486845281197201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21790</v>
      </c>
      <c r="D4" s="12">
        <v>22066.9</v>
      </c>
      <c r="E4" s="12">
        <f>IF(AND(ISNUMBER(C4),ISNUMBER(D4)), C4-D4, "")</f>
        <v>-276.90000000000146</v>
      </c>
      <c r="F4" s="13">
        <f>IFERROR(E4/D4, "")</f>
        <v>-1.2548205683625767E-2</v>
      </c>
      <c r="G4" s="14">
        <v>16572</v>
      </c>
      <c r="H4" s="14">
        <f>IF(AND(ISNUMBER(C4),ISNUMBER(G4)), C4-G4, "")</f>
        <v>5218</v>
      </c>
      <c r="I4" s="15">
        <f>IFERROR(H4/G4, "")</f>
        <v>0.31486845281197201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D4" activePane="bottomRight" state="frozen"/>
      <selection pane="bottomRight" activeCell="G5" sqref="G5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27300.375</v>
      </c>
      <c r="D2" s="5">
        <f>SUM(D4:D77)</f>
        <v>27014.799999999999</v>
      </c>
      <c r="E2" s="5">
        <f>C2-D2</f>
        <v>285.57500000000073</v>
      </c>
      <c r="F2" s="6">
        <f>IFERROR(E2/D2, 0)</f>
        <v>1.0571057346343513E-2</v>
      </c>
      <c r="G2" s="5">
        <f>SUM(G4:G77)</f>
        <v>18108.77</v>
      </c>
      <c r="H2" s="7">
        <f>C2-G2</f>
        <v>9191.6049999999996</v>
      </c>
      <c r="I2" s="6">
        <f>IFERROR(H2/G2, 0)</f>
        <v>0.50757754391932741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27300.375</v>
      </c>
      <c r="D4" s="12">
        <v>27014.799999999999</v>
      </c>
      <c r="E4" s="12">
        <f>IF(AND(ISNUMBER(C4),ISNUMBER(D4)), C4-D4, "")</f>
        <v>285.57500000000073</v>
      </c>
      <c r="F4" s="13">
        <f>IFERROR(E4/D4, "")</f>
        <v>1.0571057346343513E-2</v>
      </c>
      <c r="G4" s="14">
        <v>18108.77</v>
      </c>
      <c r="H4" s="14">
        <f>IF(AND(ISNUMBER(C4),ISNUMBER(G4)), C4-G4, "")</f>
        <v>9191.6049999999996</v>
      </c>
      <c r="I4" s="15">
        <f>IFERROR(H4/G4, "")</f>
        <v>0.50757754391932741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D6" sqref="D6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28244.799999999999</v>
      </c>
      <c r="D2" s="5">
        <f>SUM(D4:D77)</f>
        <v>28250.3</v>
      </c>
      <c r="E2" s="5">
        <f>C2-D2</f>
        <v>-5.5</v>
      </c>
      <c r="F2" s="6">
        <f>IFERROR(E2/D2, 0)</f>
        <v>-1.9468819800143715E-4</v>
      </c>
      <c r="G2" s="5">
        <f>SUM(G4:G77)</f>
        <v>17812.3</v>
      </c>
      <c r="H2" s="7">
        <f>C2-G2</f>
        <v>10432.5</v>
      </c>
      <c r="I2" s="6">
        <f>IFERROR(H2/G2, 0)</f>
        <v>0.58569078670357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28244.799999999999</v>
      </c>
      <c r="D4" s="12">
        <v>28250.3</v>
      </c>
      <c r="E4" s="12">
        <f>IF(AND(ISNUMBER(C4),ISNUMBER(D4)), C4-D4, "")</f>
        <v>-5.5</v>
      </c>
      <c r="F4" s="13">
        <f>IFERROR(E4/D4, "")</f>
        <v>-1.9468819800143715E-4</v>
      </c>
      <c r="G4" s="14">
        <v>17812.3</v>
      </c>
      <c r="H4" s="14">
        <f>IF(AND(ISNUMBER(C4),ISNUMBER(G4)), C4-G4, "")</f>
        <v>10432.5</v>
      </c>
      <c r="I4" s="15">
        <f>IFERROR(H4/G4, "")</f>
        <v>0.58569078670357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32</v>
      </c>
      <c r="E1" s="50"/>
      <c r="F1" s="50"/>
      <c r="G1" s="48" t="s">
        <v>33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34</v>
      </c>
      <c r="E1" s="50"/>
      <c r="F1" s="50"/>
      <c r="G1" s="48" t="s">
        <v>35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44" t="s">
        <v>49</v>
      </c>
      <c r="B4" t="s">
        <v>50</v>
      </c>
      <c r="C4" s="42" t="s">
        <v>51</v>
      </c>
      <c r="D4" s="46" t="s">
        <v>52</v>
      </c>
      <c r="E4" s="47" t="s">
        <v>53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2024-07-14T17:45:31Z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