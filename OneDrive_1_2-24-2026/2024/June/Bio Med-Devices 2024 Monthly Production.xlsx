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13_ncr:1_{07CA3144-1F2E-43B9-8F5C-5726656F2440}" xr6:coauthVersionLast="47" xr6:coauthVersionMax="47" xr10:uidLastSave="{00000000-0000-0000-0000-000000000000}"/>
  <bookViews>
    <workbookView xWindow="-108" yWindow="-108" windowWidth="23256" windowHeight="12456" tabRatio="866" firstSheet="2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<sst xmlns="http://schemas.openxmlformats.org/spreadsheetml/2006/main" count="242" uniqueCount="55">
  <si>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</si>
  <si>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</si>
  <si>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</si>
  <si>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</si>
  <si>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</si>
  <si>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</si>
  <si>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</si>
  <si>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</si>
  <si>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</si>
  <si>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</si>
  <si>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</si>
  <si>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</si>
  <si>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</si>
  <si>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</si>
  <si>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</si>
  <si>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</si>
  <si>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</si>
  <si>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</si>
  <si>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</si>
  <si>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</si>
  <si>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</si>
  <si>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</si>
  <si>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</si>
  <si>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</si>
  <si>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</si>
  <si>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</si>
  <si>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3 is offline from 03/22 to 03/25.</t>
  </si>
  <si>
    <t>1. SR082391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</si>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</sst>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E20" sqref="E2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2" t="str" cm="1">
        <f t="array" ref="A1">portfolio</f>
        <v>Bio-Med Devices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 x14ac:dyDescent="0.25">
      <c r="A2" s="44" t="s">
        <v>2</v>
      </c>
      <c r="B2" s="44"/>
      <c r="C2" s="5">
        <f>SUM(C4:C74)</f>
        <v>78601.16</v>
      </c>
      <c r="D2" s="5">
        <f>SUM(D4:D74)</f>
        <v>0</v>
      </c>
      <c r="E2" s="5">
        <f>C2-D2</f>
        <v>78601.16</v>
      </c>
      <c r="F2" s="6">
        <f>IFERROR(E2/D2, 0)</f>
        <v>0</v>
      </c>
      <c r="G2" s="5">
        <f>SUM(G4:G74)</f>
        <v>83188.323000000004</v>
      </c>
      <c r="H2" s="7">
        <f>C2-G2</f>
        <v>-4587.1630000000005</v>
      </c>
      <c r="I2" s="6">
        <f>IFERROR(H2/G2, 0)</f>
        <v>-5.514190976058022E-2</v>
      </c>
    </row>
    <row r="3" spans="1:9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 x14ac:dyDescent="0.25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78601.16</v>
      </c>
      <c r="D4" s="11">
        <f>SUM('1st Qtr'!D4, '2nd Qtr'!D4, '3rd Qtr'!D4, '4th Qtr'!D4)</f>
        <v>0</v>
      </c>
      <c r="E4" s="11">
        <f>IF(AND(ISNUMBER(C4),ISNUMBER(D4)), C4-D4, "")</f>
        <v>78601.16</v>
      </c>
      <c r="F4" s="12" t="str">
        <f>IFERROR(E4/D4, "")</f>
        <v/>
      </c>
      <c r="G4" s="13">
        <f>SUM('1st Qtr'!G4, '2nd Qtr'!G4, '3rd Qtr'!G4, '4th Qtr'!G4)</f>
        <v>83188.323000000004</v>
      </c>
      <c r="H4" s="13">
        <f>SUM('1st Qtr'!H4, '2nd Qtr'!H4, '3rd Qtr'!H4, '4th Qtr'!H4)</f>
        <v>-4587.1630000000005</v>
      </c>
      <c r="I4" s="14">
        <f>IFERROR(H4/G4, "")</f>
        <v>-5.514190976058022E-2</v>
      </c>
    </row>
    <row r="5" spans="1:9" ht="13.8" x14ac:dyDescent="0.3">
      <c r="A5" s="16"/>
      <c r="B5" s="16"/>
      <c r="C5" s="16"/>
      <c r="D5" s="16"/>
      <c r="E5" s="16"/>
      <c r="F5" s="16"/>
      <c r="G5" s="16"/>
      <c r="H5" s="16"/>
      <c r="I5" s="16"/>
    </row>
    <row r="6" spans="1:9" ht="13.8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ht="13.8" x14ac:dyDescent="0.3">
      <c r="A7" s="16"/>
      <c r="B7" s="16"/>
      <c r="C7" s="16"/>
      <c r="D7" s="16"/>
      <c r="E7" s="16"/>
      <c r="F7" s="17"/>
      <c r="G7" s="16"/>
      <c r="H7" s="16"/>
      <c r="I7" s="17"/>
    </row>
    <row r="8" spans="1:9" ht="13.8" x14ac:dyDescent="0.3">
      <c r="A8" s="16"/>
      <c r="B8" s="16"/>
      <c r="C8" s="16"/>
      <c r="D8" s="16"/>
      <c r="E8" s="16"/>
      <c r="F8" s="17"/>
      <c r="G8" s="16"/>
      <c r="H8" s="16"/>
      <c r="I8" s="17"/>
    </row>
    <row r="9" spans="1:9" ht="13.8" x14ac:dyDescent="0.3">
      <c r="A9" s="16"/>
      <c r="B9" s="16"/>
      <c r="C9" s="16"/>
      <c r="D9" s="16"/>
      <c r="E9" s="16"/>
      <c r="F9" s="17"/>
      <c r="G9" s="16"/>
      <c r="H9" s="16"/>
      <c r="I9" s="17"/>
    </row>
    <row r="10" spans="1:9" ht="13.8" x14ac:dyDescent="0.3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8" x14ac:dyDescent="0.3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8" x14ac:dyDescent="0.3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8" x14ac:dyDescent="0.3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8" x14ac:dyDescent="0.3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8" x14ac:dyDescent="0.3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8" x14ac:dyDescent="0.3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8" x14ac:dyDescent="0.3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8" x14ac:dyDescent="0.3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8" x14ac:dyDescent="0.3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8" x14ac:dyDescent="0.3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8" x14ac:dyDescent="0.3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8" x14ac:dyDescent="0.3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8" x14ac:dyDescent="0.3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8" x14ac:dyDescent="0.3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8" x14ac:dyDescent="0.3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8" x14ac:dyDescent="0.3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8" x14ac:dyDescent="0.3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8" x14ac:dyDescent="0.3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8" x14ac:dyDescent="0.3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8" x14ac:dyDescent="0.3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8" x14ac:dyDescent="0.3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8" x14ac:dyDescent="0.3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8" x14ac:dyDescent="0.3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8" x14ac:dyDescent="0.3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8" x14ac:dyDescent="0.3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8" x14ac:dyDescent="0.3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8" x14ac:dyDescent="0.3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8" x14ac:dyDescent="0.3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8" x14ac:dyDescent="0.3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8" x14ac:dyDescent="0.3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8" x14ac:dyDescent="0.3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8" x14ac:dyDescent="0.3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8" x14ac:dyDescent="0.3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8" x14ac:dyDescent="0.3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8" x14ac:dyDescent="0.3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8" x14ac:dyDescent="0.3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8" x14ac:dyDescent="0.3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8" x14ac:dyDescent="0.3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8" x14ac:dyDescent="0.3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8" x14ac:dyDescent="0.3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8" x14ac:dyDescent="0.3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8" x14ac:dyDescent="0.3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8" x14ac:dyDescent="0.3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8" x14ac:dyDescent="0.3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8" x14ac:dyDescent="0.3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8" x14ac:dyDescent="0.3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8" x14ac:dyDescent="0.3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8" x14ac:dyDescent="0.3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8" x14ac:dyDescent="0.3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8" x14ac:dyDescent="0.3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8" x14ac:dyDescent="0.3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8" x14ac:dyDescent="0.3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8" x14ac:dyDescent="0.3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8" x14ac:dyDescent="0.3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8" x14ac:dyDescent="0.3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8" x14ac:dyDescent="0.3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8" x14ac:dyDescent="0.3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8" x14ac:dyDescent="0.3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8" x14ac:dyDescent="0.3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8" x14ac:dyDescent="0.3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8" x14ac:dyDescent="0.3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8" x14ac:dyDescent="0.3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8" x14ac:dyDescent="0.3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8" x14ac:dyDescent="0.3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8" x14ac:dyDescent="0.3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8" x14ac:dyDescent="0.3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8" x14ac:dyDescent="0.3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8" x14ac:dyDescent="0.3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8" x14ac:dyDescent="0.3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8" x14ac:dyDescent="0.3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8" x14ac:dyDescent="0.3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8" x14ac:dyDescent="0.3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8" x14ac:dyDescent="0.3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8" x14ac:dyDescent="0.3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8" x14ac:dyDescent="0.3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8" x14ac:dyDescent="0.3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8" x14ac:dyDescent="0.3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8" x14ac:dyDescent="0.3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8" x14ac:dyDescent="0.3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8" x14ac:dyDescent="0.3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8" x14ac:dyDescent="0.3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8" x14ac:dyDescent="0.3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8" x14ac:dyDescent="0.3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8" x14ac:dyDescent="0.3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8" x14ac:dyDescent="0.3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8" x14ac:dyDescent="0.3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8" x14ac:dyDescent="0.3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8" x14ac:dyDescent="0.3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8" x14ac:dyDescent="0.3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8" x14ac:dyDescent="0.3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8" x14ac:dyDescent="0.3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8" x14ac:dyDescent="0.3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8" x14ac:dyDescent="0.3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8" x14ac:dyDescent="0.3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8" x14ac:dyDescent="0.3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8" x14ac:dyDescent="0.3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8" x14ac:dyDescent="0.3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8" x14ac:dyDescent="0.3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8" x14ac:dyDescent="0.3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8" x14ac:dyDescent="0.3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8" x14ac:dyDescent="0.3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8" x14ac:dyDescent="0.3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8" x14ac:dyDescent="0.3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8" x14ac:dyDescent="0.3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8" x14ac:dyDescent="0.3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8" x14ac:dyDescent="0.3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8" x14ac:dyDescent="0.3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8" x14ac:dyDescent="0.3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8" x14ac:dyDescent="0.3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8" x14ac:dyDescent="0.3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8" x14ac:dyDescent="0.3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8" x14ac:dyDescent="0.3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8" x14ac:dyDescent="0.3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8" x14ac:dyDescent="0.3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8" x14ac:dyDescent="0.3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8" x14ac:dyDescent="0.3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8" x14ac:dyDescent="0.3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8" x14ac:dyDescent="0.3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8" x14ac:dyDescent="0.3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8" x14ac:dyDescent="0.3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8" x14ac:dyDescent="0.3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8" x14ac:dyDescent="0.3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8" x14ac:dyDescent="0.3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8" x14ac:dyDescent="0.3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8" x14ac:dyDescent="0.3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8" x14ac:dyDescent="0.3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8" x14ac:dyDescent="0.3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8" x14ac:dyDescent="0.3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8" x14ac:dyDescent="0.3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8" x14ac:dyDescent="0.3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8" x14ac:dyDescent="0.3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8" x14ac:dyDescent="0.3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8" x14ac:dyDescent="0.3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8" x14ac:dyDescent="0.3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8" x14ac:dyDescent="0.3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8" x14ac:dyDescent="0.3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8" x14ac:dyDescent="0.3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8" x14ac:dyDescent="0.3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8" x14ac:dyDescent="0.3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8" x14ac:dyDescent="0.3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8" x14ac:dyDescent="0.3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8" x14ac:dyDescent="0.3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8" x14ac:dyDescent="0.3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8" x14ac:dyDescent="0.3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8" x14ac:dyDescent="0.3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8" x14ac:dyDescent="0.3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8" x14ac:dyDescent="0.3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8" x14ac:dyDescent="0.3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8" x14ac:dyDescent="0.3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8" x14ac:dyDescent="0.3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8" x14ac:dyDescent="0.3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8" x14ac:dyDescent="0.3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8" x14ac:dyDescent="0.3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8" x14ac:dyDescent="0.3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8" x14ac:dyDescent="0.3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8" x14ac:dyDescent="0.3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8" x14ac:dyDescent="0.3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8" x14ac:dyDescent="0.3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8" x14ac:dyDescent="0.3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8" x14ac:dyDescent="0.3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8" x14ac:dyDescent="0.3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8" x14ac:dyDescent="0.3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8" x14ac:dyDescent="0.3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8" x14ac:dyDescent="0.3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8" x14ac:dyDescent="0.3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8" x14ac:dyDescent="0.3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8" x14ac:dyDescent="0.3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8" x14ac:dyDescent="0.3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8" x14ac:dyDescent="0.3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8" x14ac:dyDescent="0.3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8" x14ac:dyDescent="0.3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8" x14ac:dyDescent="0.3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8" x14ac:dyDescent="0.3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8" x14ac:dyDescent="0.3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8" x14ac:dyDescent="0.3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8" x14ac:dyDescent="0.3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8" x14ac:dyDescent="0.3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8" x14ac:dyDescent="0.3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8" x14ac:dyDescent="0.3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8" x14ac:dyDescent="0.3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8" x14ac:dyDescent="0.3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8" x14ac:dyDescent="0.3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8" x14ac:dyDescent="0.3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8" x14ac:dyDescent="0.3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8" x14ac:dyDescent="0.3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8" x14ac:dyDescent="0.3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8" x14ac:dyDescent="0.3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8" x14ac:dyDescent="0.3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8" x14ac:dyDescent="0.3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8" x14ac:dyDescent="0.3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8" x14ac:dyDescent="0.3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8" x14ac:dyDescent="0.3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8" x14ac:dyDescent="0.3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8" x14ac:dyDescent="0.3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8" x14ac:dyDescent="0.3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8" x14ac:dyDescent="0.3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8" x14ac:dyDescent="0.3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8" x14ac:dyDescent="0.3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8" x14ac:dyDescent="0.3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8" x14ac:dyDescent="0.3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8" x14ac:dyDescent="0.3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8" x14ac:dyDescent="0.3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8" x14ac:dyDescent="0.3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8" x14ac:dyDescent="0.3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8" x14ac:dyDescent="0.3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8" x14ac:dyDescent="0.3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8" x14ac:dyDescent="0.3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8" x14ac:dyDescent="0.3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8" x14ac:dyDescent="0.3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8" x14ac:dyDescent="0.3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8" x14ac:dyDescent="0.3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8" x14ac:dyDescent="0.3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8" x14ac:dyDescent="0.3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8" x14ac:dyDescent="0.3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8" x14ac:dyDescent="0.3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8" x14ac:dyDescent="0.3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8" x14ac:dyDescent="0.3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8" x14ac:dyDescent="0.3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8" x14ac:dyDescent="0.3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8" x14ac:dyDescent="0.3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8" x14ac:dyDescent="0.3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8" x14ac:dyDescent="0.3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8" x14ac:dyDescent="0.3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8" x14ac:dyDescent="0.3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8" x14ac:dyDescent="0.3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8" x14ac:dyDescent="0.3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8" x14ac:dyDescent="0.3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8" x14ac:dyDescent="0.3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8" x14ac:dyDescent="0.3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8" x14ac:dyDescent="0.3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8" x14ac:dyDescent="0.3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8" x14ac:dyDescent="0.3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8" x14ac:dyDescent="0.3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8" x14ac:dyDescent="0.3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8" x14ac:dyDescent="0.3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8" x14ac:dyDescent="0.3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8" x14ac:dyDescent="0.3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8" x14ac:dyDescent="0.3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8" x14ac:dyDescent="0.3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8" x14ac:dyDescent="0.3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8" x14ac:dyDescent="0.3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8" x14ac:dyDescent="0.3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8" x14ac:dyDescent="0.3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8" x14ac:dyDescent="0.3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8" x14ac:dyDescent="0.3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8" x14ac:dyDescent="0.3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8" x14ac:dyDescent="0.3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8" x14ac:dyDescent="0.3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8" x14ac:dyDescent="0.3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8" x14ac:dyDescent="0.3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8" x14ac:dyDescent="0.3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8" x14ac:dyDescent="0.3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8" x14ac:dyDescent="0.3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8" x14ac:dyDescent="0.3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8" x14ac:dyDescent="0.3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8" x14ac:dyDescent="0.3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8" x14ac:dyDescent="0.3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8" x14ac:dyDescent="0.3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8" x14ac:dyDescent="0.3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8" x14ac:dyDescent="0.3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8" x14ac:dyDescent="0.3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8" x14ac:dyDescent="0.3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8" x14ac:dyDescent="0.3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8" x14ac:dyDescent="0.3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8" x14ac:dyDescent="0.3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8" x14ac:dyDescent="0.3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8" x14ac:dyDescent="0.3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8" x14ac:dyDescent="0.3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8" x14ac:dyDescent="0.3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8" x14ac:dyDescent="0.3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8" x14ac:dyDescent="0.3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8" x14ac:dyDescent="0.3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8" x14ac:dyDescent="0.3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8" x14ac:dyDescent="0.3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8" x14ac:dyDescent="0.3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8" x14ac:dyDescent="0.3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8" x14ac:dyDescent="0.3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8" x14ac:dyDescent="0.3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8" x14ac:dyDescent="0.3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8" x14ac:dyDescent="0.3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8" x14ac:dyDescent="0.3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8" x14ac:dyDescent="0.3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8" x14ac:dyDescent="0.3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8" x14ac:dyDescent="0.3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8" x14ac:dyDescent="0.3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8" x14ac:dyDescent="0.3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8" x14ac:dyDescent="0.3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8" x14ac:dyDescent="0.3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8" x14ac:dyDescent="0.3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8" x14ac:dyDescent="0.3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8" x14ac:dyDescent="0.3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8" x14ac:dyDescent="0.3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8" x14ac:dyDescent="0.3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8" x14ac:dyDescent="0.3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8" x14ac:dyDescent="0.3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8" x14ac:dyDescent="0.3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8" x14ac:dyDescent="0.3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8" x14ac:dyDescent="0.3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8" x14ac:dyDescent="0.3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8" x14ac:dyDescent="0.3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8" x14ac:dyDescent="0.3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8" x14ac:dyDescent="0.3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8" x14ac:dyDescent="0.3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8" x14ac:dyDescent="0.3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8" x14ac:dyDescent="0.3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8" x14ac:dyDescent="0.3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2" t="str" cm="1">
        <f t="array" ref="A1">portfolio</f>
        <v>Bio-Med Devices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 x14ac:dyDescent="0.25">
      <c r="A2" s="44" t="s">
        <v>2</v>
      </c>
      <c r="B2" s="44"/>
      <c r="C2" s="5">
        <f>SUM(C4:C74)</f>
        <v>24798.019999999997</v>
      </c>
      <c r="D2" s="5">
        <f>SUM(D4:D74)</f>
        <v>0</v>
      </c>
      <c r="E2" s="5">
        <f>C2-D2</f>
        <v>24798.019999999997</v>
      </c>
      <c r="F2" s="6">
        <f>IFERROR(E2/D2, 0)</f>
        <v>0</v>
      </c>
      <c r="G2" s="5">
        <f>SUM(G4:G74)</f>
        <v>33814.351999999999</v>
      </c>
      <c r="H2" s="7">
        <f>C2-G2</f>
        <v>-9016.3320000000022</v>
      </c>
      <c r="I2" s="6">
        <f>IFERROR(H2/G2, 0)</f>
        <v>-0.26664216425025689</v>
      </c>
    </row>
    <row r="3" spans="1:9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 x14ac:dyDescent="0.25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24798.019999999997</v>
      </c>
      <c r="D4" s="11">
        <f>SUM(Jan!D4, Feb!D4, Mar!D4)</f>
        <v>0</v>
      </c>
      <c r="E4" s="11">
        <f>IF(AND(ISNUMBER(C4),ISNUMBER(D4)), C4-D4, "")</f>
        <v>24798.019999999997</v>
      </c>
      <c r="F4" s="12" t="str">
        <f>IFERROR(E4/D4, "")</f>
        <v/>
      </c>
      <c r="G4" s="13">
        <f>SUM(Jan!G4, Feb!G4, Mar!G4)</f>
        <v>33814.351999999999</v>
      </c>
      <c r="H4" s="13">
        <f>SUM(Jan!H4, Feb!H4, Mar!H4)</f>
        <v>-9016.3319999999985</v>
      </c>
      <c r="I4" s="14">
        <f>IFERROR(H4/G4, "")</f>
        <v>-0.26664216425025677</v>
      </c>
    </row>
    <row r="5" spans="1:9" ht="13.8" x14ac:dyDescent="0.3">
      <c r="A5" s="16"/>
      <c r="B5" s="16"/>
      <c r="C5" s="16"/>
      <c r="D5" s="16"/>
      <c r="E5" s="16"/>
      <c r="F5" s="16"/>
      <c r="G5" s="16"/>
      <c r="H5" s="16"/>
      <c r="I5" s="16"/>
    </row>
    <row r="6" spans="1:9" ht="13.8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ht="13.8" x14ac:dyDescent="0.3">
      <c r="A7" s="16"/>
      <c r="B7" s="16"/>
      <c r="C7" s="16"/>
      <c r="D7" s="16"/>
      <c r="E7" s="16"/>
      <c r="F7" s="17"/>
      <c r="G7" s="16"/>
      <c r="H7" s="16"/>
      <c r="I7" s="17"/>
    </row>
    <row r="8" spans="1:9" ht="13.8" x14ac:dyDescent="0.3">
      <c r="A8" s="16"/>
      <c r="B8" s="16"/>
      <c r="C8" s="16"/>
      <c r="D8" s="16"/>
      <c r="E8" s="16"/>
      <c r="F8" s="17"/>
      <c r="G8" s="16"/>
      <c r="H8" s="16"/>
      <c r="I8" s="17"/>
    </row>
    <row r="9" spans="1:9" ht="13.8" x14ac:dyDescent="0.3">
      <c r="A9" s="16"/>
      <c r="B9" s="16"/>
      <c r="C9" s="16"/>
      <c r="D9" s="16"/>
      <c r="E9" s="16"/>
      <c r="F9" s="17"/>
      <c r="G9" s="16"/>
      <c r="H9" s="16"/>
      <c r="I9" s="17"/>
    </row>
    <row r="10" spans="1:9" ht="13.8" x14ac:dyDescent="0.3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8" x14ac:dyDescent="0.3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8" x14ac:dyDescent="0.3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8" x14ac:dyDescent="0.3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8" x14ac:dyDescent="0.3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8" x14ac:dyDescent="0.3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8" x14ac:dyDescent="0.3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8" x14ac:dyDescent="0.3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8" x14ac:dyDescent="0.3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8" x14ac:dyDescent="0.3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8" x14ac:dyDescent="0.3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8" x14ac:dyDescent="0.3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8" x14ac:dyDescent="0.3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8" x14ac:dyDescent="0.3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8" x14ac:dyDescent="0.3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8" x14ac:dyDescent="0.3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8" x14ac:dyDescent="0.3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8" x14ac:dyDescent="0.3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8" x14ac:dyDescent="0.3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8" x14ac:dyDescent="0.3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8" x14ac:dyDescent="0.3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8" x14ac:dyDescent="0.3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8" x14ac:dyDescent="0.3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8" x14ac:dyDescent="0.3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8" x14ac:dyDescent="0.3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8" x14ac:dyDescent="0.3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8" x14ac:dyDescent="0.3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8" x14ac:dyDescent="0.3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8" x14ac:dyDescent="0.3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8" x14ac:dyDescent="0.3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8" x14ac:dyDescent="0.3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8" x14ac:dyDescent="0.3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8" x14ac:dyDescent="0.3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8" x14ac:dyDescent="0.3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8" x14ac:dyDescent="0.3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8" x14ac:dyDescent="0.3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8" x14ac:dyDescent="0.3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8" x14ac:dyDescent="0.3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8" x14ac:dyDescent="0.3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8" x14ac:dyDescent="0.3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8" x14ac:dyDescent="0.3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8" x14ac:dyDescent="0.3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8" x14ac:dyDescent="0.3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8" x14ac:dyDescent="0.3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8" x14ac:dyDescent="0.3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8" x14ac:dyDescent="0.3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8" x14ac:dyDescent="0.3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8" x14ac:dyDescent="0.3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8" x14ac:dyDescent="0.3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8" x14ac:dyDescent="0.3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8" x14ac:dyDescent="0.3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8" x14ac:dyDescent="0.3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8" x14ac:dyDescent="0.3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8" x14ac:dyDescent="0.3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8" x14ac:dyDescent="0.3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8" x14ac:dyDescent="0.3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8" x14ac:dyDescent="0.3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8" x14ac:dyDescent="0.3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8" x14ac:dyDescent="0.3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8" x14ac:dyDescent="0.3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8" x14ac:dyDescent="0.3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8" x14ac:dyDescent="0.3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8" x14ac:dyDescent="0.3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8" x14ac:dyDescent="0.3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8" x14ac:dyDescent="0.3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8" x14ac:dyDescent="0.3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8" x14ac:dyDescent="0.3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8" x14ac:dyDescent="0.3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8" x14ac:dyDescent="0.3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8" x14ac:dyDescent="0.3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8" x14ac:dyDescent="0.3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8" x14ac:dyDescent="0.3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8" x14ac:dyDescent="0.3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8" x14ac:dyDescent="0.3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8" x14ac:dyDescent="0.3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8" x14ac:dyDescent="0.3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8" x14ac:dyDescent="0.3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8" x14ac:dyDescent="0.3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8" x14ac:dyDescent="0.3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8" x14ac:dyDescent="0.3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8" x14ac:dyDescent="0.3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8" x14ac:dyDescent="0.3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8" x14ac:dyDescent="0.3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8" x14ac:dyDescent="0.3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8" x14ac:dyDescent="0.3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8" x14ac:dyDescent="0.3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8" x14ac:dyDescent="0.3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8" x14ac:dyDescent="0.3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8" x14ac:dyDescent="0.3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8" x14ac:dyDescent="0.3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8" x14ac:dyDescent="0.3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8" x14ac:dyDescent="0.3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8" x14ac:dyDescent="0.3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8" x14ac:dyDescent="0.3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8" x14ac:dyDescent="0.3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8" x14ac:dyDescent="0.3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8" x14ac:dyDescent="0.3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8" x14ac:dyDescent="0.3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8" x14ac:dyDescent="0.3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8" x14ac:dyDescent="0.3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8" x14ac:dyDescent="0.3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8" x14ac:dyDescent="0.3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8" x14ac:dyDescent="0.3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8" x14ac:dyDescent="0.3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8" x14ac:dyDescent="0.3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8" x14ac:dyDescent="0.3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8" x14ac:dyDescent="0.3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8" x14ac:dyDescent="0.3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8" x14ac:dyDescent="0.3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8" x14ac:dyDescent="0.3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8" x14ac:dyDescent="0.3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8" x14ac:dyDescent="0.3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8" x14ac:dyDescent="0.3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8" x14ac:dyDescent="0.3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8" x14ac:dyDescent="0.3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8" x14ac:dyDescent="0.3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8" x14ac:dyDescent="0.3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8" x14ac:dyDescent="0.3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8" x14ac:dyDescent="0.3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8" x14ac:dyDescent="0.3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8" x14ac:dyDescent="0.3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8" x14ac:dyDescent="0.3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8" x14ac:dyDescent="0.3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8" x14ac:dyDescent="0.3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8" x14ac:dyDescent="0.3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8" x14ac:dyDescent="0.3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8" x14ac:dyDescent="0.3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8" x14ac:dyDescent="0.3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8" x14ac:dyDescent="0.3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8" x14ac:dyDescent="0.3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8" x14ac:dyDescent="0.3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8" x14ac:dyDescent="0.3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8" x14ac:dyDescent="0.3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8" x14ac:dyDescent="0.3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8" x14ac:dyDescent="0.3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8" x14ac:dyDescent="0.3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8" x14ac:dyDescent="0.3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8" x14ac:dyDescent="0.3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8" x14ac:dyDescent="0.3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8" x14ac:dyDescent="0.3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8" x14ac:dyDescent="0.3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8" x14ac:dyDescent="0.3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8" x14ac:dyDescent="0.3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8" x14ac:dyDescent="0.3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8" x14ac:dyDescent="0.3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8" x14ac:dyDescent="0.3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8" x14ac:dyDescent="0.3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8" x14ac:dyDescent="0.3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8" x14ac:dyDescent="0.3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8" x14ac:dyDescent="0.3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8" x14ac:dyDescent="0.3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8" x14ac:dyDescent="0.3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8" x14ac:dyDescent="0.3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8" x14ac:dyDescent="0.3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8" x14ac:dyDescent="0.3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8" x14ac:dyDescent="0.3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8" x14ac:dyDescent="0.3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8" x14ac:dyDescent="0.3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8" x14ac:dyDescent="0.3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8" x14ac:dyDescent="0.3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8" x14ac:dyDescent="0.3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8" x14ac:dyDescent="0.3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8" x14ac:dyDescent="0.3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8" x14ac:dyDescent="0.3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8" x14ac:dyDescent="0.3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8" x14ac:dyDescent="0.3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8" x14ac:dyDescent="0.3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8" x14ac:dyDescent="0.3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8" x14ac:dyDescent="0.3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8" x14ac:dyDescent="0.3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8" x14ac:dyDescent="0.3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8" x14ac:dyDescent="0.3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8" x14ac:dyDescent="0.3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8" x14ac:dyDescent="0.3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8" x14ac:dyDescent="0.3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8" x14ac:dyDescent="0.3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8" x14ac:dyDescent="0.3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8" x14ac:dyDescent="0.3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8" x14ac:dyDescent="0.3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8" x14ac:dyDescent="0.3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8" x14ac:dyDescent="0.3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8" x14ac:dyDescent="0.3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8" x14ac:dyDescent="0.3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8" x14ac:dyDescent="0.3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8" x14ac:dyDescent="0.3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8" x14ac:dyDescent="0.3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8" x14ac:dyDescent="0.3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8" x14ac:dyDescent="0.3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8" x14ac:dyDescent="0.3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8" x14ac:dyDescent="0.3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8" x14ac:dyDescent="0.3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8" x14ac:dyDescent="0.3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8" x14ac:dyDescent="0.3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8" x14ac:dyDescent="0.3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8" x14ac:dyDescent="0.3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8" x14ac:dyDescent="0.3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8" x14ac:dyDescent="0.3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8" x14ac:dyDescent="0.3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8" x14ac:dyDescent="0.3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8" x14ac:dyDescent="0.3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8" x14ac:dyDescent="0.3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8" x14ac:dyDescent="0.3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8" x14ac:dyDescent="0.3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8" x14ac:dyDescent="0.3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8" x14ac:dyDescent="0.3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8" x14ac:dyDescent="0.3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8" x14ac:dyDescent="0.3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8" x14ac:dyDescent="0.3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8" x14ac:dyDescent="0.3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8" x14ac:dyDescent="0.3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8" x14ac:dyDescent="0.3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8" x14ac:dyDescent="0.3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8" x14ac:dyDescent="0.3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8" x14ac:dyDescent="0.3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8" x14ac:dyDescent="0.3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8" x14ac:dyDescent="0.3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8" x14ac:dyDescent="0.3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8" x14ac:dyDescent="0.3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8" x14ac:dyDescent="0.3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8" x14ac:dyDescent="0.3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8" x14ac:dyDescent="0.3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8" x14ac:dyDescent="0.3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8" x14ac:dyDescent="0.3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8" x14ac:dyDescent="0.3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8" x14ac:dyDescent="0.3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8" x14ac:dyDescent="0.3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8" x14ac:dyDescent="0.3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8" x14ac:dyDescent="0.3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8" x14ac:dyDescent="0.3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8" x14ac:dyDescent="0.3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8" x14ac:dyDescent="0.3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8" x14ac:dyDescent="0.3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8" x14ac:dyDescent="0.3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8" x14ac:dyDescent="0.3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8" x14ac:dyDescent="0.3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8" x14ac:dyDescent="0.3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8" x14ac:dyDescent="0.3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8" x14ac:dyDescent="0.3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8" x14ac:dyDescent="0.3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8" x14ac:dyDescent="0.3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8" x14ac:dyDescent="0.3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8" x14ac:dyDescent="0.3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8" x14ac:dyDescent="0.3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8" x14ac:dyDescent="0.3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8" x14ac:dyDescent="0.3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8" x14ac:dyDescent="0.3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8" x14ac:dyDescent="0.3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8" x14ac:dyDescent="0.3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8" x14ac:dyDescent="0.3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8" x14ac:dyDescent="0.3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8" x14ac:dyDescent="0.3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8" x14ac:dyDescent="0.3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8" x14ac:dyDescent="0.3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8" x14ac:dyDescent="0.3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8" x14ac:dyDescent="0.3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8" x14ac:dyDescent="0.3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8" x14ac:dyDescent="0.3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8" x14ac:dyDescent="0.3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8" x14ac:dyDescent="0.3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8" x14ac:dyDescent="0.3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8" x14ac:dyDescent="0.3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8" x14ac:dyDescent="0.3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8" x14ac:dyDescent="0.3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8" x14ac:dyDescent="0.3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8" x14ac:dyDescent="0.3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8" x14ac:dyDescent="0.3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8" x14ac:dyDescent="0.3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8" x14ac:dyDescent="0.3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8" x14ac:dyDescent="0.3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8" x14ac:dyDescent="0.3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8" x14ac:dyDescent="0.3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8" x14ac:dyDescent="0.3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8" x14ac:dyDescent="0.3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8" x14ac:dyDescent="0.3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8" x14ac:dyDescent="0.3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8" x14ac:dyDescent="0.3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8" x14ac:dyDescent="0.3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8" x14ac:dyDescent="0.3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8" x14ac:dyDescent="0.3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8" x14ac:dyDescent="0.3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8" x14ac:dyDescent="0.3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8" x14ac:dyDescent="0.3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8" x14ac:dyDescent="0.3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8" x14ac:dyDescent="0.3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8" x14ac:dyDescent="0.3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8" x14ac:dyDescent="0.3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8" x14ac:dyDescent="0.3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8" x14ac:dyDescent="0.3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8" x14ac:dyDescent="0.3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8" x14ac:dyDescent="0.3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8" x14ac:dyDescent="0.3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8" x14ac:dyDescent="0.3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8" x14ac:dyDescent="0.3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8" x14ac:dyDescent="0.3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8" x14ac:dyDescent="0.3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8" x14ac:dyDescent="0.3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8" x14ac:dyDescent="0.3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8" x14ac:dyDescent="0.3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8" x14ac:dyDescent="0.3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8" x14ac:dyDescent="0.3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8" x14ac:dyDescent="0.3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8" x14ac:dyDescent="0.3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8" x14ac:dyDescent="0.3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8" x14ac:dyDescent="0.3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8" x14ac:dyDescent="0.3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8" x14ac:dyDescent="0.3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8" x14ac:dyDescent="0.3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H15" sqref="H1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2" t="str" cm="1">
        <f t="array" ref="A1">portfolio</f>
        <v>Bio-Med Devices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 x14ac:dyDescent="0.25">
      <c r="A2" s="44" t="s">
        <v>2</v>
      </c>
      <c r="B2" s="44"/>
      <c r="C2" s="5">
        <f>SUM(C4:C74)</f>
        <v>53803.14</v>
      </c>
      <c r="D2" s="5">
        <f>SUM(D4:D74)</f>
        <v>0</v>
      </c>
      <c r="E2" s="5">
        <f>C2-D2</f>
        <v>53803.14</v>
      </c>
      <c r="F2" s="6">
        <f>IFERROR(E2/D2, 0)</f>
        <v>0</v>
      </c>
      <c r="G2" s="5">
        <f>SUM(G4:G74)</f>
        <v>49373.971000000005</v>
      </c>
      <c r="H2" s="7">
        <f>C2-G2</f>
        <v>4429.1689999999944</v>
      </c>
      <c r="I2" s="6">
        <f>IFERROR(H2/G2, 0)</f>
        <v>8.970655813768745E-2</v>
      </c>
    </row>
    <row r="3" spans="1:9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 x14ac:dyDescent="0.25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53803.14</v>
      </c>
      <c r="D4" s="11">
        <f>SUM(Apr!D4, May!D4, Jun!D4)</f>
        <v>0</v>
      </c>
      <c r="E4" s="11">
        <f>IF(AND(ISNUMBER(C4),ISNUMBER(D4)), C4-D4, "")</f>
        <v>53803.14</v>
      </c>
      <c r="F4" s="12" t="str">
        <f>IFERROR(E4/D4, "")</f>
        <v/>
      </c>
      <c r="G4" s="13">
        <f>SUM(Apr!G4,May!G4,Jun!G4)</f>
        <v>49373.971000000005</v>
      </c>
      <c r="H4" s="13">
        <f>SUM(Apr!H4, May!H4, Jun!H4)</f>
        <v>4429.1689999999981</v>
      </c>
      <c r="I4" s="14">
        <f>IFERROR(H4/G4, "")</f>
        <v>8.970655813768752E-2</v>
      </c>
    </row>
    <row r="5" spans="1:9" ht="13.8" x14ac:dyDescent="0.3">
      <c r="A5" s="16"/>
      <c r="B5" s="16"/>
      <c r="C5" s="16"/>
      <c r="D5" s="16"/>
      <c r="E5" s="16"/>
      <c r="F5" s="16"/>
      <c r="G5" s="16"/>
      <c r="H5" s="16"/>
      <c r="I5" s="16"/>
    </row>
    <row r="6" spans="1:9" ht="13.8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ht="13.8" x14ac:dyDescent="0.3">
      <c r="A7" s="16"/>
      <c r="B7" s="16"/>
      <c r="C7" s="16"/>
      <c r="D7" s="16"/>
      <c r="E7" s="16"/>
      <c r="F7" s="17"/>
      <c r="G7" s="16"/>
      <c r="H7" s="16"/>
      <c r="I7" s="17"/>
    </row>
    <row r="8" spans="1:9" ht="13.8" x14ac:dyDescent="0.3">
      <c r="A8" s="16"/>
      <c r="B8" s="16"/>
      <c r="C8" s="16"/>
      <c r="D8" s="16"/>
      <c r="E8" s="16"/>
      <c r="F8" s="17"/>
      <c r="G8" s="16"/>
      <c r="H8" s="16"/>
      <c r="I8" s="17"/>
    </row>
    <row r="9" spans="1:9" ht="13.8" x14ac:dyDescent="0.3">
      <c r="A9" s="16"/>
      <c r="B9" s="16"/>
      <c r="C9" s="16"/>
      <c r="D9" s="16"/>
      <c r="E9" s="16"/>
      <c r="F9" s="17"/>
      <c r="G9" s="16"/>
      <c r="H9" s="16"/>
      <c r="I9" s="17"/>
    </row>
    <row r="10" spans="1:9" ht="13.8" x14ac:dyDescent="0.3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8" x14ac:dyDescent="0.3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8" x14ac:dyDescent="0.3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8" x14ac:dyDescent="0.3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8" x14ac:dyDescent="0.3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8" x14ac:dyDescent="0.3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8" x14ac:dyDescent="0.3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8" x14ac:dyDescent="0.3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8" x14ac:dyDescent="0.3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8" x14ac:dyDescent="0.3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8" x14ac:dyDescent="0.3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8" x14ac:dyDescent="0.3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8" x14ac:dyDescent="0.3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8" x14ac:dyDescent="0.3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8" x14ac:dyDescent="0.3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8" x14ac:dyDescent="0.3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8" x14ac:dyDescent="0.3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8" x14ac:dyDescent="0.3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8" x14ac:dyDescent="0.3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8" x14ac:dyDescent="0.3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8" x14ac:dyDescent="0.3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8" x14ac:dyDescent="0.3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8" x14ac:dyDescent="0.3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8" x14ac:dyDescent="0.3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8" x14ac:dyDescent="0.3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8" x14ac:dyDescent="0.3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8" x14ac:dyDescent="0.3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8" x14ac:dyDescent="0.3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8" x14ac:dyDescent="0.3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8" x14ac:dyDescent="0.3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8" x14ac:dyDescent="0.3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8" x14ac:dyDescent="0.3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8" x14ac:dyDescent="0.3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8" x14ac:dyDescent="0.3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8" x14ac:dyDescent="0.3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8" x14ac:dyDescent="0.3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8" x14ac:dyDescent="0.3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8" x14ac:dyDescent="0.3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8" x14ac:dyDescent="0.3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8" x14ac:dyDescent="0.3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8" x14ac:dyDescent="0.3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8" x14ac:dyDescent="0.3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8" x14ac:dyDescent="0.3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8" x14ac:dyDescent="0.3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8" x14ac:dyDescent="0.3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8" x14ac:dyDescent="0.3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8" x14ac:dyDescent="0.3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8" x14ac:dyDescent="0.3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8" x14ac:dyDescent="0.3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8" x14ac:dyDescent="0.3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8" x14ac:dyDescent="0.3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8" x14ac:dyDescent="0.3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8" x14ac:dyDescent="0.3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8" x14ac:dyDescent="0.3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8" x14ac:dyDescent="0.3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8" x14ac:dyDescent="0.3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8" x14ac:dyDescent="0.3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8" x14ac:dyDescent="0.3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8" x14ac:dyDescent="0.3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8" x14ac:dyDescent="0.3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8" x14ac:dyDescent="0.3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8" x14ac:dyDescent="0.3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8" x14ac:dyDescent="0.3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8" x14ac:dyDescent="0.3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8" x14ac:dyDescent="0.3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8" x14ac:dyDescent="0.3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8" x14ac:dyDescent="0.3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8" x14ac:dyDescent="0.3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8" x14ac:dyDescent="0.3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8" x14ac:dyDescent="0.3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8" x14ac:dyDescent="0.3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8" x14ac:dyDescent="0.3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8" x14ac:dyDescent="0.3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8" x14ac:dyDescent="0.3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8" x14ac:dyDescent="0.3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8" x14ac:dyDescent="0.3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8" x14ac:dyDescent="0.3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8" x14ac:dyDescent="0.3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8" x14ac:dyDescent="0.3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8" x14ac:dyDescent="0.3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8" x14ac:dyDescent="0.3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8" x14ac:dyDescent="0.3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8" x14ac:dyDescent="0.3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8" x14ac:dyDescent="0.3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8" x14ac:dyDescent="0.3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8" x14ac:dyDescent="0.3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8" x14ac:dyDescent="0.3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8" x14ac:dyDescent="0.3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8" x14ac:dyDescent="0.3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8" x14ac:dyDescent="0.3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8" x14ac:dyDescent="0.3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8" x14ac:dyDescent="0.3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8" x14ac:dyDescent="0.3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8" x14ac:dyDescent="0.3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8" x14ac:dyDescent="0.3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8" x14ac:dyDescent="0.3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8" x14ac:dyDescent="0.3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8" x14ac:dyDescent="0.3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8" x14ac:dyDescent="0.3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8" x14ac:dyDescent="0.3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8" x14ac:dyDescent="0.3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8" x14ac:dyDescent="0.3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8" x14ac:dyDescent="0.3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8" x14ac:dyDescent="0.3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8" x14ac:dyDescent="0.3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8" x14ac:dyDescent="0.3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8" x14ac:dyDescent="0.3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8" x14ac:dyDescent="0.3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8" x14ac:dyDescent="0.3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8" x14ac:dyDescent="0.3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8" x14ac:dyDescent="0.3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8" x14ac:dyDescent="0.3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8" x14ac:dyDescent="0.3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8" x14ac:dyDescent="0.3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8" x14ac:dyDescent="0.3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8" x14ac:dyDescent="0.3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8" x14ac:dyDescent="0.3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8" x14ac:dyDescent="0.3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8" x14ac:dyDescent="0.3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8" x14ac:dyDescent="0.3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8" x14ac:dyDescent="0.3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8" x14ac:dyDescent="0.3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8" x14ac:dyDescent="0.3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8" x14ac:dyDescent="0.3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8" x14ac:dyDescent="0.3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8" x14ac:dyDescent="0.3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8" x14ac:dyDescent="0.3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8" x14ac:dyDescent="0.3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8" x14ac:dyDescent="0.3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8" x14ac:dyDescent="0.3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8" x14ac:dyDescent="0.3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8" x14ac:dyDescent="0.3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8" x14ac:dyDescent="0.3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8" x14ac:dyDescent="0.3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8" x14ac:dyDescent="0.3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8" x14ac:dyDescent="0.3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8" x14ac:dyDescent="0.3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8" x14ac:dyDescent="0.3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8" x14ac:dyDescent="0.3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8" x14ac:dyDescent="0.3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8" x14ac:dyDescent="0.3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8" x14ac:dyDescent="0.3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8" x14ac:dyDescent="0.3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8" x14ac:dyDescent="0.3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8" x14ac:dyDescent="0.3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8" x14ac:dyDescent="0.3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8" x14ac:dyDescent="0.3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8" x14ac:dyDescent="0.3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8" x14ac:dyDescent="0.3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8" x14ac:dyDescent="0.3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8" x14ac:dyDescent="0.3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8" x14ac:dyDescent="0.3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8" x14ac:dyDescent="0.3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8" x14ac:dyDescent="0.3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8" x14ac:dyDescent="0.3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8" x14ac:dyDescent="0.3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8" x14ac:dyDescent="0.3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8" x14ac:dyDescent="0.3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8" x14ac:dyDescent="0.3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8" x14ac:dyDescent="0.3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8" x14ac:dyDescent="0.3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8" x14ac:dyDescent="0.3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8" x14ac:dyDescent="0.3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8" x14ac:dyDescent="0.3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8" x14ac:dyDescent="0.3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8" x14ac:dyDescent="0.3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8" x14ac:dyDescent="0.3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8" x14ac:dyDescent="0.3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8" x14ac:dyDescent="0.3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8" x14ac:dyDescent="0.3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8" x14ac:dyDescent="0.3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8" x14ac:dyDescent="0.3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8" x14ac:dyDescent="0.3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8" x14ac:dyDescent="0.3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8" x14ac:dyDescent="0.3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8" x14ac:dyDescent="0.3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8" x14ac:dyDescent="0.3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8" x14ac:dyDescent="0.3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8" x14ac:dyDescent="0.3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8" x14ac:dyDescent="0.3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8" x14ac:dyDescent="0.3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8" x14ac:dyDescent="0.3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8" x14ac:dyDescent="0.3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8" x14ac:dyDescent="0.3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8" x14ac:dyDescent="0.3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8" x14ac:dyDescent="0.3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8" x14ac:dyDescent="0.3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8" x14ac:dyDescent="0.3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8" x14ac:dyDescent="0.3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8" x14ac:dyDescent="0.3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8" x14ac:dyDescent="0.3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8" x14ac:dyDescent="0.3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8" x14ac:dyDescent="0.3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8" x14ac:dyDescent="0.3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8" x14ac:dyDescent="0.3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8" x14ac:dyDescent="0.3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8" x14ac:dyDescent="0.3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8" x14ac:dyDescent="0.3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8" x14ac:dyDescent="0.3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8" x14ac:dyDescent="0.3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8" x14ac:dyDescent="0.3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8" x14ac:dyDescent="0.3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8" x14ac:dyDescent="0.3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8" x14ac:dyDescent="0.3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8" x14ac:dyDescent="0.3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8" x14ac:dyDescent="0.3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8" x14ac:dyDescent="0.3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8" x14ac:dyDescent="0.3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8" x14ac:dyDescent="0.3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8" x14ac:dyDescent="0.3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8" x14ac:dyDescent="0.3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8" x14ac:dyDescent="0.3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8" x14ac:dyDescent="0.3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8" x14ac:dyDescent="0.3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8" x14ac:dyDescent="0.3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8" x14ac:dyDescent="0.3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8" x14ac:dyDescent="0.3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8" x14ac:dyDescent="0.3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8" x14ac:dyDescent="0.3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8" x14ac:dyDescent="0.3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8" x14ac:dyDescent="0.3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8" x14ac:dyDescent="0.3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8" x14ac:dyDescent="0.3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8" x14ac:dyDescent="0.3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8" x14ac:dyDescent="0.3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8" x14ac:dyDescent="0.3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8" x14ac:dyDescent="0.3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8" x14ac:dyDescent="0.3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8" x14ac:dyDescent="0.3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8" x14ac:dyDescent="0.3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8" x14ac:dyDescent="0.3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8" x14ac:dyDescent="0.3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8" x14ac:dyDescent="0.3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8" x14ac:dyDescent="0.3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8" x14ac:dyDescent="0.3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8" x14ac:dyDescent="0.3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8" x14ac:dyDescent="0.3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8" x14ac:dyDescent="0.3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8" x14ac:dyDescent="0.3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8" x14ac:dyDescent="0.3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8" x14ac:dyDescent="0.3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8" x14ac:dyDescent="0.3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8" x14ac:dyDescent="0.3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8" x14ac:dyDescent="0.3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8" x14ac:dyDescent="0.3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8" x14ac:dyDescent="0.3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8" x14ac:dyDescent="0.3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8" x14ac:dyDescent="0.3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8" x14ac:dyDescent="0.3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8" x14ac:dyDescent="0.3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8" x14ac:dyDescent="0.3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8" x14ac:dyDescent="0.3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8" x14ac:dyDescent="0.3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8" x14ac:dyDescent="0.3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8" x14ac:dyDescent="0.3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8" x14ac:dyDescent="0.3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8" x14ac:dyDescent="0.3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8" x14ac:dyDescent="0.3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8" x14ac:dyDescent="0.3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8" x14ac:dyDescent="0.3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8" x14ac:dyDescent="0.3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8" x14ac:dyDescent="0.3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8" x14ac:dyDescent="0.3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8" x14ac:dyDescent="0.3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8" x14ac:dyDescent="0.3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8" x14ac:dyDescent="0.3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8" x14ac:dyDescent="0.3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8" x14ac:dyDescent="0.3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8" x14ac:dyDescent="0.3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8" x14ac:dyDescent="0.3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8" x14ac:dyDescent="0.3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8" x14ac:dyDescent="0.3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8" x14ac:dyDescent="0.3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8" x14ac:dyDescent="0.3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8" x14ac:dyDescent="0.3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8" x14ac:dyDescent="0.3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8" x14ac:dyDescent="0.3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8" x14ac:dyDescent="0.3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8" x14ac:dyDescent="0.3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8" x14ac:dyDescent="0.3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8" x14ac:dyDescent="0.3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8" x14ac:dyDescent="0.3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8" x14ac:dyDescent="0.3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8" x14ac:dyDescent="0.3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8" x14ac:dyDescent="0.3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8" x14ac:dyDescent="0.3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8" x14ac:dyDescent="0.3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8" x14ac:dyDescent="0.3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8" x14ac:dyDescent="0.3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8" x14ac:dyDescent="0.3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8" x14ac:dyDescent="0.3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8" x14ac:dyDescent="0.3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8" x14ac:dyDescent="0.3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8" x14ac:dyDescent="0.3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8" x14ac:dyDescent="0.3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8" x14ac:dyDescent="0.3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8" x14ac:dyDescent="0.3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8" x14ac:dyDescent="0.3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8" x14ac:dyDescent="0.3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8" x14ac:dyDescent="0.3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8" x14ac:dyDescent="0.3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8" x14ac:dyDescent="0.3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8" x14ac:dyDescent="0.3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8" x14ac:dyDescent="0.3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8" x14ac:dyDescent="0.3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8" x14ac:dyDescent="0.3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8" x14ac:dyDescent="0.3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2" t="str" cm="1">
        <f t="array" ref="A1">portfolio</f>
        <v>Bio-Med Devices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 x14ac:dyDescent="0.25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5.6" x14ac:dyDescent="0.3">
      <c r="A5" s="15"/>
      <c r="B5" s="16"/>
      <c r="C5" s="16"/>
      <c r="D5" s="16"/>
      <c r="E5" s="16"/>
      <c r="F5" s="16"/>
      <c r="G5" s="16"/>
      <c r="H5" s="16"/>
      <c r="I5" s="16"/>
    </row>
    <row r="6" spans="1:9" ht="13.8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ht="13.8" x14ac:dyDescent="0.3">
      <c r="A7" s="16"/>
      <c r="B7" s="16"/>
      <c r="C7" s="16"/>
      <c r="D7" s="16"/>
      <c r="E7" s="16"/>
      <c r="F7" s="17"/>
      <c r="G7" s="16"/>
      <c r="H7" s="16"/>
      <c r="I7" s="17"/>
    </row>
    <row r="8" spans="1:9" ht="13.8" x14ac:dyDescent="0.3">
      <c r="A8" s="16"/>
      <c r="B8" s="16"/>
      <c r="C8" s="16"/>
      <c r="D8" s="16"/>
      <c r="E8" s="16"/>
      <c r="F8" s="17"/>
      <c r="G8" s="16"/>
      <c r="H8" s="16"/>
      <c r="I8" s="17"/>
    </row>
    <row r="9" spans="1:9" ht="13.8" x14ac:dyDescent="0.3">
      <c r="A9" s="16"/>
      <c r="B9" s="16"/>
      <c r="C9" s="16"/>
      <c r="D9" s="16"/>
      <c r="E9" s="16"/>
      <c r="F9" s="17"/>
      <c r="G9" s="16"/>
      <c r="H9" s="16"/>
      <c r="I9" s="17"/>
    </row>
    <row r="10" spans="1:9" ht="13.8" x14ac:dyDescent="0.3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8" x14ac:dyDescent="0.3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8" x14ac:dyDescent="0.3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8" x14ac:dyDescent="0.3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8" x14ac:dyDescent="0.3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8" x14ac:dyDescent="0.3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8" x14ac:dyDescent="0.3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8" x14ac:dyDescent="0.3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8" x14ac:dyDescent="0.3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8" x14ac:dyDescent="0.3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8" x14ac:dyDescent="0.3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8" x14ac:dyDescent="0.3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8" x14ac:dyDescent="0.3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8" x14ac:dyDescent="0.3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8" x14ac:dyDescent="0.3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8" x14ac:dyDescent="0.3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8" x14ac:dyDescent="0.3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8" x14ac:dyDescent="0.3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8" x14ac:dyDescent="0.3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8" x14ac:dyDescent="0.3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8" x14ac:dyDescent="0.3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8" x14ac:dyDescent="0.3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8" x14ac:dyDescent="0.3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8" x14ac:dyDescent="0.3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8" x14ac:dyDescent="0.3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8" x14ac:dyDescent="0.3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8" x14ac:dyDescent="0.3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8" x14ac:dyDescent="0.3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8" x14ac:dyDescent="0.3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8" x14ac:dyDescent="0.3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8" x14ac:dyDescent="0.3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8" x14ac:dyDescent="0.3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8" x14ac:dyDescent="0.3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8" x14ac:dyDescent="0.3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8" x14ac:dyDescent="0.3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8" x14ac:dyDescent="0.3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8" x14ac:dyDescent="0.3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8" x14ac:dyDescent="0.3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8" x14ac:dyDescent="0.3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8" x14ac:dyDescent="0.3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8" x14ac:dyDescent="0.3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8" x14ac:dyDescent="0.3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8" x14ac:dyDescent="0.3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8" x14ac:dyDescent="0.3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8" x14ac:dyDescent="0.3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8" x14ac:dyDescent="0.3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8" x14ac:dyDescent="0.3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8" x14ac:dyDescent="0.3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8" x14ac:dyDescent="0.3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8" x14ac:dyDescent="0.3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8" x14ac:dyDescent="0.3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8" x14ac:dyDescent="0.3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8" x14ac:dyDescent="0.3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8" x14ac:dyDescent="0.3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8" x14ac:dyDescent="0.3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8" x14ac:dyDescent="0.3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8" x14ac:dyDescent="0.3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8" x14ac:dyDescent="0.3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8" x14ac:dyDescent="0.3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8" x14ac:dyDescent="0.3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8" x14ac:dyDescent="0.3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8" x14ac:dyDescent="0.3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8" x14ac:dyDescent="0.3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8" x14ac:dyDescent="0.3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8" x14ac:dyDescent="0.3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8" x14ac:dyDescent="0.3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8" x14ac:dyDescent="0.3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8" x14ac:dyDescent="0.3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8" x14ac:dyDescent="0.3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8" x14ac:dyDescent="0.3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8" x14ac:dyDescent="0.3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8" x14ac:dyDescent="0.3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8" x14ac:dyDescent="0.3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8" x14ac:dyDescent="0.3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8" x14ac:dyDescent="0.3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8" x14ac:dyDescent="0.3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8" x14ac:dyDescent="0.3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8" x14ac:dyDescent="0.3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8" x14ac:dyDescent="0.3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8" x14ac:dyDescent="0.3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8" x14ac:dyDescent="0.3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8" x14ac:dyDescent="0.3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8" x14ac:dyDescent="0.3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8" x14ac:dyDescent="0.3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8" x14ac:dyDescent="0.3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8" x14ac:dyDescent="0.3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8" x14ac:dyDescent="0.3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8" x14ac:dyDescent="0.3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8" x14ac:dyDescent="0.3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8" x14ac:dyDescent="0.3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8" x14ac:dyDescent="0.3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8" x14ac:dyDescent="0.3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8" x14ac:dyDescent="0.3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8" x14ac:dyDescent="0.3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8" x14ac:dyDescent="0.3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8" x14ac:dyDescent="0.3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8" x14ac:dyDescent="0.3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8" x14ac:dyDescent="0.3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8" x14ac:dyDescent="0.3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8" x14ac:dyDescent="0.3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8" x14ac:dyDescent="0.3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8" x14ac:dyDescent="0.3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8" x14ac:dyDescent="0.3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8" x14ac:dyDescent="0.3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8" x14ac:dyDescent="0.3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8" x14ac:dyDescent="0.3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8" x14ac:dyDescent="0.3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8" x14ac:dyDescent="0.3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8" x14ac:dyDescent="0.3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8" x14ac:dyDescent="0.3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8" x14ac:dyDescent="0.3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8" x14ac:dyDescent="0.3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8" x14ac:dyDescent="0.3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8" x14ac:dyDescent="0.3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8" x14ac:dyDescent="0.3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8" x14ac:dyDescent="0.3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8" x14ac:dyDescent="0.3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8" x14ac:dyDescent="0.3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8" x14ac:dyDescent="0.3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8" x14ac:dyDescent="0.3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8" x14ac:dyDescent="0.3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8" x14ac:dyDescent="0.3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8" x14ac:dyDescent="0.3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8" x14ac:dyDescent="0.3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8" x14ac:dyDescent="0.3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8" x14ac:dyDescent="0.3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8" x14ac:dyDescent="0.3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8" x14ac:dyDescent="0.3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8" x14ac:dyDescent="0.3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8" x14ac:dyDescent="0.3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8" x14ac:dyDescent="0.3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8" x14ac:dyDescent="0.3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8" x14ac:dyDescent="0.3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8" x14ac:dyDescent="0.3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8" x14ac:dyDescent="0.3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8" x14ac:dyDescent="0.3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8" x14ac:dyDescent="0.3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8" x14ac:dyDescent="0.3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8" x14ac:dyDescent="0.3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8" x14ac:dyDescent="0.3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8" x14ac:dyDescent="0.3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8" x14ac:dyDescent="0.3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8" x14ac:dyDescent="0.3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8" x14ac:dyDescent="0.3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8" x14ac:dyDescent="0.3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8" x14ac:dyDescent="0.3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8" x14ac:dyDescent="0.3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8" x14ac:dyDescent="0.3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8" x14ac:dyDescent="0.3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8" x14ac:dyDescent="0.3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8" x14ac:dyDescent="0.3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8" x14ac:dyDescent="0.3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8" x14ac:dyDescent="0.3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8" x14ac:dyDescent="0.3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8" x14ac:dyDescent="0.3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8" x14ac:dyDescent="0.3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8" x14ac:dyDescent="0.3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8" x14ac:dyDescent="0.3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8" x14ac:dyDescent="0.3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8" x14ac:dyDescent="0.3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8" x14ac:dyDescent="0.3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8" x14ac:dyDescent="0.3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8" x14ac:dyDescent="0.3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8" x14ac:dyDescent="0.3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8" x14ac:dyDescent="0.3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8" x14ac:dyDescent="0.3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8" x14ac:dyDescent="0.3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8" x14ac:dyDescent="0.3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8" x14ac:dyDescent="0.3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8" x14ac:dyDescent="0.3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8" x14ac:dyDescent="0.3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8" x14ac:dyDescent="0.3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8" x14ac:dyDescent="0.3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8" x14ac:dyDescent="0.3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8" x14ac:dyDescent="0.3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8" x14ac:dyDescent="0.3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8" x14ac:dyDescent="0.3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8" x14ac:dyDescent="0.3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8" x14ac:dyDescent="0.3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8" x14ac:dyDescent="0.3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8" x14ac:dyDescent="0.3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8" x14ac:dyDescent="0.3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8" x14ac:dyDescent="0.3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8" x14ac:dyDescent="0.3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8" x14ac:dyDescent="0.3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8" x14ac:dyDescent="0.3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8" x14ac:dyDescent="0.3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8" x14ac:dyDescent="0.3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8" x14ac:dyDescent="0.3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8" x14ac:dyDescent="0.3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8" x14ac:dyDescent="0.3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8" x14ac:dyDescent="0.3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8" x14ac:dyDescent="0.3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8" x14ac:dyDescent="0.3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8" x14ac:dyDescent="0.3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8" x14ac:dyDescent="0.3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8" x14ac:dyDescent="0.3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8" x14ac:dyDescent="0.3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8" x14ac:dyDescent="0.3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8" x14ac:dyDescent="0.3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8" x14ac:dyDescent="0.3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8" x14ac:dyDescent="0.3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8" x14ac:dyDescent="0.3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8" x14ac:dyDescent="0.3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8" x14ac:dyDescent="0.3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8" x14ac:dyDescent="0.3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8" x14ac:dyDescent="0.3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8" x14ac:dyDescent="0.3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8" x14ac:dyDescent="0.3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8" x14ac:dyDescent="0.3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8" x14ac:dyDescent="0.3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8" x14ac:dyDescent="0.3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8" x14ac:dyDescent="0.3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8" x14ac:dyDescent="0.3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8" x14ac:dyDescent="0.3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8" x14ac:dyDescent="0.3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8" x14ac:dyDescent="0.3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8" x14ac:dyDescent="0.3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8" x14ac:dyDescent="0.3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8" x14ac:dyDescent="0.3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8" x14ac:dyDescent="0.3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8" x14ac:dyDescent="0.3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8" x14ac:dyDescent="0.3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8" x14ac:dyDescent="0.3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8" x14ac:dyDescent="0.3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8" x14ac:dyDescent="0.3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8" x14ac:dyDescent="0.3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8" x14ac:dyDescent="0.3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8" x14ac:dyDescent="0.3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8" x14ac:dyDescent="0.3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8" x14ac:dyDescent="0.3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8" x14ac:dyDescent="0.3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8" x14ac:dyDescent="0.3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8" x14ac:dyDescent="0.3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8" x14ac:dyDescent="0.3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8" x14ac:dyDescent="0.3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8" x14ac:dyDescent="0.3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8" x14ac:dyDescent="0.3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8" x14ac:dyDescent="0.3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8" x14ac:dyDescent="0.3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8" x14ac:dyDescent="0.3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8" x14ac:dyDescent="0.3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8" x14ac:dyDescent="0.3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8" x14ac:dyDescent="0.3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8" x14ac:dyDescent="0.3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8" x14ac:dyDescent="0.3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8" x14ac:dyDescent="0.3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8" x14ac:dyDescent="0.3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8" x14ac:dyDescent="0.3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8" x14ac:dyDescent="0.3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8" x14ac:dyDescent="0.3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8" x14ac:dyDescent="0.3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8" x14ac:dyDescent="0.3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8" x14ac:dyDescent="0.3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8" x14ac:dyDescent="0.3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8" x14ac:dyDescent="0.3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8" x14ac:dyDescent="0.3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8" x14ac:dyDescent="0.3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8" x14ac:dyDescent="0.3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8" x14ac:dyDescent="0.3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8" x14ac:dyDescent="0.3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8" x14ac:dyDescent="0.3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8" x14ac:dyDescent="0.3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8" x14ac:dyDescent="0.3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8" x14ac:dyDescent="0.3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8" x14ac:dyDescent="0.3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8" x14ac:dyDescent="0.3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8" x14ac:dyDescent="0.3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8" x14ac:dyDescent="0.3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8" x14ac:dyDescent="0.3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8" x14ac:dyDescent="0.3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8" x14ac:dyDescent="0.3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8" x14ac:dyDescent="0.3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8" x14ac:dyDescent="0.3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8" x14ac:dyDescent="0.3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8" x14ac:dyDescent="0.3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8" x14ac:dyDescent="0.3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8" x14ac:dyDescent="0.3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8" x14ac:dyDescent="0.3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8" x14ac:dyDescent="0.3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8" x14ac:dyDescent="0.3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8" x14ac:dyDescent="0.3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8" x14ac:dyDescent="0.3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8" x14ac:dyDescent="0.3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8" x14ac:dyDescent="0.3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8" x14ac:dyDescent="0.3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8" x14ac:dyDescent="0.3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8" x14ac:dyDescent="0.3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8" x14ac:dyDescent="0.3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8" x14ac:dyDescent="0.3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8" x14ac:dyDescent="0.3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8" x14ac:dyDescent="0.3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8" x14ac:dyDescent="0.3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8" x14ac:dyDescent="0.3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8" x14ac:dyDescent="0.3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8" x14ac:dyDescent="0.3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8" x14ac:dyDescent="0.3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8" x14ac:dyDescent="0.3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8" x14ac:dyDescent="0.3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8" x14ac:dyDescent="0.3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8" x14ac:dyDescent="0.3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8" x14ac:dyDescent="0.3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8" x14ac:dyDescent="0.3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8" x14ac:dyDescent="0.3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8" x14ac:dyDescent="0.3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8" x14ac:dyDescent="0.3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8" x14ac:dyDescent="0.3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2" t="str" cm="1">
        <f t="array" ref="A1">portfolio</f>
        <v>Bio-Med Devices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 x14ac:dyDescent="0.25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8" x14ac:dyDescent="0.3">
      <c r="A5" s="16"/>
      <c r="B5" s="16"/>
      <c r="C5" s="16"/>
      <c r="D5" s="16"/>
      <c r="E5" s="16"/>
      <c r="F5" s="16"/>
      <c r="G5" s="16"/>
      <c r="H5" s="16"/>
      <c r="I5" s="16"/>
    </row>
    <row r="6" spans="1:9" ht="13.8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ht="13.8" x14ac:dyDescent="0.3">
      <c r="A7" s="16"/>
      <c r="B7" s="16"/>
      <c r="C7" s="16"/>
      <c r="D7" s="16"/>
      <c r="E7" s="16"/>
      <c r="F7" s="17"/>
      <c r="G7" s="16"/>
      <c r="H7" s="16"/>
      <c r="I7" s="17"/>
    </row>
    <row r="8" spans="1:9" ht="13.8" x14ac:dyDescent="0.3">
      <c r="A8" s="16"/>
      <c r="B8" s="16"/>
      <c r="C8" s="16"/>
      <c r="D8" s="16"/>
      <c r="E8" s="16"/>
      <c r="F8" s="17"/>
      <c r="G8" s="16"/>
      <c r="H8" s="16"/>
      <c r="I8" s="17"/>
    </row>
    <row r="9" spans="1:9" ht="13.8" x14ac:dyDescent="0.3">
      <c r="A9" s="16"/>
      <c r="B9" s="16"/>
      <c r="C9" s="16"/>
      <c r="D9" s="16"/>
      <c r="E9" s="16"/>
      <c r="F9" s="17"/>
      <c r="G9" s="16"/>
      <c r="H9" s="16"/>
      <c r="I9" s="17"/>
    </row>
    <row r="10" spans="1:9" ht="13.8" x14ac:dyDescent="0.3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8" x14ac:dyDescent="0.3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8" x14ac:dyDescent="0.3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8" x14ac:dyDescent="0.3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8" x14ac:dyDescent="0.3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8" x14ac:dyDescent="0.3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8" x14ac:dyDescent="0.3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8" x14ac:dyDescent="0.3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8" x14ac:dyDescent="0.3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8" x14ac:dyDescent="0.3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8" x14ac:dyDescent="0.3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8" x14ac:dyDescent="0.3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8" x14ac:dyDescent="0.3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8" x14ac:dyDescent="0.3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8" x14ac:dyDescent="0.3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8" x14ac:dyDescent="0.3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8" x14ac:dyDescent="0.3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8" x14ac:dyDescent="0.3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8" x14ac:dyDescent="0.3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8" x14ac:dyDescent="0.3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8" x14ac:dyDescent="0.3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8" x14ac:dyDescent="0.3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8" x14ac:dyDescent="0.3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8" x14ac:dyDescent="0.3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8" x14ac:dyDescent="0.3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8" x14ac:dyDescent="0.3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8" x14ac:dyDescent="0.3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8" x14ac:dyDescent="0.3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8" x14ac:dyDescent="0.3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8" x14ac:dyDescent="0.3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8" x14ac:dyDescent="0.3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8" x14ac:dyDescent="0.3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8" x14ac:dyDescent="0.3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8" x14ac:dyDescent="0.3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8" x14ac:dyDescent="0.3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8" x14ac:dyDescent="0.3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8" x14ac:dyDescent="0.3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8" x14ac:dyDescent="0.3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8" x14ac:dyDescent="0.3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8" x14ac:dyDescent="0.3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8" x14ac:dyDescent="0.3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8" x14ac:dyDescent="0.3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8" x14ac:dyDescent="0.3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8" x14ac:dyDescent="0.3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8" x14ac:dyDescent="0.3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8" x14ac:dyDescent="0.3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8" x14ac:dyDescent="0.3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8" x14ac:dyDescent="0.3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8" x14ac:dyDescent="0.3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8" x14ac:dyDescent="0.3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8" x14ac:dyDescent="0.3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8" x14ac:dyDescent="0.3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8" x14ac:dyDescent="0.3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8" x14ac:dyDescent="0.3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8" x14ac:dyDescent="0.3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8" x14ac:dyDescent="0.3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8" x14ac:dyDescent="0.3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8" x14ac:dyDescent="0.3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8" x14ac:dyDescent="0.3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8" x14ac:dyDescent="0.3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8" x14ac:dyDescent="0.3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8" x14ac:dyDescent="0.3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8" x14ac:dyDescent="0.3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8" x14ac:dyDescent="0.3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8" x14ac:dyDescent="0.3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8" x14ac:dyDescent="0.3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8" x14ac:dyDescent="0.3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8" x14ac:dyDescent="0.3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8" x14ac:dyDescent="0.3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8" x14ac:dyDescent="0.3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8" x14ac:dyDescent="0.3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8" x14ac:dyDescent="0.3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8" x14ac:dyDescent="0.3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8" x14ac:dyDescent="0.3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8" x14ac:dyDescent="0.3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8" x14ac:dyDescent="0.3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8" x14ac:dyDescent="0.3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8" x14ac:dyDescent="0.3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8" x14ac:dyDescent="0.3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8" x14ac:dyDescent="0.3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8" x14ac:dyDescent="0.3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8" x14ac:dyDescent="0.3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8" x14ac:dyDescent="0.3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8" x14ac:dyDescent="0.3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8" x14ac:dyDescent="0.3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8" x14ac:dyDescent="0.3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8" x14ac:dyDescent="0.3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8" x14ac:dyDescent="0.3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8" x14ac:dyDescent="0.3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8" x14ac:dyDescent="0.3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8" x14ac:dyDescent="0.3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8" x14ac:dyDescent="0.3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8" x14ac:dyDescent="0.3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8" x14ac:dyDescent="0.3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8" x14ac:dyDescent="0.3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8" x14ac:dyDescent="0.3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8" x14ac:dyDescent="0.3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8" x14ac:dyDescent="0.3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8" x14ac:dyDescent="0.3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8" x14ac:dyDescent="0.3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8" x14ac:dyDescent="0.3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8" x14ac:dyDescent="0.3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8" x14ac:dyDescent="0.3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8" x14ac:dyDescent="0.3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8" x14ac:dyDescent="0.3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8" x14ac:dyDescent="0.3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8" x14ac:dyDescent="0.3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8" x14ac:dyDescent="0.3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8" x14ac:dyDescent="0.3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8" x14ac:dyDescent="0.3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8" x14ac:dyDescent="0.3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8" x14ac:dyDescent="0.3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8" x14ac:dyDescent="0.3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8" x14ac:dyDescent="0.3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8" x14ac:dyDescent="0.3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8" x14ac:dyDescent="0.3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8" x14ac:dyDescent="0.3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8" x14ac:dyDescent="0.3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8" x14ac:dyDescent="0.3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8" x14ac:dyDescent="0.3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8" x14ac:dyDescent="0.3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8" x14ac:dyDescent="0.3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8" x14ac:dyDescent="0.3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8" x14ac:dyDescent="0.3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8" x14ac:dyDescent="0.3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8" x14ac:dyDescent="0.3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8" x14ac:dyDescent="0.3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8" x14ac:dyDescent="0.3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8" x14ac:dyDescent="0.3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8" x14ac:dyDescent="0.3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8" x14ac:dyDescent="0.3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8" x14ac:dyDescent="0.3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8" x14ac:dyDescent="0.3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8" x14ac:dyDescent="0.3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8" x14ac:dyDescent="0.3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8" x14ac:dyDescent="0.3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8" x14ac:dyDescent="0.3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8" x14ac:dyDescent="0.3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8" x14ac:dyDescent="0.3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8" x14ac:dyDescent="0.3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8" x14ac:dyDescent="0.3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8" x14ac:dyDescent="0.3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8" x14ac:dyDescent="0.3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8" x14ac:dyDescent="0.3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8" x14ac:dyDescent="0.3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8" x14ac:dyDescent="0.3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8" x14ac:dyDescent="0.3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8" x14ac:dyDescent="0.3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8" x14ac:dyDescent="0.3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8" x14ac:dyDescent="0.3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8" x14ac:dyDescent="0.3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8" x14ac:dyDescent="0.3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8" x14ac:dyDescent="0.3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8" x14ac:dyDescent="0.3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8" x14ac:dyDescent="0.3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8" x14ac:dyDescent="0.3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8" x14ac:dyDescent="0.3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8" x14ac:dyDescent="0.3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8" x14ac:dyDescent="0.3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8" x14ac:dyDescent="0.3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8" x14ac:dyDescent="0.3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8" x14ac:dyDescent="0.3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8" x14ac:dyDescent="0.3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8" x14ac:dyDescent="0.3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8" x14ac:dyDescent="0.3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8" x14ac:dyDescent="0.3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8" x14ac:dyDescent="0.3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8" x14ac:dyDescent="0.3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8" x14ac:dyDescent="0.3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8" x14ac:dyDescent="0.3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8" x14ac:dyDescent="0.3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8" x14ac:dyDescent="0.3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8" x14ac:dyDescent="0.3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8" x14ac:dyDescent="0.3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8" x14ac:dyDescent="0.3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8" x14ac:dyDescent="0.3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8" x14ac:dyDescent="0.3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8" x14ac:dyDescent="0.3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8" x14ac:dyDescent="0.3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8" x14ac:dyDescent="0.3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8" x14ac:dyDescent="0.3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8" x14ac:dyDescent="0.3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8" x14ac:dyDescent="0.3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8" x14ac:dyDescent="0.3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8" x14ac:dyDescent="0.3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8" x14ac:dyDescent="0.3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8" x14ac:dyDescent="0.3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8" x14ac:dyDescent="0.3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8" x14ac:dyDescent="0.3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8" x14ac:dyDescent="0.3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8" x14ac:dyDescent="0.3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8" x14ac:dyDescent="0.3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8" x14ac:dyDescent="0.3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8" x14ac:dyDescent="0.3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8" x14ac:dyDescent="0.3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8" x14ac:dyDescent="0.3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8" x14ac:dyDescent="0.3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8" x14ac:dyDescent="0.3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8" x14ac:dyDescent="0.3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8" x14ac:dyDescent="0.3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8" x14ac:dyDescent="0.3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8" x14ac:dyDescent="0.3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8" x14ac:dyDescent="0.3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8" x14ac:dyDescent="0.3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8" x14ac:dyDescent="0.3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8" x14ac:dyDescent="0.3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8" x14ac:dyDescent="0.3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8" x14ac:dyDescent="0.3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8" x14ac:dyDescent="0.3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8" x14ac:dyDescent="0.3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8" x14ac:dyDescent="0.3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8" x14ac:dyDescent="0.3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8" x14ac:dyDescent="0.3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8" x14ac:dyDescent="0.3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8" x14ac:dyDescent="0.3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8" x14ac:dyDescent="0.3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8" x14ac:dyDescent="0.3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8" x14ac:dyDescent="0.3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8" x14ac:dyDescent="0.3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8" x14ac:dyDescent="0.3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8" x14ac:dyDescent="0.3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8" x14ac:dyDescent="0.3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8" x14ac:dyDescent="0.3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8" x14ac:dyDescent="0.3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8" x14ac:dyDescent="0.3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8" x14ac:dyDescent="0.3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8" x14ac:dyDescent="0.3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8" x14ac:dyDescent="0.3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8" x14ac:dyDescent="0.3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8" x14ac:dyDescent="0.3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8" x14ac:dyDescent="0.3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8" x14ac:dyDescent="0.3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8" x14ac:dyDescent="0.3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8" x14ac:dyDescent="0.3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8" x14ac:dyDescent="0.3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8" x14ac:dyDescent="0.3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8" x14ac:dyDescent="0.3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8" x14ac:dyDescent="0.3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8" x14ac:dyDescent="0.3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8" x14ac:dyDescent="0.3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8" x14ac:dyDescent="0.3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8" x14ac:dyDescent="0.3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8" x14ac:dyDescent="0.3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8" x14ac:dyDescent="0.3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8" x14ac:dyDescent="0.3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8" x14ac:dyDescent="0.3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8" x14ac:dyDescent="0.3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8" x14ac:dyDescent="0.3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8" x14ac:dyDescent="0.3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8" x14ac:dyDescent="0.3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8" x14ac:dyDescent="0.3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8" x14ac:dyDescent="0.3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8" x14ac:dyDescent="0.3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8" x14ac:dyDescent="0.3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8" x14ac:dyDescent="0.3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8" x14ac:dyDescent="0.3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8" x14ac:dyDescent="0.3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8" x14ac:dyDescent="0.3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8" x14ac:dyDescent="0.3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8" x14ac:dyDescent="0.3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8" x14ac:dyDescent="0.3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8" x14ac:dyDescent="0.3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8" x14ac:dyDescent="0.3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8" x14ac:dyDescent="0.3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8" x14ac:dyDescent="0.3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8" x14ac:dyDescent="0.3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8" x14ac:dyDescent="0.3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8" x14ac:dyDescent="0.3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8" x14ac:dyDescent="0.3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8" x14ac:dyDescent="0.3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8" x14ac:dyDescent="0.3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8" x14ac:dyDescent="0.3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8" x14ac:dyDescent="0.3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8" x14ac:dyDescent="0.3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8" x14ac:dyDescent="0.3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8" x14ac:dyDescent="0.3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8" x14ac:dyDescent="0.3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8" x14ac:dyDescent="0.3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8" x14ac:dyDescent="0.3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8" x14ac:dyDescent="0.3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8" x14ac:dyDescent="0.3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8" x14ac:dyDescent="0.3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8" x14ac:dyDescent="0.3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8" x14ac:dyDescent="0.3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8" x14ac:dyDescent="0.3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8" x14ac:dyDescent="0.3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8" x14ac:dyDescent="0.3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8" x14ac:dyDescent="0.3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8" x14ac:dyDescent="0.3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8" x14ac:dyDescent="0.3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8" x14ac:dyDescent="0.3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8" x14ac:dyDescent="0.3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8" x14ac:dyDescent="0.3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8" x14ac:dyDescent="0.3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8" x14ac:dyDescent="0.3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8" x14ac:dyDescent="0.3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8" x14ac:dyDescent="0.3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8" x14ac:dyDescent="0.3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8" x14ac:dyDescent="0.3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8" x14ac:dyDescent="0.3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8" x14ac:dyDescent="0.3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8" x14ac:dyDescent="0.3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8" x14ac:dyDescent="0.3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8" x14ac:dyDescent="0.3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8" x14ac:dyDescent="0.3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8" x14ac:dyDescent="0.3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8" x14ac:dyDescent="0.3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SUM(C4:C73)</f>
        <v>4142</v>
      </c>
      <c r="D2" s="5">
        <f>SUM(D4:D73)</f>
        <v>0</v>
      </c>
      <c r="E2" s="5">
        <f>C2-D2</f>
        <v>4142</v>
      </c>
      <c r="F2" s="6">
        <f>IFERROR(E2/D2, 0)</f>
        <v>0</v>
      </c>
      <c r="G2" s="5">
        <f>SUM(G4:G73)</f>
        <v>8751</v>
      </c>
      <c r="H2" s="7">
        <f>C2-G2</f>
        <v>-4609</v>
      </c>
      <c r="I2" s="6">
        <f>IFERROR(H2/G2, 0)</f>
        <v>-0.52668266483830417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1">
        <v>4142</v>
      </c>
      <c r="D4" s="11">
        <v>0</v>
      </c>
      <c r="E4" s="11">
        <f>IF(AND(ISNUMBER(C4),ISNUMBER(D4)), C4-D4, "")</f>
        <v>4142</v>
      </c>
      <c r="F4" s="35" t="str">
        <f>IFERROR(E4/D4, "")</f>
        <v/>
      </c>
      <c r="G4" s="13">
        <v>8751</v>
      </c>
      <c r="H4" s="13">
        <f>IF(AND(ISNUMBER(C4),ISNUMBER(G4)), C4-G4, "")</f>
        <v>-4609</v>
      </c>
      <c r="I4" s="14">
        <f>IFERROR(H4/G4, "")</f>
        <v>-0.52668266483830417</v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 I4:I73 F5:F73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F14" sqref="F14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7078.12</v>
      </c>
      <c r="D2" s="5">
        <f>SUM(D4:D74)</f>
        <v>0</v>
      </c>
      <c r="E2" s="5">
        <f>C2-D2</f>
        <v>7078.12</v>
      </c>
      <c r="F2" s="6">
        <f>IFERROR(E2/D2, 0)</f>
        <v>0</v>
      </c>
      <c r="G2" s="5">
        <f>SUM(G4:G74)</f>
        <v>10476.151</v>
      </c>
      <c r="H2" s="7">
        <f>C2-G2</f>
        <v>-3398.0309999999999</v>
      </c>
      <c r="I2" s="6">
        <f>IFERROR(H2/G2, 0)</f>
        <v>-0.3243587267881114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9">
        <v>7078.12</v>
      </c>
      <c r="D4" s="11">
        <v>0</v>
      </c>
      <c r="E4" s="11">
        <f>IF(AND(ISNUMBER(C4),ISNUMBER(D4)), C4-D4, "")</f>
        <v>7078.12</v>
      </c>
      <c r="F4" s="12" t="str">
        <f>IFERROR(E4/D4, "")</f>
        <v/>
      </c>
      <c r="G4" s="13">
        <v>10476.151</v>
      </c>
      <c r="H4" s="13">
        <f>IF(AND(ISNUMBER(C4),ISNUMBER(G4)), C4-G4, "")</f>
        <v>-3398.0309999999999</v>
      </c>
      <c r="I4" s="14">
        <f>IFERROR(H4/G4, "")</f>
        <v>-0.3243587267881114</v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workbookViewId="0">
      <pane xSplit="2" ySplit="3" topLeftCell="E4" activePane="bottomRight" state="frozen"/>
      <selection pane="topRight" activeCell="A5" sqref="A5:XFD30"/>
      <selection pane="bottomLeft" activeCell="A5" sqref="A5:XFD30"/>
      <selection pane="bottomRight" activeCell="J13" sqref="J13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5.44140625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13577.9</v>
      </c>
      <c r="D2" s="5">
        <f>SUM(D4:D74)</f>
        <v>0</v>
      </c>
      <c r="E2" s="5">
        <f>C2-D2</f>
        <v>13577.9</v>
      </c>
      <c r="F2" s="6">
        <f>IFERROR(E2/D2, 0)</f>
        <v>0</v>
      </c>
      <c r="G2" s="5">
        <f>SUM(G4:G74)</f>
        <v>14587.200999999999</v>
      </c>
      <c r="H2" s="7">
        <f>C2-G2</f>
        <v>-1009.3009999999995</v>
      </c>
      <c r="I2" s="6">
        <f>IFERROR(H2/G2, 0)</f>
        <v>-6.9190861221422775E-2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13577.9</v>
      </c>
      <c r="D4" s="11">
        <v>0</v>
      </c>
      <c r="E4" s="11">
        <f>IF(AND(ISNUMBER(C4),ISNUMBER(D4)), C4-D4, "")</f>
        <v>13577.9</v>
      </c>
      <c r="F4" s="12" t="str">
        <f>IFERROR(E4/D4, "")</f>
        <v/>
      </c>
      <c r="G4" s="13">
        <v>14587.200999999999</v>
      </c>
      <c r="H4" s="13">
        <f>IF(AND(ISNUMBER(C4),ISNUMBER(G4)), C4-G4, "")</f>
        <v>-1009.3009999999995</v>
      </c>
      <c r="I4" s="14">
        <f>IFERROR(H4/G4, "")</f>
        <v>-6.9190861221422775E-2</v>
      </c>
      <c r="J4" s="33" t="s">
        <v>26</v>
      </c>
      <c r="K4" s="33" t="s">
        <v>27</v>
      </c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tabSelected="1" workbookViewId="0">
      <pane xSplit="2" ySplit="3" topLeftCell="D4" activePane="bottomRight" state="frozen"/>
      <selection pane="topRight" activeCell="A5" sqref="A5:XFD30"/>
      <selection pane="bottomLeft" activeCell="A5" sqref="A5:XFD30"/>
      <selection pane="bottomRight" activeCell="I13" sqref="I13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15038.14</v>
      </c>
      <c r="D2" s="5">
        <f>SUM(D4:D74)</f>
        <v>0</v>
      </c>
      <c r="E2" s="5">
        <f>C2-D2</f>
        <v>15038.14</v>
      </c>
      <c r="F2" s="6">
        <f>IFERROR(E2/D2, 0)</f>
        <v>0</v>
      </c>
      <c r="G2" s="5">
        <f>SUM(G4:G74)</f>
        <v>15293.07</v>
      </c>
      <c r="H2" s="7">
        <f>C2-G2</f>
        <v>-254.93000000000029</v>
      </c>
      <c r="I2" s="6">
        <f>IFERROR(H2/G2, 0)</f>
        <v>-1.6669641870468148E-2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15038.14</v>
      </c>
      <c r="D4" s="11">
        <v>0</v>
      </c>
      <c r="E4" s="11">
        <f>IF(AND(ISNUMBER(C4),ISNUMBER(D4)), C4-D4, "")</f>
        <v>15038.14</v>
      </c>
      <c r="F4" s="12" t="str">
        <f>IFERROR(E4/D4, "")</f>
        <v/>
      </c>
      <c r="G4" s="13">
        <v>15293.07</v>
      </c>
      <c r="H4" s="13">
        <f>IF(AND(ISNUMBER(C4),ISNUMBER(G4)), C4-G4, "")</f>
        <v>-254.93000000000029</v>
      </c>
      <c r="I4" s="14">
        <f>IFERROR(H4/G4, "")</f>
        <v>-1.6669641870468148E-2</v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workbookViewId="0">
      <pane xSplit="2" ySplit="3" topLeftCell="E4" activePane="bottomRight" state="frozen"/>
      <selection pane="topRight" activeCell="A5" sqref="A5:XFD30"/>
      <selection pane="bottomLeft" activeCell="A5" sqref="A5:XFD30"/>
      <selection pane="bottomRight" activeCell="H4" sqref="H4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18524.78</v>
      </c>
      <c r="D2" s="5">
        <f>SUM(D4:D74)</f>
        <v>0</v>
      </c>
      <c r="E2" s="5">
        <f>C2-D2</f>
        <v>18524.78</v>
      </c>
      <c r="F2" s="6">
        <f>IFERROR(E2/D2, 0)</f>
        <v>0</v>
      </c>
      <c r="G2" s="5">
        <f>SUM(G4:G74)</f>
        <v>17076.09</v>
      </c>
      <c r="H2" s="7">
        <f>C2-G2</f>
        <v>1448.6899999999987</v>
      </c>
      <c r="I2" s="6">
        <f>IFERROR(H2/G2, 0)</f>
        <v>8.4837336884497488E-2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18524.78</v>
      </c>
      <c r="D4" s="11">
        <v>0</v>
      </c>
      <c r="E4" s="11">
        <f>IF(AND(ISNUMBER(C4),ISNUMBER(D4)), C4-D4, "")</f>
        <v>18524.78</v>
      </c>
      <c r="F4" s="12" t="str">
        <f>IFERROR(E4/D4, "")</f>
        <v/>
      </c>
      <c r="G4" s="13">
        <v>17076.09</v>
      </c>
      <c r="H4" s="13">
        <f>IF(AND(ISNUMBER(C4),ISNUMBER(G4)), C4-G4, "")</f>
        <v>1448.6899999999987</v>
      </c>
      <c r="I4" s="14">
        <f>IFERROR(H4/G4, "")</f>
        <v>8.4837336884497488E-2</v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G5" sqref="G5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20240.22</v>
      </c>
      <c r="D2" s="5">
        <f>SUM(D4:D74)</f>
        <v>0</v>
      </c>
      <c r="E2" s="5">
        <f>C2-D2</f>
        <v>20240.22</v>
      </c>
      <c r="F2" s="6">
        <f>IFERROR(E2/D2, 0)</f>
        <v>0</v>
      </c>
      <c r="G2" s="5">
        <f>SUM(G4:G74)</f>
        <v>17004.811000000002</v>
      </c>
      <c r="H2" s="7">
        <f>C2-G2</f>
        <v>3235.4089999999997</v>
      </c>
      <c r="I2" s="6">
        <f>IFERROR(H2/G2, 0)</f>
        <v>0.19026433166472709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20240.22</v>
      </c>
      <c r="D4" s="11">
        <v>0</v>
      </c>
      <c r="E4" s="11">
        <f>IF(AND(ISNUMBER(C4),ISNUMBER(D4)), C4-D4, "")</f>
        <v>20240.22</v>
      </c>
      <c r="F4" s="12" t="str">
        <f>IFERROR(E4/D4, "")</f>
        <v/>
      </c>
      <c r="G4" s="13">
        <v>17004.811000000002</v>
      </c>
      <c r="H4" s="13">
        <f>IF(AND(ISNUMBER(C4),ISNUMBER(G4)), C4-G4, "")</f>
        <v>3235.4089999999997</v>
      </c>
      <c r="I4" s="14">
        <f>IFERROR(H4/G4, "")</f>
        <v>0.19026433166472709</v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workbookViewId="0">
      <pane xSplit="2" ySplit="3" topLeftCell="C4" activePane="bottomRight" state="frozen"/>
      <selection pane="topRight" activeCell="A5" sqref="A5:XFD30"/>
      <selection pane="bottomLeft" activeCell="A5" sqref="A5:XFD30"/>
      <selection pane="bottomRight" activeCell="A5" sqref="A5:XFD30"/>
    </sheetView>
  </sheetViews>
  <sheetFormatPr defaultRowHeight="13.8" x14ac:dyDescent="0.25"/>
  <cols>
    <col min="1" max="1" width="35.88671875" bestFit="1" customWidth="1"/>
    <col min="2" max="2" width="8.44140625" style="2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2" t="str" cm="1">
        <f t="array" ref="A1">portfolio</f>
        <v>Bio-Med Devices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 x14ac:dyDescent="0.25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 x14ac:dyDescent="0.3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" x14ac:dyDescent="0.3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" x14ac:dyDescent="0.3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" x14ac:dyDescent="0.3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" x14ac:dyDescent="0.3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" x14ac:dyDescent="0.3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" x14ac:dyDescent="0.3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" x14ac:dyDescent="0.3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" x14ac:dyDescent="0.3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" x14ac:dyDescent="0.3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" x14ac:dyDescent="0.3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" x14ac:dyDescent="0.3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" x14ac:dyDescent="0.3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" x14ac:dyDescent="0.3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" x14ac:dyDescent="0.3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" x14ac:dyDescent="0.3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" x14ac:dyDescent="0.3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" x14ac:dyDescent="0.3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" x14ac:dyDescent="0.3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" x14ac:dyDescent="0.3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" x14ac:dyDescent="0.3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" x14ac:dyDescent="0.3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" x14ac:dyDescent="0.3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" x14ac:dyDescent="0.3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" x14ac:dyDescent="0.3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" x14ac:dyDescent="0.3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" x14ac:dyDescent="0.3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" x14ac:dyDescent="0.3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" x14ac:dyDescent="0.3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" x14ac:dyDescent="0.3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" x14ac:dyDescent="0.3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" x14ac:dyDescent="0.3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" x14ac:dyDescent="0.3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" x14ac:dyDescent="0.3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" x14ac:dyDescent="0.3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" x14ac:dyDescent="0.3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" x14ac:dyDescent="0.3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" x14ac:dyDescent="0.3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" x14ac:dyDescent="0.3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" x14ac:dyDescent="0.3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" x14ac:dyDescent="0.3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" x14ac:dyDescent="0.3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" x14ac:dyDescent="0.3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" x14ac:dyDescent="0.3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" x14ac:dyDescent="0.3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" x14ac:dyDescent="0.3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" x14ac:dyDescent="0.3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" x14ac:dyDescent="0.3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" x14ac:dyDescent="0.3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" x14ac:dyDescent="0.3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" x14ac:dyDescent="0.3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" x14ac:dyDescent="0.3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" x14ac:dyDescent="0.3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" x14ac:dyDescent="0.3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" x14ac:dyDescent="0.3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" x14ac:dyDescent="0.3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" x14ac:dyDescent="0.3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" x14ac:dyDescent="0.3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" x14ac:dyDescent="0.3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" x14ac:dyDescent="0.3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" x14ac:dyDescent="0.3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" x14ac:dyDescent="0.3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" x14ac:dyDescent="0.3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" x14ac:dyDescent="0.3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" x14ac:dyDescent="0.3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" x14ac:dyDescent="0.3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" x14ac:dyDescent="0.3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" x14ac:dyDescent="0.3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" x14ac:dyDescent="0.3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" x14ac:dyDescent="0.3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" x14ac:dyDescent="0.3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" x14ac:dyDescent="0.3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" x14ac:dyDescent="0.3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" x14ac:dyDescent="0.3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" x14ac:dyDescent="0.3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" x14ac:dyDescent="0.3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" x14ac:dyDescent="0.3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" x14ac:dyDescent="0.3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" x14ac:dyDescent="0.3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" x14ac:dyDescent="0.3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" x14ac:dyDescent="0.3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" x14ac:dyDescent="0.3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" x14ac:dyDescent="0.3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" x14ac:dyDescent="0.3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" x14ac:dyDescent="0.3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" x14ac:dyDescent="0.3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" x14ac:dyDescent="0.3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" x14ac:dyDescent="0.3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" x14ac:dyDescent="0.3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" x14ac:dyDescent="0.3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" x14ac:dyDescent="0.3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" x14ac:dyDescent="0.3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" x14ac:dyDescent="0.3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" x14ac:dyDescent="0.3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" x14ac:dyDescent="0.3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" x14ac:dyDescent="0.3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" x14ac:dyDescent="0.3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" x14ac:dyDescent="0.3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" x14ac:dyDescent="0.3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" x14ac:dyDescent="0.3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" x14ac:dyDescent="0.3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" x14ac:dyDescent="0.3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" x14ac:dyDescent="0.3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" x14ac:dyDescent="0.3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" x14ac:dyDescent="0.3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" x14ac:dyDescent="0.3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" x14ac:dyDescent="0.3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" x14ac:dyDescent="0.3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" x14ac:dyDescent="0.3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" x14ac:dyDescent="0.3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" x14ac:dyDescent="0.3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" x14ac:dyDescent="0.3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" x14ac:dyDescent="0.3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" x14ac:dyDescent="0.3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" x14ac:dyDescent="0.3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" x14ac:dyDescent="0.3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" x14ac:dyDescent="0.3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" x14ac:dyDescent="0.3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" x14ac:dyDescent="0.3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" x14ac:dyDescent="0.3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" x14ac:dyDescent="0.3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" x14ac:dyDescent="0.3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" x14ac:dyDescent="0.3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" x14ac:dyDescent="0.3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" x14ac:dyDescent="0.3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" x14ac:dyDescent="0.3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" x14ac:dyDescent="0.3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" x14ac:dyDescent="0.3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" x14ac:dyDescent="0.3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" x14ac:dyDescent="0.3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" x14ac:dyDescent="0.3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" x14ac:dyDescent="0.3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" x14ac:dyDescent="0.3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" x14ac:dyDescent="0.3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" x14ac:dyDescent="0.3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" x14ac:dyDescent="0.3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" x14ac:dyDescent="0.3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" x14ac:dyDescent="0.3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" x14ac:dyDescent="0.3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" x14ac:dyDescent="0.3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" x14ac:dyDescent="0.3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" x14ac:dyDescent="0.3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" x14ac:dyDescent="0.3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" x14ac:dyDescent="0.3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" x14ac:dyDescent="0.3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" x14ac:dyDescent="0.3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" x14ac:dyDescent="0.3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" x14ac:dyDescent="0.3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" x14ac:dyDescent="0.3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" x14ac:dyDescent="0.3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" x14ac:dyDescent="0.3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" x14ac:dyDescent="0.3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" x14ac:dyDescent="0.3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" x14ac:dyDescent="0.3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" x14ac:dyDescent="0.3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" x14ac:dyDescent="0.3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" x14ac:dyDescent="0.3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" x14ac:dyDescent="0.3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" x14ac:dyDescent="0.3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" x14ac:dyDescent="0.3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" x14ac:dyDescent="0.3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" x14ac:dyDescent="0.3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" x14ac:dyDescent="0.3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" x14ac:dyDescent="0.3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" x14ac:dyDescent="0.3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" x14ac:dyDescent="0.3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" x14ac:dyDescent="0.3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" x14ac:dyDescent="0.3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" x14ac:dyDescent="0.3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" x14ac:dyDescent="0.3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" x14ac:dyDescent="0.3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" x14ac:dyDescent="0.3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" x14ac:dyDescent="0.3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" x14ac:dyDescent="0.3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" x14ac:dyDescent="0.3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" x14ac:dyDescent="0.3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" x14ac:dyDescent="0.3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" x14ac:dyDescent="0.3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" x14ac:dyDescent="0.3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" x14ac:dyDescent="0.3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" x14ac:dyDescent="0.3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" x14ac:dyDescent="0.3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" x14ac:dyDescent="0.3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" x14ac:dyDescent="0.3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" x14ac:dyDescent="0.3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" x14ac:dyDescent="0.3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" x14ac:dyDescent="0.3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" x14ac:dyDescent="0.3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" x14ac:dyDescent="0.3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" x14ac:dyDescent="0.3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" x14ac:dyDescent="0.3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" x14ac:dyDescent="0.3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" x14ac:dyDescent="0.3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" x14ac:dyDescent="0.3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" x14ac:dyDescent="0.3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" x14ac:dyDescent="0.3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" x14ac:dyDescent="0.3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" x14ac:dyDescent="0.3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" x14ac:dyDescent="0.3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" x14ac:dyDescent="0.3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" x14ac:dyDescent="0.3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" x14ac:dyDescent="0.3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" x14ac:dyDescent="0.3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" x14ac:dyDescent="0.3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" x14ac:dyDescent="0.3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" x14ac:dyDescent="0.3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" x14ac:dyDescent="0.3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" x14ac:dyDescent="0.3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" x14ac:dyDescent="0.3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" x14ac:dyDescent="0.3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" x14ac:dyDescent="0.3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" x14ac:dyDescent="0.3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" x14ac:dyDescent="0.3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" x14ac:dyDescent="0.3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" x14ac:dyDescent="0.3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" x14ac:dyDescent="0.3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" x14ac:dyDescent="0.3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" x14ac:dyDescent="0.3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" x14ac:dyDescent="0.3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" x14ac:dyDescent="0.3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" x14ac:dyDescent="0.3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" x14ac:dyDescent="0.3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" x14ac:dyDescent="0.3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" x14ac:dyDescent="0.3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" x14ac:dyDescent="0.3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" x14ac:dyDescent="0.3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" x14ac:dyDescent="0.3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" x14ac:dyDescent="0.3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" x14ac:dyDescent="0.3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" x14ac:dyDescent="0.3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" x14ac:dyDescent="0.3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" x14ac:dyDescent="0.3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" x14ac:dyDescent="0.3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" x14ac:dyDescent="0.3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" x14ac:dyDescent="0.3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" x14ac:dyDescent="0.3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" x14ac:dyDescent="0.3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" x14ac:dyDescent="0.3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" x14ac:dyDescent="0.3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" x14ac:dyDescent="0.3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" x14ac:dyDescent="0.3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" x14ac:dyDescent="0.3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" x14ac:dyDescent="0.3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" x14ac:dyDescent="0.3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" x14ac:dyDescent="0.3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" x14ac:dyDescent="0.3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" x14ac:dyDescent="0.3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" x14ac:dyDescent="0.3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" x14ac:dyDescent="0.3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" x14ac:dyDescent="0.3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" x14ac:dyDescent="0.3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" x14ac:dyDescent="0.3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" x14ac:dyDescent="0.3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" x14ac:dyDescent="0.3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" x14ac:dyDescent="0.3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" x14ac:dyDescent="0.3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" x14ac:dyDescent="0.3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" x14ac:dyDescent="0.3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" x14ac:dyDescent="0.3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" x14ac:dyDescent="0.3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" x14ac:dyDescent="0.3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" x14ac:dyDescent="0.3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" x14ac:dyDescent="0.3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" x14ac:dyDescent="0.3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" x14ac:dyDescent="0.3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" x14ac:dyDescent="0.3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" x14ac:dyDescent="0.3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" x14ac:dyDescent="0.3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" x14ac:dyDescent="0.3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" x14ac:dyDescent="0.3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" x14ac:dyDescent="0.3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" x14ac:dyDescent="0.3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" x14ac:dyDescent="0.3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" x14ac:dyDescent="0.3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" x14ac:dyDescent="0.3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" x14ac:dyDescent="0.3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" x14ac:dyDescent="0.3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" x14ac:dyDescent="0.3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" x14ac:dyDescent="0.3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" x14ac:dyDescent="0.3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" x14ac:dyDescent="0.3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" x14ac:dyDescent="0.3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" x14ac:dyDescent="0.3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" x14ac:dyDescent="0.3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" x14ac:dyDescent="0.3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" x14ac:dyDescent="0.3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" x14ac:dyDescent="0.3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" x14ac:dyDescent="0.3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" x14ac:dyDescent="0.3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" x14ac:dyDescent="0.3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" x14ac:dyDescent="0.3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" x14ac:dyDescent="0.3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" x14ac:dyDescent="0.3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" x14ac:dyDescent="0.3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" x14ac:dyDescent="0.3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" x14ac:dyDescent="0.3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" x14ac:dyDescent="0.3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" x14ac:dyDescent="0.3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" x14ac:dyDescent="0.3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" x14ac:dyDescent="0.3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" x14ac:dyDescent="0.3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" x14ac:dyDescent="0.3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" x14ac:dyDescent="0.3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" x14ac:dyDescent="0.3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" x14ac:dyDescent="0.3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" x14ac:dyDescent="0.3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" x14ac:dyDescent="0.3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" x14ac:dyDescent="0.3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" x14ac:dyDescent="0.3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" x14ac:dyDescent="0.3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" x14ac:dyDescent="0.3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" x14ac:dyDescent="0.3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" x14ac:dyDescent="0.3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46</v>
      </c>
      <c r="B1" t="s">
        <v>47</v>
      </c>
    </row>
    <row r="3" spans="1:12" ht="13.2" x14ac:dyDescent="0.2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" x14ac:dyDescent="0.3">
      <c r="A4" s="39" t="s">
        <v>47</v>
      </c>
      <c r="B4" t="s">
        <v>51</v>
      </c>
      <c r="C4" s="37" t="s">
        <v>52</v>
      </c>
      <c r="D4" s="36" t="s">
        <v>53</v>
      </c>
      <c r="E4" t="s">
        <v>54</v>
      </c>
      <c r="G4" s="3"/>
    </row>
    <row r="5" spans="1:12" ht="14.4" x14ac:dyDescent="0.3">
      <c r="A5" s="39"/>
      <c r="C5" s="37"/>
      <c r="D5" s="36"/>
      <c r="G5" s="3"/>
    </row>
    <row r="6" spans="1:12" ht="14.4" x14ac:dyDescent="0.3">
      <c r="A6" s="39"/>
      <c r="C6" s="37"/>
      <c r="D6" s="36"/>
      <c r="G6" s="3"/>
    </row>
    <row r="7" spans="1:12" ht="12.75" customHeight="1" x14ac:dyDescent="0.25">
      <c r="A7" s="39"/>
      <c r="C7" s="37"/>
      <c r="D7" s="36"/>
    </row>
    <row r="8" spans="1:12" ht="12.75" customHeight="1" x14ac:dyDescent="0.25">
      <c r="A8" s="39"/>
      <c r="C8" s="37"/>
      <c r="D8" s="36"/>
    </row>
    <row r="9" spans="1:12" ht="12.75" customHeight="1" x14ac:dyDescent="0.25">
      <c r="A9" s="39"/>
      <c r="C9" s="37"/>
      <c r="D9" s="36"/>
    </row>
    <row r="10" spans="1:12" ht="12.75" customHeight="1" x14ac:dyDescent="0.25">
      <c r="A10" s="39"/>
      <c r="C10" s="37"/>
      <c r="D10" s="36"/>
      <c r="K10" s="34"/>
      <c r="L10" s="34"/>
    </row>
    <row r="11" spans="1:12" ht="12.75" customHeight="1" x14ac:dyDescent="0.25">
      <c r="A11" s="39"/>
      <c r="C11" s="37"/>
      <c r="D11" s="36"/>
      <c r="K11" s="34"/>
      <c r="L11" s="34"/>
    </row>
    <row r="12" spans="1:12" ht="12.75" customHeight="1" x14ac:dyDescent="0.25">
      <c r="A12" s="39"/>
      <c r="C12" s="37"/>
      <c r="D12" s="36"/>
      <c r="K12" s="34"/>
      <c r="L12" s="34"/>
    </row>
    <row r="13" spans="1:12" ht="12.75" customHeight="1" x14ac:dyDescent="0.25">
      <c r="A13" s="39"/>
      <c r="C13" s="37"/>
      <c r="D13" s="36"/>
      <c r="K13" s="34"/>
      <c r="L13" s="34"/>
    </row>
    <row r="14" spans="1:12" ht="12.75" customHeight="1" x14ac:dyDescent="0.25">
      <c r="A14" s="39"/>
      <c r="C14" s="37"/>
      <c r="D14" s="36"/>
      <c r="K14" s="34"/>
      <c r="L14" s="34"/>
    </row>
    <row r="15" spans="1:12" ht="12.75" customHeight="1" x14ac:dyDescent="0.25">
      <c r="A15" s="39"/>
      <c r="C15" s="37"/>
      <c r="D15" s="36"/>
      <c r="K15" s="34"/>
      <c r="L15" s="34"/>
    </row>
    <row r="16" spans="1:12" ht="12.75" customHeight="1" x14ac:dyDescent="0.25">
      <c r="A16" s="39"/>
      <c r="C16" s="37"/>
      <c r="D16" s="36"/>
      <c r="K16" s="34"/>
      <c r="L16" s="34"/>
    </row>
    <row r="17" spans="1:12" ht="12.75" customHeight="1" x14ac:dyDescent="0.25">
      <c r="A17" s="39"/>
      <c r="C17" s="37"/>
      <c r="D17" s="36"/>
      <c r="K17" s="34"/>
      <c r="L17" s="34"/>
    </row>
    <row r="18" spans="1:12" ht="12.75" customHeight="1" x14ac:dyDescent="0.25">
      <c r="A18" s="39"/>
      <c r="C18" s="37"/>
      <c r="D18" s="36"/>
      <c r="K18" s="34"/>
      <c r="L18" s="34"/>
    </row>
    <row r="19" spans="1:12" ht="12.75" customHeight="1" x14ac:dyDescent="0.25">
      <c r="A19" s="39"/>
      <c r="C19" s="37"/>
      <c r="D19" s="36"/>
      <c r="K19" s="34"/>
      <c r="L19" s="34"/>
    </row>
    <row r="20" spans="1:12" ht="12.75" customHeight="1" x14ac:dyDescent="0.25">
      <c r="A20" s="39"/>
      <c r="C20" s="37"/>
      <c r="D20" s="36"/>
      <c r="K20" s="34"/>
      <c r="L20" s="34"/>
    </row>
    <row r="21" spans="1:12" ht="12.75" customHeight="1" x14ac:dyDescent="0.25">
      <c r="A21" s="39"/>
      <c r="C21" s="37"/>
      <c r="D21" s="36"/>
      <c r="K21" s="34"/>
      <c r="L21" s="34"/>
    </row>
    <row r="22" spans="1:12" ht="12.75" customHeight="1" x14ac:dyDescent="0.25">
      <c r="A22" s="39"/>
      <c r="C22" s="37"/>
      <c r="D22" s="36"/>
      <c r="K22" s="34"/>
      <c r="L22" s="34"/>
    </row>
    <row r="23" spans="1:12" ht="12.75" customHeight="1" x14ac:dyDescent="0.25">
      <c r="A23" s="39"/>
      <c r="C23" s="37"/>
      <c r="D23" s="36"/>
      <c r="K23" s="34"/>
      <c r="L23" s="34"/>
    </row>
    <row r="24" spans="1:12" ht="12.75" customHeight="1" x14ac:dyDescent="0.25">
      <c r="A24" s="39"/>
      <c r="C24" s="37"/>
      <c r="D24" s="36"/>
      <c r="K24" s="34"/>
      <c r="L24" s="34"/>
    </row>
    <row r="25" spans="1:12" ht="12.75" customHeight="1" x14ac:dyDescent="0.25">
      <c r="A25" s="39"/>
      <c r="C25" s="37"/>
      <c r="D25" s="36"/>
      <c r="K25" s="34"/>
      <c r="L25" s="34"/>
    </row>
    <row r="26" spans="1:12" ht="12.75" customHeight="1" x14ac:dyDescent="0.25">
      <c r="K26" s="34"/>
      <c r="L26" s="34"/>
    </row>
    <row r="27" spans="1:12" ht="12.75" customHeight="1" x14ac:dyDescent="0.25">
      <c r="K27" s="34"/>
      <c r="L27" s="34"/>
    </row>
    <row r="28" spans="1:12" ht="12.75" customHeight="1" x14ac:dyDescent="0.25">
      <c r="K28" s="34"/>
      <c r="L28" s="34"/>
    </row>
    <row r="29" spans="1:12" ht="12.75" customHeight="1" x14ac:dyDescent="0.25">
      <c r="K29" s="34"/>
      <c r="L29" s="34"/>
    </row>
    <row r="30" spans="1:12" ht="12.75" customHeight="1" x14ac:dyDescent="0.25">
      <c r="K30" s="34"/>
      <c r="L30" s="34"/>
    </row>
    <row r="31" spans="1:12" ht="12.75" customHeight="1" x14ac:dyDescent="0.25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8D732231-4216-4543-A665-18A2886B0EB7}">
  <ds:schemaRefs>
    <ds:schemaRef ds:uri="http://schemas.microsoft.com/office/2006/documentManagement/types"/>
    <ds:schemaRef ds:uri="http://www.w3.org/XML/1998/namespace"/>
    <ds:schemaRef ds:uri="7f39bfab-6331-41a1-b6d4-5b974a316951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ddcd8467-55ca-498e-a9f8-86795db5db7a"/>
  </ds:schemaRefs>
</ds:datastoreItem>
</file>

<file path=customXml/itemProps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[AGS]</cp:lastModifiedBy>
  <cp:revision/>
  <dcterms:created xsi:type="dcterms:W3CDTF">2021-01-01T16:39:53Z</dcterms:created>
  <dcterms:modified xsi:type="dcterms:W3CDTF">2024-07-11T13:29:41Z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