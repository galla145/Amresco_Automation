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8_{A5524CAC-FE0C-4E86-8AFA-46E8F7B4B633}" xr6:coauthVersionLast="47" xr6:coauthVersionMax="47" xr10:uidLastSave="{00000000-0000-0000-0000-000000000000}"/>
  <bookViews>
    <workbookView xWindow="-108" yWindow="-108" windowWidth="23256" windowHeight="12456" tabRatio="866" firstSheet="8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72" l="1"/>
  <c r="I5" i="72"/>
  <c r="I4" i="72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J2" i="27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G4" i="34" s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E6" i="30" s="1"/>
  <c r="F6" i="30" s="1"/>
  <c r="D5" i="30"/>
  <c r="C5" i="30"/>
  <c r="E5" i="30" s="1"/>
  <c r="F5" i="30" s="1"/>
  <c r="D4" i="30"/>
  <c r="D2" i="30" s="1"/>
  <c r="C4" i="30"/>
  <c r="E4" i="30" s="1"/>
  <c r="F4" i="30" s="1"/>
  <c r="D6" i="29"/>
  <c r="C6" i="29"/>
  <c r="E6" i="29" s="1"/>
  <c r="F6" i="29" s="1"/>
  <c r="D5" i="29"/>
  <c r="C5" i="29"/>
  <c r="E5" i="29" s="1"/>
  <c r="F5" i="29" s="1"/>
  <c r="D4" i="29"/>
  <c r="C4" i="29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E2" i="28" s="1"/>
  <c r="F2" i="28" s="1"/>
  <c r="C2" i="28"/>
  <c r="A1" i="28" a="1"/>
  <c r="A1" i="28" s="1"/>
  <c r="H6" i="27"/>
  <c r="I6" i="27" s="1"/>
  <c r="E6" i="27"/>
  <c r="F6" i="27" s="1"/>
  <c r="H5" i="27"/>
  <c r="I5" i="27" s="1"/>
  <c r="E5" i="27"/>
  <c r="F5" i="27" s="1"/>
  <c r="I4" i="27"/>
  <c r="H4" i="27"/>
  <c r="E4" i="27"/>
  <c r="F4" i="27" s="1"/>
  <c r="G2" i="27"/>
  <c r="D2" i="27"/>
  <c r="C2" i="27"/>
  <c r="A1" i="27" a="1"/>
  <c r="A1" i="27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H6" i="72"/>
  <c r="H5" i="72"/>
  <c r="H4" i="72"/>
  <c r="G2" i="72"/>
  <c r="D2" i="72"/>
  <c r="C2" i="72"/>
  <c r="J2" i="72" s="1"/>
  <c r="E4" i="72"/>
  <c r="A1" i="72" a="1"/>
  <c r="A1" i="72" s="1"/>
  <c r="H2" i="20" l="1"/>
  <c r="I2" i="20" s="1"/>
  <c r="E5" i="18"/>
  <c r="F5" i="18" s="1"/>
  <c r="E6" i="18"/>
  <c r="F6" i="18" s="1"/>
  <c r="D2" i="18"/>
  <c r="E4" i="18"/>
  <c r="F4" i="18" s="1"/>
  <c r="J2" i="20"/>
  <c r="J2" i="21"/>
  <c r="H2" i="4"/>
  <c r="I2" i="4" s="1"/>
  <c r="G2" i="34"/>
  <c r="H2" i="19"/>
  <c r="I2" i="19" s="1"/>
  <c r="H6" i="30"/>
  <c r="I6" i="30" s="1"/>
  <c r="J2" i="19"/>
  <c r="H2" i="28"/>
  <c r="I2" i="28" s="1"/>
  <c r="H2" i="32"/>
  <c r="I2" i="32" s="1"/>
  <c r="H2" i="26"/>
  <c r="I2" i="26" s="1"/>
  <c r="H6" i="29"/>
  <c r="I6" i="29" s="1"/>
  <c r="D4" i="34"/>
  <c r="D2" i="34" s="1"/>
  <c r="J2" i="28"/>
  <c r="H2" i="33"/>
  <c r="I2" i="33" s="1"/>
  <c r="J2" i="31"/>
  <c r="E2" i="20"/>
  <c r="F2" i="20" s="1"/>
  <c r="H2" i="27"/>
  <c r="I2" i="27" s="1"/>
  <c r="D2" i="29"/>
  <c r="J2" i="4"/>
  <c r="J2" i="32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C4" i="34"/>
  <c r="H5" i="18"/>
  <c r="I5" i="18" s="1"/>
  <c r="H6" i="34"/>
  <c r="I6" i="34" s="1"/>
  <c r="H5" i="34"/>
  <c r="I5" i="34" s="1"/>
  <c r="C2" i="29"/>
  <c r="E2" i="29" s="1"/>
  <c r="F2" i="29" s="1"/>
  <c r="C2" i="30"/>
  <c r="E4" i="29"/>
  <c r="F4" i="29" s="1"/>
  <c r="C2" i="18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<sst xmlns="http://schemas.openxmlformats.org/spreadsheetml/2006/main" count="256" uniqueCount="63">
  <si>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</si>
  <si>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</si>
  <si>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</si>
  <si>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</si>
  <si>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</si>
  <si>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</si>
  <si>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</si>
  <si>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</si>
  <si>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</si>
  <si>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</si>
  <si>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</si>
  <si>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</si>
  <si>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</si>
  <si>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</si>
  <si>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</si>
  <si>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</si>
  <si>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</si>
  <si>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</si>
  <si>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</si>
  <si>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</si>
  <si>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</si>
  <si>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</si>
  <si>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3 was offline due to a blown 175 AMP fuse on 1/20. The technician replaced the fuse, and the inverter was back online on 02/05</t>
  </si>
  <si>
    <t>1. SR080418</t>
  </si>
  <si>
    <t>February Actual v. Expected</t>
  </si>
  <si>
    <t>February Actual v. Forecasted</t>
  </si>
  <si>
    <t>1. Inverter 3 is offline from 02/12
2. Weather station showing erroneous values</t>
  </si>
  <si>
    <t>1. SR080944
2. 	SR075221</t>
  </si>
  <si>
    <t>March Actual v. Expected</t>
  </si>
  <si>
    <t>March Actual v. Forecasted</t>
  </si>
  <si>
    <t>1. Inverter 3 is offline for whole month.
2. Weather station showing erroneous values</t>
  </si>
  <si>
    <t>April Actual v. Expected</t>
  </si>
  <si>
    <t>April Actual v. Forecasted</t>
  </si>
  <si>
    <t>1. Weather station showing erroneous values throughout the month
2.Inverter 3 is offline for whole month.</t>
  </si>
  <si>
    <t>1.SR075221
2.SR080944</t>
  </si>
  <si>
    <t>May Actual v. Expected</t>
  </si>
  <si>
    <t>May Actual v. Forecasted</t>
  </si>
  <si>
    <t>1. Weather station showing erroneous values throughout the month
2.Inverter 3 is back online from 05/14</t>
  </si>
  <si>
    <t>June Actual v. Expected</t>
  </si>
  <si>
    <t>June Actual v. Forecasted</t>
  </si>
  <si>
    <t>1. Weather station showing erroneous values thoroughout the month</t>
  </si>
  <si>
    <t>1. 	SR075221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</si>
  <si>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</si>
  <si>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</si>
  <si>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</si>
  <si>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</si>
  <si>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</si>
  <si>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</si>
  <si>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</si>
  <si>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</si>
  <si>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</si>
  <si>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</si>
  <si>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</si>
  <si>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</si>
  <si>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</si>
  <si>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City of Flagstaff</t>
  </si>
  <si>
    <t>Site DAS Name</t>
  </si>
  <si>
    <t>Update</t>
  </si>
  <si>
    <t>DAS</t>
  </si>
  <si>
    <t>AZ: COF Aquaplex</t>
  </si>
  <si>
    <t>AZ</t>
  </si>
  <si>
    <t>AZ: COF Sun Bear</t>
  </si>
  <si>
    <t>AZ: COF Rio de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</si>
</sst>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7"/>
  <sheetViews>
    <sheetView workbookViewId="0">
      <pane ySplit="2" topLeftCell="A3" activePane="bottomLeft" state="frozen"/>
      <selection pane="bottomLeft" activeCell="D4" sqref="D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City of Flagstaff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6">
        <f>SUM(C4:C85)</f>
        <v>384548</v>
      </c>
      <c r="D2" s="6">
        <f>SUM(D4:D85)</f>
        <v>120071.5</v>
      </c>
      <c r="E2" s="6">
        <f>C2-D2</f>
        <v>264476.5</v>
      </c>
      <c r="F2" s="7">
        <f>IFERROR(E2/D2, 0)</f>
        <v>2.2026584160271172</v>
      </c>
      <c r="G2" s="6">
        <f>SUM(G4:G85)</f>
        <v>0</v>
      </c>
      <c r="H2" s="8">
        <f>C2-G2</f>
        <v>384548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SUM('1st Qtr'!C4, '2nd Qtr'!C4, '3rd Qtr'!C4, '4th Qtr'!C4)</f>
        <v>218776</v>
      </c>
      <c r="D4" s="14">
        <f>SUM('1st Qtr'!D4, '2nd Qtr'!D4, '3rd Qtr'!D4, '4th Qtr'!D4)</f>
        <v>0</v>
      </c>
      <c r="E4" s="14">
        <f>IF(AND(ISNUMBER(C4),ISNUMBER(D4)), C4-D4, "")</f>
        <v>218776</v>
      </c>
      <c r="F4" s="15">
        <f>IFERROR(E4/D4, 0)</f>
        <v>0</v>
      </c>
      <c r="G4" s="16">
        <f>SUM('1st Qtr'!G4,'2nd Qtr'!G4,'3rd Qtr'!G4,'4th Qtr'!G4)</f>
        <v>0</v>
      </c>
      <c r="H4" s="16">
        <f>SUM('1st Qtr'!H4, '2nd Qtr'!H4, '3rd Qtr'!H4, '4th Qtr'!H4)</f>
        <v>218776</v>
      </c>
      <c r="I4" s="17">
        <f>IFERROR(H4/G4, 0)</f>
        <v>0</v>
      </c>
    </row>
    <row r="5" spans="1:9" ht="15.6">
      <c r="A5" s="19" t="str">
        <v>AZ: COF Sun Bear</v>
      </c>
      <c r="B5" s="11" t="str">
        <v>AZ</v>
      </c>
      <c r="C5" s="12">
        <f>SUM(Jan!C5, Feb!C5, Mar!C5)</f>
        <v>89034</v>
      </c>
      <c r="D5" s="20">
        <f>SUM(Jan!D5, Feb!D5, Mar!D5)</f>
        <v>76259.09</v>
      </c>
      <c r="E5" s="20">
        <f t="shared" ref="E5:E6" si="0">IF(AND(ISNUMBER(C5),ISNUMBER(D5)), C5-D5, "")</f>
        <v>12774.910000000003</v>
      </c>
      <c r="F5" s="21">
        <f>IFERROR(E5/D5, 0)</f>
        <v>0.16751983271764723</v>
      </c>
      <c r="G5" s="22">
        <f>SUM('1st Qtr'!G5,'2nd Qtr'!G5,'3rd Qtr'!G5,'4th Qtr'!G5)</f>
        <v>0</v>
      </c>
      <c r="H5" s="22">
        <f>SUM(Jan!H5, Feb!H5, Mar!H5)</f>
        <v>89034</v>
      </c>
      <c r="I5" s="21">
        <f>IFERROR(H5/G5, 0)</f>
        <v>0</v>
      </c>
    </row>
    <row r="6" spans="1:9" ht="15.6">
      <c r="A6" s="13" t="str">
        <v>AZ: COF Rio de Flag</v>
      </c>
      <c r="B6" s="10" t="str">
        <v>AZ</v>
      </c>
      <c r="C6" s="26">
        <f>SUM(Jan!C6, Feb!C6, Mar!C6)</f>
        <v>76738</v>
      </c>
      <c r="D6" s="14">
        <f>SUM(Jan!D6, Feb!D6, Mar!D6)</f>
        <v>43812.41</v>
      </c>
      <c r="E6" s="14">
        <f t="shared" si="0"/>
        <v>32925.589999999997</v>
      </c>
      <c r="F6" s="15">
        <f>IFERROR(E6/D6, 0)</f>
        <v>0.75151287044013315</v>
      </c>
      <c r="G6" s="16">
        <f>SUM('1st Qtr'!G6,'2nd Qtr'!G6,'3rd Qtr'!G6,'4th Qtr'!G6)</f>
        <v>0</v>
      </c>
      <c r="H6" s="16">
        <f>SUM(Jan!H6, Feb!H6, Mar!H6)</f>
        <v>76738</v>
      </c>
      <c r="I6" s="17">
        <f>IFERROR(H6/G6, 0)</f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5 I4:I8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7"/>
  <sheetViews>
    <sheetView workbookViewId="0">
      <pane ySplit="2" topLeftCell="A3" activePane="bottomLeft" state="frozen"/>
      <selection pane="bottomLeft" activeCell="I7" sqref="I7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City of Flagstaff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6">
        <f>SUM(C4:C85)</f>
        <v>239179</v>
      </c>
      <c r="D2" s="6">
        <f>SUM(D4:D85)</f>
        <v>120071.5</v>
      </c>
      <c r="E2" s="6">
        <f>C2-D2</f>
        <v>119107.5</v>
      </c>
      <c r="F2" s="7">
        <f>IFERROR(E2/D2, 0)</f>
        <v>0.99197145034416989</v>
      </c>
      <c r="G2" s="6">
        <f>SUM(G4:G85)</f>
        <v>0</v>
      </c>
      <c r="H2" s="8">
        <f>C2-G2</f>
        <v>239179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SUM(Jan!C4, Feb!C4, Mar!C4)</f>
        <v>73407</v>
      </c>
      <c r="D4" s="14">
        <f>SUM(Jan!D4, Feb!D4, Mar!D4)</f>
        <v>0</v>
      </c>
      <c r="E4" s="14">
        <f>IF(AND(ISNUMBER(C4),ISNUMBER(D4)), C4-D4, "")</f>
        <v>73407</v>
      </c>
      <c r="F4" s="15">
        <f>IFERROR(E4/D4, 0)</f>
        <v>0</v>
      </c>
      <c r="G4" s="16">
        <f>SUM(Jan!G4, Feb!G4, Mar!G4)</f>
        <v>0</v>
      </c>
      <c r="H4" s="16">
        <f>SUM(Jan!H4, Feb!H4, Mar!H4)</f>
        <v>73407</v>
      </c>
      <c r="I4" s="17">
        <f>IFERROR(H4/G4, 0)</f>
        <v>0</v>
      </c>
    </row>
    <row r="5" spans="1:9" ht="15.6">
      <c r="A5" s="19" t="str">
        <v>AZ: COF Sun Bear</v>
      </c>
      <c r="B5" s="11" t="str">
        <v>AZ</v>
      </c>
      <c r="C5" s="12">
        <f>SUM(Jan!C5, Feb!C5, Mar!C5)</f>
        <v>89034</v>
      </c>
      <c r="D5" s="20">
        <f>SUM(Jan!D5, Feb!D5, Mar!D5)</f>
        <v>76259.09</v>
      </c>
      <c r="E5" s="20">
        <f t="shared" ref="E5:E6" si="0">IF(AND(ISNUMBER(C5),ISNUMBER(D5)), C5-D5, "")</f>
        <v>12774.910000000003</v>
      </c>
      <c r="F5" s="21">
        <f>IFERROR(E5/D5, "")</f>
        <v>0.16751983271764723</v>
      </c>
      <c r="G5" s="22">
        <f>SUM(Jan!G5, Feb!G5, Mar!G5)</f>
        <v>0</v>
      </c>
      <c r="H5" s="22">
        <f>SUM(Jan!H5, Feb!H5, Mar!H5)</f>
        <v>89034</v>
      </c>
      <c r="I5" s="21">
        <f>IFERROR(H5/G5, 0)</f>
        <v>0</v>
      </c>
    </row>
    <row r="6" spans="1:9" ht="15.6">
      <c r="A6" s="13" t="str">
        <v>AZ: COF Rio de Flag</v>
      </c>
      <c r="B6" s="10" t="str">
        <v>AZ</v>
      </c>
      <c r="C6" s="26">
        <f>SUM(Jan!C6, Feb!C6, Mar!C6)</f>
        <v>76738</v>
      </c>
      <c r="D6" s="14">
        <f>SUM(Jan!D6, Feb!D6, Mar!D6)</f>
        <v>43812.41</v>
      </c>
      <c r="E6" s="14">
        <f t="shared" si="0"/>
        <v>32925.589999999997</v>
      </c>
      <c r="F6" s="15">
        <f t="shared" ref="F6" si="1">IFERROR(E6/D6, "")</f>
        <v>0.75151287044013315</v>
      </c>
      <c r="G6" s="16">
        <f>SUM(Jan!G6, Feb!G6, Mar!G6)</f>
        <v>0</v>
      </c>
      <c r="H6" s="16">
        <f>SUM(Jan!H6, Feb!H6, Mar!H6)</f>
        <v>76738</v>
      </c>
      <c r="I6" s="17">
        <f>IFERROR(H6/G6, 0)</f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5 I4:I8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City of Flagstaff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6">
        <f>SUM(C4:C85)</f>
        <v>369577</v>
      </c>
      <c r="D2" s="6">
        <f>SUM(D4:D85)</f>
        <v>198780.91999999998</v>
      </c>
      <c r="E2" s="6">
        <f>C2-D2</f>
        <v>170796.08000000002</v>
      </c>
      <c r="F2" s="7">
        <f>IFERROR(E2/D2, 0)</f>
        <v>0.85921767541874761</v>
      </c>
      <c r="G2" s="6">
        <f>SUM(G4:G85)</f>
        <v>0</v>
      </c>
      <c r="H2" s="8">
        <f>C2-G2</f>
        <v>369577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SUM(Apr!C4, May!C4, Jun!C4)</f>
        <v>145369</v>
      </c>
      <c r="D4" s="14">
        <f>SUM(Apr!D4, May!D4, Jun!D4)</f>
        <v>0</v>
      </c>
      <c r="E4" s="14">
        <f>IF(AND(ISNUMBER(C4),ISNUMBER(D4)), C4-D4, "")</f>
        <v>145369</v>
      </c>
      <c r="F4" s="15" t="str">
        <f>IFERROR(E4/D4, "")</f>
        <v/>
      </c>
      <c r="G4" s="16"/>
      <c r="H4" s="16">
        <f>SUM(Apr!H4, May!H4, Jun!H4)</f>
        <v>145369</v>
      </c>
      <c r="I4" s="17" t="str">
        <f>IFERROR(H4/G4, "")</f>
        <v/>
      </c>
    </row>
    <row r="5" spans="1:9" ht="15.6">
      <c r="A5" s="19" t="str">
        <v>AZ: COF Sun Bear</v>
      </c>
      <c r="B5" s="11" t="str">
        <v>AZ</v>
      </c>
      <c r="C5" s="12">
        <f>SUM(Apr!C5, May!C5, Jun!C5)</f>
        <v>104939</v>
      </c>
      <c r="D5" s="20">
        <f>SUM(Apr!D5, May!D5, Jun!D5)</f>
        <v>100652.72</v>
      </c>
      <c r="E5" s="20">
        <f t="shared" ref="E5:E6" si="0">IF(AND(ISNUMBER(C5),ISNUMBER(D5)), C5-D5, "")</f>
        <v>4286.2799999999988</v>
      </c>
      <c r="F5" s="21">
        <f>IFERROR(E5/D5, "")</f>
        <v>4.2584840230845217E-2</v>
      </c>
      <c r="G5" s="22"/>
      <c r="H5" s="22">
        <f>SUM(Apr!H5, May!H5, Jun!H5)</f>
        <v>104939</v>
      </c>
      <c r="I5" s="21" t="str">
        <f>IFERROR(H5/G5, "")</f>
        <v/>
      </c>
    </row>
    <row r="6" spans="1:9" ht="15.6">
      <c r="A6" s="13" t="str">
        <v>AZ: COF Rio de Flag</v>
      </c>
      <c r="B6" s="10" t="str">
        <v>AZ</v>
      </c>
      <c r="C6" s="26">
        <f>SUM(Apr!C6, May!C6, Jun!C6)</f>
        <v>119269</v>
      </c>
      <c r="D6" s="14">
        <f>SUM(Apr!D6, May!D6, Jun!D6)</f>
        <v>98128.2</v>
      </c>
      <c r="E6" s="14">
        <f t="shared" si="0"/>
        <v>21140.800000000003</v>
      </c>
      <c r="F6" s="15">
        <f t="shared" ref="F6" si="1">IFERROR(E6/D6, "")</f>
        <v>0.21544061747795235</v>
      </c>
      <c r="G6" s="16"/>
      <c r="H6" s="16">
        <f>SUM(Apr!H6, May!H6, Jun!H6)</f>
        <v>119269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5 I4:I8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City of Flagstaff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6">
      <c r="A5" s="19" t="str">
        <v>AZ: COF Sun Bear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6">
      <c r="A6" s="13" t="str">
        <v>AZ: COF Rio de Flag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SUM(Jul!H6, Aug!H6, Sep!H6)</f>
        <v>0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mergeCells count="4">
    <mergeCell ref="G1:I1"/>
    <mergeCell ref="A1:C1"/>
    <mergeCell ref="D1:F1"/>
    <mergeCell ref="A2:B2"/>
  </mergeCells>
  <conditionalFormatting sqref="F2 I2 F4:F85 I4:I8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City of Flagstaff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COF Sun Bear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COF Rio de Flag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SUM(Oct!H6, Nov!H6, Dec!H6)</f>
        <v>0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mergeCells count="4">
    <mergeCell ref="G1:I1"/>
    <mergeCell ref="A1:C1"/>
    <mergeCell ref="D1:F1"/>
    <mergeCell ref="A2:B2"/>
  </mergeCells>
  <conditionalFormatting sqref="F2 I2 F4:F85 I4:I85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6"/>
  <sheetViews>
    <sheetView workbookViewId="0">
      <pane ySplit="3" topLeftCell="A4" activePane="bottomLeft" state="frozen"/>
      <selection pane="bottomLeft" activeCell="J17" sqref="J17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City of Flagstaff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SUM(C4:C84)</f>
        <v>72473</v>
      </c>
      <c r="D2" s="6">
        <f>SUM(D4:D84)</f>
        <v>49976.5</v>
      </c>
      <c r="E2" s="6">
        <f>C2-D2</f>
        <v>22496.5</v>
      </c>
      <c r="F2" s="7">
        <f>IFERROR(E2/D2, 0)</f>
        <v>0.45014156653627208</v>
      </c>
      <c r="G2" s="6">
        <f>SUM(G4:G84)</f>
        <v>0</v>
      </c>
      <c r="H2" s="8">
        <f>C2-G2</f>
        <v>72473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3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21093</v>
      </c>
      <c r="D4" s="14">
        <v>0</v>
      </c>
      <c r="E4" s="14">
        <f>IF(AND(ISNUMBER(C4),ISNUMBER(D4)), C4-D4, "")</f>
        <v>21093</v>
      </c>
      <c r="F4" s="15">
        <f>IFERROR(E4/D4, 0)</f>
        <v>0</v>
      </c>
      <c r="G4" s="16">
        <v>0</v>
      </c>
      <c r="H4" s="16">
        <f>IF(AND(ISNUMBER(C4),ISNUMBER(G4)), C4-G4, "")</f>
        <v>21093</v>
      </c>
      <c r="I4" s="17">
        <f>IFERROR(H4/G4, 0)</f>
        <v>0</v>
      </c>
      <c r="J4" s="18"/>
      <c r="K4" s="18"/>
    </row>
    <row r="5" spans="1:11" ht="15.6">
      <c r="A5" s="32" t="str">
        <v>AZ: COF Sun Bear</v>
      </c>
      <c r="B5" s="33" t="str">
        <v>AZ</v>
      </c>
      <c r="C5" s="12">
        <v>26537</v>
      </c>
      <c r="D5" s="20">
        <v>24317.09</v>
      </c>
      <c r="E5" s="20">
        <f t="shared" ref="E5:E6" si="0">IF(AND(ISNUMBER(C5),ISNUMBER(D5)), C5-D5, "")</f>
        <v>2219.91</v>
      </c>
      <c r="F5" s="21">
        <f>IFERROR(E5/D5, "")</f>
        <v>9.1290117361904732E-2</v>
      </c>
      <c r="G5" s="22">
        <v>0</v>
      </c>
      <c r="H5" s="22">
        <f t="shared" ref="H5:H6" si="1">IF(AND(ISNUMBER(C5),ISNUMBER(G5)), C5-G5, "")</f>
        <v>26537</v>
      </c>
      <c r="I5" s="21">
        <f>IFERROR(H5/G5, 0)</f>
        <v>0</v>
      </c>
      <c r="J5" s="11"/>
      <c r="K5" s="19"/>
    </row>
    <row r="6" spans="1:11" ht="28.9">
      <c r="A6" s="30" t="str">
        <v>AZ: COF Rio de Flag</v>
      </c>
      <c r="B6" s="31" t="str">
        <v>AZ</v>
      </c>
      <c r="C6" s="26">
        <v>24843</v>
      </c>
      <c r="D6" s="14">
        <v>25659.41</v>
      </c>
      <c r="E6" s="14">
        <f t="shared" si="0"/>
        <v>-816.40999999999985</v>
      </c>
      <c r="F6" s="15">
        <f t="shared" ref="F6" si="2">IFERROR(E6/D6, "")</f>
        <v>-3.1817177401974553E-2</v>
      </c>
      <c r="G6" s="16">
        <v>0</v>
      </c>
      <c r="H6" s="16">
        <f t="shared" si="1"/>
        <v>24843</v>
      </c>
      <c r="I6" s="17">
        <f>IFERROR(H6/G6, 0)</f>
        <v>0</v>
      </c>
      <c r="J6" s="18" t="s">
        <v>22</v>
      </c>
      <c r="K6" s="18" t="s">
        <v>23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</sheetData>
  <mergeCells count="4">
    <mergeCell ref="D1:F1"/>
    <mergeCell ref="A1:C1"/>
    <mergeCell ref="G1:I1"/>
    <mergeCell ref="A2:B2"/>
  </mergeCells>
  <conditionalFormatting sqref="F2 I2 F4:F84 I4:I84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J6" sqref="J6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City of Flagstaff</v>
      </c>
      <c r="B1" s="46"/>
      <c r="C1" s="46"/>
      <c r="D1" s="47" t="s">
        <v>24</v>
      </c>
      <c r="E1" s="47"/>
      <c r="F1" s="47"/>
      <c r="G1" s="45" t="s">
        <v>25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SUM(C4:C85)</f>
        <v>74421</v>
      </c>
      <c r="D2" s="6">
        <f>SUM(D4:D85)</f>
        <v>41480</v>
      </c>
      <c r="E2" s="6">
        <f>C2-D2</f>
        <v>32941</v>
      </c>
      <c r="F2" s="7">
        <f>IFERROR(E2/D2, 0)</f>
        <v>0.79414175506268081</v>
      </c>
      <c r="G2" s="6">
        <f>SUM(G4:G85)</f>
        <v>0</v>
      </c>
      <c r="H2" s="8">
        <f>C2-G2</f>
        <v>74421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19187</v>
      </c>
      <c r="D4" s="14">
        <v>0</v>
      </c>
      <c r="E4" s="14">
        <f>IF(AND(ISNUMBER(C4),ISNUMBER(D4)), C4-D4, "")</f>
        <v>19187</v>
      </c>
      <c r="F4" s="15" t="str">
        <f>IFERROR(E4/D4, "")</f>
        <v/>
      </c>
      <c r="G4" s="16">
        <v>0</v>
      </c>
      <c r="H4" s="16">
        <f>IF(AND(ISNUMBER(C4),ISNUMBER(G4)), C4-G4, "")</f>
        <v>19187</v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>
        <v>29462</v>
      </c>
      <c r="D5" s="20">
        <v>24923</v>
      </c>
      <c r="E5" s="20">
        <f t="shared" ref="E5:E6" si="0">IF(AND(ISNUMBER(C5),ISNUMBER(D5)), C5-D5, "")</f>
        <v>4539</v>
      </c>
      <c r="F5" s="21">
        <f>IFERROR(E5/D5, "")</f>
        <v>0.1821209324720138</v>
      </c>
      <c r="G5" s="22">
        <v>0</v>
      </c>
      <c r="H5" s="22">
        <f t="shared" ref="H5:H6" si="1">IF(AND(ISNUMBER(C5),ISNUMBER(G5)), C5-G5, "")</f>
        <v>29462</v>
      </c>
      <c r="I5" s="21" t="str">
        <f t="shared" ref="I5:I6" si="2">IFERROR(H5/G5, "")</f>
        <v/>
      </c>
      <c r="J5" s="11"/>
      <c r="K5" s="19"/>
    </row>
    <row r="6" spans="1:11" ht="28.9">
      <c r="A6" s="30" t="str">
        <v>AZ: COF Rio de Flag</v>
      </c>
      <c r="B6" s="31" t="str">
        <v>AZ</v>
      </c>
      <c r="C6" s="26">
        <v>25772</v>
      </c>
      <c r="D6" s="14">
        <v>16557</v>
      </c>
      <c r="E6" s="14">
        <f t="shared" si="0"/>
        <v>9215</v>
      </c>
      <c r="F6" s="15">
        <f t="shared" ref="F6" si="3">IFERROR(E6/D6, "")</f>
        <v>0.55656217913873285</v>
      </c>
      <c r="G6" s="16">
        <v>0</v>
      </c>
      <c r="H6" s="16">
        <f t="shared" si="1"/>
        <v>25772</v>
      </c>
      <c r="I6" s="17" t="str">
        <f t="shared" si="2"/>
        <v/>
      </c>
      <c r="J6" s="18" t="s">
        <v>26</v>
      </c>
      <c r="K6" s="18" t="s">
        <v>27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7"/>
  <sheetViews>
    <sheetView workbookViewId="0">
      <pane ySplit="2" topLeftCell="A3" activePane="bottomLeft" state="frozen"/>
      <selection pane="bottomLeft" activeCell="F6" sqref="F6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City of Flagstaff</v>
      </c>
      <c r="B1" s="46"/>
      <c r="C1" s="46"/>
      <c r="D1" s="47" t="s">
        <v>28</v>
      </c>
      <c r="E1" s="47"/>
      <c r="F1" s="47"/>
      <c r="G1" s="45" t="s">
        <v>29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SUM(C4:C85)</f>
        <v>92285</v>
      </c>
      <c r="D2" s="6">
        <f>SUM(D4:D85)</f>
        <v>28615</v>
      </c>
      <c r="E2" s="6">
        <f>C2-D2</f>
        <v>63670</v>
      </c>
      <c r="F2" s="7">
        <f>IFERROR(E2/D2, 0)</f>
        <v>2.2250567883976937</v>
      </c>
      <c r="G2" s="6">
        <f>SUM(G4:G85)</f>
        <v>0</v>
      </c>
      <c r="H2" s="8">
        <f>C2-G2</f>
        <v>92285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33127</v>
      </c>
      <c r="D4" s="14">
        <v>0</v>
      </c>
      <c r="E4" s="14">
        <f>IF(AND(ISNUMBER(C4),ISNUMBER(D4)), C4-D4, "")</f>
        <v>33127</v>
      </c>
      <c r="F4" s="15" t="str">
        <f>IFERROR(E4/D4, "")</f>
        <v/>
      </c>
      <c r="G4" s="16">
        <v>0</v>
      </c>
      <c r="H4" s="16">
        <f>IF(AND(ISNUMBER(C4),ISNUMBER(G4)), C4-G4, "")</f>
        <v>33127</v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>
        <v>33035</v>
      </c>
      <c r="D5" s="20">
        <v>27019</v>
      </c>
      <c r="E5" s="20">
        <f t="shared" ref="E5:E6" si="0">IF(AND(ISNUMBER(C5),ISNUMBER(D5)), C5-D5, "")</f>
        <v>6016</v>
      </c>
      <c r="F5" s="21">
        <f>IFERROR(E5/D5, "")</f>
        <v>0.22265812946445093</v>
      </c>
      <c r="G5" s="22">
        <v>0</v>
      </c>
      <c r="H5" s="22">
        <f t="shared" ref="H5:H6" si="1">IF(AND(ISNUMBER(C5),ISNUMBER(G5)), C5-G5, "")</f>
        <v>33035</v>
      </c>
      <c r="I5" s="21" t="str">
        <f t="shared" ref="I5:I6" si="2">IFERROR(H5/G5, "")</f>
        <v/>
      </c>
      <c r="J5" s="11"/>
      <c r="K5" s="19"/>
    </row>
    <row r="6" spans="1:11" ht="28.9">
      <c r="A6" s="30" t="str">
        <v>AZ: COF Rio de Flag</v>
      </c>
      <c r="B6" s="31" t="str">
        <v>AZ</v>
      </c>
      <c r="C6" s="26">
        <v>26123</v>
      </c>
      <c r="D6" s="14">
        <v>1596</v>
      </c>
      <c r="E6" s="14">
        <f t="shared" si="0"/>
        <v>24527</v>
      </c>
      <c r="F6" s="15">
        <f t="shared" ref="F6" si="3">IFERROR(E6/D6, "")</f>
        <v>15.367794486215539</v>
      </c>
      <c r="G6" s="16">
        <v>0</v>
      </c>
      <c r="H6" s="16">
        <f t="shared" si="1"/>
        <v>26123</v>
      </c>
      <c r="I6" s="17" t="str">
        <f t="shared" si="2"/>
        <v/>
      </c>
      <c r="J6" s="18" t="s">
        <v>30</v>
      </c>
      <c r="K6" s="18" t="s">
        <v>27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7"/>
  <sheetViews>
    <sheetView workbookViewId="0">
      <pane ySplit="2" topLeftCell="A3" activePane="bottomLeft" state="frozen"/>
      <selection pane="bottomLeft" activeCell="J10" sqref="J10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City of Flagstaff</v>
      </c>
      <c r="B1" s="46"/>
      <c r="C1" s="46"/>
      <c r="D1" s="47" t="s">
        <v>31</v>
      </c>
      <c r="E1" s="47"/>
      <c r="F1" s="47"/>
      <c r="G1" s="45" t="s">
        <v>32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SUM(C4:C85)</f>
        <v>113263</v>
      </c>
      <c r="D2" s="6">
        <f>SUM(D4:D85)</f>
        <v>34848.950000000004</v>
      </c>
      <c r="E2" s="6">
        <f>C2-D2</f>
        <v>78414.049999999988</v>
      </c>
      <c r="F2" s="7">
        <f>IFERROR(E2/D2, 0)</f>
        <v>2.250112270240566</v>
      </c>
      <c r="G2" s="6">
        <f>SUM(G4:G85)</f>
        <v>0</v>
      </c>
      <c r="H2" s="8">
        <f>C2-G2</f>
        <v>113263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45952</v>
      </c>
      <c r="D4" s="14">
        <v>0</v>
      </c>
      <c r="E4" s="14">
        <f>IF(AND(ISNUMBER(C4),ISNUMBER(D4)), C4-D4, "")</f>
        <v>45952</v>
      </c>
      <c r="F4" s="15" t="str">
        <f>IFERROR(E4/D4, "")</f>
        <v/>
      </c>
      <c r="G4" s="16">
        <v>0</v>
      </c>
      <c r="H4" s="16">
        <f>IF(AND(ISNUMBER(C4),ISNUMBER(G4)), C4-G4, "")</f>
        <v>45952</v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44">
        <v>37075</v>
      </c>
      <c r="D5" s="44">
        <v>33557.760000000002</v>
      </c>
      <c r="E5" s="20">
        <f t="shared" ref="E5:E6" si="0">IF(AND(ISNUMBER(C5),ISNUMBER(D5)), C5-D5, "")</f>
        <v>3517.239999999998</v>
      </c>
      <c r="F5" s="21">
        <f>IFERROR(E5/D5, "")</f>
        <v>0.10481152496471748</v>
      </c>
      <c r="G5" s="22">
        <v>0</v>
      </c>
      <c r="H5" s="22">
        <f t="shared" ref="H5:H6" si="1">IF(AND(ISNUMBER(C5),ISNUMBER(G5)), C5-G5, "")</f>
        <v>37075</v>
      </c>
      <c r="I5" s="21" t="str">
        <f t="shared" ref="I5:I6" si="2">IFERROR(H5/G5, "")</f>
        <v/>
      </c>
      <c r="J5" s="11"/>
      <c r="K5" s="19"/>
    </row>
    <row r="6" spans="1:11" ht="30.75">
      <c r="A6" s="30" t="str">
        <v>AZ: COF Rio de Flag</v>
      </c>
      <c r="B6" s="31" t="str">
        <v>AZ</v>
      </c>
      <c r="C6" s="26">
        <v>30236</v>
      </c>
      <c r="D6" s="14">
        <v>1291.19</v>
      </c>
      <c r="E6" s="14">
        <f t="shared" si="0"/>
        <v>28944.81</v>
      </c>
      <c r="F6" s="15">
        <f t="shared" ref="F6" si="3">IFERROR(E6/D6, "")</f>
        <v>22.417157815658424</v>
      </c>
      <c r="G6" s="16">
        <v>0</v>
      </c>
      <c r="H6" s="16">
        <f t="shared" si="1"/>
        <v>30236</v>
      </c>
      <c r="I6" s="17" t="str">
        <f t="shared" si="2"/>
        <v/>
      </c>
      <c r="J6" s="18" t="s">
        <v>33</v>
      </c>
      <c r="K6" s="18" t="s">
        <v>34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7"/>
  <sheetViews>
    <sheetView workbookViewId="0">
      <pane ySplit="2" topLeftCell="A3" activePane="bottomLeft" state="frozen"/>
      <selection pane="bottomLeft" activeCell="E12" sqref="E12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City of Flagstaff</v>
      </c>
      <c r="B1" s="46"/>
      <c r="C1" s="46"/>
      <c r="D1" s="47" t="s">
        <v>35</v>
      </c>
      <c r="E1" s="47"/>
      <c r="F1" s="47"/>
      <c r="G1" s="45" t="s">
        <v>36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SUM(C4:C85)</f>
        <v>131197</v>
      </c>
      <c r="D2" s="6">
        <f>SUM(D4:D85)</f>
        <v>72666.109999999986</v>
      </c>
      <c r="E2" s="6">
        <f>C2-D2</f>
        <v>58530.890000000014</v>
      </c>
      <c r="F2" s="7">
        <f>IFERROR(E2/D2, 0)</f>
        <v>0.80547713370097873</v>
      </c>
      <c r="G2" s="6">
        <f>SUM(G4:G85)</f>
        <v>0</v>
      </c>
      <c r="H2" s="8">
        <f>C2-G2</f>
        <v>131197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51600</v>
      </c>
      <c r="D4" s="14">
        <v>0</v>
      </c>
      <c r="E4" s="14">
        <f>IF(AND(ISNUMBER(C4),ISNUMBER(D4)), C4-D4, "")</f>
        <v>51600</v>
      </c>
      <c r="F4" s="15" t="str">
        <f>IFERROR(E4/D4, "")</f>
        <v/>
      </c>
      <c r="G4" s="16">
        <v>0</v>
      </c>
      <c r="H4" s="16">
        <f>IF(AND(ISNUMBER(C4),ISNUMBER(G4)), C4-G4, "")</f>
        <v>51600</v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44">
        <v>36734</v>
      </c>
      <c r="D5" s="44">
        <v>35504.089999999997</v>
      </c>
      <c r="E5" s="20">
        <f t="shared" ref="E5:E6" si="0">IF(AND(ISNUMBER(C5),ISNUMBER(D5)), C5-D5, "")</f>
        <v>1229.9100000000035</v>
      </c>
      <c r="F5" s="21">
        <f>IFERROR(E5/D5, "")</f>
        <v>3.4641361037559437E-2</v>
      </c>
      <c r="G5" s="22">
        <v>0</v>
      </c>
      <c r="H5" s="22">
        <f t="shared" ref="H5:H6" si="1">IF(AND(ISNUMBER(C5),ISNUMBER(G5)), C5-G5, "")</f>
        <v>36734</v>
      </c>
      <c r="I5" s="21" t="str">
        <f t="shared" ref="I5:I6" si="2">IFERROR(H5/G5, "")</f>
        <v/>
      </c>
      <c r="J5" s="11"/>
      <c r="K5" s="19"/>
    </row>
    <row r="6" spans="1:11" ht="30.75">
      <c r="A6" s="30" t="str">
        <v>AZ: COF Rio de Flag</v>
      </c>
      <c r="B6" s="31" t="str">
        <v>AZ</v>
      </c>
      <c r="C6" s="26">
        <v>42863</v>
      </c>
      <c r="D6" s="14">
        <v>37162.019999999997</v>
      </c>
      <c r="E6" s="14">
        <f t="shared" si="0"/>
        <v>5700.9800000000032</v>
      </c>
      <c r="F6" s="15">
        <f t="shared" ref="F6" si="3">IFERROR(E6/D6, "")</f>
        <v>0.15340877594920846</v>
      </c>
      <c r="G6" s="16">
        <v>0</v>
      </c>
      <c r="H6" s="16">
        <f t="shared" si="1"/>
        <v>42863</v>
      </c>
      <c r="I6" s="17" t="str">
        <f t="shared" si="2"/>
        <v/>
      </c>
      <c r="J6" s="18" t="s">
        <v>37</v>
      </c>
      <c r="K6" s="18" t="s">
        <v>34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7"/>
  <sheetViews>
    <sheetView tabSelected="1" workbookViewId="0">
      <pane ySplit="2" topLeftCell="A3" activePane="bottomLeft" state="frozen"/>
      <selection pane="bottomLeft" activeCell="J6" sqref="J6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City of Flagstaff</v>
      </c>
      <c r="B1" s="46"/>
      <c r="C1" s="46"/>
      <c r="D1" s="47" t="s">
        <v>38</v>
      </c>
      <c r="E1" s="47"/>
      <c r="F1" s="47"/>
      <c r="G1" s="45" t="s">
        <v>39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SUM(C4:C85)</f>
        <v>125117</v>
      </c>
      <c r="D2" s="6">
        <f>SUM(D4:D85)</f>
        <v>91265.86</v>
      </c>
      <c r="E2" s="6">
        <f>C2-D2</f>
        <v>33851.14</v>
      </c>
      <c r="F2" s="7">
        <f>IFERROR(E2/D2, 0)</f>
        <v>0.37090693058718782</v>
      </c>
      <c r="G2" s="6">
        <f>SUM(G4:G85)</f>
        <v>0</v>
      </c>
      <c r="H2" s="8">
        <f>C2-G2</f>
        <v>125117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47817</v>
      </c>
      <c r="D4" s="14">
        <v>0</v>
      </c>
      <c r="E4" s="14">
        <f>IF(AND(ISNUMBER(C4),ISNUMBER(D4)), C4-D4, "")</f>
        <v>47817</v>
      </c>
      <c r="F4" s="15" t="str">
        <f>IFERROR(E4/D4, "")</f>
        <v/>
      </c>
      <c r="G4" s="16">
        <v>0</v>
      </c>
      <c r="H4" s="16">
        <f>IF(AND(ISNUMBER(C4),ISNUMBER(G4)), C4-G4, "")</f>
        <v>47817</v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44">
        <v>31130</v>
      </c>
      <c r="D5" s="44">
        <v>31590.87</v>
      </c>
      <c r="E5" s="20">
        <f t="shared" ref="E5:E6" si="0">IF(AND(ISNUMBER(C5),ISNUMBER(D5)), C5-D5, "")</f>
        <v>-460.86999999999898</v>
      </c>
      <c r="F5" s="21">
        <f>IFERROR(E5/D5, "")</f>
        <v>-1.4588708699697065E-2</v>
      </c>
      <c r="G5" s="22">
        <v>0</v>
      </c>
      <c r="H5" s="22">
        <f t="shared" ref="H5:H6" si="1">IF(AND(ISNUMBER(C5),ISNUMBER(G5)), C5-G5, "")</f>
        <v>31130</v>
      </c>
      <c r="I5" s="21" t="str">
        <f t="shared" ref="I5:I6" si="2">IFERROR(H5/G5, "")</f>
        <v/>
      </c>
      <c r="J5" s="11"/>
      <c r="K5" s="19"/>
    </row>
    <row r="6" spans="1:11" ht="15.75">
      <c r="A6" s="30" t="str">
        <v>AZ: COF Rio de Flag</v>
      </c>
      <c r="B6" s="31" t="str">
        <v>AZ</v>
      </c>
      <c r="C6" s="26">
        <v>46170</v>
      </c>
      <c r="D6" s="14">
        <v>59674.99</v>
      </c>
      <c r="E6" s="14">
        <f t="shared" si="0"/>
        <v>-13504.989999999998</v>
      </c>
      <c r="F6" s="15">
        <f t="shared" ref="F6" si="3">IFERROR(E6/D6, "")</f>
        <v>-0.22630904504550395</v>
      </c>
      <c r="G6" s="16">
        <v>0</v>
      </c>
      <c r="H6" s="16">
        <f t="shared" si="1"/>
        <v>46170</v>
      </c>
      <c r="I6" s="17" t="str">
        <f t="shared" si="2"/>
        <v/>
      </c>
      <c r="J6" s="18" t="s">
        <v>40</v>
      </c>
      <c r="K6" s="18" t="s">
        <v>41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7"/>
  <sheetViews>
    <sheetView workbookViewId="0">
      <pane ySplit="2" topLeftCell="A32" activePane="bottomLeft" state="frozen"/>
      <selection pane="bottomLeft" activeCell="A33" sqref="A33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City of Flagstaff</v>
      </c>
      <c r="B1" s="46"/>
      <c r="C1" s="46"/>
      <c r="D1" s="47" t="s">
        <v>42</v>
      </c>
      <c r="E1" s="47"/>
      <c r="F1" s="47"/>
      <c r="G1" s="45" t="s">
        <v>43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5 I4:I85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City of Flagstaff</v>
      </c>
      <c r="B1" s="46"/>
      <c r="C1" s="46"/>
      <c r="D1" s="47" t="s">
        <v>44</v>
      </c>
      <c r="E1" s="47"/>
      <c r="F1" s="47"/>
      <c r="G1" s="45" t="s">
        <v>45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City of Flagstaff</v>
      </c>
      <c r="B1" s="46"/>
      <c r="C1" s="46"/>
      <c r="D1" s="47" t="s">
        <v>46</v>
      </c>
      <c r="E1" s="47"/>
      <c r="F1" s="47"/>
      <c r="G1" s="45" t="s">
        <v>47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City of Flagstaff</v>
      </c>
      <c r="B1" s="46"/>
      <c r="C1" s="46"/>
      <c r="D1" s="47" t="s">
        <v>48</v>
      </c>
      <c r="E1" s="47"/>
      <c r="F1" s="47"/>
      <c r="G1" s="45" t="s">
        <v>49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City of Flagstaff</v>
      </c>
      <c r="B1" s="46"/>
      <c r="C1" s="46"/>
      <c r="D1" s="47" t="s">
        <v>50</v>
      </c>
      <c r="E1" s="47"/>
      <c r="F1" s="47"/>
      <c r="G1" s="45" t="s">
        <v>51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City of Flagstaff</v>
      </c>
      <c r="B1" s="46"/>
      <c r="C1" s="46"/>
      <c r="D1" s="47" t="s">
        <v>52</v>
      </c>
      <c r="E1" s="47"/>
      <c r="F1" s="47"/>
      <c r="G1" s="45" t="s">
        <v>53</v>
      </c>
      <c r="H1" s="45"/>
      <c r="I1" s="45"/>
      <c r="J1" s="5"/>
      <c r="K1" s="5"/>
    </row>
    <row r="2" spans="1:11" ht="19.5" customHeight="1">
      <c r="A2" s="48" t="s">
        <v>2</v>
      </c>
      <c r="B2" s="48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6"/>
  <sheetViews>
    <sheetView workbookViewId="0">
      <pane ySplit="3" topLeftCell="A4" activePane="bottomLeft" state="frozen"/>
      <selection pane="bottomLeft" activeCell="J23" sqref="J23"/>
      <selection activeCell="A33" sqref="A33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54</v>
      </c>
      <c r="B1" s="37" t="s">
        <v>55</v>
      </c>
    </row>
    <row r="3" spans="1:7" ht="13.15">
      <c r="A3" t="s">
        <v>56</v>
      </c>
      <c r="B3" t="s">
        <v>3</v>
      </c>
      <c r="C3" t="s">
        <v>4</v>
      </c>
      <c r="D3" t="s">
        <v>57</v>
      </c>
      <c r="E3" s="2" t="s">
        <v>58</v>
      </c>
    </row>
    <row r="4" spans="1:7" ht="14.45">
      <c r="A4" s="37" t="s">
        <v>59</v>
      </c>
      <c r="B4" s="37" t="s">
        <v>59</v>
      </c>
      <c r="C4" s="4" t="s">
        <v>60</v>
      </c>
      <c r="G4" s="3"/>
    </row>
    <row r="5" spans="1:7" ht="14.45">
      <c r="A5" s="37" t="s">
        <v>61</v>
      </c>
      <c r="B5" s="37" t="s">
        <v>61</v>
      </c>
      <c r="C5" s="4" t="s">
        <v>60</v>
      </c>
      <c r="G5" s="3"/>
    </row>
    <row r="6" spans="1:7" ht="14.45">
      <c r="A6" s="37" t="s">
        <v>62</v>
      </c>
      <c r="B6" s="37" t="s">
        <v>62</v>
      </c>
      <c r="C6" s="4" t="s">
        <v>60</v>
      </c>
      <c r="G6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BF5C6359-7763-4C37-8EAF-2BC4698CB285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C0BCDC1E-6052-4E48-9BAF-94A40814E7C2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F12EFA50-0068-4A8C-85A0-F1B26389E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/>
  <cp:revision/>
  <dcterms:created xsi:type="dcterms:W3CDTF">2021-01-01T16:39:53Z</dcterms:created>
  <dcterms:modified xsi:type="dcterms:W3CDTF">2024-07-10T07:48:00Z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