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84DA3913-0F5E-4AD2-B06D-7921BDE9E6FC}" xr6:coauthVersionLast="47" xr6:coauthVersionMax="47" xr10:uidLastSave="{00000000-0000-0000-0000-000000000000}"/>
  <bookViews>
    <workbookView xWindow="-108" yWindow="-108" windowWidth="23256" windowHeight="1245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4" i="18"/>
  <c r="G4" i="1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34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D2" i="18"/>
  <c r="E5" i="30"/>
  <c r="F5" i="30" s="1"/>
  <c r="E4" i="18"/>
  <c r="F4" i="18" s="1"/>
  <c r="D4" i="34"/>
  <c r="D2" i="34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<sst xmlns="http://schemas.openxmlformats.org/spreadsheetml/2006/main" count="247" uniqueCount="56">
  <si>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</si>
  <si>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</si>
  <si>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</si>
  <si>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</si>
  <si>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</si>
  <si>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</si>
  <si>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</si>
  <si>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</si>
  <si>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</si>
  <si>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</si>
  <si>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</si>
  <si>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</si>
  <si>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</si>
  <si>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</si>
  <si>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</si>
  <si>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</si>
  <si>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</si>
  <si>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</si>
  <si>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</si>
  <si>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</si>
  <si>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</si>
  <si>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</si>
  <si>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</si>
  <si>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</si>
  <si>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</si>
  <si>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</si>
  <si>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</si>
  <si>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</si>
  <si>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</si>
  <si>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</si>
  <si>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</si>
  <si>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</si>
  <si>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</si>
  <si>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</si>
  <si>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</si>
  <si>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</si>
  <si>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</si>
  <si>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</si>
  <si>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</si>
  <si>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</si>
  <si>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</si>
  <si>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</si>
  <si>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</si>
  <si>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</si>
  <si>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</si>
  <si>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</si>
  <si>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Liberty</t>
  </si>
  <si>
    <t>Site DAS Name</t>
  </si>
  <si>
    <t>Update</t>
  </si>
  <si>
    <t>DAS</t>
  </si>
  <si>
    <t>Cape Cod Community College</t>
  </si>
  <si>
    <t>CCC College</t>
  </si>
  <si>
    <t>MA</t>
  </si>
  <si>
    <t>A</t>
  </si>
  <si>
    <t>SolrenView</t>
  </si>
  <si>
    <t>Walden Liberty Solar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</si>
</sst>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49" fontId="26" fillId="40" borderId="0" xfId="0" applyNumberFormat="1" applyFont="1" applyFill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0" fontId="33" fillId="40" borderId="0" xfId="0" applyFont="1" applyFill="1" applyAlignment="1">
      <alignment horizontal="left"/>
    </xf>
    <xf numFmtId="0" fontId="26" fillId="0" borderId="0" xfId="0" applyFont="1" applyAlignment="1">
      <alignment horizontal="left" vertical="center"/>
    </xf>
    <xf numFmtId="0" fontId="34" fillId="46" borderId="0" xfId="0" applyFont="1" applyFill="1"/>
    <xf numFmtId="0" fontId="34" fillId="0" borderId="0" xfId="0" applyFont="1"/>
    <xf numFmtId="0" fontId="34" fillId="46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5">
        <f>SUM(C4:C77)</f>
        <v>442926</v>
      </c>
      <c r="D2" s="5">
        <f>SUM(D4:D77)</f>
        <v>0</v>
      </c>
      <c r="E2" s="5">
        <f>C2-D2</f>
        <v>442926</v>
      </c>
      <c r="F2" s="6">
        <f>IFERROR(E2/D2, 0)</f>
        <v>0</v>
      </c>
      <c r="G2" s="5">
        <f>SUM(G4:G77)</f>
        <v>0</v>
      </c>
      <c r="H2" s="7">
        <f>C2-G2</f>
        <v>442926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5">Sites[Site]</f>
        <v>CCC College</v>
      </c>
      <c r="B4" s="30" t="str" cm="1">
        <f t="array" ref="B4:B5">Sites[State]</f>
        <v>MA</v>
      </c>
      <c r="C4" s="23">
        <f>SUM('1st Qtr'!C4, '2nd Qtr'!C4, '3rd Qtr'!C4, '4th Qtr'!C4)</f>
        <v>401581</v>
      </c>
      <c r="D4" s="12">
        <f>SUM('1st Qtr'!D4, '2nd Qtr'!D4, '3rd Qtr'!D4, '4th Qtr'!D4)</f>
        <v>0</v>
      </c>
      <c r="E4" s="12">
        <f>IF(AND(ISNUMBER(C4),ISNUMBER(D4)), C4-D4, "")</f>
        <v>401581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401581</v>
      </c>
      <c r="I4" s="15" t="str">
        <f>IFERROR(H4/G4, "")</f>
        <v/>
      </c>
    </row>
    <row r="5" spans="1:9" ht="15.6">
      <c r="A5" s="46" t="str">
        <v>Walden Liberty</v>
      </c>
      <c r="B5" s="28" t="str">
        <v>MA</v>
      </c>
      <c r="C5" s="11">
        <f>SUM(Jan!C5, Feb!C5, Mar!C5)</f>
        <v>41345</v>
      </c>
      <c r="D5" s="17">
        <f>SUM(Jan!D5, Feb!D5, Mar!D5)</f>
        <v>0</v>
      </c>
      <c r="E5" s="17">
        <f t="shared" ref="E5" si="0">IF(AND(ISNUMBER(C5),ISNUMBER(D5)), C5-D5, "")</f>
        <v>41345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41345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5">
        <f>SUM(C4:C77)</f>
        <v>194142</v>
      </c>
      <c r="D2" s="5">
        <f>SUM(D4:D77)</f>
        <v>0</v>
      </c>
      <c r="E2" s="5">
        <f>C2-D2</f>
        <v>194142</v>
      </c>
      <c r="F2" s="6">
        <f>IFERROR(E2/D2, 0)</f>
        <v>0</v>
      </c>
      <c r="G2" s="5">
        <f>SUM(G4:G77)</f>
        <v>0</v>
      </c>
      <c r="H2" s="7">
        <f>C2-G2</f>
        <v>194142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SUM(Jan!C4, Feb!C4, Mar!C4)</f>
        <v>152797</v>
      </c>
      <c r="D4" s="12">
        <f>SUM(Jan!D4, Feb!D4, Mar!D4)</f>
        <v>0</v>
      </c>
      <c r="E4" s="12">
        <f>IF(AND(ISNUMBER(C4),ISNUMBER(D4)), C4-D4, "")</f>
        <v>152797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152797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SUM(Jan!C5, Feb!C5, Mar!C5)</f>
        <v>41345</v>
      </c>
      <c r="D5" s="17">
        <f>SUM(Jan!D5, Feb!D5, Mar!D5)</f>
        <v>0</v>
      </c>
      <c r="E5" s="17">
        <f t="shared" ref="E5" si="0">IF(AND(ISNUMBER(C5),ISNUMBER(D5)), C5-D5, "")</f>
        <v>41345</v>
      </c>
      <c r="F5" s="18" t="str">
        <f>IFERROR(E5/D5, "")</f>
        <v/>
      </c>
      <c r="G5" s="19">
        <f>SUM(Jan!G5, Feb!G5, Mar!G5)</f>
        <v>0</v>
      </c>
      <c r="H5" s="19">
        <f>SUM(Jan!H5, Feb!H5, Mar!H5)</f>
        <v>41345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5">
        <f>SUM(C4:C77)</f>
        <v>334241</v>
      </c>
      <c r="D2" s="5">
        <f>SUM(D4:D77)</f>
        <v>0</v>
      </c>
      <c r="E2" s="5">
        <f>C2-D2</f>
        <v>334241</v>
      </c>
      <c r="F2" s="6">
        <f>IFERROR(E2/D2, 0)</f>
        <v>0</v>
      </c>
      <c r="G2" s="5">
        <f>SUM(G4:G77)</f>
        <v>0</v>
      </c>
      <c r="H2" s="7">
        <f>C2-G2</f>
        <v>334241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SUM(Apr!C4, May!C4, Jun!C4)</f>
        <v>248784</v>
      </c>
      <c r="D4" s="12">
        <f>SUM(Apr!D4, May!D4, Jun!D4)</f>
        <v>0</v>
      </c>
      <c r="E4" s="12">
        <f>IF(AND(ISNUMBER(C4),ISNUMBER(D4)), C4-D4, "")</f>
        <v>248784</v>
      </c>
      <c r="F4" s="13" t="str">
        <f>IFERROR(E4/D4, "")</f>
        <v/>
      </c>
      <c r="G4" s="14">
        <f>SUM(Apr!G4, May!G4, Jun!G4)</f>
        <v>0</v>
      </c>
      <c r="H4" s="14">
        <f>SUM(Apr!H4, May!H4, Jun!H4)</f>
        <v>248784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SUM(Apr!C5, May!C5, Jun!C5)</f>
        <v>85457</v>
      </c>
      <c r="D5" s="17">
        <f>SUM(Apr!D5, May!D5, Jun!D5)</f>
        <v>0</v>
      </c>
      <c r="E5" s="17">
        <f t="shared" ref="E5" si="0">IF(AND(ISNUMBER(C5),ISNUMBER(D5)), C5-D5, "")</f>
        <v>85457</v>
      </c>
      <c r="F5" s="18" t="str">
        <f>IFERROR(E5/D5, "")</f>
        <v/>
      </c>
      <c r="G5" s="19">
        <f>SUM(Apr!G5, May!G5, Jun!G5)</f>
        <v>0</v>
      </c>
      <c r="H5" s="19">
        <f>SUM(Apr!H5, May!H5, Jun!H5)</f>
        <v>85457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B17" sqref="B17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13" sqref="A13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41" sqref="J4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SUM(C4:C76)</f>
        <v>39051</v>
      </c>
      <c r="D2" s="5">
        <f>SUM(D4:D76)</f>
        <v>0</v>
      </c>
      <c r="E2" s="5">
        <f>C2-D2</f>
        <v>39051</v>
      </c>
      <c r="F2" s="6">
        <f>IFERROR(E2/D2, 0)</f>
        <v>0</v>
      </c>
      <c r="G2" s="5">
        <f>SUM(G4:G76)</f>
        <v>0</v>
      </c>
      <c r="H2" s="7">
        <f>C2-G2</f>
        <v>39051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34113</v>
      </c>
      <c r="D4" s="12">
        <v>0</v>
      </c>
      <c r="E4" s="12">
        <f>IF(AND(ISNUMBER(C4),ISNUMBER(D4)), C4-D4, "")</f>
        <v>34113</v>
      </c>
      <c r="F4" s="12" t="str">
        <f>IFERROR(E4/D4, "")</f>
        <v/>
      </c>
      <c r="G4" s="14">
        <v>0</v>
      </c>
      <c r="H4" s="14">
        <f>IF(AND(ISNUMBER(C4),ISNUMBER(G4)), C4-G4, "")</f>
        <v>34113</v>
      </c>
      <c r="I4" s="15" t="str">
        <f>IFERROR(H4/G4, "")</f>
        <v/>
      </c>
      <c r="J4" s="39" t="s">
        <v>22</v>
      </c>
      <c r="K4" s="39" t="s">
        <v>22</v>
      </c>
    </row>
    <row r="5" spans="1:11" ht="15.6">
      <c r="A5" s="46" t="str">
        <v>Walden Liberty</v>
      </c>
      <c r="B5" s="29" t="str">
        <v>MA</v>
      </c>
      <c r="C5" s="11">
        <v>4938</v>
      </c>
      <c r="D5" s="17">
        <v>0</v>
      </c>
      <c r="E5" s="17">
        <f t="shared" ref="E5" si="0">IF(AND(ISNUMBER(C5),ISNUMBER(D5)), C5-D5, "")</f>
        <v>4938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4938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H8" sqref="H8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23</v>
      </c>
      <c r="E1" s="53"/>
      <c r="F1" s="53"/>
      <c r="G1" s="51" t="s">
        <v>24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68716</v>
      </c>
      <c r="D2" s="5">
        <f>SUM(D4:D77)</f>
        <v>0</v>
      </c>
      <c r="E2" s="5">
        <f>C2-D2</f>
        <v>68716</v>
      </c>
      <c r="F2" s="6">
        <f>IFERROR(E2/D2, 0)</f>
        <v>0</v>
      </c>
      <c r="G2" s="5">
        <f>SUM(G4:G77)</f>
        <v>0</v>
      </c>
      <c r="H2" s="7">
        <f>C2-G2</f>
        <v>68716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53834</v>
      </c>
      <c r="D4" s="12">
        <v>0</v>
      </c>
      <c r="E4" s="12">
        <f>IF(AND(ISNUMBER(C4),ISNUMBER(D4)), C4-D4, "")</f>
        <v>53834</v>
      </c>
      <c r="F4" s="12" t="str">
        <f>IFERROR(E4/D4, "")</f>
        <v/>
      </c>
      <c r="G4" s="14">
        <v>0</v>
      </c>
      <c r="H4" s="14">
        <f>IF(AND(ISNUMBER(C4),ISNUMBER(G4)), C4-G4, "")</f>
        <v>53834</v>
      </c>
      <c r="I4" s="15" t="str">
        <f>IFERROR(H4/G4, "")</f>
        <v/>
      </c>
      <c r="J4" s="39"/>
      <c r="K4" s="39"/>
    </row>
    <row r="5" spans="1:11" ht="15.6">
      <c r="A5" s="46" t="str">
        <v>Walden Liberty</v>
      </c>
      <c r="B5" s="29" t="str">
        <v>MA</v>
      </c>
      <c r="C5" s="11">
        <v>14882</v>
      </c>
      <c r="D5" s="17">
        <v>0</v>
      </c>
      <c r="E5" s="17">
        <f t="shared" ref="E5" si="0">IF(AND(ISNUMBER(C5),ISNUMBER(D5)), C5-D5, "")</f>
        <v>14882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14882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H23" sqref="H23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25</v>
      </c>
      <c r="E1" s="53"/>
      <c r="F1" s="53"/>
      <c r="G1" s="51" t="s">
        <v>26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86375</v>
      </c>
      <c r="D2" s="5">
        <f>SUM(D4:D77)</f>
        <v>0</v>
      </c>
      <c r="E2" s="5">
        <f>C2-D2</f>
        <v>86375</v>
      </c>
      <c r="F2" s="6">
        <f>IFERROR(E2/D2, 0)</f>
        <v>0</v>
      </c>
      <c r="G2" s="5">
        <f>SUM(G4:G77)</f>
        <v>0</v>
      </c>
      <c r="H2" s="7">
        <f>C2-G2</f>
        <v>86375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64850</v>
      </c>
      <c r="D4" s="12">
        <v>0</v>
      </c>
      <c r="E4" s="12">
        <f t="shared" ref="E4:E5" si="0">IF(AND(ISNUMBER(C4),ISNUMBER(D4)), C4-D4, "")</f>
        <v>64850</v>
      </c>
      <c r="F4" s="12" t="str">
        <f>IFERROR(E4/D4, "")</f>
        <v/>
      </c>
      <c r="G4" s="14">
        <v>0</v>
      </c>
      <c r="H4" s="14">
        <f>IF(AND(ISNUMBER(C4),ISNUMBER(G4)), C4-G4, "")</f>
        <v>64850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21525</v>
      </c>
      <c r="D5" s="17">
        <v>0</v>
      </c>
      <c r="E5" s="17">
        <f t="shared" si="0"/>
        <v>21525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21525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G5" activePane="bottomRight" state="frozen"/>
      <selection pane="bottomRight" activeCell="G5" sqref="G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27</v>
      </c>
      <c r="E1" s="53"/>
      <c r="F1" s="53"/>
      <c r="G1" s="51" t="s">
        <v>28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91941</v>
      </c>
      <c r="D2" s="5">
        <f>SUM(D4:D77)</f>
        <v>0</v>
      </c>
      <c r="E2" s="5">
        <f>C2-D2</f>
        <v>91941</v>
      </c>
      <c r="F2" s="6">
        <f>IFERROR(E2/D2, 0)</f>
        <v>0</v>
      </c>
      <c r="G2" s="5">
        <f>SUM(G4:G77)</f>
        <v>0</v>
      </c>
      <c r="H2" s="7">
        <f>C2-G2</f>
        <v>91941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67078</v>
      </c>
      <c r="D4" s="12">
        <v>0</v>
      </c>
      <c r="E4" s="12">
        <f>IF(AND(ISNUMBER(C4),ISNUMBER(D4)), C4-D4, "")</f>
        <v>67078</v>
      </c>
      <c r="F4" s="13" t="str">
        <f>IFERROR(E4/D4, "")</f>
        <v/>
      </c>
      <c r="G4" s="14">
        <v>0</v>
      </c>
      <c r="H4" s="14">
        <f>IF(AND(ISNUMBER(C4),ISNUMBER(G4)), C4-G4, "")</f>
        <v>67078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24863</v>
      </c>
      <c r="D5" s="17">
        <v>0</v>
      </c>
      <c r="E5" s="17">
        <f t="shared" ref="E5" si="0">IF(AND(ISNUMBER(C5),ISNUMBER(D5)), C5-D5, "")</f>
        <v>24863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24863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J4" sqref="J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29</v>
      </c>
      <c r="E1" s="53"/>
      <c r="F1" s="53"/>
      <c r="G1" s="51" t="s">
        <v>30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114024</v>
      </c>
      <c r="D2" s="5">
        <f>SUM(D4:D77)</f>
        <v>0</v>
      </c>
      <c r="E2" s="5">
        <f>C2-D2</f>
        <v>114024</v>
      </c>
      <c r="F2" s="6">
        <f>IFERROR(E2/D2, 0)</f>
        <v>0</v>
      </c>
      <c r="G2" s="5">
        <f>SUM(G4:G77)</f>
        <v>0</v>
      </c>
      <c r="H2" s="7">
        <f>C2-G2</f>
        <v>114024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85060</v>
      </c>
      <c r="D4" s="12">
        <v>0</v>
      </c>
      <c r="E4" s="12">
        <f>IF(AND(ISNUMBER(C4),ISNUMBER(D4)), C4-D4, "")</f>
        <v>85060</v>
      </c>
      <c r="F4" s="13" t="str">
        <f>IFERROR(E4/D4, "")</f>
        <v/>
      </c>
      <c r="G4" s="14">
        <v>0</v>
      </c>
      <c r="H4" s="14">
        <f>IF(AND(ISNUMBER(C4),ISNUMBER(G4)), C4-G4, "")</f>
        <v>85060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28964</v>
      </c>
      <c r="D5" s="17">
        <v>0</v>
      </c>
      <c r="E5" s="17">
        <f t="shared" ref="E5" si="0">IF(AND(ISNUMBER(C5),ISNUMBER(D5)), C5-D5, "")</f>
        <v>28964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28964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D4" activePane="bottomRight" state="frozen"/>
      <selection pane="bottomRight" activeCell="G14" sqref="G1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31</v>
      </c>
      <c r="E1" s="53"/>
      <c r="F1" s="53"/>
      <c r="G1" s="51" t="s">
        <v>32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128276</v>
      </c>
      <c r="D2" s="5">
        <f>SUM(D4:D77)</f>
        <v>0</v>
      </c>
      <c r="E2" s="5">
        <f>C2-D2</f>
        <v>128276</v>
      </c>
      <c r="F2" s="6">
        <f>IFERROR(E2/D2, 0)</f>
        <v>0</v>
      </c>
      <c r="G2" s="5">
        <f>SUM(G4:G77)</f>
        <v>0</v>
      </c>
      <c r="H2" s="7">
        <f>C2-G2</f>
        <v>128276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96646</v>
      </c>
      <c r="D4" s="12">
        <v>0</v>
      </c>
      <c r="E4" s="12">
        <f>IF(AND(ISNUMBER(C4),ISNUMBER(D4)), C4-D4, "")</f>
        <v>96646</v>
      </c>
      <c r="F4" s="13" t="str">
        <f>IFERROR(E4/D4, "")</f>
        <v/>
      </c>
      <c r="G4" s="14">
        <v>0</v>
      </c>
      <c r="H4" s="14">
        <f>IF(AND(ISNUMBER(C4),ISNUMBER(G4)), C4-G4, "")</f>
        <v>96646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31630</v>
      </c>
      <c r="D5" s="17">
        <v>0</v>
      </c>
      <c r="E5" s="17">
        <f t="shared" ref="E5" si="0">IF(AND(ISNUMBER(C5),ISNUMBER(D5)), C5-D5, "")</f>
        <v>31630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31630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33</v>
      </c>
      <c r="E1" s="53"/>
      <c r="F1" s="53"/>
      <c r="G1" s="51" t="s">
        <v>34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35</v>
      </c>
      <c r="E1" s="53"/>
      <c r="F1" s="53"/>
      <c r="G1" s="51" t="s">
        <v>36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37</v>
      </c>
      <c r="E1" s="53"/>
      <c r="F1" s="53"/>
      <c r="G1" s="51" t="s">
        <v>38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39</v>
      </c>
      <c r="E1" s="53"/>
      <c r="F1" s="53"/>
      <c r="G1" s="51" t="s">
        <v>40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41</v>
      </c>
      <c r="E1" s="53"/>
      <c r="F1" s="53"/>
      <c r="G1" s="51" t="s">
        <v>42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43</v>
      </c>
      <c r="E1" s="53"/>
      <c r="F1" s="53"/>
      <c r="G1" s="51" t="s">
        <v>44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G19" sqref="G19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45</v>
      </c>
      <c r="B1" t="s">
        <v>46</v>
      </c>
    </row>
    <row r="3" spans="1:12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12" ht="14.45">
      <c r="A4" s="47" t="s">
        <v>50</v>
      </c>
      <c r="B4" s="47" t="s">
        <v>51</v>
      </c>
      <c r="C4" s="47" t="s">
        <v>52</v>
      </c>
      <c r="D4" s="49" t="s">
        <v>53</v>
      </c>
      <c r="E4" s="47" t="s">
        <v>54</v>
      </c>
      <c r="G4" s="3"/>
    </row>
    <row r="5" spans="1:12" ht="14.45">
      <c r="A5" s="48" t="s">
        <v>55</v>
      </c>
      <c r="B5" s="48" t="s">
        <v>46</v>
      </c>
      <c r="C5" s="48" t="s">
        <v>52</v>
      </c>
      <c r="D5" s="50" t="s">
        <v>53</v>
      </c>
      <c r="E5" s="48" t="s">
        <v>54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2024-07-14T10:53:31Z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