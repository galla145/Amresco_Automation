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57E1267D-3AAE-4FF9-9FAE-D829B1FE8F17}" xr6:coauthVersionLast="47" xr6:coauthVersionMax="47" xr10:uidLastSave="{00000000-0000-0000-0000-000000000000}"/>
  <bookViews>
    <workbookView xWindow="-108" yWindow="-108" windowWidth="23256" windowHeight="12456" tabRatio="866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<sst xmlns="http://schemas.openxmlformats.org/spreadsheetml/2006/main" count="240" uniqueCount="53">
  <si>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</si>
  <si>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</si>
  <si>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</si>
  <si>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</si>
  <si>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</si>
  <si>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</si>
  <si>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</si>
  <si>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</si>
  <si>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</si>
  <si>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</si>
  <si>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</si>
  <si>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</si>
  <si>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</si>
  <si>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</si>
  <si>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</si>
  <si>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</si>
  <si>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</si>
  <si>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</si>
  <si>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</si>
  <si>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</si>
  <si>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</si>
  <si>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</si>
  <si>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</si>
  <si>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</si>
  <si>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</si>
  <si>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</si>
  <si>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</si>
  <si>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</si>
  <si>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</si>
  <si>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</si>
  <si>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</si>
  <si>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</si>
  <si>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</si>
  <si>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</si>
  <si>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</si>
  <si>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</si>
  <si>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</si>
  <si>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</si>
  <si>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</si>
  <si>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</si>
  <si>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</si>
  <si>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</si>
  <si>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</si>
  <si>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</si>
  <si>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</si>
  <si>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ESI</t>
  </si>
  <si>
    <t>Site DAS Name</t>
  </si>
  <si>
    <t>Update</t>
  </si>
  <si>
    <t>DAS</t>
  </si>
  <si>
    <t>CT: North Branford - Engineering Specialties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</si>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</sst>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charset val="1"/>
    </font>
    <font>
      <sz val="9"/>
      <color rgb="FF00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readingOrder="1"/>
    </xf>
    <xf numFmtId="0" fontId="36" fillId="47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3" fontId="36" fillId="48" borderId="0" xfId="0" applyNumberFormat="1" applyFont="1" applyFill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topRight"/>
      <selection pane="bottomLeft"/>
      <selection pane="bottomRight" activeCell="A5" sqref="A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ESI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81148</v>
      </c>
      <c r="D2" s="5">
        <f>SUM(D4:D65)</f>
        <v>0</v>
      </c>
      <c r="E2" s="5">
        <f>C2-D2</f>
        <v>81148</v>
      </c>
      <c r="F2" s="6">
        <f>IFERROR(E2/D2, 0)</f>
        <v>0</v>
      </c>
      <c r="G2" s="5">
        <f>SUM(G4:G65)</f>
        <v>79187.508000000002</v>
      </c>
      <c r="H2" s="7">
        <f>C2-G2</f>
        <v>1960.4919999999984</v>
      </c>
      <c r="I2" s="6">
        <f>IFERROR(H2/G2, 0)</f>
        <v>2.47575918161233E-2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10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SUM('1st Qtr'!C4, '2nd Qtr'!C4, '3rd Qtr'!C4, '4th Qtr'!C4)</f>
        <v>81148</v>
      </c>
      <c r="D4" s="11">
        <f>SUM('1st Qtr'!D4, '2nd Qtr'!D4, '3rd Qtr'!D4, '4th Qtr'!D4)</f>
        <v>0</v>
      </c>
      <c r="E4" s="11">
        <f>IF(AND(ISNUMBER(C4),ISNUMBER(D4)), C4-D4, "")</f>
        <v>81148</v>
      </c>
      <c r="F4" s="12" t="str">
        <f>IFERROR(E4/D4, "")</f>
        <v/>
      </c>
      <c r="G4" s="13">
        <f>SUM('1st Qtr'!G4, '2nd Qtr'!G4, '3rd Qtr'!G4, '4th Qtr'!G4)</f>
        <v>79187.508000000002</v>
      </c>
      <c r="H4" s="13">
        <f>SUM('1st Qtr'!H4, '2nd Qtr'!H4, '3rd Qtr'!H4, '4th Qtr'!H4)</f>
        <v>1960.492000000002</v>
      </c>
      <c r="I4" s="14">
        <f>IFERROR(H4/G4, "")</f>
        <v>2.4757591816123345E-2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G8" sqref="G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ESI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30669</v>
      </c>
      <c r="D2" s="5">
        <f>SUM(D4:D65)</f>
        <v>0</v>
      </c>
      <c r="E2" s="5">
        <f>C2-D2</f>
        <v>30669</v>
      </c>
      <c r="F2" s="6">
        <f>IFERROR(E2/D2, 0)</f>
        <v>0</v>
      </c>
      <c r="G2" s="5">
        <f>SUM(G4:G65)</f>
        <v>29661.485999999997</v>
      </c>
      <c r="H2" s="7">
        <f>C2-G2</f>
        <v>1007.5140000000029</v>
      </c>
      <c r="I2" s="6">
        <f>IFERROR(H2/G2, 0)</f>
        <v>3.3967077711480907E-2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SUM(Jan!C4, Feb!C4, Mar!C4)</f>
        <v>30669</v>
      </c>
      <c r="D4" s="11">
        <f>SUM(Jan!D4, Feb!D4, Mar!D4)</f>
        <v>0</v>
      </c>
      <c r="E4" s="11">
        <f>IF(AND(ISNUMBER(C4),ISNUMBER(D4)), C4-D4, "")</f>
        <v>30669</v>
      </c>
      <c r="F4" s="12" t="str">
        <f>IFERROR(E4/D4, "")</f>
        <v/>
      </c>
      <c r="G4" s="13">
        <f>SUM(Jan!G4, Feb!G4, Mar!G4)</f>
        <v>29661.485999999997</v>
      </c>
      <c r="H4" s="13">
        <f>SUM(Jan!H4, Feb!H4, Mar!H4)</f>
        <v>1007.514000000001</v>
      </c>
      <c r="I4" s="14">
        <f>IFERROR(H4/G4, "")</f>
        <v>3.3967077711480845E-2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tabSelected="1"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ESI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50479</v>
      </c>
      <c r="D2" s="5">
        <f>SUM(D4:D65)</f>
        <v>0</v>
      </c>
      <c r="E2" s="5">
        <f>C2-D2</f>
        <v>50479</v>
      </c>
      <c r="F2" s="6">
        <f>IFERROR(E2/D2, 0)</f>
        <v>0</v>
      </c>
      <c r="G2" s="5">
        <f>SUM(G4:G65)</f>
        <v>49526.021999999997</v>
      </c>
      <c r="H2" s="7">
        <f>C2-G2</f>
        <v>952.97800000000279</v>
      </c>
      <c r="I2" s="6">
        <f>IFERROR(H2/G2, 0)</f>
        <v>1.9241965365197369E-2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SUM(Apr!C4, May!C4, Jun!C4)</f>
        <v>50479</v>
      </c>
      <c r="D4" s="11">
        <f>SUM(Apr!D4, May!D4, Jun!D4)</f>
        <v>0</v>
      </c>
      <c r="E4" s="11">
        <f>IF(AND(ISNUMBER(C4),ISNUMBER(D4)), C4-D4, "")</f>
        <v>50479</v>
      </c>
      <c r="F4" s="12" t="str">
        <f>IFERROR(E4/D4, "")</f>
        <v/>
      </c>
      <c r="G4" s="13">
        <f>SUM(Apr!G4,May!G4,Jun!G4)</f>
        <v>49526.021999999997</v>
      </c>
      <c r="H4" s="13">
        <f>SUM(Apr!H4, May!H4, Jun!H4)</f>
        <v>952.97800000000097</v>
      </c>
      <c r="I4" s="14">
        <f>IFERROR(H4/G4, "")</f>
        <v>1.924196536519733E-2</v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ESI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6" t="str" cm="1">
        <f t="array" ref="A1">portfolio</f>
        <v>ESI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 x14ac:dyDescent="0.25">
      <c r="A4" s="36" t="str" cm="1">
        <f t="array" ref="A4">Sites[Site]</f>
        <v>CT: North Branford - Engineering Specialties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8" x14ac:dyDescent="0.3">
      <c r="A5" s="15"/>
      <c r="B5" s="15"/>
      <c r="C5" s="15"/>
      <c r="D5" s="15"/>
      <c r="E5" s="15"/>
      <c r="F5" s="16"/>
      <c r="G5" s="15"/>
      <c r="H5" s="15"/>
      <c r="I5" s="16"/>
    </row>
    <row r="6" spans="1:9" ht="13.8" x14ac:dyDescent="0.3">
      <c r="A6" s="15"/>
      <c r="B6" s="15"/>
      <c r="C6" s="15"/>
      <c r="D6" s="15"/>
      <c r="E6" s="15"/>
      <c r="F6" s="16"/>
      <c r="G6" s="15"/>
      <c r="H6" s="15"/>
      <c r="I6" s="16"/>
    </row>
    <row r="7" spans="1:9" ht="13.8" x14ac:dyDescent="0.3">
      <c r="A7" s="15"/>
      <c r="B7" s="15"/>
      <c r="C7" s="15"/>
      <c r="D7" s="15"/>
      <c r="E7" s="15"/>
      <c r="F7" s="16"/>
      <c r="G7" s="15"/>
      <c r="H7" s="15"/>
      <c r="I7" s="16"/>
    </row>
    <row r="8" spans="1:9" ht="13.8" x14ac:dyDescent="0.3">
      <c r="A8" s="15"/>
      <c r="B8" s="15"/>
      <c r="C8" s="15"/>
      <c r="D8" s="15"/>
      <c r="E8" s="15"/>
      <c r="F8" s="16"/>
      <c r="G8" s="15"/>
      <c r="H8" s="15"/>
      <c r="I8" s="16"/>
    </row>
    <row r="9" spans="1:9" ht="13.8" x14ac:dyDescent="0.3">
      <c r="A9" s="15"/>
      <c r="B9" s="15"/>
      <c r="C9" s="15"/>
      <c r="D9" s="15"/>
      <c r="E9" s="15"/>
      <c r="F9" s="16"/>
      <c r="G9" s="15"/>
      <c r="H9" s="15"/>
      <c r="I9" s="16"/>
    </row>
    <row r="10" spans="1:9" ht="13.8" x14ac:dyDescent="0.3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8" x14ac:dyDescent="0.3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8" x14ac:dyDescent="0.3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8" x14ac:dyDescent="0.3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8" x14ac:dyDescent="0.3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8" x14ac:dyDescent="0.3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8" x14ac:dyDescent="0.3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8" x14ac:dyDescent="0.3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8" x14ac:dyDescent="0.3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8" x14ac:dyDescent="0.3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8" x14ac:dyDescent="0.3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8" x14ac:dyDescent="0.3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8" x14ac:dyDescent="0.3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8" x14ac:dyDescent="0.3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8" x14ac:dyDescent="0.3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8" x14ac:dyDescent="0.3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8" x14ac:dyDescent="0.3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8" x14ac:dyDescent="0.3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8" x14ac:dyDescent="0.3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8" x14ac:dyDescent="0.3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8" x14ac:dyDescent="0.3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8" x14ac:dyDescent="0.3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8" x14ac:dyDescent="0.3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8" x14ac:dyDescent="0.3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8" x14ac:dyDescent="0.3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8" x14ac:dyDescent="0.3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8" x14ac:dyDescent="0.3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8" x14ac:dyDescent="0.3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8" x14ac:dyDescent="0.3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8" x14ac:dyDescent="0.3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8" x14ac:dyDescent="0.3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8" x14ac:dyDescent="0.3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8" x14ac:dyDescent="0.3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8" x14ac:dyDescent="0.3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8" x14ac:dyDescent="0.3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8" x14ac:dyDescent="0.3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8" x14ac:dyDescent="0.3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8" x14ac:dyDescent="0.3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8" x14ac:dyDescent="0.3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8" x14ac:dyDescent="0.3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8" x14ac:dyDescent="0.3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8" x14ac:dyDescent="0.3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8" x14ac:dyDescent="0.3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8" x14ac:dyDescent="0.3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8" x14ac:dyDescent="0.3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8" x14ac:dyDescent="0.3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8" x14ac:dyDescent="0.3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8" x14ac:dyDescent="0.3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8" x14ac:dyDescent="0.3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8" x14ac:dyDescent="0.3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8" x14ac:dyDescent="0.3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8" x14ac:dyDescent="0.3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8" x14ac:dyDescent="0.3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8" x14ac:dyDescent="0.3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8" x14ac:dyDescent="0.3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8" x14ac:dyDescent="0.3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8" x14ac:dyDescent="0.3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8" x14ac:dyDescent="0.3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8" x14ac:dyDescent="0.3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8" x14ac:dyDescent="0.3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8" x14ac:dyDescent="0.3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8" x14ac:dyDescent="0.3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8" x14ac:dyDescent="0.3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8" x14ac:dyDescent="0.3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8" x14ac:dyDescent="0.3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8" x14ac:dyDescent="0.3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8" x14ac:dyDescent="0.3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8" x14ac:dyDescent="0.3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8" x14ac:dyDescent="0.3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8" x14ac:dyDescent="0.3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8" x14ac:dyDescent="0.3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8" x14ac:dyDescent="0.3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8" x14ac:dyDescent="0.3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8" x14ac:dyDescent="0.3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8" x14ac:dyDescent="0.3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8" x14ac:dyDescent="0.3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8" x14ac:dyDescent="0.3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8" x14ac:dyDescent="0.3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8" x14ac:dyDescent="0.3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8" x14ac:dyDescent="0.3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8" x14ac:dyDescent="0.3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8" x14ac:dyDescent="0.3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8" x14ac:dyDescent="0.3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8" x14ac:dyDescent="0.3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8" x14ac:dyDescent="0.3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8" x14ac:dyDescent="0.3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8" x14ac:dyDescent="0.3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8" x14ac:dyDescent="0.3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8" x14ac:dyDescent="0.3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8" x14ac:dyDescent="0.3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8" x14ac:dyDescent="0.3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8" x14ac:dyDescent="0.3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8" x14ac:dyDescent="0.3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8" x14ac:dyDescent="0.3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8" x14ac:dyDescent="0.3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8" x14ac:dyDescent="0.3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8" x14ac:dyDescent="0.3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8" x14ac:dyDescent="0.3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8" x14ac:dyDescent="0.3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8" x14ac:dyDescent="0.3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8" x14ac:dyDescent="0.3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8" x14ac:dyDescent="0.3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8" x14ac:dyDescent="0.3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8" x14ac:dyDescent="0.3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8" x14ac:dyDescent="0.3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8" x14ac:dyDescent="0.3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8" x14ac:dyDescent="0.3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8" x14ac:dyDescent="0.3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8" x14ac:dyDescent="0.3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8" x14ac:dyDescent="0.3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8" x14ac:dyDescent="0.3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8" x14ac:dyDescent="0.3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8" x14ac:dyDescent="0.3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8" x14ac:dyDescent="0.3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8" x14ac:dyDescent="0.3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8" x14ac:dyDescent="0.3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8" x14ac:dyDescent="0.3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8" x14ac:dyDescent="0.3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8" x14ac:dyDescent="0.3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8" x14ac:dyDescent="0.3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8" x14ac:dyDescent="0.3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8" x14ac:dyDescent="0.3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8" x14ac:dyDescent="0.3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8" x14ac:dyDescent="0.3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8" x14ac:dyDescent="0.3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8" x14ac:dyDescent="0.3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8" x14ac:dyDescent="0.3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8" x14ac:dyDescent="0.3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8" x14ac:dyDescent="0.3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8" x14ac:dyDescent="0.3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8" x14ac:dyDescent="0.3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8" x14ac:dyDescent="0.3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8" x14ac:dyDescent="0.3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8" x14ac:dyDescent="0.3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8" x14ac:dyDescent="0.3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8" x14ac:dyDescent="0.3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8" x14ac:dyDescent="0.3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8" x14ac:dyDescent="0.3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8" x14ac:dyDescent="0.3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8" x14ac:dyDescent="0.3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8" x14ac:dyDescent="0.3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8" x14ac:dyDescent="0.3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8" x14ac:dyDescent="0.3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8" x14ac:dyDescent="0.3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8" x14ac:dyDescent="0.3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8" x14ac:dyDescent="0.3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8" x14ac:dyDescent="0.3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8" x14ac:dyDescent="0.3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8" x14ac:dyDescent="0.3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8" x14ac:dyDescent="0.3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8" x14ac:dyDescent="0.3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8" x14ac:dyDescent="0.3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8" x14ac:dyDescent="0.3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8" x14ac:dyDescent="0.3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8" x14ac:dyDescent="0.3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8" x14ac:dyDescent="0.3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8" x14ac:dyDescent="0.3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8" x14ac:dyDescent="0.3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8" x14ac:dyDescent="0.3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8" x14ac:dyDescent="0.3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8" x14ac:dyDescent="0.3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8" x14ac:dyDescent="0.3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8" x14ac:dyDescent="0.3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8" x14ac:dyDescent="0.3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8" x14ac:dyDescent="0.3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8" x14ac:dyDescent="0.3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8" x14ac:dyDescent="0.3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8" x14ac:dyDescent="0.3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8" x14ac:dyDescent="0.3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8" x14ac:dyDescent="0.3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8" x14ac:dyDescent="0.3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8" x14ac:dyDescent="0.3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8" x14ac:dyDescent="0.3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8" x14ac:dyDescent="0.3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8" x14ac:dyDescent="0.3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8" x14ac:dyDescent="0.3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8" x14ac:dyDescent="0.3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8" x14ac:dyDescent="0.3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8" x14ac:dyDescent="0.3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8" x14ac:dyDescent="0.3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8" x14ac:dyDescent="0.3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8" x14ac:dyDescent="0.3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8" x14ac:dyDescent="0.3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8" x14ac:dyDescent="0.3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8" x14ac:dyDescent="0.3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8" x14ac:dyDescent="0.3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8" x14ac:dyDescent="0.3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8" x14ac:dyDescent="0.3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8" x14ac:dyDescent="0.3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8" x14ac:dyDescent="0.3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8" x14ac:dyDescent="0.3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8" x14ac:dyDescent="0.3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8" x14ac:dyDescent="0.3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8" x14ac:dyDescent="0.3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8" x14ac:dyDescent="0.3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8" x14ac:dyDescent="0.3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8" x14ac:dyDescent="0.3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8" x14ac:dyDescent="0.3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8" x14ac:dyDescent="0.3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8" x14ac:dyDescent="0.3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8" x14ac:dyDescent="0.3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8" x14ac:dyDescent="0.3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8" x14ac:dyDescent="0.3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8" x14ac:dyDescent="0.3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8" x14ac:dyDescent="0.3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8" x14ac:dyDescent="0.3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8" x14ac:dyDescent="0.3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8" x14ac:dyDescent="0.3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8" x14ac:dyDescent="0.3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8" x14ac:dyDescent="0.3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8" x14ac:dyDescent="0.3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8" x14ac:dyDescent="0.3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8" x14ac:dyDescent="0.3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8" x14ac:dyDescent="0.3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8" x14ac:dyDescent="0.3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8" x14ac:dyDescent="0.3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8" x14ac:dyDescent="0.3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8" x14ac:dyDescent="0.3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8" x14ac:dyDescent="0.3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8" x14ac:dyDescent="0.3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8" x14ac:dyDescent="0.3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8" x14ac:dyDescent="0.3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8" x14ac:dyDescent="0.3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8" x14ac:dyDescent="0.3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8" x14ac:dyDescent="0.3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8" x14ac:dyDescent="0.3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8" x14ac:dyDescent="0.3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8" x14ac:dyDescent="0.3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8" x14ac:dyDescent="0.3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8" x14ac:dyDescent="0.3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8" x14ac:dyDescent="0.3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8" x14ac:dyDescent="0.3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8" x14ac:dyDescent="0.3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8" x14ac:dyDescent="0.3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8" x14ac:dyDescent="0.3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8" x14ac:dyDescent="0.3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8" x14ac:dyDescent="0.3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8" x14ac:dyDescent="0.3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8" x14ac:dyDescent="0.3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8" x14ac:dyDescent="0.3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8" x14ac:dyDescent="0.3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8" x14ac:dyDescent="0.3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8" x14ac:dyDescent="0.3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8" x14ac:dyDescent="0.3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8" x14ac:dyDescent="0.3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8" x14ac:dyDescent="0.3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8" x14ac:dyDescent="0.3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8" x14ac:dyDescent="0.3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8" x14ac:dyDescent="0.3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8" x14ac:dyDescent="0.3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8" x14ac:dyDescent="0.3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8" x14ac:dyDescent="0.3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8" x14ac:dyDescent="0.3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8" x14ac:dyDescent="0.3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8" x14ac:dyDescent="0.3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8" x14ac:dyDescent="0.3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8" x14ac:dyDescent="0.3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8" x14ac:dyDescent="0.3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8" x14ac:dyDescent="0.3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8" x14ac:dyDescent="0.3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8" x14ac:dyDescent="0.3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8" x14ac:dyDescent="0.3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8" x14ac:dyDescent="0.3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8" x14ac:dyDescent="0.3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8" x14ac:dyDescent="0.3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8" x14ac:dyDescent="0.3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8" x14ac:dyDescent="0.3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8" x14ac:dyDescent="0.3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8" x14ac:dyDescent="0.3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8" x14ac:dyDescent="0.3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8" x14ac:dyDescent="0.3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8" x14ac:dyDescent="0.3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8" x14ac:dyDescent="0.3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8" x14ac:dyDescent="0.3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8" x14ac:dyDescent="0.3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8" x14ac:dyDescent="0.3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8" x14ac:dyDescent="0.3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8" x14ac:dyDescent="0.3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8" x14ac:dyDescent="0.3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8" x14ac:dyDescent="0.3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8" x14ac:dyDescent="0.3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8" x14ac:dyDescent="0.3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8" x14ac:dyDescent="0.3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8" x14ac:dyDescent="0.3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8" x14ac:dyDescent="0.3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8" x14ac:dyDescent="0.3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8" x14ac:dyDescent="0.3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8" x14ac:dyDescent="0.3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8" x14ac:dyDescent="0.3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8" x14ac:dyDescent="0.3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8" x14ac:dyDescent="0.3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8" x14ac:dyDescent="0.3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8" x14ac:dyDescent="0.3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8" x14ac:dyDescent="0.3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8" x14ac:dyDescent="0.3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8" x14ac:dyDescent="0.3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8" x14ac:dyDescent="0.3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8" x14ac:dyDescent="0.3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I7" sqref="I7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SUM(C4:C64)</f>
        <v>5671</v>
      </c>
      <c r="D2" s="5">
        <f>SUM(D4:D64)</f>
        <v>0</v>
      </c>
      <c r="E2" s="5">
        <f>C2-D2</f>
        <v>5671</v>
      </c>
      <c r="F2" s="6">
        <f>IFERROR(E2/D2, 0)</f>
        <v>0</v>
      </c>
      <c r="G2" s="5">
        <f>SUM(G4:G64)</f>
        <v>7695</v>
      </c>
      <c r="H2" s="7">
        <f>C2-G2</f>
        <v>-2024</v>
      </c>
      <c r="I2" s="6">
        <f>IFERROR(H2/G2, 0)</f>
        <v>-0.26302794022092268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41">
        <v>5671</v>
      </c>
      <c r="D4" s="42">
        <v>0</v>
      </c>
      <c r="E4" s="11">
        <f>IF(AND(ISNUMBER(C4),ISNUMBER(D4)), C4-D4, "")</f>
        <v>5671</v>
      </c>
      <c r="F4" s="33" t="str">
        <f>IFERROR(E4/D4, "")</f>
        <v/>
      </c>
      <c r="G4" s="44">
        <v>7695</v>
      </c>
      <c r="H4" s="13">
        <f>IF(AND(ISNUMBER(C4),ISNUMBER(G4)), C4-G4, "")</f>
        <v>-2024</v>
      </c>
      <c r="I4" s="14">
        <f>IFERROR(H4/G4, "")</f>
        <v>-0.26302794022092268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3" priority="4" stopIfTrue="1" operator="lessThanOrEqual">
      <formula>-0.1</formula>
    </cfRule>
    <cfRule type="expression" dxfId="22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F4" activePane="bottomRight" state="frozen"/>
      <selection pane="topRight" activeCell="A5" sqref="A5"/>
      <selection pane="bottomLeft" activeCell="A5" sqref="A5"/>
      <selection pane="bottomRight" activeCell="F12" sqref="F12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10281</v>
      </c>
      <c r="D2" s="5">
        <f>SUM(D4:D65)</f>
        <v>0</v>
      </c>
      <c r="E2" s="5">
        <f>C2-D2</f>
        <v>10281</v>
      </c>
      <c r="F2" s="6">
        <f>IFERROR(E2/D2, 0)</f>
        <v>0</v>
      </c>
      <c r="G2" s="5">
        <f>SUM(G4:G65)</f>
        <v>9347.6569999999992</v>
      </c>
      <c r="H2" s="7">
        <f>C2-G2</f>
        <v>933.34300000000076</v>
      </c>
      <c r="I2" s="6">
        <f>IFERROR(H2/G2, 0)</f>
        <v>9.9847801433022285E-2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38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10281</v>
      </c>
      <c r="D4" s="11">
        <v>0</v>
      </c>
      <c r="E4" s="11">
        <f>IF(AND(ISNUMBER(C4),ISNUMBER(D4)), C4-D4, "")</f>
        <v>10281</v>
      </c>
      <c r="F4" s="12" t="str">
        <f>IFERROR(E4/D4, "")</f>
        <v/>
      </c>
      <c r="G4" s="13">
        <v>9347.6569999999992</v>
      </c>
      <c r="H4" s="13">
        <f>IF(AND(ISNUMBER(C4),ISNUMBER(G4)), C4-G4, "")</f>
        <v>933.34300000000076</v>
      </c>
      <c r="I4" s="14">
        <f>IFERROR(H4/G4, "")</f>
        <v>9.9847801433022285E-2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G4" sqref="G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14717</v>
      </c>
      <c r="D2" s="5">
        <f>SUM(D4:D65)</f>
        <v>0</v>
      </c>
      <c r="E2" s="5">
        <f>C2-D2</f>
        <v>14717</v>
      </c>
      <c r="F2" s="6">
        <f>IFERROR(E2/D2, 0)</f>
        <v>0</v>
      </c>
      <c r="G2" s="5">
        <f>SUM(G4:G65)</f>
        <v>12618.829</v>
      </c>
      <c r="H2" s="7">
        <f>C2-G2</f>
        <v>2098.1710000000003</v>
      </c>
      <c r="I2" s="6">
        <f>IFERROR(H2/G2, 0)</f>
        <v>0.16627303531888737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14717</v>
      </c>
      <c r="D4" s="11">
        <v>0</v>
      </c>
      <c r="E4" s="11">
        <f>IF(AND(ISNUMBER(C4),ISNUMBER(D4)), C4-D4, "")</f>
        <v>14717</v>
      </c>
      <c r="F4" s="12" t="str">
        <f>IFERROR(E4/D4, "")</f>
        <v/>
      </c>
      <c r="G4" s="13">
        <v>12618.829</v>
      </c>
      <c r="H4" s="13">
        <f>IF(AND(ISNUMBER(C4),ISNUMBER(G4)), C4-G4, "")</f>
        <v>2098.1710000000003</v>
      </c>
      <c r="I4" s="14">
        <f>IFERROR(H4/G4, "")</f>
        <v>0.16627303531888737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G5" sqref="G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14386</v>
      </c>
      <c r="D2" s="5">
        <f>SUM(D4:D65)</f>
        <v>0</v>
      </c>
      <c r="E2" s="5">
        <f>C2-D2</f>
        <v>14386</v>
      </c>
      <c r="F2" s="6">
        <f>IFERROR(E2/D2, 0)</f>
        <v>0</v>
      </c>
      <c r="G2" s="5">
        <f>SUM(G4:G65)</f>
        <v>15234.4</v>
      </c>
      <c r="H2" s="7">
        <f>C2-G2</f>
        <v>-848.39999999999964</v>
      </c>
      <c r="I2" s="6">
        <f>IFERROR(H2/G2, 0)</f>
        <v>-5.5689754765530619E-2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14386</v>
      </c>
      <c r="D4" s="11">
        <v>0</v>
      </c>
      <c r="E4" s="11">
        <f>IF(AND(ISNUMBER(C4),ISNUMBER(D4)), C4-D4, "")</f>
        <v>14386</v>
      </c>
      <c r="F4" s="12" t="str">
        <f>IFERROR(E4/D4, "")</f>
        <v/>
      </c>
      <c r="G4" s="13">
        <v>15234.4</v>
      </c>
      <c r="H4" s="13">
        <f>IF(AND(ISNUMBER(C4),ISNUMBER(G4)), C4-G4, "")</f>
        <v>-848.39999999999964</v>
      </c>
      <c r="I4" s="14">
        <f>IFERROR(H4/G4, "")</f>
        <v>-5.5689754765530619E-2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I4" sqref="I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17308</v>
      </c>
      <c r="D2" s="5">
        <f>SUM(D4:D65)</f>
        <v>0</v>
      </c>
      <c r="E2" s="5">
        <f>C2-D2</f>
        <v>17308</v>
      </c>
      <c r="F2" s="6">
        <f>IFERROR(E2/D2, 0)</f>
        <v>0</v>
      </c>
      <c r="G2" s="5">
        <f>SUM(G4:G65)</f>
        <v>17175.689999999999</v>
      </c>
      <c r="H2" s="7">
        <f>C2-G2</f>
        <v>132.31000000000131</v>
      </c>
      <c r="I2" s="6">
        <f>IFERROR(H2/G2, 0)</f>
        <v>7.7033295314483038E-3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17308</v>
      </c>
      <c r="D4" s="11">
        <v>0</v>
      </c>
      <c r="E4" s="11">
        <f>IF(AND(ISNUMBER(C4),ISNUMBER(D4)), C4-D4, "")</f>
        <v>17308</v>
      </c>
      <c r="F4" s="12" t="str">
        <f>IFERROR(E4/D4, "")</f>
        <v/>
      </c>
      <c r="G4" s="13">
        <v>17175.689999999999</v>
      </c>
      <c r="H4" s="13">
        <f>IF(AND(ISNUMBER(C4),ISNUMBER(G4)), C4-G4, "")</f>
        <v>132.31000000000131</v>
      </c>
      <c r="I4" s="14">
        <f>IFERROR(H4/G4, "")</f>
        <v>7.7033295314483038E-3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H4" sqref="H4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18785</v>
      </c>
      <c r="D2" s="5">
        <f>SUM(D4:D65)</f>
        <v>0</v>
      </c>
      <c r="E2" s="5">
        <f>C2-D2</f>
        <v>18785</v>
      </c>
      <c r="F2" s="6">
        <f>IFERROR(E2/D2, 0)</f>
        <v>0</v>
      </c>
      <c r="G2" s="5">
        <f>SUM(G4:G65)</f>
        <v>17115.932000000001</v>
      </c>
      <c r="H2" s="7">
        <f>C2-G2</f>
        <v>1669.0679999999993</v>
      </c>
      <c r="I2" s="6">
        <f>IFERROR(H2/G2, 0)</f>
        <v>9.751546103361472E-2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>
        <v>18785</v>
      </c>
      <c r="D4" s="11">
        <v>0</v>
      </c>
      <c r="E4" s="11">
        <f>IF(AND(ISNUMBER(C4),ISNUMBER(D4)), C4-D4, "")</f>
        <v>18785</v>
      </c>
      <c r="F4" s="12" t="str">
        <f>IFERROR(E4/D4, "")</f>
        <v/>
      </c>
      <c r="G4" s="13">
        <v>17115.932000000001</v>
      </c>
      <c r="H4" s="13">
        <f>IF(AND(ISNUMBER(C4),ISNUMBER(G4)), C4-G4, "")</f>
        <v>1669.0679999999993</v>
      </c>
      <c r="I4" s="14">
        <f>IFERROR(H4/G4, "")</f>
        <v>9.751546103361472E-2</v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topRight" activeCell="A5" sqref="A5"/>
      <selection pane="bottomLeft" activeCell="A5" sqref="A5"/>
      <selection pane="bottomRight" activeCell="A5" sqref="A5"/>
    </sheetView>
  </sheetViews>
  <sheetFormatPr defaultRowHeight="13.8" x14ac:dyDescent="0.25"/>
  <cols>
    <col min="1" max="1" width="35.88671875" bestFit="1" customWidth="1"/>
    <col min="2" max="2" width="8.44140625" style="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6" t="str" cm="1">
        <f t="array" ref="A1">portfolio</f>
        <v>ESI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 x14ac:dyDescent="0.25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 x14ac:dyDescent="0.3">
      <c r="A4" s="23" t="str" cm="1">
        <f t="array" ref="A4">Sites[Site]</f>
        <v>CT: North Branford - Engineering Specialties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" x14ac:dyDescent="0.3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" x14ac:dyDescent="0.3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" x14ac:dyDescent="0.3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" x14ac:dyDescent="0.3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" x14ac:dyDescent="0.3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" x14ac:dyDescent="0.3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" x14ac:dyDescent="0.3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" x14ac:dyDescent="0.3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" x14ac:dyDescent="0.3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" x14ac:dyDescent="0.3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" x14ac:dyDescent="0.3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" x14ac:dyDescent="0.3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" x14ac:dyDescent="0.3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" x14ac:dyDescent="0.3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" x14ac:dyDescent="0.3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" x14ac:dyDescent="0.3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" x14ac:dyDescent="0.3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" x14ac:dyDescent="0.3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" x14ac:dyDescent="0.3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" x14ac:dyDescent="0.3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" x14ac:dyDescent="0.3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" x14ac:dyDescent="0.3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" x14ac:dyDescent="0.3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" x14ac:dyDescent="0.3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" x14ac:dyDescent="0.3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" x14ac:dyDescent="0.3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" x14ac:dyDescent="0.3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" x14ac:dyDescent="0.3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" x14ac:dyDescent="0.3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" x14ac:dyDescent="0.3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" x14ac:dyDescent="0.3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" x14ac:dyDescent="0.3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" x14ac:dyDescent="0.3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" x14ac:dyDescent="0.3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" x14ac:dyDescent="0.3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" x14ac:dyDescent="0.3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" x14ac:dyDescent="0.3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" x14ac:dyDescent="0.3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" x14ac:dyDescent="0.3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" x14ac:dyDescent="0.3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" x14ac:dyDescent="0.3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" x14ac:dyDescent="0.3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" x14ac:dyDescent="0.3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" x14ac:dyDescent="0.3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" x14ac:dyDescent="0.3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" x14ac:dyDescent="0.3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" x14ac:dyDescent="0.3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" x14ac:dyDescent="0.3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" x14ac:dyDescent="0.3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" x14ac:dyDescent="0.3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" x14ac:dyDescent="0.3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" x14ac:dyDescent="0.3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" x14ac:dyDescent="0.3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" x14ac:dyDescent="0.3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" x14ac:dyDescent="0.3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" x14ac:dyDescent="0.3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" x14ac:dyDescent="0.3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" x14ac:dyDescent="0.3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" x14ac:dyDescent="0.3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" x14ac:dyDescent="0.3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" x14ac:dyDescent="0.3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" x14ac:dyDescent="0.3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" x14ac:dyDescent="0.3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" x14ac:dyDescent="0.3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" x14ac:dyDescent="0.3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" x14ac:dyDescent="0.3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" x14ac:dyDescent="0.3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" x14ac:dyDescent="0.3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" x14ac:dyDescent="0.3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" x14ac:dyDescent="0.3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" x14ac:dyDescent="0.3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" x14ac:dyDescent="0.3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" x14ac:dyDescent="0.3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" x14ac:dyDescent="0.3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" x14ac:dyDescent="0.3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" x14ac:dyDescent="0.3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" x14ac:dyDescent="0.3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" x14ac:dyDescent="0.3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" x14ac:dyDescent="0.3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" x14ac:dyDescent="0.3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" x14ac:dyDescent="0.3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" x14ac:dyDescent="0.3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" x14ac:dyDescent="0.3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" x14ac:dyDescent="0.3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" x14ac:dyDescent="0.3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" x14ac:dyDescent="0.3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" x14ac:dyDescent="0.3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" x14ac:dyDescent="0.3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" x14ac:dyDescent="0.3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" x14ac:dyDescent="0.3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" x14ac:dyDescent="0.3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" x14ac:dyDescent="0.3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" x14ac:dyDescent="0.3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" x14ac:dyDescent="0.3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" x14ac:dyDescent="0.3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" x14ac:dyDescent="0.3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" x14ac:dyDescent="0.3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" x14ac:dyDescent="0.3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" x14ac:dyDescent="0.3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" x14ac:dyDescent="0.3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" x14ac:dyDescent="0.3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" x14ac:dyDescent="0.3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" x14ac:dyDescent="0.3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" x14ac:dyDescent="0.3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" x14ac:dyDescent="0.3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" x14ac:dyDescent="0.3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" x14ac:dyDescent="0.3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" x14ac:dyDescent="0.3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" x14ac:dyDescent="0.3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" x14ac:dyDescent="0.3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" x14ac:dyDescent="0.3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" x14ac:dyDescent="0.3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" x14ac:dyDescent="0.3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" x14ac:dyDescent="0.3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" x14ac:dyDescent="0.3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" x14ac:dyDescent="0.3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" x14ac:dyDescent="0.3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" x14ac:dyDescent="0.3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" x14ac:dyDescent="0.3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" x14ac:dyDescent="0.3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" x14ac:dyDescent="0.3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" x14ac:dyDescent="0.3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" x14ac:dyDescent="0.3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" x14ac:dyDescent="0.3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" x14ac:dyDescent="0.3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" x14ac:dyDescent="0.3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" x14ac:dyDescent="0.3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" x14ac:dyDescent="0.3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" x14ac:dyDescent="0.3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" x14ac:dyDescent="0.3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" x14ac:dyDescent="0.3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" x14ac:dyDescent="0.3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" x14ac:dyDescent="0.3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" x14ac:dyDescent="0.3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" x14ac:dyDescent="0.3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" x14ac:dyDescent="0.3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" x14ac:dyDescent="0.3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" x14ac:dyDescent="0.3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" x14ac:dyDescent="0.3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" x14ac:dyDescent="0.3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" x14ac:dyDescent="0.3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" x14ac:dyDescent="0.3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" x14ac:dyDescent="0.3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" x14ac:dyDescent="0.3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" x14ac:dyDescent="0.3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" x14ac:dyDescent="0.3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" x14ac:dyDescent="0.3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" x14ac:dyDescent="0.3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" x14ac:dyDescent="0.3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" x14ac:dyDescent="0.3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" x14ac:dyDescent="0.3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" x14ac:dyDescent="0.3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" x14ac:dyDescent="0.3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" x14ac:dyDescent="0.3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" x14ac:dyDescent="0.3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" x14ac:dyDescent="0.3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" x14ac:dyDescent="0.3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" x14ac:dyDescent="0.3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" x14ac:dyDescent="0.3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" x14ac:dyDescent="0.3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" x14ac:dyDescent="0.3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" x14ac:dyDescent="0.3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" x14ac:dyDescent="0.3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" x14ac:dyDescent="0.3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" x14ac:dyDescent="0.3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" x14ac:dyDescent="0.3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" x14ac:dyDescent="0.3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" x14ac:dyDescent="0.3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" x14ac:dyDescent="0.3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" x14ac:dyDescent="0.3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" x14ac:dyDescent="0.3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" x14ac:dyDescent="0.3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" x14ac:dyDescent="0.3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" x14ac:dyDescent="0.3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" x14ac:dyDescent="0.3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" x14ac:dyDescent="0.3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" x14ac:dyDescent="0.3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" x14ac:dyDescent="0.3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" x14ac:dyDescent="0.3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" x14ac:dyDescent="0.3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" x14ac:dyDescent="0.3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" x14ac:dyDescent="0.3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" x14ac:dyDescent="0.3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" x14ac:dyDescent="0.3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" x14ac:dyDescent="0.3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" x14ac:dyDescent="0.3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" x14ac:dyDescent="0.3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" x14ac:dyDescent="0.3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" x14ac:dyDescent="0.3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" x14ac:dyDescent="0.3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" x14ac:dyDescent="0.3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" x14ac:dyDescent="0.3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" x14ac:dyDescent="0.3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" x14ac:dyDescent="0.3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" x14ac:dyDescent="0.3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" x14ac:dyDescent="0.3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" x14ac:dyDescent="0.3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" x14ac:dyDescent="0.3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" x14ac:dyDescent="0.3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" x14ac:dyDescent="0.3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" x14ac:dyDescent="0.3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" x14ac:dyDescent="0.3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" x14ac:dyDescent="0.3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" x14ac:dyDescent="0.3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" x14ac:dyDescent="0.3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" x14ac:dyDescent="0.3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" x14ac:dyDescent="0.3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" x14ac:dyDescent="0.3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" x14ac:dyDescent="0.3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" x14ac:dyDescent="0.3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" x14ac:dyDescent="0.3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" x14ac:dyDescent="0.3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" x14ac:dyDescent="0.3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" x14ac:dyDescent="0.3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" x14ac:dyDescent="0.3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" x14ac:dyDescent="0.3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" x14ac:dyDescent="0.3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" x14ac:dyDescent="0.3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" x14ac:dyDescent="0.3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" x14ac:dyDescent="0.3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" x14ac:dyDescent="0.3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" x14ac:dyDescent="0.3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" x14ac:dyDescent="0.3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" x14ac:dyDescent="0.3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" x14ac:dyDescent="0.3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" x14ac:dyDescent="0.3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" x14ac:dyDescent="0.3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" x14ac:dyDescent="0.3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" x14ac:dyDescent="0.3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" x14ac:dyDescent="0.3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" x14ac:dyDescent="0.3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" x14ac:dyDescent="0.3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" x14ac:dyDescent="0.3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" x14ac:dyDescent="0.3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" x14ac:dyDescent="0.3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" x14ac:dyDescent="0.3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" x14ac:dyDescent="0.3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" x14ac:dyDescent="0.3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" x14ac:dyDescent="0.3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" x14ac:dyDescent="0.3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" x14ac:dyDescent="0.3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" x14ac:dyDescent="0.3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" x14ac:dyDescent="0.3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" x14ac:dyDescent="0.3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" x14ac:dyDescent="0.3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" x14ac:dyDescent="0.3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" x14ac:dyDescent="0.3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" x14ac:dyDescent="0.3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" x14ac:dyDescent="0.3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" x14ac:dyDescent="0.3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" x14ac:dyDescent="0.3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" x14ac:dyDescent="0.3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" x14ac:dyDescent="0.3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" x14ac:dyDescent="0.3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" x14ac:dyDescent="0.3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" x14ac:dyDescent="0.3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" x14ac:dyDescent="0.3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" x14ac:dyDescent="0.3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" x14ac:dyDescent="0.3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" x14ac:dyDescent="0.3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" x14ac:dyDescent="0.3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" x14ac:dyDescent="0.3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" x14ac:dyDescent="0.3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" x14ac:dyDescent="0.3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" x14ac:dyDescent="0.3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" x14ac:dyDescent="0.3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" x14ac:dyDescent="0.3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" x14ac:dyDescent="0.3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" x14ac:dyDescent="0.3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" x14ac:dyDescent="0.3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" x14ac:dyDescent="0.3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" x14ac:dyDescent="0.3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" x14ac:dyDescent="0.3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" x14ac:dyDescent="0.3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" x14ac:dyDescent="0.3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" x14ac:dyDescent="0.3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" x14ac:dyDescent="0.3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" x14ac:dyDescent="0.3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" x14ac:dyDescent="0.3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" x14ac:dyDescent="0.3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" x14ac:dyDescent="0.3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" x14ac:dyDescent="0.3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" x14ac:dyDescent="0.3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" x14ac:dyDescent="0.3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" x14ac:dyDescent="0.3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" x14ac:dyDescent="0.3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" x14ac:dyDescent="0.3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" x14ac:dyDescent="0.3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" x14ac:dyDescent="0.3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" x14ac:dyDescent="0.3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" x14ac:dyDescent="0.3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" x14ac:dyDescent="0.3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" x14ac:dyDescent="0.3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" x14ac:dyDescent="0.3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" x14ac:dyDescent="0.3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" x14ac:dyDescent="0.3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" x14ac:dyDescent="0.3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" x14ac:dyDescent="0.3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" x14ac:dyDescent="0.3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" x14ac:dyDescent="0.3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" x14ac:dyDescent="0.3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" x14ac:dyDescent="0.3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" x14ac:dyDescent="0.3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44</v>
      </c>
      <c r="B1" t="s">
        <v>45</v>
      </c>
    </row>
    <row r="3" spans="1:12" ht="13.2" x14ac:dyDescent="0.2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" x14ac:dyDescent="0.3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" x14ac:dyDescent="0.3">
      <c r="A5" s="37"/>
      <c r="C5" s="35"/>
      <c r="D5" s="34"/>
      <c r="G5" s="3"/>
    </row>
    <row r="6" spans="1:12" ht="14.4" x14ac:dyDescent="0.3">
      <c r="A6" s="37"/>
      <c r="C6" s="35"/>
      <c r="D6" s="34"/>
      <c r="G6" s="3"/>
    </row>
    <row r="7" spans="1:12" ht="12.75" customHeight="1" x14ac:dyDescent="0.25">
      <c r="A7" s="37"/>
      <c r="C7" s="35"/>
      <c r="D7" s="34"/>
    </row>
    <row r="8" spans="1:12" ht="12.75" customHeight="1" x14ac:dyDescent="0.25">
      <c r="A8" s="37"/>
      <c r="C8" s="35"/>
      <c r="D8" s="34"/>
    </row>
    <row r="9" spans="1:12" ht="12.75" customHeight="1" x14ac:dyDescent="0.25">
      <c r="A9" s="37"/>
      <c r="C9" s="35"/>
      <c r="D9" s="34"/>
    </row>
    <row r="10" spans="1:12" ht="12.75" customHeight="1" x14ac:dyDescent="0.25">
      <c r="A10" s="37"/>
      <c r="C10" s="35"/>
      <c r="D10" s="34"/>
      <c r="K10" s="32"/>
      <c r="L10" s="32"/>
    </row>
    <row r="11" spans="1:12" ht="12.75" customHeight="1" x14ac:dyDescent="0.25">
      <c r="A11" s="37"/>
      <c r="C11" s="35"/>
      <c r="D11" s="34"/>
      <c r="K11" s="32"/>
      <c r="L11" s="32"/>
    </row>
    <row r="12" spans="1:12" ht="12.75" customHeight="1" x14ac:dyDescent="0.25">
      <c r="A12" s="37"/>
      <c r="C12" s="35"/>
      <c r="D12" s="34"/>
      <c r="K12" s="32"/>
      <c r="L12" s="32"/>
    </row>
    <row r="13" spans="1:12" ht="12.75" customHeight="1" x14ac:dyDescent="0.25">
      <c r="A13" s="37"/>
      <c r="C13" s="35"/>
      <c r="D13" s="34"/>
      <c r="K13" s="32"/>
      <c r="L13" s="32"/>
    </row>
    <row r="14" spans="1:12" ht="12.75" customHeight="1" x14ac:dyDescent="0.25">
      <c r="A14" s="37"/>
      <c r="C14" s="35"/>
      <c r="D14" s="34"/>
      <c r="K14" s="32"/>
      <c r="L14" s="32"/>
    </row>
    <row r="15" spans="1:12" ht="12.75" customHeight="1" x14ac:dyDescent="0.25">
      <c r="A15" s="37"/>
      <c r="C15" s="35"/>
      <c r="D15" s="34"/>
      <c r="K15" s="32"/>
      <c r="L15" s="32"/>
    </row>
    <row r="16" spans="1:12" ht="12.75" customHeight="1" x14ac:dyDescent="0.25">
      <c r="A16" s="37"/>
      <c r="C16" s="35"/>
      <c r="D16" s="34"/>
      <c r="K16" s="32"/>
      <c r="L16" s="32"/>
    </row>
    <row r="17" spans="1:12" ht="12.75" customHeight="1" x14ac:dyDescent="0.25">
      <c r="A17" s="37"/>
      <c r="C17" s="35"/>
      <c r="D17" s="34"/>
      <c r="K17" s="32"/>
      <c r="L17" s="32"/>
    </row>
    <row r="18" spans="1:12" ht="12.75" customHeight="1" x14ac:dyDescent="0.25">
      <c r="A18" s="37"/>
      <c r="C18" s="35"/>
      <c r="D18" s="34"/>
      <c r="K18" s="32"/>
      <c r="L18" s="32"/>
    </row>
    <row r="19" spans="1:12" ht="12.75" customHeight="1" x14ac:dyDescent="0.25">
      <c r="A19" s="37"/>
      <c r="C19" s="35"/>
      <c r="D19" s="34"/>
      <c r="K19" s="32"/>
      <c r="L19" s="32"/>
    </row>
    <row r="20" spans="1:12" ht="12.75" customHeight="1" x14ac:dyDescent="0.25">
      <c r="A20" s="37"/>
      <c r="C20" s="35"/>
      <c r="D20" s="34"/>
      <c r="K20" s="32"/>
      <c r="L20" s="32"/>
    </row>
    <row r="21" spans="1:12" ht="12.75" customHeight="1" x14ac:dyDescent="0.25">
      <c r="A21" s="37"/>
      <c r="C21" s="35"/>
      <c r="D21" s="34"/>
      <c r="K21" s="32"/>
      <c r="L21" s="32"/>
    </row>
    <row r="22" spans="1:12" ht="12.75" customHeight="1" x14ac:dyDescent="0.25">
      <c r="A22" s="37"/>
      <c r="C22" s="35"/>
      <c r="D22" s="34"/>
      <c r="K22" s="32"/>
      <c r="L22" s="32"/>
    </row>
    <row r="23" spans="1:12" ht="12.75" customHeight="1" x14ac:dyDescent="0.25">
      <c r="A23" s="37"/>
      <c r="C23" s="35"/>
      <c r="D23" s="34"/>
      <c r="K23" s="32"/>
      <c r="L23" s="32"/>
    </row>
    <row r="24" spans="1:12" ht="12.75" customHeight="1" x14ac:dyDescent="0.25">
      <c r="A24" s="37"/>
      <c r="C24" s="35"/>
      <c r="D24" s="34"/>
      <c r="K24" s="32"/>
      <c r="L24" s="32"/>
    </row>
    <row r="25" spans="1:12" ht="12.75" customHeight="1" x14ac:dyDescent="0.25">
      <c r="A25" s="37"/>
      <c r="C25" s="35"/>
      <c r="D25" s="34"/>
      <c r="K25" s="32"/>
      <c r="L25" s="32"/>
    </row>
    <row r="26" spans="1:12" ht="12.75" customHeight="1" x14ac:dyDescent="0.25">
      <c r="K26" s="32"/>
      <c r="L26" s="32"/>
    </row>
    <row r="27" spans="1:12" ht="12.75" customHeight="1" x14ac:dyDescent="0.25">
      <c r="K27" s="32"/>
      <c r="L27" s="32"/>
    </row>
    <row r="28" spans="1:12" ht="12.75" customHeight="1" x14ac:dyDescent="0.25">
      <c r="K28" s="32"/>
      <c r="L28" s="32"/>
    </row>
    <row r="29" spans="1:12" ht="12.75" customHeight="1" x14ac:dyDescent="0.25">
      <c r="K29" s="32"/>
      <c r="L29" s="32"/>
    </row>
    <row r="30" spans="1:12" ht="12.75" customHeight="1" x14ac:dyDescent="0.25">
      <c r="K30" s="32"/>
      <c r="L30" s="32"/>
    </row>
    <row r="31" spans="1:12" ht="12.75" customHeight="1" x14ac:dyDescent="0.25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4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1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2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3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9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20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1</cp:lastModifiedBy>
  <cp:revision/>
  <dcterms:created xsi:type="dcterms:W3CDTF">2021-01-01T16:39:53Z</dcterms:created>
  <dcterms:modified xsi:type="dcterms:W3CDTF">2024-07-11T11:25:21Z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