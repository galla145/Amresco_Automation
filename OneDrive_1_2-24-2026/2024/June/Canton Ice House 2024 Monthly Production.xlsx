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34" documentId="13_ncr:1_{9B24CD09-7E24-4B8E-A386-4AA8BFFAAC09}" xr6:coauthVersionLast="47" xr6:coauthVersionMax="47" xr10:uidLastSave="{B58AD58D-16A9-4CD8-8471-875EE0D8EAE3}"/>
  <bookViews>
    <workbookView xWindow="-108" yWindow="-108" windowWidth="23256" windowHeight="12456" tabRatio="866" firstSheet="10" activeTab="9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72" l="1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E4" i="30" s="1"/>
  <c r="F4" i="30" s="1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I4" i="33"/>
  <c r="H4" i="33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I4" i="27"/>
  <c r="H4" i="27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D4" i="34" l="1"/>
  <c r="D2" i="34" s="1"/>
  <c r="E4" i="18"/>
  <c r="F4" i="18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<sst xmlns="http://schemas.openxmlformats.org/spreadsheetml/2006/main" count="252" uniqueCount="65">
  <si>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</si>
  <si>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</si>
  <si>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</si>
  <si>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</si>
  <si>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</si>
  <si>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</si>
  <si>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</si>
  <si>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</si>
  <si>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</si>
  <si>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</si>
  <si>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</si>
  <si>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</si>
  <si>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</si>
  <si>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</si>
  <si>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</si>
  <si>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</si>
  <si>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</si>
  <si>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</si>
  <si>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</si>
  <si>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</si>
  <si>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</si>
  <si>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</si>
  <si>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9 was offline since 01/07.</t>
  </si>
  <si>
    <t xml:space="preserve"> 1. SR080386</t>
  </si>
  <si>
    <t>February Actual v. Expected</t>
  </si>
  <si>
    <t>February Actual v. Forecasted</t>
  </si>
  <si>
    <t>1. Inverter 9 is offline throughout the month. 
2. Inverter 3 tripped offline at 11:30 on 02/16 &amp; back online on 02/20 at 09:30</t>
  </si>
  <si>
    <t>1.SR080386
2.SR081057</t>
  </si>
  <si>
    <t>March Actual v. Expected</t>
  </si>
  <si>
    <t>March Actual v. Forecasted</t>
  </si>
  <si>
    <t>1. Site tripped offline on 03/12 at 09:30 &amp; continued throughout the month. 
2. Inverter 9 is offline throughout the month. 
3. Inverters 1, 11, 13 are underproducing around 15kW each compared to its peers since 03/08.</t>
  </si>
  <si>
    <t>1.SR081798
2.SR080386
3. SR081706</t>
  </si>
  <si>
    <t>April Actual v. Expected</t>
  </si>
  <si>
    <t>April Actual v. Forecasted</t>
  </si>
  <si>
    <t>1. Site tripped offline on 03/12 at 09:30 &amp; continued throughout the month.</t>
  </si>
  <si>
    <t>1.SR081798</t>
  </si>
  <si>
    <t>May Actual v. Expected</t>
  </si>
  <si>
    <t>May Actual v. Forecasted</t>
  </si>
  <si>
    <t>1. Site is offline from 03/12 and back online on 05/31.
2. Inverter 8,9,11 and 12 are offline from 05/31.
3. Inverters 1, 13 are underproducing around 15kW each compared to its peers since 03/08.</t>
  </si>
  <si>
    <t>1. SR081798
2. SR085347
3. SR081706</t>
  </si>
  <si>
    <t>June Actual v. Expected</t>
  </si>
  <si>
    <t>June Actual v. Forecasted</t>
  </si>
  <si>
    <t>1. Inverter 8,9,11 and 12 are offline from 05/31 and 8, 12 back online at 12:00PM on 06/06 and inverter 9 and 11 are back online on 06/25 after replacing relay boards. 
2. Inverters 1, 13 are underproducing around 15kW each compared to its peers since 03/08.</t>
  </si>
  <si>
    <t>1. SR085347
2. SR081706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</si>
  <si>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</si>
  <si>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</si>
  <si>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</si>
  <si>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</si>
  <si>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</si>
  <si>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</si>
  <si>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</si>
  <si>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</si>
  <si>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</si>
  <si>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</si>
  <si>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</si>
  <si>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</si>
  <si>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</si>
  <si>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Canton Ice House</t>
  </si>
  <si>
    <t>Site DAS Name</t>
  </si>
  <si>
    <t>Update</t>
  </si>
  <si>
    <t>DAS</t>
  </si>
  <si>
    <t>MA: Canton - Canton Ice House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</si>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</sst>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rgb="FF000000"/>
      </bottom>
      <diagonal/>
    </border>
    <border>
      <left/>
      <right/>
      <top style="thin">
        <color rgb="FF8EA9DB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3" fontId="35" fillId="46" borderId="12" xfId="0" applyNumberFormat="1" applyFont="1" applyFill="1" applyBorder="1" applyAlignment="1">
      <alignment horizontal="right"/>
    </xf>
    <xf numFmtId="0" fontId="35" fillId="46" borderId="13" xfId="0" applyFont="1" applyFill="1" applyBorder="1" applyAlignment="1">
      <alignment horizontal="right"/>
    </xf>
    <xf numFmtId="9" fontId="30" fillId="38" borderId="14" xfId="2" applyFont="1" applyFill="1" applyBorder="1" applyAlignment="1">
      <alignment horizontal="left"/>
    </xf>
    <xf numFmtId="49" fontId="30" fillId="38" borderId="0" xfId="2" applyNumberFormat="1" applyFont="1" applyFill="1" applyBorder="1" applyAlignment="1">
      <alignment horizontal="left" vertical="top" wrapText="1"/>
    </xf>
    <xf numFmtId="164" fontId="28" fillId="44" borderId="0" xfId="1" applyNumberFormat="1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294"/>
  <sheetViews>
    <sheetView workbookViewId="0">
      <pane xSplit="2" ySplit="3" topLeftCell="C4" activePane="bottomRight" state="frozen"/>
      <selection pane="bottomRight" activeCell="B20" sqref="B20"/>
      <selection pane="bottomLeft" activeCell="B20" sqref="B20"/>
      <selection pane="topRight" activeCell="B20" sqref="B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Canton Ice House</v>
      </c>
      <c r="B1" s="46"/>
      <c r="C1" s="46"/>
      <c r="D1" s="47" t="s">
        <v>0</v>
      </c>
      <c r="E1" s="47"/>
      <c r="F1" s="47"/>
      <c r="G1" s="45" t="s">
        <v>1</v>
      </c>
      <c r="H1" s="45"/>
      <c r="I1" s="45"/>
    </row>
    <row r="2" spans="1:9" ht="19.5" customHeight="1">
      <c r="A2" s="48" t="s">
        <v>2</v>
      </c>
      <c r="B2" s="48"/>
      <c r="C2" s="5">
        <f>SUM(C4:C52)</f>
        <v>125991.6280097656</v>
      </c>
      <c r="D2" s="5">
        <f>SUM(D4:D52)</f>
        <v>0</v>
      </c>
      <c r="E2" s="5">
        <f>C2-D2</f>
        <v>125991.6280097656</v>
      </c>
      <c r="F2" s="6">
        <f>IFERROR(E2/D2, 0)</f>
        <v>0</v>
      </c>
      <c r="G2" s="5">
        <f>SUM(G4:G52)</f>
        <v>0</v>
      </c>
      <c r="H2" s="7">
        <f>C2-G2</f>
        <v>125991.6280097656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MA: Canton - Canton Ice House</v>
      </c>
      <c r="B4" s="9" t="str" cm="1">
        <f t="array" ref="B4">Sites[State]</f>
        <v>MA</v>
      </c>
      <c r="C4" s="18">
        <f>SUM('1st Qtr'!C4, '2nd Qtr'!C4, '3rd Qtr'!C4, '4th Qtr'!C4)</f>
        <v>125991.6280097656</v>
      </c>
      <c r="D4" s="11">
        <f>SUM('1st Qtr'!D4, '2nd Qtr'!D4, '3rd Qtr'!D4, '4th Qtr'!D4)</f>
        <v>0</v>
      </c>
      <c r="E4" s="11">
        <f>IF(AND(ISNUMBER(C4),ISNUMBER(D4)), C4-D4, "")</f>
        <v>125991.6280097656</v>
      </c>
      <c r="F4" s="12" t="str">
        <f>IFERROR(E4/D4, "")</f>
        <v/>
      </c>
      <c r="G4" s="13">
        <f>SUM('1st Qtr'!G4, '2nd Qtr'!G4, '3rd Qtr'!G4, '4th Qtr'!G4)</f>
        <v>0</v>
      </c>
      <c r="H4" s="13">
        <f>SUM('1st Qtr'!H4, '2nd Qtr'!H4, '3rd Qtr'!H4, '4th Qtr'!H4)</f>
        <v>125991.6280097656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52 I4:I52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294"/>
  <sheetViews>
    <sheetView workbookViewId="0">
      <pane xSplit="2" ySplit="3" topLeftCell="C4" activePane="bottomRight" state="frozen"/>
      <selection pane="bottomRight" activeCell="B20" sqref="B20"/>
      <selection pane="bottomLeft" activeCell="B20" sqref="B20"/>
      <selection pane="topRight" activeCell="B20" sqref="B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Canton Ice House</v>
      </c>
      <c r="B1" s="46"/>
      <c r="C1" s="46"/>
      <c r="D1" s="47" t="s">
        <v>10</v>
      </c>
      <c r="E1" s="47"/>
      <c r="F1" s="47"/>
      <c r="G1" s="45" t="s">
        <v>11</v>
      </c>
      <c r="H1" s="45"/>
      <c r="I1" s="45"/>
    </row>
    <row r="2" spans="1:9" ht="19.5" customHeight="1">
      <c r="A2" s="48" t="s">
        <v>2</v>
      </c>
      <c r="B2" s="48"/>
      <c r="C2" s="5">
        <f>SUM(C4:C52)</f>
        <v>53753.287009765598</v>
      </c>
      <c r="D2" s="5">
        <f>SUM(D4:D52)</f>
        <v>0</v>
      </c>
      <c r="E2" s="5">
        <f>C2-D2</f>
        <v>53753.287009765598</v>
      </c>
      <c r="F2" s="6">
        <f>IFERROR(E2/D2, 0)</f>
        <v>0</v>
      </c>
      <c r="G2" s="5">
        <f>SUM(G4:G52)</f>
        <v>0</v>
      </c>
      <c r="H2" s="7">
        <f>C2-G2</f>
        <v>53753.287009765598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Canton - Canton Ice House</v>
      </c>
      <c r="B4" s="9" t="str" cm="1">
        <f t="array" ref="B4">Sites[State]</f>
        <v>MA</v>
      </c>
      <c r="C4" s="18">
        <f>SUM(Jan!C4, Feb!C4, Mar!C4)</f>
        <v>53753.287009765598</v>
      </c>
      <c r="D4" s="11">
        <f>SUM(Jan!D4, Feb!D4, Mar!D4)</f>
        <v>0</v>
      </c>
      <c r="E4" s="11">
        <f>IF(AND(ISNUMBER(C4),ISNUMBER(D4)), C4-D4, "")</f>
        <v>53753.287009765598</v>
      </c>
      <c r="F4" s="12" t="str">
        <f>IFERROR(E4/D4, "")</f>
        <v/>
      </c>
      <c r="G4" s="13">
        <f>SUM(Jan!G4, Feb!G4, Mar!G4)</f>
        <v>0</v>
      </c>
      <c r="H4" s="13">
        <f>SUM(Jan!H4, Feb!H4, Mar!H4)</f>
        <v>53753.287009765598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52 I4:I52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294"/>
  <sheetViews>
    <sheetView workbookViewId="0">
      <pane xSplit="2" ySplit="3" topLeftCell="C4" activePane="bottomRight" state="frozen"/>
      <selection pane="bottomRight" activeCell="B20" sqref="B20"/>
      <selection pane="bottomLeft" activeCell="B20" sqref="B20"/>
      <selection pane="topRight" activeCell="B20" sqref="B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Canton Ice House</v>
      </c>
      <c r="B1" s="46"/>
      <c r="C1" s="46"/>
      <c r="D1" s="47" t="s">
        <v>12</v>
      </c>
      <c r="E1" s="47"/>
      <c r="F1" s="47"/>
      <c r="G1" s="45" t="s">
        <v>13</v>
      </c>
      <c r="H1" s="45"/>
      <c r="I1" s="45"/>
    </row>
    <row r="2" spans="1:9" ht="19.5" customHeight="1">
      <c r="A2" s="48" t="s">
        <v>2</v>
      </c>
      <c r="B2" s="48"/>
      <c r="C2" s="5">
        <f>SUM(C4:C52)</f>
        <v>72238.341</v>
      </c>
      <c r="D2" s="5">
        <f>SUM(D4:D52)</f>
        <v>0</v>
      </c>
      <c r="E2" s="5">
        <f>C2-D2</f>
        <v>72238.341</v>
      </c>
      <c r="F2" s="6">
        <f>IFERROR(E2/D2, 0)</f>
        <v>0</v>
      </c>
      <c r="G2" s="5">
        <f>SUM(G4:G52)</f>
        <v>0</v>
      </c>
      <c r="H2" s="7">
        <f>C2-G2</f>
        <v>72238.341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Canton - Canton Ice House</v>
      </c>
      <c r="B4" s="9" t="str" cm="1">
        <f t="array" ref="B4">Sites[State]</f>
        <v>MA</v>
      </c>
      <c r="C4" s="18">
        <f>SUM(Apr!C4, May!C4, Jun!C4)</f>
        <v>72238.341</v>
      </c>
      <c r="D4" s="11">
        <f>SUM(Apr!D4, May!D4, Jun!D4)</f>
        <v>0</v>
      </c>
      <c r="E4" s="11">
        <f>IF(AND(ISNUMBER(C4),ISNUMBER(D4)), C4-D4, "")</f>
        <v>72238.341</v>
      </c>
      <c r="F4" s="12" t="str">
        <f>IFERROR(E4/D4, "")</f>
        <v/>
      </c>
      <c r="G4" s="13"/>
      <c r="H4" s="13">
        <f>SUM(Apr!H4, May!H4, Jun!H4)</f>
        <v>72238.341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52 I4:I52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294"/>
  <sheetViews>
    <sheetView workbookViewId="0">
      <pane xSplit="2" ySplit="3" topLeftCell="C4" activePane="bottomRight" state="frozen"/>
      <selection pane="bottomRight" activeCell="B20" sqref="B20"/>
      <selection pane="bottomLeft" activeCell="B20" sqref="B20"/>
      <selection pane="topRight" activeCell="B20" sqref="B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Canton Ice House</v>
      </c>
      <c r="B1" s="46"/>
      <c r="C1" s="46"/>
      <c r="D1" s="47" t="s">
        <v>14</v>
      </c>
      <c r="E1" s="47"/>
      <c r="F1" s="47"/>
      <c r="G1" s="45" t="s">
        <v>15</v>
      </c>
      <c r="H1" s="45"/>
      <c r="I1" s="45"/>
    </row>
    <row r="2" spans="1:9" ht="19.5" customHeight="1">
      <c r="A2" s="48" t="s">
        <v>2</v>
      </c>
      <c r="B2" s="48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Canton - Canton Ice House</v>
      </c>
      <c r="B4" s="9" t="str" cm="1">
        <f t="array" ref="B4">Sites[State]</f>
        <v>MA</v>
      </c>
      <c r="C4" s="18">
        <f>SUM(Jul!C4, Aug!C4, Sep!C4)</f>
        <v>0</v>
      </c>
      <c r="D4" s="11">
        <f>SUM(Jul!D4, Aug!D4, Sep!D4)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SUM(Jul!H4, Aug!H4, Sep!H4)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</sheetData>
  <mergeCells count="4">
    <mergeCell ref="G1:I1"/>
    <mergeCell ref="A1:C1"/>
    <mergeCell ref="D1:F1"/>
    <mergeCell ref="A2:B2"/>
  </mergeCells>
  <conditionalFormatting sqref="F2 I2 F4:F52 I4:I52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294"/>
  <sheetViews>
    <sheetView workbookViewId="0">
      <pane xSplit="2" ySplit="3" topLeftCell="C4" activePane="bottomRight" state="frozen"/>
      <selection pane="bottomRight" activeCell="B20" sqref="B20"/>
      <selection pane="bottomLeft" activeCell="B20" sqref="B20"/>
      <selection pane="topRight" activeCell="B20" sqref="B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Canton Ice House</v>
      </c>
      <c r="B1" s="46"/>
      <c r="C1" s="46"/>
      <c r="D1" s="47" t="s">
        <v>16</v>
      </c>
      <c r="E1" s="47"/>
      <c r="F1" s="47"/>
      <c r="G1" s="45" t="s">
        <v>17</v>
      </c>
      <c r="H1" s="45"/>
      <c r="I1" s="45"/>
    </row>
    <row r="2" spans="1:9" ht="19.5" customHeight="1">
      <c r="A2" s="48" t="s">
        <v>2</v>
      </c>
      <c r="B2" s="48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Canton - Canton Ice House</v>
      </c>
      <c r="B4" s="9" t="str" cm="1">
        <f t="array" ref="B4">Sites[State]</f>
        <v>MA</v>
      </c>
      <c r="C4" s="18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SUM(Oct!H4, Nov!H4, Dec!H4)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</sheetData>
  <mergeCells count="4">
    <mergeCell ref="G1:I1"/>
    <mergeCell ref="A1:C1"/>
    <mergeCell ref="D1:F1"/>
    <mergeCell ref="A2:B2"/>
  </mergeCells>
  <conditionalFormatting sqref="F2 I2 F4:F52 I4:I52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293"/>
  <sheetViews>
    <sheetView workbookViewId="0">
      <pane xSplit="2" ySplit="3" topLeftCell="C4" activePane="bottomRight" state="frozen"/>
      <selection pane="bottomRight" activeCell="J8" sqref="J8"/>
      <selection pane="bottomLeft" activeCell="B20" sqref="B20"/>
      <selection pane="topRight" activeCell="B20" sqref="B2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Canton Ice House</v>
      </c>
      <c r="B1" s="46"/>
      <c r="C1" s="46"/>
      <c r="D1" s="47" t="s">
        <v>18</v>
      </c>
      <c r="E1" s="47"/>
      <c r="F1" s="47"/>
      <c r="G1" s="45" t="s">
        <v>19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SUM(C4:C51)</f>
        <v>10619.7600097656</v>
      </c>
      <c r="D2" s="5">
        <f>SUM(D4:D51)</f>
        <v>0</v>
      </c>
      <c r="E2" s="5">
        <f>C2-D2</f>
        <v>10619.7600097656</v>
      </c>
      <c r="F2" s="6">
        <f>IFERROR(E2/D2, 0)</f>
        <v>0</v>
      </c>
      <c r="G2" s="5">
        <f>SUM(G4:G51)</f>
        <v>0</v>
      </c>
      <c r="H2" s="7">
        <f>C2-G2</f>
        <v>10619.7600097656</v>
      </c>
      <c r="I2" s="6">
        <f>IFERROR(H2/G2, 0)</f>
        <v>0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1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9" t="str" cm="1">
        <f t="array" ref="A4">Sites[Site]</f>
        <v>MA: Canton - Canton Ice House</v>
      </c>
      <c r="B4" s="22" t="str" cm="1">
        <f t="array" ref="B4">Sites[State]</f>
        <v>MA</v>
      </c>
      <c r="C4" s="40">
        <v>10619.7600097656</v>
      </c>
      <c r="D4" s="41">
        <v>0</v>
      </c>
      <c r="E4" s="11">
        <f>IF(AND(ISNUMBER(C4),ISNUMBER(D4)), C4-D4, "")</f>
        <v>10619.7600097656</v>
      </c>
      <c r="F4" s="34" t="str">
        <f>IFERROR(E4/D4, "")</f>
        <v/>
      </c>
      <c r="G4" s="13">
        <v>0</v>
      </c>
      <c r="H4" s="13">
        <f>IF(AND(ISNUMBER(C4),ISNUMBER(G4)), C4-G4, "")</f>
        <v>10619.7600097656</v>
      </c>
      <c r="I4" s="14" t="str">
        <f>IFERROR(H4/G4, "")</f>
        <v/>
      </c>
      <c r="J4" s="42" t="s">
        <v>22</v>
      </c>
      <c r="K4" s="42" t="s">
        <v>23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</sheetData>
  <mergeCells count="4">
    <mergeCell ref="D1:F1"/>
    <mergeCell ref="A1:C1"/>
    <mergeCell ref="G1:I1"/>
    <mergeCell ref="A2:B2"/>
  </mergeCells>
  <conditionalFormatting sqref="F2 I2 I4:I51 F5:F51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294"/>
  <sheetViews>
    <sheetView workbookViewId="0">
      <pane xSplit="2" ySplit="3" topLeftCell="C4" activePane="bottomRight" state="frozen"/>
      <selection pane="bottomRight" activeCell="K4" sqref="K4"/>
      <selection pane="bottomLeft" activeCell="B20" sqref="B20"/>
      <selection pane="topRight" activeCell="B20" sqref="B2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Canton Ice House</v>
      </c>
      <c r="B1" s="46"/>
      <c r="C1" s="46"/>
      <c r="D1" s="47" t="s">
        <v>24</v>
      </c>
      <c r="E1" s="47"/>
      <c r="F1" s="47"/>
      <c r="G1" s="45" t="s">
        <v>25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SUM(C4:C52)</f>
        <v>30895</v>
      </c>
      <c r="D2" s="5">
        <f>SUM(D4:D52)</f>
        <v>0</v>
      </c>
      <c r="E2" s="5">
        <f>C2-D2</f>
        <v>30895</v>
      </c>
      <c r="F2" s="6">
        <f>IFERROR(E2/D2, 0)</f>
        <v>0</v>
      </c>
      <c r="G2" s="5">
        <f>SUM(G4:G52)</f>
        <v>0</v>
      </c>
      <c r="H2" s="7">
        <f>C2-G2</f>
        <v>30895</v>
      </c>
      <c r="I2" s="6">
        <f>IFERROR(H2/G2, 0)</f>
        <v>0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28.9">
      <c r="A4" s="39" t="str" cm="1">
        <f t="array" ref="A4">Sites[Site]</f>
        <v>MA: Canton - Canton Ice House</v>
      </c>
      <c r="B4" s="22" t="str" cm="1">
        <f t="array" ref="B4">Sites[State]</f>
        <v>MA</v>
      </c>
      <c r="C4" s="18">
        <v>30895</v>
      </c>
      <c r="D4" s="11">
        <v>0</v>
      </c>
      <c r="E4" s="11">
        <f>IF(AND(ISNUMBER(C4),ISNUMBER(D4)), C4-D4, "")</f>
        <v>30895</v>
      </c>
      <c r="F4" s="12" t="str">
        <f>IFERROR(E4/D4, "")</f>
        <v/>
      </c>
      <c r="G4" s="13">
        <v>0</v>
      </c>
      <c r="H4" s="13">
        <f>IF(AND(ISNUMBER(C4),ISNUMBER(G4)), C4-G4, "")</f>
        <v>30895</v>
      </c>
      <c r="I4" s="14" t="str">
        <f>IFERROR(H4/G4, "")</f>
        <v/>
      </c>
      <c r="J4" s="43" t="s">
        <v>26</v>
      </c>
      <c r="K4" s="43" t="s">
        <v>27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294"/>
  <sheetViews>
    <sheetView workbookViewId="0">
      <pane xSplit="2" ySplit="3" topLeftCell="C4" activePane="bottomRight" state="frozen"/>
      <selection pane="bottomRight" activeCell="K4" sqref="K4"/>
      <selection pane="bottomLeft" activeCell="B20" sqref="B20"/>
      <selection pane="topRight" activeCell="B20" sqref="B2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Canton Ice House</v>
      </c>
      <c r="B1" s="46"/>
      <c r="C1" s="46"/>
      <c r="D1" s="47" t="s">
        <v>28</v>
      </c>
      <c r="E1" s="47"/>
      <c r="F1" s="47"/>
      <c r="G1" s="45" t="s">
        <v>29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SUM(C4:C52)</f>
        <v>12238.527</v>
      </c>
      <c r="D2" s="5">
        <f>SUM(D4:D52)</f>
        <v>0</v>
      </c>
      <c r="E2" s="5">
        <f>C2-D2</f>
        <v>12238.527</v>
      </c>
      <c r="F2" s="6">
        <f>IFERROR(E2/D2, 0)</f>
        <v>0</v>
      </c>
      <c r="G2" s="5">
        <f>SUM(G4:G52)</f>
        <v>0</v>
      </c>
      <c r="H2" s="7">
        <f>C2-G2</f>
        <v>12238.527</v>
      </c>
      <c r="I2" s="6">
        <f>IFERROR(H2/G2, 0)</f>
        <v>0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60.75">
      <c r="A4" s="23" t="str" cm="1">
        <f t="array" ref="A4">Sites[Site]</f>
        <v>MA: Canton - Canton Ice House</v>
      </c>
      <c r="B4" s="22" t="str" cm="1">
        <f t="array" ref="B4">Sites[State]</f>
        <v>MA</v>
      </c>
      <c r="C4" s="44">
        <v>12238.527</v>
      </c>
      <c r="D4" s="11">
        <v>0</v>
      </c>
      <c r="E4" s="11">
        <f>IF(AND(ISNUMBER(C4),ISNUMBER(D4)), C4-D4, "")</f>
        <v>12238.527</v>
      </c>
      <c r="F4" s="12" t="str">
        <f>IFERROR(E4/D4, "")</f>
        <v/>
      </c>
      <c r="G4" s="13">
        <v>0</v>
      </c>
      <c r="H4" s="13">
        <f>IF(AND(ISNUMBER(C4),ISNUMBER(G4)), C4-G4, "")</f>
        <v>12238.527</v>
      </c>
      <c r="I4" s="14" t="str">
        <f>IFERROR(H4/G4, "")</f>
        <v/>
      </c>
      <c r="J4" s="32" t="s">
        <v>30</v>
      </c>
      <c r="K4" s="32" t="s">
        <v>31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294"/>
  <sheetViews>
    <sheetView workbookViewId="0">
      <pane xSplit="2" ySplit="3" topLeftCell="C4" activePane="bottomRight" state="frozen"/>
      <selection pane="bottomRight" activeCell="J11" sqref="J11"/>
      <selection pane="bottomLeft" activeCell="B20" sqref="B20"/>
      <selection pane="topRight" activeCell="B20" sqref="B2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Canton Ice House</v>
      </c>
      <c r="B1" s="46"/>
      <c r="C1" s="46"/>
      <c r="D1" s="47" t="s">
        <v>32</v>
      </c>
      <c r="E1" s="47"/>
      <c r="F1" s="47"/>
      <c r="G1" s="45" t="s">
        <v>33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37.5" customHeight="1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>
        <v>0</v>
      </c>
      <c r="D4" s="11">
        <v>0</v>
      </c>
      <c r="E4" s="11">
        <f>IF(AND(ISNUMBER(C4),ISNUMBER(D4)), C4-D4, "")</f>
        <v>0</v>
      </c>
      <c r="F4" s="12" t="str">
        <f>IFERROR(E4/D4, "")</f>
        <v/>
      </c>
      <c r="G4" s="13">
        <v>0</v>
      </c>
      <c r="H4" s="13">
        <f>IF(AND(ISNUMBER(C4),ISNUMBER(G4)), C4-G4, "")</f>
        <v>0</v>
      </c>
      <c r="I4" s="14" t="str">
        <f>IFERROR(H4/G4, "")</f>
        <v/>
      </c>
      <c r="J4" s="32" t="s">
        <v>34</v>
      </c>
      <c r="K4" s="32" t="s">
        <v>35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294"/>
  <sheetViews>
    <sheetView tabSelected="1" workbookViewId="0">
      <pane xSplit="2" ySplit="3" topLeftCell="C4" activePane="bottomRight" state="frozen"/>
      <selection pane="bottomRight" activeCell="A4" sqref="A4"/>
      <selection pane="bottomLeft" activeCell="B20" sqref="B20"/>
      <selection pane="topRight" activeCell="B20" sqref="B2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Canton Ice House</v>
      </c>
      <c r="B1" s="46"/>
      <c r="C1" s="46"/>
      <c r="D1" s="47" t="s">
        <v>36</v>
      </c>
      <c r="E1" s="47"/>
      <c r="F1" s="47"/>
      <c r="G1" s="45" t="s">
        <v>37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SUM(C4:C52)</f>
        <v>2063.1970000000001</v>
      </c>
      <c r="D2" s="5">
        <f>SUM(D4:D52)</f>
        <v>0</v>
      </c>
      <c r="E2" s="5">
        <f>C2-D2</f>
        <v>2063.1970000000001</v>
      </c>
      <c r="F2" s="6">
        <f>IFERROR(E2/D2, 0)</f>
        <v>0</v>
      </c>
      <c r="G2" s="5">
        <f>SUM(G4:G52)</f>
        <v>0</v>
      </c>
      <c r="H2" s="7">
        <f>C2-G2</f>
        <v>2063.1970000000001</v>
      </c>
      <c r="I2" s="6">
        <f>IFERROR(H2/G2, 0)</f>
        <v>0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53.25" customHeight="1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>
        <v>2063.1970000000001</v>
      </c>
      <c r="D4" s="11">
        <v>0</v>
      </c>
      <c r="E4" s="11">
        <f>IF(AND(ISNUMBER(C4),ISNUMBER(D4)), C4-D4, "")</f>
        <v>2063.1970000000001</v>
      </c>
      <c r="F4" s="12" t="str">
        <f>IFERROR(E4/D4, "")</f>
        <v/>
      </c>
      <c r="G4" s="13">
        <v>0</v>
      </c>
      <c r="H4" s="13">
        <f>IF(AND(ISNUMBER(C4),ISNUMBER(G4)), C4-G4, "")</f>
        <v>2063.1970000000001</v>
      </c>
      <c r="I4" s="14" t="str">
        <f>IFERROR(H4/G4, "")</f>
        <v/>
      </c>
      <c r="J4" s="32" t="s">
        <v>38</v>
      </c>
      <c r="K4" s="32" t="s">
        <v>39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294"/>
  <sheetViews>
    <sheetView workbookViewId="0">
      <pane xSplit="2" ySplit="3" topLeftCell="C4" activePane="bottomRight" state="frozen"/>
      <selection pane="bottomRight" activeCell="K4" sqref="K4"/>
      <selection pane="bottomLeft" activeCell="B20" sqref="B20"/>
      <selection pane="topRight" activeCell="B20" sqref="B2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Canton Ice House</v>
      </c>
      <c r="B1" s="46"/>
      <c r="C1" s="46"/>
      <c r="D1" s="47" t="s">
        <v>40</v>
      </c>
      <c r="E1" s="47"/>
      <c r="F1" s="47"/>
      <c r="G1" s="45" t="s">
        <v>41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SUM(C4:C52)</f>
        <v>70175.144</v>
      </c>
      <c r="D2" s="5">
        <f>SUM(D4:D52)</f>
        <v>0</v>
      </c>
      <c r="E2" s="5">
        <f>C2-D2</f>
        <v>70175.144</v>
      </c>
      <c r="F2" s="6">
        <f>IFERROR(E2/D2, 0)</f>
        <v>0</v>
      </c>
      <c r="G2" s="5">
        <f>SUM(G4:G52)</f>
        <v>0</v>
      </c>
      <c r="H2" s="7">
        <f>C2-G2</f>
        <v>70175.144</v>
      </c>
      <c r="I2" s="6">
        <f>IFERROR(H2/G2, 0)</f>
        <v>0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76.5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>
        <v>70175.144</v>
      </c>
      <c r="D4" s="11">
        <v>0</v>
      </c>
      <c r="E4" s="11">
        <f>IF(AND(ISNUMBER(C4),ISNUMBER(D4)), C4-D4, "")</f>
        <v>70175.144</v>
      </c>
      <c r="F4" s="12" t="str">
        <f>IFERROR(E4/D4, "")</f>
        <v/>
      </c>
      <c r="G4" s="13">
        <v>0</v>
      </c>
      <c r="H4" s="13">
        <f>IF(AND(ISNUMBER(C4),ISNUMBER(G4)), C4-G4, "")</f>
        <v>70175.144</v>
      </c>
      <c r="I4" s="14" t="str">
        <f>IFERROR(H4/G4, "")</f>
        <v/>
      </c>
      <c r="J4" s="32" t="s">
        <v>42</v>
      </c>
      <c r="K4" s="32" t="s">
        <v>43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294"/>
  <sheetViews>
    <sheetView workbookViewId="0">
      <pane xSplit="2" ySplit="3" topLeftCell="C20" activePane="bottomRight" state="frozen"/>
      <selection pane="bottomRight" activeCell="B20" sqref="B20"/>
      <selection pane="bottomLeft" activeCell="B20" sqref="B20"/>
      <selection pane="topRight" activeCell="B20" sqref="B2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Canton Ice House</v>
      </c>
      <c r="B1" s="46"/>
      <c r="C1" s="46"/>
      <c r="D1" s="47" t="s">
        <v>44</v>
      </c>
      <c r="E1" s="47"/>
      <c r="F1" s="47"/>
      <c r="G1" s="45" t="s">
        <v>45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52 I4:I5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94"/>
  <sheetViews>
    <sheetView workbookViewId="0">
      <pane xSplit="2" ySplit="3" topLeftCell="C4" activePane="bottomRight" state="frozen"/>
      <selection pane="bottomRight" activeCell="B20" sqref="B20"/>
      <selection pane="bottomLeft" activeCell="B20" sqref="B20"/>
      <selection pane="topRight" activeCell="B20" sqref="B2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Canton Ice House</v>
      </c>
      <c r="B1" s="46"/>
      <c r="C1" s="46"/>
      <c r="D1" s="47" t="s">
        <v>46</v>
      </c>
      <c r="E1" s="47"/>
      <c r="F1" s="47"/>
      <c r="G1" s="45" t="s">
        <v>47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294"/>
  <sheetViews>
    <sheetView workbookViewId="0">
      <pane xSplit="2" ySplit="3" topLeftCell="C4" activePane="bottomRight" state="frozen"/>
      <selection pane="bottomRight" activeCell="B20" sqref="B20"/>
      <selection pane="bottomLeft" activeCell="B20" sqref="B20"/>
      <selection pane="topRight" activeCell="B20" sqref="B2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Canton Ice House</v>
      </c>
      <c r="B1" s="46"/>
      <c r="C1" s="46"/>
      <c r="D1" s="47" t="s">
        <v>48</v>
      </c>
      <c r="E1" s="47"/>
      <c r="F1" s="47"/>
      <c r="G1" s="45" t="s">
        <v>49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294"/>
  <sheetViews>
    <sheetView workbookViewId="0">
      <pane xSplit="2" ySplit="3" topLeftCell="C4" activePane="bottomRight" state="frozen"/>
      <selection pane="bottomRight" activeCell="B20" sqref="B20"/>
      <selection pane="bottomLeft" activeCell="B20" sqref="B20"/>
      <selection pane="topRight" activeCell="B20" sqref="B2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Canton Ice House</v>
      </c>
      <c r="B1" s="46"/>
      <c r="C1" s="46"/>
      <c r="D1" s="47" t="s">
        <v>50</v>
      </c>
      <c r="E1" s="47"/>
      <c r="F1" s="47"/>
      <c r="G1" s="45" t="s">
        <v>51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294"/>
  <sheetViews>
    <sheetView workbookViewId="0">
      <pane xSplit="2" ySplit="3" topLeftCell="C4" activePane="bottomRight" state="frozen"/>
      <selection pane="bottomRight" activeCell="B20" sqref="B20"/>
      <selection pane="bottomLeft" activeCell="B20" sqref="B20"/>
      <selection pane="topRight" activeCell="B20" sqref="B2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Canton Ice House</v>
      </c>
      <c r="B1" s="46"/>
      <c r="C1" s="46"/>
      <c r="D1" s="47" t="s">
        <v>52</v>
      </c>
      <c r="E1" s="47"/>
      <c r="F1" s="47"/>
      <c r="G1" s="45" t="s">
        <v>53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294"/>
  <sheetViews>
    <sheetView workbookViewId="0">
      <pane xSplit="2" ySplit="3" topLeftCell="C4" activePane="bottomRight" state="frozen"/>
      <selection pane="bottomRight" activeCell="B20" sqref="B20"/>
      <selection pane="bottomLeft" activeCell="B20" sqref="B20"/>
      <selection pane="topRight" activeCell="B20" sqref="B2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Canton Ice House</v>
      </c>
      <c r="B1" s="46"/>
      <c r="C1" s="46"/>
      <c r="D1" s="47" t="s">
        <v>54</v>
      </c>
      <c r="E1" s="47"/>
      <c r="F1" s="47"/>
      <c r="G1" s="45" t="s">
        <v>55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11" sqref="E11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56</v>
      </c>
      <c r="B1" t="s">
        <v>57</v>
      </c>
    </row>
    <row r="3" spans="1:12" ht="13.15">
      <c r="A3" t="s">
        <v>58</v>
      </c>
      <c r="B3" t="s">
        <v>3</v>
      </c>
      <c r="C3" t="s">
        <v>4</v>
      </c>
      <c r="D3" t="s">
        <v>59</v>
      </c>
      <c r="E3" s="2" t="s">
        <v>60</v>
      </c>
    </row>
    <row r="4" spans="1:12" ht="14.45">
      <c r="A4" s="38" t="s">
        <v>57</v>
      </c>
      <c r="B4" t="s">
        <v>61</v>
      </c>
      <c r="C4" s="36" t="s">
        <v>62</v>
      </c>
      <c r="D4" s="35" t="s">
        <v>63</v>
      </c>
      <c r="E4" t="s">
        <v>64</v>
      </c>
      <c r="G4" s="3"/>
    </row>
    <row r="5" spans="1:12" ht="14.45">
      <c r="A5" s="38"/>
      <c r="C5" s="36"/>
      <c r="D5" s="35"/>
      <c r="G5" s="3"/>
    </row>
    <row r="6" spans="1:12" ht="14.45">
      <c r="A6" s="38"/>
      <c r="C6" s="36"/>
      <c r="D6" s="35"/>
      <c r="G6" s="3"/>
    </row>
    <row r="7" spans="1:12" ht="12.75" customHeight="1">
      <c r="A7" s="38"/>
      <c r="C7" s="36"/>
      <c r="D7" s="35"/>
    </row>
    <row r="8" spans="1:12" ht="12.75" customHeight="1">
      <c r="A8" s="38"/>
      <c r="C8" s="36"/>
      <c r="D8" s="35"/>
    </row>
    <row r="9" spans="1:12" ht="12.75" customHeight="1">
      <c r="A9" s="38"/>
      <c r="C9" s="36"/>
      <c r="D9" s="35"/>
    </row>
    <row r="10" spans="1:12" ht="12.75" customHeight="1">
      <c r="A10" s="38"/>
      <c r="C10" s="36"/>
      <c r="D10" s="35"/>
      <c r="K10" s="33"/>
      <c r="L10" s="33"/>
    </row>
    <row r="11" spans="1:12" ht="12.75" customHeight="1">
      <c r="A11" s="38"/>
      <c r="C11" s="36"/>
      <c r="D11" s="35"/>
      <c r="K11" s="33"/>
      <c r="L11" s="33"/>
    </row>
    <row r="12" spans="1:12" ht="12.75" customHeight="1">
      <c r="A12" s="38"/>
      <c r="C12" s="36"/>
      <c r="D12" s="35"/>
      <c r="K12" s="33"/>
      <c r="L12" s="33"/>
    </row>
    <row r="13" spans="1:12" ht="12.75" customHeight="1">
      <c r="A13" s="38"/>
      <c r="C13" s="36"/>
      <c r="D13" s="35"/>
      <c r="K13" s="33"/>
      <c r="L13" s="33"/>
    </row>
    <row r="14" spans="1:12" ht="12.75" customHeight="1">
      <c r="A14" s="38"/>
      <c r="C14" s="36"/>
      <c r="D14" s="35"/>
      <c r="K14" s="33"/>
      <c r="L14" s="33"/>
    </row>
    <row r="15" spans="1:12" ht="12.75" customHeight="1">
      <c r="A15" s="38"/>
      <c r="C15" s="36"/>
      <c r="D15" s="35"/>
      <c r="K15" s="33"/>
      <c r="L15" s="33"/>
    </row>
    <row r="16" spans="1:12" ht="12.75" customHeight="1">
      <c r="A16" s="38"/>
      <c r="C16" s="36"/>
      <c r="D16" s="35"/>
      <c r="K16" s="33"/>
      <c r="L16" s="33"/>
    </row>
    <row r="17" spans="1:12" ht="12.75" customHeight="1">
      <c r="A17" s="38"/>
      <c r="C17" s="36"/>
      <c r="D17" s="35"/>
      <c r="K17" s="33"/>
      <c r="L17" s="33"/>
    </row>
    <row r="18" spans="1:12" ht="12.75" customHeight="1">
      <c r="A18" s="38"/>
      <c r="C18" s="36"/>
      <c r="D18" s="35"/>
      <c r="K18" s="33"/>
      <c r="L18" s="33"/>
    </row>
    <row r="19" spans="1:12" ht="12.75" customHeight="1">
      <c r="A19" s="38"/>
      <c r="C19" s="36"/>
      <c r="D19" s="35"/>
      <c r="K19" s="33"/>
      <c r="L19" s="33"/>
    </row>
    <row r="20" spans="1:12" ht="12.75" customHeight="1">
      <c r="A20" s="38"/>
      <c r="C20" s="36"/>
      <c r="D20" s="35"/>
      <c r="K20" s="33"/>
      <c r="L20" s="33"/>
    </row>
    <row r="21" spans="1:12" ht="12.75" customHeight="1">
      <c r="A21" s="38"/>
      <c r="C21" s="36"/>
      <c r="D21" s="35"/>
      <c r="K21" s="33"/>
      <c r="L21" s="33"/>
    </row>
    <row r="22" spans="1:12" ht="12.75" customHeight="1">
      <c r="A22" s="38"/>
      <c r="C22" s="36"/>
      <c r="D22" s="35"/>
      <c r="K22" s="33"/>
      <c r="L22" s="33"/>
    </row>
    <row r="23" spans="1:12" ht="12.75" customHeight="1">
      <c r="A23" s="38"/>
      <c r="C23" s="36"/>
      <c r="D23" s="35"/>
      <c r="K23" s="33"/>
      <c r="L23" s="33"/>
    </row>
    <row r="24" spans="1:12" ht="12.75" customHeight="1">
      <c r="A24" s="38"/>
      <c r="C24" s="36"/>
      <c r="D24" s="35"/>
      <c r="K24" s="33"/>
      <c r="L24" s="33"/>
    </row>
    <row r="25" spans="1:12" ht="12.75" customHeight="1">
      <c r="A25" s="38"/>
      <c r="C25" s="36"/>
      <c r="D25" s="35"/>
      <c r="K25" s="33"/>
      <c r="L25" s="33"/>
    </row>
    <row r="26" spans="1:12" ht="12.75" customHeight="1">
      <c r="K26" s="33"/>
      <c r="L26" s="33"/>
    </row>
    <row r="27" spans="1:12" ht="12.75" customHeight="1">
      <c r="K27" s="33"/>
      <c r="L27" s="33"/>
    </row>
    <row r="28" spans="1:12" ht="12.75" customHeight="1">
      <c r="K28" s="33"/>
      <c r="L28" s="33"/>
    </row>
    <row r="29" spans="1:12" ht="12.75" customHeight="1">
      <c r="K29" s="33"/>
      <c r="L29" s="33"/>
    </row>
    <row r="30" spans="1:12" ht="12.75" customHeight="1">
      <c r="K30" s="33"/>
      <c r="L30" s="33"/>
    </row>
    <row r="31" spans="1:12" ht="12.75" customHeight="1">
      <c r="K31" s="33"/>
      <c r="L31" s="3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954BBA4-0359-438C-B0EC-A756015F7C02}"/>
</file>

<file path=customXml/itemProps2.xml><?xml version="1.0" encoding="utf-8"?>
<ds:datastoreItem xmlns:ds="http://schemas.openxmlformats.org/officeDocument/2006/customXml" ds:itemID="{7946C510-7D04-49D8-9B25-EEC04582A1CA}"/>
</file>

<file path=customXml/itemProps3.xml><?xml version="1.0" encoding="utf-8"?>
<ds:datastoreItem xmlns:ds="http://schemas.openxmlformats.org/officeDocument/2006/customXml" ds:itemID="{2BC74AAC-D69B-4AF1-9649-B21EF3C1C463}"/>
</file>

<file path=customXml/itemProps4.xml><?xml version="1.0" encoding="utf-8"?>
<ds:datastoreItem xmlns:ds="http://schemas.openxmlformats.org/officeDocument/2006/customXml" ds:itemID="{89CF5C07-45EB-4100-9AFB-2C6AF77FA787}"/>
</file>

<file path=customXml/itemProps5.xml><?xml version="1.0" encoding="utf-8"?>
<ds:datastoreItem xmlns:ds="http://schemas.openxmlformats.org/officeDocument/2006/customXml" ds:itemID="{C0BCDC1E-6052-4E48-9BAF-94A40814E7C2}"/>
</file>

<file path=customXml/itemProps6.xml><?xml version="1.0" encoding="utf-8"?>
<ds:datastoreItem xmlns:ds="http://schemas.openxmlformats.org/officeDocument/2006/customXml" ds:itemID="{0389C43E-394D-44C0-87DC-4780FCFCFB40}"/>
</file>

<file path=customXml/itemProps7.xml><?xml version="1.0" encoding="utf-8"?>
<ds:datastoreItem xmlns:ds="http://schemas.openxmlformats.org/officeDocument/2006/customXml" ds:itemID="{14966E4F-347B-477B-B74C-9DAC05405806}"/>
</file>

<file path=customXml/itemProps8.xml><?xml version="1.0" encoding="utf-8"?>
<ds:datastoreItem xmlns:ds="http://schemas.openxmlformats.org/officeDocument/2006/customXml" ds:itemID="{3AEAA9D8-2182-46BA-A58E-96C72DDA1C54}"/>
</file>

<file path=customXml/itemProps9.xml><?xml version="1.0" encoding="utf-8"?>
<ds:datastoreItem xmlns:ds="http://schemas.openxmlformats.org/officeDocument/2006/customXml" ds:itemID="{CB52044A-5C0B-44A2-99D0-C1C315EC302D}"/>
</file>

<file path=customXml/itemProps10.xml><?xml version="1.0" encoding="utf-8"?>
<ds:datastoreItem xmlns:ds="http://schemas.openxmlformats.org/officeDocument/2006/customXml" ds:itemID="{E20E8303-6A67-485C-B6F4-303542CC295C}"/>
</file>

<file path=customXml/itemProps11.xml><?xml version="1.0" encoding="utf-8"?>
<ds:datastoreItem xmlns:ds="http://schemas.openxmlformats.org/officeDocument/2006/customXml" ds:itemID="{BE26B669-A686-459C-A5E9-FEC3409C4C81}"/>
</file>

<file path=customXml/itemProps12.xml><?xml version="1.0" encoding="utf-8"?>
<ds:datastoreItem xmlns:ds="http://schemas.openxmlformats.org/officeDocument/2006/customXml" ds:itemID="{BF5C6359-7763-4C37-8EAF-2BC4698CB285}"/>
</file>

<file path=customXml/itemProps13.xml><?xml version="1.0" encoding="utf-8"?>
<ds:datastoreItem xmlns:ds="http://schemas.openxmlformats.org/officeDocument/2006/customXml" ds:itemID="{078388C9-06F9-42F4-B857-EF76B5CAF1FD}"/>
</file>

<file path=customXml/itemProps14.xml><?xml version="1.0" encoding="utf-8"?>
<ds:datastoreItem xmlns:ds="http://schemas.openxmlformats.org/officeDocument/2006/customXml" ds:itemID="{F12EFA50-0068-4A8C-85A0-F1B26389EBC3}"/>
</file>

<file path=customXml/itemProps15.xml><?xml version="1.0" encoding="utf-8"?>
<ds:datastoreItem xmlns:ds="http://schemas.openxmlformats.org/officeDocument/2006/customXml" ds:itemID="{8D732231-4216-4543-A665-18A2886B0EB7}"/>
</file>

<file path=customXml/itemProps16.xml><?xml version="1.0" encoding="utf-8"?>
<ds:datastoreItem xmlns:ds="http://schemas.openxmlformats.org/officeDocument/2006/customXml" ds:itemID="{F6B2B1A1-1C4B-4AC9-9A7D-7A102DD1C942}"/>
</file>

<file path=customXml/itemProps17.xml><?xml version="1.0" encoding="utf-8"?>
<ds:datastoreItem xmlns:ds="http://schemas.openxmlformats.org/officeDocument/2006/customXml" ds:itemID="{E3716282-BFD2-4ED2-BA47-BFA1123827F0}"/>
</file>

<file path=customXml/itemProps18.xml><?xml version="1.0" encoding="utf-8"?>
<ds:datastoreItem xmlns:ds="http://schemas.openxmlformats.org/officeDocument/2006/customXml" ds:itemID="{98A113BB-8B7A-453C-8BD4-8EFC67FC2D3F}"/>
</file>

<file path=customXml/itemProps19.xml><?xml version="1.0" encoding="utf-8"?>
<ds:datastoreItem xmlns:ds="http://schemas.openxmlformats.org/officeDocument/2006/customXml" ds:itemID="{66B09F59-6532-46F8-924A-9A02417E070D}"/>
</file>

<file path=customXml/itemProps20.xml><?xml version="1.0" encoding="utf-8"?>
<ds:datastoreItem xmlns:ds="http://schemas.openxmlformats.org/officeDocument/2006/customXml" ds:itemID="{D3A7101F-9A85-4235-8B03-415370C100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2024-07-14T04:15:49Z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