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5" documentId="13_ncr:1_{97862574-A7BE-4365-ADB1-ABF5CD46DFD8}" xr6:coauthVersionLast="47" xr6:coauthVersionMax="47" xr10:uidLastSave="{BAC9EBA4-6250-4475-B1CF-46C170C26E5F}"/>
  <bookViews>
    <workbookView xWindow="-108" yWindow="-108" windowWidth="23256" windowHeight="1245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<sst xmlns="http://schemas.openxmlformats.org/spreadsheetml/2006/main" count="242" uniqueCount="55">
  <si>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</si>
  <si>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</si>
  <si>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</si>
  <si>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</si>
  <si>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</si>
  <si>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</si>
  <si>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</si>
  <si>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</si>
  <si>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</si>
  <si>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</si>
  <si>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</si>
  <si>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</si>
  <si>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</si>
  <si>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</si>
  <si>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</si>
  <si>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</si>
  <si>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</si>
  <si>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</si>
  <si>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</si>
  <si>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</si>
  <si>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</si>
  <si>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</si>
  <si>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</si>
  <si>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</si>
  <si>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</si>
  <si>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</si>
  <si>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</si>
  <si>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</si>
  <si>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</si>
  <si>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</si>
  <si>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</si>
  <si>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</si>
  <si>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1. Inverter A tripped offline on 06/07 at 10:45 &amp; back online at 11:15 on same day and again tripped offline on 06/11 at 12:30 &amp; back online at 13:45 on same day.</t>
  </si>
  <si>
    <t>1.SR085740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</si>
  <si>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</si>
  <si>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</si>
  <si>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</si>
  <si>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</si>
  <si>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</si>
  <si>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</si>
  <si>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</si>
  <si>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</si>
  <si>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</si>
  <si>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</si>
  <si>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</si>
  <si>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</si>
  <si>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</si>
  <si>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CT: Guilford - Safety Zone</t>
  </si>
  <si>
    <t>Site DAS Name</t>
  </si>
  <si>
    <t>Update</t>
  </si>
  <si>
    <t>DAS</t>
  </si>
  <si>
    <t>The Safety Zone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</si>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</sst>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H23" sqref="H23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CT: Guilford - Safety Zone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SUM(C4:C79)</f>
        <v>189026</v>
      </c>
      <c r="D2" s="5">
        <f>SUM(D4:D79)</f>
        <v>0</v>
      </c>
      <c r="E2" s="5">
        <f>C2-D2</f>
        <v>189026</v>
      </c>
      <c r="F2" s="6">
        <f>IFERROR(E2/D2, 0)</f>
        <v>0</v>
      </c>
      <c r="G2" s="5">
        <f>SUM(G4:G79)</f>
        <v>175983.959</v>
      </c>
      <c r="H2" s="7">
        <f>C2-G2</f>
        <v>13042.040999999997</v>
      </c>
      <c r="I2" s="6">
        <f>IFERROR(H2/G2, 0)</f>
        <v>7.4109260151375492E-2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CT: Guilford - Safety Zone</v>
      </c>
      <c r="B4" s="9" t="str" cm="1">
        <f t="array" ref="B4">Sites[State]</f>
        <v>CT</v>
      </c>
      <c r="C4" s="23">
        <f>SUM('1st Qtr'!C4, '2nd Qtr'!C4, '3rd Qtr'!C4, '4th Qtr'!C4)</f>
        <v>189026</v>
      </c>
      <c r="D4" s="12">
        <f>SUM('1st Qtr'!D4, '2nd Qtr'!D4, '3rd Qtr'!D4, '4th Qtr'!D4)</f>
        <v>0</v>
      </c>
      <c r="E4" s="12">
        <f>IF(AND(ISNUMBER(C4),ISNUMBER(D4)), C4-D4, "")</f>
        <v>189026</v>
      </c>
      <c r="F4" s="13" t="str">
        <f>IFERROR(E4/D4, "")</f>
        <v/>
      </c>
      <c r="G4" s="14">
        <f>SUM('1st Qtr'!G4, '2nd Qtr'!G4, '3rd Qtr'!G4, '4th Qtr'!G4)</f>
        <v>175983.959</v>
      </c>
      <c r="H4" s="14">
        <f>SUM('1st Qtr'!H4, '2nd Qtr'!H4, '3rd Qtr'!H4, '4th Qtr'!H4)</f>
        <v>13042.040999999997</v>
      </c>
      <c r="I4" s="15">
        <f>IFERROR(H4/G4, "")</f>
        <v>7.4109260151375492E-2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CT: Guilford - Safety Zone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SUM(C4:C79)</f>
        <v>65462</v>
      </c>
      <c r="D2" s="5">
        <f>SUM(D4:D79)</f>
        <v>0</v>
      </c>
      <c r="E2" s="5">
        <f>C2-D2</f>
        <v>65462</v>
      </c>
      <c r="F2" s="6">
        <f>IFERROR(E2/D2, 0)</f>
        <v>0</v>
      </c>
      <c r="G2" s="5">
        <f>SUM(G4:G79)</f>
        <v>61858</v>
      </c>
      <c r="H2" s="7">
        <f>C2-G2</f>
        <v>3604</v>
      </c>
      <c r="I2" s="6">
        <f>IFERROR(H2/G2, 0)</f>
        <v>5.8262472113550387E-2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CT: Guilford - Safety Zone</v>
      </c>
      <c r="B4" s="9" t="str" cm="1">
        <f t="array" ref="B4">Sites[State]</f>
        <v>CT</v>
      </c>
      <c r="C4" s="23">
        <f>SUM(Jan!C4, Feb!C4, Mar!C4)</f>
        <v>65462</v>
      </c>
      <c r="D4" s="12">
        <f>SUM(Jan!D4, Feb!D4, Mar!D4)</f>
        <v>0</v>
      </c>
      <c r="E4" s="12">
        <f>IF(AND(ISNUMBER(C4),ISNUMBER(D4)), C4-D4, "")</f>
        <v>65462</v>
      </c>
      <c r="F4" s="13" t="str">
        <f>IFERROR(E4/D4, "")</f>
        <v/>
      </c>
      <c r="G4" s="14">
        <f>SUM(Jan!G4, Feb!G4, Mar!G4)</f>
        <v>61858</v>
      </c>
      <c r="H4" s="14">
        <f>SUM(Jan!H4, Feb!H4, Mar!H4)</f>
        <v>3604</v>
      </c>
      <c r="I4" s="15">
        <f>IFERROR(H4/G4, "")</f>
        <v>5.8262472113550387E-2</v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CT: Guilford - Safety Zone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SUM(C4:C79)</f>
        <v>123564</v>
      </c>
      <c r="D2" s="5">
        <f>SUM(D4:D79)</f>
        <v>0</v>
      </c>
      <c r="E2" s="5">
        <f>C2-D2</f>
        <v>123564</v>
      </c>
      <c r="F2" s="6">
        <f>IFERROR(E2/D2, 0)</f>
        <v>0</v>
      </c>
      <c r="G2" s="5">
        <f>SUM(G4:G79)</f>
        <v>114125.959</v>
      </c>
      <c r="H2" s="7">
        <f>C2-G2</f>
        <v>9438.0409999999974</v>
      </c>
      <c r="I2" s="6">
        <f>IFERROR(H2/G2, 0)</f>
        <v>8.2698459515244876E-2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CT: Guilford - Safety Zone</v>
      </c>
      <c r="B4" s="9" t="str" cm="1">
        <f t="array" ref="B4">Sites[State]</f>
        <v>CT</v>
      </c>
      <c r="C4" s="23">
        <f>SUM(Apr!C4, May!C4, Jun!C4)</f>
        <v>123564</v>
      </c>
      <c r="D4" s="12">
        <f>SUM(Apr!D4, May!D4, Jun!D4)</f>
        <v>0</v>
      </c>
      <c r="E4" s="12">
        <f>IF(AND(ISNUMBER(C4),ISNUMBER(D4)), C4-D4, "")</f>
        <v>123564</v>
      </c>
      <c r="F4" s="13" t="str">
        <f>IFERROR(E4/D4, "")</f>
        <v/>
      </c>
      <c r="G4" s="14">
        <f>SUM(Apr!G4,May!G4,Jun!G4)</f>
        <v>114125.959</v>
      </c>
      <c r="H4" s="14">
        <f>SUM(Apr!H4, May!H4, Jun!H4)</f>
        <v>9438.0409999999974</v>
      </c>
      <c r="I4" s="15">
        <f>IFERROR(H4/G4, "")</f>
        <v>8.2698459515244876E-2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CT: Guilford - Safety Zone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CT: Guilford - Safety Zone</v>
      </c>
      <c r="B4" s="9" t="str" cm="1">
        <f t="array" ref="B4">Sites[State]</f>
        <v>CT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CT: Guilford - Safety Zone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CT: Guilford - Safety Zone</v>
      </c>
      <c r="B4" s="9" t="str" cm="1">
        <f t="array" ref="B4">Sites[State]</f>
        <v>CT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J4" sqref="J4:K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SUM(C4:C78)</f>
        <v>10445</v>
      </c>
      <c r="D2" s="5">
        <f>SUM(D4:D78)</f>
        <v>0</v>
      </c>
      <c r="E2" s="5">
        <f>C2-D2</f>
        <v>10445</v>
      </c>
      <c r="F2" s="6">
        <f>IFERROR(E2/D2, 0)</f>
        <v>0</v>
      </c>
      <c r="G2" s="5">
        <f>SUM(G4:G78)</f>
        <v>13616</v>
      </c>
      <c r="H2" s="7">
        <f>C2-G2</f>
        <v>-3171</v>
      </c>
      <c r="I2" s="6">
        <f>IFERROR(H2/G2, 0)</f>
        <v>-0.23288777908343125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CT: Guilford - Safety Zone</v>
      </c>
      <c r="B4" s="27" t="str" cm="1">
        <f t="array" ref="B4">Sites[State]</f>
        <v>CT</v>
      </c>
      <c r="C4" s="50">
        <v>10445</v>
      </c>
      <c r="D4" s="51">
        <v>0</v>
      </c>
      <c r="E4" s="12">
        <f>IF(AND(ISNUMBER(C4),ISNUMBER(D4)), C4-D4, "")</f>
        <v>10445</v>
      </c>
      <c r="F4" s="40" t="str">
        <f>IFERROR(E4/D4, "")</f>
        <v/>
      </c>
      <c r="G4" s="53">
        <v>13616</v>
      </c>
      <c r="H4" s="14">
        <f>IF(AND(ISNUMBER(C4),ISNUMBER(G4)), C4-G4, "")</f>
        <v>-3171</v>
      </c>
      <c r="I4" s="15">
        <f>IFERROR(H4/G4, "")</f>
        <v>-0.23288777908343125</v>
      </c>
      <c r="J4" s="47"/>
      <c r="K4" s="47"/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D28" activePane="bottomRight" state="frozen"/>
      <selection pane="bottomRight" activeCell="E28" sqref="E28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22</v>
      </c>
      <c r="E1" s="56"/>
      <c r="F1" s="56"/>
      <c r="G1" s="54" t="s">
        <v>23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21166</v>
      </c>
      <c r="D2" s="5">
        <f>SUM(D4:D79)</f>
        <v>0</v>
      </c>
      <c r="E2" s="5">
        <f>C2-D2</f>
        <v>21166</v>
      </c>
      <c r="F2" s="6">
        <f>IFERROR(E2/D2, 0)</f>
        <v>0</v>
      </c>
      <c r="G2" s="5">
        <f>SUM(G4:G79)</f>
        <v>18770</v>
      </c>
      <c r="H2" s="7">
        <f>C2-G2</f>
        <v>2396</v>
      </c>
      <c r="I2" s="6">
        <f>IFERROR(H2/G2, 0)</f>
        <v>0.12765050612679807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CT: Guilford - Safety Zone</v>
      </c>
      <c r="B4" s="27" t="str" cm="1">
        <f t="array" ref="B4">Sites[State]</f>
        <v>CT</v>
      </c>
      <c r="C4" s="23">
        <v>21166</v>
      </c>
      <c r="D4" s="12">
        <v>0</v>
      </c>
      <c r="E4" s="12">
        <f>IF(AND(ISNUMBER(C4),ISNUMBER(D4)), C4-D4, "")</f>
        <v>21166</v>
      </c>
      <c r="F4" s="13" t="str">
        <f>IFERROR(E4/D4, "")</f>
        <v/>
      </c>
      <c r="G4" s="14">
        <v>18770</v>
      </c>
      <c r="H4" s="14">
        <f>IF(AND(ISNUMBER(C4),ISNUMBER(G4)), C4-G4, "")</f>
        <v>2396</v>
      </c>
      <c r="I4" s="15">
        <f>IFERROR(H4/G4, "")</f>
        <v>0.12765050612679807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24</v>
      </c>
      <c r="E1" s="56"/>
      <c r="F1" s="56"/>
      <c r="G1" s="54" t="s">
        <v>25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33851</v>
      </c>
      <c r="D2" s="5">
        <f>SUM(D4:D79)</f>
        <v>0</v>
      </c>
      <c r="E2" s="5">
        <f>C2-D2</f>
        <v>33851</v>
      </c>
      <c r="F2" s="6">
        <f>IFERROR(E2/D2, 0)</f>
        <v>0</v>
      </c>
      <c r="G2" s="5">
        <f>SUM(G4:G79)</f>
        <v>29472</v>
      </c>
      <c r="H2" s="7">
        <f>C2-G2</f>
        <v>4379</v>
      </c>
      <c r="I2" s="6">
        <f>IFERROR(H2/G2, 0)</f>
        <v>0.14858170466883822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>
        <v>33851</v>
      </c>
      <c r="D4" s="12">
        <v>0</v>
      </c>
      <c r="E4" s="12">
        <f>IF(AND(ISNUMBER(C4),ISNUMBER(D4)), C4-D4, "")</f>
        <v>33851</v>
      </c>
      <c r="F4" s="13" t="str">
        <f>IFERROR(E4/D4, "")</f>
        <v/>
      </c>
      <c r="G4" s="14">
        <v>29472</v>
      </c>
      <c r="H4" s="14">
        <f>IF(AND(ISNUMBER(C4),ISNUMBER(G4)), C4-G4, "")</f>
        <v>4379</v>
      </c>
      <c r="I4" s="15">
        <f>IFERROR(H4/G4, "")</f>
        <v>0.14858170466883822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26</v>
      </c>
      <c r="E1" s="56"/>
      <c r="F1" s="56"/>
      <c r="G1" s="54" t="s">
        <v>27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34979.75</v>
      </c>
      <c r="D2" s="5">
        <f>SUM(D4:D79)</f>
        <v>0</v>
      </c>
      <c r="E2" s="5">
        <f>C2-D2</f>
        <v>34979.75</v>
      </c>
      <c r="F2" s="6">
        <f>IFERROR(E2/D2, 0)</f>
        <v>0</v>
      </c>
      <c r="G2" s="5">
        <f>SUM(G4:G79)</f>
        <v>33873.105000000003</v>
      </c>
      <c r="H2" s="7">
        <f>C2-G2</f>
        <v>1106.6449999999968</v>
      </c>
      <c r="I2" s="6">
        <f>IFERROR(H2/G2, 0)</f>
        <v>3.2670314693618925E-2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>
        <v>34979.75</v>
      </c>
      <c r="D4" s="12">
        <v>0</v>
      </c>
      <c r="E4" s="12">
        <f>IF(AND(ISNUMBER(C4),ISNUMBER(D4)), C4-D4, "")</f>
        <v>34979.75</v>
      </c>
      <c r="F4" s="13" t="str">
        <f>IFERROR(E4/D4, "")</f>
        <v/>
      </c>
      <c r="G4" s="14">
        <v>33873.105000000003</v>
      </c>
      <c r="H4" s="14">
        <f>IF(AND(ISNUMBER(C4),ISNUMBER(G4)), C4-G4, "")</f>
        <v>1106.6449999999968</v>
      </c>
      <c r="I4" s="15">
        <f>IFERROR(H4/G4, "")</f>
        <v>3.2670314693618925E-2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28</v>
      </c>
      <c r="E1" s="56"/>
      <c r="F1" s="56"/>
      <c r="G1" s="54" t="s">
        <v>29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42098.25</v>
      </c>
      <c r="D2" s="5">
        <f>SUM(D4:D79)</f>
        <v>0</v>
      </c>
      <c r="E2" s="5">
        <f>C2-D2</f>
        <v>42098.25</v>
      </c>
      <c r="F2" s="6">
        <f>IFERROR(E2/D2, 0)</f>
        <v>0</v>
      </c>
      <c r="G2" s="5">
        <f>SUM(G4:G79)</f>
        <v>39767.35</v>
      </c>
      <c r="H2" s="7">
        <f>C2-G2</f>
        <v>2330.9000000000015</v>
      </c>
      <c r="I2" s="6">
        <f>IFERROR(H2/G2, 0)</f>
        <v>5.8613410247351193E-2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>
        <v>42098.25</v>
      </c>
      <c r="D4" s="12">
        <v>0</v>
      </c>
      <c r="E4" s="12">
        <f>IF(AND(ISNUMBER(C4),ISNUMBER(D4)), C4-D4, "")</f>
        <v>42098.25</v>
      </c>
      <c r="F4" s="13" t="str">
        <f>IFERROR(E4/D4, "")</f>
        <v/>
      </c>
      <c r="G4" s="14">
        <v>39767.35</v>
      </c>
      <c r="H4" s="14">
        <f>IF(AND(ISNUMBER(C4),ISNUMBER(G4)), C4-G4, "")</f>
        <v>2330.9000000000015</v>
      </c>
      <c r="I4" s="15">
        <f>IFERROR(H4/G4, "")</f>
        <v>5.8613410247351193E-2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J5" sqref="J5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30</v>
      </c>
      <c r="E1" s="56"/>
      <c r="F1" s="56"/>
      <c r="G1" s="54" t="s">
        <v>31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46486</v>
      </c>
      <c r="D2" s="5">
        <f>SUM(D4:D79)</f>
        <v>0</v>
      </c>
      <c r="E2" s="5">
        <f>C2-D2</f>
        <v>46486</v>
      </c>
      <c r="F2" s="6">
        <f>IFERROR(E2/D2, 0)</f>
        <v>0</v>
      </c>
      <c r="G2" s="5">
        <f>SUM(G4:G79)</f>
        <v>40485.504000000001</v>
      </c>
      <c r="H2" s="7">
        <f>C2-G2</f>
        <v>6000.4959999999992</v>
      </c>
      <c r="I2" s="6">
        <f>IFERROR(H2/G2, 0)</f>
        <v>0.14821344449608431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5.75">
      <c r="A4" s="28" t="str" cm="1">
        <f t="array" ref="A4">Sites[Site]</f>
        <v>CT: Guilford - Safety Zone</v>
      </c>
      <c r="B4" s="27" t="str" cm="1">
        <f t="array" ref="B4">Sites[State]</f>
        <v>CT</v>
      </c>
      <c r="C4" s="23">
        <v>46486</v>
      </c>
      <c r="D4" s="12">
        <v>0</v>
      </c>
      <c r="E4" s="12">
        <f>IF(AND(ISNUMBER(C4),ISNUMBER(D4)), C4-D4, "")</f>
        <v>46486</v>
      </c>
      <c r="F4" s="13" t="str">
        <f>IFERROR(E4/D4, "")</f>
        <v/>
      </c>
      <c r="G4" s="14">
        <v>40485.504000000001</v>
      </c>
      <c r="H4" s="14">
        <f>IF(AND(ISNUMBER(C4),ISNUMBER(G4)), C4-G4, "")</f>
        <v>6000.4959999999992</v>
      </c>
      <c r="I4" s="15">
        <f>IFERROR(H4/G4, "")</f>
        <v>0.14821344449608431</v>
      </c>
      <c r="J4" s="36" t="s">
        <v>32</v>
      </c>
      <c r="K4" s="36" t="s">
        <v>33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34</v>
      </c>
      <c r="E1" s="56"/>
      <c r="F1" s="56"/>
      <c r="G1" s="54" t="s">
        <v>35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36</v>
      </c>
      <c r="E1" s="56"/>
      <c r="F1" s="56"/>
      <c r="G1" s="54" t="s">
        <v>37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3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44</v>
      </c>
      <c r="E1" s="56"/>
      <c r="F1" s="56"/>
      <c r="G1" s="54" t="s">
        <v>45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46</v>
      </c>
      <c r="B1" t="s">
        <v>47</v>
      </c>
    </row>
    <row r="3" spans="1:12" ht="13.15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12" ht="14.45">
      <c r="A4" s="45" t="s">
        <v>51</v>
      </c>
      <c r="B4" t="s">
        <v>47</v>
      </c>
      <c r="C4" s="43" t="s">
        <v>52</v>
      </c>
      <c r="D4" s="42" t="s">
        <v>53</v>
      </c>
      <c r="E4" t="s">
        <v>54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0389C43E-394D-44C0-87DC-4780FCFCFB40}"/>
</file>

<file path=customXml/itemProps6.xml><?xml version="1.0" encoding="utf-8"?>
<ds:datastoreItem xmlns:ds="http://schemas.openxmlformats.org/officeDocument/2006/customXml" ds:itemID="{C0BCDC1E-6052-4E48-9BAF-94A40814E7C2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Charishma Pillala [AGS]</cp:lastModifiedBy>
  <cp:revision/>
  <dcterms:created xsi:type="dcterms:W3CDTF">2021-01-01T16:39:53Z</dcterms:created>
  <dcterms:modified xsi:type="dcterms:W3CDTF">2024-07-12T12:58:09Z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