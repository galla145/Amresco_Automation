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0" documentId="13_ncr:1_{77EB2B86-AE9A-4B18-8FC6-EB4288E67FC1}" xr6:coauthVersionLast="47" xr6:coauthVersionMax="47" xr10:uidLastSave="{00000000-0000-0000-0000-000000000000}"/>
  <bookViews>
    <workbookView minimized="1" xWindow="0" yWindow="3360" windowWidth="23040" windowHeight="8880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<sst xmlns="http://schemas.openxmlformats.org/spreadsheetml/2006/main" count="239" uniqueCount="52">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</sst>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143302.85</v>
      </c>
      <c r="D2" s="6">
        <f>SUM(D4:D60)</f>
        <v>89295.66</v>
      </c>
      <c r="E2" s="6">
        <f>C2-D2</f>
        <v>54007.19</v>
      </c>
      <c r="F2" s="7">
        <f>IFERROR(E2/D2, 0)</f>
        <v>0.60481315665285418</v>
      </c>
      <c r="G2" s="6">
        <f>SUM(G4:G60)</f>
        <v>0</v>
      </c>
      <c r="H2" s="8">
        <f>C2-G2</f>
        <v>143302.85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143302.85</v>
      </c>
      <c r="D4" s="14">
        <f>SUM('1st Qtr'!D4, '2nd Qtr'!D4, '3rd Qtr'!D4, '4th Qtr'!D4)</f>
        <v>89295.66</v>
      </c>
      <c r="E4" s="14">
        <f>IF(AND(ISNUMBER(C4),ISNUMBER(D4)), C4-D4, "")</f>
        <v>54007.19</v>
      </c>
      <c r="F4" s="15">
        <f>IFERROR(E4/D4, "")</f>
        <v>0.60481315665285418</v>
      </c>
      <c r="G4" s="16">
        <f>SUM('1st Qtr'!G4,'2nd Qtr'!G4,'3rd Qtr'!G4,'4th Qtr'!G4)</f>
        <v>0</v>
      </c>
      <c r="H4" s="16">
        <f>SUM('1st Qtr'!H4, '2nd Qtr'!H4, '3rd Qtr'!H4, '4th Qtr'!H4)</f>
        <v>143302.85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17" sqref="F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3" activePane="bottomLeft" state="frozen"/>
      <selection pane="bottomLeft" activeCell="E12" sqref="E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2024-10-18T23:51:33Z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