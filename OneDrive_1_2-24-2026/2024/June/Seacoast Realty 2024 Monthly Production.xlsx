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00DC560-0C22-4325-8DEB-D1C0410A0869}" xr6:coauthVersionLast="47" xr6:coauthVersionMax="47" xr10:uidLastSave="{00000000-0000-0000-0000-000000000000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<sst xmlns="http://schemas.openxmlformats.org/spreadsheetml/2006/main" count="253" uniqueCount="54">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</sst>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" fontId="36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 wrapText="1"/>
    </xf>
    <xf numFmtId="3" fontId="36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264470</v>
      </c>
      <c r="D2" s="5">
        <f>SUM(D4:D79)</f>
        <v>267633.66000000003</v>
      </c>
      <c r="E2" s="5">
        <f>C2-D2</f>
        <v>-3163.6600000000326</v>
      </c>
      <c r="F2" s="6">
        <f>IFERROR(E2/D2, 0)</f>
        <v>-1.18208599023009E-2</v>
      </c>
      <c r="G2" s="5">
        <f>SUM(G4:G79)</f>
        <v>0</v>
      </c>
      <c r="H2" s="7">
        <f>C2-G2</f>
        <v>264470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264470</v>
      </c>
      <c r="D4" s="12">
        <f>SUM('1st Qtr'!D4, '2nd Qtr'!D4, '3rd Qtr'!D4, '4th Qtr'!D4)</f>
        <v>267633.66000000003</v>
      </c>
      <c r="E4" s="12">
        <f>IF(AND(ISNUMBER(C4),ISNUMBER(D4)), C4-D4, "")</f>
        <v>-3163.6600000000326</v>
      </c>
      <c r="F4" s="13">
        <f>IFERROR(E4/D4, "")</f>
        <v>-1.18208599023009E-2</v>
      </c>
      <c r="G4" s="14">
        <f>SUM('1st Qtr'!G4, '2nd Qtr'!G4, '3rd Qtr'!G4, '4th Qtr'!G4)</f>
        <v>0</v>
      </c>
      <c r="H4" s="14">
        <f>SUM('1st Qtr'!H4, '2nd Qtr'!H4, '3rd Qtr'!H4, '4th Qtr'!H4)</f>
        <v>264470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F5" sqref="E5:F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85550</v>
      </c>
      <c r="D2" s="5">
        <f>SUM(D4:D79)</f>
        <v>93701</v>
      </c>
      <c r="E2" s="5">
        <f>C2-D2</f>
        <v>-8151</v>
      </c>
      <c r="F2" s="6">
        <f>IFERROR(E2/D2, 0)</f>
        <v>-8.6989466494487785E-2</v>
      </c>
      <c r="G2" s="5">
        <f>SUM(G4:G79)</f>
        <v>0</v>
      </c>
      <c r="H2" s="7">
        <f>C2-G2</f>
        <v>85550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85550</v>
      </c>
      <c r="D4" s="12">
        <f>SUM(Jan!D4, Feb!D4, Mar!D4)</f>
        <v>93701</v>
      </c>
      <c r="E4" s="12">
        <f>IF(AND(ISNUMBER(C4),ISNUMBER(D4)), C4-D4, "")</f>
        <v>-8151</v>
      </c>
      <c r="F4" s="13">
        <f>IFERROR(E4/D4, "")</f>
        <v>-8.6989466494487785E-2</v>
      </c>
      <c r="G4" s="14">
        <f>SUM(Jan!G4, Feb!G4, Mar!G4)</f>
        <v>0</v>
      </c>
      <c r="H4" s="14">
        <f>SUM(Jan!H4, Feb!H4, Mar!H4)</f>
        <v>85550</v>
      </c>
      <c r="I4" s="15" t="str">
        <f>IFERROR(H4/G4, "")</f>
        <v/>
      </c>
    </row>
    <row r="5" spans="1:9" ht="14.45">
      <c r="A5" s="20"/>
      <c r="B5" s="10"/>
      <c r="C5" s="58" t="s">
        <v>12</v>
      </c>
      <c r="D5" s="58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9">
      <c r="A6" s="20"/>
      <c r="B6" s="20"/>
      <c r="C6" s="20"/>
      <c r="D6" s="20"/>
      <c r="E6" s="58" t="s">
        <v>12</v>
      </c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13</v>
      </c>
      <c r="E1" s="62"/>
      <c r="F1" s="62"/>
      <c r="G1" s="60" t="s">
        <v>14</v>
      </c>
      <c r="H1" s="60"/>
      <c r="I1" s="60"/>
    </row>
    <row r="2" spans="1:9" ht="19.5" customHeight="1">
      <c r="A2" s="63" t="s">
        <v>2</v>
      </c>
      <c r="B2" s="63"/>
      <c r="C2" s="5">
        <f>SUM(C4:C79)</f>
        <v>178920</v>
      </c>
      <c r="D2" s="5">
        <f>SUM(D4:D79)</f>
        <v>173932.66</v>
      </c>
      <c r="E2" s="5">
        <f>C2-D2</f>
        <v>4987.3399999999965</v>
      </c>
      <c r="F2" s="6">
        <f>IFERROR(E2/D2, 0)</f>
        <v>2.8673970719472676E-2</v>
      </c>
      <c r="G2" s="5">
        <f>SUM(G4:G79)</f>
        <v>0</v>
      </c>
      <c r="H2" s="7">
        <f>C2-G2</f>
        <v>178920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178920</v>
      </c>
      <c r="D4" s="12">
        <f>SUM(Apr!D4, May!D4, Jun!D4)</f>
        <v>173932.66</v>
      </c>
      <c r="E4" s="12">
        <f>IF(AND(ISNUMBER(C4),ISNUMBER(D4)), C4-D4, "")</f>
        <v>4987.3399999999965</v>
      </c>
      <c r="F4" s="13">
        <f>IFERROR(E4/D4, "")</f>
        <v>2.8673970719472676E-2</v>
      </c>
      <c r="G4" s="14">
        <f>SUM(Apr!G4,May!G4,Jun!G4,)</f>
        <v>0</v>
      </c>
      <c r="H4" s="14">
        <f>SUM(Apr!H4, May!H4, Jun!H4)</f>
        <v>178920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15</v>
      </c>
      <c r="E1" s="62"/>
      <c r="F1" s="62"/>
      <c r="G1" s="60" t="s">
        <v>16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17</v>
      </c>
      <c r="E1" s="62"/>
      <c r="F1" s="62"/>
      <c r="G1" s="60" t="s">
        <v>18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19</v>
      </c>
      <c r="E1" s="62"/>
      <c r="F1" s="62"/>
      <c r="G1" s="60" t="s">
        <v>20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16990</v>
      </c>
      <c r="D2" s="5">
        <f>SUM(D4:D78)</f>
        <v>20739</v>
      </c>
      <c r="E2" s="5">
        <f>C2-D2</f>
        <v>-3749</v>
      </c>
      <c r="F2" s="6">
        <f>IFERROR(E2/D2, 0)</f>
        <v>-0.18077052895510873</v>
      </c>
      <c r="G2" s="5">
        <f>SUM(G4:G78)</f>
        <v>0</v>
      </c>
      <c r="H2" s="7">
        <f>C2-G2</f>
        <v>16990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6" t="str" cm="1">
        <f t="array" ref="A4">Sites[Site]</f>
        <v>MA: Plymouth - Seacoast Realty</v>
      </c>
      <c r="B4" s="27" t="str" cm="1">
        <f t="array" ref="B4">Sites[State]</f>
        <v>MA</v>
      </c>
      <c r="C4" s="50">
        <v>16990</v>
      </c>
      <c r="D4" s="50">
        <v>20739</v>
      </c>
      <c r="E4" s="12">
        <f>IF(AND(ISNUMBER(C4),ISNUMBER(D4)), C4-D4, "")</f>
        <v>-3749</v>
      </c>
      <c r="F4" s="40">
        <f>IFERROR(E4/D4, "")</f>
        <v>-0.18077052895510873</v>
      </c>
      <c r="G4" s="52">
        <v>0</v>
      </c>
      <c r="H4" s="14">
        <f>IF(AND(ISNUMBER(C4),ISNUMBER(G4)), C4-G4, "")</f>
        <v>16990</v>
      </c>
      <c r="I4" s="15" t="str">
        <f>IFERROR(H4/G4, "")</f>
        <v/>
      </c>
      <c r="J4" s="47"/>
      <c r="K4" s="47"/>
    </row>
    <row r="5" spans="1:11" ht="14.45">
      <c r="A5" s="20"/>
      <c r="B5" s="29"/>
      <c r="C5" s="55" t="s">
        <v>12</v>
      </c>
      <c r="D5" s="56" t="s">
        <v>12</v>
      </c>
      <c r="E5" s="56" t="s">
        <v>12</v>
      </c>
      <c r="F5" s="40" t="s">
        <v>12</v>
      </c>
      <c r="G5" s="53"/>
      <c r="H5" s="53"/>
      <c r="I5" s="54"/>
      <c r="J5" s="39"/>
      <c r="K5" s="20"/>
    </row>
    <row r="6" spans="1:11" ht="14.45">
      <c r="A6" s="20"/>
      <c r="B6" s="29"/>
      <c r="C6" s="20"/>
      <c r="D6" s="20"/>
      <c r="E6" s="58" t="s">
        <v>12</v>
      </c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6:F78">
    <cfRule type="cellIs" dxfId="26" priority="1" stopIfTrue="1" operator="lessThanOrEqual">
      <formula>-0.1</formula>
    </cfRule>
    <cfRule type="expression" dxfId="25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I20" sqref="I2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23</v>
      </c>
      <c r="E1" s="62"/>
      <c r="F1" s="62"/>
      <c r="G1" s="60" t="s">
        <v>24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26890</v>
      </c>
      <c r="D2" s="5">
        <f>SUM(D4:D79)</f>
        <v>32296</v>
      </c>
      <c r="E2" s="5">
        <f>C2-D2</f>
        <v>-5406</v>
      </c>
      <c r="F2" s="6">
        <f>IFERROR(E2/D2, 0)</f>
        <v>-0.16738915035917762</v>
      </c>
      <c r="G2" s="5">
        <f>SUM(G4:G79)</f>
        <v>0</v>
      </c>
      <c r="H2" s="7">
        <f>C2-G2</f>
        <v>26890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6" t="str" cm="1">
        <f t="array" ref="A4">Sites[Site]</f>
        <v>MA: Plymouth - Seacoast Realty</v>
      </c>
      <c r="B4" s="27" t="str" cm="1">
        <f t="array" ref="B4">Sites[State]</f>
        <v>MA</v>
      </c>
      <c r="C4" s="23">
        <v>26890</v>
      </c>
      <c r="D4" s="12">
        <v>32296</v>
      </c>
      <c r="E4" s="12">
        <f>IF(AND(ISNUMBER(C4),ISNUMBER(D4)), C4-D4, "")</f>
        <v>-5406</v>
      </c>
      <c r="F4" s="13">
        <f>IFERROR(E4/D4, "")</f>
        <v>-0.16738915035917762</v>
      </c>
      <c r="G4" s="14">
        <v>0</v>
      </c>
      <c r="H4" s="14">
        <f>IF(AND(ISNUMBER(C4),ISNUMBER(G4)), C4-G4, "")</f>
        <v>26890</v>
      </c>
      <c r="I4" s="15" t="str">
        <f>IFERROR(H4/G4, "")</f>
        <v/>
      </c>
      <c r="J4" s="36"/>
      <c r="K4" s="36"/>
    </row>
    <row r="5" spans="1:11" ht="14.45">
      <c r="A5" s="20"/>
      <c r="B5" s="29"/>
      <c r="C5" s="57"/>
      <c r="D5" s="57"/>
      <c r="E5" s="57"/>
      <c r="F5" s="18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59" t="s">
        <v>12</v>
      </c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D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41670</v>
      </c>
      <c r="D2" s="5">
        <f>SUM(D4:D79)</f>
        <v>40666</v>
      </c>
      <c r="E2" s="5">
        <f>C2-D2</f>
        <v>1004</v>
      </c>
      <c r="F2" s="6">
        <f>IFERROR(E2/D2, 0)</f>
        <v>2.4688929326710275E-2</v>
      </c>
      <c r="G2" s="5">
        <f>SUM(G4:G79)</f>
        <v>0</v>
      </c>
      <c r="H2" s="7">
        <f>C2-G2</f>
        <v>41670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41670</v>
      </c>
      <c r="D4" s="12">
        <v>40666</v>
      </c>
      <c r="E4" s="12">
        <f>IF(AND(ISNUMBER(C4),ISNUMBER(D4)), C4-D4, "")</f>
        <v>1004</v>
      </c>
      <c r="F4" s="13">
        <f>IFERROR(E4/D4, "")</f>
        <v>2.4688929326710275E-2</v>
      </c>
      <c r="G4" s="14">
        <v>0</v>
      </c>
      <c r="H4" s="14">
        <f>IF(AND(ISNUMBER(C4),ISNUMBER(G4)), C4-G4, "")</f>
        <v>41670</v>
      </c>
      <c r="I4" s="15" t="str">
        <f>IFERROR(H4/G4, "")</f>
        <v/>
      </c>
      <c r="J4" s="36"/>
      <c r="K4" s="36"/>
    </row>
    <row r="5" spans="1:11" ht="14.45">
      <c r="A5" s="20"/>
      <c r="B5" s="29"/>
      <c r="C5" s="58" t="s">
        <v>12</v>
      </c>
      <c r="D5" s="58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D4" activePane="bottomRight" state="frozen"/>
      <selection pane="bottomRight" activeCell="D11" sqref="D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52870</v>
      </c>
      <c r="D2" s="5">
        <f>SUM(D4:D79)</f>
        <v>51150.16</v>
      </c>
      <c r="E2" s="5">
        <f>C2-D2</f>
        <v>1719.8399999999965</v>
      </c>
      <c r="F2" s="6">
        <f>IFERROR(E2/D2, 0)</f>
        <v>3.3623355234861367E-2</v>
      </c>
      <c r="G2" s="5">
        <f>SUM(G4:G79)</f>
        <v>0</v>
      </c>
      <c r="H2" s="7">
        <f>C2-G2</f>
        <v>52870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52870</v>
      </c>
      <c r="D4" s="12">
        <v>51150.16</v>
      </c>
      <c r="E4" s="12">
        <f>IF(AND(ISNUMBER(C4),ISNUMBER(D4)), C4-D4, "")</f>
        <v>1719.8399999999965</v>
      </c>
      <c r="F4" s="13">
        <f>IFERROR(E4/D4, "")</f>
        <v>3.3623355234861367E-2</v>
      </c>
      <c r="G4" s="14">
        <v>0</v>
      </c>
      <c r="H4" s="14">
        <f>IF(AND(ISNUMBER(C4),ISNUMBER(G4)), C4-G4, "")</f>
        <v>52870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tabSelected="1" workbookViewId="0">
      <pane xSplit="2" ySplit="3" topLeftCell="E4" activePane="bottomRight" state="frozen"/>
      <selection pane="bottomRight" activeCell="E10" sqref="E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29</v>
      </c>
      <c r="E1" s="62"/>
      <c r="F1" s="62"/>
      <c r="G1" s="60" t="s">
        <v>30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59590</v>
      </c>
      <c r="D2" s="5">
        <f>SUM(D4:D79)</f>
        <v>56920</v>
      </c>
      <c r="E2" s="5">
        <f>C2-D2</f>
        <v>2670</v>
      </c>
      <c r="F2" s="6">
        <f>IFERROR(E2/D2, 0)</f>
        <v>4.6907940969782153E-2</v>
      </c>
      <c r="G2" s="5">
        <f>SUM(G4:G79)</f>
        <v>0</v>
      </c>
      <c r="H2" s="7">
        <f>C2-G2</f>
        <v>59590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59590</v>
      </c>
      <c r="D4" s="12">
        <v>56920</v>
      </c>
      <c r="E4" s="12">
        <f>IF(AND(ISNUMBER(C4),ISNUMBER(D4)), C4-D4, "")</f>
        <v>2670</v>
      </c>
      <c r="F4" s="13">
        <f>IFERROR(E4/D4, "")</f>
        <v>4.6907940969782153E-2</v>
      </c>
      <c r="G4" s="14">
        <v>0</v>
      </c>
      <c r="H4" s="14">
        <f>IF(AND(ISNUMBER(C4),ISNUMBER(G4)), C4-G4, "")</f>
        <v>59590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E4" activePane="bottomRight" state="frozen"/>
      <selection pane="bottomRight" activeCell="E10" sqref="E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66460</v>
      </c>
      <c r="D2" s="5">
        <f>SUM(D4:D79)</f>
        <v>65862.5</v>
      </c>
      <c r="E2" s="5">
        <f>C2-D2</f>
        <v>597.5</v>
      </c>
      <c r="F2" s="6">
        <f>IFERROR(E2/D2, 0)</f>
        <v>9.0719301575251463E-3</v>
      </c>
      <c r="G2" s="5">
        <f>SUM(G4:G79)</f>
        <v>0</v>
      </c>
      <c r="H2" s="7">
        <f>C2-G2</f>
        <v>66460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66460</v>
      </c>
      <c r="D4" s="12">
        <v>65862.5</v>
      </c>
      <c r="E4" s="12">
        <f>IF(AND(ISNUMBER(C4),ISNUMBER(D4)), C4-D4, "")</f>
        <v>597.5</v>
      </c>
      <c r="F4" s="13">
        <f>IFERROR(E4/D4, "")</f>
        <v>9.0719301575251463E-3</v>
      </c>
      <c r="G4" s="14">
        <v>0</v>
      </c>
      <c r="H4" s="14">
        <f>IF(AND(ISNUMBER(C4),ISNUMBER(G4)), C4-G4, "")</f>
        <v>66460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5" t="s">
        <v>50</v>
      </c>
      <c r="B4" t="s">
        <v>46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2024-07-12T12:58:08Z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