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_amgsol_com/Documents/Microsoft Teams Chat Files/"/>
    </mc:Choice>
  </mc:AlternateContent>
  <xr:revisionPtr revIDLastSave="11" documentId="13_ncr:1_{C171750F-73C0-4A08-B28D-12710803F0C5}" xr6:coauthVersionLast="47" xr6:coauthVersionMax="47" xr10:uidLastSave="{2B6B85A8-7853-419A-BD37-B068A72A6DC8}"/>
  <bookViews>
    <workbookView xWindow="-98" yWindow="-98" windowWidth="21795" windowHeight="12975" tabRatio="866" firstSheet="2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<sst xmlns="http://schemas.openxmlformats.org/spreadsheetml/2006/main" count="246" uniqueCount="59">
  <si>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</si>
  <si>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</si>
  <si>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</si>
  <si>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</si>
  <si>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</si>
  <si>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</si>
  <si>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</si>
  <si>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</si>
  <si>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</si>
  <si>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</si>
  <si>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</si>
  <si>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</si>
  <si>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</si>
  <si>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</si>
  <si>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</si>
  <si>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</si>
  <si>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</si>
  <si>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</si>
  <si>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</si>
  <si>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</si>
  <si>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</si>
  <si>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</si>
  <si>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</si>
  <si>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</si>
  <si>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</si>
  <si>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</si>
  <si>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</si>
  <si>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</si>
  <si>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</si>
  <si>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</si>
  <si>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</si>
  <si>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</si>
  <si>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</si>
  <si>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</si>
  <si>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</si>
  <si>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</si>
  <si>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</si>
  <si>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</si>
  <si>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</si>
  <si>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</si>
  <si>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</si>
  <si>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</si>
  <si>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</si>
  <si>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</si>
  <si>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</si>
  <si>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Site DAS Name</t>
  </si>
  <si>
    <t>Update</t>
  </si>
  <si>
    <t>DAS</t>
  </si>
  <si>
    <t>MA</t>
  </si>
  <si>
    <t>PowerTrack</t>
  </si>
  <si>
    <t>Paragon Communications</t>
  </si>
  <si>
    <t>MA: Bolton - Paragon</t>
  </si>
  <si>
    <t>AE</t>
  </si>
  <si>
    <t>1. SR081522</t>
  </si>
  <si>
    <t>1. South RCB CB 9-16, 2.13 SM-14 is tripped offline on 03/02
 and back online on 03/03</t>
  </si>
  <si>
    <t>1. 	SR084519</t>
  </si>
  <si>
    <t>1.  North RCB - CB 1-8, 1.4 ND-11 is tripped offline at 12:30pm on 05/09 and back online on 05/10.</t>
  </si>
  <si>
    <t>1.SR085760
2.SR087025</t>
  </si>
  <si>
    <t>1. North RCB - CB 1-8, 1.4 ND-11 is tripped offline at 12:30pm 06/08 and back online on 06/10.
2. Inverter N offline at 06:00AM on 06/27 and back online at 14:15 on same 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</si>
</sst>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9" fontId="30" fillId="38" borderId="12" xfId="2" applyFont="1" applyFill="1" applyBorder="1" applyAlignment="1">
      <alignment horizontal="left" vertical="top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35" fillId="46" borderId="0" xfId="0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8" dataCellStyle="Normal 2"/>
    <tableColumn id="1" xr3:uid="{9A753695-C18C-437C-AD9C-C2CE5C1A806E}" name="Site" dataDxfId="37" dataCellStyle="Normal 2"/>
    <tableColumn id="2" xr3:uid="{250F229D-34D2-4043-BE8F-6D9C210E223F}" name="State" dataDxfId="36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2.75" x14ac:dyDescent="0.35"/>
  <cols>
    <col min="1" max="1" width="35.86328125" bestFit="1" customWidth="1"/>
    <col min="2" max="2" width="8.46484375" customWidth="1"/>
    <col min="3" max="3" width="11.796875" customWidth="1"/>
    <col min="4" max="5" width="13.19921875" customWidth="1"/>
    <col min="6" max="6" width="13.19921875" style="1" customWidth="1"/>
    <col min="7" max="8" width="13.19921875" customWidth="1"/>
    <col min="9" max="9" width="13.19921875" style="1" customWidth="1"/>
  </cols>
  <sheetData>
    <row r="1" spans="1:9" ht="19.5" customHeight="1" x14ac:dyDescent="0.35">
      <c r="A1" s="55" t="str" cm="1">
        <f t="array" ref="A1">portfolio</f>
        <v>MA: Bolton - Paragon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 x14ac:dyDescent="0.35">
      <c r="A2" s="57" t="s">
        <v>2</v>
      </c>
      <c r="B2" s="57"/>
      <c r="C2" s="5">
        <f>SUM(C4:C79)</f>
        <v>644433</v>
      </c>
      <c r="D2" s="5">
        <f>SUM(D4:D79)</f>
        <v>806594.11</v>
      </c>
      <c r="E2" s="5">
        <f>C2-D2</f>
        <v>-162161.10999999999</v>
      </c>
      <c r="F2" s="6">
        <f>IFERROR(E2/D2, 0)</f>
        <v>-0.20104425260432413</v>
      </c>
      <c r="G2" s="5">
        <f>SUM(G4:G79)</f>
        <v>0</v>
      </c>
      <c r="H2" s="7">
        <f>C2-G2</f>
        <v>644433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11" t="str" cm="1">
        <f t="array" ref="A4">Sites[Site]</f>
        <v>MA: Bolton - Paragon</v>
      </c>
      <c r="B4" s="9" t="str" cm="1">
        <f t="array" ref="B4">Sites[State]</f>
        <v>MA</v>
      </c>
      <c r="C4" s="23">
        <f>SUM('1st Qtr'!C4, '2nd Qtr'!C4, '3rd Qtr'!C4, '4th Qtr'!C4)</f>
        <v>644433</v>
      </c>
      <c r="D4" s="12">
        <f>SUM('1st Qtr'!D4, '2nd Qtr'!D4, '3rd Qtr'!D4, '4th Qtr'!D4)</f>
        <v>806594.11</v>
      </c>
      <c r="E4" s="12">
        <f>IF(AND(ISNUMBER(C4),ISNUMBER(D4)), C4-D4, "")</f>
        <v>-162161.10999999999</v>
      </c>
      <c r="F4" s="13">
        <f>IFERROR(E4/D4, "")</f>
        <v>-0.20104425260432413</v>
      </c>
      <c r="G4" s="14">
        <f>SUM('1st Qtr'!G4, '2nd Qtr'!G4, '3rd Qtr'!G4, '4th Qtr'!G4)</f>
        <v>0</v>
      </c>
      <c r="H4" s="14">
        <f>SUM('1st Qtr'!H4, '2nd Qtr'!H4, '3rd Qtr'!H4, '4th Qtr'!H4)</f>
        <v>644433</v>
      </c>
      <c r="I4" s="15" t="str">
        <f>IFERROR(H4/G4, "")</f>
        <v/>
      </c>
    </row>
    <row r="5" spans="1:9" ht="13.15" x14ac:dyDescent="0.4">
      <c r="A5" s="20"/>
      <c r="B5" s="20"/>
      <c r="C5" s="20"/>
      <c r="D5" s="20"/>
      <c r="E5" s="20"/>
      <c r="F5" s="20"/>
      <c r="G5" s="20"/>
      <c r="H5" s="20"/>
      <c r="I5" s="20"/>
    </row>
    <row r="6" spans="1:9" ht="13.15" x14ac:dyDescent="0.4">
      <c r="A6" s="20"/>
      <c r="B6" s="20"/>
      <c r="C6" s="20"/>
      <c r="D6" s="20"/>
      <c r="E6" s="20"/>
      <c r="F6" s="20"/>
      <c r="G6" s="20"/>
      <c r="H6" s="20"/>
      <c r="I6" s="20"/>
    </row>
    <row r="7" spans="1:9" ht="13.15" x14ac:dyDescent="0.4">
      <c r="A7" s="20"/>
      <c r="B7" s="20"/>
      <c r="C7" s="20"/>
      <c r="D7" s="20"/>
      <c r="E7" s="20"/>
      <c r="F7" s="20"/>
      <c r="G7" s="20"/>
      <c r="H7" s="20"/>
      <c r="I7" s="20"/>
    </row>
    <row r="8" spans="1:9" ht="13.15" x14ac:dyDescent="0.4">
      <c r="A8" s="20"/>
      <c r="B8" s="20"/>
      <c r="C8" s="20"/>
      <c r="D8" s="20"/>
      <c r="E8" s="20"/>
      <c r="F8" s="20"/>
      <c r="G8" s="20"/>
      <c r="H8" s="20"/>
      <c r="I8" s="20"/>
    </row>
    <row r="9" spans="1:9" ht="13.15" x14ac:dyDescent="0.4">
      <c r="A9" s="20"/>
      <c r="B9" s="20"/>
      <c r="C9" s="20"/>
      <c r="D9" s="20"/>
      <c r="E9" s="20"/>
      <c r="F9" s="20"/>
      <c r="G9" s="20"/>
      <c r="H9" s="20"/>
      <c r="I9" s="20"/>
    </row>
    <row r="10" spans="1:9" ht="13.15" x14ac:dyDescent="0.4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5" priority="1" stopIfTrue="1" operator="lessThanOrEqual">
      <formula>-0.1</formula>
    </cfRule>
    <cfRule type="expression" dxfId="34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2.75" x14ac:dyDescent="0.35"/>
  <cols>
    <col min="1" max="1" width="35.86328125" bestFit="1" customWidth="1"/>
    <col min="2" max="2" width="8.46484375" customWidth="1"/>
    <col min="3" max="3" width="11.796875" customWidth="1"/>
    <col min="4" max="5" width="13.19921875" customWidth="1"/>
    <col min="6" max="6" width="13.19921875" style="1" customWidth="1"/>
    <col min="7" max="8" width="13.19921875" customWidth="1"/>
    <col min="9" max="9" width="13.19921875" style="1" customWidth="1"/>
  </cols>
  <sheetData>
    <row r="1" spans="1:9" ht="19.5" customHeight="1" x14ac:dyDescent="0.35">
      <c r="A1" s="55" t="str" cm="1">
        <f t="array" ref="A1">portfolio</f>
        <v>MA: Bolton - Paragon</v>
      </c>
      <c r="B1" s="55"/>
      <c r="C1" s="55"/>
      <c r="D1" s="56" t="s">
        <v>10</v>
      </c>
      <c r="E1" s="56"/>
      <c r="F1" s="56"/>
      <c r="G1" s="54" t="s">
        <v>11</v>
      </c>
      <c r="H1" s="54"/>
      <c r="I1" s="54"/>
    </row>
    <row r="2" spans="1:9" ht="19.5" customHeight="1" x14ac:dyDescent="0.35">
      <c r="A2" s="57" t="s">
        <v>2</v>
      </c>
      <c r="B2" s="57"/>
      <c r="C2" s="5">
        <f>SUM(C4:C79)</f>
        <v>204971</v>
      </c>
      <c r="D2" s="5">
        <f>SUM(D4:D79)</f>
        <v>255235.71</v>
      </c>
      <c r="E2" s="5">
        <f>C2-D2</f>
        <v>-50264.709999999992</v>
      </c>
      <c r="F2" s="6">
        <f>IFERROR(E2/D2, 0)</f>
        <v>-0.19693447284472848</v>
      </c>
      <c r="G2" s="5">
        <f>SUM(G4:G79)</f>
        <v>0</v>
      </c>
      <c r="H2" s="7">
        <f>C2-G2</f>
        <v>204971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44" t="str" cm="1">
        <f t="array" ref="A4">Sites[Site]</f>
        <v>MA: Bolton - Paragon</v>
      </c>
      <c r="B4" s="9" t="str" cm="1">
        <f t="array" ref="B4">Sites[State]</f>
        <v>MA</v>
      </c>
      <c r="C4" s="23">
        <f>SUM(Jan!C4, Feb!C4, Mar!C4)</f>
        <v>204971</v>
      </c>
      <c r="D4" s="12">
        <f>SUM(Jan!D4, Feb!D4, Mar!D4)</f>
        <v>255235.71</v>
      </c>
      <c r="E4" s="12">
        <f>IF(AND(ISNUMBER(C4),ISNUMBER(D4)), C4-D4, "")</f>
        <v>-50264.709999999992</v>
      </c>
      <c r="F4" s="13">
        <f>IFERROR(E4/D4, "")</f>
        <v>-0.19693447284472848</v>
      </c>
      <c r="G4" s="14">
        <f>SUM(Jan!G4, Feb!G4, Mar!G4)</f>
        <v>0</v>
      </c>
      <c r="H4" s="14">
        <f>SUM(Jan!H4, Feb!H4, Mar!H4)</f>
        <v>204971</v>
      </c>
      <c r="I4" s="15" t="str">
        <f>IFERROR(H4/G4, "")</f>
        <v/>
      </c>
    </row>
    <row r="5" spans="1:9" ht="14.25" x14ac:dyDescent="0.4">
      <c r="A5" s="20"/>
      <c r="B5" s="10"/>
      <c r="C5" s="20"/>
      <c r="D5" s="20"/>
      <c r="E5" s="20"/>
      <c r="F5" s="20"/>
      <c r="G5" s="20"/>
      <c r="H5" s="20"/>
      <c r="I5" s="20"/>
    </row>
    <row r="6" spans="1:9" ht="13.15" x14ac:dyDescent="0.4">
      <c r="A6" s="20"/>
      <c r="B6" s="20"/>
      <c r="C6" s="20"/>
      <c r="D6" s="20"/>
      <c r="E6" s="20"/>
      <c r="F6" s="20"/>
      <c r="G6" s="20"/>
      <c r="H6" s="20"/>
      <c r="I6" s="20"/>
    </row>
    <row r="7" spans="1:9" ht="13.15" x14ac:dyDescent="0.4">
      <c r="A7" s="20"/>
      <c r="B7" s="20"/>
      <c r="C7" s="20"/>
      <c r="D7" s="20"/>
      <c r="E7" s="20"/>
      <c r="F7" s="20"/>
      <c r="G7" s="20"/>
      <c r="H7" s="20"/>
      <c r="I7" s="20"/>
    </row>
    <row r="8" spans="1:9" ht="13.15" x14ac:dyDescent="0.4">
      <c r="A8" s="20"/>
      <c r="B8" s="20"/>
      <c r="C8" s="20"/>
      <c r="D8" s="20"/>
      <c r="E8" s="20"/>
      <c r="F8" s="20"/>
      <c r="G8" s="20"/>
      <c r="H8" s="20"/>
      <c r="I8" s="20"/>
    </row>
    <row r="9" spans="1:9" ht="13.15" x14ac:dyDescent="0.4">
      <c r="A9" s="20"/>
      <c r="B9" s="20"/>
      <c r="C9" s="20"/>
      <c r="D9" s="20"/>
      <c r="E9" s="20"/>
      <c r="F9" s="20"/>
      <c r="G9" s="20"/>
      <c r="H9" s="20"/>
      <c r="I9" s="20"/>
    </row>
    <row r="10" spans="1:9" ht="13.15" x14ac:dyDescent="0.4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G13" sqref="G13"/>
    </sheetView>
  </sheetViews>
  <sheetFormatPr defaultRowHeight="12.75" x14ac:dyDescent="0.35"/>
  <cols>
    <col min="1" max="1" width="35.86328125" bestFit="1" customWidth="1"/>
    <col min="2" max="2" width="8.46484375" customWidth="1"/>
    <col min="3" max="3" width="11.796875" customWidth="1"/>
    <col min="4" max="5" width="13.19921875" customWidth="1"/>
    <col min="6" max="6" width="13.19921875" style="1" customWidth="1"/>
    <col min="7" max="8" width="13.19921875" customWidth="1"/>
    <col min="9" max="9" width="13.19921875" style="1" customWidth="1"/>
  </cols>
  <sheetData>
    <row r="1" spans="1:9" ht="19.5" customHeight="1" x14ac:dyDescent="0.35">
      <c r="A1" s="55" t="str" cm="1">
        <f t="array" ref="A1">portfolio</f>
        <v>MA: Bolton - Paragon</v>
      </c>
      <c r="B1" s="55"/>
      <c r="C1" s="55"/>
      <c r="D1" s="56" t="s">
        <v>12</v>
      </c>
      <c r="E1" s="56"/>
      <c r="F1" s="56"/>
      <c r="G1" s="54" t="s">
        <v>13</v>
      </c>
      <c r="H1" s="54"/>
      <c r="I1" s="54"/>
    </row>
    <row r="2" spans="1:9" ht="19.5" customHeight="1" x14ac:dyDescent="0.35">
      <c r="A2" s="57" t="s">
        <v>2</v>
      </c>
      <c r="B2" s="57"/>
      <c r="C2" s="5">
        <f>SUM(C4:C79)</f>
        <v>439462</v>
      </c>
      <c r="D2" s="5">
        <f>SUM(D4:D79)</f>
        <v>551358.4</v>
      </c>
      <c r="E2" s="5">
        <f>C2-D2</f>
        <v>-111896.40000000002</v>
      </c>
      <c r="F2" s="6">
        <f>IFERROR(E2/D2, 0)</f>
        <v>-0.20294675840614748</v>
      </c>
      <c r="G2" s="5">
        <f>SUM(G4:G79)</f>
        <v>0</v>
      </c>
      <c r="H2" s="7">
        <f>C2-G2</f>
        <v>439462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44" t="str" cm="1">
        <f t="array" ref="A4">Sites[Site]</f>
        <v>MA: Bolton - Paragon</v>
      </c>
      <c r="B4" s="9" t="str" cm="1">
        <f t="array" ref="B4">Sites[State]</f>
        <v>MA</v>
      </c>
      <c r="C4" s="23">
        <f>SUM(Apr!C4, May!C4, Jun!C4)</f>
        <v>439462</v>
      </c>
      <c r="D4" s="12">
        <f>SUM(Apr!D4, May!D4, Jun!D4)</f>
        <v>551358.4</v>
      </c>
      <c r="E4" s="12">
        <f>IF(AND(ISNUMBER(C4),ISNUMBER(D4)), C4-D4, "")</f>
        <v>-111896.40000000002</v>
      </c>
      <c r="F4" s="13">
        <f>IFERROR(E4/D4, "")</f>
        <v>-0.20294675840614748</v>
      </c>
      <c r="G4" s="14">
        <f>SUM(Apr!G4,May!G4,Jun!G4)</f>
        <v>0</v>
      </c>
      <c r="H4" s="14">
        <f>SUM(Apr!H4, May!H4, Jun!H4)</f>
        <v>439462</v>
      </c>
      <c r="I4" s="15" t="str">
        <f>IFERROR(H4/G4, "")</f>
        <v/>
      </c>
    </row>
    <row r="5" spans="1:9" ht="13.15" x14ac:dyDescent="0.4">
      <c r="A5" s="20"/>
      <c r="B5" s="20"/>
      <c r="C5" s="20"/>
      <c r="D5" s="20"/>
      <c r="E5" s="20"/>
      <c r="F5" s="20"/>
      <c r="G5" s="20"/>
      <c r="H5" s="20"/>
      <c r="I5" s="20"/>
    </row>
    <row r="6" spans="1:9" ht="13.15" x14ac:dyDescent="0.4">
      <c r="A6" s="20"/>
      <c r="B6" s="20"/>
      <c r="C6" s="20"/>
      <c r="D6" s="20"/>
      <c r="E6" s="20"/>
      <c r="F6" s="20"/>
      <c r="G6" s="20"/>
      <c r="H6" s="20"/>
      <c r="I6" s="20"/>
    </row>
    <row r="7" spans="1:9" ht="13.15" x14ac:dyDescent="0.4">
      <c r="A7" s="20"/>
      <c r="B7" s="20"/>
      <c r="C7" s="20"/>
      <c r="D7" s="20"/>
      <c r="E7" s="20"/>
      <c r="F7" s="20"/>
      <c r="G7" s="20"/>
      <c r="H7" s="20"/>
      <c r="I7" s="20"/>
    </row>
    <row r="8" spans="1:9" ht="13.15" x14ac:dyDescent="0.4">
      <c r="A8" s="20"/>
      <c r="B8" s="20"/>
      <c r="C8" s="20"/>
      <c r="D8" s="20"/>
      <c r="E8" s="20"/>
      <c r="F8" s="20"/>
      <c r="G8" s="20"/>
      <c r="H8" s="20"/>
      <c r="I8" s="20"/>
    </row>
    <row r="9" spans="1:9" ht="13.15" x14ac:dyDescent="0.4">
      <c r="A9" s="20"/>
      <c r="B9" s="20"/>
      <c r="C9" s="20"/>
      <c r="D9" s="20"/>
      <c r="E9" s="20"/>
      <c r="F9" s="20"/>
      <c r="G9" s="20"/>
      <c r="H9" s="20"/>
      <c r="I9" s="20"/>
    </row>
    <row r="10" spans="1:9" ht="13.15" x14ac:dyDescent="0.4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2.75" x14ac:dyDescent="0.35"/>
  <cols>
    <col min="1" max="1" width="35.86328125" bestFit="1" customWidth="1"/>
    <col min="2" max="2" width="8.46484375" customWidth="1"/>
    <col min="3" max="3" width="11.796875" customWidth="1"/>
    <col min="4" max="5" width="13.19921875" customWidth="1"/>
    <col min="6" max="6" width="13.19921875" style="1" customWidth="1"/>
    <col min="7" max="8" width="13.19921875" customWidth="1"/>
    <col min="9" max="9" width="13.19921875" style="1" customWidth="1"/>
  </cols>
  <sheetData>
    <row r="1" spans="1:9" ht="19.5" customHeight="1" x14ac:dyDescent="0.35">
      <c r="A1" s="55" t="str" cm="1">
        <f t="array" ref="A1">portfolio</f>
        <v>MA: Bolton - Paragon</v>
      </c>
      <c r="B1" s="55"/>
      <c r="C1" s="55"/>
      <c r="D1" s="56" t="s">
        <v>14</v>
      </c>
      <c r="E1" s="56"/>
      <c r="F1" s="56"/>
      <c r="G1" s="54" t="s">
        <v>15</v>
      </c>
      <c r="H1" s="54"/>
      <c r="I1" s="54"/>
    </row>
    <row r="2" spans="1:9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44" t="str" cm="1">
        <f t="array" ref="A4">Sites[Site]</f>
        <v>MA: Bolton - Paragon</v>
      </c>
      <c r="B4" s="9" t="str" cm="1">
        <f t="array" ref="B4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75" x14ac:dyDescent="0.4">
      <c r="A5" s="16"/>
      <c r="B5" s="20"/>
      <c r="C5" s="20"/>
      <c r="D5" s="20"/>
      <c r="E5" s="20"/>
      <c r="F5" s="20"/>
      <c r="G5" s="20"/>
      <c r="H5" s="20"/>
      <c r="I5" s="20"/>
    </row>
    <row r="6" spans="1:9" ht="15.75" x14ac:dyDescent="0.4">
      <c r="A6" s="16"/>
      <c r="B6" s="20"/>
      <c r="C6" s="20"/>
      <c r="D6" s="20"/>
      <c r="E6" s="20"/>
      <c r="F6" s="20"/>
      <c r="G6" s="20"/>
      <c r="H6" s="20"/>
      <c r="I6" s="20"/>
    </row>
    <row r="7" spans="1:9" ht="15.75" x14ac:dyDescent="0.4">
      <c r="A7" s="16"/>
      <c r="B7" s="20"/>
      <c r="C7" s="20"/>
      <c r="D7" s="20"/>
      <c r="E7" s="20"/>
      <c r="F7" s="20"/>
      <c r="G7" s="20"/>
      <c r="H7" s="20"/>
      <c r="I7" s="20"/>
    </row>
    <row r="8" spans="1:9" ht="15.75" x14ac:dyDescent="0.4">
      <c r="A8" s="16"/>
      <c r="B8" s="20"/>
      <c r="C8" s="20"/>
      <c r="D8" s="20"/>
      <c r="E8" s="20"/>
      <c r="F8" s="20"/>
      <c r="G8" s="20"/>
      <c r="H8" s="20"/>
      <c r="I8" s="20"/>
    </row>
    <row r="9" spans="1:9" ht="15.75" x14ac:dyDescent="0.4">
      <c r="A9" s="16"/>
      <c r="B9" s="20"/>
      <c r="C9" s="20"/>
      <c r="D9" s="20"/>
      <c r="E9" s="20"/>
      <c r="F9" s="20"/>
      <c r="G9" s="20"/>
      <c r="H9" s="20"/>
      <c r="I9" s="20"/>
    </row>
    <row r="10" spans="1:9" ht="15.75" x14ac:dyDescent="0.4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2.75" x14ac:dyDescent="0.35"/>
  <cols>
    <col min="1" max="1" width="35.86328125" bestFit="1" customWidth="1"/>
    <col min="2" max="2" width="8.46484375" customWidth="1"/>
    <col min="3" max="3" width="11.796875" customWidth="1"/>
    <col min="4" max="5" width="13.19921875" customWidth="1"/>
    <col min="6" max="6" width="13.19921875" style="1" customWidth="1"/>
    <col min="7" max="8" width="13.19921875" customWidth="1"/>
    <col min="9" max="9" width="13.19921875" style="1" customWidth="1"/>
  </cols>
  <sheetData>
    <row r="1" spans="1:9" ht="19.5" customHeight="1" x14ac:dyDescent="0.35">
      <c r="A1" s="55" t="str" cm="1">
        <f t="array" ref="A1">portfolio</f>
        <v>MA: Bolton - Paragon</v>
      </c>
      <c r="B1" s="55"/>
      <c r="C1" s="55"/>
      <c r="D1" s="56" t="s">
        <v>16</v>
      </c>
      <c r="E1" s="56"/>
      <c r="F1" s="56"/>
      <c r="G1" s="54" t="s">
        <v>17</v>
      </c>
      <c r="H1" s="54"/>
      <c r="I1" s="54"/>
    </row>
    <row r="2" spans="1:9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44" t="str" cm="1">
        <f t="array" ref="A4">Sites[Site]</f>
        <v>MA: Bolton - Paragon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75" x14ac:dyDescent="0.35">
      <c r="A5" s="16"/>
      <c r="B5" s="10"/>
      <c r="C5" s="41"/>
      <c r="D5" s="17"/>
      <c r="E5" s="17"/>
      <c r="F5" s="18"/>
      <c r="G5" s="19"/>
      <c r="H5" s="19"/>
      <c r="I5" s="18"/>
    </row>
    <row r="6" spans="1:9" ht="14.25" x14ac:dyDescent="0.4">
      <c r="A6" s="20"/>
      <c r="B6" s="10"/>
      <c r="C6" s="41"/>
      <c r="D6" s="17"/>
      <c r="E6" s="17"/>
      <c r="F6" s="18"/>
      <c r="G6" s="19"/>
      <c r="H6" s="19"/>
      <c r="I6" s="18"/>
    </row>
    <row r="7" spans="1:9" ht="14.25" x14ac:dyDescent="0.4">
      <c r="A7" s="20"/>
      <c r="B7" s="10"/>
      <c r="C7" s="41"/>
      <c r="D7" s="17"/>
      <c r="E7" s="17"/>
      <c r="F7" s="18"/>
      <c r="G7" s="19"/>
      <c r="H7" s="19"/>
      <c r="I7" s="18"/>
    </row>
    <row r="8" spans="1:9" ht="14.25" x14ac:dyDescent="0.4">
      <c r="A8" s="20"/>
      <c r="B8" s="10"/>
      <c r="C8" s="41"/>
      <c r="D8" s="17"/>
      <c r="E8" s="17"/>
      <c r="F8" s="18"/>
      <c r="G8" s="19"/>
      <c r="H8" s="19"/>
      <c r="I8" s="18"/>
    </row>
    <row r="9" spans="1:9" ht="14.25" x14ac:dyDescent="0.4">
      <c r="A9" s="20"/>
      <c r="B9" s="10"/>
      <c r="C9" s="41"/>
      <c r="D9" s="17"/>
      <c r="E9" s="17"/>
      <c r="F9" s="18"/>
      <c r="G9" s="19"/>
      <c r="H9" s="19"/>
      <c r="I9" s="18"/>
    </row>
    <row r="10" spans="1:9" ht="13.15" x14ac:dyDescent="0.4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G17" sqref="G17"/>
    </sheetView>
  </sheetViews>
  <sheetFormatPr defaultRowHeight="13.5" x14ac:dyDescent="0.35"/>
  <cols>
    <col min="1" max="1" width="35.86328125" bestFit="1" customWidth="1"/>
    <col min="2" max="2" width="8.46484375" style="30" customWidth="1"/>
    <col min="3" max="3" width="11.796875" customWidth="1"/>
    <col min="4" max="5" width="13.19921875" customWidth="1"/>
    <col min="6" max="6" width="13.19921875" style="1" customWidth="1"/>
    <col min="7" max="8" width="13.19921875" customWidth="1"/>
    <col min="9" max="9" width="13.1992187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5" t="str" cm="1">
        <f t="array" ref="A1">portfolio</f>
        <v>MA: Bolton - Paragon</v>
      </c>
      <c r="B1" s="55"/>
      <c r="C1" s="55"/>
      <c r="D1" s="56" t="s">
        <v>18</v>
      </c>
      <c r="E1" s="56"/>
      <c r="F1" s="56"/>
      <c r="G1" s="54" t="s">
        <v>19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SUM(C4:C78)</f>
        <v>23676</v>
      </c>
      <c r="D2" s="5">
        <f>SUM(D4:D78)</f>
        <v>48430.71</v>
      </c>
      <c r="E2" s="5">
        <f>C2-D2</f>
        <v>-24754.71</v>
      </c>
      <c r="F2" s="6">
        <f>IFERROR(E2/D2, 0)</f>
        <v>-0.51113663210801574</v>
      </c>
      <c r="G2" s="5">
        <f>SUM(G4:G78)</f>
        <v>0</v>
      </c>
      <c r="H2" s="7">
        <f>C2-G2</f>
        <v>23676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35">
      <c r="A3" s="26" t="s">
        <v>3</v>
      </c>
      <c r="B3" s="8" t="s">
        <v>4</v>
      </c>
      <c r="C3" s="48" t="s">
        <v>5</v>
      </c>
      <c r="D3" s="49" t="s">
        <v>6</v>
      </c>
      <c r="E3" s="31" t="s">
        <v>7</v>
      </c>
      <c r="F3" s="32" t="s">
        <v>8</v>
      </c>
      <c r="G3" s="52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46" t="str" cm="1">
        <f t="array" ref="A4">Sites[Site]</f>
        <v>MA: Bolton - Paragon</v>
      </c>
      <c r="B4" s="27" t="str" cm="1">
        <f t="array" ref="B4">Sites[State]</f>
        <v>MA</v>
      </c>
      <c r="C4" s="50">
        <v>23676</v>
      </c>
      <c r="D4" s="51">
        <v>48430.71</v>
      </c>
      <c r="E4" s="12">
        <f>IF(AND(ISNUMBER(C4),ISNUMBER(D4)), C4-D4, "")</f>
        <v>-24754.71</v>
      </c>
      <c r="F4" s="40">
        <f>IFERROR(E4/D4, "")</f>
        <v>-0.51113663210801574</v>
      </c>
      <c r="G4" s="53">
        <v>0</v>
      </c>
      <c r="H4" s="14">
        <f>IF(AND(ISNUMBER(C4),ISNUMBER(G4)), C4-G4, "")</f>
        <v>23676</v>
      </c>
      <c r="I4" s="15" t="str">
        <f>IFERROR(H4/G4, "")</f>
        <v/>
      </c>
      <c r="J4" s="47"/>
      <c r="K4" s="47"/>
    </row>
    <row r="5" spans="1:11" ht="14.25" x14ac:dyDescent="0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5" priority="4" stopIfTrue="1" operator="lessThanOrEqual">
      <formula>-0.1</formula>
    </cfRule>
    <cfRule type="expression" dxfId="24" priority="5">
      <formula>AND(ISNUMBER(F2), F2&gt;=0.1)</formula>
    </cfRule>
  </conditionalFormatting>
  <conditionalFormatting sqref="F5:F78">
    <cfRule type="cellIs" dxfId="23" priority="1" stopIfTrue="1" operator="lessThanOrEqual">
      <formula>-0.1</formula>
    </cfRule>
    <cfRule type="expression" dxfId="22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G19" sqref="G19"/>
    </sheetView>
  </sheetViews>
  <sheetFormatPr defaultRowHeight="13.5" x14ac:dyDescent="0.35"/>
  <cols>
    <col min="1" max="1" width="35.86328125" bestFit="1" customWidth="1"/>
    <col min="2" max="2" width="8.46484375" style="30" customWidth="1"/>
    <col min="3" max="3" width="11.796875" customWidth="1"/>
    <col min="4" max="5" width="13.19921875" customWidth="1"/>
    <col min="6" max="6" width="13.19921875" style="1" customWidth="1"/>
    <col min="7" max="8" width="13.19921875" customWidth="1"/>
    <col min="9" max="9" width="13.1992187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5" t="str" cm="1">
        <f t="array" ref="A1">portfolio</f>
        <v>MA: Bolton - Paragon</v>
      </c>
      <c r="B1" s="55"/>
      <c r="C1" s="55"/>
      <c r="D1" s="56" t="s">
        <v>22</v>
      </c>
      <c r="E1" s="56"/>
      <c r="F1" s="56"/>
      <c r="G1" s="54" t="s">
        <v>23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69800</v>
      </c>
      <c r="D2" s="5">
        <f>SUM(D4:D79)</f>
        <v>84973</v>
      </c>
      <c r="E2" s="5">
        <f>C2-D2</f>
        <v>-15173</v>
      </c>
      <c r="F2" s="6">
        <f>IFERROR(E2/D2, 0)</f>
        <v>-0.17856260223835807</v>
      </c>
      <c r="G2" s="5">
        <f>SUM(G4:G79)</f>
        <v>0</v>
      </c>
      <c r="H2" s="7">
        <f>C2-G2</f>
        <v>69800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46" t="str" cm="1">
        <f t="array" ref="A4">Sites[Site]</f>
        <v>MA: Bolton - Paragon</v>
      </c>
      <c r="B4" s="27" t="str" cm="1">
        <f t="array" ref="B4">Sites[State]</f>
        <v>MA</v>
      </c>
      <c r="C4" s="23">
        <v>69800</v>
      </c>
      <c r="D4" s="12">
        <v>84973</v>
      </c>
      <c r="E4" s="12">
        <f>IF(AND(ISNUMBER(C4),ISNUMBER(D4)), C4-D4, "")</f>
        <v>-15173</v>
      </c>
      <c r="F4" s="13">
        <f>IFERROR(E4/D4, "")</f>
        <v>-0.17856260223835807</v>
      </c>
      <c r="G4" s="14">
        <v>0</v>
      </c>
      <c r="H4" s="14">
        <f>IF(AND(ISNUMBER(C4),ISNUMBER(G4)), C4-G4, "")</f>
        <v>69800</v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zoomScale="80" zoomScaleNormal="80" workbookViewId="0">
      <pane xSplit="2" ySplit="3" topLeftCell="D4" activePane="bottomRight" state="frozen"/>
      <selection pane="topRight" activeCell="C14" sqref="C14"/>
      <selection pane="bottomLeft" activeCell="C14" sqref="C14"/>
      <selection pane="bottomRight" activeCell="G18" sqref="G18"/>
    </sheetView>
  </sheetViews>
  <sheetFormatPr defaultRowHeight="13.5" x14ac:dyDescent="0.35"/>
  <cols>
    <col min="1" max="1" width="35.86328125" bestFit="1" customWidth="1"/>
    <col min="2" max="2" width="8.46484375" style="30" customWidth="1"/>
    <col min="3" max="3" width="11.796875" customWidth="1"/>
    <col min="4" max="5" width="13.19921875" customWidth="1"/>
    <col min="6" max="6" width="13.19921875" style="1" customWidth="1"/>
    <col min="7" max="8" width="13.19921875" customWidth="1"/>
    <col min="9" max="9" width="13.1992187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5" t="str" cm="1">
        <f t="array" ref="A1">portfolio</f>
        <v>MA: Bolton - Paragon</v>
      </c>
      <c r="B1" s="55"/>
      <c r="C1" s="55"/>
      <c r="D1" s="56" t="s">
        <v>24</v>
      </c>
      <c r="E1" s="56"/>
      <c r="F1" s="56"/>
      <c r="G1" s="54" t="s">
        <v>25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111495</v>
      </c>
      <c r="D2" s="5">
        <f>SUM(D4:D79)</f>
        <v>121832</v>
      </c>
      <c r="E2" s="5">
        <f>C2-D2</f>
        <v>-10337</v>
      </c>
      <c r="F2" s="6">
        <f>IFERROR(E2/D2, 0)</f>
        <v>-8.4846345787641997E-2</v>
      </c>
      <c r="G2" s="5">
        <f>SUM(G4:G79)</f>
        <v>0</v>
      </c>
      <c r="H2" s="7">
        <f>C2-G2</f>
        <v>111495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5" x14ac:dyDescent="0.5">
      <c r="A4" s="28" t="str" cm="1">
        <f t="array" ref="A4">Sites[Site]</f>
        <v>MA: Bolton - Paragon</v>
      </c>
      <c r="B4" s="27" t="str" cm="1">
        <f t="array" ref="B4">Sites[State]</f>
        <v>MA</v>
      </c>
      <c r="C4" s="23">
        <v>111495</v>
      </c>
      <c r="D4" s="12">
        <v>121832</v>
      </c>
      <c r="E4" s="12">
        <f>IF(AND(ISNUMBER(C4),ISNUMBER(D4)), C4-D4, "")</f>
        <v>-10337</v>
      </c>
      <c r="F4" s="13">
        <f>IFERROR(E4/D4, "")</f>
        <v>-8.4846345787641997E-2</v>
      </c>
      <c r="G4" s="14">
        <v>0</v>
      </c>
      <c r="H4" s="14">
        <f>IF(AND(ISNUMBER(C4),ISNUMBER(G4)), C4-G4, "")</f>
        <v>111495</v>
      </c>
      <c r="I4" s="15" t="str">
        <f>IFERROR(H4/G4, "")</f>
        <v/>
      </c>
      <c r="J4" s="36" t="s">
        <v>54</v>
      </c>
      <c r="K4" s="36" t="s">
        <v>53</v>
      </c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D4" activePane="bottomRight" state="frozen"/>
      <selection pane="topRight" activeCell="C14" sqref="C14"/>
      <selection pane="bottomLeft" activeCell="C14" sqref="C14"/>
      <selection pane="bottomRight" activeCell="G5" sqref="G5"/>
    </sheetView>
  </sheetViews>
  <sheetFormatPr defaultRowHeight="13.5" x14ac:dyDescent="0.35"/>
  <cols>
    <col min="1" max="1" width="35.86328125" bestFit="1" customWidth="1"/>
    <col min="2" max="2" width="8.46484375" style="30" customWidth="1"/>
    <col min="3" max="3" width="11.796875" customWidth="1"/>
    <col min="4" max="5" width="13.19921875" customWidth="1"/>
    <col min="6" max="6" width="13.19921875" style="1" customWidth="1"/>
    <col min="7" max="8" width="13.19921875" customWidth="1"/>
    <col min="9" max="9" width="13.1992187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5" t="str" cm="1">
        <f t="array" ref="A1">portfolio</f>
        <v>MA: Bolton - Paragon</v>
      </c>
      <c r="B1" s="55"/>
      <c r="C1" s="55"/>
      <c r="D1" s="56" t="s">
        <v>28</v>
      </c>
      <c r="E1" s="56"/>
      <c r="F1" s="56"/>
      <c r="G1" s="54" t="s">
        <v>29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127761</v>
      </c>
      <c r="D2" s="5">
        <f>SUM(D4:D79)</f>
        <v>156141.6</v>
      </c>
      <c r="E2" s="5">
        <f>C2-D2</f>
        <v>-28380.600000000006</v>
      </c>
      <c r="F2" s="6">
        <f>IFERROR(E2/D2, 0)</f>
        <v>-0.18176193916291369</v>
      </c>
      <c r="G2" s="5">
        <f>SUM(G4:G79)</f>
        <v>0</v>
      </c>
      <c r="H2" s="7">
        <f>C2-G2</f>
        <v>127761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Bolton - Paragon</v>
      </c>
      <c r="B4" s="27" t="str" cm="1">
        <f t="array" ref="B4">Sites[State]</f>
        <v>MA</v>
      </c>
      <c r="C4" s="23">
        <v>127761</v>
      </c>
      <c r="D4" s="12">
        <v>156141.6</v>
      </c>
      <c r="E4" s="12">
        <f>IF(AND(ISNUMBER(C4),ISNUMBER(D4)), C4-D4, "")</f>
        <v>-28380.600000000006</v>
      </c>
      <c r="F4" s="13">
        <f>IFERROR(E4/D4, "")</f>
        <v>-0.18176193916291369</v>
      </c>
      <c r="G4" s="14">
        <v>0</v>
      </c>
      <c r="H4" s="14">
        <f>IF(AND(ISNUMBER(C4),ISNUMBER(G4)), C4-G4, "")</f>
        <v>127761</v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H17" sqref="H17"/>
    </sheetView>
  </sheetViews>
  <sheetFormatPr defaultRowHeight="13.5" x14ac:dyDescent="0.35"/>
  <cols>
    <col min="1" max="1" width="35.86328125" bestFit="1" customWidth="1"/>
    <col min="2" max="2" width="8.46484375" style="30" customWidth="1"/>
    <col min="3" max="3" width="11.796875" customWidth="1"/>
    <col min="4" max="5" width="13.19921875" customWidth="1"/>
    <col min="6" max="6" width="13.19921875" style="1" customWidth="1"/>
    <col min="7" max="8" width="13.19921875" customWidth="1"/>
    <col min="9" max="9" width="13.1992187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5" t="str" cm="1">
        <f t="array" ref="A1">portfolio</f>
        <v>MA: Bolton - Paragon</v>
      </c>
      <c r="B1" s="55"/>
      <c r="C1" s="55"/>
      <c r="D1" s="56" t="s">
        <v>26</v>
      </c>
      <c r="E1" s="56"/>
      <c r="F1" s="56"/>
      <c r="G1" s="54" t="s">
        <v>27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149605</v>
      </c>
      <c r="D2" s="5">
        <f>SUM(D4:D79)</f>
        <v>188114.7</v>
      </c>
      <c r="E2" s="5">
        <f>C2-D2</f>
        <v>-38509.700000000012</v>
      </c>
      <c r="F2" s="6">
        <f>IFERROR(E2/D2, 0)</f>
        <v>-0.20471393251032488</v>
      </c>
      <c r="G2" s="5">
        <f>SUM(G4:G79)</f>
        <v>0</v>
      </c>
      <c r="H2" s="7">
        <f>C2-G2</f>
        <v>149605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5" x14ac:dyDescent="0.5">
      <c r="A4" s="28" t="str" cm="1">
        <f t="array" ref="A4">Sites[Site]</f>
        <v>MA: Bolton - Paragon</v>
      </c>
      <c r="B4" s="27" t="str" cm="1">
        <f t="array" ref="B4">Sites[State]</f>
        <v>MA</v>
      </c>
      <c r="C4" s="23">
        <v>149605</v>
      </c>
      <c r="D4" s="12">
        <v>188114.7</v>
      </c>
      <c r="E4" s="12">
        <f>IF(AND(ISNUMBER(C4),ISNUMBER(D4)), C4-D4, "")</f>
        <v>-38509.700000000012</v>
      </c>
      <c r="F4" s="13">
        <f>IFERROR(E4/D4, "")</f>
        <v>-0.20471393251032488</v>
      </c>
      <c r="G4" s="14">
        <v>0</v>
      </c>
      <c r="H4" s="14">
        <f>IF(AND(ISNUMBER(C4),ISNUMBER(G4)), C4-G4, "")</f>
        <v>149605</v>
      </c>
      <c r="I4" s="15" t="str">
        <f>IFERROR(H4/G4, "")</f>
        <v/>
      </c>
      <c r="J4" s="36" t="s">
        <v>56</v>
      </c>
      <c r="K4" s="36" t="s">
        <v>55</v>
      </c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tabSelected="1" zoomScale="80" zoomScaleNormal="80"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J19" sqref="J19"/>
    </sheetView>
  </sheetViews>
  <sheetFormatPr defaultRowHeight="13.5" x14ac:dyDescent="0.35"/>
  <cols>
    <col min="1" max="1" width="35.86328125" bestFit="1" customWidth="1"/>
    <col min="2" max="2" width="8.46484375" style="30" customWidth="1"/>
    <col min="3" max="3" width="11.796875" customWidth="1"/>
    <col min="4" max="5" width="13.19921875" customWidth="1"/>
    <col min="6" max="6" width="13.19921875" style="1" customWidth="1"/>
    <col min="7" max="8" width="13.19921875" customWidth="1"/>
    <col min="9" max="9" width="13.1992187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5" t="str" cm="1">
        <f t="array" ref="A1">portfolio</f>
        <v>MA: Bolton - Paragon</v>
      </c>
      <c r="B1" s="55"/>
      <c r="C1" s="55"/>
      <c r="D1" s="56" t="s">
        <v>30</v>
      </c>
      <c r="E1" s="56"/>
      <c r="F1" s="56"/>
      <c r="G1" s="54" t="s">
        <v>31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162096</v>
      </c>
      <c r="D2" s="5">
        <f>SUM(D4:D79)</f>
        <v>207102.1</v>
      </c>
      <c r="E2" s="5">
        <f>C2-D2</f>
        <v>-45006.100000000006</v>
      </c>
      <c r="F2" s="6">
        <f>IFERROR(E2/D2, 0)</f>
        <v>-0.21731358590762723</v>
      </c>
      <c r="G2" s="5">
        <f>SUM(G4:G79)</f>
        <v>0</v>
      </c>
      <c r="H2" s="7">
        <f>C2-G2</f>
        <v>162096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42.75" x14ac:dyDescent="0.5">
      <c r="A4" s="28" t="str" cm="1">
        <f t="array" ref="A4">Sites[Site]</f>
        <v>MA: Bolton - Paragon</v>
      </c>
      <c r="B4" s="27" t="str" cm="1">
        <f t="array" ref="B4">Sites[State]</f>
        <v>MA</v>
      </c>
      <c r="C4" s="23">
        <v>162096</v>
      </c>
      <c r="D4" s="12">
        <v>207102.1</v>
      </c>
      <c r="E4" s="12">
        <f>IF(AND(ISNUMBER(C4),ISNUMBER(D4)), C4-D4, "")</f>
        <v>-45006.100000000006</v>
      </c>
      <c r="F4" s="13">
        <f>IFERROR(E4/D4, "")</f>
        <v>-0.21731358590762723</v>
      </c>
      <c r="G4" s="14">
        <v>0</v>
      </c>
      <c r="H4" s="14">
        <f>IF(AND(ISNUMBER(C4),ISNUMBER(G4)), C4-G4, "")</f>
        <v>162096</v>
      </c>
      <c r="I4" s="15" t="str">
        <f>IFERROR(H4/G4, "")</f>
        <v/>
      </c>
      <c r="J4" s="36" t="s">
        <v>58</v>
      </c>
      <c r="K4" s="36" t="s">
        <v>57</v>
      </c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46484375" style="30" customWidth="1"/>
    <col min="3" max="3" width="11.796875" customWidth="1"/>
    <col min="4" max="5" width="13.19921875" customWidth="1"/>
    <col min="6" max="6" width="13.19921875" style="1" customWidth="1"/>
    <col min="7" max="8" width="13.19921875" customWidth="1"/>
    <col min="9" max="9" width="13.1992187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5" t="str" cm="1">
        <f t="array" ref="A1">portfolio</f>
        <v>MA: Bolton - Paragon</v>
      </c>
      <c r="B1" s="55"/>
      <c r="C1" s="55"/>
      <c r="D1" s="56" t="s">
        <v>32</v>
      </c>
      <c r="E1" s="56"/>
      <c r="F1" s="56"/>
      <c r="G1" s="54" t="s">
        <v>33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Bolton - Paragon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46484375" style="30" customWidth="1"/>
    <col min="3" max="3" width="11.796875" customWidth="1"/>
    <col min="4" max="5" width="13.19921875" customWidth="1"/>
    <col min="6" max="6" width="13.19921875" style="1" customWidth="1"/>
    <col min="7" max="8" width="13.19921875" customWidth="1"/>
    <col min="9" max="9" width="13.1992187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5" t="str" cm="1">
        <f t="array" ref="A1">portfolio</f>
        <v>MA: Bolton - Paragon</v>
      </c>
      <c r="B1" s="55"/>
      <c r="C1" s="55"/>
      <c r="D1" s="56" t="s">
        <v>34</v>
      </c>
      <c r="E1" s="56"/>
      <c r="F1" s="56"/>
      <c r="G1" s="54" t="s">
        <v>35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Bolton - Paragon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46484375" style="30" customWidth="1"/>
    <col min="3" max="3" width="11.796875" customWidth="1"/>
    <col min="4" max="5" width="13.19921875" customWidth="1"/>
    <col min="6" max="6" width="13.19921875" style="1" customWidth="1"/>
    <col min="7" max="8" width="13.19921875" customWidth="1"/>
    <col min="9" max="9" width="13.1992187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5" t="str" cm="1">
        <f t="array" ref="A1">portfolio</f>
        <v>MA: Bolton - Paragon</v>
      </c>
      <c r="B1" s="55"/>
      <c r="C1" s="55"/>
      <c r="D1" s="56" t="s">
        <v>36</v>
      </c>
      <c r="E1" s="56"/>
      <c r="F1" s="56"/>
      <c r="G1" s="54" t="s">
        <v>37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Bolton - Paragon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46484375" style="30" customWidth="1"/>
    <col min="3" max="3" width="11.796875" customWidth="1"/>
    <col min="4" max="5" width="13.19921875" customWidth="1"/>
    <col min="6" max="6" width="13.19921875" style="1" customWidth="1"/>
    <col min="7" max="8" width="13.19921875" customWidth="1"/>
    <col min="9" max="9" width="13.1992187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5" t="str" cm="1">
        <f t="array" ref="A1">portfolio</f>
        <v>MA: Bolton - Paragon</v>
      </c>
      <c r="B1" s="55"/>
      <c r="C1" s="55"/>
      <c r="D1" s="56" t="s">
        <v>38</v>
      </c>
      <c r="E1" s="56"/>
      <c r="F1" s="56"/>
      <c r="G1" s="54" t="s">
        <v>39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Bolton - Paragon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46484375" style="30" customWidth="1"/>
    <col min="3" max="3" width="11.796875" customWidth="1"/>
    <col min="4" max="5" width="13.19921875" customWidth="1"/>
    <col min="6" max="6" width="13.19921875" style="1" customWidth="1"/>
    <col min="7" max="8" width="13.19921875" customWidth="1"/>
    <col min="9" max="9" width="13.1992187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5" t="str" cm="1">
        <f t="array" ref="A1">portfolio</f>
        <v>MA: Bolton - Paragon</v>
      </c>
      <c r="B1" s="55"/>
      <c r="C1" s="55"/>
      <c r="D1" s="56" t="s">
        <v>40</v>
      </c>
      <c r="E1" s="56"/>
      <c r="F1" s="56"/>
      <c r="G1" s="54" t="s">
        <v>41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Bolton - Paragon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3" priority="3" stopIfTrue="1" operator="lessThanOrEqual">
      <formula>-0.1</formula>
    </cfRule>
    <cfRule type="expression" dxfId="2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13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46484375" style="30" customWidth="1"/>
    <col min="3" max="3" width="11.796875" customWidth="1"/>
    <col min="4" max="5" width="13.19921875" customWidth="1"/>
    <col min="6" max="6" width="13.19921875" style="1" customWidth="1"/>
    <col min="7" max="8" width="13.19921875" customWidth="1"/>
    <col min="9" max="9" width="13.1992187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5" t="str" cm="1">
        <f t="array" ref="A1">portfolio</f>
        <v>MA: Bolton - Paragon</v>
      </c>
      <c r="B1" s="55"/>
      <c r="C1" s="55"/>
      <c r="D1" s="56" t="s">
        <v>42</v>
      </c>
      <c r="E1" s="56"/>
      <c r="F1" s="56"/>
      <c r="G1" s="54" t="s">
        <v>43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Bolton - Paragon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" priority="3" stopIfTrue="1" operator="lessThanOrEqual">
      <formula>-0.1</formula>
    </cfRule>
    <cfRule type="expression" dxfId="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4" sqref="D4"/>
    </sheetView>
  </sheetViews>
  <sheetFormatPr defaultRowHeight="12.75" customHeight="1" x14ac:dyDescent="0.35"/>
  <cols>
    <col min="1" max="2" width="41.86328125" customWidth="1"/>
    <col min="4" max="4" width="9.1328125" customWidth="1"/>
    <col min="5" max="5" width="24.1328125" customWidth="1"/>
    <col min="6" max="10" width="9.1328125" customWidth="1"/>
    <col min="11" max="12" width="22" bestFit="1" customWidth="1"/>
    <col min="13" max="14" width="9.1328125" customWidth="1"/>
  </cols>
  <sheetData>
    <row r="1" spans="1:12" ht="12.75" customHeight="1" x14ac:dyDescent="0.35">
      <c r="A1" t="s">
        <v>44</v>
      </c>
      <c r="B1" t="s">
        <v>51</v>
      </c>
    </row>
    <row r="3" spans="1:12" x14ac:dyDescent="0.35">
      <c r="A3" t="s">
        <v>45</v>
      </c>
      <c r="B3" t="s">
        <v>3</v>
      </c>
      <c r="C3" t="s">
        <v>4</v>
      </c>
      <c r="D3" t="s">
        <v>46</v>
      </c>
      <c r="E3" s="2" t="s">
        <v>47</v>
      </c>
    </row>
    <row r="4" spans="1:12" ht="14.25" x14ac:dyDescent="0.45">
      <c r="A4" s="45" t="s">
        <v>50</v>
      </c>
      <c r="B4" t="s">
        <v>51</v>
      </c>
      <c r="C4" s="43" t="s">
        <v>48</v>
      </c>
      <c r="D4" s="42" t="s">
        <v>52</v>
      </c>
      <c r="E4" t="s">
        <v>49</v>
      </c>
      <c r="G4" s="3"/>
    </row>
    <row r="5" spans="1:12" ht="14.25" x14ac:dyDescent="0.45">
      <c r="A5" s="45"/>
      <c r="C5" s="43"/>
      <c r="D5" s="42"/>
      <c r="G5" s="3"/>
    </row>
    <row r="6" spans="1:12" ht="14.25" x14ac:dyDescent="0.45">
      <c r="A6" s="45"/>
      <c r="C6" s="43"/>
      <c r="D6" s="42"/>
      <c r="G6" s="3"/>
    </row>
    <row r="7" spans="1:12" ht="12.75" customHeight="1" x14ac:dyDescent="0.35">
      <c r="A7" s="45"/>
      <c r="C7" s="43"/>
      <c r="D7" s="42"/>
    </row>
    <row r="8" spans="1:12" ht="12.75" customHeight="1" x14ac:dyDescent="0.35">
      <c r="A8" s="45"/>
      <c r="C8" s="43"/>
      <c r="D8" s="42"/>
    </row>
    <row r="9" spans="1:12" ht="12.75" customHeight="1" x14ac:dyDescent="0.35">
      <c r="A9" s="45"/>
      <c r="C9" s="43"/>
      <c r="D9" s="42"/>
    </row>
    <row r="10" spans="1:12" ht="12.75" customHeight="1" x14ac:dyDescent="0.35">
      <c r="A10" s="45"/>
      <c r="C10" s="43"/>
      <c r="D10" s="42"/>
      <c r="K10" s="38"/>
      <c r="L10" s="38"/>
    </row>
    <row r="11" spans="1:12" ht="12.75" customHeight="1" x14ac:dyDescent="0.35">
      <c r="A11" s="45"/>
      <c r="C11" s="43"/>
      <c r="D11" s="42"/>
      <c r="K11" s="38"/>
      <c r="L11" s="38"/>
    </row>
    <row r="12" spans="1:12" ht="12.75" customHeight="1" x14ac:dyDescent="0.35">
      <c r="A12" s="45"/>
      <c r="C12" s="43"/>
      <c r="D12" s="42"/>
      <c r="K12" s="38"/>
      <c r="L12" s="38"/>
    </row>
    <row r="13" spans="1:12" ht="12.75" customHeight="1" x14ac:dyDescent="0.35">
      <c r="A13" s="45"/>
      <c r="C13" s="43"/>
      <c r="D13" s="42"/>
      <c r="K13" s="38"/>
      <c r="L13" s="38"/>
    </row>
    <row r="14" spans="1:12" ht="12.75" customHeight="1" x14ac:dyDescent="0.35">
      <c r="A14" s="45"/>
      <c r="C14" s="43"/>
      <c r="D14" s="42"/>
      <c r="K14" s="38"/>
      <c r="L14" s="38"/>
    </row>
    <row r="15" spans="1:12" ht="12.75" customHeight="1" x14ac:dyDescent="0.35">
      <c r="A15" s="45"/>
      <c r="C15" s="43"/>
      <c r="D15" s="42"/>
      <c r="K15" s="38"/>
      <c r="L15" s="38"/>
    </row>
    <row r="16" spans="1:12" ht="12.75" customHeight="1" x14ac:dyDescent="0.35">
      <c r="A16" s="45"/>
      <c r="C16" s="43"/>
      <c r="D16" s="42"/>
      <c r="K16" s="38"/>
      <c r="L16" s="38"/>
    </row>
    <row r="17" spans="1:12" ht="12.75" customHeight="1" x14ac:dyDescent="0.35">
      <c r="A17" s="45"/>
      <c r="C17" s="43"/>
      <c r="D17" s="42"/>
      <c r="K17" s="38"/>
      <c r="L17" s="38"/>
    </row>
    <row r="18" spans="1:12" ht="12.75" customHeight="1" x14ac:dyDescent="0.35">
      <c r="A18" s="45"/>
      <c r="C18" s="43"/>
      <c r="D18" s="42"/>
      <c r="K18" s="38"/>
      <c r="L18" s="38"/>
    </row>
    <row r="19" spans="1:12" ht="12.75" customHeight="1" x14ac:dyDescent="0.35">
      <c r="A19" s="45"/>
      <c r="C19" s="43"/>
      <c r="D19" s="42"/>
      <c r="K19" s="38"/>
      <c r="L19" s="38"/>
    </row>
    <row r="20" spans="1:12" ht="12.75" customHeight="1" x14ac:dyDescent="0.35">
      <c r="A20" s="45"/>
      <c r="C20" s="43"/>
      <c r="D20" s="42"/>
      <c r="K20" s="38"/>
      <c r="L20" s="38"/>
    </row>
    <row r="21" spans="1:12" ht="12.75" customHeight="1" x14ac:dyDescent="0.35">
      <c r="A21" s="45"/>
      <c r="C21" s="43"/>
      <c r="D21" s="42"/>
      <c r="K21" s="38"/>
      <c r="L21" s="38"/>
    </row>
    <row r="22" spans="1:12" ht="12.75" customHeight="1" x14ac:dyDescent="0.35">
      <c r="A22" s="45"/>
      <c r="C22" s="43"/>
      <c r="D22" s="42"/>
      <c r="K22" s="38"/>
      <c r="L22" s="38"/>
    </row>
    <row r="23" spans="1:12" ht="12.75" customHeight="1" x14ac:dyDescent="0.35">
      <c r="A23" s="45"/>
      <c r="C23" s="43"/>
      <c r="D23" s="42"/>
      <c r="K23" s="38"/>
      <c r="L23" s="38"/>
    </row>
    <row r="24" spans="1:12" ht="12.75" customHeight="1" x14ac:dyDescent="0.35">
      <c r="A24" s="45"/>
      <c r="C24" s="43"/>
      <c r="D24" s="42"/>
      <c r="K24" s="38"/>
      <c r="L24" s="38"/>
    </row>
    <row r="25" spans="1:12" ht="12.75" customHeight="1" x14ac:dyDescent="0.35">
      <c r="A25" s="45"/>
      <c r="C25" s="43"/>
      <c r="D25" s="42"/>
      <c r="K25" s="38"/>
      <c r="L25" s="38"/>
    </row>
    <row r="26" spans="1:12" ht="12.75" customHeight="1" x14ac:dyDescent="0.35">
      <c r="K26" s="38"/>
      <c r="L26" s="38"/>
    </row>
    <row r="27" spans="1:12" ht="12.75" customHeight="1" x14ac:dyDescent="0.35">
      <c r="K27" s="38"/>
      <c r="L27" s="38"/>
    </row>
    <row r="28" spans="1:12" ht="12.75" customHeight="1" x14ac:dyDescent="0.35">
      <c r="K28" s="38"/>
      <c r="L28" s="38"/>
    </row>
    <row r="29" spans="1:12" ht="12.75" customHeight="1" x14ac:dyDescent="0.35">
      <c r="K29" s="38"/>
      <c r="L29" s="38"/>
    </row>
    <row r="30" spans="1:12" ht="12.75" customHeight="1" x14ac:dyDescent="0.35">
      <c r="K30" s="38"/>
      <c r="L30" s="38"/>
    </row>
    <row r="31" spans="1:12" ht="12.75" customHeight="1" x14ac:dyDescent="0.35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2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3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4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5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6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7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8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9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10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11.xml><?xml version="1.0" encoding="utf-8"?>
<ds:datastoreItem xmlns:ds="http://schemas.openxmlformats.org/officeDocument/2006/customXml" ds:itemID="{C0BCDC1E-6052-4E48-9BAF-94A40814E7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2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14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15.xml><?xml version="1.0" encoding="utf-8"?>
<ds:datastoreItem xmlns:ds="http://schemas.openxmlformats.org/officeDocument/2006/customXml" ds:itemID="{8D732231-4216-4543-A665-18A2886B0EB7}">
  <ds:schemaRefs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7f39bfab-6331-41a1-b6d4-5b974a316951"/>
    <ds:schemaRef ds:uri="http://schemas.microsoft.com/office/infopath/2007/PartnerControls"/>
    <ds:schemaRef ds:uri="http://purl.org/dc/terms/"/>
    <ds:schemaRef ds:uri="ddcd8467-55ca-498e-a9f8-86795db5db7a"/>
    <ds:schemaRef ds:uri="http://schemas.microsoft.com/sharepoint/v3"/>
    <ds:schemaRef ds:uri="http://www.w3.org/XML/1998/namespace"/>
  </ds:schemaRefs>
</ds:datastoreItem>
</file>

<file path=customXml/itemProps16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17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18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19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20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 [AGS]</cp:lastModifiedBy>
  <cp:revision/>
  <dcterms:created xsi:type="dcterms:W3CDTF">2021-01-01T16:39:53Z</dcterms:created>
  <dcterms:modified xsi:type="dcterms:W3CDTF">2024-07-12T05:41:14Z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