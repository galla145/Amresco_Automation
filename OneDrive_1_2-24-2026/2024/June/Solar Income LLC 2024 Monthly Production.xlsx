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9644A18-59FA-4FC6-AA66-86366EFC53ED}" xr6:coauthVersionLast="47" xr6:coauthVersionMax="47" xr10:uidLastSave="{00000000-0000-0000-0000-000000000000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C4" i="34" s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<sst xmlns="http://schemas.openxmlformats.org/spreadsheetml/2006/main" count="249" uniqueCount="59">
  <si>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</si>
  <si>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</si>
  <si>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</si>
  <si>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</si>
  <si>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</si>
  <si>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</si>
  <si>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</si>
  <si>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</si>
  <si>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</si>
  <si>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</si>
  <si>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</si>
  <si>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</si>
  <si>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</si>
  <si>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</si>
  <si>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</si>
  <si>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</si>
  <si>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</si>
  <si>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</si>
  <si>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</si>
  <si>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</si>
  <si>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</si>
  <si>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</si>
  <si>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</si>
  <si>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</si>
  <si>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</si>
  <si>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</si>
  <si>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	SR081093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</si>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</sst>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268067.96999999997</v>
      </c>
      <c r="D2" s="5">
        <f>SUM(D4:D77)</f>
        <v>156766.136</v>
      </c>
      <c r="E2" s="5">
        <f>C2-D2</f>
        <v>111301.83399999997</v>
      </c>
      <c r="F2" s="6">
        <f>IFERROR(E2/D2, 0)</f>
        <v>0.70998646034115409</v>
      </c>
      <c r="G2" s="5">
        <f>SUM(G4:G77)</f>
        <v>207715.75100000002</v>
      </c>
      <c r="H2" s="7">
        <f>C2-G2</f>
        <v>60352.218999999954</v>
      </c>
      <c r="I2" s="6">
        <f>IFERROR(H2/G2, 0)</f>
        <v>0.29055196204162653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193082.73</v>
      </c>
      <c r="D4" s="12">
        <f>SUM('1st Qtr'!D4, '2nd Qtr'!D4, '3rd Qtr'!D4, '4th Qtr'!D4)</f>
        <v>76640.267999999996</v>
      </c>
      <c r="E4" s="12">
        <f>IF(AND(ISNUMBER(C4),ISNUMBER(D4)), C4-D4, "")</f>
        <v>116442.46200000001</v>
      </c>
      <c r="F4" s="13">
        <f>IFERROR(E4/D4, "")</f>
        <v>1.5193378760105591</v>
      </c>
      <c r="G4" s="14">
        <f>SUM('1st Qtr'!G4, '2nd Qtr'!G4, '3rd Qtr'!G4, '4th Qtr'!G4)</f>
        <v>0</v>
      </c>
      <c r="H4" s="14">
        <f>SUM('1st Qtr'!H4, '2nd Qtr'!H4, '3rd Qtr'!H4, '4th Qtr'!H4)</f>
        <v>193082.73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SUM('1st Qtr'!G5, '2nd Qtr'!G5, '3rd Qtr'!G5, '4th Qtr'!G5)</f>
        <v>207715.75100000002</v>
      </c>
      <c r="H5" s="19">
        <f>SUM(Jan!H5, Feb!H5, Mar!H5)</f>
        <v>-9536.0010000000002</v>
      </c>
      <c r="I5" s="18">
        <f>IFERROR(H5/G5, "")</f>
        <v>-4.5908896913648113E-2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F5" sqref="F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249302.42</v>
      </c>
      <c r="D2" s="5">
        <f>SUM(D4:D77)</f>
        <v>539.98699999999997</v>
      </c>
      <c r="E2" s="5">
        <f>C2-D2</f>
        <v>248762.43300000002</v>
      </c>
      <c r="F2" s="6">
        <f>IFERROR(E2/D2, 0)</f>
        <v>460.68226272113964</v>
      </c>
      <c r="G2" s="5">
        <f>SUM(G4:G77)</f>
        <v>123194.51000000001</v>
      </c>
      <c r="H2" s="7">
        <f>C2-G2</f>
        <v>126107.91</v>
      </c>
      <c r="I2" s="6">
        <f>IFERROR(H2/G2, 0)</f>
        <v>1.0236487811023396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120998.54000000001</v>
      </c>
      <c r="D4" s="12">
        <f>SUM(Apr!D4, May!D4, Jun!D4)</f>
        <v>271.78699999999998</v>
      </c>
      <c r="E4" s="12">
        <f>IF(AND(ISNUMBER(C4),ISNUMBER(D4)), C4-D4, "")</f>
        <v>120726.75300000001</v>
      </c>
      <c r="F4" s="13">
        <f>IFERROR(E4/D4, "")</f>
        <v>444.19620143715491</v>
      </c>
      <c r="G4" s="14">
        <f>SUM(Apr!G4,May!G4,Jun!G4)</f>
        <v>0</v>
      </c>
      <c r="H4" s="14">
        <f>SUM(Apr!H4, May!H4, Jun!H4)</f>
        <v>120998.54000000001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128303.88</v>
      </c>
      <c r="D5" s="17">
        <f>SUM(Apr!D5, May!D5, Jun!D5)</f>
        <v>268.2</v>
      </c>
      <c r="E5" s="17">
        <f t="shared" ref="E5" si="0">IF(AND(ISNUMBER(C5),ISNUMBER(D5)), C5-D5, "")</f>
        <v>128035.68000000001</v>
      </c>
      <c r="F5" s="18">
        <f>IFERROR(E5/D5, "")</f>
        <v>477.38881431767345</v>
      </c>
      <c r="G5" s="17">
        <f>SUM(Apr!G5,May!G5,Jun!G5)</f>
        <v>123194.51000000001</v>
      </c>
      <c r="H5" s="19">
        <f>SUM(Apr!H5, May!H5, Jun!H5)</f>
        <v>5109.3699999999953</v>
      </c>
      <c r="I5" s="18">
        <f>IFERROR(H5/G5, "")</f>
        <v>4.1474007242692838E-2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D4" sqref="D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28.9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E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E4" activePane="bottomRight" state="frozen"/>
      <selection pane="bottomRight" activeCell="H5" sqref="H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69768.299999999988</v>
      </c>
      <c r="D2" s="5">
        <f>SUM(D4:D77)</f>
        <v>539.98699999999997</v>
      </c>
      <c r="E2" s="5">
        <f>C2-D2</f>
        <v>69228.312999999995</v>
      </c>
      <c r="F2" s="6">
        <f>IFERROR(E2/D2, 0)</f>
        <v>128.20366601418183</v>
      </c>
      <c r="G2" s="5">
        <f>SUM(G4:G77)</f>
        <v>39176.33</v>
      </c>
      <c r="H2" s="7">
        <f>C2-G2</f>
        <v>30591.969999999987</v>
      </c>
      <c r="I2" s="6">
        <f>IFERROR(H2/G2, 0)</f>
        <v>0.78087891336426829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33975.589999999997</v>
      </c>
      <c r="D4" s="12">
        <v>271.78699999999998</v>
      </c>
      <c r="E4" s="12">
        <f>IF(AND(ISNUMBER(C4),ISNUMBER(D4)), C4-D4, "")</f>
        <v>33703.803</v>
      </c>
      <c r="F4" s="13">
        <f>IFERROR(E4/D4, "")</f>
        <v>124.00814976433752</v>
      </c>
      <c r="G4" s="14">
        <v>0</v>
      </c>
      <c r="H4" s="14">
        <f>IF(AND(ISNUMBER(C4),ISNUMBER(G4)), C4-G4, "")</f>
        <v>33975.589999999997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35792.71</v>
      </c>
      <c r="D5" s="17">
        <v>268.2</v>
      </c>
      <c r="E5" s="17">
        <f t="shared" ref="E5" si="0">IF(AND(ISNUMBER(C5),ISNUMBER(D5)), C5-D5, "")</f>
        <v>35524.51</v>
      </c>
      <c r="F5" s="18">
        <f>IFERROR(E5/D5, "")</f>
        <v>132.45529455630128</v>
      </c>
      <c r="G5" s="19">
        <v>39176.33</v>
      </c>
      <c r="H5" s="19">
        <f t="shared" ref="H5" si="1">IF(AND(ISNUMBER(C5),ISNUMBER(G5)), C5-G5, "")</f>
        <v>-3383.6200000000026</v>
      </c>
      <c r="I5" s="18">
        <f t="shared" ref="I5" si="2">IFERROR(H5/G5, "")</f>
        <v>-8.6368988621445722E-2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D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84173.39</v>
      </c>
      <c r="D2" s="5">
        <f>SUM(D4:D77)</f>
        <v>0</v>
      </c>
      <c r="E2" s="5">
        <f>C2-D2</f>
        <v>84173.39</v>
      </c>
      <c r="F2" s="6">
        <f>IFERROR(E2/D2, 0)</f>
        <v>0</v>
      </c>
      <c r="G2" s="5">
        <f>SUM(G4:G77)</f>
        <v>42499.68</v>
      </c>
      <c r="H2" s="7">
        <f>C2-G2</f>
        <v>41673.71</v>
      </c>
      <c r="I2" s="6">
        <f>IFERROR(H2/G2, 0)</f>
        <v>0.98056526543258671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40883.57</v>
      </c>
      <c r="D4" s="12">
        <v>0</v>
      </c>
      <c r="E4" s="12">
        <f>IF(AND(ISNUMBER(C4),ISNUMBER(D4)), C4-D4, "")</f>
        <v>40883.57</v>
      </c>
      <c r="F4" s="13" t="str">
        <f>IFERROR(E4/D4, "")</f>
        <v/>
      </c>
      <c r="G4" s="14">
        <v>0</v>
      </c>
      <c r="H4" s="14">
        <f>IF(AND(ISNUMBER(C4),ISNUMBER(G4)), C4-G4, "")</f>
        <v>40883.57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43289.82</v>
      </c>
      <c r="D5" s="17">
        <v>0</v>
      </c>
      <c r="E5" s="17">
        <f t="shared" ref="E5" si="0">IF(AND(ISNUMBER(C5),ISNUMBER(D5)), C5-D5, "")</f>
        <v>43289.82</v>
      </c>
      <c r="F5" s="18" t="str">
        <f>IFERROR(E5/D5, "")</f>
        <v/>
      </c>
      <c r="G5" s="19">
        <v>42499.68</v>
      </c>
      <c r="H5" s="19">
        <f t="shared" ref="H5" si="1">IF(AND(ISNUMBER(C5),ISNUMBER(G5)), C5-G5, "")</f>
        <v>790.13999999999942</v>
      </c>
      <c r="I5" s="18">
        <f t="shared" ref="I5" si="2">IFERROR(H5/G5, "")</f>
        <v>1.8591669396098968E-2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95360.73</v>
      </c>
      <c r="D2" s="5">
        <f>SUM(D4:D77)</f>
        <v>0</v>
      </c>
      <c r="E2" s="5">
        <f>C2-D2</f>
        <v>95360.73</v>
      </c>
      <c r="F2" s="6">
        <f>IFERROR(E2/D2, 0)</f>
        <v>0</v>
      </c>
      <c r="G2" s="5">
        <f>SUM(G4:G77)</f>
        <v>41518.5</v>
      </c>
      <c r="H2" s="7">
        <f>C2-G2</f>
        <v>53842.229999999996</v>
      </c>
      <c r="I2" s="6">
        <f>IFERROR(H2/G2, 0)</f>
        <v>1.29682502980599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46139.38</v>
      </c>
      <c r="D4" s="12">
        <v>0</v>
      </c>
      <c r="E4" s="12">
        <f>IF(AND(ISNUMBER(C4),ISNUMBER(D4)), C4-D4, "")</f>
        <v>46139.38</v>
      </c>
      <c r="F4" s="13" t="str">
        <f>IFERROR(E4/D4, "")</f>
        <v/>
      </c>
      <c r="G4" s="14">
        <v>0</v>
      </c>
      <c r="H4" s="14">
        <f>IF(AND(ISNUMBER(C4),ISNUMBER(G4)), C4-G4, "")</f>
        <v>46139.38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49221.35</v>
      </c>
      <c r="D5" s="17">
        <v>0</v>
      </c>
      <c r="E5" s="17">
        <f t="shared" ref="E5" si="0">IF(AND(ISNUMBER(C5),ISNUMBER(D5)), C5-D5, "")</f>
        <v>49221.35</v>
      </c>
      <c r="F5" s="18" t="str">
        <f>IFERROR(E5/D5, "")</f>
        <v/>
      </c>
      <c r="G5" s="19">
        <v>41518.5</v>
      </c>
      <c r="H5" s="19">
        <f t="shared" ref="H5" si="1">IF(AND(ISNUMBER(C5),ISNUMBER(G5)), C5-G5, "")</f>
        <v>7702.8499999999985</v>
      </c>
      <c r="I5" s="18">
        <f t="shared" ref="I5" si="2">IFERROR(H5/G5, "")</f>
        <v>0.18552813805893756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37</v>
      </c>
      <c r="E1" s="54"/>
      <c r="F1" s="54"/>
      <c r="G1" s="52" t="s">
        <v>38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5" t="s">
        <v>52</v>
      </c>
      <c r="B4" s="46" t="s">
        <v>53</v>
      </c>
      <c r="C4" s="46" t="s">
        <v>54</v>
      </c>
      <c r="D4" s="47" t="s">
        <v>55</v>
      </c>
      <c r="E4" t="s">
        <v>56</v>
      </c>
      <c r="G4" s="3"/>
    </row>
    <row r="5" spans="1:12" ht="14.45">
      <c r="A5" s="48" t="s">
        <v>57</v>
      </c>
      <c r="B5" s="49" t="s">
        <v>58</v>
      </c>
      <c r="C5" s="50" t="s">
        <v>54</v>
      </c>
      <c r="D5" s="47" t="s">
        <v>55</v>
      </c>
      <c r="E5" t="s">
        <v>56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2024-10-18T14:15:14Z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