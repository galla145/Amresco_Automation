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8" documentId="13_ncr:1_{0F834E8E-EDF2-40F4-A01C-6AC0D61D5882}" xr6:coauthVersionLast="47" xr6:coauthVersionMax="47" xr10:uidLastSave="{8C48C710-5A18-4419-94A7-8343FD94322B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0" l="1" a="1"/>
  <c r="A4" i="20" s="1"/>
  <c r="G5" i="18"/>
  <c r="G4" i="18"/>
  <c r="G4" i="1"/>
  <c r="F4" i="72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D4" i="34" l="1"/>
  <c r="D2" i="34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<sst xmlns="http://schemas.openxmlformats.org/spreadsheetml/2006/main" count="255" uniqueCount="61">
  <si>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</si>
  <si>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</si>
  <si>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</si>
  <si>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</si>
  <si>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</si>
  <si>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</si>
  <si>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</si>
  <si>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</si>
  <si>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</si>
  <si>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</si>
  <si>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</si>
  <si>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</si>
  <si>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</si>
  <si>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</si>
  <si>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</si>
  <si>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</si>
  <si>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</si>
  <si>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</si>
  <si>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</si>
  <si>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</si>
  <si>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</si>
  <si>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</si>
  <si>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</si>
  <si>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</si>
  <si>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</si>
  <si>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</si>
  <si>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</si>
  <si>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</si>
  <si>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</si>
  <si>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</si>
  <si>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</si>
  <si>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</si>
  <si>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1. Known for bad weather station readings due to that expected data values are low.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</si>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</sst>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SUM(C4:C90)</f>
        <v>190649.125</v>
      </c>
      <c r="D2" s="6">
        <f>SUM(D4:D90)</f>
        <v>101776.67</v>
      </c>
      <c r="E2" s="6">
        <f>C2-D2</f>
        <v>88872.455000000002</v>
      </c>
      <c r="F2" s="7">
        <f>IFERROR(E2/D2, 0)</f>
        <v>0.87321048134115609</v>
      </c>
      <c r="G2" s="6">
        <f>SUM(G4:G90)</f>
        <v>142012.791</v>
      </c>
      <c r="H2" s="8">
        <f>C2-G2</f>
        <v>48636.334000000003</v>
      </c>
      <c r="I2" s="7">
        <f>IFERROR(H2/G2, 0)</f>
        <v>0.34247854476714007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139690</v>
      </c>
      <c r="D4" s="14">
        <f>SUM('1st Qtr'!D4, '2nd Qtr'!D4, '3rd Qtr'!D4, '4th Qtr'!D4)</f>
        <v>0</v>
      </c>
      <c r="E4" s="14">
        <f>IF(AND(ISNUMBER(C4),ISNUMBER(D4)), C4-D4, "")</f>
        <v>139690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139690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SUM('1st Qtr'!G5,'2nd Qtr'!G5,'3rd Qtr'!G5,'4th Qtr'!G5)</f>
        <v>142012.791</v>
      </c>
      <c r="H5" s="22">
        <f>SUM(Jan!H5, Feb!H5, Mar!H5)</f>
        <v>-800.2450000000008</v>
      </c>
      <c r="I5" s="21">
        <f>IFERROR(H5/G5, "")</f>
        <v>-5.6350205806461537E-3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G5" sqref="G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179147.875</v>
      </c>
      <c r="D2" s="6">
        <f>SUM(D4:D90)</f>
        <v>39400.597000000002</v>
      </c>
      <c r="E2" s="6">
        <f>C2-D2</f>
        <v>139747.27799999999</v>
      </c>
      <c r="F2" s="7">
        <f>IFERROR(E2/D2, 0)</f>
        <v>3.5468314858274859</v>
      </c>
      <c r="G2" s="6">
        <f>SUM(G4:G90)</f>
        <v>90253.421000000002</v>
      </c>
      <c r="H2" s="8">
        <f>C2-G2</f>
        <v>88894.453999999998</v>
      </c>
      <c r="I2" s="7">
        <f>IFERROR(H2/G2, 0)</f>
        <v>0.98494276466262698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86836</v>
      </c>
      <c r="D4" s="14">
        <f>SUM(Apr!D4, May!D4, Jun!D4)</f>
        <v>0</v>
      </c>
      <c r="E4" s="14">
        <f>IF(AND(ISNUMBER(C4),ISNUMBER(D4)), C4-D4, "")</f>
        <v>86836</v>
      </c>
      <c r="F4" s="15" t="str">
        <f>IFERROR(E4/D4, "")</f>
        <v/>
      </c>
      <c r="G4" s="16">
        <f>SUM(Apr!G4, May!G4, Jun!G4)</f>
        <v>0</v>
      </c>
      <c r="H4" s="16">
        <f>SUM(Apr!H4, May!H4, Jun!H4)</f>
        <v>86836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92311.875</v>
      </c>
      <c r="D5" s="20">
        <f>SUM(Apr!D5, May!D5, Jun!D5)</f>
        <v>39400.597000000002</v>
      </c>
      <c r="E5" s="20">
        <f t="shared" ref="E5" si="0">IF(AND(ISNUMBER(C5),ISNUMBER(D5)), C5-D5, "")</f>
        <v>52911.277999999998</v>
      </c>
      <c r="F5" s="21">
        <f>IFERROR(E5/D5, "")</f>
        <v>1.3429054894777355</v>
      </c>
      <c r="G5" s="12">
        <f>SUM(Apr!G5, May!G5, Jun!G5)</f>
        <v>90253.421000000002</v>
      </c>
      <c r="H5" s="22">
        <f>SUM(Apr!H5, May!H5, Jun!H5)</f>
        <v>2058.4540000000015</v>
      </c>
      <c r="I5" s="21">
        <f>IFERROR(H5/G5, "")</f>
        <v>2.2807490034089693E-2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workbookViewId="0">
      <pane ySplit="2" topLeftCell="A3" activePane="bottomLeft" state="frozen"/>
      <selection pane="bottomLeft" activeCell="I14" sqref="I1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25670.2</v>
      </c>
      <c r="D4" s="14">
        <v>0</v>
      </c>
      <c r="E4" s="14">
        <f>IF(AND(ISNUMBER(C4),ISNUMBER(D4)), C4-D4, "")</f>
        <v>25670.2</v>
      </c>
      <c r="F4" s="15" t="str">
        <f>IFERROR(E4/D4, "")</f>
        <v/>
      </c>
      <c r="G4" s="16">
        <v>0</v>
      </c>
      <c r="H4" s="16">
        <f>IF(AND(ISNUMBER(C4),ISNUMBER(G4)), C4-G4, "")</f>
        <v>25670.2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26497.875</v>
      </c>
      <c r="D5" s="20"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22">
        <v>26573.545999999998</v>
      </c>
      <c r="H5" s="22">
        <f t="shared" ref="H5" si="1">IF(AND(ISNUMBER(C5),ISNUMBER(G5)), C5-G5, "")</f>
        <v>-75.670999999998457</v>
      </c>
      <c r="I5" s="21">
        <f t="shared" ref="I5" si="2">IFERROR(H5/G5, "")</f>
        <v>-2.8476064127835429E-3</v>
      </c>
      <c r="J5" s="42" t="s">
        <v>32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J5" sqref="J5"/>
      <selection activeCell="E24" sqref="E24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33</v>
      </c>
      <c r="E1" s="47"/>
      <c r="F1" s="47"/>
      <c r="G1" s="45" t="s">
        <v>34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59284.800000000003</v>
      </c>
      <c r="D2" s="6">
        <f>SUM(D4:D90)</f>
        <v>14530.614</v>
      </c>
      <c r="E2" s="6">
        <f>C2-D2</f>
        <v>44754.186000000002</v>
      </c>
      <c r="F2" s="7">
        <f>IFERROR(E2/D2, 0)</f>
        <v>3.0799927656188517</v>
      </c>
      <c r="G2" s="6">
        <f>SUM(G4:G90)</f>
        <v>31133.875</v>
      </c>
      <c r="H2" s="8">
        <f>C2-G2</f>
        <v>28150.925000000003</v>
      </c>
      <c r="I2" s="7">
        <f>IFERROR(H2/G2, 0)</f>
        <v>0.90418956843630938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28622.799999999999</v>
      </c>
      <c r="D4" s="14">
        <v>0</v>
      </c>
      <c r="E4" s="14">
        <f>IF(AND(ISNUMBER(C4),ISNUMBER(D4)), C4-D4, "")</f>
        <v>28622.799999999999</v>
      </c>
      <c r="F4" s="15" t="str">
        <f>IFERROR(E4/D4, "")</f>
        <v/>
      </c>
      <c r="G4" s="16">
        <v>0</v>
      </c>
      <c r="H4" s="16">
        <f>IF(AND(ISNUMBER(C4),ISNUMBER(G4)), C4-G4, "")</f>
        <v>28622.799999999999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30662</v>
      </c>
      <c r="D5" s="20">
        <v>14530.614</v>
      </c>
      <c r="E5" s="20">
        <f t="shared" ref="E5" si="0">IF(AND(ISNUMBER(C5),ISNUMBER(D5)), C5-D5, "")</f>
        <v>16131.386</v>
      </c>
      <c r="F5" s="21">
        <f>IFERROR(E5/D5, "")</f>
        <v>1.110165475457541</v>
      </c>
      <c r="G5" s="22">
        <v>31133.875</v>
      </c>
      <c r="H5" s="22">
        <f t="shared" ref="H5" si="1">IF(AND(ISNUMBER(C5),ISNUMBER(G5)), C5-G5, "")</f>
        <v>-471.875</v>
      </c>
      <c r="I5" s="21">
        <f t="shared" ref="I5" si="2">IFERROR(H5/G5, "")</f>
        <v>-1.5156320888421374E-2</v>
      </c>
      <c r="J5" s="42" t="s">
        <v>32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5" sqref="J5"/>
      <selection activeCell="E24" sqref="E24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67695</v>
      </c>
      <c r="D2" s="6">
        <f>SUM(D4:D90)</f>
        <v>8489</v>
      </c>
      <c r="E2" s="6">
        <f>C2-D2</f>
        <v>59206</v>
      </c>
      <c r="F2" s="7">
        <f>IFERROR(E2/D2, 0)</f>
        <v>6.9744375073624694</v>
      </c>
      <c r="G2" s="6">
        <f>SUM(G4:G90)</f>
        <v>32546</v>
      </c>
      <c r="H2" s="8">
        <f>C2-G2</f>
        <v>35149</v>
      </c>
      <c r="I2" s="7">
        <f>IFERROR(H2/G2, 0)</f>
        <v>1.0799791064954218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32543</v>
      </c>
      <c r="D4" s="14">
        <v>0</v>
      </c>
      <c r="E4" s="14">
        <f>IF(AND(ISNUMBER(C4),ISNUMBER(D4)), C4-D4, "")</f>
        <v>32543</v>
      </c>
      <c r="F4" s="15" t="str">
        <f>IFERROR(E4/D4, "")</f>
        <v/>
      </c>
      <c r="G4" s="16">
        <v>0</v>
      </c>
      <c r="H4" s="16">
        <f>IF(AND(ISNUMBER(C4),ISNUMBER(G4)), C4-G4, "")</f>
        <v>32543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35152</v>
      </c>
      <c r="D5" s="20">
        <v>8489</v>
      </c>
      <c r="E5" s="20">
        <f t="shared" ref="E5" si="0">IF(AND(ISNUMBER(C5),ISNUMBER(D5)), C5-D5, "")</f>
        <v>26663</v>
      </c>
      <c r="F5" s="21">
        <f>IFERROR(E5/D5, "")</f>
        <v>3.1408882082695251</v>
      </c>
      <c r="G5" s="22">
        <v>32546</v>
      </c>
      <c r="H5" s="22">
        <f t="shared" ref="H5" si="1">IF(AND(ISNUMBER(C5),ISNUMBER(G5)), C5-G5, "")</f>
        <v>2606</v>
      </c>
      <c r="I5" s="21">
        <f t="shared" ref="I5" si="2">IFERROR(H5/G5, "")</f>
        <v>8.0071283721501879E-2</v>
      </c>
      <c r="J5" s="42" t="s">
        <v>32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37</v>
      </c>
      <c r="E1" s="47"/>
      <c r="F1" s="47"/>
      <c r="G1" s="45" t="s">
        <v>38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41</v>
      </c>
      <c r="E1" s="47"/>
      <c r="F1" s="47"/>
      <c r="G1" s="45" t="s">
        <v>42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24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47</v>
      </c>
      <c r="E1" s="47"/>
      <c r="F1" s="47"/>
      <c r="G1" s="45" t="s">
        <v>48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E18" sqref="E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49</v>
      </c>
      <c r="B1" t="s">
        <v>50</v>
      </c>
    </row>
    <row r="3" spans="1:7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7" ht="14.45">
      <c r="A4" t="s">
        <v>54</v>
      </c>
      <c r="B4" t="s">
        <v>55</v>
      </c>
      <c r="C4" s="4" t="s">
        <v>56</v>
      </c>
      <c r="E4" t="s">
        <v>57</v>
      </c>
      <c r="G4" s="3"/>
    </row>
    <row r="5" spans="1:7" ht="14.45">
      <c r="A5" t="s">
        <v>58</v>
      </c>
      <c r="B5" t="s">
        <v>59</v>
      </c>
      <c r="C5" s="4" t="s">
        <v>56</v>
      </c>
      <c r="E5" t="s">
        <v>60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2024-07-12T05:46:19Z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