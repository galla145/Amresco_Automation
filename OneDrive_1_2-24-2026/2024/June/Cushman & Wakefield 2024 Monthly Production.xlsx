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sanjaykumarg_amgsol_com/Documents/Microsoft Teams Chat Files/"/>
    </mc:Choice>
  </mc:AlternateContent>
  <xr:revisionPtr revIDLastSave="2172" documentId="8_{B2B8FB1C-BA1A-466B-89D1-D34D1DB127A7}" xr6:coauthVersionLast="47" xr6:coauthVersionMax="47" xr10:uidLastSave="{222417D6-BD89-439A-B617-AFF26002764B}"/>
  <bookViews>
    <workbookView xWindow="-98" yWindow="-98" windowWidth="21795" windowHeight="12975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20" l="1"/>
  <c r="E18" i="33"/>
  <c r="F18" i="33"/>
  <c r="H18" i="33"/>
  <c r="I18" i="33"/>
  <c r="E19" i="33"/>
  <c r="F19" i="33"/>
  <c r="H19" i="33"/>
  <c r="I19" i="33"/>
  <c r="E20" i="33"/>
  <c r="F20" i="33"/>
  <c r="H20" i="33"/>
  <c r="I20" i="33"/>
  <c r="E21" i="33"/>
  <c r="F21" i="33"/>
  <c r="H21" i="33"/>
  <c r="I21" i="33"/>
  <c r="E22" i="33"/>
  <c r="F22" i="33"/>
  <c r="H22" i="33"/>
  <c r="I22" i="33"/>
  <c r="E23" i="33"/>
  <c r="F23" i="33"/>
  <c r="H23" i="33"/>
  <c r="I23" i="33"/>
  <c r="E24" i="33"/>
  <c r="F24" i="33"/>
  <c r="H24" i="33"/>
  <c r="I24" i="33"/>
  <c r="E25" i="33"/>
  <c r="F25" i="33"/>
  <c r="H25" i="33"/>
  <c r="I25" i="33"/>
  <c r="E26" i="33"/>
  <c r="F26" i="33"/>
  <c r="H26" i="33"/>
  <c r="I26" i="33"/>
  <c r="E27" i="33"/>
  <c r="F27" i="33"/>
  <c r="H27" i="33"/>
  <c r="I27" i="33"/>
  <c r="E28" i="33"/>
  <c r="F28" i="33"/>
  <c r="H28" i="33"/>
  <c r="I28" i="33"/>
  <c r="E29" i="33"/>
  <c r="F29" i="33"/>
  <c r="H29" i="33"/>
  <c r="I29" i="33"/>
  <c r="E30" i="33"/>
  <c r="F30" i="33"/>
  <c r="H30" i="33"/>
  <c r="I30" i="33"/>
  <c r="E31" i="33"/>
  <c r="F31" i="33"/>
  <c r="H31" i="33"/>
  <c r="I31" i="33"/>
  <c r="E32" i="33"/>
  <c r="F32" i="33"/>
  <c r="H32" i="33"/>
  <c r="I32" i="33"/>
  <c r="E33" i="33"/>
  <c r="F33" i="33"/>
  <c r="H33" i="33"/>
  <c r="I33" i="33"/>
  <c r="E34" i="33"/>
  <c r="F34" i="33"/>
  <c r="H34" i="33"/>
  <c r="I34" i="33"/>
  <c r="E35" i="33"/>
  <c r="F35" i="33"/>
  <c r="H35" i="33"/>
  <c r="I35" i="33"/>
  <c r="E36" i="33"/>
  <c r="F36" i="33"/>
  <c r="H36" i="33"/>
  <c r="I36" i="33"/>
  <c r="E37" i="33"/>
  <c r="F37" i="33"/>
  <c r="H37" i="33"/>
  <c r="I37" i="33"/>
  <c r="E38" i="33"/>
  <c r="F38" i="33"/>
  <c r="H38" i="33"/>
  <c r="I38" i="33"/>
  <c r="E18" i="32"/>
  <c r="F18" i="32"/>
  <c r="H18" i="32"/>
  <c r="I18" i="32"/>
  <c r="E19" i="32"/>
  <c r="F19" i="32"/>
  <c r="H19" i="32"/>
  <c r="I19" i="32"/>
  <c r="E20" i="32"/>
  <c r="F20" i="32"/>
  <c r="H20" i="32"/>
  <c r="I20" i="32"/>
  <c r="E21" i="32"/>
  <c r="F21" i="32"/>
  <c r="H21" i="32"/>
  <c r="I21" i="32"/>
  <c r="E22" i="32"/>
  <c r="F22" i="32"/>
  <c r="H22" i="32"/>
  <c r="I22" i="32"/>
  <c r="E23" i="32"/>
  <c r="F23" i="32"/>
  <c r="H23" i="32"/>
  <c r="I23" i="32"/>
  <c r="E24" i="32"/>
  <c r="F24" i="32"/>
  <c r="H24" i="32"/>
  <c r="I24" i="32"/>
  <c r="E25" i="32"/>
  <c r="F25" i="32"/>
  <c r="H25" i="32"/>
  <c r="I25" i="32"/>
  <c r="E26" i="32"/>
  <c r="F26" i="32"/>
  <c r="H26" i="32"/>
  <c r="I26" i="32"/>
  <c r="E27" i="32"/>
  <c r="F27" i="32"/>
  <c r="H27" i="32"/>
  <c r="I27" i="32"/>
  <c r="E28" i="32"/>
  <c r="F28" i="32"/>
  <c r="H28" i="32"/>
  <c r="I28" i="32"/>
  <c r="E29" i="32"/>
  <c r="F29" i="32"/>
  <c r="H29" i="32"/>
  <c r="I29" i="32"/>
  <c r="E30" i="32"/>
  <c r="F30" i="32"/>
  <c r="H30" i="32"/>
  <c r="I30" i="32"/>
  <c r="E31" i="32"/>
  <c r="F31" i="32"/>
  <c r="H31" i="32"/>
  <c r="I31" i="32"/>
  <c r="E32" i="32"/>
  <c r="F32" i="32"/>
  <c r="H32" i="32"/>
  <c r="I32" i="32"/>
  <c r="E33" i="32"/>
  <c r="F33" i="32"/>
  <c r="H33" i="32"/>
  <c r="I33" i="32"/>
  <c r="E34" i="32"/>
  <c r="F34" i="32"/>
  <c r="H34" i="32"/>
  <c r="I34" i="32"/>
  <c r="E35" i="32"/>
  <c r="F35" i="32"/>
  <c r="H35" i="32"/>
  <c r="I35" i="32"/>
  <c r="E36" i="32"/>
  <c r="F36" i="32"/>
  <c r="H36" i="32"/>
  <c r="I36" i="32"/>
  <c r="E37" i="32"/>
  <c r="F37" i="32"/>
  <c r="H37" i="32"/>
  <c r="I37" i="32"/>
  <c r="E38" i="32"/>
  <c r="F38" i="32"/>
  <c r="H38" i="32"/>
  <c r="I38" i="32"/>
  <c r="E18" i="31"/>
  <c r="F18" i="31"/>
  <c r="H18" i="31"/>
  <c r="I18" i="31"/>
  <c r="E19" i="31"/>
  <c r="F19" i="31"/>
  <c r="H19" i="31"/>
  <c r="I19" i="31"/>
  <c r="E20" i="31"/>
  <c r="F20" i="31"/>
  <c r="H20" i="31"/>
  <c r="I20" i="31"/>
  <c r="E21" i="31"/>
  <c r="F21" i="31"/>
  <c r="H21" i="31"/>
  <c r="I21" i="31"/>
  <c r="E22" i="31"/>
  <c r="F22" i="31"/>
  <c r="H22" i="31"/>
  <c r="I22" i="31"/>
  <c r="E23" i="31"/>
  <c r="F23" i="31"/>
  <c r="H23" i="31"/>
  <c r="I23" i="31"/>
  <c r="E24" i="31"/>
  <c r="F24" i="31"/>
  <c r="H24" i="31"/>
  <c r="I24" i="31"/>
  <c r="E25" i="31"/>
  <c r="F25" i="31"/>
  <c r="H25" i="31"/>
  <c r="I25" i="31"/>
  <c r="E26" i="31"/>
  <c r="F26" i="31"/>
  <c r="H26" i="31"/>
  <c r="I26" i="31"/>
  <c r="E27" i="31"/>
  <c r="F27" i="31"/>
  <c r="H27" i="31"/>
  <c r="I27" i="31"/>
  <c r="E28" i="31"/>
  <c r="F28" i="31"/>
  <c r="H28" i="31"/>
  <c r="I28" i="31"/>
  <c r="E29" i="31"/>
  <c r="F29" i="31"/>
  <c r="H29" i="31"/>
  <c r="I29" i="31"/>
  <c r="E30" i="31"/>
  <c r="F30" i="31"/>
  <c r="H30" i="31"/>
  <c r="I30" i="31"/>
  <c r="E31" i="31"/>
  <c r="F31" i="31"/>
  <c r="H31" i="31"/>
  <c r="I31" i="31"/>
  <c r="E32" i="31"/>
  <c r="F32" i="31"/>
  <c r="H32" i="31"/>
  <c r="I32" i="31"/>
  <c r="E33" i="31"/>
  <c r="F33" i="31"/>
  <c r="H33" i="31"/>
  <c r="I33" i="31"/>
  <c r="E34" i="31"/>
  <c r="F34" i="31"/>
  <c r="H34" i="31"/>
  <c r="I34" i="31"/>
  <c r="E35" i="31"/>
  <c r="F35" i="31"/>
  <c r="H35" i="31"/>
  <c r="I35" i="31"/>
  <c r="E36" i="31"/>
  <c r="F36" i="31"/>
  <c r="H36" i="31"/>
  <c r="I36" i="31"/>
  <c r="E37" i="31"/>
  <c r="F37" i="31"/>
  <c r="H37" i="31"/>
  <c r="I37" i="31"/>
  <c r="E38" i="31"/>
  <c r="F38" i="31"/>
  <c r="H38" i="31"/>
  <c r="I38" i="31"/>
  <c r="E18" i="28"/>
  <c r="F18" i="28"/>
  <c r="H18" i="28"/>
  <c r="I18" i="28"/>
  <c r="E19" i="28"/>
  <c r="F19" i="28"/>
  <c r="H19" i="28"/>
  <c r="I19" i="28"/>
  <c r="E20" i="28"/>
  <c r="F20" i="28"/>
  <c r="H20" i="28"/>
  <c r="I20" i="28"/>
  <c r="E21" i="28"/>
  <c r="F21" i="28"/>
  <c r="H21" i="28"/>
  <c r="I21" i="28"/>
  <c r="E22" i="28"/>
  <c r="F22" i="28"/>
  <c r="H22" i="28"/>
  <c r="I22" i="28"/>
  <c r="E23" i="28"/>
  <c r="F23" i="28"/>
  <c r="H23" i="28"/>
  <c r="I23" i="28"/>
  <c r="E24" i="28"/>
  <c r="F24" i="28"/>
  <c r="H24" i="28"/>
  <c r="I24" i="28"/>
  <c r="E25" i="28"/>
  <c r="F25" i="28"/>
  <c r="H25" i="28"/>
  <c r="I25" i="28"/>
  <c r="E26" i="28"/>
  <c r="F26" i="28"/>
  <c r="H26" i="28"/>
  <c r="I26" i="28"/>
  <c r="E27" i="28"/>
  <c r="F27" i="28"/>
  <c r="H27" i="28"/>
  <c r="I27" i="28"/>
  <c r="E28" i="28"/>
  <c r="F28" i="28"/>
  <c r="H28" i="28"/>
  <c r="I28" i="28"/>
  <c r="E29" i="28"/>
  <c r="F29" i="28"/>
  <c r="H29" i="28"/>
  <c r="I29" i="28"/>
  <c r="E30" i="28"/>
  <c r="F30" i="28"/>
  <c r="H30" i="28"/>
  <c r="I30" i="28"/>
  <c r="E31" i="28"/>
  <c r="F31" i="28"/>
  <c r="H31" i="28"/>
  <c r="I31" i="28"/>
  <c r="E32" i="28"/>
  <c r="F32" i="28"/>
  <c r="H32" i="28"/>
  <c r="I32" i="28"/>
  <c r="E33" i="28"/>
  <c r="F33" i="28"/>
  <c r="H33" i="28"/>
  <c r="I33" i="28"/>
  <c r="E34" i="28"/>
  <c r="F34" i="28"/>
  <c r="H34" i="28"/>
  <c r="I34" i="28"/>
  <c r="E35" i="28"/>
  <c r="F35" i="28"/>
  <c r="H35" i="28"/>
  <c r="I35" i="28"/>
  <c r="E36" i="28"/>
  <c r="F36" i="28"/>
  <c r="H36" i="28"/>
  <c r="I36" i="28"/>
  <c r="E37" i="28"/>
  <c r="F37" i="28"/>
  <c r="H37" i="28"/>
  <c r="I37" i="28"/>
  <c r="E38" i="28"/>
  <c r="F38" i="28"/>
  <c r="H38" i="28"/>
  <c r="I38" i="28"/>
  <c r="E18" i="27"/>
  <c r="F18" i="27"/>
  <c r="H18" i="27"/>
  <c r="I18" i="27"/>
  <c r="E19" i="27"/>
  <c r="F19" i="27"/>
  <c r="H19" i="27"/>
  <c r="I19" i="27"/>
  <c r="E20" i="27"/>
  <c r="F20" i="27"/>
  <c r="H20" i="27"/>
  <c r="I20" i="27"/>
  <c r="E21" i="27"/>
  <c r="F21" i="27"/>
  <c r="H21" i="27"/>
  <c r="I21" i="27"/>
  <c r="E22" i="27"/>
  <c r="F22" i="27"/>
  <c r="H22" i="27"/>
  <c r="I22" i="27"/>
  <c r="E23" i="27"/>
  <c r="F23" i="27"/>
  <c r="H23" i="27"/>
  <c r="I23" i="27"/>
  <c r="E24" i="27"/>
  <c r="F24" i="27"/>
  <c r="H24" i="27"/>
  <c r="I24" i="27"/>
  <c r="E25" i="27"/>
  <c r="F25" i="27"/>
  <c r="H25" i="27"/>
  <c r="I25" i="27"/>
  <c r="E26" i="27"/>
  <c r="F26" i="27"/>
  <c r="H26" i="27"/>
  <c r="I26" i="27"/>
  <c r="E27" i="27"/>
  <c r="F27" i="27"/>
  <c r="H27" i="27"/>
  <c r="I27" i="27"/>
  <c r="E28" i="27"/>
  <c r="F28" i="27"/>
  <c r="H28" i="27"/>
  <c r="I28" i="27"/>
  <c r="E29" i="27"/>
  <c r="F29" i="27"/>
  <c r="H29" i="27"/>
  <c r="I29" i="27"/>
  <c r="E30" i="27"/>
  <c r="F30" i="27"/>
  <c r="H30" i="27"/>
  <c r="I30" i="27"/>
  <c r="E31" i="27"/>
  <c r="F31" i="27"/>
  <c r="H31" i="27"/>
  <c r="I31" i="27"/>
  <c r="E32" i="27"/>
  <c r="F32" i="27"/>
  <c r="H32" i="27"/>
  <c r="I32" i="27"/>
  <c r="E33" i="27"/>
  <c r="F33" i="27"/>
  <c r="H33" i="27"/>
  <c r="I33" i="27"/>
  <c r="E34" i="27"/>
  <c r="F34" i="27"/>
  <c r="H34" i="27"/>
  <c r="I34" i="27"/>
  <c r="E35" i="27"/>
  <c r="F35" i="27"/>
  <c r="H35" i="27"/>
  <c r="I35" i="27"/>
  <c r="E36" i="27"/>
  <c r="F36" i="27"/>
  <c r="H36" i="27"/>
  <c r="I36" i="27"/>
  <c r="E37" i="27"/>
  <c r="F37" i="27"/>
  <c r="H37" i="27"/>
  <c r="I37" i="27"/>
  <c r="E38" i="27"/>
  <c r="F38" i="27"/>
  <c r="H38" i="27"/>
  <c r="I38" i="27"/>
  <c r="E18" i="26"/>
  <c r="F18" i="26"/>
  <c r="H18" i="26"/>
  <c r="I18" i="26"/>
  <c r="E19" i="26"/>
  <c r="F19" i="26"/>
  <c r="H19" i="26"/>
  <c r="I19" i="26"/>
  <c r="E20" i="26"/>
  <c r="F20" i="26"/>
  <c r="H20" i="26"/>
  <c r="I20" i="26"/>
  <c r="E21" i="26"/>
  <c r="F21" i="26"/>
  <c r="H21" i="26"/>
  <c r="I21" i="26"/>
  <c r="E22" i="26"/>
  <c r="F22" i="26"/>
  <c r="H22" i="26"/>
  <c r="I22" i="26"/>
  <c r="E23" i="26"/>
  <c r="F23" i="26"/>
  <c r="H23" i="26"/>
  <c r="I23" i="26"/>
  <c r="E24" i="26"/>
  <c r="F24" i="26"/>
  <c r="H24" i="26"/>
  <c r="I24" i="26"/>
  <c r="E25" i="26"/>
  <c r="F25" i="26"/>
  <c r="H25" i="26"/>
  <c r="I25" i="26"/>
  <c r="E26" i="26"/>
  <c r="F26" i="26"/>
  <c r="H26" i="26"/>
  <c r="I26" i="26"/>
  <c r="E27" i="26"/>
  <c r="F27" i="26"/>
  <c r="H27" i="26"/>
  <c r="I27" i="26"/>
  <c r="E28" i="26"/>
  <c r="F28" i="26"/>
  <c r="H28" i="26"/>
  <c r="I28" i="26"/>
  <c r="E29" i="26"/>
  <c r="F29" i="26"/>
  <c r="H29" i="26"/>
  <c r="I29" i="26"/>
  <c r="E30" i="26"/>
  <c r="F30" i="26"/>
  <c r="H30" i="26"/>
  <c r="I30" i="26"/>
  <c r="E31" i="26"/>
  <c r="F31" i="26"/>
  <c r="H31" i="26"/>
  <c r="I31" i="26"/>
  <c r="E32" i="26"/>
  <c r="F32" i="26"/>
  <c r="H32" i="26"/>
  <c r="I32" i="26"/>
  <c r="E33" i="26"/>
  <c r="F33" i="26"/>
  <c r="H33" i="26"/>
  <c r="I33" i="26"/>
  <c r="E34" i="26"/>
  <c r="F34" i="26"/>
  <c r="H34" i="26"/>
  <c r="I34" i="26"/>
  <c r="E35" i="26"/>
  <c r="F35" i="26"/>
  <c r="H35" i="26"/>
  <c r="I35" i="26"/>
  <c r="E36" i="26"/>
  <c r="F36" i="26"/>
  <c r="H36" i="26"/>
  <c r="I36" i="26"/>
  <c r="E37" i="26"/>
  <c r="F37" i="26"/>
  <c r="H37" i="26"/>
  <c r="I37" i="26"/>
  <c r="E38" i="26"/>
  <c r="F38" i="26"/>
  <c r="H38" i="26"/>
  <c r="I38" i="26"/>
  <c r="E18" i="19"/>
  <c r="F18" i="19"/>
  <c r="H18" i="19"/>
  <c r="I18" i="19"/>
  <c r="E19" i="19"/>
  <c r="F19" i="19"/>
  <c r="H19" i="19"/>
  <c r="I19" i="19"/>
  <c r="E20" i="19"/>
  <c r="F20" i="19"/>
  <c r="H20" i="19"/>
  <c r="I20" i="19"/>
  <c r="E21" i="19"/>
  <c r="F21" i="19"/>
  <c r="H21" i="19"/>
  <c r="I21" i="19"/>
  <c r="E22" i="19"/>
  <c r="F22" i="19"/>
  <c r="H22" i="19"/>
  <c r="I22" i="19"/>
  <c r="E23" i="19"/>
  <c r="F23" i="19"/>
  <c r="H23" i="19"/>
  <c r="I23" i="19"/>
  <c r="E24" i="19"/>
  <c r="F24" i="19"/>
  <c r="H24" i="19"/>
  <c r="I24" i="19"/>
  <c r="E25" i="19"/>
  <c r="F25" i="19"/>
  <c r="H25" i="19"/>
  <c r="I25" i="19"/>
  <c r="E26" i="19"/>
  <c r="F26" i="19"/>
  <c r="H26" i="19"/>
  <c r="I26" i="19"/>
  <c r="E27" i="19"/>
  <c r="F27" i="19"/>
  <c r="H27" i="19"/>
  <c r="I27" i="19"/>
  <c r="E28" i="19"/>
  <c r="F28" i="19"/>
  <c r="H28" i="19"/>
  <c r="I28" i="19"/>
  <c r="E29" i="19"/>
  <c r="F29" i="19"/>
  <c r="H29" i="19"/>
  <c r="I29" i="19"/>
  <c r="E30" i="19"/>
  <c r="F30" i="19"/>
  <c r="H30" i="19"/>
  <c r="I30" i="19"/>
  <c r="E31" i="19"/>
  <c r="F31" i="19"/>
  <c r="H31" i="19"/>
  <c r="I31" i="19"/>
  <c r="E32" i="19"/>
  <c r="F32" i="19"/>
  <c r="H32" i="19"/>
  <c r="I32" i="19"/>
  <c r="E33" i="19"/>
  <c r="F33" i="19"/>
  <c r="H33" i="19"/>
  <c r="I33" i="19"/>
  <c r="E34" i="19"/>
  <c r="F34" i="19"/>
  <c r="H34" i="19"/>
  <c r="I34" i="19"/>
  <c r="E35" i="19"/>
  <c r="F35" i="19"/>
  <c r="H35" i="19"/>
  <c r="I35" i="19"/>
  <c r="E36" i="19"/>
  <c r="F36" i="19"/>
  <c r="H36" i="19"/>
  <c r="I36" i="19"/>
  <c r="E37" i="19"/>
  <c r="F37" i="19"/>
  <c r="H37" i="19"/>
  <c r="I37" i="19"/>
  <c r="E38" i="19"/>
  <c r="F38" i="19"/>
  <c r="H38" i="19"/>
  <c r="I38" i="19"/>
  <c r="E18" i="20"/>
  <c r="F18" i="20"/>
  <c r="H18" i="20"/>
  <c r="I18" i="20"/>
  <c r="E19" i="20"/>
  <c r="F19" i="20"/>
  <c r="H19" i="20"/>
  <c r="I19" i="20"/>
  <c r="E20" i="20"/>
  <c r="F20" i="20"/>
  <c r="H20" i="20"/>
  <c r="I20" i="20"/>
  <c r="E21" i="20"/>
  <c r="F21" i="20"/>
  <c r="H21" i="20"/>
  <c r="I21" i="20"/>
  <c r="E22" i="20"/>
  <c r="F22" i="20"/>
  <c r="H22" i="20"/>
  <c r="I22" i="20"/>
  <c r="E23" i="20"/>
  <c r="F23" i="20"/>
  <c r="H23" i="20"/>
  <c r="I23" i="20"/>
  <c r="E24" i="20"/>
  <c r="F24" i="20"/>
  <c r="H24" i="20"/>
  <c r="I24" i="20"/>
  <c r="E25" i="20"/>
  <c r="F25" i="20"/>
  <c r="H25" i="20"/>
  <c r="I25" i="20"/>
  <c r="E26" i="20"/>
  <c r="F26" i="20"/>
  <c r="H26" i="20"/>
  <c r="I26" i="20"/>
  <c r="E27" i="20"/>
  <c r="F27" i="20"/>
  <c r="H27" i="20"/>
  <c r="I27" i="20"/>
  <c r="E28" i="20"/>
  <c r="F28" i="20"/>
  <c r="H28" i="20"/>
  <c r="I28" i="20"/>
  <c r="F29" i="20"/>
  <c r="H29" i="20"/>
  <c r="I29" i="20"/>
  <c r="E30" i="20"/>
  <c r="F30" i="20"/>
  <c r="H30" i="20"/>
  <c r="I30" i="20"/>
  <c r="E31" i="20"/>
  <c r="F31" i="20"/>
  <c r="H31" i="20"/>
  <c r="I31" i="20"/>
  <c r="E32" i="20"/>
  <c r="F32" i="20"/>
  <c r="H32" i="20"/>
  <c r="I32" i="20"/>
  <c r="E33" i="20"/>
  <c r="F33" i="20"/>
  <c r="H33" i="20"/>
  <c r="I33" i="20"/>
  <c r="E34" i="20"/>
  <c r="F34" i="20"/>
  <c r="H34" i="20"/>
  <c r="I34" i="20"/>
  <c r="E35" i="20"/>
  <c r="F35" i="20"/>
  <c r="H35" i="20"/>
  <c r="I35" i="20"/>
  <c r="E36" i="20"/>
  <c r="F36" i="20"/>
  <c r="H36" i="20"/>
  <c r="I36" i="20"/>
  <c r="E37" i="20"/>
  <c r="F37" i="20"/>
  <c r="H37" i="20"/>
  <c r="I37" i="20"/>
  <c r="E38" i="20"/>
  <c r="F38" i="20"/>
  <c r="H38" i="20"/>
  <c r="I38" i="20"/>
  <c r="E18" i="21"/>
  <c r="F18" i="21"/>
  <c r="H18" i="21"/>
  <c r="I18" i="21"/>
  <c r="E19" i="21"/>
  <c r="F19" i="21"/>
  <c r="H19" i="21"/>
  <c r="I19" i="21"/>
  <c r="E20" i="21"/>
  <c r="F20" i="21"/>
  <c r="H20" i="21"/>
  <c r="I20" i="21"/>
  <c r="E21" i="21"/>
  <c r="F21" i="21"/>
  <c r="H21" i="21"/>
  <c r="I21" i="21"/>
  <c r="E22" i="21"/>
  <c r="F22" i="21"/>
  <c r="H22" i="21"/>
  <c r="I22" i="21"/>
  <c r="E23" i="21"/>
  <c r="F23" i="21"/>
  <c r="H23" i="21"/>
  <c r="I23" i="21"/>
  <c r="E24" i="21"/>
  <c r="F24" i="21"/>
  <c r="H24" i="21"/>
  <c r="I24" i="21"/>
  <c r="E25" i="21"/>
  <c r="F25" i="21"/>
  <c r="H25" i="21"/>
  <c r="I25" i="21"/>
  <c r="E26" i="21"/>
  <c r="F26" i="21"/>
  <c r="H26" i="21"/>
  <c r="I26" i="21"/>
  <c r="E27" i="21"/>
  <c r="F27" i="21"/>
  <c r="H27" i="21"/>
  <c r="H27" i="18" s="1"/>
  <c r="I27" i="18" s="1"/>
  <c r="I27" i="21"/>
  <c r="E28" i="21"/>
  <c r="F28" i="21" s="1"/>
  <c r="H28" i="21"/>
  <c r="I28" i="21" s="1"/>
  <c r="E29" i="21"/>
  <c r="F29" i="21"/>
  <c r="H29" i="21"/>
  <c r="I29" i="21"/>
  <c r="E30" i="21"/>
  <c r="F30" i="21"/>
  <c r="H30" i="21"/>
  <c r="I30" i="21"/>
  <c r="E31" i="21"/>
  <c r="F31" i="21"/>
  <c r="H31" i="21"/>
  <c r="I31" i="21"/>
  <c r="E32" i="21"/>
  <c r="F32" i="21"/>
  <c r="H32" i="21"/>
  <c r="I32" i="21"/>
  <c r="E33" i="21"/>
  <c r="F33" i="21"/>
  <c r="H33" i="21"/>
  <c r="I33" i="21"/>
  <c r="E34" i="21"/>
  <c r="F34" i="21"/>
  <c r="H34" i="21"/>
  <c r="I34" i="21"/>
  <c r="E35" i="21"/>
  <c r="F35" i="21"/>
  <c r="H35" i="21"/>
  <c r="H35" i="18" s="1"/>
  <c r="I35" i="18" s="1"/>
  <c r="I35" i="21"/>
  <c r="E36" i="21"/>
  <c r="F36" i="21"/>
  <c r="H36" i="21"/>
  <c r="I36" i="21"/>
  <c r="E37" i="21"/>
  <c r="F37" i="21"/>
  <c r="H37" i="21"/>
  <c r="I37" i="21"/>
  <c r="E38" i="21"/>
  <c r="F38" i="21"/>
  <c r="H38" i="21"/>
  <c r="I38" i="21"/>
  <c r="E18" i="4"/>
  <c r="F18" i="4"/>
  <c r="H18" i="4"/>
  <c r="I18" i="4"/>
  <c r="E19" i="4"/>
  <c r="F19" i="4"/>
  <c r="H19" i="4"/>
  <c r="I19" i="4"/>
  <c r="E20" i="4"/>
  <c r="F20" i="4"/>
  <c r="H20" i="4"/>
  <c r="I20" i="4"/>
  <c r="E21" i="4"/>
  <c r="F21" i="4"/>
  <c r="H21" i="4"/>
  <c r="I21" i="4"/>
  <c r="E22" i="4"/>
  <c r="F22" i="4"/>
  <c r="H22" i="4"/>
  <c r="I22" i="4"/>
  <c r="E23" i="4"/>
  <c r="F23" i="4"/>
  <c r="H23" i="4"/>
  <c r="I23" i="4"/>
  <c r="E24" i="4"/>
  <c r="F24" i="4"/>
  <c r="H24" i="4"/>
  <c r="I24" i="4"/>
  <c r="E25" i="4"/>
  <c r="F25" i="4"/>
  <c r="H25" i="4"/>
  <c r="I25" i="4"/>
  <c r="E26" i="4"/>
  <c r="F26" i="4"/>
  <c r="H26" i="4"/>
  <c r="I26" i="4"/>
  <c r="E27" i="4"/>
  <c r="F27" i="4"/>
  <c r="H27" i="4"/>
  <c r="I27" i="4"/>
  <c r="E28" i="4"/>
  <c r="F28" i="4"/>
  <c r="H28" i="4"/>
  <c r="I28" i="4"/>
  <c r="E29" i="4"/>
  <c r="F29" i="4"/>
  <c r="H29" i="4"/>
  <c r="I29" i="4"/>
  <c r="E30" i="4"/>
  <c r="F30" i="4"/>
  <c r="H30" i="4"/>
  <c r="I30" i="4"/>
  <c r="E31" i="4"/>
  <c r="F31" i="4"/>
  <c r="H31" i="4"/>
  <c r="I31" i="4"/>
  <c r="E32" i="4"/>
  <c r="F32" i="4"/>
  <c r="H32" i="4"/>
  <c r="I32" i="4"/>
  <c r="E33" i="4"/>
  <c r="F33" i="4"/>
  <c r="H33" i="4"/>
  <c r="I33" i="4"/>
  <c r="E34" i="4"/>
  <c r="F34" i="4"/>
  <c r="H34" i="4"/>
  <c r="I34" i="4"/>
  <c r="E35" i="4"/>
  <c r="F35" i="4"/>
  <c r="H35" i="4"/>
  <c r="I35" i="4"/>
  <c r="E36" i="4"/>
  <c r="F36" i="4"/>
  <c r="H36" i="4"/>
  <c r="I36" i="4"/>
  <c r="E37" i="4"/>
  <c r="F37" i="4"/>
  <c r="H37" i="4"/>
  <c r="I37" i="4"/>
  <c r="E38" i="4"/>
  <c r="F38" i="4"/>
  <c r="H38" i="4"/>
  <c r="I38" i="4"/>
  <c r="E18" i="3"/>
  <c r="F18" i="3"/>
  <c r="H18" i="3"/>
  <c r="I18" i="3"/>
  <c r="E19" i="3"/>
  <c r="F19" i="3"/>
  <c r="H19" i="3"/>
  <c r="I19" i="3"/>
  <c r="E20" i="3"/>
  <c r="F20" i="3"/>
  <c r="H20" i="3"/>
  <c r="I20" i="3"/>
  <c r="E21" i="3"/>
  <c r="F21" i="3"/>
  <c r="H21" i="3"/>
  <c r="I21" i="3"/>
  <c r="E22" i="3"/>
  <c r="F22" i="3"/>
  <c r="H22" i="3"/>
  <c r="I22" i="3"/>
  <c r="E23" i="3"/>
  <c r="F23" i="3"/>
  <c r="H23" i="3"/>
  <c r="I23" i="3"/>
  <c r="E24" i="3"/>
  <c r="F24" i="3"/>
  <c r="H24" i="3"/>
  <c r="I24" i="3"/>
  <c r="E25" i="3"/>
  <c r="F25" i="3"/>
  <c r="H25" i="3"/>
  <c r="I25" i="3"/>
  <c r="E26" i="3"/>
  <c r="F26" i="3"/>
  <c r="H26" i="3"/>
  <c r="I26" i="3"/>
  <c r="E27" i="3"/>
  <c r="F27" i="3"/>
  <c r="H27" i="3"/>
  <c r="I27" i="3"/>
  <c r="E28" i="3"/>
  <c r="F28" i="3"/>
  <c r="H28" i="3"/>
  <c r="I28" i="3"/>
  <c r="E29" i="3"/>
  <c r="F29" i="3"/>
  <c r="H29" i="3"/>
  <c r="I29" i="3"/>
  <c r="E30" i="3"/>
  <c r="F30" i="3"/>
  <c r="H30" i="3"/>
  <c r="I30" i="3"/>
  <c r="E31" i="3"/>
  <c r="F31" i="3"/>
  <c r="H31" i="3"/>
  <c r="I31" i="3"/>
  <c r="E32" i="3"/>
  <c r="F32" i="3"/>
  <c r="H32" i="3"/>
  <c r="I32" i="3"/>
  <c r="E33" i="3"/>
  <c r="F33" i="3"/>
  <c r="H33" i="3"/>
  <c r="I33" i="3"/>
  <c r="E34" i="3"/>
  <c r="F34" i="3"/>
  <c r="H34" i="3"/>
  <c r="I34" i="3"/>
  <c r="E35" i="3"/>
  <c r="F35" i="3"/>
  <c r="H35" i="3"/>
  <c r="I35" i="3"/>
  <c r="E36" i="3"/>
  <c r="F36" i="3"/>
  <c r="H36" i="3"/>
  <c r="I36" i="3"/>
  <c r="E37" i="3"/>
  <c r="F37" i="3"/>
  <c r="H37" i="3"/>
  <c r="I37" i="3"/>
  <c r="E38" i="3"/>
  <c r="F38" i="3"/>
  <c r="H38" i="3"/>
  <c r="I38" i="3"/>
  <c r="E18" i="72"/>
  <c r="F18" i="72"/>
  <c r="H18" i="72"/>
  <c r="I18" i="72"/>
  <c r="E19" i="72"/>
  <c r="F19" i="72"/>
  <c r="H19" i="72"/>
  <c r="I19" i="72"/>
  <c r="E20" i="72"/>
  <c r="F20" i="72"/>
  <c r="H20" i="72"/>
  <c r="I20" i="72"/>
  <c r="E21" i="72"/>
  <c r="F21" i="72"/>
  <c r="H21" i="72"/>
  <c r="I21" i="72"/>
  <c r="E22" i="72"/>
  <c r="F22" i="72"/>
  <c r="H22" i="72"/>
  <c r="I22" i="72"/>
  <c r="E23" i="72"/>
  <c r="F23" i="72"/>
  <c r="H23" i="72"/>
  <c r="I23" i="72"/>
  <c r="E24" i="72"/>
  <c r="F24" i="72"/>
  <c r="H24" i="72"/>
  <c r="I24" i="72"/>
  <c r="E25" i="72"/>
  <c r="F25" i="72"/>
  <c r="H25" i="72"/>
  <c r="I25" i="72"/>
  <c r="E26" i="72"/>
  <c r="F26" i="72"/>
  <c r="H26" i="72"/>
  <c r="I26" i="72"/>
  <c r="E27" i="72"/>
  <c r="F27" i="72"/>
  <c r="H27" i="72"/>
  <c r="I27" i="72"/>
  <c r="E28" i="72"/>
  <c r="F28" i="72"/>
  <c r="H28" i="72"/>
  <c r="I28" i="72"/>
  <c r="E29" i="72"/>
  <c r="F29" i="72"/>
  <c r="H29" i="72"/>
  <c r="I29" i="72"/>
  <c r="E30" i="72"/>
  <c r="F30" i="72"/>
  <c r="H30" i="72"/>
  <c r="I30" i="72"/>
  <c r="E31" i="72"/>
  <c r="F31" i="72"/>
  <c r="H31" i="72"/>
  <c r="I31" i="72"/>
  <c r="E32" i="72"/>
  <c r="F32" i="72"/>
  <c r="H32" i="72"/>
  <c r="I32" i="72"/>
  <c r="E33" i="72"/>
  <c r="F33" i="72"/>
  <c r="H33" i="72"/>
  <c r="I33" i="72"/>
  <c r="E34" i="72"/>
  <c r="F34" i="72"/>
  <c r="H34" i="72"/>
  <c r="I34" i="72"/>
  <c r="E35" i="72"/>
  <c r="F35" i="72"/>
  <c r="H35" i="72"/>
  <c r="I35" i="72"/>
  <c r="E36" i="72"/>
  <c r="F36" i="72"/>
  <c r="H36" i="72"/>
  <c r="I36" i="72"/>
  <c r="E37" i="72"/>
  <c r="F37" i="72"/>
  <c r="H37" i="72"/>
  <c r="I37" i="72"/>
  <c r="E38" i="72"/>
  <c r="F38" i="72"/>
  <c r="H38" i="72"/>
  <c r="I38" i="72"/>
  <c r="C18" i="30"/>
  <c r="D18" i="30"/>
  <c r="E18" i="30"/>
  <c r="F18" i="30"/>
  <c r="H18" i="30"/>
  <c r="I18" i="30"/>
  <c r="C19" i="30"/>
  <c r="D19" i="30"/>
  <c r="E19" i="30"/>
  <c r="F19" i="30"/>
  <c r="H19" i="30"/>
  <c r="I19" i="30"/>
  <c r="C20" i="30"/>
  <c r="D20" i="30"/>
  <c r="E20" i="30"/>
  <c r="F20" i="30"/>
  <c r="H20" i="30"/>
  <c r="I20" i="30"/>
  <c r="C21" i="30"/>
  <c r="D21" i="30"/>
  <c r="E21" i="30"/>
  <c r="F21" i="30"/>
  <c r="H21" i="30"/>
  <c r="I21" i="30"/>
  <c r="C22" i="30"/>
  <c r="D22" i="30"/>
  <c r="E22" i="30"/>
  <c r="F22" i="30"/>
  <c r="H22" i="30"/>
  <c r="I22" i="30"/>
  <c r="C23" i="30"/>
  <c r="D23" i="30"/>
  <c r="E23" i="30"/>
  <c r="F23" i="30"/>
  <c r="H23" i="30"/>
  <c r="I23" i="30"/>
  <c r="C24" i="30"/>
  <c r="D24" i="30"/>
  <c r="E24" i="30"/>
  <c r="F24" i="30"/>
  <c r="H24" i="30"/>
  <c r="I24" i="30"/>
  <c r="C25" i="30"/>
  <c r="D25" i="30"/>
  <c r="E25" i="30"/>
  <c r="F25" i="30"/>
  <c r="H25" i="30"/>
  <c r="I25" i="30"/>
  <c r="C26" i="30"/>
  <c r="D26" i="30"/>
  <c r="E26" i="30"/>
  <c r="F26" i="30"/>
  <c r="H26" i="30"/>
  <c r="I26" i="30"/>
  <c r="C27" i="30"/>
  <c r="D27" i="30"/>
  <c r="E27" i="30"/>
  <c r="F27" i="30"/>
  <c r="H27" i="30"/>
  <c r="I27" i="30"/>
  <c r="C28" i="30"/>
  <c r="D28" i="30"/>
  <c r="E28" i="30"/>
  <c r="F28" i="30"/>
  <c r="H28" i="30"/>
  <c r="I28" i="30"/>
  <c r="C29" i="30"/>
  <c r="D29" i="30"/>
  <c r="E29" i="30"/>
  <c r="F29" i="30"/>
  <c r="H29" i="30"/>
  <c r="I29" i="30"/>
  <c r="C30" i="30"/>
  <c r="D30" i="30"/>
  <c r="E30" i="30"/>
  <c r="F30" i="30"/>
  <c r="H30" i="30"/>
  <c r="I30" i="30"/>
  <c r="C31" i="30"/>
  <c r="D31" i="30"/>
  <c r="E31" i="30"/>
  <c r="F31" i="30"/>
  <c r="H31" i="30"/>
  <c r="I31" i="30"/>
  <c r="C32" i="30"/>
  <c r="D32" i="30"/>
  <c r="E32" i="30"/>
  <c r="F32" i="30"/>
  <c r="H32" i="30"/>
  <c r="I32" i="30"/>
  <c r="C33" i="30"/>
  <c r="D33" i="30"/>
  <c r="E33" i="30"/>
  <c r="F33" i="30"/>
  <c r="H33" i="30"/>
  <c r="I33" i="30"/>
  <c r="C34" i="30"/>
  <c r="D34" i="30"/>
  <c r="E34" i="30"/>
  <c r="F34" i="30"/>
  <c r="H34" i="30"/>
  <c r="I34" i="30"/>
  <c r="C35" i="30"/>
  <c r="D35" i="30"/>
  <c r="E35" i="30"/>
  <c r="F35" i="30"/>
  <c r="H35" i="30"/>
  <c r="I35" i="30"/>
  <c r="C36" i="30"/>
  <c r="D36" i="30"/>
  <c r="E36" i="30"/>
  <c r="F36" i="30"/>
  <c r="H36" i="30"/>
  <c r="I36" i="30"/>
  <c r="C37" i="30"/>
  <c r="D37" i="30"/>
  <c r="E37" i="30"/>
  <c r="F37" i="30"/>
  <c r="H37" i="30"/>
  <c r="I37" i="30"/>
  <c r="C38" i="30"/>
  <c r="D38" i="30"/>
  <c r="E38" i="30"/>
  <c r="F38" i="30"/>
  <c r="H38" i="30"/>
  <c r="I38" i="30"/>
  <c r="C18" i="29"/>
  <c r="D18" i="29"/>
  <c r="E18" i="29"/>
  <c r="F18" i="29"/>
  <c r="H18" i="29"/>
  <c r="I18" i="29"/>
  <c r="C19" i="29"/>
  <c r="D19" i="29"/>
  <c r="E19" i="29"/>
  <c r="F19" i="29"/>
  <c r="H19" i="29"/>
  <c r="I19" i="29"/>
  <c r="C20" i="29"/>
  <c r="D20" i="29"/>
  <c r="E20" i="29"/>
  <c r="F20" i="29"/>
  <c r="H20" i="29"/>
  <c r="I20" i="29"/>
  <c r="C21" i="29"/>
  <c r="D21" i="29"/>
  <c r="E21" i="29"/>
  <c r="F21" i="29"/>
  <c r="H21" i="29"/>
  <c r="I21" i="29"/>
  <c r="C22" i="29"/>
  <c r="D22" i="29"/>
  <c r="E22" i="29"/>
  <c r="F22" i="29"/>
  <c r="H22" i="29"/>
  <c r="I22" i="29"/>
  <c r="C23" i="29"/>
  <c r="D23" i="29"/>
  <c r="E23" i="29"/>
  <c r="F23" i="29"/>
  <c r="H23" i="29"/>
  <c r="I23" i="29"/>
  <c r="C24" i="29"/>
  <c r="D24" i="29"/>
  <c r="E24" i="29"/>
  <c r="F24" i="29"/>
  <c r="H24" i="29"/>
  <c r="I24" i="29"/>
  <c r="C25" i="29"/>
  <c r="D25" i="29"/>
  <c r="E25" i="29"/>
  <c r="F25" i="29"/>
  <c r="H25" i="29"/>
  <c r="I25" i="29"/>
  <c r="C26" i="29"/>
  <c r="D26" i="29"/>
  <c r="E26" i="29"/>
  <c r="F26" i="29"/>
  <c r="H26" i="29"/>
  <c r="I26" i="29"/>
  <c r="C27" i="29"/>
  <c r="D27" i="29"/>
  <c r="E27" i="29"/>
  <c r="F27" i="29"/>
  <c r="H27" i="29"/>
  <c r="I27" i="29"/>
  <c r="C28" i="29"/>
  <c r="D28" i="29"/>
  <c r="E28" i="29"/>
  <c r="F28" i="29"/>
  <c r="H28" i="29"/>
  <c r="I28" i="29"/>
  <c r="C29" i="29"/>
  <c r="D29" i="29"/>
  <c r="E29" i="29"/>
  <c r="F29" i="29"/>
  <c r="H29" i="29"/>
  <c r="I29" i="29"/>
  <c r="C30" i="29"/>
  <c r="D30" i="29"/>
  <c r="E30" i="29"/>
  <c r="F30" i="29"/>
  <c r="H30" i="29"/>
  <c r="I30" i="29"/>
  <c r="C31" i="29"/>
  <c r="D31" i="29"/>
  <c r="E31" i="29"/>
  <c r="F31" i="29"/>
  <c r="H31" i="29"/>
  <c r="I31" i="29"/>
  <c r="C32" i="29"/>
  <c r="D32" i="29"/>
  <c r="E32" i="29"/>
  <c r="F32" i="29"/>
  <c r="H32" i="29"/>
  <c r="I32" i="29"/>
  <c r="C33" i="29"/>
  <c r="D33" i="29"/>
  <c r="E33" i="29"/>
  <c r="F33" i="29"/>
  <c r="H33" i="29"/>
  <c r="I33" i="29"/>
  <c r="C34" i="29"/>
  <c r="D34" i="29"/>
  <c r="E34" i="29"/>
  <c r="F34" i="29"/>
  <c r="H34" i="29"/>
  <c r="I34" i="29"/>
  <c r="C35" i="29"/>
  <c r="D35" i="29"/>
  <c r="E35" i="29"/>
  <c r="F35" i="29"/>
  <c r="H35" i="29"/>
  <c r="I35" i="29"/>
  <c r="C36" i="29"/>
  <c r="D36" i="29"/>
  <c r="E36" i="29"/>
  <c r="F36" i="29"/>
  <c r="H36" i="29"/>
  <c r="I36" i="29"/>
  <c r="C37" i="29"/>
  <c r="D37" i="29"/>
  <c r="E37" i="29"/>
  <c r="F37" i="29"/>
  <c r="H37" i="29"/>
  <c r="I37" i="29"/>
  <c r="C38" i="29"/>
  <c r="D38" i="29"/>
  <c r="E38" i="29"/>
  <c r="F38" i="29"/>
  <c r="H38" i="29"/>
  <c r="I38" i="29"/>
  <c r="C18" i="18"/>
  <c r="D18" i="18"/>
  <c r="E18" i="18"/>
  <c r="F18" i="18"/>
  <c r="H18" i="18"/>
  <c r="I18" i="18"/>
  <c r="C19" i="18"/>
  <c r="D19" i="18"/>
  <c r="E19" i="18"/>
  <c r="F19" i="18"/>
  <c r="H19" i="18"/>
  <c r="I19" i="18"/>
  <c r="C20" i="18"/>
  <c r="D20" i="18"/>
  <c r="H20" i="18"/>
  <c r="I20" i="18"/>
  <c r="C21" i="18"/>
  <c r="D21" i="18"/>
  <c r="E21" i="18"/>
  <c r="F21" i="18"/>
  <c r="H21" i="18"/>
  <c r="I21" i="18"/>
  <c r="C22" i="18"/>
  <c r="D22" i="18"/>
  <c r="E22" i="18"/>
  <c r="F22" i="18"/>
  <c r="H22" i="18"/>
  <c r="I22" i="18"/>
  <c r="C23" i="18"/>
  <c r="D23" i="18"/>
  <c r="E23" i="18"/>
  <c r="F23" i="18"/>
  <c r="H23" i="18"/>
  <c r="I23" i="18"/>
  <c r="C24" i="18"/>
  <c r="D24" i="18"/>
  <c r="E24" i="18"/>
  <c r="F24" i="18"/>
  <c r="H24" i="18"/>
  <c r="I24" i="18"/>
  <c r="C25" i="18"/>
  <c r="D25" i="18"/>
  <c r="E25" i="18"/>
  <c r="F25" i="18"/>
  <c r="H25" i="18"/>
  <c r="I25" i="18"/>
  <c r="C26" i="18"/>
  <c r="D26" i="18"/>
  <c r="E26" i="18"/>
  <c r="F26" i="18"/>
  <c r="H26" i="18"/>
  <c r="I26" i="18"/>
  <c r="C27" i="18"/>
  <c r="D27" i="18"/>
  <c r="C28" i="18"/>
  <c r="D28" i="18"/>
  <c r="C29" i="18"/>
  <c r="D29" i="18"/>
  <c r="E29" i="18"/>
  <c r="F29" i="18"/>
  <c r="H29" i="18"/>
  <c r="I29" i="18"/>
  <c r="C30" i="18"/>
  <c r="D30" i="18"/>
  <c r="E30" i="18"/>
  <c r="F30" i="18"/>
  <c r="H30" i="18"/>
  <c r="I30" i="18"/>
  <c r="C31" i="18"/>
  <c r="D31" i="18"/>
  <c r="E31" i="18"/>
  <c r="F31" i="18"/>
  <c r="H31" i="18"/>
  <c r="I31" i="18"/>
  <c r="C32" i="18"/>
  <c r="D32" i="18"/>
  <c r="E32" i="18"/>
  <c r="F32" i="18"/>
  <c r="H32" i="18"/>
  <c r="I32" i="18"/>
  <c r="C33" i="18"/>
  <c r="D33" i="18"/>
  <c r="E33" i="18"/>
  <c r="F33" i="18"/>
  <c r="H33" i="18"/>
  <c r="I33" i="18"/>
  <c r="C34" i="18"/>
  <c r="D34" i="18"/>
  <c r="E34" i="18"/>
  <c r="F34" i="18"/>
  <c r="H34" i="18"/>
  <c r="I34" i="18"/>
  <c r="C35" i="18"/>
  <c r="D35" i="18"/>
  <c r="E35" i="18"/>
  <c r="F35" i="18"/>
  <c r="C36" i="18"/>
  <c r="D36" i="18"/>
  <c r="E36" i="18"/>
  <c r="F36" i="18"/>
  <c r="H36" i="18"/>
  <c r="I36" i="18"/>
  <c r="C37" i="18"/>
  <c r="D37" i="18"/>
  <c r="E37" i="18"/>
  <c r="F37" i="18"/>
  <c r="H37" i="18"/>
  <c r="I37" i="18"/>
  <c r="C38" i="18"/>
  <c r="D38" i="18"/>
  <c r="E38" i="18"/>
  <c r="F38" i="18"/>
  <c r="H38" i="18"/>
  <c r="I38" i="18"/>
  <c r="C17" i="34"/>
  <c r="D17" i="34"/>
  <c r="E17" i="34"/>
  <c r="F17" i="34"/>
  <c r="H17" i="34"/>
  <c r="I17" i="34"/>
  <c r="C18" i="34"/>
  <c r="D18" i="34"/>
  <c r="E18" i="34"/>
  <c r="F18" i="34"/>
  <c r="H18" i="34"/>
  <c r="I18" i="34"/>
  <c r="C19" i="34"/>
  <c r="D19" i="34"/>
  <c r="E19" i="34"/>
  <c r="F19" i="34"/>
  <c r="H19" i="34"/>
  <c r="I19" i="34"/>
  <c r="C20" i="34"/>
  <c r="D20" i="34"/>
  <c r="E20" i="34"/>
  <c r="F20" i="34"/>
  <c r="H20" i="34"/>
  <c r="I20" i="34"/>
  <c r="C21" i="34"/>
  <c r="D21" i="34"/>
  <c r="E21" i="34"/>
  <c r="F21" i="34"/>
  <c r="H21" i="34"/>
  <c r="I21" i="34"/>
  <c r="C22" i="34"/>
  <c r="D22" i="34"/>
  <c r="E22" i="34"/>
  <c r="F22" i="34"/>
  <c r="H22" i="34"/>
  <c r="I22" i="34"/>
  <c r="C23" i="34"/>
  <c r="D23" i="34"/>
  <c r="E23" i="34"/>
  <c r="F23" i="34"/>
  <c r="H23" i="34"/>
  <c r="I23" i="34"/>
  <c r="C24" i="34"/>
  <c r="D24" i="34"/>
  <c r="E24" i="34"/>
  <c r="F24" i="34"/>
  <c r="H24" i="34"/>
  <c r="I24" i="34"/>
  <c r="C25" i="34"/>
  <c r="D25" i="34"/>
  <c r="E25" i="34"/>
  <c r="F25" i="34"/>
  <c r="H25" i="34"/>
  <c r="I25" i="34"/>
  <c r="C26" i="34"/>
  <c r="D26" i="34"/>
  <c r="E26" i="34"/>
  <c r="F26" i="34"/>
  <c r="H26" i="34"/>
  <c r="I26" i="34"/>
  <c r="C27" i="34"/>
  <c r="D27" i="34"/>
  <c r="E27" i="34"/>
  <c r="F27" i="34"/>
  <c r="H27" i="34"/>
  <c r="I27" i="34"/>
  <c r="C28" i="34"/>
  <c r="D28" i="34"/>
  <c r="E28" i="34"/>
  <c r="F28" i="34"/>
  <c r="H28" i="34"/>
  <c r="I28" i="34"/>
  <c r="C29" i="34"/>
  <c r="D29" i="34"/>
  <c r="E29" i="34"/>
  <c r="F29" i="34"/>
  <c r="H29" i="34"/>
  <c r="I29" i="34"/>
  <c r="C30" i="34"/>
  <c r="D30" i="34"/>
  <c r="E30" i="34"/>
  <c r="F30" i="34"/>
  <c r="H30" i="34"/>
  <c r="I30" i="34"/>
  <c r="C31" i="34"/>
  <c r="D31" i="34"/>
  <c r="E31" i="34"/>
  <c r="F31" i="34"/>
  <c r="H31" i="34"/>
  <c r="I31" i="34"/>
  <c r="C32" i="34"/>
  <c r="D32" i="34"/>
  <c r="E32" i="34"/>
  <c r="F32" i="34"/>
  <c r="H32" i="34"/>
  <c r="I32" i="34"/>
  <c r="C33" i="34"/>
  <c r="D33" i="34"/>
  <c r="E33" i="34"/>
  <c r="F33" i="34"/>
  <c r="H33" i="34"/>
  <c r="I33" i="34"/>
  <c r="C34" i="34"/>
  <c r="D34" i="34"/>
  <c r="E34" i="34"/>
  <c r="F34" i="34"/>
  <c r="H34" i="34"/>
  <c r="I34" i="34"/>
  <c r="C35" i="34"/>
  <c r="D35" i="34"/>
  <c r="E35" i="34"/>
  <c r="F35" i="34"/>
  <c r="H35" i="34"/>
  <c r="I35" i="34"/>
  <c r="C36" i="34"/>
  <c r="D36" i="34"/>
  <c r="E36" i="34"/>
  <c r="F36" i="34"/>
  <c r="H36" i="34"/>
  <c r="I36" i="34"/>
  <c r="C37" i="34"/>
  <c r="D37" i="34"/>
  <c r="E37" i="34"/>
  <c r="F37" i="34"/>
  <c r="H37" i="34"/>
  <c r="I37" i="34"/>
  <c r="C38" i="34"/>
  <c r="D38" i="34"/>
  <c r="E38" i="34"/>
  <c r="F38" i="34"/>
  <c r="H38" i="34"/>
  <c r="I38" i="34"/>
  <c r="C18" i="1"/>
  <c r="D18" i="1"/>
  <c r="E18" i="1"/>
  <c r="F18" i="1"/>
  <c r="G18" i="1"/>
  <c r="H18" i="1"/>
  <c r="I18" i="1"/>
  <c r="C19" i="1"/>
  <c r="D19" i="1"/>
  <c r="E19" i="1"/>
  <c r="F19" i="1"/>
  <c r="G19" i="1"/>
  <c r="H19" i="1"/>
  <c r="I19" i="1"/>
  <c r="C20" i="1"/>
  <c r="D20" i="1"/>
  <c r="E20" i="1"/>
  <c r="F20" i="1"/>
  <c r="G20" i="1"/>
  <c r="H20" i="1"/>
  <c r="I20" i="1"/>
  <c r="C21" i="1"/>
  <c r="D21" i="1"/>
  <c r="E21" i="1"/>
  <c r="F21" i="1"/>
  <c r="G21" i="1"/>
  <c r="H21" i="1"/>
  <c r="I21" i="1"/>
  <c r="C22" i="1"/>
  <c r="D22" i="1"/>
  <c r="E22" i="1"/>
  <c r="F22" i="1"/>
  <c r="G22" i="1"/>
  <c r="H22" i="1"/>
  <c r="I22" i="1"/>
  <c r="C23" i="1"/>
  <c r="D23" i="1"/>
  <c r="E23" i="1"/>
  <c r="F23" i="1"/>
  <c r="G23" i="1"/>
  <c r="H23" i="1"/>
  <c r="I23" i="1"/>
  <c r="C24" i="1"/>
  <c r="D24" i="1"/>
  <c r="E24" i="1"/>
  <c r="F24" i="1"/>
  <c r="G24" i="1"/>
  <c r="H24" i="1"/>
  <c r="I24" i="1"/>
  <c r="C25" i="1"/>
  <c r="D25" i="1"/>
  <c r="E25" i="1"/>
  <c r="F25" i="1"/>
  <c r="G25" i="1"/>
  <c r="H25" i="1"/>
  <c r="I25" i="1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C28" i="1"/>
  <c r="D28" i="1"/>
  <c r="E28" i="1"/>
  <c r="F28" i="1"/>
  <c r="G28" i="1"/>
  <c r="H28" i="1"/>
  <c r="I28" i="1"/>
  <c r="C29" i="1"/>
  <c r="D29" i="1"/>
  <c r="E29" i="1"/>
  <c r="F29" i="1"/>
  <c r="G29" i="1"/>
  <c r="H29" i="1"/>
  <c r="I29" i="1"/>
  <c r="C30" i="1"/>
  <c r="D30" i="1"/>
  <c r="E30" i="1"/>
  <c r="F30" i="1"/>
  <c r="G30" i="1"/>
  <c r="H30" i="1"/>
  <c r="I30" i="1"/>
  <c r="C31" i="1"/>
  <c r="D31" i="1"/>
  <c r="E31" i="1"/>
  <c r="F31" i="1"/>
  <c r="G31" i="1"/>
  <c r="H31" i="1"/>
  <c r="I31" i="1"/>
  <c r="C32" i="1"/>
  <c r="D32" i="1"/>
  <c r="E32" i="1"/>
  <c r="F32" i="1"/>
  <c r="G32" i="1"/>
  <c r="H32" i="1"/>
  <c r="I32" i="1"/>
  <c r="C33" i="1"/>
  <c r="D33" i="1"/>
  <c r="E33" i="1"/>
  <c r="F33" i="1"/>
  <c r="G33" i="1"/>
  <c r="H33" i="1"/>
  <c r="I33" i="1"/>
  <c r="C34" i="1"/>
  <c r="D34" i="1"/>
  <c r="E34" i="1"/>
  <c r="F34" i="1"/>
  <c r="G34" i="1"/>
  <c r="H34" i="1"/>
  <c r="I34" i="1"/>
  <c r="C35" i="1"/>
  <c r="D35" i="1"/>
  <c r="E35" i="1"/>
  <c r="F35" i="1"/>
  <c r="G35" i="1"/>
  <c r="H35" i="1"/>
  <c r="I35" i="1"/>
  <c r="C36" i="1"/>
  <c r="D36" i="1"/>
  <c r="E36" i="1"/>
  <c r="F36" i="1"/>
  <c r="G36" i="1"/>
  <c r="H36" i="1"/>
  <c r="I36" i="1"/>
  <c r="C37" i="1"/>
  <c r="D37" i="1"/>
  <c r="E37" i="1"/>
  <c r="F37" i="1"/>
  <c r="G37" i="1"/>
  <c r="H37" i="1"/>
  <c r="I37" i="1"/>
  <c r="C38" i="1"/>
  <c r="D38" i="1"/>
  <c r="E38" i="1"/>
  <c r="F38" i="1"/>
  <c r="G38" i="1"/>
  <c r="H38" i="1"/>
  <c r="I38" i="1"/>
  <c r="C16" i="30"/>
  <c r="D16" i="30"/>
  <c r="E16" i="30"/>
  <c r="F16" i="30"/>
  <c r="H16" i="30"/>
  <c r="I16" i="30"/>
  <c r="C17" i="30"/>
  <c r="D17" i="30"/>
  <c r="E17" i="30"/>
  <c r="F17" i="30"/>
  <c r="H17" i="30"/>
  <c r="I17" i="30"/>
  <c r="C16" i="29"/>
  <c r="D16" i="29"/>
  <c r="E16" i="29"/>
  <c r="F16" i="29"/>
  <c r="H16" i="29"/>
  <c r="I16" i="29"/>
  <c r="C17" i="29"/>
  <c r="D17" i="29"/>
  <c r="E17" i="29"/>
  <c r="F17" i="29"/>
  <c r="H17" i="29"/>
  <c r="I17" i="29"/>
  <c r="C16" i="18"/>
  <c r="D16" i="18"/>
  <c r="E16" i="18"/>
  <c r="F16" i="18"/>
  <c r="C17" i="18"/>
  <c r="D17" i="18"/>
  <c r="E17" i="18"/>
  <c r="F17" i="18" s="1"/>
  <c r="C16" i="1"/>
  <c r="D16" i="1"/>
  <c r="E16" i="1"/>
  <c r="F16" i="1"/>
  <c r="G16" i="1"/>
  <c r="C17" i="1"/>
  <c r="D17" i="1"/>
  <c r="E17" i="1"/>
  <c r="F17" i="1"/>
  <c r="G17" i="1"/>
  <c r="C16" i="34"/>
  <c r="D16" i="34"/>
  <c r="E16" i="34"/>
  <c r="F16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/>
  <c r="H17" i="3"/>
  <c r="I17" i="3"/>
  <c r="E16" i="72"/>
  <c r="F16" i="72"/>
  <c r="H16" i="72"/>
  <c r="I16" i="72"/>
  <c r="E17" i="72"/>
  <c r="F17" i="72"/>
  <c r="H17" i="72"/>
  <c r="I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G6" i="1"/>
  <c r="G7" i="1"/>
  <c r="G8" i="1"/>
  <c r="G9" i="1"/>
  <c r="G10" i="1"/>
  <c r="G11" i="1"/>
  <c r="G12" i="1"/>
  <c r="G13" i="1"/>
  <c r="G14" i="1"/>
  <c r="G15" i="1"/>
  <c r="G5" i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G2" i="34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E11" i="30"/>
  <c r="F11" i="30" s="1"/>
  <c r="D2" i="30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I14" i="4"/>
  <c r="H14" i="4"/>
  <c r="F14" i="4"/>
  <c r="E14" i="4"/>
  <c r="H13" i="4"/>
  <c r="I13" i="4" s="1"/>
  <c r="E13" i="4"/>
  <c r="F13" i="4" s="1"/>
  <c r="H12" i="4"/>
  <c r="I12" i="4" s="1"/>
  <c r="F12" i="4"/>
  <c r="E12" i="4"/>
  <c r="I11" i="4"/>
  <c r="H11" i="4"/>
  <c r="E11" i="4"/>
  <c r="F11" i="4" s="1"/>
  <c r="H10" i="4"/>
  <c r="I10" i="4" s="1"/>
  <c r="E10" i="4"/>
  <c r="F10" i="4" s="1"/>
  <c r="I9" i="4"/>
  <c r="H9" i="4"/>
  <c r="F9" i="4"/>
  <c r="E9" i="4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28" i="18" l="1"/>
  <c r="F28" i="18" s="1"/>
  <c r="E27" i="18"/>
  <c r="F27" i="18" s="1"/>
  <c r="E20" i="18"/>
  <c r="F20" i="18" s="1"/>
  <c r="H17" i="18"/>
  <c r="I17" i="18" s="1"/>
  <c r="H16" i="18"/>
  <c r="I16" i="18" s="1"/>
  <c r="H28" i="18"/>
  <c r="I28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F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<sst xmlns="http://schemas.openxmlformats.org/spreadsheetml/2006/main" count="438" uniqueCount="159">
  <si>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</si>
  <si>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</si>
  <si>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</si>
  <si>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</si>
  <si>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</si>
  <si>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</si>
  <si>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</si>
  <si>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</si>
  <si>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</si>
  <si>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</si>
  <si>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</si>
  <si>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</si>
  <si>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</si>
  <si>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</si>
  <si>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</si>
  <si>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</si>
  <si>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</si>
  <si>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</si>
  <si>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</si>
  <si>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</si>
  <si>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</si>
  <si>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</si>
  <si>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</si>
  <si>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</si>
  <si>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</si>
  <si>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</si>
  <si>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</si>
  <si>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</si>
  <si>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 Site is underperforming. Peak performance is 7kW, but site capacity is 20kW.</t>
  </si>
  <si>
    <t>1.	SR084100</t>
  </si>
  <si>
    <t xml:space="preserve">1. microinverters are offline. BA.2, BA.3, BA.7, BA.8, BB.6, BB.7, BB.8, BC.5, BC.6, BC.7. </t>
  </si>
  <si>
    <t>1.SR084104</t>
  </si>
  <si>
    <t>1.Microinverter 202305090409 (B1.07) offline</t>
  </si>
  <si>
    <t>1.SR084072</t>
  </si>
  <si>
    <t xml:space="preserve">1.Microinverters 202305087223  (B1.2) offline from 04/19 and back online on 04/22  and  again offline on 04/27 and back on 04/28.
   Microinverter 202305087452 ( B1.7) offline 04/20 and back onlin on 04/21 and again offline from 04/27 and back online on 04/28
   Microinverter 202305092763 (B4.1) offline from 04/19 and back  online on 04/22 and again offline on 04/27 and back online on 04/28
    Microinverter  202305094910 (B5.1) offline from 04/19 and back  online on 04/22 and again offline on 04/27 and back online on 04/28
   Micoinverter 202305097717 ( B6.9) offline from 04/19 and back  online on 04/22     and again offline on 04/27 and back online on 04/28
</t>
  </si>
  <si>
    <t>1. SR085357</t>
  </si>
  <si>
    <t xml:space="preserve">1. 8 Microinverters are offline. </t>
  </si>
  <si>
    <r>
      <t>1.</t>
    </r>
    <r>
      <rPr>
        <b/>
        <sz val="12"/>
        <color theme="1"/>
        <rFont val="Calibri"/>
        <family val="2"/>
      </rPr>
      <t>SR084073</t>
    </r>
  </si>
  <si>
    <t>1. Microinverters B2.21, B3.24, and B3.26 are offline.</t>
  </si>
  <si>
    <t>1.SR084089</t>
  </si>
  <si>
    <t>1.Microinverters B3.20, B3.21, B3.22, and B3.25 are offline.</t>
  </si>
  <si>
    <t>1.SR084091</t>
  </si>
  <si>
    <t>1. Microinverter  202305087320 offline from 04/19 
    Micro inverter 202305090399 offline
    Microinverter 202305094444 offline from 04/18
2.  Gateway stopped communicating, cannot verify site production.</t>
  </si>
  <si>
    <t>1.	SR084093
2.SR085585</t>
  </si>
  <si>
    <t>1. Microinverter 202315097491 (B5:37) back online on 04/30.</t>
  </si>
  <si>
    <t>1.	SR084095</t>
  </si>
  <si>
    <t>1. Site was not communicating since 03/04.</t>
  </si>
  <si>
    <t>1. SR084096</t>
  </si>
  <si>
    <t>1. Site was not communicated for whole month.</t>
  </si>
  <si>
    <t>1. SR087220</t>
  </si>
  <si>
    <t>May Actual v. Expected</t>
  </si>
  <si>
    <t>May Actual v. Forecasted</t>
  </si>
  <si>
    <t>1. Site stopped communicating possibly offline from 05/08/2024</t>
  </si>
  <si>
    <t>1. SR084097</t>
  </si>
  <si>
    <t>1. Site is underperforming. Peak performance is 7kW, but site capacity is 20kW.</t>
  </si>
  <si>
    <t>1.SR084100</t>
  </si>
  <si>
    <t>1. 8 micro inverters are offline.</t>
  </si>
  <si>
    <t>1.SR084073</t>
  </si>
  <si>
    <t>1.Microinverters B2.21, B3.24, and B3.26 are offline.</t>
  </si>
  <si>
    <t>1.SR084093
2.SR085585</t>
  </si>
  <si>
    <t>1.Microinverters 202315097491 (B5:37) and 202315094282(B4.30) were offline since 05/01 and back online on 05/28</t>
  </si>
  <si>
    <t>1.SR084095</t>
  </si>
  <si>
    <t>1. Site was not communicated since 04/01 and regained comms on 05/29</t>
  </si>
  <si>
    <t>June Actual v. Expected</t>
  </si>
  <si>
    <t>June Actual v. Forecasted</t>
  </si>
  <si>
    <t>1. SR084100</t>
  </si>
  <si>
    <t xml:space="preserve">1. Microinverters are offline. BA.2, BA.3, BA.7, BA.8, BB.6, BB.7, BB.8, BC.5, BC.6, BC.7. </t>
  </si>
  <si>
    <t>1. Both microinverters stopped communicating, possibly offline from 06/06/2024 and back online on 06/12 &amp; also again offline from 06/15 and back online on 06/17.</t>
  </si>
  <si>
    <t>1.SR085742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</si>
  <si>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</si>
  <si>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</si>
  <si>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</si>
  <si>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</si>
  <si>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</si>
  <si>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</si>
  <si>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</si>
  <si>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</si>
  <si>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</si>
  <si>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</si>
  <si>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</si>
  <si>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</si>
  <si>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</si>
  <si>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Cushman &amp; Wakefield</t>
  </si>
  <si>
    <t>Site DAS Name</t>
  </si>
  <si>
    <t>Update</t>
  </si>
  <si>
    <t>DAS</t>
  </si>
  <si>
    <t/>
  </si>
  <si>
    <t xml:space="preserve"> Adelanto - Bank of America</t>
  </si>
  <si>
    <t>CA</t>
  </si>
  <si>
    <t xml:space="preserve">Enlighten Manager </t>
  </si>
  <si>
    <t xml:space="preserve"> Apple Valley - Bank of America</t>
  </si>
  <si>
    <t>Bank of America - CAW-D36 (Arvin, CA)</t>
  </si>
  <si>
    <t xml:space="preserve"> Arvin - Bank of America</t>
  </si>
  <si>
    <t>Bank of America - CA8-122 (Bell, CA) (240 VAC High Leg Delta)</t>
  </si>
  <si>
    <t xml:space="preserve"> Bell - Bank of America</t>
  </si>
  <si>
    <t>Bank of America - CAW-G59 (Chula Vista, CA)</t>
  </si>
  <si>
    <t xml:space="preserve"> Chula Vista - Bank of America</t>
  </si>
  <si>
    <t>Bank of America - CAW-F39 (Cupertino, CA)</t>
  </si>
  <si>
    <t xml:space="preserve"> Cupertino - Bank of America</t>
  </si>
  <si>
    <t>Bank of America - CA7-202 (Diamond Bar, CA)</t>
  </si>
  <si>
    <t xml:space="preserve"> Diamond Bar - Bank of America</t>
  </si>
  <si>
    <t>Bank of America - CA0-119 (El Centro, CA)</t>
  </si>
  <si>
    <t xml:space="preserve"> El Centro - Bank of America</t>
  </si>
  <si>
    <t>Bank of America - CA6-174 (Moreno Valley, CA)</t>
  </si>
  <si>
    <t xml:space="preserve"> Moreno Valley - Bank of America</t>
  </si>
  <si>
    <t xml:space="preserve"> Redlands - Bank of America</t>
  </si>
  <si>
    <t>Bank of America - CA2-113 (Roseville, CA)</t>
  </si>
  <si>
    <t xml:space="preserve"> Roseville - Bank of America</t>
  </si>
  <si>
    <t>Bank of America - CAW-E84 (San Bernardino, CA)</t>
  </si>
  <si>
    <t xml:space="preserve"> San Bernardino - Bank of America</t>
  </si>
  <si>
    <t>Bank of America (San Diego, CA)</t>
  </si>
  <si>
    <t xml:space="preserve"> San Diego - Bank of America</t>
  </si>
  <si>
    <t>Bank of America - CA2-154 (Stockton, CA)</t>
  </si>
  <si>
    <t xml:space="preserve"> Stockton - Bank of America</t>
  </si>
  <si>
    <t xml:space="preserve"> Victorville - Bank of America</t>
  </si>
  <si>
    <t>BOA, Arapahoe Crossings #CO1-112</t>
  </si>
  <si>
    <t xml:space="preserve"> Aurora - BA - Colfax Ave</t>
  </si>
  <si>
    <t>CO</t>
  </si>
  <si>
    <t>BOA, Chambers Plaza #COW-139</t>
  </si>
  <si>
    <t xml:space="preserve"> Aurora - BA - Parker Rd</t>
  </si>
  <si>
    <t>BOA, BroomFeild #COW-107</t>
  </si>
  <si>
    <t xml:space="preserve"> Broomfield - Bank of America</t>
  </si>
  <si>
    <t>BOA, Garden of the Gods #CO1-140</t>
  </si>
  <si>
    <t xml:space="preserve"> Colorado Springs - Bank of America</t>
  </si>
  <si>
    <t>BOA, Green Valley Ranch #CO1-121</t>
  </si>
  <si>
    <t xml:space="preserve"> Denver - BA - 49th Ave</t>
  </si>
  <si>
    <t>BOA, South Wadsworth #COW-113</t>
  </si>
  <si>
    <t xml:space="preserve"> Denver - BA Wadsworth Blvd</t>
  </si>
  <si>
    <t>BOA, Front Range Village #COW-143</t>
  </si>
  <si>
    <t xml:space="preserve"> Fort Collins - Bank of America</t>
  </si>
  <si>
    <t>Bank of America - COW-135 (Lafayette, CO)</t>
  </si>
  <si>
    <t xml:space="preserve"> Lafayette - Bank of America</t>
  </si>
  <si>
    <t>BOA, Lakewood #COW-115</t>
  </si>
  <si>
    <t xml:space="preserve"> Lakewood - Bank of America</t>
  </si>
  <si>
    <t>BOA,Village at the Peaks #CO1-109</t>
  </si>
  <si>
    <t xml:space="preserve"> Longmont - Bank of America</t>
  </si>
  <si>
    <t>BOA, Thornton #COW-118</t>
  </si>
  <si>
    <t xml:space="preserve"> Thornton - Bank of America</t>
  </si>
  <si>
    <t>Bank of America - IL4-020 (River Oaks, IL)</t>
  </si>
  <si>
    <t xml:space="preserve"> Calumet City - Bank of America</t>
  </si>
  <si>
    <t>IL</t>
  </si>
  <si>
    <t>BOA, WoodRidge IL2-251</t>
  </si>
  <si>
    <t xml:space="preserve"> Downers Grove - Bank of America</t>
  </si>
  <si>
    <t xml:space="preserve"> Bloomington - Bank of America</t>
  </si>
  <si>
    <t>MN</t>
  </si>
  <si>
    <t>Bank of America - Forsyth (Clayton, MO)</t>
  </si>
  <si>
    <t xml:space="preserve"> Clayton - Bank of America</t>
  </si>
  <si>
    <t>MO</t>
  </si>
  <si>
    <t>Bank of America - MO1-064 (Manchester, MO)</t>
  </si>
  <si>
    <t xml:space="preserve"> Manchester - Bank of America</t>
  </si>
  <si>
    <t>Bank Of America (Las Vegas, NV)</t>
  </si>
  <si>
    <t xml:space="preserve"> Las Vegas - BA - Eastern Ave</t>
  </si>
  <si>
    <t>NV</t>
  </si>
  <si>
    <t xml:space="preserve"> Las Vegas - BA - Town Ctr Dr</t>
  </si>
  <si>
    <t>Bank of America - UTW-024 (Riverton, UT)</t>
  </si>
  <si>
    <t xml:space="preserve"> Riverton - Bank of America</t>
  </si>
  <si>
    <t>UT</t>
  </si>
  <si>
    <t>Bank of America - UT3-111 (Salt Lake City, UT)</t>
  </si>
  <si>
    <t xml:space="preserve"> Salt Lake City - Bank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</si>
</sst>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</font>
    <font>
      <b/>
      <sz val="12"/>
      <color theme="1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 applyAlignment="1">
      <alignment horizontal="left"/>
    </xf>
    <xf numFmtId="0" fontId="22" fillId="40" borderId="13" xfId="43" applyFont="1" applyFill="1" applyBorder="1"/>
    <xf numFmtId="0" fontId="35" fillId="40" borderId="13" xfId="0" applyFont="1" applyFill="1" applyBorder="1"/>
    <xf numFmtId="0" fontId="35" fillId="40" borderId="14" xfId="0" applyFont="1" applyFill="1" applyBorder="1"/>
    <xf numFmtId="0" fontId="22" fillId="0" borderId="12" xfId="43" applyFont="1" applyBorder="1" applyAlignment="1">
      <alignment horizontal="left"/>
    </xf>
    <xf numFmtId="0" fontId="22" fillId="0" borderId="13" xfId="43" applyFont="1" applyBorder="1"/>
    <xf numFmtId="0" fontId="35" fillId="0" borderId="13" xfId="0" applyFont="1" applyBorder="1"/>
    <xf numFmtId="0" fontId="35" fillId="0" borderId="14" xfId="0" applyFont="1" applyBorder="1"/>
    <xf numFmtId="0" fontId="22" fillId="0" borderId="15" xfId="43" applyFont="1" applyBorder="1" applyAlignment="1">
      <alignment horizontal="left"/>
    </xf>
    <xf numFmtId="0" fontId="22" fillId="0" borderId="16" xfId="43" applyFont="1" applyBorder="1"/>
    <xf numFmtId="0" fontId="35" fillId="40" borderId="16" xfId="0" applyFont="1" applyFill="1" applyBorder="1"/>
    <xf numFmtId="0" fontId="35" fillId="40" borderId="17" xfId="0" applyFont="1" applyFill="1" applyBorder="1"/>
    <xf numFmtId="49" fontId="27" fillId="0" borderId="0" xfId="0" applyNumberFormat="1" applyFont="1" applyAlignment="1">
      <alignment vertical="top" wrapText="1"/>
    </xf>
    <xf numFmtId="49" fontId="30" fillId="38" borderId="0" xfId="2" applyNumberFormat="1" applyFont="1" applyFill="1" applyBorder="1" applyAlignment="1">
      <alignment horizontal="left" vertical="top" wrapText="1" indent="1"/>
    </xf>
    <xf numFmtId="164" fontId="32" fillId="0" borderId="0" xfId="0" applyNumberFormat="1" applyFont="1"/>
    <xf numFmtId="164" fontId="0" fillId="0" borderId="0" xfId="0" applyNumberForma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8" totalsRowShown="0">
  <autoFilter ref="A3:E3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bottomRight" activeCell="K28" sqref="K2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Cushman &amp; Wakefield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SUM('1st Qtr'!C4, '2nd Qtr'!C4, '3rd Qtr'!C4, '4th Qtr'!C4)</f>
        <v>0</v>
      </c>
      <c r="D4" s="13">
        <f>SUM('1st Qtr'!D4, '2nd Qtr'!D4, '3rd Qtr'!D4, '4th Qtr'!D4)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SUM('1st Qtr'!H4, '2nd Qtr'!H4, '3rd Qtr'!H4, '4th Qtr'!H4)</f>
        <v>0</v>
      </c>
      <c r="I4" s="16" t="str">
        <f>IFERROR(H4/G4, "")</f>
        <v/>
      </c>
    </row>
    <row r="5" spans="1:9" ht="15.75">
      <c r="A5" s="17" t="str">
        <v xml:space="preserve"> Apple Valley - Bank of America</v>
      </c>
      <c r="B5" s="10" t="str">
        <v>CA</v>
      </c>
      <c r="C5" s="11">
        <f>SUM(Jan!C5, Feb!C5, Mar!C5)</f>
        <v>0</v>
      </c>
      <c r="D5" s="18">
        <f>SUM(Jan!D5, Feb!D5, Mar!D5)</f>
        <v>0</v>
      </c>
      <c r="E5" s="18">
        <f t="shared" ref="E5:E13" si="0">IF(AND(ISNUMBER(C5),ISNUMBER(D5)), C5-D5, "")</f>
        <v>0</v>
      </c>
      <c r="F5" s="19" t="str">
        <f>IFERROR(E5/D5, "")</f>
        <v/>
      </c>
      <c r="G5" s="20"/>
      <c r="H5" s="20">
        <f>SUM(Jan!H5, Feb!H5, Mar!H5)</f>
        <v>0</v>
      </c>
      <c r="I5" s="19" t="str">
        <f>IFERROR(H5/G5, "")</f>
        <v/>
      </c>
    </row>
    <row r="6" spans="1:9" ht="15.75">
      <c r="A6" s="12" t="str">
        <v xml:space="preserve"> Arvin - Bank of America</v>
      </c>
      <c r="B6" s="9" t="str">
        <v>CA</v>
      </c>
      <c r="C6" s="24">
        <f>SUM(Jan!C6, Feb!C6, Mar!C6)</f>
        <v>0</v>
      </c>
      <c r="D6" s="13">
        <f>SUM(Jan!D6, Feb!D6, Mar!D6)</f>
        <v>0</v>
      </c>
      <c r="E6" s="13">
        <f t="shared" si="0"/>
        <v>0</v>
      </c>
      <c r="F6" s="14" t="str">
        <f t="shared" ref="F6:F13" si="1">IFERROR(E6/D6, "")</f>
        <v/>
      </c>
      <c r="G6" s="15"/>
      <c r="H6" s="15">
        <f>SUM(Jan!H6, Feb!H6, Mar!H6)</f>
        <v>0</v>
      </c>
      <c r="I6" s="16" t="str">
        <f t="shared" ref="I6:I13" si="2">IFERROR(H6/G6, "")</f>
        <v/>
      </c>
    </row>
    <row r="7" spans="1:9" ht="15.75">
      <c r="A7" s="17" t="str">
        <v xml:space="preserve"> Bell - Bank of America</v>
      </c>
      <c r="B7" s="10" t="str">
        <v>CA</v>
      </c>
      <c r="C7" s="11">
        <f>SUM(Jan!C7, Feb!C7, Mar!C7)</f>
        <v>0</v>
      </c>
      <c r="D7" s="18">
        <f>SUM(Jan!D7, Feb!D7, Mar!D7)</f>
        <v>0</v>
      </c>
      <c r="E7" s="18">
        <f t="shared" si="0"/>
        <v>0</v>
      </c>
      <c r="F7" s="19" t="str">
        <f t="shared" si="1"/>
        <v/>
      </c>
      <c r="G7" s="20"/>
      <c r="H7" s="20">
        <f>SUM(Jan!H7, Feb!H7, Mar!H7)</f>
        <v>0</v>
      </c>
      <c r="I7" s="19" t="str">
        <f t="shared" si="2"/>
        <v/>
      </c>
    </row>
    <row r="8" spans="1:9" ht="15.75">
      <c r="A8" s="12" t="str">
        <v xml:space="preserve"> Chula Vista - Bank of America</v>
      </c>
      <c r="B8" s="9" t="str">
        <v>CA</v>
      </c>
      <c r="C8" s="24">
        <f>SUM(Jan!C8, Feb!C8, Mar!C8)</f>
        <v>0</v>
      </c>
      <c r="D8" s="13">
        <f>SUM(Jan!D8, Feb!D8, Mar!D8)</f>
        <v>0</v>
      </c>
      <c r="E8" s="13">
        <f t="shared" si="0"/>
        <v>0</v>
      </c>
      <c r="F8" s="14" t="str">
        <f t="shared" si="1"/>
        <v/>
      </c>
      <c r="G8" s="15"/>
      <c r="H8" s="15">
        <f>SUM(Jan!H8, Feb!H8, Mar!H8)</f>
        <v>0</v>
      </c>
      <c r="I8" s="16" t="str">
        <f t="shared" si="2"/>
        <v/>
      </c>
    </row>
    <row r="9" spans="1:9" ht="15.75">
      <c r="A9" s="17" t="str">
        <v xml:space="preserve"> Cupertino - Bank of America</v>
      </c>
      <c r="B9" s="10" t="str">
        <v>CA</v>
      </c>
      <c r="C9" s="11">
        <f>SUM(Jan!C9, Feb!C9, Mar!C9)</f>
        <v>0</v>
      </c>
      <c r="D9" s="18">
        <f>SUM(Jan!D9, Feb!D9, Mar!D9)</f>
        <v>0</v>
      </c>
      <c r="E9" s="18">
        <f t="shared" si="0"/>
        <v>0</v>
      </c>
      <c r="F9" s="19" t="str">
        <f t="shared" si="1"/>
        <v/>
      </c>
      <c r="G9" s="20"/>
      <c r="H9" s="20">
        <f>SUM(Jan!H9, Feb!H9, Mar!H9)</f>
        <v>0</v>
      </c>
      <c r="I9" s="19" t="str">
        <f t="shared" si="2"/>
        <v/>
      </c>
    </row>
    <row r="10" spans="1:9" ht="15.75">
      <c r="A10" s="12" t="str">
        <v xml:space="preserve"> Diamond Bar - Bank of America</v>
      </c>
      <c r="B10" s="9" t="str">
        <v>CA</v>
      </c>
      <c r="C10" s="24">
        <f>SUM(Jan!C10, Feb!C10, Mar!C10)</f>
        <v>0</v>
      </c>
      <c r="D10" s="13">
        <f>SUM(Jan!D10, Feb!D10, Mar!D10)</f>
        <v>0</v>
      </c>
      <c r="E10" s="13">
        <f t="shared" si="0"/>
        <v>0</v>
      </c>
      <c r="F10" s="14" t="str">
        <f t="shared" si="1"/>
        <v/>
      </c>
      <c r="G10" s="15"/>
      <c r="H10" s="15">
        <f>SUM(Jan!H10, Feb!H10, Mar!H10)</f>
        <v>0</v>
      </c>
      <c r="I10" s="16" t="str">
        <f t="shared" si="2"/>
        <v/>
      </c>
    </row>
    <row r="11" spans="1:9" ht="15.75">
      <c r="A11" s="17" t="str">
        <v xml:space="preserve"> El Centro - Bank of America</v>
      </c>
      <c r="B11" s="10" t="str">
        <v>CA</v>
      </c>
      <c r="C11" s="11">
        <f>SUM(Jan!C11, Feb!C11, Mar!C11)</f>
        <v>0</v>
      </c>
      <c r="D11" s="18">
        <f>SUM(Jan!D11, Feb!D11, Mar!D11)</f>
        <v>0</v>
      </c>
      <c r="E11" s="18">
        <f t="shared" si="0"/>
        <v>0</v>
      </c>
      <c r="F11" s="19" t="str">
        <f t="shared" si="1"/>
        <v/>
      </c>
      <c r="G11" s="20"/>
      <c r="H11" s="20">
        <f>SUM(Jan!H11, Feb!H11, Mar!H11)</f>
        <v>0</v>
      </c>
      <c r="I11" s="19" t="str">
        <f t="shared" si="2"/>
        <v/>
      </c>
    </row>
    <row r="12" spans="1:9" ht="15.75">
      <c r="A12" s="12" t="str">
        <v xml:space="preserve"> Moreno Valley - Bank of America</v>
      </c>
      <c r="B12" s="9" t="str">
        <v>CA</v>
      </c>
      <c r="C12" s="24">
        <f>SUM(Jan!C12, Feb!C12, Mar!C12)</f>
        <v>0</v>
      </c>
      <c r="D12" s="13">
        <f>SUM(Jan!D12, Feb!D12, Mar!D12)</f>
        <v>0</v>
      </c>
      <c r="E12" s="13">
        <f t="shared" si="0"/>
        <v>0</v>
      </c>
      <c r="F12" s="14" t="str">
        <f t="shared" si="1"/>
        <v/>
      </c>
      <c r="G12" s="15"/>
      <c r="H12" s="15">
        <f>SUM(Jan!H12, Feb!H12, Mar!H12)</f>
        <v>0</v>
      </c>
      <c r="I12" s="16" t="str">
        <f t="shared" si="2"/>
        <v/>
      </c>
    </row>
    <row r="13" spans="1:9" ht="15.75">
      <c r="A13" s="17" t="str">
        <v xml:space="preserve"> Redlands - Bank of America</v>
      </c>
      <c r="B13" s="10" t="str">
        <v>CA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/>
      <c r="H13" s="20">
        <f>SUM(Jan!H13, Feb!H13, Mar!H13)</f>
        <v>0</v>
      </c>
      <c r="I13" s="19" t="str">
        <f t="shared" si="2"/>
        <v/>
      </c>
    </row>
    <row r="14" spans="1:9" ht="15.75">
      <c r="A14" s="12" t="str">
        <v xml:space="preserve"> Roseville - Bank of America</v>
      </c>
      <c r="B14" s="9" t="str">
        <v>CA</v>
      </c>
      <c r="C14" s="24">
        <f>SUM(Jan!C14, Feb!C14, Mar!C14)</f>
        <v>0</v>
      </c>
      <c r="D14" s="13">
        <f>SUM(Jan!D14, Feb!D14, Mar!D14)</f>
        <v>0</v>
      </c>
      <c r="E14" s="13">
        <f>IF(AND(ISNUMBER(C14),ISNUMBER(D14)), C14-D14, "")</f>
        <v>0</v>
      </c>
      <c r="F14" s="14" t="str">
        <f>IFERROR(E14/D14, "")</f>
        <v/>
      </c>
      <c r="G14" s="15"/>
      <c r="H14" s="15">
        <f>SUM(Jan!H14, Feb!H14, Mar!H14)</f>
        <v>0</v>
      </c>
      <c r="I14" s="16" t="str">
        <f>IFERROR(H14/G14, "")</f>
        <v/>
      </c>
    </row>
    <row r="15" spans="1:9" ht="15.75">
      <c r="A15" s="17" t="str">
        <v xml:space="preserve"> San Bernardino - Bank of America</v>
      </c>
      <c r="B15" s="10" t="str">
        <v>CA</v>
      </c>
      <c r="C15" s="11">
        <f>SUM(Jan!C15, Feb!C15, Mar!C15)</f>
        <v>0</v>
      </c>
      <c r="D15" s="18">
        <f>SUM(Jan!D15, Feb!D15, Mar!D15)</f>
        <v>0</v>
      </c>
      <c r="E15" s="18">
        <f>IF(AND(ISNUMBER(C15),ISNUMBER(D15)), C15-D15, "")</f>
        <v>0</v>
      </c>
      <c r="F15" s="19" t="str">
        <f>IFERROR(E15/D15, "")</f>
        <v/>
      </c>
      <c r="G15" s="20"/>
      <c r="H15" s="20">
        <f>SUM(Jan!H15, Feb!H15, Mar!H15)</f>
        <v>0</v>
      </c>
      <c r="I15" s="19" t="str">
        <f>IFERROR(H15/G15, "")</f>
        <v/>
      </c>
    </row>
    <row r="16" spans="1:9" ht="15.75">
      <c r="A16" s="12" t="str">
        <v xml:space="preserve"> San Diego - Bank of America</v>
      </c>
      <c r="B16" s="9" t="str">
        <v>CA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/>
      <c r="H16" s="15">
        <f>SUM(Jan!H16, Feb!H16, Mar!H16)</f>
        <v>0</v>
      </c>
      <c r="I16" s="16" t="str">
        <f t="shared" ref="I16:I17" si="5">IFERROR(H16/G16, "")</f>
        <v/>
      </c>
    </row>
    <row r="17" spans="1:9" ht="15.75">
      <c r="A17" s="17" t="str">
        <v xml:space="preserve"> Stockton - Bank of America</v>
      </c>
      <c r="B17" s="10" t="str">
        <v>CA</v>
      </c>
      <c r="C17" s="11">
        <f>SUM(Jan!C17, Feb!C17, Mar!C17)</f>
        <v>0</v>
      </c>
      <c r="D17" s="18">
        <f>SUM(Jan!D17, Feb!D17, Mar!D17)</f>
        <v>0</v>
      </c>
      <c r="E17" s="18">
        <f t="shared" si="3"/>
        <v>0</v>
      </c>
      <c r="F17" s="19" t="str">
        <f t="shared" si="4"/>
        <v/>
      </c>
      <c r="G17" s="20"/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SUM(Jan!C18, Feb!C18, Mar!C18)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/>
      <c r="H18" s="15">
        <f>SUM(Jan!H18, Feb!H18, Mar!H18)</f>
        <v>0</v>
      </c>
      <c r="I18" s="16" t="str">
        <f t="shared" ref="I18:I38" si="8">IFERROR(H18/G18, "")</f>
        <v/>
      </c>
    </row>
    <row r="19" spans="1:9" ht="15.75">
      <c r="A19" s="17" t="str">
        <v xml:space="preserve"> Aurora - BA - Colfax Ave</v>
      </c>
      <c r="B19" s="10" t="str">
        <v>CO</v>
      </c>
      <c r="C19" s="11">
        <f>SUM(Jan!C19, Feb!C19, Mar!C19)</f>
        <v>0</v>
      </c>
      <c r="D19" s="18">
        <f>SUM(Jan!D19, Feb!D19, Mar!D19)</f>
        <v>0</v>
      </c>
      <c r="E19" s="18">
        <f t="shared" si="6"/>
        <v>0</v>
      </c>
      <c r="F19" s="19" t="str">
        <f t="shared" si="7"/>
        <v/>
      </c>
      <c r="G19" s="20"/>
      <c r="H19" s="20">
        <f>SUM(Jan!H19, Feb!H19, Mar!H19)</f>
        <v>0</v>
      </c>
      <c r="I19" s="19" t="str">
        <f t="shared" si="8"/>
        <v/>
      </c>
    </row>
    <row r="20" spans="1:9" ht="15.75">
      <c r="A20" s="12" t="str">
        <v xml:space="preserve"> Aurora - BA - Parker Rd</v>
      </c>
      <c r="B20" s="9" t="str">
        <v>CO</v>
      </c>
      <c r="C20" s="24">
        <f>SUM(Jan!C20, Feb!C20, Mar!C20)</f>
        <v>0</v>
      </c>
      <c r="D20" s="13">
        <f>SUM(Jan!D20, Feb!D20, Mar!D20)</f>
        <v>0</v>
      </c>
      <c r="E20" s="13">
        <f t="shared" si="6"/>
        <v>0</v>
      </c>
      <c r="F20" s="14" t="str">
        <f t="shared" si="7"/>
        <v/>
      </c>
      <c r="G20" s="15"/>
      <c r="H20" s="15">
        <f>SUM(Jan!H20, Feb!H20, Mar!H20)</f>
        <v>0</v>
      </c>
      <c r="I20" s="16" t="str">
        <f t="shared" si="8"/>
        <v/>
      </c>
    </row>
    <row r="21" spans="1:9" ht="15.75">
      <c r="A21" s="17" t="str">
        <v xml:space="preserve"> Broomfield - Bank of America</v>
      </c>
      <c r="B21" s="10" t="str">
        <v>CO</v>
      </c>
      <c r="C21" s="11">
        <f>SUM(Jan!C21, Feb!C21, Mar!C21)</f>
        <v>0</v>
      </c>
      <c r="D21" s="18">
        <f>SUM(Jan!D21, Feb!D21, Mar!D21)</f>
        <v>0</v>
      </c>
      <c r="E21" s="18">
        <f t="shared" si="6"/>
        <v>0</v>
      </c>
      <c r="F21" s="19" t="str">
        <f t="shared" si="7"/>
        <v/>
      </c>
      <c r="G21" s="20"/>
      <c r="H21" s="20">
        <f>SUM(Jan!H21, Feb!H21, Mar!H21)</f>
        <v>0</v>
      </c>
      <c r="I21" s="19" t="str">
        <f t="shared" si="8"/>
        <v/>
      </c>
    </row>
    <row r="22" spans="1:9" ht="15.75">
      <c r="A22" s="12" t="str">
        <v xml:space="preserve"> Colorado Springs - Bank of America</v>
      </c>
      <c r="B22" s="9" t="str">
        <v>CO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/>
      <c r="H22" s="15">
        <f>SUM(Jan!H22, Feb!H22, Mar!H22)</f>
        <v>0</v>
      </c>
      <c r="I22" s="16" t="str">
        <f t="shared" si="8"/>
        <v/>
      </c>
    </row>
    <row r="23" spans="1:9" ht="15.75">
      <c r="A23" s="17" t="str">
        <v xml:space="preserve"> Denver - BA - 49th Ave</v>
      </c>
      <c r="B23" s="10" t="str">
        <v>CO</v>
      </c>
      <c r="C23" s="11">
        <f>SUM(Jan!C23, Feb!C23, Mar!C23)</f>
        <v>0</v>
      </c>
      <c r="D23" s="18">
        <f>SUM(Jan!D23, Feb!D23, Mar!D23)</f>
        <v>0</v>
      </c>
      <c r="E23" s="18">
        <f t="shared" si="6"/>
        <v>0</v>
      </c>
      <c r="F23" s="19" t="str">
        <f t="shared" si="7"/>
        <v/>
      </c>
      <c r="G23" s="20"/>
      <c r="H23" s="20">
        <f>SUM(Jan!H23, Feb!H23, Mar!H23)</f>
        <v>0</v>
      </c>
      <c r="I23" s="19" t="str">
        <f t="shared" si="8"/>
        <v/>
      </c>
    </row>
    <row r="24" spans="1:9" ht="15.75">
      <c r="A24" s="12" t="str">
        <v xml:space="preserve"> Denver - BA Wadsworth Blvd</v>
      </c>
      <c r="B24" s="9" t="str">
        <v>CO</v>
      </c>
      <c r="C24" s="24">
        <f>SUM(Jan!C24, Feb!C24, Mar!C24)</f>
        <v>0</v>
      </c>
      <c r="D24" s="13">
        <f>SUM(Jan!D24, Feb!D24, Mar!D24)</f>
        <v>0</v>
      </c>
      <c r="E24" s="13">
        <f t="shared" si="6"/>
        <v>0</v>
      </c>
      <c r="F24" s="14" t="str">
        <f t="shared" si="7"/>
        <v/>
      </c>
      <c r="G24" s="15"/>
      <c r="H24" s="15">
        <f>SUM(Jan!H24, Feb!H24, Mar!H24)</f>
        <v>0</v>
      </c>
      <c r="I24" s="16" t="str">
        <f t="shared" si="8"/>
        <v/>
      </c>
    </row>
    <row r="25" spans="1:9" ht="15.75">
      <c r="A25" s="17" t="str">
        <v xml:space="preserve"> Fort Collins - Bank of America</v>
      </c>
      <c r="B25" s="10" t="str">
        <v>CO</v>
      </c>
      <c r="C25" s="11">
        <f>SUM(Jan!C25, Feb!C25, Mar!C25)</f>
        <v>0</v>
      </c>
      <c r="D25" s="18">
        <f>SUM(Jan!D25, Feb!D25, Mar!D25)</f>
        <v>0</v>
      </c>
      <c r="E25" s="18">
        <f t="shared" si="6"/>
        <v>0</v>
      </c>
      <c r="F25" s="19" t="str">
        <f t="shared" si="7"/>
        <v/>
      </c>
      <c r="G25" s="20"/>
      <c r="H25" s="20">
        <f>SUM(Jan!H25, Feb!H25, Mar!H25)</f>
        <v>0</v>
      </c>
      <c r="I25" s="19" t="str">
        <f t="shared" si="8"/>
        <v/>
      </c>
    </row>
    <row r="26" spans="1:9" ht="15.75">
      <c r="A26" s="12" t="str">
        <v xml:space="preserve"> Lafayette - Bank of America</v>
      </c>
      <c r="B26" s="9" t="str">
        <v>CO</v>
      </c>
      <c r="C26" s="24">
        <f>SUM(Jan!C26, Feb!C26, Mar!C26)</f>
        <v>0</v>
      </c>
      <c r="D26" s="13">
        <f>SUM(Jan!D26, Feb!D26, Mar!D26)</f>
        <v>0</v>
      </c>
      <c r="E26" s="13">
        <f t="shared" si="6"/>
        <v>0</v>
      </c>
      <c r="F26" s="14" t="str">
        <f t="shared" si="7"/>
        <v/>
      </c>
      <c r="G26" s="15"/>
      <c r="H26" s="15">
        <f>SUM(Jan!H26, Feb!H26, Mar!H26)</f>
        <v>0</v>
      </c>
      <c r="I26" s="16" t="str">
        <f t="shared" si="8"/>
        <v/>
      </c>
    </row>
    <row r="27" spans="1:9" ht="15.75">
      <c r="A27" s="17" t="str">
        <v xml:space="preserve"> Lakewood - Bank of America</v>
      </c>
      <c r="B27" s="10" t="str">
        <v>CO</v>
      </c>
      <c r="C27" s="11">
        <f>SUM(Jan!C27, Feb!C27, Mar!C27)</f>
        <v>0</v>
      </c>
      <c r="D27" s="18">
        <f>SUM(Jan!D27, Feb!D27, Mar!D27)</f>
        <v>0</v>
      </c>
      <c r="E27" s="18">
        <f t="shared" si="6"/>
        <v>0</v>
      </c>
      <c r="F27" s="19" t="str">
        <f t="shared" si="7"/>
        <v/>
      </c>
      <c r="G27" s="20"/>
      <c r="H27" s="20">
        <f>SUM(Jan!H27, Feb!H27, Mar!H27)</f>
        <v>0</v>
      </c>
      <c r="I27" s="19" t="str">
        <f t="shared" si="8"/>
        <v/>
      </c>
    </row>
    <row r="28" spans="1:9" ht="15.75">
      <c r="A28" s="12" t="str">
        <v xml:space="preserve"> Longmont - Bank of America</v>
      </c>
      <c r="B28" s="9" t="str">
        <v>CO</v>
      </c>
      <c r="C28" s="24">
        <f>SUM(Jan!C28, Feb!C28, Mar!C28)</f>
        <v>0</v>
      </c>
      <c r="D28" s="13">
        <f>SUM(Jan!D28, Feb!D28, Mar!D28)</f>
        <v>0</v>
      </c>
      <c r="E28" s="13">
        <f t="shared" si="6"/>
        <v>0</v>
      </c>
      <c r="F28" s="14" t="str">
        <f t="shared" si="7"/>
        <v/>
      </c>
      <c r="G28" s="15"/>
      <c r="H28" s="15">
        <f>SUM(Jan!H28, Feb!H28, Mar!H28)</f>
        <v>0</v>
      </c>
      <c r="I28" s="16" t="str">
        <f t="shared" si="8"/>
        <v/>
      </c>
    </row>
    <row r="29" spans="1:9" ht="15.75">
      <c r="A29" s="17" t="str">
        <v xml:space="preserve"> Thornton - Bank of America</v>
      </c>
      <c r="B29" s="10" t="str">
        <v>CO</v>
      </c>
      <c r="C29" s="11">
        <f>SUM(Jan!C29, Feb!C29, Mar!C29)</f>
        <v>0</v>
      </c>
      <c r="D29" s="18">
        <f>SUM(Jan!D29, Feb!D29, Mar!D29)</f>
        <v>0</v>
      </c>
      <c r="E29" s="18">
        <f t="shared" si="6"/>
        <v>0</v>
      </c>
      <c r="F29" s="19" t="str">
        <f t="shared" si="7"/>
        <v/>
      </c>
      <c r="G29" s="20"/>
      <c r="H29" s="20">
        <f>SUM(Jan!H29, Feb!H29, Mar!H29)</f>
        <v>0</v>
      </c>
      <c r="I29" s="19" t="str">
        <f t="shared" si="8"/>
        <v/>
      </c>
    </row>
    <row r="30" spans="1:9" ht="15.75">
      <c r="A30" s="12" t="str">
        <v xml:space="preserve"> Calumet City - Bank of America</v>
      </c>
      <c r="B30" s="9" t="str">
        <v>IL</v>
      </c>
      <c r="C30" s="24">
        <f>SUM(Jan!C30, Feb!C30, Mar!C30)</f>
        <v>0</v>
      </c>
      <c r="D30" s="13">
        <f>SUM(Jan!D30, Feb!D30, Mar!D30)</f>
        <v>0</v>
      </c>
      <c r="E30" s="13">
        <f t="shared" si="6"/>
        <v>0</v>
      </c>
      <c r="F30" s="14" t="str">
        <f t="shared" si="7"/>
        <v/>
      </c>
      <c r="G30" s="15"/>
      <c r="H30" s="15">
        <f>SUM(Jan!H30, Feb!H30, Mar!H30)</f>
        <v>0</v>
      </c>
      <c r="I30" s="16" t="str">
        <f t="shared" si="8"/>
        <v/>
      </c>
    </row>
    <row r="31" spans="1:9" ht="15.75">
      <c r="A31" s="17" t="str">
        <v xml:space="preserve"> Downers Grove - Bank of America</v>
      </c>
      <c r="B31" s="10" t="str">
        <v>IL</v>
      </c>
      <c r="C31" s="11">
        <f>SUM(Jan!C31, Feb!C31, Mar!C31)</f>
        <v>0</v>
      </c>
      <c r="D31" s="18">
        <f>SUM(Jan!D31, Feb!D31, Mar!D31)</f>
        <v>0</v>
      </c>
      <c r="E31" s="18">
        <f t="shared" si="6"/>
        <v>0</v>
      </c>
      <c r="F31" s="19" t="str">
        <f t="shared" si="7"/>
        <v/>
      </c>
      <c r="G31" s="20"/>
      <c r="H31" s="20">
        <f>SUM(Jan!H31, Feb!H31, Mar!H31)</f>
        <v>0</v>
      </c>
      <c r="I31" s="19" t="str">
        <f t="shared" si="8"/>
        <v/>
      </c>
    </row>
    <row r="32" spans="1:9" ht="15.75">
      <c r="A32" s="12" t="str">
        <v xml:space="preserve"> Bloomington - Bank of America</v>
      </c>
      <c r="B32" s="9" t="str">
        <v>MN</v>
      </c>
      <c r="C32" s="24">
        <f>SUM(Jan!C32, Feb!C32, Mar!C32)</f>
        <v>0</v>
      </c>
      <c r="D32" s="13">
        <f>SUM(Jan!D32, Feb!D32, Mar!D32)</f>
        <v>0</v>
      </c>
      <c r="E32" s="13">
        <f t="shared" si="6"/>
        <v>0</v>
      </c>
      <c r="F32" s="14" t="str">
        <f t="shared" si="7"/>
        <v/>
      </c>
      <c r="G32" s="15"/>
      <c r="H32" s="15">
        <f>SUM(Jan!H32, Feb!H32, Mar!H32)</f>
        <v>0</v>
      </c>
      <c r="I32" s="16" t="str">
        <f t="shared" si="8"/>
        <v/>
      </c>
    </row>
    <row r="33" spans="1:9" ht="15.75">
      <c r="A33" s="17" t="str">
        <v xml:space="preserve"> Clayton - Bank of America</v>
      </c>
      <c r="B33" s="10" t="str">
        <v>MO</v>
      </c>
      <c r="C33" s="11">
        <f>SUM(Jan!C33, Feb!C33, Mar!C33)</f>
        <v>0</v>
      </c>
      <c r="D33" s="18">
        <f>SUM(Jan!D33, Feb!D33, Mar!D33)</f>
        <v>0</v>
      </c>
      <c r="E33" s="18">
        <f t="shared" si="6"/>
        <v>0</v>
      </c>
      <c r="F33" s="19" t="str">
        <f t="shared" si="7"/>
        <v/>
      </c>
      <c r="G33" s="20"/>
      <c r="H33" s="20">
        <f>SUM(Jan!H33, Feb!H33, Mar!H33)</f>
        <v>0</v>
      </c>
      <c r="I33" s="19" t="str">
        <f t="shared" si="8"/>
        <v/>
      </c>
    </row>
    <row r="34" spans="1:9" ht="15.75">
      <c r="A34" s="12" t="str">
        <v xml:space="preserve"> Manchester - Bank of America</v>
      </c>
      <c r="B34" s="9" t="str">
        <v>MO</v>
      </c>
      <c r="C34" s="24">
        <f>SUM(Jan!C34, Feb!C34, Mar!C34)</f>
        <v>0</v>
      </c>
      <c r="D34" s="13">
        <f>SUM(Jan!D34, Feb!D34, Mar!D34)</f>
        <v>0</v>
      </c>
      <c r="E34" s="13">
        <f t="shared" si="6"/>
        <v>0</v>
      </c>
      <c r="F34" s="14" t="str">
        <f t="shared" si="7"/>
        <v/>
      </c>
      <c r="G34" s="15"/>
      <c r="H34" s="15">
        <f>SUM(Jan!H34, Feb!H34, Mar!H34)</f>
        <v>0</v>
      </c>
      <c r="I34" s="16" t="str">
        <f t="shared" si="8"/>
        <v/>
      </c>
    </row>
    <row r="35" spans="1:9" ht="15.75">
      <c r="A35" s="17" t="str">
        <v xml:space="preserve"> Las Vegas - BA - Eastern Ave</v>
      </c>
      <c r="B35" s="10" t="str">
        <v>NV</v>
      </c>
      <c r="C35" s="11">
        <f>SUM(Jan!C35, Feb!C35, Mar!C35)</f>
        <v>0</v>
      </c>
      <c r="D35" s="18">
        <f>SUM(Jan!D35, Feb!D35, Mar!D35)</f>
        <v>0</v>
      </c>
      <c r="E35" s="18">
        <f t="shared" si="6"/>
        <v>0</v>
      </c>
      <c r="F35" s="19" t="str">
        <f t="shared" si="7"/>
        <v/>
      </c>
      <c r="G35" s="20"/>
      <c r="H35" s="20">
        <f>SUM(Jan!H35, Feb!H35, Mar!H35)</f>
        <v>0</v>
      </c>
      <c r="I35" s="19" t="str">
        <f t="shared" si="8"/>
        <v/>
      </c>
    </row>
    <row r="36" spans="1:9" ht="15.75">
      <c r="A36" s="12" t="str">
        <v xml:space="preserve"> Las Vegas - BA - Town Ctr Dr</v>
      </c>
      <c r="B36" s="9" t="str">
        <v>NV</v>
      </c>
      <c r="C36" s="24">
        <f>SUM(Jan!C36, Feb!C36, Mar!C36)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/>
      <c r="H36" s="15">
        <f>SUM(Jan!H36, Feb!H36, Mar!H36)</f>
        <v>0</v>
      </c>
      <c r="I36" s="16" t="str">
        <f t="shared" si="8"/>
        <v/>
      </c>
    </row>
    <row r="37" spans="1:9" ht="15.75">
      <c r="A37" s="17" t="str">
        <v xml:space="preserve"> Riverton - Bank of America</v>
      </c>
      <c r="B37" s="10" t="str">
        <v>UT</v>
      </c>
      <c r="C37" s="11">
        <f>SUM(Jan!C37, Feb!C37, Mar!C37)</f>
        <v>0</v>
      </c>
      <c r="D37" s="18">
        <f>SUM(Jan!D37, Feb!D37, Mar!D37)</f>
        <v>0</v>
      </c>
      <c r="E37" s="18">
        <f t="shared" si="6"/>
        <v>0</v>
      </c>
      <c r="F37" s="19" t="str">
        <f t="shared" si="7"/>
        <v/>
      </c>
      <c r="G37" s="20"/>
      <c r="H37" s="20">
        <f>SUM(Jan!H37, Feb!H37, Mar!H37)</f>
        <v>0</v>
      </c>
      <c r="I37" s="19" t="str">
        <f t="shared" si="8"/>
        <v/>
      </c>
    </row>
    <row r="38" spans="1:9" ht="15.75">
      <c r="A38" s="12" t="str">
        <v xml:space="preserve"> Salt Lake City - Bank of America</v>
      </c>
      <c r="B38" s="9" t="str">
        <v>UT</v>
      </c>
      <c r="C38" s="24">
        <f>SUM(Jan!C38, Feb!C38, Mar!C38)</f>
        <v>0</v>
      </c>
      <c r="D38" s="13">
        <f>SUM(Jan!D38, Feb!D38, Mar!D38)</f>
        <v>0</v>
      </c>
      <c r="E38" s="13">
        <f t="shared" si="6"/>
        <v>0</v>
      </c>
      <c r="F38" s="14" t="str">
        <f t="shared" si="7"/>
        <v/>
      </c>
      <c r="G38" s="15"/>
      <c r="H38" s="15">
        <f>SUM(Jan!H38, Feb!H38, Mar!H38)</f>
        <v>0</v>
      </c>
      <c r="I38" s="16" t="str">
        <f t="shared" si="8"/>
        <v/>
      </c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bottomRight" activeCell="A16" sqref="A16:I3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Cushman &amp; Wakefield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75">
      <c r="A5" s="17" t="str">
        <v xml:space="preserve"> Apple Valley - Bank of America</v>
      </c>
      <c r="B5" s="10" t="str">
        <v>CA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75">
      <c r="A6" s="12" t="str">
        <v xml:space="preserve"> Arvin - Bank of America</v>
      </c>
      <c r="B6" s="9" t="str">
        <v>CA</v>
      </c>
      <c r="C6" s="24">
        <f>SUM(Jan!C6, Feb!C6, Mar!C6)</f>
        <v>0</v>
      </c>
      <c r="D6" s="13">
        <f>SUM(Jan!D6, Feb!D6, Mar!D6)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75">
      <c r="A7" s="17" t="str">
        <v xml:space="preserve"> Bell - Bank of America</v>
      </c>
      <c r="B7" s="10" t="str">
        <v>CA</v>
      </c>
      <c r="C7" s="11">
        <f>SUM(Jan!C7, Feb!C7, Mar!C7)</f>
        <v>0</v>
      </c>
      <c r="D7" s="18">
        <f>SUM(Jan!D7, Feb!D7, Mar!D7)</f>
        <v>0</v>
      </c>
      <c r="E7" s="18">
        <f t="shared" si="0"/>
        <v>0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75">
      <c r="A8" s="12" t="str">
        <v xml:space="preserve"> Chula Vista - Bank of America</v>
      </c>
      <c r="B8" s="9" t="str">
        <v>CA</v>
      </c>
      <c r="C8" s="24">
        <f>SUM(Jan!C8, Feb!C8, Mar!C8)</f>
        <v>0</v>
      </c>
      <c r="D8" s="13">
        <f>SUM(Jan!D8, Feb!D8, Mar!D8)</f>
        <v>0</v>
      </c>
      <c r="E8" s="13">
        <f t="shared" si="0"/>
        <v>0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75">
      <c r="A9" s="17" t="str">
        <v xml:space="preserve"> Cupertino - Bank of America</v>
      </c>
      <c r="B9" s="10" t="str">
        <v>CA</v>
      </c>
      <c r="C9" s="11">
        <f>SUM(Jan!C9, Feb!C9, Mar!C9)</f>
        <v>0</v>
      </c>
      <c r="D9" s="18">
        <f>SUM(Jan!D9, Feb!D9, Mar!D9)</f>
        <v>0</v>
      </c>
      <c r="E9" s="18">
        <f t="shared" si="0"/>
        <v>0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75">
      <c r="A10" s="12" t="str">
        <v xml:space="preserve"> Diamond Bar - Bank of America</v>
      </c>
      <c r="B10" s="9" t="str">
        <v>CA</v>
      </c>
      <c r="C10" s="24">
        <f>SUM(Jan!C10, Feb!C10, Mar!C10)</f>
        <v>0</v>
      </c>
      <c r="D10" s="13">
        <f>SUM(Jan!D10, Feb!D10, Mar!D10)</f>
        <v>0</v>
      </c>
      <c r="E10" s="13">
        <f t="shared" si="0"/>
        <v>0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75">
      <c r="A11" s="17" t="str">
        <v xml:space="preserve"> El Centro - Bank of America</v>
      </c>
      <c r="B11" s="10" t="str">
        <v>CA</v>
      </c>
      <c r="C11" s="11">
        <f>SUM(Jan!C11, Feb!C11, Mar!C11)</f>
        <v>0</v>
      </c>
      <c r="D11" s="18">
        <f>SUM(Jan!D11, Feb!D11, Mar!D11)</f>
        <v>0</v>
      </c>
      <c r="E11" s="18">
        <f t="shared" si="0"/>
        <v>0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75">
      <c r="A12" s="12" t="str">
        <v xml:space="preserve"> Moreno Valley - Bank of America</v>
      </c>
      <c r="B12" s="9" t="str">
        <v>CA</v>
      </c>
      <c r="C12" s="24">
        <f>SUM(Jan!C12, Feb!C12, Mar!C12)</f>
        <v>0</v>
      </c>
      <c r="D12" s="13">
        <f>SUM(Jan!D12, Feb!D12, Mar!D12)</f>
        <v>0</v>
      </c>
      <c r="E12" s="13">
        <f t="shared" si="0"/>
        <v>0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75">
      <c r="A13" s="17" t="str">
        <v xml:space="preserve"> Redlands - Bank of America</v>
      </c>
      <c r="B13" s="10" t="str">
        <v>CA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75">
      <c r="A14" s="12" t="str">
        <v xml:space="preserve"> Roseville - Bank of America</v>
      </c>
      <c r="B14" s="9" t="str">
        <v>CA</v>
      </c>
      <c r="C14" s="24">
        <f>SUM(Jan!C14, Feb!C14, Mar!C14)</f>
        <v>0</v>
      </c>
      <c r="D14" s="13">
        <f>SUM(Jan!D14, Feb!D14, Mar!D14)</f>
        <v>0</v>
      </c>
      <c r="E14" s="13">
        <f t="shared" si="0"/>
        <v>0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75">
      <c r="A15" s="17" t="str">
        <v xml:space="preserve"> San Bernardino - Bank of America</v>
      </c>
      <c r="B15" s="10" t="str">
        <v>CA</v>
      </c>
      <c r="C15" s="11">
        <f>SUM(Jan!C15, Feb!C15, Mar!C15)</f>
        <v>0</v>
      </c>
      <c r="D15" s="18">
        <f>SUM(Jan!D15, Feb!D15, Mar!D15)</f>
        <v>0</v>
      </c>
      <c r="E15" s="18">
        <f t="shared" si="0"/>
        <v>0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75">
      <c r="A16" s="12" t="str">
        <v xml:space="preserve"> San Diego - Bank of America</v>
      </c>
      <c r="B16" s="9" t="str">
        <v>CA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75">
      <c r="A17" s="17" t="str">
        <v xml:space="preserve"> Stockton - Bank of America</v>
      </c>
      <c r="B17" s="10" t="str">
        <v>CA</v>
      </c>
      <c r="C17" s="11">
        <f>SUM(Jan!C17, Feb!C17, Mar!C17)</f>
        <v>0</v>
      </c>
      <c r="D17" s="18">
        <f>SUM(Jan!D17, Feb!D17, Mar!D17)</f>
        <v>0</v>
      </c>
      <c r="E17" s="18">
        <f t="shared" si="3"/>
        <v>0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SUM(Jan!C18, Feb!C18, Mar!C18)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75">
      <c r="A19" s="17" t="str">
        <v xml:space="preserve"> Aurora - BA - Colfax Ave</v>
      </c>
      <c r="B19" s="10" t="str">
        <v>CO</v>
      </c>
      <c r="C19" s="11">
        <f>SUM(Jan!C19, Feb!C19, Mar!C19)</f>
        <v>0</v>
      </c>
      <c r="D19" s="18">
        <f>SUM(Jan!D19, Feb!D19, Mar!D19)</f>
        <v>0</v>
      </c>
      <c r="E19" s="18">
        <f t="shared" si="6"/>
        <v>0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75">
      <c r="A20" s="12" t="str">
        <v xml:space="preserve"> Aurora - BA - Parker Rd</v>
      </c>
      <c r="B20" s="9" t="str">
        <v>CO</v>
      </c>
      <c r="C20" s="24">
        <f>SUM(Jan!C20, Feb!C20, Mar!C20)</f>
        <v>0</v>
      </c>
      <c r="D20" s="13">
        <f>SUM(Jan!D20, Feb!D20, Mar!D20)</f>
        <v>0</v>
      </c>
      <c r="E20" s="13">
        <f t="shared" si="6"/>
        <v>0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75">
      <c r="A21" s="17" t="str">
        <v xml:space="preserve"> Broomfield - Bank of America</v>
      </c>
      <c r="B21" s="10" t="str">
        <v>CO</v>
      </c>
      <c r="C21" s="11">
        <f>SUM(Jan!C21, Feb!C21, Mar!C21)</f>
        <v>0</v>
      </c>
      <c r="D21" s="18">
        <f>SUM(Jan!D21, Feb!D21, Mar!D21)</f>
        <v>0</v>
      </c>
      <c r="E21" s="18">
        <f t="shared" si="6"/>
        <v>0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75">
      <c r="A22" s="12" t="str">
        <v xml:space="preserve"> Colorado Springs - Bank of America</v>
      </c>
      <c r="B22" s="9" t="str">
        <v>CO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75">
      <c r="A23" s="17" t="str">
        <v xml:space="preserve"> Denver - BA - 49th Ave</v>
      </c>
      <c r="B23" s="10" t="str">
        <v>CO</v>
      </c>
      <c r="C23" s="11">
        <f>SUM(Jan!C23, Feb!C23, Mar!C23)</f>
        <v>0</v>
      </c>
      <c r="D23" s="18">
        <f>SUM(Jan!D23, Feb!D23, Mar!D23)</f>
        <v>0</v>
      </c>
      <c r="E23" s="18">
        <f t="shared" si="6"/>
        <v>0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75">
      <c r="A24" s="12" t="str">
        <v xml:space="preserve"> Denver - BA Wadsworth Blvd</v>
      </c>
      <c r="B24" s="9" t="str">
        <v>CO</v>
      </c>
      <c r="C24" s="24">
        <f>SUM(Jan!C24, Feb!C24, Mar!C24)</f>
        <v>0</v>
      </c>
      <c r="D24" s="13">
        <f>SUM(Jan!D24, Feb!D24, Mar!D24)</f>
        <v>0</v>
      </c>
      <c r="E24" s="13">
        <f t="shared" si="6"/>
        <v>0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75">
      <c r="A25" s="17" t="str">
        <v xml:space="preserve"> Fort Collins - Bank of America</v>
      </c>
      <c r="B25" s="10" t="str">
        <v>CO</v>
      </c>
      <c r="C25" s="11">
        <f>SUM(Jan!C25, Feb!C25, Mar!C25)</f>
        <v>0</v>
      </c>
      <c r="D25" s="18">
        <f>SUM(Jan!D25, Feb!D25, Mar!D25)</f>
        <v>0</v>
      </c>
      <c r="E25" s="18">
        <f t="shared" si="6"/>
        <v>0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75">
      <c r="A26" s="12" t="str">
        <v xml:space="preserve"> Lafayette - Bank of America</v>
      </c>
      <c r="B26" s="9" t="str">
        <v>CO</v>
      </c>
      <c r="C26" s="24">
        <f>SUM(Jan!C26, Feb!C26, Mar!C26)</f>
        <v>0</v>
      </c>
      <c r="D26" s="13">
        <f>SUM(Jan!D26, Feb!D26, Mar!D26)</f>
        <v>0</v>
      </c>
      <c r="E26" s="13">
        <f t="shared" si="6"/>
        <v>0</v>
      </c>
      <c r="F26" s="14" t="str">
        <f t="shared" si="7"/>
        <v/>
      </c>
      <c r="G26" s="15">
        <f>SUM(Jan!G26, Feb!G26, Mar!G26)</f>
        <v>0</v>
      </c>
      <c r="H26" s="15">
        <f>SUM(Jan!H26, Feb!H26, Mar!H26)</f>
        <v>0</v>
      </c>
      <c r="I26" s="16" t="str">
        <f t="shared" si="8"/>
        <v/>
      </c>
    </row>
    <row r="27" spans="1:9" ht="15.75">
      <c r="A27" s="17" t="str">
        <v xml:space="preserve"> Lakewood - Bank of America</v>
      </c>
      <c r="B27" s="10" t="str">
        <v>CO</v>
      </c>
      <c r="C27" s="11">
        <f>SUM(Jan!C27, Feb!C27, Mar!C27)</f>
        <v>0</v>
      </c>
      <c r="D27" s="18">
        <f>SUM(Jan!D27, Feb!D27, Mar!D27)</f>
        <v>0</v>
      </c>
      <c r="E27" s="18">
        <f t="shared" si="6"/>
        <v>0</v>
      </c>
      <c r="F27" s="19" t="str">
        <f t="shared" si="7"/>
        <v/>
      </c>
      <c r="G27" s="20">
        <f>SUM(Jan!G27, Feb!G27, Mar!G27)</f>
        <v>0</v>
      </c>
      <c r="H27" s="20">
        <f>SUM(Jan!H27, Feb!H27, Mar!H27)</f>
        <v>0</v>
      </c>
      <c r="I27" s="19" t="str">
        <f t="shared" si="8"/>
        <v/>
      </c>
    </row>
    <row r="28" spans="1:9" ht="15.75">
      <c r="A28" s="12" t="str">
        <v xml:space="preserve"> Longmont - Bank of America</v>
      </c>
      <c r="B28" s="9" t="str">
        <v>CO</v>
      </c>
      <c r="C28" s="24">
        <f>SUM(Jan!C28, Feb!C28, Mar!C28)</f>
        <v>0</v>
      </c>
      <c r="D28" s="13">
        <f>SUM(Jan!D28, Feb!D28, Mar!D28)</f>
        <v>0</v>
      </c>
      <c r="E28" s="13">
        <f t="shared" si="6"/>
        <v>0</v>
      </c>
      <c r="F28" s="14" t="str">
        <f t="shared" si="7"/>
        <v/>
      </c>
      <c r="G28" s="15">
        <f>SUM(Jan!G28, Feb!G28, Mar!G28)</f>
        <v>0</v>
      </c>
      <c r="H28" s="15">
        <f>SUM(Jan!H28, Feb!H28, Mar!H28)</f>
        <v>0</v>
      </c>
      <c r="I28" s="16" t="str">
        <f t="shared" si="8"/>
        <v/>
      </c>
    </row>
    <row r="29" spans="1:9" ht="15.75">
      <c r="A29" s="17" t="str">
        <v xml:space="preserve"> Thornton - Bank of America</v>
      </c>
      <c r="B29" s="10" t="str">
        <v>CO</v>
      </c>
      <c r="C29" s="11">
        <f>SUM(Jan!C29, Feb!C29, Mar!C29)</f>
        <v>0</v>
      </c>
      <c r="D29" s="18">
        <f>SUM(Jan!D29, Feb!D29, Mar!D29)</f>
        <v>0</v>
      </c>
      <c r="E29" s="18">
        <f t="shared" si="6"/>
        <v>0</v>
      </c>
      <c r="F29" s="19" t="str">
        <f t="shared" si="7"/>
        <v/>
      </c>
      <c r="G29" s="20">
        <f>SUM(Jan!G29, Feb!G29, Mar!G29)</f>
        <v>0</v>
      </c>
      <c r="H29" s="20">
        <f>SUM(Jan!H29, Feb!H29, Mar!H29)</f>
        <v>0</v>
      </c>
      <c r="I29" s="19" t="str">
        <f t="shared" si="8"/>
        <v/>
      </c>
    </row>
    <row r="30" spans="1:9" ht="15.75">
      <c r="A30" s="12" t="str">
        <v xml:space="preserve"> Calumet City - Bank of America</v>
      </c>
      <c r="B30" s="9" t="str">
        <v>IL</v>
      </c>
      <c r="C30" s="24">
        <f>SUM(Jan!C30, Feb!C30, Mar!C30)</f>
        <v>0</v>
      </c>
      <c r="D30" s="13">
        <f>SUM(Jan!D30, Feb!D30, Mar!D30)</f>
        <v>0</v>
      </c>
      <c r="E30" s="13">
        <f t="shared" si="6"/>
        <v>0</v>
      </c>
      <c r="F30" s="14" t="str">
        <f t="shared" si="7"/>
        <v/>
      </c>
      <c r="G30" s="15">
        <f>SUM(Jan!G30, Feb!G30, Mar!G30)</f>
        <v>0</v>
      </c>
      <c r="H30" s="15">
        <f>SUM(Jan!H30, Feb!H30, Mar!H30)</f>
        <v>0</v>
      </c>
      <c r="I30" s="16" t="str">
        <f t="shared" si="8"/>
        <v/>
      </c>
    </row>
    <row r="31" spans="1:9" ht="15.75">
      <c r="A31" s="17" t="str">
        <v xml:space="preserve"> Downers Grove - Bank of America</v>
      </c>
      <c r="B31" s="10" t="str">
        <v>IL</v>
      </c>
      <c r="C31" s="11">
        <f>SUM(Jan!C31, Feb!C31, Mar!C31)</f>
        <v>0</v>
      </c>
      <c r="D31" s="18">
        <f>SUM(Jan!D31, Feb!D31, Mar!D31)</f>
        <v>0</v>
      </c>
      <c r="E31" s="18">
        <f t="shared" si="6"/>
        <v>0</v>
      </c>
      <c r="F31" s="19" t="str">
        <f t="shared" si="7"/>
        <v/>
      </c>
      <c r="G31" s="20">
        <f>SUM(Jan!G31, Feb!G31, Mar!G31)</f>
        <v>0</v>
      </c>
      <c r="H31" s="20">
        <f>SUM(Jan!H31, Feb!H31, Mar!H31)</f>
        <v>0</v>
      </c>
      <c r="I31" s="19" t="str">
        <f t="shared" si="8"/>
        <v/>
      </c>
    </row>
    <row r="32" spans="1:9" ht="15.75">
      <c r="A32" s="12" t="str">
        <v xml:space="preserve"> Bloomington - Bank of America</v>
      </c>
      <c r="B32" s="9" t="str">
        <v>MN</v>
      </c>
      <c r="C32" s="24">
        <f>SUM(Jan!C32, Feb!C32, Mar!C32)</f>
        <v>0</v>
      </c>
      <c r="D32" s="13">
        <f>SUM(Jan!D32, Feb!D32, Mar!D32)</f>
        <v>0</v>
      </c>
      <c r="E32" s="13">
        <f t="shared" si="6"/>
        <v>0</v>
      </c>
      <c r="F32" s="14" t="str">
        <f t="shared" si="7"/>
        <v/>
      </c>
      <c r="G32" s="15">
        <f>SUM(Jan!G32, Feb!G32, Mar!G32)</f>
        <v>0</v>
      </c>
      <c r="H32" s="15">
        <f>SUM(Jan!H32, Feb!H32, Mar!H32)</f>
        <v>0</v>
      </c>
      <c r="I32" s="16" t="str">
        <f t="shared" si="8"/>
        <v/>
      </c>
    </row>
    <row r="33" spans="1:9" ht="15.75">
      <c r="A33" s="17" t="str">
        <v xml:space="preserve"> Clayton - Bank of America</v>
      </c>
      <c r="B33" s="10" t="str">
        <v>MO</v>
      </c>
      <c r="C33" s="11">
        <f>SUM(Jan!C33, Feb!C33, Mar!C33)</f>
        <v>0</v>
      </c>
      <c r="D33" s="18">
        <f>SUM(Jan!D33, Feb!D33, Mar!D33)</f>
        <v>0</v>
      </c>
      <c r="E33" s="18">
        <f t="shared" si="6"/>
        <v>0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0</v>
      </c>
      <c r="I33" s="19" t="str">
        <f t="shared" si="8"/>
        <v/>
      </c>
    </row>
    <row r="34" spans="1:9" ht="15.75">
      <c r="A34" s="12" t="str">
        <v xml:space="preserve"> Manchester - Bank of America</v>
      </c>
      <c r="B34" s="9" t="str">
        <v>MO</v>
      </c>
      <c r="C34" s="24">
        <f>SUM(Jan!C34, Feb!C34, Mar!C34)</f>
        <v>0</v>
      </c>
      <c r="D34" s="13">
        <f>SUM(Jan!D34, Feb!D34, Mar!D34)</f>
        <v>0</v>
      </c>
      <c r="E34" s="13">
        <f t="shared" si="6"/>
        <v>0</v>
      </c>
      <c r="F34" s="14" t="str">
        <f t="shared" si="7"/>
        <v/>
      </c>
      <c r="G34" s="15">
        <f>SUM(Jan!G34, Feb!G34, Mar!G34)</f>
        <v>0</v>
      </c>
      <c r="H34" s="15">
        <f>SUM(Jan!H34, Feb!H34, Mar!H34)</f>
        <v>0</v>
      </c>
      <c r="I34" s="16" t="str">
        <f t="shared" si="8"/>
        <v/>
      </c>
    </row>
    <row r="35" spans="1:9" ht="15.75">
      <c r="A35" s="17" t="str">
        <v xml:space="preserve"> Las Vegas - BA - Eastern Ave</v>
      </c>
      <c r="B35" s="10" t="str">
        <v>NV</v>
      </c>
      <c r="C35" s="11">
        <f>SUM(Jan!C35, Feb!C35, Mar!C35)</f>
        <v>0</v>
      </c>
      <c r="D35" s="18">
        <f>SUM(Jan!D35, Feb!D35, Mar!D35)</f>
        <v>0</v>
      </c>
      <c r="E35" s="18">
        <f t="shared" si="6"/>
        <v>0</v>
      </c>
      <c r="F35" s="19" t="str">
        <f t="shared" si="7"/>
        <v/>
      </c>
      <c r="G35" s="20">
        <f>SUM(Jan!G35, Feb!G35, Mar!G35)</f>
        <v>0</v>
      </c>
      <c r="H35" s="20">
        <f>SUM(Jan!H35, Feb!H35, Mar!H35)</f>
        <v>0</v>
      </c>
      <c r="I35" s="19" t="str">
        <f t="shared" si="8"/>
        <v/>
      </c>
    </row>
    <row r="36" spans="1:9" ht="15.75">
      <c r="A36" s="12" t="str">
        <v xml:space="preserve"> Las Vegas - BA - Town Ctr Dr</v>
      </c>
      <c r="B36" s="9" t="str">
        <v>NV</v>
      </c>
      <c r="C36" s="24">
        <f>SUM(Jan!C36, Feb!C36, Mar!C36)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SUM(Jan!G36, Feb!G36, Mar!G36)</f>
        <v>0</v>
      </c>
      <c r="H36" s="15">
        <f>SUM(Jan!H36, Feb!H36, Mar!H36)</f>
        <v>0</v>
      </c>
      <c r="I36" s="16" t="str">
        <f t="shared" si="8"/>
        <v/>
      </c>
    </row>
    <row r="37" spans="1:9" ht="15.75">
      <c r="A37" s="17" t="str">
        <v xml:space="preserve"> Riverton - Bank of America</v>
      </c>
      <c r="B37" s="10" t="str">
        <v>UT</v>
      </c>
      <c r="C37" s="11">
        <f>SUM(Jan!C37, Feb!C37, Mar!C37)</f>
        <v>0</v>
      </c>
      <c r="D37" s="18">
        <f>SUM(Jan!D37, Feb!D37, Mar!D37)</f>
        <v>0</v>
      </c>
      <c r="E37" s="18">
        <f t="shared" si="6"/>
        <v>0</v>
      </c>
      <c r="F37" s="19" t="str">
        <f t="shared" si="7"/>
        <v/>
      </c>
      <c r="G37" s="20">
        <f>SUM(Jan!G37, Feb!G37, Mar!G37)</f>
        <v>0</v>
      </c>
      <c r="H37" s="20">
        <f>SUM(Jan!H37, Feb!H37, Mar!H37)</f>
        <v>0</v>
      </c>
      <c r="I37" s="19" t="str">
        <f t="shared" si="8"/>
        <v/>
      </c>
    </row>
    <row r="38" spans="1:9" ht="15.75">
      <c r="A38" s="12" t="str">
        <v xml:space="preserve"> Salt Lake City - Bank of America</v>
      </c>
      <c r="B38" s="9" t="str">
        <v>UT</v>
      </c>
      <c r="C38" s="24">
        <f>SUM(Jan!C38, Feb!C38, Mar!C38)</f>
        <v>0</v>
      </c>
      <c r="D38" s="13">
        <f>SUM(Jan!D38, Feb!D38, Mar!D38)</f>
        <v>0</v>
      </c>
      <c r="E38" s="13">
        <f t="shared" si="6"/>
        <v>0</v>
      </c>
      <c r="F38" s="14" t="str">
        <f t="shared" si="7"/>
        <v/>
      </c>
      <c r="G38" s="15">
        <f>SUM(Jan!G38, Feb!G38, Mar!G38)</f>
        <v>0</v>
      </c>
      <c r="H38" s="15">
        <f>SUM(Jan!H38, Feb!H38, Mar!H38)</f>
        <v>0</v>
      </c>
      <c r="I38" s="16" t="str">
        <f t="shared" si="8"/>
        <v/>
      </c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14" activePane="bottomRight" state="frozen"/>
      <selection pane="bottomRight" activeCell="A14" sqref="A14:I3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Cushman &amp; Wakefield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>
      <c r="A2" s="63" t="s">
        <v>2</v>
      </c>
      <c r="B2" s="63"/>
      <c r="C2" s="5">
        <f>SUM(C4:C100)</f>
        <v>156152.399</v>
      </c>
      <c r="D2" s="5">
        <f>SUM(D4:D100)</f>
        <v>0</v>
      </c>
      <c r="E2" s="5">
        <f>C2-D2</f>
        <v>156152.399</v>
      </c>
      <c r="F2" s="6">
        <f>IFERROR(E2/D2, 0)</f>
        <v>0</v>
      </c>
      <c r="G2" s="5">
        <f>SUM(G4:G100)</f>
        <v>0</v>
      </c>
      <c r="H2" s="7">
        <f>C2-G2</f>
        <v>156152.399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75">
      <c r="A5" s="17" t="str">
        <v xml:space="preserve"> Apple Valley - Bank of America</v>
      </c>
      <c r="B5" s="10" t="str">
        <v>CA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75">
      <c r="A6" s="12" t="str">
        <v xml:space="preserve"> Arvin - Bank of America</v>
      </c>
      <c r="B6" s="9" t="str">
        <v>CA</v>
      </c>
      <c r="C6" s="24">
        <f>SUM(Apr!C6, May!C6, Jun!C6)</f>
        <v>111.589</v>
      </c>
      <c r="D6" s="13">
        <f>SUM(Apr!D6, May!D6, Jun!D6)</f>
        <v>0</v>
      </c>
      <c r="E6" s="13">
        <f t="shared" si="0"/>
        <v>111.589</v>
      </c>
      <c r="F6" s="14" t="str">
        <f t="shared" ref="F6:F15" si="1">IFERROR(E6/D6, "")</f>
        <v/>
      </c>
      <c r="G6" s="15"/>
      <c r="H6" s="15">
        <f>SUM(Apr!H6, May!H6, Jun!H6)</f>
        <v>111.589</v>
      </c>
      <c r="I6" s="16" t="str">
        <f t="shared" ref="I6:I15" si="2">IFERROR(H6/G6, "")</f>
        <v/>
      </c>
    </row>
    <row r="7" spans="1:9" ht="15.75">
      <c r="A7" s="17" t="str">
        <v xml:space="preserve"> Bell - Bank of America</v>
      </c>
      <c r="B7" s="10" t="str">
        <v>CA</v>
      </c>
      <c r="C7" s="11">
        <f>SUM(Apr!C7, May!C7, Jun!C7)</f>
        <v>3792.8730000000005</v>
      </c>
      <c r="D7" s="18">
        <f>SUM(Apr!D7, May!D7, Jun!D7)</f>
        <v>0</v>
      </c>
      <c r="E7" s="18">
        <f t="shared" si="0"/>
        <v>3792.8730000000005</v>
      </c>
      <c r="F7" s="19" t="str">
        <f t="shared" si="1"/>
        <v/>
      </c>
      <c r="G7" s="20"/>
      <c r="H7" s="20">
        <f>SUM(Apr!H7, May!H7, Jun!H7)</f>
        <v>3792.8730000000005</v>
      </c>
      <c r="I7" s="19" t="str">
        <f t="shared" si="2"/>
        <v/>
      </c>
    </row>
    <row r="8" spans="1:9" ht="15.75">
      <c r="A8" s="12" t="str">
        <v xml:space="preserve"> Chula Vista - Bank of America</v>
      </c>
      <c r="B8" s="9" t="str">
        <v>CA</v>
      </c>
      <c r="C8" s="24">
        <f>SUM(Apr!C8, May!C8, Jun!C8)</f>
        <v>4240.63</v>
      </c>
      <c r="D8" s="13">
        <f>SUM(Apr!D8, May!D8, Jun!D8)</f>
        <v>0</v>
      </c>
      <c r="E8" s="13">
        <f t="shared" si="0"/>
        <v>4240.63</v>
      </c>
      <c r="F8" s="14" t="str">
        <f t="shared" si="1"/>
        <v/>
      </c>
      <c r="G8" s="15"/>
      <c r="H8" s="15">
        <f>SUM(Apr!H8, May!H8, Jun!H8)</f>
        <v>4240.63</v>
      </c>
      <c r="I8" s="16" t="str">
        <f t="shared" si="2"/>
        <v/>
      </c>
    </row>
    <row r="9" spans="1:9" ht="15.75">
      <c r="A9" s="17" t="str">
        <v xml:space="preserve"> Cupertino - Bank of America</v>
      </c>
      <c r="B9" s="10" t="str">
        <v>CA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75">
      <c r="A10" s="12" t="str">
        <v xml:space="preserve"> Diamond Bar - Bank of America</v>
      </c>
      <c r="B10" s="9" t="str">
        <v>CA</v>
      </c>
      <c r="C10" s="24">
        <f>SUM(Apr!C10, May!C10, Jun!C10)</f>
        <v>9432.9639999999999</v>
      </c>
      <c r="D10" s="13">
        <f>SUM(Apr!D10, May!D10, Jun!D10)</f>
        <v>0</v>
      </c>
      <c r="E10" s="13">
        <f t="shared" si="0"/>
        <v>9432.9639999999999</v>
      </c>
      <c r="F10" s="14" t="str">
        <f t="shared" si="1"/>
        <v/>
      </c>
      <c r="G10" s="15"/>
      <c r="H10" s="15">
        <f>SUM(Apr!H10, May!H10, Jun!H10)</f>
        <v>9432.9639999999999</v>
      </c>
      <c r="I10" s="16" t="str">
        <f t="shared" si="2"/>
        <v/>
      </c>
    </row>
    <row r="11" spans="1:9" ht="15.75">
      <c r="A11" s="17" t="str">
        <v xml:space="preserve"> El Centro - Bank of America</v>
      </c>
      <c r="B11" s="10" t="str">
        <v>CA</v>
      </c>
      <c r="C11" s="11">
        <f>SUM(Apr!C11, May!C11, Jun!C11)</f>
        <v>0</v>
      </c>
      <c r="D11" s="18">
        <f>SUM(Apr!D11, May!D11, Jun!D11)</f>
        <v>0</v>
      </c>
      <c r="E11" s="18">
        <f t="shared" si="0"/>
        <v>0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75">
      <c r="A12" s="12" t="str">
        <v xml:space="preserve"> Moreno Valley - Bank of America</v>
      </c>
      <c r="B12" s="9" t="str">
        <v>CA</v>
      </c>
      <c r="C12" s="24">
        <f>SUM(Apr!C12, May!C12, Jun!C12)</f>
        <v>14415.777</v>
      </c>
      <c r="D12" s="13">
        <f>SUM(Apr!D12, May!D12, Jun!D12)</f>
        <v>0</v>
      </c>
      <c r="E12" s="13">
        <f t="shared" si="0"/>
        <v>14415.777</v>
      </c>
      <c r="F12" s="14" t="str">
        <f t="shared" si="1"/>
        <v/>
      </c>
      <c r="G12" s="15"/>
      <c r="H12" s="15">
        <f>SUM(Apr!H12, May!H12, Jun!H12)</f>
        <v>14415.777</v>
      </c>
      <c r="I12" s="16" t="str">
        <f t="shared" si="2"/>
        <v/>
      </c>
    </row>
    <row r="13" spans="1:9" ht="15.75">
      <c r="A13" s="17" t="str">
        <v xml:space="preserve"> Redlands - Bank of America</v>
      </c>
      <c r="B13" s="10" t="str">
        <v>CA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75">
      <c r="A14" s="12" t="str">
        <v xml:space="preserve"> Roseville - Bank of America</v>
      </c>
      <c r="B14" s="9" t="str">
        <v>CA</v>
      </c>
      <c r="C14" s="24">
        <f>SUM(Apr!C14, May!C14, Jun!C14)</f>
        <v>26572.962</v>
      </c>
      <c r="D14" s="13">
        <f>SUM(Apr!D14, May!D14, Jun!D14)</f>
        <v>0</v>
      </c>
      <c r="E14" s="13">
        <f t="shared" si="0"/>
        <v>26572.962</v>
      </c>
      <c r="F14" s="14" t="str">
        <f t="shared" si="1"/>
        <v/>
      </c>
      <c r="G14" s="15"/>
      <c r="H14" s="15">
        <f>SUM(Apr!H14, May!H14, Jun!H14)</f>
        <v>26572.962</v>
      </c>
      <c r="I14" s="16" t="str">
        <f t="shared" si="2"/>
        <v/>
      </c>
    </row>
    <row r="15" spans="1:9" ht="15.75">
      <c r="A15" s="17" t="str">
        <v xml:space="preserve"> San Bernardino - Bank of America</v>
      </c>
      <c r="B15" s="10" t="str">
        <v>CA</v>
      </c>
      <c r="C15" s="11">
        <f>SUM(Apr!C15, May!C15, Jun!C15)</f>
        <v>345.64700000000005</v>
      </c>
      <c r="D15" s="18">
        <f>SUM(Apr!D15, May!D15, Jun!D15)</f>
        <v>0</v>
      </c>
      <c r="E15" s="18">
        <f t="shared" si="0"/>
        <v>345.64700000000005</v>
      </c>
      <c r="F15" s="19" t="str">
        <f t="shared" si="1"/>
        <v/>
      </c>
      <c r="G15" s="20"/>
      <c r="H15" s="20">
        <f>SUM(Apr!H15, May!H15, Jun!H15)</f>
        <v>345.64700000000005</v>
      </c>
      <c r="I15" s="19" t="str">
        <f t="shared" si="2"/>
        <v/>
      </c>
    </row>
    <row r="16" spans="1:9" ht="15.75">
      <c r="A16" s="12" t="str">
        <v xml:space="preserve"> San Diego - Bank of America</v>
      </c>
      <c r="B16" s="9" t="str">
        <v>CA</v>
      </c>
      <c r="C16" s="24">
        <f>SUM(Apr!C16, May!C16, Jun!C16)</f>
        <v>387.90500000000003</v>
      </c>
      <c r="D16" s="13">
        <f>SUM(Apr!D16, May!D16, Jun!D16)</f>
        <v>0</v>
      </c>
      <c r="E16" s="13">
        <f t="shared" ref="E16:E19" si="3">IF(AND(ISNUMBER(C16),ISNUMBER(D16)), C16-D16, "")</f>
        <v>387.90500000000003</v>
      </c>
      <c r="F16" s="14" t="str">
        <f t="shared" ref="F16:F19" si="4">IFERROR(E16/D16, "")</f>
        <v/>
      </c>
      <c r="G16" s="15"/>
      <c r="H16" s="15">
        <f>SUM(Apr!H16, May!H16, Jun!H16)</f>
        <v>387.90500000000003</v>
      </c>
      <c r="I16" s="16" t="str">
        <f t="shared" ref="I16:I19" si="5">IFERROR(H16/G16, "")</f>
        <v/>
      </c>
    </row>
    <row r="17" spans="1:9" ht="15.75">
      <c r="A17" s="17" t="str">
        <v xml:space="preserve"> Stockton - Bank of America</v>
      </c>
      <c r="B17" s="10" t="str">
        <v>CA</v>
      </c>
      <c r="C17" s="11">
        <f>SUM(Apr!C17, May!C17, Jun!C17)</f>
        <v>8459.8080000000009</v>
      </c>
      <c r="D17" s="18">
        <f>SUM(Apr!D17, May!D17, Jun!D17)</f>
        <v>0</v>
      </c>
      <c r="E17" s="18">
        <f t="shared" si="3"/>
        <v>8459.8080000000009</v>
      </c>
      <c r="F17" s="19" t="str">
        <f t="shared" si="4"/>
        <v/>
      </c>
      <c r="G17" s="20"/>
      <c r="H17" s="20">
        <f>SUM(Apr!H17, May!H17, Jun!H17)</f>
        <v>8459.8080000000009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/>
      <c r="H18" s="15">
        <f>SUM(Apr!H18, May!H18, Jun!H18)</f>
        <v>0</v>
      </c>
      <c r="I18" s="16" t="str">
        <f t="shared" si="5"/>
        <v/>
      </c>
    </row>
    <row r="19" spans="1:9" ht="15.75">
      <c r="A19" s="17" t="str">
        <v xml:space="preserve"> Aurora - BA - Colfax Ave</v>
      </c>
      <c r="B19" s="10" t="str">
        <v>CO</v>
      </c>
      <c r="C19" s="11">
        <f>SUM(Apr!C19, May!C19, Jun!C19)</f>
        <v>3984.4940000000001</v>
      </c>
      <c r="D19" s="18">
        <f>SUM(Apr!D19, May!D19, Jun!D19)</f>
        <v>0</v>
      </c>
      <c r="E19" s="18">
        <f t="shared" si="3"/>
        <v>3984.4940000000001</v>
      </c>
      <c r="F19" s="19" t="str">
        <f t="shared" si="4"/>
        <v/>
      </c>
      <c r="G19" s="20"/>
      <c r="H19" s="20">
        <f>SUM(Apr!H19, May!H19, Jun!H19)</f>
        <v>3984.4940000000001</v>
      </c>
      <c r="I19" s="19" t="str">
        <f t="shared" si="5"/>
        <v/>
      </c>
    </row>
    <row r="20" spans="1:9" ht="15.75">
      <c r="A20" s="12" t="str">
        <v xml:space="preserve"> Aurora - BA - Parker Rd</v>
      </c>
      <c r="B20" s="9" t="str">
        <v>CO</v>
      </c>
      <c r="C20" s="24">
        <f>SUM(Apr!C20, May!C20, Jun!C20)</f>
        <v>12024.476999999999</v>
      </c>
      <c r="D20" s="13">
        <f>SUM(Apr!D20, May!D20, Jun!D20)</f>
        <v>0</v>
      </c>
      <c r="E20" s="13">
        <f t="shared" ref="E20:E38" si="6">IF(AND(ISNUMBER(C20),ISNUMBER(D20)), C20-D20, "")</f>
        <v>12024.476999999999</v>
      </c>
      <c r="F20" s="14" t="str">
        <f t="shared" ref="F20:F38" si="7">IFERROR(E20/D20, "")</f>
        <v/>
      </c>
      <c r="G20" s="15"/>
      <c r="H20" s="15">
        <f>SUM(Apr!H20, May!H20, Jun!H20)</f>
        <v>12024.476999999999</v>
      </c>
      <c r="I20" s="16" t="str">
        <f t="shared" ref="I20:I38" si="8">IFERROR(H20/G20, "")</f>
        <v/>
      </c>
    </row>
    <row r="21" spans="1:9" ht="15.75">
      <c r="A21" s="17" t="str">
        <v xml:space="preserve"> Broomfield - Bank of America</v>
      </c>
      <c r="B21" s="10" t="str">
        <v>CO</v>
      </c>
      <c r="C21" s="11">
        <f>SUM(Apr!C21, May!C21, Jun!C21)</f>
        <v>4541.1400000000003</v>
      </c>
      <c r="D21" s="18">
        <f>SUM(Apr!D21, May!D21, Jun!D21)</f>
        <v>0</v>
      </c>
      <c r="E21" s="18">
        <f t="shared" si="6"/>
        <v>4541.1400000000003</v>
      </c>
      <c r="F21" s="19" t="str">
        <f t="shared" si="7"/>
        <v/>
      </c>
      <c r="G21" s="20"/>
      <c r="H21" s="20">
        <f>SUM(Apr!H21, May!H21, Jun!H21)</f>
        <v>4541.1400000000003</v>
      </c>
      <c r="I21" s="19" t="str">
        <f t="shared" si="8"/>
        <v/>
      </c>
    </row>
    <row r="22" spans="1:9" ht="15.75">
      <c r="A22" s="12" t="str">
        <v xml:space="preserve"> Colorado Springs - Bank of America</v>
      </c>
      <c r="B22" s="9" t="str">
        <v>CO</v>
      </c>
      <c r="C22" s="24">
        <f>SUM(Apr!C22, May!C22, Jun!C22)</f>
        <v>9230.4480000000003</v>
      </c>
      <c r="D22" s="13">
        <f>SUM(Apr!D22, May!D22, Jun!D22)</f>
        <v>0</v>
      </c>
      <c r="E22" s="13">
        <f t="shared" si="6"/>
        <v>9230.4480000000003</v>
      </c>
      <c r="F22" s="14" t="str">
        <f t="shared" si="7"/>
        <v/>
      </c>
      <c r="G22" s="15"/>
      <c r="H22" s="15">
        <f>SUM(Apr!H22, May!H22, Jun!H22)</f>
        <v>9230.4480000000003</v>
      </c>
      <c r="I22" s="16" t="str">
        <f t="shared" si="8"/>
        <v/>
      </c>
    </row>
    <row r="23" spans="1:9" ht="15.75">
      <c r="A23" s="17" t="str">
        <v xml:space="preserve"> Denver - BA - 49th Ave</v>
      </c>
      <c r="B23" s="10" t="str">
        <v>CO</v>
      </c>
      <c r="C23" s="11">
        <f>SUM(Apr!C23, May!C23, Jun!C23)</f>
        <v>0</v>
      </c>
      <c r="D23" s="18">
        <f>SUM(Apr!D23, May!D23, Jun!D23)</f>
        <v>0</v>
      </c>
      <c r="E23" s="18">
        <f t="shared" si="6"/>
        <v>0</v>
      </c>
      <c r="F23" s="19" t="str">
        <f t="shared" si="7"/>
        <v/>
      </c>
      <c r="G23" s="20"/>
      <c r="H23" s="20">
        <f>SUM(Apr!H23, May!H23, Jun!H23)</f>
        <v>0</v>
      </c>
      <c r="I23" s="19" t="str">
        <f t="shared" si="8"/>
        <v/>
      </c>
    </row>
    <row r="24" spans="1:9" ht="15.75">
      <c r="A24" s="12" t="str">
        <v xml:space="preserve"> Denver - BA Wadsworth Blvd</v>
      </c>
      <c r="B24" s="9" t="str">
        <v>CO</v>
      </c>
      <c r="C24" s="24">
        <f>SUM(Apr!C24, May!C24, Jun!C24)</f>
        <v>8322.9240000000009</v>
      </c>
      <c r="D24" s="13">
        <f>SUM(Apr!D24, May!D24, Jun!D24)</f>
        <v>0</v>
      </c>
      <c r="E24" s="13">
        <f t="shared" si="6"/>
        <v>8322.9240000000009</v>
      </c>
      <c r="F24" s="14" t="str">
        <f t="shared" si="7"/>
        <v/>
      </c>
      <c r="G24" s="15"/>
      <c r="H24" s="15">
        <f>SUM(Apr!H24, May!H24, Jun!H24)</f>
        <v>8322.9240000000009</v>
      </c>
      <c r="I24" s="16" t="str">
        <f t="shared" si="8"/>
        <v/>
      </c>
    </row>
    <row r="25" spans="1:9" ht="15.75">
      <c r="A25" s="17" t="str">
        <v xml:space="preserve"> Fort Collins - Bank of America</v>
      </c>
      <c r="B25" s="10" t="str">
        <v>CO</v>
      </c>
      <c r="C25" s="11">
        <f>SUM(Apr!C25, May!C25, Jun!C25)</f>
        <v>4992.0209999999997</v>
      </c>
      <c r="D25" s="18">
        <f>SUM(Apr!D25, May!D25, Jun!D25)</f>
        <v>0</v>
      </c>
      <c r="E25" s="18">
        <f t="shared" si="6"/>
        <v>4992.0209999999997</v>
      </c>
      <c r="F25" s="19" t="str">
        <f t="shared" si="7"/>
        <v/>
      </c>
      <c r="G25" s="20"/>
      <c r="H25" s="20">
        <f>SUM(Apr!H25, May!H25, Jun!H25)</f>
        <v>4992.0209999999997</v>
      </c>
      <c r="I25" s="19" t="str">
        <f t="shared" si="8"/>
        <v/>
      </c>
    </row>
    <row r="26" spans="1:9" ht="15.75">
      <c r="A26" s="12" t="str">
        <v xml:space="preserve"> Lafayette - Bank of America</v>
      </c>
      <c r="B26" s="9" t="str">
        <v>CO</v>
      </c>
      <c r="C26" s="24">
        <f>SUM(Apr!C26, May!C26, Jun!C26)</f>
        <v>5980.5859999999993</v>
      </c>
      <c r="D26" s="13">
        <f>SUM(Apr!D26, May!D26, Jun!D26)</f>
        <v>0</v>
      </c>
      <c r="E26" s="13">
        <f t="shared" si="6"/>
        <v>5980.5859999999993</v>
      </c>
      <c r="F26" s="14" t="str">
        <f t="shared" si="7"/>
        <v/>
      </c>
      <c r="G26" s="15"/>
      <c r="H26" s="15">
        <f>SUM(Apr!H26, May!H26, Jun!H26)</f>
        <v>5980.5859999999993</v>
      </c>
      <c r="I26" s="16" t="str">
        <f t="shared" si="8"/>
        <v/>
      </c>
    </row>
    <row r="27" spans="1:9" ht="15.75">
      <c r="A27" s="17" t="str">
        <v xml:space="preserve"> Lakewood - Bank of America</v>
      </c>
      <c r="B27" s="10" t="str">
        <v>CO</v>
      </c>
      <c r="C27" s="11">
        <f>SUM(Apr!C27, May!C27, Jun!C27)</f>
        <v>3795.5860000000002</v>
      </c>
      <c r="D27" s="18">
        <f>SUM(Apr!D27, May!D27, Jun!D27)</f>
        <v>0</v>
      </c>
      <c r="E27" s="18">
        <f t="shared" si="6"/>
        <v>3795.5860000000002</v>
      </c>
      <c r="F27" s="19" t="str">
        <f t="shared" si="7"/>
        <v/>
      </c>
      <c r="G27" s="20"/>
      <c r="H27" s="20">
        <f>SUM(Apr!H27, May!H27, Jun!H27)</f>
        <v>3795.5860000000002</v>
      </c>
      <c r="I27" s="19" t="str">
        <f t="shared" si="8"/>
        <v/>
      </c>
    </row>
    <row r="28" spans="1:9" ht="15.75">
      <c r="A28" s="12" t="str">
        <v xml:space="preserve"> Longmont - Bank of America</v>
      </c>
      <c r="B28" s="9" t="str">
        <v>CO</v>
      </c>
      <c r="C28" s="24">
        <f>SUM(Apr!C28, May!C28, Jun!C28)</f>
        <v>4087.7749999999996</v>
      </c>
      <c r="D28" s="13">
        <f>SUM(Apr!D28, May!D28, Jun!D28)</f>
        <v>0</v>
      </c>
      <c r="E28" s="13">
        <f t="shared" si="6"/>
        <v>4087.7749999999996</v>
      </c>
      <c r="F28" s="14" t="str">
        <f t="shared" si="7"/>
        <v/>
      </c>
      <c r="G28" s="15"/>
      <c r="H28" s="15">
        <f>SUM(Apr!H28, May!H28, Jun!H28)</f>
        <v>4087.7749999999996</v>
      </c>
      <c r="I28" s="16" t="str">
        <f t="shared" si="8"/>
        <v/>
      </c>
    </row>
    <row r="29" spans="1:9" ht="15.75">
      <c r="A29" s="17" t="str">
        <v xml:space="preserve"> Thornton - Bank of America</v>
      </c>
      <c r="B29" s="10" t="str">
        <v>CO</v>
      </c>
      <c r="C29" s="11">
        <f>SUM(Apr!C29, May!C29, Jun!C29)</f>
        <v>2872.9949999999999</v>
      </c>
      <c r="D29" s="18">
        <f>SUM(Apr!D29, May!D29, Jun!D29)</f>
        <v>0</v>
      </c>
      <c r="E29" s="18">
        <f t="shared" si="6"/>
        <v>2872.9949999999999</v>
      </c>
      <c r="F29" s="19" t="str">
        <f t="shared" si="7"/>
        <v/>
      </c>
      <c r="G29" s="20"/>
      <c r="H29" s="20">
        <f>SUM(Apr!H29, May!H29, Jun!H29)</f>
        <v>2872.9949999999999</v>
      </c>
      <c r="I29" s="19" t="str">
        <f t="shared" si="8"/>
        <v/>
      </c>
    </row>
    <row r="30" spans="1:9" ht="15.75">
      <c r="A30" s="12" t="str">
        <v xml:space="preserve"> Calumet City - Bank of America</v>
      </c>
      <c r="B30" s="9" t="str">
        <v>IL</v>
      </c>
      <c r="C30" s="24">
        <f>SUM(Apr!C30, May!C30, Jun!C30)</f>
        <v>3012.9719999999998</v>
      </c>
      <c r="D30" s="13">
        <f>SUM(Apr!D30, May!D30, Jun!D30)</f>
        <v>0</v>
      </c>
      <c r="E30" s="13">
        <f t="shared" si="6"/>
        <v>3012.9719999999998</v>
      </c>
      <c r="F30" s="14" t="str">
        <f t="shared" si="7"/>
        <v/>
      </c>
      <c r="G30" s="15"/>
      <c r="H30" s="15">
        <f>SUM(Apr!H30, May!H30, Jun!H30)</f>
        <v>3012.9719999999998</v>
      </c>
      <c r="I30" s="16" t="str">
        <f t="shared" si="8"/>
        <v/>
      </c>
    </row>
    <row r="31" spans="1:9" ht="15.75">
      <c r="A31" s="17" t="str">
        <v xml:space="preserve"> Downers Grove - Bank of America</v>
      </c>
      <c r="B31" s="10" t="str">
        <v>IL</v>
      </c>
      <c r="C31" s="11">
        <f>SUM(Apr!C31, May!C31, Jun!C31)</f>
        <v>7502.6049999999996</v>
      </c>
      <c r="D31" s="18">
        <f>SUM(Apr!D31, May!D31, Jun!D31)</f>
        <v>0</v>
      </c>
      <c r="E31" s="18">
        <f t="shared" si="6"/>
        <v>7502.6049999999996</v>
      </c>
      <c r="F31" s="19" t="str">
        <f t="shared" si="7"/>
        <v/>
      </c>
      <c r="G31" s="20"/>
      <c r="H31" s="20">
        <f>SUM(Apr!H31, May!H31, Jun!H31)</f>
        <v>7502.6049999999996</v>
      </c>
      <c r="I31" s="19" t="str">
        <f t="shared" si="8"/>
        <v/>
      </c>
    </row>
    <row r="32" spans="1:9" ht="15.75">
      <c r="A32" s="12" t="str">
        <v xml:space="preserve"> Bloomington - Bank of America</v>
      </c>
      <c r="B32" s="9" t="str">
        <v>MN</v>
      </c>
      <c r="C32" s="24">
        <f>SUM(Apr!C32, May!C32, Jun!C32)</f>
        <v>0</v>
      </c>
      <c r="D32" s="13">
        <f>SUM(Apr!D32, May!D32, Jun!D32)</f>
        <v>0</v>
      </c>
      <c r="E32" s="13">
        <f t="shared" si="6"/>
        <v>0</v>
      </c>
      <c r="F32" s="14" t="str">
        <f t="shared" si="7"/>
        <v/>
      </c>
      <c r="G32" s="15"/>
      <c r="H32" s="15">
        <f>SUM(Apr!H32, May!H32, Jun!H32)</f>
        <v>0</v>
      </c>
      <c r="I32" s="16" t="str">
        <f t="shared" si="8"/>
        <v/>
      </c>
    </row>
    <row r="33" spans="1:9" ht="15.75">
      <c r="A33" s="17" t="str">
        <v xml:space="preserve"> Clayton - Bank of America</v>
      </c>
      <c r="B33" s="10" t="str">
        <v>MO</v>
      </c>
      <c r="C33" s="11">
        <f>SUM(Apr!C33, May!C33, Jun!C33)</f>
        <v>7567.2640000000001</v>
      </c>
      <c r="D33" s="18">
        <f>SUM(Apr!D33, May!D33, Jun!D33)</f>
        <v>0</v>
      </c>
      <c r="E33" s="18">
        <f t="shared" si="6"/>
        <v>7567.2640000000001</v>
      </c>
      <c r="F33" s="19" t="str">
        <f t="shared" si="7"/>
        <v/>
      </c>
      <c r="G33" s="20"/>
      <c r="H33" s="20">
        <f>SUM(Apr!H33, May!H33, Jun!H33)</f>
        <v>7567.2640000000001</v>
      </c>
      <c r="I33" s="19" t="str">
        <f t="shared" si="8"/>
        <v/>
      </c>
    </row>
    <row r="34" spans="1:9" ht="15.75">
      <c r="A34" s="12" t="str">
        <v xml:space="preserve"> Manchester - Bank of America</v>
      </c>
      <c r="B34" s="9" t="str">
        <v>MO</v>
      </c>
      <c r="C34" s="24">
        <f>SUM(Apr!C34, May!C34, Jun!C34)</f>
        <v>0</v>
      </c>
      <c r="D34" s="13">
        <f>SUM(Apr!D34, May!D34, Jun!D34)</f>
        <v>0</v>
      </c>
      <c r="E34" s="13">
        <f t="shared" si="6"/>
        <v>0</v>
      </c>
      <c r="F34" s="14" t="str">
        <f t="shared" si="7"/>
        <v/>
      </c>
      <c r="G34" s="15"/>
      <c r="H34" s="15">
        <f>SUM(Apr!H34, May!H34, Jun!H34)</f>
        <v>0</v>
      </c>
      <c r="I34" s="16" t="str">
        <f t="shared" si="8"/>
        <v/>
      </c>
    </row>
    <row r="35" spans="1:9" ht="15.75">
      <c r="A35" s="17" t="str">
        <v xml:space="preserve"> Las Vegas - BA - Eastern Ave</v>
      </c>
      <c r="B35" s="10" t="str">
        <v>NV</v>
      </c>
      <c r="C35" s="11">
        <f>SUM(Apr!C35, May!C35, Jun!C35)</f>
        <v>183.61599999999999</v>
      </c>
      <c r="D35" s="18">
        <f>SUM(Apr!D35, May!D35, Jun!D35)</f>
        <v>0</v>
      </c>
      <c r="E35" s="18">
        <f t="shared" si="6"/>
        <v>183.61599999999999</v>
      </c>
      <c r="F35" s="19" t="str">
        <f t="shared" si="7"/>
        <v/>
      </c>
      <c r="G35" s="20"/>
      <c r="H35" s="20">
        <f>SUM(Apr!H35, May!H35, Jun!H35)</f>
        <v>21.916</v>
      </c>
      <c r="I35" s="19" t="str">
        <f t="shared" si="8"/>
        <v/>
      </c>
    </row>
    <row r="36" spans="1:9" ht="15.75">
      <c r="A36" s="12" t="str">
        <v xml:space="preserve"> Las Vegas - BA - Town Ctr Dr</v>
      </c>
      <c r="B36" s="9" t="str">
        <v>NV</v>
      </c>
      <c r="C36" s="24">
        <f>SUM(Apr!C36, May!C36, Jun!C36)</f>
        <v>0</v>
      </c>
      <c r="D36" s="13">
        <f>SUM(Apr!D36, May!D36, Jun!D36)</f>
        <v>0</v>
      </c>
      <c r="E36" s="13">
        <f t="shared" si="6"/>
        <v>0</v>
      </c>
      <c r="F36" s="14" t="str">
        <f t="shared" si="7"/>
        <v/>
      </c>
      <c r="G36" s="15"/>
      <c r="H36" s="15">
        <f>SUM(Apr!H36, May!H36, Jun!H36)</f>
        <v>0</v>
      </c>
      <c r="I36" s="16" t="str">
        <f t="shared" si="8"/>
        <v/>
      </c>
    </row>
    <row r="37" spans="1:9" ht="15.75">
      <c r="A37" s="17" t="str">
        <v xml:space="preserve"> Riverton - Bank of America</v>
      </c>
      <c r="B37" s="10" t="str">
        <v>UT</v>
      </c>
      <c r="C37" s="11">
        <f>SUM(Apr!C37, May!C37, Jun!C37)</f>
        <v>8576.0779999999995</v>
      </c>
      <c r="D37" s="18">
        <f>SUM(Apr!D37, May!D37, Jun!D37)</f>
        <v>0</v>
      </c>
      <c r="E37" s="18">
        <f t="shared" si="6"/>
        <v>8576.0779999999995</v>
      </c>
      <c r="F37" s="19" t="str">
        <f t="shared" si="7"/>
        <v/>
      </c>
      <c r="G37" s="20"/>
      <c r="H37" s="20">
        <f>SUM(Apr!H37, May!H37, Jun!H37)</f>
        <v>8576.0779999999995</v>
      </c>
      <c r="I37" s="19" t="str">
        <f t="shared" si="8"/>
        <v/>
      </c>
    </row>
    <row r="38" spans="1:9" ht="15.75">
      <c r="A38" s="12" t="str">
        <v xml:space="preserve"> Salt Lake City - Bank of America</v>
      </c>
      <c r="B38" s="9" t="str">
        <v>UT</v>
      </c>
      <c r="C38" s="24">
        <f>SUM(Apr!C38, May!C38, Jun!C38)</f>
        <v>1717.2629999999999</v>
      </c>
      <c r="D38" s="13">
        <f>SUM(Apr!D38, May!D38, Jun!D38)</f>
        <v>0</v>
      </c>
      <c r="E38" s="13">
        <f t="shared" si="6"/>
        <v>1717.2629999999999</v>
      </c>
      <c r="F38" s="14" t="str">
        <f t="shared" si="7"/>
        <v/>
      </c>
      <c r="G38" s="15"/>
      <c r="H38" s="15">
        <f>SUM(Apr!H38, May!H38, Jun!H38)</f>
        <v>1717.2629999999999</v>
      </c>
      <c r="I38" s="16" t="str">
        <f t="shared" si="8"/>
        <v/>
      </c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4" activePane="bottomRight" state="frozen"/>
      <selection pane="bottomRight" activeCell="A14" sqref="A14:I3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Cushman &amp; Wakefield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17" t="str">
        <v xml:space="preserve"> Apple Valley - Bank of America</v>
      </c>
      <c r="B5" s="10" t="str">
        <v>CA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75">
      <c r="A6" s="12" t="str">
        <v xml:space="preserve"> Arvin - Bank of America</v>
      </c>
      <c r="B6" s="9" t="str">
        <v>CA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75">
      <c r="A7" s="17" t="str">
        <v xml:space="preserve"> Bell - Bank of America</v>
      </c>
      <c r="B7" s="10" t="str">
        <v>CA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75">
      <c r="A8" s="12" t="str">
        <v xml:space="preserve"> Chula Vista - Bank of America</v>
      </c>
      <c r="B8" s="9" t="str">
        <v>CA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75">
      <c r="A9" s="17" t="str">
        <v xml:space="preserve"> Cupertino - Bank of America</v>
      </c>
      <c r="B9" s="10" t="str">
        <v>CA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75">
      <c r="A10" s="12" t="str">
        <v xml:space="preserve"> Diamond Bar - Bank of America</v>
      </c>
      <c r="B10" s="9" t="str">
        <v>CA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75">
      <c r="A11" s="17" t="str">
        <v xml:space="preserve"> El Centro - Bank of America</v>
      </c>
      <c r="B11" s="10" t="str">
        <v>CA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75">
      <c r="A12" s="12" t="str">
        <v xml:space="preserve"> Moreno Valley - Bank of America</v>
      </c>
      <c r="B12" s="9" t="str">
        <v>CA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75">
      <c r="A13" s="17" t="str">
        <v xml:space="preserve"> Redlands - Bank of America</v>
      </c>
      <c r="B13" s="10" t="str">
        <v>CA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75">
      <c r="A14" s="12" t="str">
        <v xml:space="preserve"> Roseville - Bank of America</v>
      </c>
      <c r="B14" s="9" t="str">
        <v>CA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75">
      <c r="A15" s="17" t="str">
        <v xml:space="preserve"> San Bernardino - Bank of America</v>
      </c>
      <c r="B15" s="10" t="str">
        <v>CA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75">
      <c r="A16" s="12" t="str">
        <v xml:space="preserve"> San Diego - Bank of America</v>
      </c>
      <c r="B16" s="9" t="str">
        <v>CA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75">
      <c r="A17" s="17" t="str">
        <v xml:space="preserve"> Stockton - Bank of America</v>
      </c>
      <c r="B17" s="10" t="str">
        <v>CA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75">
      <c r="A19" s="17" t="str">
        <v xml:space="preserve"> Aurora - BA - Colfax Ave</v>
      </c>
      <c r="B19" s="10" t="str">
        <v>CO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75">
      <c r="A20" s="12" t="str">
        <v xml:space="preserve"> Aurora - BA - Parker Rd</v>
      </c>
      <c r="B20" s="9" t="str">
        <v>CO</v>
      </c>
      <c r="C20" s="24">
        <f>SUM(Jul!C20, Aug!C20, Sep!C20)</f>
        <v>0</v>
      </c>
      <c r="D20" s="13">
        <f>SUM(Jul!D20, Aug!D20, Sep!D20)</f>
        <v>0</v>
      </c>
      <c r="E20" s="13">
        <f t="shared" ref="E20:E38" si="6">IF(AND(ISNUMBER(C20),ISNUMBER(D20)), C20-D20, "")</f>
        <v>0</v>
      </c>
      <c r="F20" s="14" t="str">
        <f t="shared" ref="F20:F38" si="7">IFERROR(E20/D20, "")</f>
        <v/>
      </c>
      <c r="G20" s="15"/>
      <c r="H20" s="15">
        <f>SUM(Jul!H20, Aug!H20, Sep!H20)</f>
        <v>0</v>
      </c>
      <c r="I20" s="16" t="str">
        <f t="shared" ref="I20:I38" si="8">IFERROR(H20/G20, "")</f>
        <v/>
      </c>
    </row>
    <row r="21" spans="1:9" ht="15.75">
      <c r="A21" s="17" t="str">
        <v xml:space="preserve"> Broomfield - Bank of America</v>
      </c>
      <c r="B21" s="10" t="str">
        <v>CO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75">
      <c r="A22" s="12" t="str">
        <v xml:space="preserve"> Colorado Springs - Bank of America</v>
      </c>
      <c r="B22" s="9" t="str">
        <v>CO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75">
      <c r="A23" s="17" t="str">
        <v xml:space="preserve"> Denver - BA - 49th Ave</v>
      </c>
      <c r="B23" s="10" t="str">
        <v>CO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75">
      <c r="A24" s="12" t="str">
        <v xml:space="preserve"> Denver - BA Wadsworth Blvd</v>
      </c>
      <c r="B24" s="9" t="str">
        <v>CO</v>
      </c>
      <c r="C24" s="24">
        <f>SUM(Jul!C24, Aug!C24,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75">
      <c r="A25" s="17" t="str">
        <v xml:space="preserve"> Fort Collins - Bank of America</v>
      </c>
      <c r="B25" s="10" t="str">
        <v>CO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75">
      <c r="A26" s="12" t="str">
        <v xml:space="preserve"> Lafayette - Bank of America</v>
      </c>
      <c r="B26" s="9" t="str">
        <v>CO</v>
      </c>
      <c r="C26" s="24">
        <f>SUM(Jul!C26, Aug!C26, Sep!C26)</f>
        <v>0</v>
      </c>
      <c r="D26" s="13">
        <f>SUM(Jul!D26, Aug!D26, Sep!D26)</f>
        <v>0</v>
      </c>
      <c r="E26" s="13">
        <f t="shared" si="6"/>
        <v>0</v>
      </c>
      <c r="F26" s="14" t="str">
        <f t="shared" si="7"/>
        <v/>
      </c>
      <c r="G26" s="15"/>
      <c r="H26" s="15">
        <f>SUM(Jul!H26, Aug!H26, Sep!H26)</f>
        <v>0</v>
      </c>
      <c r="I26" s="16" t="str">
        <f t="shared" si="8"/>
        <v/>
      </c>
    </row>
    <row r="27" spans="1:9" ht="15.75">
      <c r="A27" s="17" t="str">
        <v xml:space="preserve"> Lakewood - Bank of America</v>
      </c>
      <c r="B27" s="10" t="str">
        <v>CO</v>
      </c>
      <c r="C27" s="11">
        <f>SUM(Jul!C27, Aug!C27, Sep!C27)</f>
        <v>0</v>
      </c>
      <c r="D27" s="18">
        <f>SUM(Jul!D27, Aug!D27, Sep!D27)</f>
        <v>0</v>
      </c>
      <c r="E27" s="18">
        <f t="shared" si="6"/>
        <v>0</v>
      </c>
      <c r="F27" s="19" t="str">
        <f t="shared" si="7"/>
        <v/>
      </c>
      <c r="G27" s="20"/>
      <c r="H27" s="20">
        <f>SUM(Jul!H27, Aug!H27, Sep!H27)</f>
        <v>0</v>
      </c>
      <c r="I27" s="19" t="str">
        <f t="shared" si="8"/>
        <v/>
      </c>
    </row>
    <row r="28" spans="1:9" ht="15.75">
      <c r="A28" s="12" t="str">
        <v xml:space="preserve"> Longmont - Bank of America</v>
      </c>
      <c r="B28" s="9" t="str">
        <v>CO</v>
      </c>
      <c r="C28" s="24">
        <f>SUM(Jul!C28, Aug!C28, Sep!C28)</f>
        <v>0</v>
      </c>
      <c r="D28" s="13">
        <f>SUM(Jul!D28, Aug!D28, Sep!D28)</f>
        <v>0</v>
      </c>
      <c r="E28" s="13">
        <f t="shared" si="6"/>
        <v>0</v>
      </c>
      <c r="F28" s="14" t="str">
        <f t="shared" si="7"/>
        <v/>
      </c>
      <c r="G28" s="15"/>
      <c r="H28" s="15">
        <f>SUM(Jul!H28, Aug!H28, Sep!H28)</f>
        <v>0</v>
      </c>
      <c r="I28" s="16" t="str">
        <f t="shared" si="8"/>
        <v/>
      </c>
    </row>
    <row r="29" spans="1:9" ht="15.75">
      <c r="A29" s="17" t="str">
        <v xml:space="preserve"> Thornton - Bank of America</v>
      </c>
      <c r="B29" s="10" t="str">
        <v>CO</v>
      </c>
      <c r="C29" s="11">
        <f>SUM(Jul!C29, Aug!C29, Sep!C29)</f>
        <v>0</v>
      </c>
      <c r="D29" s="18">
        <f>SUM(Jul!D29, Aug!D29, Sep!D29)</f>
        <v>0</v>
      </c>
      <c r="E29" s="18">
        <f t="shared" si="6"/>
        <v>0</v>
      </c>
      <c r="F29" s="19" t="str">
        <f t="shared" si="7"/>
        <v/>
      </c>
      <c r="G29" s="20"/>
      <c r="H29" s="20">
        <f>SUM(Jul!H29, Aug!H29, Sep!H29)</f>
        <v>0</v>
      </c>
      <c r="I29" s="19" t="str">
        <f t="shared" si="8"/>
        <v/>
      </c>
    </row>
    <row r="30" spans="1:9" ht="15.75">
      <c r="A30" s="12" t="str">
        <v xml:space="preserve"> Calumet City - Bank of America</v>
      </c>
      <c r="B30" s="9" t="str">
        <v>IL</v>
      </c>
      <c r="C30" s="24">
        <f>SUM(Jul!C30, Aug!C30, Sep!C30)</f>
        <v>0</v>
      </c>
      <c r="D30" s="13">
        <f>SUM(Jul!D30, Aug!D30, Sep!D30)</f>
        <v>0</v>
      </c>
      <c r="E30" s="13">
        <f t="shared" si="6"/>
        <v>0</v>
      </c>
      <c r="F30" s="14" t="str">
        <f t="shared" si="7"/>
        <v/>
      </c>
      <c r="G30" s="15"/>
      <c r="H30" s="15">
        <f>SUM(Jul!H30, Aug!H30, Sep!H30)</f>
        <v>0</v>
      </c>
      <c r="I30" s="16" t="str">
        <f t="shared" si="8"/>
        <v/>
      </c>
    </row>
    <row r="31" spans="1:9" ht="15.75">
      <c r="A31" s="17" t="str">
        <v xml:space="preserve"> Downers Grove - Bank of America</v>
      </c>
      <c r="B31" s="10" t="str">
        <v>IL</v>
      </c>
      <c r="C31" s="11">
        <f>SUM(Jul!C31, Aug!C31, Sep!C31)</f>
        <v>0</v>
      </c>
      <c r="D31" s="18">
        <f>SUM(Jul!D31, Aug!D31, Sep!D31)</f>
        <v>0</v>
      </c>
      <c r="E31" s="18">
        <f t="shared" si="6"/>
        <v>0</v>
      </c>
      <c r="F31" s="19" t="str">
        <f t="shared" si="7"/>
        <v/>
      </c>
      <c r="G31" s="20"/>
      <c r="H31" s="20">
        <f>SUM(Jul!H31, Aug!H31, Sep!H31)</f>
        <v>0</v>
      </c>
      <c r="I31" s="19" t="str">
        <f t="shared" si="8"/>
        <v/>
      </c>
    </row>
    <row r="32" spans="1:9" ht="15.75">
      <c r="A32" s="12" t="str">
        <v xml:space="preserve"> Bloomington - Bank of America</v>
      </c>
      <c r="B32" s="9" t="str">
        <v>MN</v>
      </c>
      <c r="C32" s="24">
        <f>SUM(Jul!C32, Aug!C32, Sep!C32)</f>
        <v>0</v>
      </c>
      <c r="D32" s="13">
        <f>SUM(Jul!D32, Aug!D32, Sep!D32)</f>
        <v>0</v>
      </c>
      <c r="E32" s="13">
        <f t="shared" si="6"/>
        <v>0</v>
      </c>
      <c r="F32" s="14" t="str">
        <f t="shared" si="7"/>
        <v/>
      </c>
      <c r="G32" s="15"/>
      <c r="H32" s="15">
        <f>SUM(Jul!H32, Aug!H32, Sep!H32)</f>
        <v>0</v>
      </c>
      <c r="I32" s="16" t="str">
        <f t="shared" si="8"/>
        <v/>
      </c>
    </row>
    <row r="33" spans="1:9" ht="15.75">
      <c r="A33" s="17" t="str">
        <v xml:space="preserve"> Clayton - Bank of America</v>
      </c>
      <c r="B33" s="10" t="str">
        <v>MO</v>
      </c>
      <c r="C33" s="11">
        <f>SUM(Jul!C33, Aug!C33, Sep!C33)</f>
        <v>0</v>
      </c>
      <c r="D33" s="18">
        <f>SUM(Jul!D33, Aug!D33, Sep!D33)</f>
        <v>0</v>
      </c>
      <c r="E33" s="18">
        <f t="shared" si="6"/>
        <v>0</v>
      </c>
      <c r="F33" s="19" t="str">
        <f t="shared" si="7"/>
        <v/>
      </c>
      <c r="G33" s="20"/>
      <c r="H33" s="20">
        <f>SUM(Jul!H33, Aug!H33, Sep!H33)</f>
        <v>0</v>
      </c>
      <c r="I33" s="19" t="str">
        <f t="shared" si="8"/>
        <v/>
      </c>
    </row>
    <row r="34" spans="1:9" ht="15.75">
      <c r="A34" s="12" t="str">
        <v xml:space="preserve"> Manchester - Bank of America</v>
      </c>
      <c r="B34" s="9" t="str">
        <v>MO</v>
      </c>
      <c r="C34" s="24">
        <f>SUM(Jul!C34, Aug!C34, Sep!C34)</f>
        <v>0</v>
      </c>
      <c r="D34" s="13">
        <f>SUM(Jul!D34, Aug!D34, Sep!D34)</f>
        <v>0</v>
      </c>
      <c r="E34" s="13">
        <f t="shared" si="6"/>
        <v>0</v>
      </c>
      <c r="F34" s="14" t="str">
        <f t="shared" si="7"/>
        <v/>
      </c>
      <c r="G34" s="15"/>
      <c r="H34" s="15">
        <f>SUM(Jul!H34, Aug!H34, Sep!H34)</f>
        <v>0</v>
      </c>
      <c r="I34" s="16" t="str">
        <f t="shared" si="8"/>
        <v/>
      </c>
    </row>
    <row r="35" spans="1:9" ht="15.75">
      <c r="A35" s="17" t="str">
        <v xml:space="preserve"> Las Vegas - BA - Eastern Ave</v>
      </c>
      <c r="B35" s="10" t="str">
        <v>NV</v>
      </c>
      <c r="C35" s="11">
        <f>SUM(Jul!C35, Aug!C35, Sep!C35)</f>
        <v>0</v>
      </c>
      <c r="D35" s="18">
        <f>SUM(Jul!D35, Aug!D35, Sep!D35)</f>
        <v>0</v>
      </c>
      <c r="E35" s="18">
        <f t="shared" si="6"/>
        <v>0</v>
      </c>
      <c r="F35" s="19" t="str">
        <f t="shared" si="7"/>
        <v/>
      </c>
      <c r="G35" s="20"/>
      <c r="H35" s="20">
        <f>SUM(Jul!H35, Aug!H35, Sep!H35)</f>
        <v>0</v>
      </c>
      <c r="I35" s="19" t="str">
        <f t="shared" si="8"/>
        <v/>
      </c>
    </row>
    <row r="36" spans="1:9" ht="15.75">
      <c r="A36" s="12" t="str">
        <v xml:space="preserve"> Las Vegas - BA - Town Ctr Dr</v>
      </c>
      <c r="B36" s="9" t="str">
        <v>NV</v>
      </c>
      <c r="C36" s="24">
        <f>SUM(Jul!C36, Aug!C36, Sep!C36)</f>
        <v>0</v>
      </c>
      <c r="D36" s="13">
        <f>SUM(Jul!D36, Aug!D36, Sep!D36)</f>
        <v>0</v>
      </c>
      <c r="E36" s="13">
        <f t="shared" si="6"/>
        <v>0</v>
      </c>
      <c r="F36" s="14" t="str">
        <f t="shared" si="7"/>
        <v/>
      </c>
      <c r="G36" s="15"/>
      <c r="H36" s="15">
        <f>SUM(Jul!H36, Aug!H36, Sep!H36)</f>
        <v>0</v>
      </c>
      <c r="I36" s="16" t="str">
        <f t="shared" si="8"/>
        <v/>
      </c>
    </row>
    <row r="37" spans="1:9" ht="15.75">
      <c r="A37" s="17" t="str">
        <v xml:space="preserve"> Riverton - Bank of America</v>
      </c>
      <c r="B37" s="10" t="str">
        <v>UT</v>
      </c>
      <c r="C37" s="11">
        <f>SUM(Jul!C37, Aug!C37, Sep!C37)</f>
        <v>0</v>
      </c>
      <c r="D37" s="18">
        <f>SUM(Jul!D37, Aug!D37, Sep!D37)</f>
        <v>0</v>
      </c>
      <c r="E37" s="18">
        <f t="shared" si="6"/>
        <v>0</v>
      </c>
      <c r="F37" s="19" t="str">
        <f t="shared" si="7"/>
        <v/>
      </c>
      <c r="G37" s="20"/>
      <c r="H37" s="20">
        <f>SUM(Jul!H37, Aug!H37, Sep!H37)</f>
        <v>0</v>
      </c>
      <c r="I37" s="19" t="str">
        <f t="shared" si="8"/>
        <v/>
      </c>
    </row>
    <row r="38" spans="1:9" ht="15.75">
      <c r="A38" s="12" t="str">
        <v xml:space="preserve"> Salt Lake City - Bank of America</v>
      </c>
      <c r="B38" s="9" t="str">
        <v>UT</v>
      </c>
      <c r="C38" s="24">
        <f>SUM(Jul!C38, Aug!C38, Sep!C38)</f>
        <v>0</v>
      </c>
      <c r="D38" s="13">
        <f>SUM(Jul!D38, Aug!D38, Sep!D38)</f>
        <v>0</v>
      </c>
      <c r="E38" s="13">
        <f t="shared" si="6"/>
        <v>0</v>
      </c>
      <c r="F38" s="14" t="str">
        <f t="shared" si="7"/>
        <v/>
      </c>
      <c r="G38" s="15"/>
      <c r="H38" s="15">
        <f>SUM(Jul!H38, Aug!H38, Sep!H38)</f>
        <v>0</v>
      </c>
      <c r="I38" s="16" t="str">
        <f t="shared" si="8"/>
        <v/>
      </c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4" activePane="bottomRight" state="frozen"/>
      <selection pane="bottomRight" activeCell="A16" sqref="A16:I3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Cushman &amp; Wakefield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17" t="str">
        <v xml:space="preserve"> Apple Valley - Bank of America</v>
      </c>
      <c r="B5" s="10" t="str">
        <v>CA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>
      <c r="A6" s="12" t="str">
        <v xml:space="preserve"> Arvin - Bank of America</v>
      </c>
      <c r="B6" s="9" t="str">
        <v>CA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75">
      <c r="A7" s="17" t="str">
        <v xml:space="preserve"> Bell - Bank of America</v>
      </c>
      <c r="B7" s="10" t="str">
        <v>CA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75">
      <c r="A8" s="12" t="str">
        <v xml:space="preserve"> Chula Vista - Bank of America</v>
      </c>
      <c r="B8" s="9" t="str">
        <v>CA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17" t="str">
        <v xml:space="preserve"> Cupertino - Bank of America</v>
      </c>
      <c r="B9" s="10" t="str">
        <v>CA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75">
      <c r="A10" s="12" t="str">
        <v xml:space="preserve"> Diamond Bar - Bank of America</v>
      </c>
      <c r="B10" s="9" t="str">
        <v>CA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75">
      <c r="A11" s="17" t="str">
        <v xml:space="preserve"> El Centro - Bank of America</v>
      </c>
      <c r="B11" s="10" t="str">
        <v>CA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75">
      <c r="A12" s="12" t="str">
        <v xml:space="preserve"> Moreno Valley - Bank of America</v>
      </c>
      <c r="B12" s="9" t="str">
        <v>CA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75">
      <c r="A13" s="17" t="str">
        <v xml:space="preserve"> Redlands - Bank of America</v>
      </c>
      <c r="B13" s="10" t="str">
        <v>CA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75">
      <c r="A14" s="12" t="str">
        <v xml:space="preserve"> Roseville - Bank of America</v>
      </c>
      <c r="B14" s="9" t="str">
        <v>CA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75">
      <c r="A15" s="17" t="str">
        <v xml:space="preserve"> San Bernardino - Bank of America</v>
      </c>
      <c r="B15" s="10" t="str">
        <v>CA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75">
      <c r="A16" s="12" t="str">
        <v xml:space="preserve"> San Diego - Bank of America</v>
      </c>
      <c r="B16" s="9" t="str">
        <v>CA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/>
      <c r="H16" s="15">
        <f>SUM(Oct!H16, Nov!H16, Dec!H16)</f>
        <v>0</v>
      </c>
      <c r="I16" s="16" t="str">
        <f t="shared" ref="I16:I17" si="5">IFERROR(H16/G16, "")</f>
        <v/>
      </c>
    </row>
    <row r="17" spans="1:9" ht="15.75">
      <c r="A17" s="17" t="str">
        <v xml:space="preserve"> Stockton - Bank of America</v>
      </c>
      <c r="B17" s="10" t="str">
        <v>CA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SUM(Oct!C18, Nov!C18, Dec!C18)</f>
        <v>0</v>
      </c>
      <c r="D18" s="13">
        <f>SUM(Oct!D18, Nov!D18, Dec!D18)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/>
      <c r="H18" s="15">
        <f>SUM(Oct!H18, Nov!H18, Dec!H18)</f>
        <v>0</v>
      </c>
      <c r="I18" s="16" t="str">
        <f t="shared" ref="I18:I38" si="8">IFERROR(H18/G18, "")</f>
        <v/>
      </c>
    </row>
    <row r="19" spans="1:9" ht="15.75">
      <c r="A19" s="17" t="str">
        <v xml:space="preserve"> Aurora - BA - Colfax Ave</v>
      </c>
      <c r="B19" s="10" t="str">
        <v>CO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/>
      <c r="H19" s="20">
        <f>SUM(Oct!H19, Nov!H19, Dec!H19)</f>
        <v>0</v>
      </c>
      <c r="I19" s="19" t="str">
        <f t="shared" si="8"/>
        <v/>
      </c>
    </row>
    <row r="20" spans="1:9" ht="15.75">
      <c r="A20" s="12" t="str">
        <v xml:space="preserve"> Aurora - BA - Parker Rd</v>
      </c>
      <c r="B20" s="9" t="str">
        <v>CO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/>
      <c r="H20" s="15">
        <f>SUM(Oct!H20, Nov!H20, Dec!H20)</f>
        <v>0</v>
      </c>
      <c r="I20" s="16" t="str">
        <f t="shared" si="8"/>
        <v/>
      </c>
    </row>
    <row r="21" spans="1:9" ht="15.75">
      <c r="A21" s="17" t="str">
        <v xml:space="preserve"> Broomfield - Bank of America</v>
      </c>
      <c r="B21" s="10" t="str">
        <v>CO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75">
      <c r="A22" s="12" t="str">
        <v xml:space="preserve"> Colorado Springs - Bank of America</v>
      </c>
      <c r="B22" s="9" t="str">
        <v>CO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75">
      <c r="A23" s="17" t="str">
        <v xml:space="preserve"> Denver - BA - 49th Ave</v>
      </c>
      <c r="B23" s="10" t="str">
        <v>CO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75">
      <c r="A24" s="12" t="str">
        <v xml:space="preserve"> Denver - BA Wadsworth Blvd</v>
      </c>
      <c r="B24" s="9" t="str">
        <v>CO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/>
      <c r="H24" s="15">
        <f>SUM(Oct!H24, Nov!H24, Dec!H24)</f>
        <v>0</v>
      </c>
      <c r="I24" s="16" t="str">
        <f t="shared" si="8"/>
        <v/>
      </c>
    </row>
    <row r="25" spans="1:9" ht="15.75">
      <c r="A25" s="17" t="str">
        <v xml:space="preserve"> Fort Collins - Bank of America</v>
      </c>
      <c r="B25" s="10" t="str">
        <v>CO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75">
      <c r="A26" s="12" t="str">
        <v xml:space="preserve"> Lafayette - Bank of America</v>
      </c>
      <c r="B26" s="9" t="str">
        <v>CO</v>
      </c>
      <c r="C26" s="24">
        <f>SUM(Oct!C26, Nov!C26, Dec!C26)</f>
        <v>0</v>
      </c>
      <c r="D26" s="13">
        <f>SUM(Oct!D26, Nov!D26, Dec!D26)</f>
        <v>0</v>
      </c>
      <c r="E26" s="13">
        <f t="shared" si="6"/>
        <v>0</v>
      </c>
      <c r="F26" s="14" t="str">
        <f t="shared" si="7"/>
        <v/>
      </c>
      <c r="G26" s="15"/>
      <c r="H26" s="15">
        <f>SUM(Oct!H26, Nov!H26, Dec!H26)</f>
        <v>0</v>
      </c>
      <c r="I26" s="16" t="str">
        <f t="shared" si="8"/>
        <v/>
      </c>
    </row>
    <row r="27" spans="1:9" ht="15.75">
      <c r="A27" s="17" t="str">
        <v xml:space="preserve"> Lakewood - Bank of America</v>
      </c>
      <c r="B27" s="10" t="str">
        <v>CO</v>
      </c>
      <c r="C27" s="11">
        <f>SUM(Oct!C27, Nov!C27, Dec!C27)</f>
        <v>0</v>
      </c>
      <c r="D27" s="18">
        <f>SUM(Oct!D27, Nov!D27, Dec!D27)</f>
        <v>0</v>
      </c>
      <c r="E27" s="18">
        <f t="shared" si="6"/>
        <v>0</v>
      </c>
      <c r="F27" s="19" t="str">
        <f t="shared" si="7"/>
        <v/>
      </c>
      <c r="G27" s="20"/>
      <c r="H27" s="20">
        <f>SUM(Oct!H27, Nov!H27, Dec!H27)</f>
        <v>0</v>
      </c>
      <c r="I27" s="19" t="str">
        <f t="shared" si="8"/>
        <v/>
      </c>
    </row>
    <row r="28" spans="1:9" ht="15.75">
      <c r="A28" s="12" t="str">
        <v xml:space="preserve"> Longmont - Bank of America</v>
      </c>
      <c r="B28" s="9" t="str">
        <v>CO</v>
      </c>
      <c r="C28" s="24">
        <f>SUM(Oct!C28, Nov!C28, Dec!C28)</f>
        <v>0</v>
      </c>
      <c r="D28" s="13">
        <f>SUM(Oct!D28, Nov!D28, Dec!D28)</f>
        <v>0</v>
      </c>
      <c r="E28" s="13">
        <f t="shared" si="6"/>
        <v>0</v>
      </c>
      <c r="F28" s="14" t="str">
        <f t="shared" si="7"/>
        <v/>
      </c>
      <c r="G28" s="15"/>
      <c r="H28" s="15">
        <f>SUM(Oct!H28, Nov!H28, Dec!H28)</f>
        <v>0</v>
      </c>
      <c r="I28" s="16" t="str">
        <f t="shared" si="8"/>
        <v/>
      </c>
    </row>
    <row r="29" spans="1:9" ht="15.75">
      <c r="A29" s="17" t="str">
        <v xml:space="preserve"> Thornton - Bank of America</v>
      </c>
      <c r="B29" s="10" t="str">
        <v>CO</v>
      </c>
      <c r="C29" s="11">
        <f>SUM(Oct!C29, Nov!C29, Dec!C29)</f>
        <v>0</v>
      </c>
      <c r="D29" s="18">
        <f>SUM(Oct!D29, Nov!D29, Dec!D29)</f>
        <v>0</v>
      </c>
      <c r="E29" s="18">
        <f t="shared" si="6"/>
        <v>0</v>
      </c>
      <c r="F29" s="19" t="str">
        <f t="shared" si="7"/>
        <v/>
      </c>
      <c r="G29" s="20"/>
      <c r="H29" s="20">
        <f>SUM(Oct!H29, Nov!H29, Dec!H29)</f>
        <v>0</v>
      </c>
      <c r="I29" s="19" t="str">
        <f t="shared" si="8"/>
        <v/>
      </c>
    </row>
    <row r="30" spans="1:9" ht="15.75">
      <c r="A30" s="12" t="str">
        <v xml:space="preserve"> Calumet City - Bank of America</v>
      </c>
      <c r="B30" s="9" t="str">
        <v>IL</v>
      </c>
      <c r="C30" s="24">
        <f>SUM(Oct!C30, Nov!C30, Dec!C30)</f>
        <v>0</v>
      </c>
      <c r="D30" s="13">
        <f>SUM(Oct!D30, Nov!D30, Dec!D30)</f>
        <v>0</v>
      </c>
      <c r="E30" s="13">
        <f t="shared" si="6"/>
        <v>0</v>
      </c>
      <c r="F30" s="14" t="str">
        <f t="shared" si="7"/>
        <v/>
      </c>
      <c r="G30" s="15"/>
      <c r="H30" s="15">
        <f>SUM(Oct!H30, Nov!H30, Dec!H30)</f>
        <v>0</v>
      </c>
      <c r="I30" s="16" t="str">
        <f t="shared" si="8"/>
        <v/>
      </c>
    </row>
    <row r="31" spans="1:9" ht="15.75">
      <c r="A31" s="17" t="str">
        <v xml:space="preserve"> Downers Grove - Bank of America</v>
      </c>
      <c r="B31" s="10" t="str">
        <v>IL</v>
      </c>
      <c r="C31" s="11">
        <f>SUM(Oct!C31, Nov!C31, Dec!C31)</f>
        <v>0</v>
      </c>
      <c r="D31" s="18">
        <f>SUM(Oct!D31, Nov!D31, Dec!D31)</f>
        <v>0</v>
      </c>
      <c r="E31" s="18">
        <f t="shared" si="6"/>
        <v>0</v>
      </c>
      <c r="F31" s="19" t="str">
        <f t="shared" si="7"/>
        <v/>
      </c>
      <c r="G31" s="20"/>
      <c r="H31" s="20">
        <f>SUM(Oct!H31, Nov!H31, Dec!H31)</f>
        <v>0</v>
      </c>
      <c r="I31" s="19" t="str">
        <f t="shared" si="8"/>
        <v/>
      </c>
    </row>
    <row r="32" spans="1:9" ht="15.75">
      <c r="A32" s="12" t="str">
        <v xml:space="preserve"> Bloomington - Bank of America</v>
      </c>
      <c r="B32" s="9" t="str">
        <v>MN</v>
      </c>
      <c r="C32" s="24">
        <f>SUM(Oct!C32, Nov!C32, Dec!C32)</f>
        <v>0</v>
      </c>
      <c r="D32" s="13">
        <f>SUM(Oct!D32, Nov!D32, Dec!D32)</f>
        <v>0</v>
      </c>
      <c r="E32" s="13">
        <f t="shared" si="6"/>
        <v>0</v>
      </c>
      <c r="F32" s="14" t="str">
        <f t="shared" si="7"/>
        <v/>
      </c>
      <c r="G32" s="15"/>
      <c r="H32" s="15">
        <f>SUM(Oct!H32, Nov!H32, Dec!H32)</f>
        <v>0</v>
      </c>
      <c r="I32" s="16" t="str">
        <f t="shared" si="8"/>
        <v/>
      </c>
    </row>
    <row r="33" spans="1:9" ht="15.75">
      <c r="A33" s="17" t="str">
        <v xml:space="preserve"> Clayton - Bank of America</v>
      </c>
      <c r="B33" s="10" t="str">
        <v>MO</v>
      </c>
      <c r="C33" s="11">
        <f>SUM(Oct!C33, Nov!C33, Dec!C33)</f>
        <v>0</v>
      </c>
      <c r="D33" s="18">
        <f>SUM(Oct!D33, Nov!D33, Dec!D33)</f>
        <v>0</v>
      </c>
      <c r="E33" s="18">
        <f t="shared" si="6"/>
        <v>0</v>
      </c>
      <c r="F33" s="19" t="str">
        <f t="shared" si="7"/>
        <v/>
      </c>
      <c r="G33" s="20"/>
      <c r="H33" s="20">
        <f>SUM(Oct!H33, Nov!H33, Dec!H33)</f>
        <v>0</v>
      </c>
      <c r="I33" s="19" t="str">
        <f t="shared" si="8"/>
        <v/>
      </c>
    </row>
    <row r="34" spans="1:9" ht="15.75">
      <c r="A34" s="12" t="str">
        <v xml:space="preserve"> Manchester - Bank of America</v>
      </c>
      <c r="B34" s="9" t="str">
        <v>MO</v>
      </c>
      <c r="C34" s="24">
        <f>SUM(Oct!C34, Nov!C34, Dec!C34)</f>
        <v>0</v>
      </c>
      <c r="D34" s="13">
        <f>SUM(Oct!D34, Nov!D34, Dec!D34)</f>
        <v>0</v>
      </c>
      <c r="E34" s="13">
        <f t="shared" si="6"/>
        <v>0</v>
      </c>
      <c r="F34" s="14" t="str">
        <f t="shared" si="7"/>
        <v/>
      </c>
      <c r="G34" s="15"/>
      <c r="H34" s="15">
        <f>SUM(Oct!H34, Nov!H34, Dec!H34)</f>
        <v>0</v>
      </c>
      <c r="I34" s="16" t="str">
        <f t="shared" si="8"/>
        <v/>
      </c>
    </row>
    <row r="35" spans="1:9" ht="15.75">
      <c r="A35" s="17" t="str">
        <v xml:space="preserve"> Las Vegas - BA - Eastern Ave</v>
      </c>
      <c r="B35" s="10" t="str">
        <v>NV</v>
      </c>
      <c r="C35" s="11">
        <f>SUM(Oct!C35, Nov!C35, Dec!C35)</f>
        <v>0</v>
      </c>
      <c r="D35" s="18">
        <f>SUM(Oct!D35, Nov!D35, Dec!D35)</f>
        <v>0</v>
      </c>
      <c r="E35" s="18">
        <f t="shared" si="6"/>
        <v>0</v>
      </c>
      <c r="F35" s="19" t="str">
        <f t="shared" si="7"/>
        <v/>
      </c>
      <c r="G35" s="20"/>
      <c r="H35" s="20">
        <f>SUM(Oct!H35, Nov!H35, Dec!H35)</f>
        <v>0</v>
      </c>
      <c r="I35" s="19" t="str">
        <f t="shared" si="8"/>
        <v/>
      </c>
    </row>
    <row r="36" spans="1:9" ht="15.75">
      <c r="A36" s="12" t="str">
        <v xml:space="preserve"> Las Vegas - BA - Town Ctr Dr</v>
      </c>
      <c r="B36" s="9" t="str">
        <v>NV</v>
      </c>
      <c r="C36" s="24">
        <f>SUM(Oct!C36, Nov!C36, Dec!C36)</f>
        <v>0</v>
      </c>
      <c r="D36" s="13">
        <f>SUM(Oct!D36, Nov!D36, Dec!D36)</f>
        <v>0</v>
      </c>
      <c r="E36" s="13">
        <f t="shared" si="6"/>
        <v>0</v>
      </c>
      <c r="F36" s="14" t="str">
        <f t="shared" si="7"/>
        <v/>
      </c>
      <c r="G36" s="15"/>
      <c r="H36" s="15">
        <f>SUM(Oct!H36, Nov!H36, Dec!H36)</f>
        <v>0</v>
      </c>
      <c r="I36" s="16" t="str">
        <f t="shared" si="8"/>
        <v/>
      </c>
    </row>
    <row r="37" spans="1:9" ht="15.75">
      <c r="A37" s="17" t="str">
        <v xml:space="preserve"> Riverton - Bank of America</v>
      </c>
      <c r="B37" s="10" t="str">
        <v>UT</v>
      </c>
      <c r="C37" s="11">
        <f>SUM(Oct!C37, Nov!C37, Dec!C37)</f>
        <v>0</v>
      </c>
      <c r="D37" s="18">
        <f>SUM(Oct!D37, Nov!D37, Dec!D37)</f>
        <v>0</v>
      </c>
      <c r="E37" s="18">
        <f t="shared" si="6"/>
        <v>0</v>
      </c>
      <c r="F37" s="19" t="str">
        <f t="shared" si="7"/>
        <v/>
      </c>
      <c r="G37" s="20"/>
      <c r="H37" s="20">
        <f>SUM(Oct!H37, Nov!H37, Dec!H37)</f>
        <v>0</v>
      </c>
      <c r="I37" s="19" t="str">
        <f t="shared" si="8"/>
        <v/>
      </c>
    </row>
    <row r="38" spans="1:9" ht="15.75">
      <c r="A38" s="12" t="str">
        <v xml:space="preserve"> Salt Lake City - Bank of America</v>
      </c>
      <c r="B38" s="9" t="str">
        <v>UT</v>
      </c>
      <c r="C38" s="24">
        <f>SUM(Oct!C38, Nov!C38, Dec!C38)</f>
        <v>0</v>
      </c>
      <c r="D38" s="13">
        <f>SUM(Oct!D38, Nov!D38, Dec!D38)</f>
        <v>0</v>
      </c>
      <c r="E38" s="13">
        <f t="shared" si="6"/>
        <v>0</v>
      </c>
      <c r="F38" s="14" t="str">
        <f t="shared" si="7"/>
        <v/>
      </c>
      <c r="G38" s="15"/>
      <c r="H38" s="15">
        <f>SUM(Oct!H38, Nov!H38, Dec!H38)</f>
        <v>0</v>
      </c>
      <c r="I38" s="16" t="str">
        <f t="shared" si="8"/>
        <v/>
      </c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Cushman &amp; Wakefield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4"/>
        <v/>
      </c>
      <c r="I8" s="16" t="str">
        <f t="shared" si="5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5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5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5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5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5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5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5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15"/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6"/>
        <v/>
      </c>
      <c r="F17" s="19" t="str">
        <f t="shared" si="7"/>
        <v/>
      </c>
      <c r="G17" s="20"/>
      <c r="H17" s="20" t="str">
        <f t="shared" si="8"/>
        <v/>
      </c>
      <c r="I17" s="19" t="str">
        <f t="shared" si="9"/>
        <v/>
      </c>
      <c r="J17" s="42"/>
      <c r="K17" s="43"/>
    </row>
    <row r="18" spans="1:11" ht="15.75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10">IF(AND(ISNUMBER(C18),ISNUMBER(D18)), C18-D18, "")</f>
        <v/>
      </c>
      <c r="F18" s="14" t="str">
        <f t="shared" ref="F18:F38" si="11">IFERROR(E18/D18, "")</f>
        <v/>
      </c>
      <c r="G18" s="15"/>
      <c r="H18" s="15" t="str">
        <f t="shared" ref="H18:H38" si="12">IF(AND(ISNUMBER(C18),ISNUMBER(G18)), C18-G18, "")</f>
        <v/>
      </c>
      <c r="I18" s="16" t="str">
        <f t="shared" ref="I18:I38" si="13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10"/>
        <v/>
      </c>
      <c r="F19" s="19" t="str">
        <f t="shared" si="11"/>
        <v/>
      </c>
      <c r="G19" s="20"/>
      <c r="H19" s="20" t="str">
        <f t="shared" si="12"/>
        <v/>
      </c>
      <c r="I19" s="19" t="str">
        <f t="shared" si="13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10"/>
        <v/>
      </c>
      <c r="F20" s="14" t="str">
        <f t="shared" si="11"/>
        <v/>
      </c>
      <c r="G20" s="15"/>
      <c r="H20" s="15" t="str">
        <f t="shared" si="12"/>
        <v/>
      </c>
      <c r="I20" s="16" t="str">
        <f t="shared" si="13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10"/>
        <v/>
      </c>
      <c r="F21" s="19" t="str">
        <f t="shared" si="11"/>
        <v/>
      </c>
      <c r="G21" s="20"/>
      <c r="H21" s="20" t="str">
        <f t="shared" si="12"/>
        <v/>
      </c>
      <c r="I21" s="19" t="str">
        <f t="shared" si="13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10"/>
        <v/>
      </c>
      <c r="F22" s="14" t="str">
        <f t="shared" si="11"/>
        <v/>
      </c>
      <c r="G22" s="15"/>
      <c r="H22" s="15" t="str">
        <f t="shared" si="12"/>
        <v/>
      </c>
      <c r="I22" s="16" t="str">
        <f t="shared" si="13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10"/>
        <v/>
      </c>
      <c r="F23" s="19" t="str">
        <f t="shared" si="11"/>
        <v/>
      </c>
      <c r="G23" s="20"/>
      <c r="H23" s="20" t="str">
        <f t="shared" si="12"/>
        <v/>
      </c>
      <c r="I23" s="19" t="str">
        <f t="shared" si="13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10"/>
        <v/>
      </c>
      <c r="F24" s="14" t="str">
        <f t="shared" si="11"/>
        <v/>
      </c>
      <c r="G24" s="15"/>
      <c r="H24" s="15" t="str">
        <f t="shared" si="12"/>
        <v/>
      </c>
      <c r="I24" s="16" t="str">
        <f t="shared" si="13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10"/>
        <v/>
      </c>
      <c r="F25" s="19" t="str">
        <f t="shared" si="11"/>
        <v/>
      </c>
      <c r="G25" s="20"/>
      <c r="H25" s="20" t="str">
        <f t="shared" si="12"/>
        <v/>
      </c>
      <c r="I25" s="19" t="str">
        <f t="shared" si="13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10"/>
        <v/>
      </c>
      <c r="F26" s="14" t="str">
        <f t="shared" si="11"/>
        <v/>
      </c>
      <c r="G26" s="15"/>
      <c r="H26" s="15" t="str">
        <f t="shared" si="12"/>
        <v/>
      </c>
      <c r="I26" s="16" t="str">
        <f t="shared" si="13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10"/>
        <v/>
      </c>
      <c r="F27" s="19" t="str">
        <f t="shared" si="11"/>
        <v/>
      </c>
      <c r="G27" s="20"/>
      <c r="H27" s="20" t="str">
        <f t="shared" si="12"/>
        <v/>
      </c>
      <c r="I27" s="19" t="str">
        <f t="shared" si="13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10"/>
        <v/>
      </c>
      <c r="F28" s="14" t="str">
        <f t="shared" si="11"/>
        <v/>
      </c>
      <c r="G28" s="15"/>
      <c r="H28" s="15" t="str">
        <f t="shared" si="12"/>
        <v/>
      </c>
      <c r="I28" s="16" t="str">
        <f t="shared" si="13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10"/>
        <v/>
      </c>
      <c r="F29" s="19" t="str">
        <f t="shared" si="11"/>
        <v/>
      </c>
      <c r="G29" s="20"/>
      <c r="H29" s="20" t="str">
        <f t="shared" si="12"/>
        <v/>
      </c>
      <c r="I29" s="19" t="str">
        <f t="shared" si="13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10"/>
        <v/>
      </c>
      <c r="F30" s="14" t="str">
        <f t="shared" si="11"/>
        <v/>
      </c>
      <c r="G30" s="15"/>
      <c r="H30" s="15" t="str">
        <f t="shared" si="12"/>
        <v/>
      </c>
      <c r="I30" s="16" t="str">
        <f t="shared" si="13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10"/>
        <v/>
      </c>
      <c r="F31" s="19" t="str">
        <f t="shared" si="11"/>
        <v/>
      </c>
      <c r="G31" s="20"/>
      <c r="H31" s="20" t="str">
        <f t="shared" si="12"/>
        <v/>
      </c>
      <c r="I31" s="19" t="str">
        <f t="shared" si="13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10"/>
        <v/>
      </c>
      <c r="F32" s="14" t="str">
        <f t="shared" si="11"/>
        <v/>
      </c>
      <c r="G32" s="15"/>
      <c r="H32" s="15" t="str">
        <f t="shared" si="12"/>
        <v/>
      </c>
      <c r="I32" s="16" t="str">
        <f t="shared" si="13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10"/>
        <v/>
      </c>
      <c r="F33" s="19" t="str">
        <f t="shared" si="11"/>
        <v/>
      </c>
      <c r="G33" s="20"/>
      <c r="H33" s="20" t="str">
        <f t="shared" si="12"/>
        <v/>
      </c>
      <c r="I33" s="19" t="str">
        <f t="shared" si="13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10"/>
        <v/>
      </c>
      <c r="F34" s="14" t="str">
        <f t="shared" si="11"/>
        <v/>
      </c>
      <c r="G34" s="15"/>
      <c r="H34" s="15" t="str">
        <f t="shared" si="12"/>
        <v/>
      </c>
      <c r="I34" s="16" t="str">
        <f t="shared" si="13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10"/>
        <v/>
      </c>
      <c r="F35" s="19" t="str">
        <f t="shared" si="11"/>
        <v/>
      </c>
      <c r="G35" s="20"/>
      <c r="H35" s="20" t="str">
        <f t="shared" si="12"/>
        <v/>
      </c>
      <c r="I35" s="19" t="str">
        <f t="shared" si="13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10"/>
        <v/>
      </c>
      <c r="F36" s="14" t="str">
        <f t="shared" si="11"/>
        <v/>
      </c>
      <c r="G36" s="15"/>
      <c r="H36" s="15" t="str">
        <f t="shared" si="12"/>
        <v/>
      </c>
      <c r="I36" s="16" t="str">
        <f t="shared" si="13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10"/>
        <v/>
      </c>
      <c r="F37" s="19" t="str">
        <f t="shared" si="11"/>
        <v/>
      </c>
      <c r="G37" s="20"/>
      <c r="H37" s="20" t="str">
        <f t="shared" si="12"/>
        <v/>
      </c>
      <c r="I37" s="19" t="str">
        <f t="shared" si="13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10"/>
        <v/>
      </c>
      <c r="F38" s="14" t="str">
        <f t="shared" si="11"/>
        <v/>
      </c>
      <c r="G38" s="15"/>
      <c r="H38" s="15" t="str">
        <f t="shared" si="12"/>
        <v/>
      </c>
      <c r="I38" s="16" t="str">
        <f t="shared" si="13"/>
        <v/>
      </c>
      <c r="J38" s="41"/>
      <c r="K38" s="4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99">
    <cfRule type="cellIs" dxfId="48" priority="4" stopIfTrue="1" operator="lessThanOrEqual">
      <formula>-0.1</formula>
    </cfRule>
    <cfRule type="expression" dxfId="47" priority="5">
      <formula>AND(ISNUMBER(F2), F2&gt;=0.1)</formula>
    </cfRule>
  </conditionalFormatting>
  <conditionalFormatting sqref="F4:F99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Cushman &amp; Wakefield</v>
      </c>
      <c r="B1" s="61"/>
      <c r="C1" s="61"/>
      <c r="D1" s="62" t="s">
        <v>22</v>
      </c>
      <c r="E1" s="62"/>
      <c r="F1" s="62"/>
      <c r="G1" s="60" t="s">
        <v>23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15"/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4"/>
        <v/>
      </c>
      <c r="F17" s="19" t="str">
        <f t="shared" si="5"/>
        <v/>
      </c>
      <c r="G17" s="20"/>
      <c r="H17" s="20" t="str">
        <f t="shared" si="6"/>
        <v/>
      </c>
      <c r="I17" s="19" t="str">
        <f t="shared" si="7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8">IF(AND(ISNUMBER(C18),ISNUMBER(D18)), C18-D18, "")</f>
        <v/>
      </c>
      <c r="F18" s="14" t="str">
        <f t="shared" ref="F18:F38" si="9">IFERROR(E18/D18, "")</f>
        <v/>
      </c>
      <c r="G18" s="15"/>
      <c r="H18" s="15" t="str">
        <f t="shared" ref="H18:H38" si="10">IF(AND(ISNUMBER(C18),ISNUMBER(G18)), C18-G18, "")</f>
        <v/>
      </c>
      <c r="I18" s="16" t="str">
        <f t="shared" ref="I18:I38" si="11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8"/>
        <v/>
      </c>
      <c r="F19" s="19" t="str">
        <f t="shared" si="9"/>
        <v/>
      </c>
      <c r="G19" s="20"/>
      <c r="H19" s="20" t="str">
        <f t="shared" si="10"/>
        <v/>
      </c>
      <c r="I19" s="19" t="str">
        <f t="shared" si="11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8"/>
        <v/>
      </c>
      <c r="F20" s="14" t="str">
        <f t="shared" si="9"/>
        <v/>
      </c>
      <c r="G20" s="15"/>
      <c r="H20" s="15" t="str">
        <f t="shared" si="10"/>
        <v/>
      </c>
      <c r="I20" s="16" t="str">
        <f t="shared" si="11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8"/>
        <v/>
      </c>
      <c r="F21" s="19" t="str">
        <f t="shared" si="9"/>
        <v/>
      </c>
      <c r="G21" s="20"/>
      <c r="H21" s="20" t="str">
        <f t="shared" si="10"/>
        <v/>
      </c>
      <c r="I21" s="19" t="str">
        <f t="shared" si="11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8"/>
        <v/>
      </c>
      <c r="F22" s="14" t="str">
        <f t="shared" si="9"/>
        <v/>
      </c>
      <c r="G22" s="15"/>
      <c r="H22" s="15" t="str">
        <f t="shared" si="10"/>
        <v/>
      </c>
      <c r="I22" s="16" t="str">
        <f t="shared" si="11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8"/>
        <v/>
      </c>
      <c r="F23" s="19" t="str">
        <f t="shared" si="9"/>
        <v/>
      </c>
      <c r="G23" s="20"/>
      <c r="H23" s="20" t="str">
        <f t="shared" si="10"/>
        <v/>
      </c>
      <c r="I23" s="19" t="str">
        <f t="shared" si="11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8"/>
        <v/>
      </c>
      <c r="F24" s="14" t="str">
        <f t="shared" si="9"/>
        <v/>
      </c>
      <c r="G24" s="15"/>
      <c r="H24" s="15" t="str">
        <f t="shared" si="10"/>
        <v/>
      </c>
      <c r="I24" s="16" t="str">
        <f t="shared" si="11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8"/>
        <v/>
      </c>
      <c r="F25" s="19" t="str">
        <f t="shared" si="9"/>
        <v/>
      </c>
      <c r="G25" s="20"/>
      <c r="H25" s="20" t="str">
        <f t="shared" si="10"/>
        <v/>
      </c>
      <c r="I25" s="19" t="str">
        <f t="shared" si="11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8"/>
        <v/>
      </c>
      <c r="F26" s="14" t="str">
        <f t="shared" si="9"/>
        <v/>
      </c>
      <c r="G26" s="15"/>
      <c r="H26" s="15" t="str">
        <f t="shared" si="10"/>
        <v/>
      </c>
      <c r="I26" s="16" t="str">
        <f t="shared" si="11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8"/>
        <v/>
      </c>
      <c r="F27" s="19" t="str">
        <f t="shared" si="9"/>
        <v/>
      </c>
      <c r="G27" s="20"/>
      <c r="H27" s="20" t="str">
        <f t="shared" si="10"/>
        <v/>
      </c>
      <c r="I27" s="19" t="str">
        <f t="shared" si="11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8"/>
        <v/>
      </c>
      <c r="F28" s="14" t="str">
        <f t="shared" si="9"/>
        <v/>
      </c>
      <c r="G28" s="15"/>
      <c r="H28" s="15" t="str">
        <f t="shared" si="10"/>
        <v/>
      </c>
      <c r="I28" s="16" t="str">
        <f t="shared" si="11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8"/>
        <v/>
      </c>
      <c r="F29" s="19" t="str">
        <f t="shared" si="9"/>
        <v/>
      </c>
      <c r="G29" s="20"/>
      <c r="H29" s="20" t="str">
        <f t="shared" si="10"/>
        <v/>
      </c>
      <c r="I29" s="19" t="str">
        <f t="shared" si="11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8"/>
        <v/>
      </c>
      <c r="F30" s="14" t="str">
        <f t="shared" si="9"/>
        <v/>
      </c>
      <c r="G30" s="15"/>
      <c r="H30" s="15" t="str">
        <f t="shared" si="10"/>
        <v/>
      </c>
      <c r="I30" s="16" t="str">
        <f t="shared" si="11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8"/>
        <v/>
      </c>
      <c r="F31" s="19" t="str">
        <f t="shared" si="9"/>
        <v/>
      </c>
      <c r="G31" s="20"/>
      <c r="H31" s="20" t="str">
        <f t="shared" si="10"/>
        <v/>
      </c>
      <c r="I31" s="19" t="str">
        <f t="shared" si="11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8"/>
        <v/>
      </c>
      <c r="F32" s="14" t="str">
        <f t="shared" si="9"/>
        <v/>
      </c>
      <c r="G32" s="15"/>
      <c r="H32" s="15" t="str">
        <f t="shared" si="10"/>
        <v/>
      </c>
      <c r="I32" s="16" t="str">
        <f t="shared" si="11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8"/>
        <v/>
      </c>
      <c r="F33" s="19" t="str">
        <f t="shared" si="9"/>
        <v/>
      </c>
      <c r="G33" s="20"/>
      <c r="H33" s="20" t="str">
        <f t="shared" si="10"/>
        <v/>
      </c>
      <c r="I33" s="19" t="str">
        <f t="shared" si="11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8"/>
        <v/>
      </c>
      <c r="F34" s="14" t="str">
        <f t="shared" si="9"/>
        <v/>
      </c>
      <c r="G34" s="15"/>
      <c r="H34" s="15" t="str">
        <f t="shared" si="10"/>
        <v/>
      </c>
      <c r="I34" s="16" t="str">
        <f t="shared" si="11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8"/>
        <v/>
      </c>
      <c r="F35" s="19" t="str">
        <f t="shared" si="9"/>
        <v/>
      </c>
      <c r="G35" s="20"/>
      <c r="H35" s="20" t="str">
        <f t="shared" si="10"/>
        <v/>
      </c>
      <c r="I35" s="19" t="str">
        <f t="shared" si="11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8"/>
        <v/>
      </c>
      <c r="F36" s="14" t="str">
        <f t="shared" si="9"/>
        <v/>
      </c>
      <c r="G36" s="15"/>
      <c r="H36" s="15" t="str">
        <f t="shared" si="10"/>
        <v/>
      </c>
      <c r="I36" s="16" t="str">
        <f t="shared" si="11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8"/>
        <v/>
      </c>
      <c r="F37" s="19" t="str">
        <f t="shared" si="9"/>
        <v/>
      </c>
      <c r="G37" s="20"/>
      <c r="H37" s="20" t="str">
        <f t="shared" si="10"/>
        <v/>
      </c>
      <c r="I37" s="19" t="str">
        <f t="shared" si="11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8"/>
        <v/>
      </c>
      <c r="F38" s="14" t="str">
        <f t="shared" si="9"/>
        <v/>
      </c>
      <c r="G38" s="15"/>
      <c r="H38" s="15" t="str">
        <f t="shared" si="10"/>
        <v/>
      </c>
      <c r="I38" s="16" t="str">
        <f t="shared" si="11"/>
        <v/>
      </c>
      <c r="J38" s="41"/>
      <c r="K38" s="4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16" activePane="bottomRight" state="frozen"/>
      <selection pane="bottomRight" activeCell="A16" sqref="A1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Cushman &amp; Wakefield</v>
      </c>
      <c r="B1" s="61"/>
      <c r="C1" s="61"/>
      <c r="D1" s="62" t="s">
        <v>24</v>
      </c>
      <c r="E1" s="62"/>
      <c r="F1" s="62"/>
      <c r="G1" s="60" t="s">
        <v>25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0"/>
  <sheetViews>
    <sheetView zoomScale="70" zoomScaleNormal="70" workbookViewId="0">
      <pane xSplit="2" ySplit="3" topLeftCell="C45" activePane="bottomRight" state="frozen"/>
      <selection pane="bottomRight" activeCell="L4" sqref="L4:L3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1" t="str" cm="1">
        <f t="array" ref="A1">portfolio</f>
        <v>Cushman &amp; Wakefield</v>
      </c>
      <c r="B1" s="61"/>
      <c r="C1" s="61"/>
      <c r="D1" s="62" t="s">
        <v>26</v>
      </c>
      <c r="E1" s="62"/>
      <c r="F1" s="62"/>
      <c r="G1" s="60" t="s">
        <v>27</v>
      </c>
      <c r="H1" s="60"/>
      <c r="I1" s="60"/>
      <c r="J1" s="4"/>
      <c r="K1" s="4"/>
    </row>
    <row r="2" spans="1:12" ht="19.5" customHeight="1">
      <c r="A2" s="63" t="s">
        <v>2</v>
      </c>
      <c r="B2" s="63"/>
      <c r="C2" s="5">
        <f>SUM(C4:C98)</f>
        <v>46739.67</v>
      </c>
      <c r="D2" s="5">
        <f>SUM(D4:D98)</f>
        <v>0</v>
      </c>
      <c r="E2" s="5">
        <f>C2-D2</f>
        <v>46739.67</v>
      </c>
      <c r="F2" s="6">
        <f>IFERROR(E2/D2, 0)</f>
        <v>0</v>
      </c>
      <c r="G2" s="5">
        <f>SUM(G4:G98)</f>
        <v>0</v>
      </c>
      <c r="H2" s="7">
        <f>C2-G2</f>
        <v>46739.67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75">
      <c r="A5" s="30" t="str">
        <v xml:space="preserve"> Apple Valley - Bank of America</v>
      </c>
      <c r="B5" s="31" t="str">
        <v>CA</v>
      </c>
      <c r="C5" s="11">
        <v>0</v>
      </c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15.75">
      <c r="A6" s="28" t="str">
        <v xml:space="preserve"> Arvin - Bank of America</v>
      </c>
      <c r="B6" s="29" t="str">
        <v>CA</v>
      </c>
      <c r="C6" s="24">
        <v>89.616</v>
      </c>
      <c r="D6" s="13">
        <v>0</v>
      </c>
      <c r="E6" s="13">
        <f t="shared" si="0"/>
        <v>89.616</v>
      </c>
      <c r="F6" s="14" t="str">
        <f t="shared" ref="F6:F17" si="3">IFERROR(E6/D6, "")</f>
        <v/>
      </c>
      <c r="G6" s="15">
        <v>0</v>
      </c>
      <c r="H6" s="15">
        <f t="shared" si="1"/>
        <v>89.616</v>
      </c>
      <c r="I6" s="16" t="str">
        <f t="shared" si="2"/>
        <v/>
      </c>
      <c r="J6" s="41"/>
      <c r="K6" s="41"/>
      <c r="L6" s="59"/>
    </row>
    <row r="7" spans="1:12" ht="15.75">
      <c r="A7" s="30" t="str">
        <v xml:space="preserve"> Bell - Bank of America</v>
      </c>
      <c r="B7" s="31" t="str">
        <v>CA</v>
      </c>
      <c r="C7" s="11">
        <v>1328.91</v>
      </c>
      <c r="D7" s="18">
        <v>0</v>
      </c>
      <c r="E7" s="18">
        <f t="shared" si="0"/>
        <v>1328.91</v>
      </c>
      <c r="F7" s="19" t="str">
        <f t="shared" si="3"/>
        <v/>
      </c>
      <c r="G7" s="20">
        <v>0</v>
      </c>
      <c r="H7" s="20">
        <f t="shared" si="1"/>
        <v>1328.91</v>
      </c>
      <c r="I7" s="19" t="str">
        <f t="shared" si="2"/>
        <v/>
      </c>
      <c r="J7" s="42" t="s">
        <v>28</v>
      </c>
      <c r="K7" s="43" t="s">
        <v>29</v>
      </c>
      <c r="L7" s="59"/>
    </row>
    <row r="8" spans="1:12" ht="15.75">
      <c r="A8" s="28" t="str">
        <v xml:space="preserve"> Chula Vista - Bank of America</v>
      </c>
      <c r="B8" s="29" t="str">
        <v>CA</v>
      </c>
      <c r="C8" s="24">
        <v>1406.354</v>
      </c>
      <c r="D8" s="13">
        <v>0</v>
      </c>
      <c r="E8" s="13">
        <f t="shared" si="0"/>
        <v>1406.354</v>
      </c>
      <c r="F8" s="14" t="str">
        <f t="shared" si="3"/>
        <v/>
      </c>
      <c r="G8" s="15">
        <v>0</v>
      </c>
      <c r="H8" s="15">
        <f t="shared" si="1"/>
        <v>1406.354</v>
      </c>
      <c r="I8" s="16" t="str">
        <f t="shared" si="2"/>
        <v/>
      </c>
      <c r="J8" s="41"/>
      <c r="K8" s="41"/>
      <c r="L8" s="59"/>
    </row>
    <row r="9" spans="1:12" ht="15.75">
      <c r="A9" s="30" t="str">
        <v xml:space="preserve"> Cupertino - Bank of America</v>
      </c>
      <c r="B9" s="31" t="str">
        <v>CA</v>
      </c>
      <c r="C9" s="11">
        <v>0</v>
      </c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15.75">
      <c r="A10" s="28" t="str">
        <v xml:space="preserve"> Diamond Bar - Bank of America</v>
      </c>
      <c r="B10" s="29" t="str">
        <v>CA</v>
      </c>
      <c r="C10" s="24">
        <v>3093.107</v>
      </c>
      <c r="D10" s="13">
        <v>0</v>
      </c>
      <c r="E10" s="13">
        <f t="shared" si="0"/>
        <v>3093.107</v>
      </c>
      <c r="F10" s="14" t="str">
        <f t="shared" si="3"/>
        <v/>
      </c>
      <c r="G10" s="15">
        <v>0</v>
      </c>
      <c r="H10" s="15">
        <f t="shared" si="1"/>
        <v>3093.107</v>
      </c>
      <c r="I10" s="16" t="str">
        <f t="shared" si="2"/>
        <v/>
      </c>
      <c r="J10" s="41"/>
      <c r="K10" s="41"/>
      <c r="L10" s="59"/>
    </row>
    <row r="11" spans="1:12" ht="15.75">
      <c r="A11" s="30" t="str">
        <v xml:space="preserve"> El Centro - Bank of America</v>
      </c>
      <c r="B11" s="31" t="str">
        <v>CA</v>
      </c>
      <c r="C11" s="11">
        <v>0</v>
      </c>
      <c r="D11" s="18">
        <v>0</v>
      </c>
      <c r="E11" s="18">
        <f t="shared" si="0"/>
        <v>0</v>
      </c>
      <c r="F11" s="19" t="str">
        <f t="shared" si="3"/>
        <v/>
      </c>
      <c r="G11" s="20">
        <v>0</v>
      </c>
      <c r="H11" s="20">
        <f t="shared" si="1"/>
        <v>0</v>
      </c>
      <c r="I11" s="19" t="str">
        <f t="shared" si="2"/>
        <v/>
      </c>
      <c r="J11" s="42"/>
      <c r="K11" s="43"/>
      <c r="L11" s="59"/>
    </row>
    <row r="12" spans="1:12" ht="15.75">
      <c r="A12" s="28" t="str">
        <v xml:space="preserve"> Moreno Valley - Bank of America</v>
      </c>
      <c r="B12" s="29" t="str">
        <v>CA</v>
      </c>
      <c r="C12" s="24">
        <v>4725.482</v>
      </c>
      <c r="D12" s="13">
        <v>0</v>
      </c>
      <c r="E12" s="13">
        <f t="shared" si="0"/>
        <v>4725.482</v>
      </c>
      <c r="F12" s="14" t="str">
        <f t="shared" si="3"/>
        <v/>
      </c>
      <c r="G12" s="15">
        <v>0</v>
      </c>
      <c r="H12" s="15">
        <f t="shared" si="1"/>
        <v>4725.482</v>
      </c>
      <c r="I12" s="16" t="str">
        <f t="shared" si="2"/>
        <v/>
      </c>
      <c r="J12" s="41" t="s">
        <v>30</v>
      </c>
      <c r="K12" s="41" t="s">
        <v>31</v>
      </c>
      <c r="L12" s="59"/>
    </row>
    <row r="13" spans="1:12" ht="15.75">
      <c r="A13" s="30" t="str">
        <v xml:space="preserve"> Redlands - Bank of America</v>
      </c>
      <c r="B13" s="31" t="str">
        <v>CA</v>
      </c>
      <c r="C13" s="11">
        <v>0</v>
      </c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75">
      <c r="A14" s="28" t="str">
        <v xml:space="preserve"> Roseville - Bank of America</v>
      </c>
      <c r="B14" s="29" t="str">
        <v>CA</v>
      </c>
      <c r="C14" s="24">
        <v>7831.8040000000001</v>
      </c>
      <c r="D14" s="13">
        <v>0</v>
      </c>
      <c r="E14" s="13">
        <f t="shared" si="0"/>
        <v>7831.8040000000001</v>
      </c>
      <c r="F14" s="14" t="str">
        <f t="shared" si="3"/>
        <v/>
      </c>
      <c r="G14" s="15">
        <v>0</v>
      </c>
      <c r="H14" s="15">
        <f t="shared" si="1"/>
        <v>7831.8040000000001</v>
      </c>
      <c r="I14" s="16" t="str">
        <f t="shared" si="2"/>
        <v/>
      </c>
      <c r="J14" s="41"/>
      <c r="K14" s="41"/>
      <c r="L14" s="59"/>
    </row>
    <row r="15" spans="1:12" ht="15.75">
      <c r="A15" s="30" t="str">
        <v xml:space="preserve"> San Bernardino - Bank of America</v>
      </c>
      <c r="B15" s="31" t="str">
        <v>CA</v>
      </c>
      <c r="C15" s="11">
        <v>123.486</v>
      </c>
      <c r="D15" s="18">
        <v>0</v>
      </c>
      <c r="E15" s="18">
        <f t="shared" si="0"/>
        <v>123.486</v>
      </c>
      <c r="F15" s="19" t="str">
        <f t="shared" si="3"/>
        <v/>
      </c>
      <c r="G15" s="20">
        <v>0</v>
      </c>
      <c r="H15" s="20">
        <f t="shared" si="1"/>
        <v>123.486</v>
      </c>
      <c r="I15" s="19" t="str">
        <f t="shared" si="2"/>
        <v/>
      </c>
      <c r="J15" s="42"/>
      <c r="K15" s="43"/>
      <c r="L15" s="59"/>
    </row>
    <row r="16" spans="1:12" ht="15.75">
      <c r="A16" s="28" t="str">
        <v xml:space="preserve"> San Diego - Bank of America</v>
      </c>
      <c r="B16" s="29" t="str">
        <v>CA</v>
      </c>
      <c r="C16" s="24">
        <v>120.601</v>
      </c>
      <c r="D16" s="13">
        <v>0</v>
      </c>
      <c r="E16" s="13">
        <f t="shared" si="0"/>
        <v>120.601</v>
      </c>
      <c r="F16" s="14" t="str">
        <f t="shared" si="3"/>
        <v/>
      </c>
      <c r="G16" s="15">
        <v>0</v>
      </c>
      <c r="H16" s="15">
        <f t="shared" si="1"/>
        <v>120.601</v>
      </c>
      <c r="I16" s="16" t="str">
        <f t="shared" si="2"/>
        <v/>
      </c>
      <c r="J16" s="41"/>
      <c r="K16" s="41"/>
      <c r="L16" s="59"/>
    </row>
    <row r="17" spans="1:12" ht="15.75">
      <c r="A17" s="30" t="str">
        <v xml:space="preserve"> Stockton - Bank of America</v>
      </c>
      <c r="B17" s="31" t="str">
        <v>CA</v>
      </c>
      <c r="C17" s="11">
        <v>2434.6759999999999</v>
      </c>
      <c r="D17" s="18">
        <v>0</v>
      </c>
      <c r="E17" s="18">
        <f t="shared" si="0"/>
        <v>2434.6759999999999</v>
      </c>
      <c r="F17" s="19" t="str">
        <f t="shared" si="3"/>
        <v/>
      </c>
      <c r="G17" s="20">
        <v>0</v>
      </c>
      <c r="H17" s="20">
        <f t="shared" si="1"/>
        <v>2434.6759999999999</v>
      </c>
      <c r="I17" s="19" t="str">
        <f t="shared" si="2"/>
        <v/>
      </c>
      <c r="J17" s="42"/>
      <c r="K17" s="43"/>
      <c r="L17" s="59"/>
    </row>
    <row r="18" spans="1:12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75">
      <c r="A19" s="30" t="str">
        <v xml:space="preserve"> Aurora - BA - Colfax Ave</v>
      </c>
      <c r="B19" s="31" t="str">
        <v>CO</v>
      </c>
      <c r="C19" s="11">
        <v>1180.68</v>
      </c>
      <c r="D19" s="18">
        <v>0</v>
      </c>
      <c r="E19" s="18">
        <f t="shared" si="4"/>
        <v>1180.68</v>
      </c>
      <c r="F19" s="19" t="str">
        <f t="shared" si="5"/>
        <v/>
      </c>
      <c r="G19" s="20">
        <v>0</v>
      </c>
      <c r="H19" s="20">
        <f t="shared" si="6"/>
        <v>1180.68</v>
      </c>
      <c r="I19" s="19" t="str">
        <f t="shared" si="7"/>
        <v/>
      </c>
      <c r="J19" s="42" t="s">
        <v>32</v>
      </c>
      <c r="K19" s="43" t="s">
        <v>33</v>
      </c>
      <c r="L19" s="59"/>
    </row>
    <row r="20" spans="1:12" ht="171">
      <c r="A20" s="28" t="str">
        <v xml:space="preserve"> Aurora - BA - Parker Rd</v>
      </c>
      <c r="B20" s="29" t="str">
        <v>CO</v>
      </c>
      <c r="C20" s="24">
        <v>3520.819</v>
      </c>
      <c r="D20" s="13">
        <v>0</v>
      </c>
      <c r="E20" s="13">
        <f t="shared" si="4"/>
        <v>3520.819</v>
      </c>
      <c r="F20" s="14" t="str">
        <f t="shared" si="5"/>
        <v/>
      </c>
      <c r="G20" s="15">
        <v>0</v>
      </c>
      <c r="H20" s="15">
        <f t="shared" si="6"/>
        <v>3520.819</v>
      </c>
      <c r="I20" s="16" t="str">
        <f t="shared" si="7"/>
        <v/>
      </c>
      <c r="J20" s="57" t="s">
        <v>34</v>
      </c>
      <c r="K20" s="41" t="s">
        <v>35</v>
      </c>
      <c r="L20" s="59"/>
    </row>
    <row r="21" spans="1:12" ht="15.75">
      <c r="A21" s="30" t="str">
        <v xml:space="preserve"> Broomfield - Bank of America</v>
      </c>
      <c r="B21" s="31" t="str">
        <v>CO</v>
      </c>
      <c r="C21" s="11">
        <v>1441.335</v>
      </c>
      <c r="D21" s="18">
        <v>0</v>
      </c>
      <c r="E21" s="18">
        <f t="shared" si="4"/>
        <v>1441.335</v>
      </c>
      <c r="F21" s="19" t="str">
        <f t="shared" si="5"/>
        <v/>
      </c>
      <c r="G21" s="20">
        <v>0</v>
      </c>
      <c r="H21" s="20">
        <f t="shared" si="6"/>
        <v>1441.335</v>
      </c>
      <c r="I21" s="19" t="str">
        <f t="shared" si="7"/>
        <v/>
      </c>
      <c r="J21" s="42" t="s">
        <v>36</v>
      </c>
      <c r="K21" s="43" t="s">
        <v>37</v>
      </c>
      <c r="L21" s="59"/>
    </row>
    <row r="22" spans="1:12" ht="15.75">
      <c r="A22" s="28" t="str">
        <v xml:space="preserve"> Colorado Springs - Bank of America</v>
      </c>
      <c r="B22" s="29" t="str">
        <v>CO</v>
      </c>
      <c r="C22" s="24">
        <v>2872.694</v>
      </c>
      <c r="D22" s="13">
        <v>0</v>
      </c>
      <c r="E22" s="13">
        <f t="shared" si="4"/>
        <v>2872.694</v>
      </c>
      <c r="F22" s="14" t="str">
        <f t="shared" si="5"/>
        <v/>
      </c>
      <c r="G22" s="15">
        <v>0</v>
      </c>
      <c r="H22" s="15">
        <f t="shared" si="6"/>
        <v>2872.694</v>
      </c>
      <c r="I22" s="16" t="str">
        <f t="shared" si="7"/>
        <v/>
      </c>
      <c r="J22" s="41"/>
      <c r="K22" s="41"/>
      <c r="L22" s="59"/>
    </row>
    <row r="23" spans="1:12" ht="15.75">
      <c r="A23" s="30" t="str">
        <v xml:space="preserve"> Denver - BA - 49th Ave</v>
      </c>
      <c r="B23" s="31" t="str">
        <v>CO</v>
      </c>
      <c r="C23" s="11">
        <v>0</v>
      </c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75">
      <c r="A24" s="28" t="str">
        <v xml:space="preserve"> Denver - BA Wadsworth Blvd</v>
      </c>
      <c r="B24" s="29" t="str">
        <v>CO</v>
      </c>
      <c r="C24" s="24">
        <v>2521.6770000000001</v>
      </c>
      <c r="D24" s="13">
        <v>0</v>
      </c>
      <c r="E24" s="13">
        <f t="shared" si="4"/>
        <v>2521.6770000000001</v>
      </c>
      <c r="F24" s="14" t="str">
        <f t="shared" si="5"/>
        <v/>
      </c>
      <c r="G24" s="15">
        <v>0</v>
      </c>
      <c r="H24" s="15">
        <f t="shared" si="6"/>
        <v>2521.6770000000001</v>
      </c>
      <c r="I24" s="16" t="str">
        <f t="shared" si="7"/>
        <v/>
      </c>
      <c r="J24" s="41"/>
      <c r="K24" s="41"/>
      <c r="L24" s="59"/>
    </row>
    <row r="25" spans="1:12" ht="15.75">
      <c r="A25" s="30" t="str">
        <v xml:space="preserve"> Fort Collins - Bank of America</v>
      </c>
      <c r="B25" s="31" t="str">
        <v>CO</v>
      </c>
      <c r="C25" s="11">
        <v>1441.048</v>
      </c>
      <c r="D25" s="18">
        <v>0</v>
      </c>
      <c r="E25" s="18">
        <f t="shared" si="4"/>
        <v>1441.048</v>
      </c>
      <c r="F25" s="19" t="str">
        <f t="shared" si="5"/>
        <v/>
      </c>
      <c r="G25" s="20">
        <v>0</v>
      </c>
      <c r="H25" s="20">
        <f t="shared" si="6"/>
        <v>1441.048</v>
      </c>
      <c r="I25" s="19" t="str">
        <f t="shared" si="7"/>
        <v/>
      </c>
      <c r="J25" s="42" t="s">
        <v>38</v>
      </c>
      <c r="K25" s="43" t="s">
        <v>39</v>
      </c>
      <c r="L25" s="59"/>
    </row>
    <row r="26" spans="1:12" ht="15.75">
      <c r="A26" s="28" t="str">
        <v xml:space="preserve"> Lafayette - Bank of America</v>
      </c>
      <c r="B26" s="29" t="str">
        <v>CO</v>
      </c>
      <c r="C26" s="24">
        <v>1738.681</v>
      </c>
      <c r="D26" s="13">
        <v>0</v>
      </c>
      <c r="E26" s="13">
        <f t="shared" si="4"/>
        <v>1738.681</v>
      </c>
      <c r="F26" s="14" t="str">
        <f t="shared" si="5"/>
        <v/>
      </c>
      <c r="G26" s="15">
        <v>0</v>
      </c>
      <c r="H26" s="15">
        <f t="shared" si="6"/>
        <v>1738.681</v>
      </c>
      <c r="I26" s="16" t="str">
        <f t="shared" si="7"/>
        <v/>
      </c>
      <c r="J26" s="41"/>
      <c r="K26" s="41"/>
      <c r="L26" s="59"/>
    </row>
    <row r="27" spans="1:12" ht="15.75">
      <c r="A27" s="30" t="str">
        <v xml:space="preserve"> Lakewood - Bank of America</v>
      </c>
      <c r="B27" s="31" t="str">
        <v>CO</v>
      </c>
      <c r="C27" s="11">
        <v>1143.2739999999999</v>
      </c>
      <c r="D27" s="18">
        <v>0</v>
      </c>
      <c r="E27" s="18">
        <f t="shared" si="4"/>
        <v>1143.2739999999999</v>
      </c>
      <c r="F27" s="19" t="str">
        <f t="shared" si="5"/>
        <v/>
      </c>
      <c r="G27" s="20">
        <v>0</v>
      </c>
      <c r="H27" s="20">
        <f t="shared" si="6"/>
        <v>1143.2739999999999</v>
      </c>
      <c r="I27" s="19" t="str">
        <f t="shared" si="7"/>
        <v/>
      </c>
      <c r="J27" s="42" t="s">
        <v>40</v>
      </c>
      <c r="K27" s="43" t="s">
        <v>41</v>
      </c>
      <c r="L27" s="59"/>
    </row>
    <row r="28" spans="1:12" ht="15.75">
      <c r="A28" s="28" t="str">
        <v xml:space="preserve"> Longmont - Bank of America</v>
      </c>
      <c r="B28" s="29" t="str">
        <v>CO</v>
      </c>
      <c r="C28" s="24">
        <v>1206.1759999999999</v>
      </c>
      <c r="D28" s="13">
        <v>0</v>
      </c>
      <c r="E28" s="13">
        <f t="shared" si="4"/>
        <v>1206.1759999999999</v>
      </c>
      <c r="F28" s="14" t="str">
        <f t="shared" si="5"/>
        <v/>
      </c>
      <c r="G28" s="15">
        <v>0</v>
      </c>
      <c r="H28" s="15">
        <f t="shared" si="6"/>
        <v>1206.1759999999999</v>
      </c>
      <c r="I28" s="16" t="str">
        <f t="shared" si="7"/>
        <v/>
      </c>
      <c r="J28" s="41"/>
      <c r="K28" s="41"/>
      <c r="L28" s="59"/>
    </row>
    <row r="29" spans="1:12" ht="57">
      <c r="A29" s="30" t="str">
        <v xml:space="preserve"> Thornton - Bank of America</v>
      </c>
      <c r="B29" s="31" t="str">
        <v>CO</v>
      </c>
      <c r="C29" s="11">
        <v>1282.6410000000001</v>
      </c>
      <c r="D29" s="18">
        <v>0</v>
      </c>
      <c r="E29" s="18">
        <f t="shared" si="4"/>
        <v>1282.6410000000001</v>
      </c>
      <c r="F29" s="19" t="str">
        <f t="shared" si="5"/>
        <v/>
      </c>
      <c r="G29" s="20">
        <v>0</v>
      </c>
      <c r="H29" s="20">
        <f t="shared" si="6"/>
        <v>1282.6410000000001</v>
      </c>
      <c r="I29" s="19" t="str">
        <f t="shared" si="7"/>
        <v/>
      </c>
      <c r="J29" s="42" t="s">
        <v>42</v>
      </c>
      <c r="K29" s="56" t="s">
        <v>43</v>
      </c>
      <c r="L29" s="59"/>
    </row>
    <row r="30" spans="1:12" ht="15.75">
      <c r="A30" s="28" t="str">
        <v xml:space="preserve"> Calumet City - Bank of America</v>
      </c>
      <c r="B30" s="29" t="str">
        <v>IL</v>
      </c>
      <c r="C30" s="24">
        <v>839.46299999999997</v>
      </c>
      <c r="D30" s="13">
        <v>0</v>
      </c>
      <c r="E30" s="13">
        <f t="shared" si="4"/>
        <v>839.46299999999997</v>
      </c>
      <c r="F30" s="14" t="str">
        <f t="shared" si="5"/>
        <v/>
      </c>
      <c r="G30" s="15">
        <v>0</v>
      </c>
      <c r="H30" s="15">
        <f t="shared" si="6"/>
        <v>839.46299999999997</v>
      </c>
      <c r="I30" s="16" t="str">
        <f t="shared" si="7"/>
        <v/>
      </c>
      <c r="J30" s="41"/>
      <c r="K30" s="41"/>
      <c r="L30" s="59"/>
    </row>
    <row r="31" spans="1:12" ht="15.75">
      <c r="A31" s="30" t="str">
        <v xml:space="preserve"> Downers Grove - Bank of America</v>
      </c>
      <c r="B31" s="31" t="str">
        <v>IL</v>
      </c>
      <c r="C31" s="11">
        <v>1009.329</v>
      </c>
      <c r="D31" s="18">
        <v>0</v>
      </c>
      <c r="E31" s="18">
        <f t="shared" si="4"/>
        <v>1009.329</v>
      </c>
      <c r="F31" s="19" t="str">
        <f t="shared" si="5"/>
        <v/>
      </c>
      <c r="G31" s="20">
        <v>0</v>
      </c>
      <c r="H31" s="20">
        <f t="shared" si="6"/>
        <v>1009.329</v>
      </c>
      <c r="I31" s="19" t="str">
        <f t="shared" si="7"/>
        <v/>
      </c>
      <c r="J31" s="42" t="s">
        <v>44</v>
      </c>
      <c r="K31" s="43" t="s">
        <v>45</v>
      </c>
      <c r="L31" s="59"/>
    </row>
    <row r="32" spans="1:12" ht="15.75">
      <c r="A32" s="28" t="str">
        <v xml:space="preserve"> Bloomington - Bank of America</v>
      </c>
      <c r="B32" s="29" t="str">
        <v>MN</v>
      </c>
      <c r="C32" s="24">
        <v>0</v>
      </c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15.75">
      <c r="A33" s="30" t="str">
        <v xml:space="preserve"> Clayton - Bank of America</v>
      </c>
      <c r="B33" s="31" t="str">
        <v>MO</v>
      </c>
      <c r="C33" s="11">
        <v>2289.44</v>
      </c>
      <c r="D33" s="18">
        <v>0</v>
      </c>
      <c r="E33" s="18">
        <f t="shared" si="4"/>
        <v>2289.44</v>
      </c>
      <c r="F33" s="19" t="str">
        <f t="shared" si="5"/>
        <v/>
      </c>
      <c r="G33" s="20">
        <v>0</v>
      </c>
      <c r="H33" s="20">
        <f t="shared" si="6"/>
        <v>2289.44</v>
      </c>
      <c r="I33" s="19" t="str">
        <f t="shared" si="7"/>
        <v/>
      </c>
      <c r="J33" s="42"/>
      <c r="K33" s="43"/>
      <c r="L33" s="59"/>
    </row>
    <row r="34" spans="1:12" ht="15.75">
      <c r="A34" s="28" t="str">
        <v xml:space="preserve"> Manchester - Bank of America</v>
      </c>
      <c r="B34" s="29" t="str">
        <v>MO</v>
      </c>
      <c r="C34" s="24">
        <v>0</v>
      </c>
      <c r="D34" s="13">
        <v>0</v>
      </c>
      <c r="E34" s="13">
        <f t="shared" si="4"/>
        <v>0</v>
      </c>
      <c r="F34" s="14" t="str">
        <f t="shared" si="5"/>
        <v/>
      </c>
      <c r="G34" s="15">
        <v>0</v>
      </c>
      <c r="H34" s="15">
        <f t="shared" si="6"/>
        <v>0</v>
      </c>
      <c r="I34" s="16" t="str">
        <f t="shared" si="7"/>
        <v/>
      </c>
      <c r="J34" s="41" t="s">
        <v>46</v>
      </c>
      <c r="K34" s="41" t="s">
        <v>47</v>
      </c>
      <c r="L34" s="59"/>
    </row>
    <row r="35" spans="1:12" ht="15.75">
      <c r="A35" s="30" t="str">
        <v xml:space="preserve"> Las Vegas - BA - Eastern Ave</v>
      </c>
      <c r="B35" s="31" t="str">
        <v>NV</v>
      </c>
      <c r="C35" s="11">
        <v>0</v>
      </c>
      <c r="D35" s="18">
        <v>0</v>
      </c>
      <c r="E35" s="18">
        <f t="shared" si="4"/>
        <v>0</v>
      </c>
      <c r="F35" s="19" t="str">
        <f t="shared" si="5"/>
        <v/>
      </c>
      <c r="G35" s="20">
        <v>0</v>
      </c>
      <c r="H35" s="20">
        <f t="shared" si="6"/>
        <v>0</v>
      </c>
      <c r="I35" s="19" t="str">
        <f t="shared" si="7"/>
        <v/>
      </c>
      <c r="J35" s="42" t="s">
        <v>48</v>
      </c>
      <c r="K35" s="43" t="s">
        <v>49</v>
      </c>
      <c r="L35" s="59"/>
    </row>
    <row r="36" spans="1:12" ht="15.75">
      <c r="A36" s="28" t="str">
        <v xml:space="preserve"> Las Vegas - BA - Town Ctr Dr</v>
      </c>
      <c r="B36" s="29" t="str">
        <v>NV</v>
      </c>
      <c r="C36" s="24">
        <v>0</v>
      </c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75">
      <c r="A37" s="30" t="str">
        <v xml:space="preserve"> Riverton - Bank of America</v>
      </c>
      <c r="B37" s="31" t="str">
        <v>UT</v>
      </c>
      <c r="C37" s="11">
        <v>2585.596</v>
      </c>
      <c r="D37" s="18">
        <v>0</v>
      </c>
      <c r="E37" s="18">
        <f t="shared" si="4"/>
        <v>2585.596</v>
      </c>
      <c r="F37" s="19" t="str">
        <f t="shared" si="5"/>
        <v/>
      </c>
      <c r="G37" s="20">
        <v>0</v>
      </c>
      <c r="H37" s="20">
        <f t="shared" si="6"/>
        <v>2585.596</v>
      </c>
      <c r="I37" s="19" t="str">
        <f t="shared" si="7"/>
        <v/>
      </c>
      <c r="J37" s="42"/>
      <c r="K37" s="43"/>
      <c r="L37" s="59"/>
    </row>
    <row r="38" spans="1:12" ht="15.75">
      <c r="A38" s="28" t="str">
        <v xml:space="preserve"> Salt Lake City - Bank of America</v>
      </c>
      <c r="B38" s="29" t="str">
        <v>UT</v>
      </c>
      <c r="C38" s="24">
        <v>512.78099999999995</v>
      </c>
      <c r="D38" s="13">
        <v>0</v>
      </c>
      <c r="E38" s="13">
        <f t="shared" si="4"/>
        <v>512.78099999999995</v>
      </c>
      <c r="F38" s="14" t="str">
        <f t="shared" si="5"/>
        <v/>
      </c>
      <c r="G38" s="15">
        <v>0</v>
      </c>
      <c r="H38" s="15">
        <f t="shared" si="6"/>
        <v>512.78099999999995</v>
      </c>
      <c r="I38" s="16" t="str">
        <f t="shared" si="7"/>
        <v/>
      </c>
      <c r="J38" s="41"/>
      <c r="K38" s="41"/>
      <c r="L38" s="59"/>
    </row>
    <row r="39" spans="1:12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7" stopIfTrue="1" operator="lessThanOrEqual">
      <formula>-0.1</formula>
    </cfRule>
    <cfRule type="expression" dxfId="37" priority="8">
      <formula>AND(ISNUMBER(F2), F2&gt;=0.1)</formula>
    </cfRule>
  </conditionalFormatting>
  <conditionalFormatting sqref="F4:F98 I4:I98">
    <cfRule type="cellIs" dxfId="36" priority="5" stopIfTrue="1" operator="lessThanOrEqual">
      <formula>-0.1</formula>
    </cfRule>
    <cfRule type="expression" dxfId="35" priority="6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40"/>
  <sheetViews>
    <sheetView zoomScale="80" zoomScaleNormal="80" workbookViewId="0">
      <pane xSplit="2" ySplit="3" topLeftCell="C28" activePane="bottomRight" state="frozen"/>
      <selection pane="bottomRight" activeCell="L4" sqref="L4:L41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1" t="str" cm="1">
        <f t="array" ref="A1">portfolio</f>
        <v>Cushman &amp; Wakefield</v>
      </c>
      <c r="B1" s="61"/>
      <c r="C1" s="61"/>
      <c r="D1" s="62" t="s">
        <v>50</v>
      </c>
      <c r="E1" s="62"/>
      <c r="F1" s="62"/>
      <c r="G1" s="60" t="s">
        <v>51</v>
      </c>
      <c r="H1" s="60"/>
      <c r="I1" s="60"/>
      <c r="J1" s="4"/>
      <c r="K1" s="4"/>
    </row>
    <row r="2" spans="1:12" ht="19.5" customHeight="1">
      <c r="A2" s="63" t="s">
        <v>2</v>
      </c>
      <c r="B2" s="63"/>
      <c r="C2" s="5">
        <f>SUM(C4:C98)</f>
        <v>54097.039000000004</v>
      </c>
      <c r="D2" s="5">
        <f>SUM(D4:D98)</f>
        <v>0</v>
      </c>
      <c r="E2" s="5">
        <f>C2-D2</f>
        <v>54097.039000000004</v>
      </c>
      <c r="F2" s="6">
        <f>IFERROR(E2/D2, 0)</f>
        <v>0</v>
      </c>
      <c r="G2" s="5">
        <f>SUM(G4:G98)</f>
        <v>0</v>
      </c>
      <c r="H2" s="7">
        <f>C2-G2</f>
        <v>54097.039000000004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75">
      <c r="A5" s="30" t="str">
        <v xml:space="preserve"> Apple Valley - Bank of America</v>
      </c>
      <c r="B5" s="31" t="str">
        <v>CA</v>
      </c>
      <c r="C5" s="11">
        <v>0</v>
      </c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15.75">
      <c r="A6" s="28" t="str">
        <v xml:space="preserve"> Arvin - Bank of America</v>
      </c>
      <c r="B6" s="29" t="str">
        <v>CA</v>
      </c>
      <c r="C6" s="24">
        <v>21.972999999999999</v>
      </c>
      <c r="D6" s="13">
        <v>0</v>
      </c>
      <c r="E6" s="13">
        <f t="shared" si="0"/>
        <v>21.972999999999999</v>
      </c>
      <c r="F6" s="14" t="str">
        <f t="shared" ref="F6:F17" si="3">IFERROR(E6/D6, "")</f>
        <v/>
      </c>
      <c r="G6" s="15">
        <v>0</v>
      </c>
      <c r="H6" s="15">
        <f t="shared" si="1"/>
        <v>21.972999999999999</v>
      </c>
      <c r="I6" s="16" t="str">
        <f t="shared" si="2"/>
        <v/>
      </c>
      <c r="J6" s="41" t="s">
        <v>52</v>
      </c>
      <c r="K6" s="41" t="s">
        <v>53</v>
      </c>
      <c r="L6" s="59"/>
    </row>
    <row r="7" spans="1:12" ht="15.75">
      <c r="A7" s="30" t="str">
        <v xml:space="preserve"> Bell - Bank of America</v>
      </c>
      <c r="B7" s="31" t="str">
        <v>CA</v>
      </c>
      <c r="C7" s="11">
        <v>1198.623</v>
      </c>
      <c r="D7" s="18">
        <v>0</v>
      </c>
      <c r="E7" s="18">
        <f t="shared" si="0"/>
        <v>1198.623</v>
      </c>
      <c r="F7" s="19" t="str">
        <f t="shared" si="3"/>
        <v/>
      </c>
      <c r="G7" s="20">
        <v>0</v>
      </c>
      <c r="H7" s="20">
        <f t="shared" si="1"/>
        <v>1198.623</v>
      </c>
      <c r="I7" s="19" t="str">
        <f t="shared" si="2"/>
        <v/>
      </c>
      <c r="J7" s="42" t="s">
        <v>54</v>
      </c>
      <c r="K7" s="43" t="s">
        <v>55</v>
      </c>
      <c r="L7" s="59"/>
    </row>
    <row r="8" spans="1:12" ht="15.75">
      <c r="A8" s="28" t="str">
        <v xml:space="preserve"> Chula Vista - Bank of America</v>
      </c>
      <c r="B8" s="29" t="str">
        <v>CA</v>
      </c>
      <c r="C8" s="24">
        <v>1452.3209999999999</v>
      </c>
      <c r="D8" s="13">
        <v>0</v>
      </c>
      <c r="E8" s="13">
        <f t="shared" si="0"/>
        <v>1452.3209999999999</v>
      </c>
      <c r="F8" s="14" t="str">
        <f t="shared" si="3"/>
        <v/>
      </c>
      <c r="G8" s="15">
        <v>0</v>
      </c>
      <c r="H8" s="15">
        <f t="shared" si="1"/>
        <v>1452.3209999999999</v>
      </c>
      <c r="I8" s="16" t="str">
        <f t="shared" si="2"/>
        <v/>
      </c>
      <c r="J8" s="41"/>
      <c r="K8" s="41"/>
      <c r="L8" s="59"/>
    </row>
    <row r="9" spans="1:12" ht="15.75">
      <c r="A9" s="30" t="str">
        <v xml:space="preserve"> Cupertino - Bank of America</v>
      </c>
      <c r="B9" s="31" t="str">
        <v>CA</v>
      </c>
      <c r="C9" s="11">
        <v>0</v>
      </c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15.75">
      <c r="A10" s="28" t="str">
        <v xml:space="preserve"> Diamond Bar - Bank of America</v>
      </c>
      <c r="B10" s="29" t="str">
        <v>CA</v>
      </c>
      <c r="C10" s="24">
        <v>2941.9870000000001</v>
      </c>
      <c r="D10" s="13">
        <v>0</v>
      </c>
      <c r="E10" s="13">
        <f t="shared" si="0"/>
        <v>2941.9870000000001</v>
      </c>
      <c r="F10" s="14" t="str">
        <f t="shared" si="3"/>
        <v/>
      </c>
      <c r="G10" s="15">
        <v>0</v>
      </c>
      <c r="H10" s="15">
        <f t="shared" si="1"/>
        <v>2941.9870000000001</v>
      </c>
      <c r="I10" s="16" t="str">
        <f t="shared" si="2"/>
        <v/>
      </c>
      <c r="J10" s="41"/>
      <c r="K10" s="41"/>
      <c r="L10" s="59"/>
    </row>
    <row r="11" spans="1:12" ht="15.75">
      <c r="A11" s="30" t="str">
        <v xml:space="preserve"> El Centro - Bank of America</v>
      </c>
      <c r="B11" s="31" t="str">
        <v>CA</v>
      </c>
      <c r="C11" s="11">
        <v>0</v>
      </c>
      <c r="D11" s="18">
        <v>0</v>
      </c>
      <c r="E11" s="18">
        <f t="shared" si="0"/>
        <v>0</v>
      </c>
      <c r="F11" s="19" t="str">
        <f t="shared" si="3"/>
        <v/>
      </c>
      <c r="G11" s="20">
        <v>0</v>
      </c>
      <c r="H11" s="20">
        <f t="shared" si="1"/>
        <v>0</v>
      </c>
      <c r="I11" s="19" t="str">
        <f t="shared" si="2"/>
        <v/>
      </c>
      <c r="J11" s="42"/>
      <c r="K11" s="43"/>
      <c r="L11" s="59"/>
    </row>
    <row r="12" spans="1:12" ht="15.75">
      <c r="A12" s="28" t="str">
        <v xml:space="preserve"> Moreno Valley - Bank of America</v>
      </c>
      <c r="B12" s="29" t="str">
        <v>CA</v>
      </c>
      <c r="C12" s="24">
        <v>4958.2939999999999</v>
      </c>
      <c r="D12" s="13">
        <v>0</v>
      </c>
      <c r="E12" s="13">
        <f t="shared" si="0"/>
        <v>4958.2939999999999</v>
      </c>
      <c r="F12" s="14" t="str">
        <f t="shared" si="3"/>
        <v/>
      </c>
      <c r="G12" s="15">
        <v>0</v>
      </c>
      <c r="H12" s="15">
        <f t="shared" si="1"/>
        <v>4958.2939999999999</v>
      </c>
      <c r="I12" s="16" t="str">
        <f t="shared" si="2"/>
        <v/>
      </c>
      <c r="J12" s="41" t="s">
        <v>30</v>
      </c>
      <c r="K12" s="41" t="s">
        <v>31</v>
      </c>
      <c r="L12" s="59"/>
    </row>
    <row r="13" spans="1:12" ht="15.75">
      <c r="A13" s="30" t="str">
        <v xml:space="preserve"> Redlands - Bank of America</v>
      </c>
      <c r="B13" s="31" t="str">
        <v>CA</v>
      </c>
      <c r="C13" s="11">
        <v>0</v>
      </c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75">
      <c r="A14" s="28" t="str">
        <v xml:space="preserve"> Roseville - Bank of America</v>
      </c>
      <c r="B14" s="29" t="str">
        <v>CA</v>
      </c>
      <c r="C14" s="24">
        <v>9427.4009999999998</v>
      </c>
      <c r="D14" s="13">
        <v>0</v>
      </c>
      <c r="E14" s="13">
        <f t="shared" si="0"/>
        <v>9427.4009999999998</v>
      </c>
      <c r="F14" s="14" t="str">
        <f t="shared" si="3"/>
        <v/>
      </c>
      <c r="G14" s="15">
        <v>0</v>
      </c>
      <c r="H14" s="15">
        <f t="shared" si="1"/>
        <v>9427.4009999999998</v>
      </c>
      <c r="I14" s="16" t="str">
        <f t="shared" si="2"/>
        <v/>
      </c>
      <c r="J14" s="41"/>
      <c r="K14" s="41"/>
      <c r="L14" s="59"/>
    </row>
    <row r="15" spans="1:12" ht="15.75">
      <c r="A15" s="30" t="str">
        <v xml:space="preserve"> San Bernardino - Bank of America</v>
      </c>
      <c r="B15" s="31" t="str">
        <v>CA</v>
      </c>
      <c r="C15" s="11">
        <v>133.09200000000001</v>
      </c>
      <c r="D15" s="18">
        <v>0</v>
      </c>
      <c r="E15" s="18">
        <f t="shared" si="0"/>
        <v>133.09200000000001</v>
      </c>
      <c r="F15" s="19" t="str">
        <f t="shared" si="3"/>
        <v/>
      </c>
      <c r="G15" s="20">
        <v>0</v>
      </c>
      <c r="H15" s="20">
        <f t="shared" si="1"/>
        <v>133.09200000000001</v>
      </c>
      <c r="I15" s="19" t="str">
        <f t="shared" si="2"/>
        <v/>
      </c>
      <c r="J15" s="42"/>
      <c r="K15" s="43"/>
      <c r="L15" s="59"/>
    </row>
    <row r="16" spans="1:12" ht="15.75">
      <c r="A16" s="28" t="str">
        <v xml:space="preserve"> San Diego - Bank of America</v>
      </c>
      <c r="B16" s="29" t="str">
        <v>CA</v>
      </c>
      <c r="C16" s="24">
        <v>125.218</v>
      </c>
      <c r="D16" s="13">
        <v>0</v>
      </c>
      <c r="E16" s="13">
        <f t="shared" si="0"/>
        <v>125.218</v>
      </c>
      <c r="F16" s="14" t="str">
        <f t="shared" si="3"/>
        <v/>
      </c>
      <c r="G16" s="15">
        <v>0</v>
      </c>
      <c r="H16" s="15">
        <f t="shared" si="1"/>
        <v>125.218</v>
      </c>
      <c r="I16" s="16" t="str">
        <f t="shared" si="2"/>
        <v/>
      </c>
      <c r="J16" s="41"/>
      <c r="K16" s="41"/>
      <c r="L16" s="59"/>
    </row>
    <row r="17" spans="1:12" ht="15.75">
      <c r="A17" s="30" t="str">
        <v xml:space="preserve"> Stockton - Bank of America</v>
      </c>
      <c r="B17" s="31" t="str">
        <v>CA</v>
      </c>
      <c r="C17" s="11">
        <v>3031.547</v>
      </c>
      <c r="D17" s="18">
        <v>0</v>
      </c>
      <c r="E17" s="18">
        <f t="shared" si="0"/>
        <v>3031.547</v>
      </c>
      <c r="F17" s="19" t="str">
        <f t="shared" si="3"/>
        <v/>
      </c>
      <c r="G17" s="20">
        <v>0</v>
      </c>
      <c r="H17" s="20">
        <f t="shared" si="1"/>
        <v>3031.547</v>
      </c>
      <c r="I17" s="19" t="str">
        <f t="shared" si="2"/>
        <v/>
      </c>
      <c r="J17" s="42"/>
      <c r="K17" s="43"/>
      <c r="L17" s="59"/>
    </row>
    <row r="18" spans="1:12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75">
      <c r="A19" s="30" t="str">
        <v xml:space="preserve"> Aurora - BA - Colfax Ave</v>
      </c>
      <c r="B19" s="31" t="str">
        <v>CO</v>
      </c>
      <c r="C19" s="11">
        <v>1388.135</v>
      </c>
      <c r="D19" s="18">
        <v>0</v>
      </c>
      <c r="E19" s="18">
        <f t="shared" si="4"/>
        <v>1388.135</v>
      </c>
      <c r="F19" s="19" t="str">
        <f t="shared" si="5"/>
        <v/>
      </c>
      <c r="G19" s="20">
        <v>0</v>
      </c>
      <c r="H19" s="20">
        <f t="shared" si="6"/>
        <v>1388.135</v>
      </c>
      <c r="I19" s="19" t="str">
        <f t="shared" si="7"/>
        <v/>
      </c>
      <c r="J19" s="42" t="s">
        <v>32</v>
      </c>
      <c r="K19" s="43" t="s">
        <v>33</v>
      </c>
      <c r="L19" s="59"/>
    </row>
    <row r="20" spans="1:12" ht="15.75">
      <c r="A20" s="28" t="str">
        <v xml:space="preserve"> Aurora - BA - Parker Rd</v>
      </c>
      <c r="B20" s="29" t="str">
        <v>CO</v>
      </c>
      <c r="C20" s="24">
        <v>4257.4769999999999</v>
      </c>
      <c r="D20" s="13">
        <v>0</v>
      </c>
      <c r="E20" s="13">
        <f t="shared" si="4"/>
        <v>4257.4769999999999</v>
      </c>
      <c r="F20" s="14" t="str">
        <f t="shared" si="5"/>
        <v/>
      </c>
      <c r="G20" s="15">
        <v>0</v>
      </c>
      <c r="H20" s="15">
        <f t="shared" si="6"/>
        <v>4257.4769999999999</v>
      </c>
      <c r="I20" s="16" t="str">
        <f t="shared" si="7"/>
        <v/>
      </c>
      <c r="J20" s="41"/>
      <c r="K20" s="41"/>
      <c r="L20" s="59"/>
    </row>
    <row r="21" spans="1:12" ht="15.75">
      <c r="A21" s="30" t="str">
        <v xml:space="preserve"> Broomfield - Bank of America</v>
      </c>
      <c r="B21" s="31" t="str">
        <v>CO</v>
      </c>
      <c r="C21" s="11">
        <v>1731.8489999999999</v>
      </c>
      <c r="D21" s="18">
        <v>0</v>
      </c>
      <c r="E21" s="18">
        <f t="shared" si="4"/>
        <v>1731.8489999999999</v>
      </c>
      <c r="F21" s="19" t="str">
        <f t="shared" si="5"/>
        <v/>
      </c>
      <c r="G21" s="20">
        <v>0</v>
      </c>
      <c r="H21" s="20">
        <f t="shared" si="6"/>
        <v>1731.8489999999999</v>
      </c>
      <c r="I21" s="19" t="str">
        <f t="shared" si="7"/>
        <v/>
      </c>
      <c r="J21" s="42" t="s">
        <v>56</v>
      </c>
      <c r="K21" s="43" t="s">
        <v>57</v>
      </c>
      <c r="L21" s="59"/>
    </row>
    <row r="22" spans="1:12" ht="15.75">
      <c r="A22" s="28" t="str">
        <v xml:space="preserve"> Colorado Springs - Bank of America</v>
      </c>
      <c r="B22" s="29" t="str">
        <v>CO</v>
      </c>
      <c r="C22" s="24">
        <v>3258.2260000000001</v>
      </c>
      <c r="D22" s="13">
        <v>0</v>
      </c>
      <c r="E22" s="13">
        <f t="shared" si="4"/>
        <v>3258.2260000000001</v>
      </c>
      <c r="F22" s="14" t="str">
        <f t="shared" si="5"/>
        <v/>
      </c>
      <c r="G22" s="15">
        <v>0</v>
      </c>
      <c r="H22" s="15">
        <f t="shared" si="6"/>
        <v>3258.2260000000001</v>
      </c>
      <c r="I22" s="16" t="str">
        <f t="shared" si="7"/>
        <v/>
      </c>
      <c r="J22" s="41"/>
      <c r="K22" s="41"/>
      <c r="L22" s="59"/>
    </row>
    <row r="23" spans="1:12" ht="15.75">
      <c r="A23" s="30" t="str">
        <v xml:space="preserve"> Denver - BA - 49th Ave</v>
      </c>
      <c r="B23" s="31" t="str">
        <v>CO</v>
      </c>
      <c r="C23" s="11">
        <v>0</v>
      </c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75">
      <c r="A24" s="28" t="str">
        <v xml:space="preserve"> Denver - BA Wadsworth Blvd</v>
      </c>
      <c r="B24" s="29" t="str">
        <v>CO</v>
      </c>
      <c r="C24" s="24">
        <v>2897.3</v>
      </c>
      <c r="D24" s="13">
        <v>0</v>
      </c>
      <c r="E24" s="13">
        <f t="shared" si="4"/>
        <v>2897.3</v>
      </c>
      <c r="F24" s="14" t="str">
        <f t="shared" si="5"/>
        <v/>
      </c>
      <c r="G24" s="15">
        <v>0</v>
      </c>
      <c r="H24" s="15">
        <f t="shared" si="6"/>
        <v>2897.3</v>
      </c>
      <c r="I24" s="16" t="str">
        <f t="shared" si="7"/>
        <v/>
      </c>
      <c r="J24" s="41"/>
      <c r="K24" s="41"/>
      <c r="L24" s="59"/>
    </row>
    <row r="25" spans="1:12" ht="15.75">
      <c r="A25" s="30" t="str">
        <v xml:space="preserve"> Fort Collins - Bank of America</v>
      </c>
      <c r="B25" s="31" t="str">
        <v>CO</v>
      </c>
      <c r="C25" s="11">
        <v>1800.01</v>
      </c>
      <c r="D25" s="18">
        <v>0</v>
      </c>
      <c r="E25" s="18">
        <f t="shared" si="4"/>
        <v>1800.01</v>
      </c>
      <c r="F25" s="19" t="str">
        <f t="shared" si="5"/>
        <v/>
      </c>
      <c r="G25" s="20">
        <v>0</v>
      </c>
      <c r="H25" s="20">
        <f t="shared" si="6"/>
        <v>1800.01</v>
      </c>
      <c r="I25" s="19" t="str">
        <f t="shared" si="7"/>
        <v/>
      </c>
      <c r="J25" s="42" t="s">
        <v>58</v>
      </c>
      <c r="K25" s="43" t="s">
        <v>39</v>
      </c>
      <c r="L25" s="59"/>
    </row>
    <row r="26" spans="1:12" ht="15.75">
      <c r="A26" s="28" t="str">
        <v xml:space="preserve"> Lafayette - Bank of America</v>
      </c>
      <c r="B26" s="29" t="str">
        <v>CO</v>
      </c>
      <c r="C26" s="24">
        <v>2171.0839999999998</v>
      </c>
      <c r="D26" s="13">
        <v>0</v>
      </c>
      <c r="E26" s="13">
        <f t="shared" si="4"/>
        <v>2171.0839999999998</v>
      </c>
      <c r="F26" s="14" t="str">
        <f t="shared" si="5"/>
        <v/>
      </c>
      <c r="G26" s="15">
        <v>0</v>
      </c>
      <c r="H26" s="15">
        <f t="shared" si="6"/>
        <v>2171.0839999999998</v>
      </c>
      <c r="I26" s="16" t="str">
        <f t="shared" si="7"/>
        <v/>
      </c>
      <c r="J26" s="41"/>
      <c r="K26" s="41"/>
      <c r="L26" s="59"/>
    </row>
    <row r="27" spans="1:12" ht="15.75">
      <c r="A27" s="30" t="str">
        <v xml:space="preserve"> Lakewood - Bank of America</v>
      </c>
      <c r="B27" s="31" t="str">
        <v>CO</v>
      </c>
      <c r="C27" s="11">
        <v>1328.74</v>
      </c>
      <c r="D27" s="18">
        <v>0</v>
      </c>
      <c r="E27" s="18">
        <f t="shared" si="4"/>
        <v>1328.74</v>
      </c>
      <c r="F27" s="19" t="str">
        <f t="shared" si="5"/>
        <v/>
      </c>
      <c r="G27" s="20">
        <v>0</v>
      </c>
      <c r="H27" s="20">
        <f t="shared" si="6"/>
        <v>1328.74</v>
      </c>
      <c r="I27" s="19" t="str">
        <f t="shared" si="7"/>
        <v/>
      </c>
      <c r="J27" s="42" t="s">
        <v>40</v>
      </c>
      <c r="K27" s="43" t="s">
        <v>41</v>
      </c>
      <c r="L27" s="59"/>
    </row>
    <row r="28" spans="1:12" ht="15.75">
      <c r="A28" s="28" t="str">
        <v xml:space="preserve"> Longmont - Bank of America</v>
      </c>
      <c r="B28" s="29" t="str">
        <v>CO</v>
      </c>
      <c r="C28" s="24">
        <v>1464.895</v>
      </c>
      <c r="D28" s="13">
        <v>0</v>
      </c>
      <c r="E28" s="13">
        <f t="shared" si="4"/>
        <v>1464.895</v>
      </c>
      <c r="F28" s="14" t="str">
        <f t="shared" si="5"/>
        <v/>
      </c>
      <c r="G28" s="15">
        <v>0</v>
      </c>
      <c r="H28" s="15">
        <f t="shared" si="6"/>
        <v>1464.895</v>
      </c>
      <c r="I28" s="16" t="str">
        <f t="shared" si="7"/>
        <v/>
      </c>
      <c r="J28" s="41"/>
      <c r="K28" s="41"/>
      <c r="L28" s="59"/>
    </row>
    <row r="29" spans="1:12" ht="57">
      <c r="A29" s="30" t="str">
        <v xml:space="preserve"> Thornton - Bank of America</v>
      </c>
      <c r="B29" s="31" t="str">
        <v>CO</v>
      </c>
      <c r="C29" s="11">
        <v>146.17500000000001</v>
      </c>
      <c r="D29" s="18">
        <v>0</v>
      </c>
      <c r="E29" s="18">
        <f t="shared" si="4"/>
        <v>146.17500000000001</v>
      </c>
      <c r="F29" s="19" t="str">
        <f t="shared" si="5"/>
        <v/>
      </c>
      <c r="G29" s="20">
        <v>0</v>
      </c>
      <c r="H29" s="20">
        <f t="shared" si="6"/>
        <v>146.17500000000001</v>
      </c>
      <c r="I29" s="19" t="str">
        <f t="shared" si="7"/>
        <v/>
      </c>
      <c r="J29" s="42" t="s">
        <v>42</v>
      </c>
      <c r="K29" s="56" t="s">
        <v>59</v>
      </c>
      <c r="L29" s="59"/>
    </row>
    <row r="30" spans="1:12" ht="15.75">
      <c r="A30" s="28" t="str">
        <v xml:space="preserve"> Calumet City - Bank of America</v>
      </c>
      <c r="B30" s="29" t="str">
        <v>IL</v>
      </c>
      <c r="C30" s="24">
        <v>1093.383</v>
      </c>
      <c r="D30" s="13">
        <v>0</v>
      </c>
      <c r="E30" s="13">
        <f t="shared" si="4"/>
        <v>1093.383</v>
      </c>
      <c r="F30" s="14" t="str">
        <f t="shared" si="5"/>
        <v/>
      </c>
      <c r="G30" s="15">
        <v>0</v>
      </c>
      <c r="H30" s="15">
        <f t="shared" si="6"/>
        <v>1093.383</v>
      </c>
      <c r="I30" s="16" t="str">
        <f t="shared" si="7"/>
        <v/>
      </c>
      <c r="J30" s="41"/>
      <c r="K30" s="41"/>
      <c r="L30" s="59"/>
    </row>
    <row r="31" spans="1:12" ht="28.5">
      <c r="A31" s="30" t="str">
        <v xml:space="preserve"> Downers Grove - Bank of America</v>
      </c>
      <c r="B31" s="31" t="str">
        <v>IL</v>
      </c>
      <c r="C31" s="11">
        <v>3287.0729999999999</v>
      </c>
      <c r="D31" s="18">
        <v>0</v>
      </c>
      <c r="E31" s="18">
        <f t="shared" si="4"/>
        <v>3287.0729999999999</v>
      </c>
      <c r="F31" s="19" t="str">
        <f t="shared" si="5"/>
        <v/>
      </c>
      <c r="G31" s="20">
        <v>0</v>
      </c>
      <c r="H31" s="20">
        <f t="shared" si="6"/>
        <v>3287.0729999999999</v>
      </c>
      <c r="I31" s="19" t="str">
        <f t="shared" si="7"/>
        <v/>
      </c>
      <c r="J31" s="42" t="s">
        <v>60</v>
      </c>
      <c r="K31" s="43" t="s">
        <v>61</v>
      </c>
      <c r="L31" s="59"/>
    </row>
    <row r="32" spans="1:12" ht="15.75">
      <c r="A32" s="28" t="str">
        <v xml:space="preserve"> Bloomington - Bank of America</v>
      </c>
      <c r="B32" s="29" t="str">
        <v>MN</v>
      </c>
      <c r="C32" s="24">
        <v>0</v>
      </c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15.75">
      <c r="A33" s="30" t="str">
        <v xml:space="preserve"> Clayton - Bank of America</v>
      </c>
      <c r="B33" s="31" t="str">
        <v>MO</v>
      </c>
      <c r="C33" s="11">
        <v>2481.1179999999999</v>
      </c>
      <c r="D33" s="18">
        <v>0</v>
      </c>
      <c r="E33" s="18">
        <f t="shared" si="4"/>
        <v>2481.1179999999999</v>
      </c>
      <c r="F33" s="19" t="str">
        <f t="shared" si="5"/>
        <v/>
      </c>
      <c r="G33" s="20">
        <v>0</v>
      </c>
      <c r="H33" s="20">
        <f t="shared" si="6"/>
        <v>2481.1179999999999</v>
      </c>
      <c r="I33" s="19" t="str">
        <f t="shared" si="7"/>
        <v/>
      </c>
      <c r="J33" s="42"/>
      <c r="K33" s="43"/>
      <c r="L33" s="59"/>
    </row>
    <row r="34" spans="1:12" ht="15.75">
      <c r="A34" s="28" t="str">
        <v xml:space="preserve"> Manchester - Bank of America</v>
      </c>
      <c r="B34" s="29" t="str">
        <v>MO</v>
      </c>
      <c r="C34" s="24">
        <v>0</v>
      </c>
      <c r="D34" s="13">
        <v>0</v>
      </c>
      <c r="E34" s="13">
        <f t="shared" si="4"/>
        <v>0</v>
      </c>
      <c r="F34" s="14" t="str">
        <f t="shared" si="5"/>
        <v/>
      </c>
      <c r="G34" s="15">
        <v>0</v>
      </c>
      <c r="H34" s="15">
        <f t="shared" si="6"/>
        <v>0</v>
      </c>
      <c r="I34" s="16" t="str">
        <f t="shared" si="7"/>
        <v/>
      </c>
      <c r="J34" s="41" t="s">
        <v>46</v>
      </c>
      <c r="K34" s="41" t="s">
        <v>47</v>
      </c>
      <c r="L34" s="59"/>
    </row>
    <row r="35" spans="1:12" ht="15.75">
      <c r="A35" s="30" t="str">
        <v xml:space="preserve"> Las Vegas - BA - Eastern Ave</v>
      </c>
      <c r="B35" s="31" t="str">
        <v>NV</v>
      </c>
      <c r="C35" s="11">
        <v>21.916</v>
      </c>
      <c r="D35" s="18">
        <v>0</v>
      </c>
      <c r="E35" s="18">
        <f t="shared" si="4"/>
        <v>21.916</v>
      </c>
      <c r="F35" s="19" t="str">
        <f t="shared" si="5"/>
        <v/>
      </c>
      <c r="G35" s="20">
        <v>0</v>
      </c>
      <c r="H35" s="20">
        <f t="shared" si="6"/>
        <v>21.916</v>
      </c>
      <c r="I35" s="19" t="str">
        <f t="shared" si="7"/>
        <v/>
      </c>
      <c r="J35" s="42" t="s">
        <v>62</v>
      </c>
      <c r="K35" s="43" t="s">
        <v>49</v>
      </c>
      <c r="L35" s="59"/>
    </row>
    <row r="36" spans="1:12" ht="15.75">
      <c r="A36" s="28" t="str">
        <v xml:space="preserve"> Las Vegas - BA - Town Ctr Dr</v>
      </c>
      <c r="B36" s="29" t="str">
        <v>NV</v>
      </c>
      <c r="C36" s="24">
        <v>0</v>
      </c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75">
      <c r="A37" s="30" t="str">
        <v xml:space="preserve"> Riverton - Bank of America</v>
      </c>
      <c r="B37" s="31" t="str">
        <v>UT</v>
      </c>
      <c r="C37" s="11">
        <v>2912.8490000000002</v>
      </c>
      <c r="D37" s="18">
        <v>0</v>
      </c>
      <c r="E37" s="18">
        <f t="shared" si="4"/>
        <v>2912.8490000000002</v>
      </c>
      <c r="F37" s="19" t="str">
        <f t="shared" si="5"/>
        <v/>
      </c>
      <c r="G37" s="20">
        <v>0</v>
      </c>
      <c r="H37" s="20">
        <f t="shared" si="6"/>
        <v>2912.8490000000002</v>
      </c>
      <c r="I37" s="19" t="str">
        <f t="shared" si="7"/>
        <v/>
      </c>
      <c r="J37" s="42"/>
      <c r="K37" s="43"/>
      <c r="L37" s="59"/>
    </row>
    <row r="38" spans="1:12" ht="15.75">
      <c r="A38" s="28" t="str">
        <v xml:space="preserve"> Salt Lake City - Bank of America</v>
      </c>
      <c r="B38" s="29" t="str">
        <v>UT</v>
      </c>
      <c r="C38" s="24">
        <v>566.35299999999995</v>
      </c>
      <c r="D38" s="13">
        <v>0</v>
      </c>
      <c r="E38" s="13">
        <f t="shared" si="4"/>
        <v>566.35299999999995</v>
      </c>
      <c r="F38" s="14" t="str">
        <f t="shared" si="5"/>
        <v/>
      </c>
      <c r="G38" s="15">
        <v>0</v>
      </c>
      <c r="H38" s="15">
        <f t="shared" si="6"/>
        <v>566.35299999999995</v>
      </c>
      <c r="I38" s="16" t="str">
        <f t="shared" si="7"/>
        <v/>
      </c>
      <c r="J38" s="41"/>
      <c r="K38" s="41"/>
      <c r="L38" s="59"/>
    </row>
    <row r="39" spans="1:12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tabSelected="1" zoomScale="80" zoomScaleNormal="80" workbookViewId="0">
      <pane xSplit="2" ySplit="3" topLeftCell="C4" activePane="bottomRight" state="frozen"/>
      <selection pane="bottomRight" activeCell="C13" sqref="C13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1" t="str" cm="1">
        <f t="array" ref="A1">portfolio</f>
        <v>Cushman &amp; Wakefield</v>
      </c>
      <c r="B1" s="61"/>
      <c r="C1" s="61"/>
      <c r="D1" s="62" t="s">
        <v>63</v>
      </c>
      <c r="E1" s="62"/>
      <c r="F1" s="62"/>
      <c r="G1" s="60" t="s">
        <v>64</v>
      </c>
      <c r="H1" s="60"/>
      <c r="I1" s="60"/>
      <c r="J1" s="4"/>
      <c r="K1" s="4"/>
    </row>
    <row r="2" spans="1:12" ht="19.5" customHeight="1">
      <c r="A2" s="63" t="s">
        <v>2</v>
      </c>
      <c r="B2" s="63"/>
      <c r="C2" s="5">
        <f>SUM(C4:C98)</f>
        <v>55315.689999999995</v>
      </c>
      <c r="D2" s="5">
        <f>SUM(D4:D98)</f>
        <v>0</v>
      </c>
      <c r="E2" s="5">
        <f>C2-D2</f>
        <v>55315.689999999995</v>
      </c>
      <c r="F2" s="6">
        <f>IFERROR(E2/D2, 0)</f>
        <v>0</v>
      </c>
      <c r="G2" s="5">
        <f>SUM(G4:G98)</f>
        <v>0</v>
      </c>
      <c r="H2" s="7">
        <f>C2-G2</f>
        <v>55315.689999999995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75">
      <c r="A5" s="30" t="str">
        <v xml:space="preserve"> Apple Valley - Bank of America</v>
      </c>
      <c r="B5" s="31" t="str">
        <v>CA</v>
      </c>
      <c r="C5" s="11">
        <v>0</v>
      </c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15.75">
      <c r="A6" s="28" t="str">
        <v xml:space="preserve"> Arvin - Bank of America</v>
      </c>
      <c r="B6" s="29" t="str">
        <v>CA</v>
      </c>
      <c r="C6" s="24">
        <v>0</v>
      </c>
      <c r="D6" s="13">
        <v>0</v>
      </c>
      <c r="E6" s="13">
        <f t="shared" si="0"/>
        <v>0</v>
      </c>
      <c r="F6" s="14" t="str">
        <f t="shared" ref="F6:F17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41" t="s">
        <v>52</v>
      </c>
      <c r="K6" s="41" t="s">
        <v>53</v>
      </c>
      <c r="L6" s="59"/>
    </row>
    <row r="7" spans="1:12" ht="15.75">
      <c r="A7" s="30" t="str">
        <v xml:space="preserve"> Bell - Bank of America</v>
      </c>
      <c r="B7" s="31" t="str">
        <v>CA</v>
      </c>
      <c r="C7" s="11">
        <v>1265.3399999999999</v>
      </c>
      <c r="D7" s="18">
        <v>0</v>
      </c>
      <c r="E7" s="18">
        <f t="shared" si="0"/>
        <v>1265.3399999999999</v>
      </c>
      <c r="F7" s="19" t="str">
        <f t="shared" si="3"/>
        <v/>
      </c>
      <c r="G7" s="20">
        <v>0</v>
      </c>
      <c r="H7" s="20">
        <f t="shared" si="1"/>
        <v>1265.3399999999999</v>
      </c>
      <c r="I7" s="19" t="str">
        <f t="shared" si="2"/>
        <v/>
      </c>
      <c r="J7" s="42" t="s">
        <v>54</v>
      </c>
      <c r="K7" s="43" t="s">
        <v>65</v>
      </c>
      <c r="L7" s="59"/>
    </row>
    <row r="8" spans="1:12" ht="15.75">
      <c r="A8" s="28" t="str">
        <v xml:space="preserve"> Chula Vista - Bank of America</v>
      </c>
      <c r="B8" s="29" t="str">
        <v>CA</v>
      </c>
      <c r="C8" s="24">
        <v>1381.9549999999999</v>
      </c>
      <c r="D8" s="13">
        <v>0</v>
      </c>
      <c r="E8" s="13">
        <f t="shared" si="0"/>
        <v>1381.9549999999999</v>
      </c>
      <c r="F8" s="14" t="str">
        <f t="shared" si="3"/>
        <v/>
      </c>
      <c r="G8" s="15">
        <v>0</v>
      </c>
      <c r="H8" s="15">
        <f t="shared" si="1"/>
        <v>1381.9549999999999</v>
      </c>
      <c r="I8" s="16" t="str">
        <f t="shared" si="2"/>
        <v/>
      </c>
      <c r="J8" s="41"/>
      <c r="K8" s="41"/>
      <c r="L8" s="59"/>
    </row>
    <row r="9" spans="1:12" ht="15.75">
      <c r="A9" s="30" t="str">
        <v xml:space="preserve"> Cupertino - Bank of America</v>
      </c>
      <c r="B9" s="31" t="str">
        <v>CA</v>
      </c>
      <c r="C9" s="11">
        <v>0</v>
      </c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15.75">
      <c r="A10" s="28" t="str">
        <v xml:space="preserve"> Diamond Bar - Bank of America</v>
      </c>
      <c r="B10" s="29" t="str">
        <v>CA</v>
      </c>
      <c r="C10" s="24">
        <v>3397.87</v>
      </c>
      <c r="D10" s="13">
        <v>0</v>
      </c>
      <c r="E10" s="13">
        <f t="shared" si="0"/>
        <v>3397.87</v>
      </c>
      <c r="F10" s="14" t="str">
        <f t="shared" si="3"/>
        <v/>
      </c>
      <c r="G10" s="15">
        <v>0</v>
      </c>
      <c r="H10" s="15">
        <f t="shared" si="1"/>
        <v>3397.87</v>
      </c>
      <c r="I10" s="16" t="str">
        <f t="shared" si="2"/>
        <v/>
      </c>
      <c r="J10" s="41"/>
      <c r="K10" s="41"/>
      <c r="L10" s="59"/>
    </row>
    <row r="11" spans="1:12" ht="15.75">
      <c r="A11" s="30" t="str">
        <v xml:space="preserve"> El Centro - Bank of America</v>
      </c>
      <c r="B11" s="31" t="str">
        <v>CA</v>
      </c>
      <c r="C11" s="11">
        <v>0</v>
      </c>
      <c r="D11" s="18">
        <v>0</v>
      </c>
      <c r="E11" s="18">
        <f t="shared" si="0"/>
        <v>0</v>
      </c>
      <c r="F11" s="19" t="str">
        <f t="shared" si="3"/>
        <v/>
      </c>
      <c r="G11" s="20">
        <v>0</v>
      </c>
      <c r="H11" s="20">
        <f t="shared" si="1"/>
        <v>0</v>
      </c>
      <c r="I11" s="19" t="str">
        <f t="shared" si="2"/>
        <v/>
      </c>
      <c r="J11" s="42"/>
      <c r="K11" s="43"/>
      <c r="L11" s="59"/>
    </row>
    <row r="12" spans="1:12" ht="15.75">
      <c r="A12" s="28" t="str">
        <v xml:space="preserve"> Moreno Valley - Bank of America</v>
      </c>
      <c r="B12" s="29" t="str">
        <v>CA</v>
      </c>
      <c r="C12" s="24">
        <v>4732.0010000000002</v>
      </c>
      <c r="D12" s="13">
        <v>0</v>
      </c>
      <c r="E12" s="13">
        <f t="shared" si="0"/>
        <v>4732.0010000000002</v>
      </c>
      <c r="F12" s="14" t="str">
        <f t="shared" si="3"/>
        <v/>
      </c>
      <c r="G12" s="15">
        <v>0</v>
      </c>
      <c r="H12" s="15">
        <f t="shared" si="1"/>
        <v>4732.0010000000002</v>
      </c>
      <c r="I12" s="16" t="str">
        <f t="shared" si="2"/>
        <v/>
      </c>
      <c r="J12" s="41" t="s">
        <v>66</v>
      </c>
      <c r="K12" s="41" t="s">
        <v>31</v>
      </c>
      <c r="L12" s="59"/>
    </row>
    <row r="13" spans="1:12" ht="15.75">
      <c r="A13" s="30" t="str">
        <v xml:space="preserve"> Redlands - Bank of America</v>
      </c>
      <c r="B13" s="31" t="str">
        <v>CA</v>
      </c>
      <c r="C13" s="11">
        <v>0</v>
      </c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75">
      <c r="A14" s="28" t="str">
        <v xml:space="preserve"> Roseville - Bank of America</v>
      </c>
      <c r="B14" s="29" t="str">
        <v>CA</v>
      </c>
      <c r="C14" s="24">
        <v>9313.7569999999996</v>
      </c>
      <c r="D14" s="13">
        <v>0</v>
      </c>
      <c r="E14" s="13">
        <f t="shared" si="0"/>
        <v>9313.7569999999996</v>
      </c>
      <c r="F14" s="14" t="str">
        <f t="shared" si="3"/>
        <v/>
      </c>
      <c r="G14" s="15">
        <v>0</v>
      </c>
      <c r="H14" s="15">
        <f t="shared" si="1"/>
        <v>9313.7569999999996</v>
      </c>
      <c r="I14" s="16" t="str">
        <f t="shared" si="2"/>
        <v/>
      </c>
      <c r="J14" s="41"/>
      <c r="K14" s="41"/>
      <c r="L14" s="59"/>
    </row>
    <row r="15" spans="1:12" ht="49.5" customHeight="1">
      <c r="A15" s="30" t="str">
        <v xml:space="preserve"> San Bernardino - Bank of America</v>
      </c>
      <c r="B15" s="31" t="str">
        <v>CA</v>
      </c>
      <c r="C15" s="11">
        <v>89.069000000000003</v>
      </c>
      <c r="D15" s="18">
        <v>0</v>
      </c>
      <c r="E15" s="18">
        <f t="shared" si="0"/>
        <v>89.069000000000003</v>
      </c>
      <c r="F15" s="19" t="str">
        <f t="shared" si="3"/>
        <v/>
      </c>
      <c r="G15" s="20">
        <v>0</v>
      </c>
      <c r="H15" s="20">
        <f t="shared" si="1"/>
        <v>89.069000000000003</v>
      </c>
      <c r="I15" s="19" t="str">
        <f t="shared" si="2"/>
        <v/>
      </c>
      <c r="J15" s="42" t="s">
        <v>67</v>
      </c>
      <c r="K15" s="43" t="s">
        <v>68</v>
      </c>
      <c r="L15" s="59"/>
    </row>
    <row r="16" spans="1:12" ht="15.75">
      <c r="A16" s="28" t="str">
        <v xml:space="preserve"> San Diego - Bank of America</v>
      </c>
      <c r="B16" s="29" t="str">
        <v>CA</v>
      </c>
      <c r="C16" s="24">
        <v>142.08600000000001</v>
      </c>
      <c r="D16" s="13">
        <v>0</v>
      </c>
      <c r="E16" s="13">
        <f t="shared" si="0"/>
        <v>142.08600000000001</v>
      </c>
      <c r="F16" s="14" t="str">
        <f t="shared" si="3"/>
        <v/>
      </c>
      <c r="G16" s="15">
        <v>0</v>
      </c>
      <c r="H16" s="15">
        <f t="shared" si="1"/>
        <v>142.08600000000001</v>
      </c>
      <c r="I16" s="16" t="str">
        <f t="shared" si="2"/>
        <v/>
      </c>
      <c r="J16" s="41"/>
      <c r="K16" s="41"/>
      <c r="L16" s="59"/>
    </row>
    <row r="17" spans="1:12" ht="15.75">
      <c r="A17" s="30" t="str">
        <v xml:space="preserve"> Stockton - Bank of America</v>
      </c>
      <c r="B17" s="31" t="str">
        <v>CA</v>
      </c>
      <c r="C17" s="11">
        <v>2993.585</v>
      </c>
      <c r="D17" s="18">
        <v>0</v>
      </c>
      <c r="E17" s="18">
        <f t="shared" si="0"/>
        <v>2993.585</v>
      </c>
      <c r="F17" s="19" t="str">
        <f t="shared" si="3"/>
        <v/>
      </c>
      <c r="G17" s="20">
        <v>0</v>
      </c>
      <c r="H17" s="20">
        <f t="shared" si="1"/>
        <v>2993.585</v>
      </c>
      <c r="I17" s="19" t="str">
        <f t="shared" si="2"/>
        <v/>
      </c>
      <c r="J17" s="42"/>
      <c r="K17" s="43"/>
      <c r="L17" s="59"/>
    </row>
    <row r="18" spans="1:12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75">
      <c r="A19" s="30" t="str">
        <v xml:space="preserve"> Aurora - BA - Colfax Ave</v>
      </c>
      <c r="B19" s="31" t="str">
        <v>CO</v>
      </c>
      <c r="C19" s="11">
        <v>1415.6790000000001</v>
      </c>
      <c r="D19" s="18">
        <v>0</v>
      </c>
      <c r="E19" s="18">
        <f t="shared" si="4"/>
        <v>1415.6790000000001</v>
      </c>
      <c r="F19" s="19" t="str">
        <f t="shared" si="5"/>
        <v/>
      </c>
      <c r="G19" s="20">
        <v>0</v>
      </c>
      <c r="H19" s="20">
        <f t="shared" si="6"/>
        <v>1415.6790000000001</v>
      </c>
      <c r="I19" s="19" t="str">
        <f t="shared" si="7"/>
        <v/>
      </c>
      <c r="J19" s="42" t="s">
        <v>32</v>
      </c>
      <c r="K19" s="43" t="s">
        <v>33</v>
      </c>
      <c r="L19" s="59"/>
    </row>
    <row r="20" spans="1:12" ht="15.75">
      <c r="A20" s="28" t="str">
        <v xml:space="preserve"> Aurora - BA - Parker Rd</v>
      </c>
      <c r="B20" s="29" t="str">
        <v>CO</v>
      </c>
      <c r="C20" s="24">
        <v>4246.1809999999996</v>
      </c>
      <c r="D20" s="13">
        <v>0</v>
      </c>
      <c r="E20" s="13">
        <f t="shared" si="4"/>
        <v>4246.1809999999996</v>
      </c>
      <c r="F20" s="14" t="str">
        <f t="shared" si="5"/>
        <v/>
      </c>
      <c r="G20" s="15">
        <v>0</v>
      </c>
      <c r="H20" s="15">
        <f t="shared" si="6"/>
        <v>4246.1809999999996</v>
      </c>
      <c r="I20" s="16" t="str">
        <f t="shared" si="7"/>
        <v/>
      </c>
      <c r="J20" s="41"/>
      <c r="K20" s="41"/>
      <c r="L20" s="59"/>
    </row>
    <row r="21" spans="1:12" ht="15.75">
      <c r="A21" s="30" t="str">
        <v xml:space="preserve"> Broomfield - Bank of America</v>
      </c>
      <c r="B21" s="31" t="str">
        <v>CO</v>
      </c>
      <c r="C21" s="11">
        <v>1367.9559999999999</v>
      </c>
      <c r="D21" s="18">
        <v>0</v>
      </c>
      <c r="E21" s="18">
        <f t="shared" si="4"/>
        <v>1367.9559999999999</v>
      </c>
      <c r="F21" s="19" t="str">
        <f t="shared" si="5"/>
        <v/>
      </c>
      <c r="G21" s="20">
        <v>0</v>
      </c>
      <c r="H21" s="20">
        <f t="shared" si="6"/>
        <v>1367.9559999999999</v>
      </c>
      <c r="I21" s="19" t="str">
        <f t="shared" si="7"/>
        <v/>
      </c>
      <c r="J21" s="42" t="s">
        <v>56</v>
      </c>
      <c r="K21" s="43" t="s">
        <v>57</v>
      </c>
      <c r="L21" s="59"/>
    </row>
    <row r="22" spans="1:12" ht="15.75">
      <c r="A22" s="28" t="str">
        <v xml:space="preserve"> Colorado Springs - Bank of America</v>
      </c>
      <c r="B22" s="29" t="str">
        <v>CO</v>
      </c>
      <c r="C22" s="24">
        <v>3099.5279999999998</v>
      </c>
      <c r="D22" s="13">
        <v>0</v>
      </c>
      <c r="E22" s="13">
        <f t="shared" si="4"/>
        <v>3099.5279999999998</v>
      </c>
      <c r="F22" s="14" t="str">
        <f t="shared" si="5"/>
        <v/>
      </c>
      <c r="G22" s="15">
        <v>0</v>
      </c>
      <c r="H22" s="15">
        <f t="shared" si="6"/>
        <v>3099.5279999999998</v>
      </c>
      <c r="I22" s="16" t="str">
        <f t="shared" si="7"/>
        <v/>
      </c>
      <c r="J22" s="41"/>
      <c r="K22" s="41"/>
      <c r="L22" s="59"/>
    </row>
    <row r="23" spans="1:12" ht="15.75">
      <c r="A23" s="30" t="str">
        <v xml:space="preserve"> Denver - BA - 49th Ave</v>
      </c>
      <c r="B23" s="31" t="str">
        <v>CO</v>
      </c>
      <c r="C23" s="11">
        <v>0</v>
      </c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75">
      <c r="A24" s="28" t="str">
        <v xml:space="preserve"> Denver - BA Wadsworth Blvd</v>
      </c>
      <c r="B24" s="29" t="str">
        <v>CO</v>
      </c>
      <c r="C24" s="24">
        <v>2903.9470000000001</v>
      </c>
      <c r="D24" s="13">
        <v>0</v>
      </c>
      <c r="E24" s="13">
        <f t="shared" si="4"/>
        <v>2903.9470000000001</v>
      </c>
      <c r="F24" s="14" t="str">
        <f t="shared" si="5"/>
        <v/>
      </c>
      <c r="G24" s="15">
        <v>0</v>
      </c>
      <c r="H24" s="15">
        <f t="shared" si="6"/>
        <v>2903.9470000000001</v>
      </c>
      <c r="I24" s="16" t="str">
        <f t="shared" si="7"/>
        <v/>
      </c>
      <c r="J24" s="41"/>
      <c r="K24" s="41"/>
      <c r="L24" s="59"/>
    </row>
    <row r="25" spans="1:12" ht="15.75">
      <c r="A25" s="30" t="str">
        <v xml:space="preserve"> Fort Collins - Bank of America</v>
      </c>
      <c r="B25" s="31" t="str">
        <v>CO</v>
      </c>
      <c r="C25" s="11">
        <v>1750.963</v>
      </c>
      <c r="D25" s="18">
        <v>0</v>
      </c>
      <c r="E25" s="18">
        <f t="shared" si="4"/>
        <v>1750.963</v>
      </c>
      <c r="F25" s="19" t="str">
        <f t="shared" si="5"/>
        <v/>
      </c>
      <c r="G25" s="20">
        <v>0</v>
      </c>
      <c r="H25" s="20">
        <f t="shared" si="6"/>
        <v>1750.963</v>
      </c>
      <c r="I25" s="19" t="str">
        <f t="shared" si="7"/>
        <v/>
      </c>
      <c r="J25" s="42" t="s">
        <v>58</v>
      </c>
      <c r="K25" s="43" t="s">
        <v>39</v>
      </c>
      <c r="L25" s="59"/>
    </row>
    <row r="26" spans="1:12" ht="15.75">
      <c r="A26" s="28" t="str">
        <v xml:space="preserve"> Lafayette - Bank of America</v>
      </c>
      <c r="B26" s="29" t="str">
        <v>CO</v>
      </c>
      <c r="C26" s="24">
        <v>2070.8209999999999</v>
      </c>
      <c r="D26" s="13">
        <v>0</v>
      </c>
      <c r="E26" s="13">
        <f t="shared" si="4"/>
        <v>2070.8209999999999</v>
      </c>
      <c r="F26" s="14" t="str">
        <f t="shared" si="5"/>
        <v/>
      </c>
      <c r="G26" s="15">
        <v>0</v>
      </c>
      <c r="H26" s="15">
        <f t="shared" si="6"/>
        <v>2070.8209999999999</v>
      </c>
      <c r="I26" s="16" t="str">
        <f t="shared" si="7"/>
        <v/>
      </c>
      <c r="J26" s="41"/>
      <c r="K26" s="41"/>
      <c r="L26" s="59"/>
    </row>
    <row r="27" spans="1:12" ht="15.75">
      <c r="A27" s="30" t="str">
        <v xml:space="preserve"> Lakewood - Bank of America</v>
      </c>
      <c r="B27" s="31" t="str">
        <v>CO</v>
      </c>
      <c r="C27" s="11">
        <v>1323.5719999999999</v>
      </c>
      <c r="D27" s="18">
        <v>0</v>
      </c>
      <c r="E27" s="18">
        <f t="shared" si="4"/>
        <v>1323.5719999999999</v>
      </c>
      <c r="F27" s="19" t="str">
        <f t="shared" si="5"/>
        <v/>
      </c>
      <c r="G27" s="20">
        <v>0</v>
      </c>
      <c r="H27" s="20">
        <f t="shared" si="6"/>
        <v>1323.5719999999999</v>
      </c>
      <c r="I27" s="19" t="str">
        <f t="shared" si="7"/>
        <v/>
      </c>
      <c r="J27" s="42" t="s">
        <v>40</v>
      </c>
      <c r="K27" s="43" t="s">
        <v>41</v>
      </c>
      <c r="L27" s="59"/>
    </row>
    <row r="28" spans="1:12" ht="15.75">
      <c r="A28" s="28" t="str">
        <v xml:space="preserve"> Longmont - Bank of America</v>
      </c>
      <c r="B28" s="29" t="str">
        <v>CO</v>
      </c>
      <c r="C28" s="24">
        <v>1416.704</v>
      </c>
      <c r="D28" s="13">
        <v>0</v>
      </c>
      <c r="E28" s="13">
        <f t="shared" si="4"/>
        <v>1416.704</v>
      </c>
      <c r="F28" s="14" t="str">
        <f t="shared" si="5"/>
        <v/>
      </c>
      <c r="G28" s="15">
        <v>0</v>
      </c>
      <c r="H28" s="15">
        <f t="shared" si="6"/>
        <v>1416.704</v>
      </c>
      <c r="I28" s="16" t="str">
        <f t="shared" si="7"/>
        <v/>
      </c>
      <c r="J28" s="41"/>
      <c r="K28" s="41"/>
      <c r="L28" s="59"/>
    </row>
    <row r="29" spans="1:12" ht="39.4" customHeight="1">
      <c r="A29" s="30" t="str">
        <v xml:space="preserve"> Thornton - Bank of America</v>
      </c>
      <c r="B29" s="31" t="str">
        <v>CO</v>
      </c>
      <c r="C29" s="11">
        <v>1444.1790000000001</v>
      </c>
      <c r="D29" s="18">
        <v>0</v>
      </c>
      <c r="E29" s="18">
        <f t="shared" si="4"/>
        <v>1444.1790000000001</v>
      </c>
      <c r="F29" s="19" t="str">
        <f t="shared" si="5"/>
        <v/>
      </c>
      <c r="G29" s="20">
        <v>0</v>
      </c>
      <c r="H29" s="20">
        <f t="shared" si="6"/>
        <v>1444.1790000000001</v>
      </c>
      <c r="I29" s="19" t="str">
        <f t="shared" si="7"/>
        <v/>
      </c>
      <c r="J29" s="42" t="s">
        <v>42</v>
      </c>
      <c r="K29" s="56" t="s">
        <v>59</v>
      </c>
      <c r="L29" s="59"/>
    </row>
    <row r="30" spans="1:12" ht="15.75">
      <c r="A30" s="28" t="str">
        <v xml:space="preserve"> Calumet City - Bank of America</v>
      </c>
      <c r="B30" s="29" t="str">
        <v>IL</v>
      </c>
      <c r="C30" s="24">
        <v>1080.126</v>
      </c>
      <c r="D30" s="13">
        <v>0</v>
      </c>
      <c r="E30" s="13">
        <f t="shared" si="4"/>
        <v>1080.126</v>
      </c>
      <c r="F30" s="14" t="str">
        <f t="shared" si="5"/>
        <v/>
      </c>
      <c r="G30" s="15">
        <v>0</v>
      </c>
      <c r="H30" s="15">
        <f t="shared" si="6"/>
        <v>1080.126</v>
      </c>
      <c r="I30" s="16" t="str">
        <f t="shared" si="7"/>
        <v/>
      </c>
      <c r="J30" s="41"/>
      <c r="K30" s="41"/>
      <c r="L30" s="59"/>
    </row>
    <row r="31" spans="1:12" ht="15.75">
      <c r="A31" s="30" t="str">
        <v xml:space="preserve"> Downers Grove - Bank of America</v>
      </c>
      <c r="B31" s="31" t="str">
        <v>IL</v>
      </c>
      <c r="C31" s="11">
        <v>3206.203</v>
      </c>
      <c r="D31" s="18">
        <v>0</v>
      </c>
      <c r="E31" s="18">
        <f t="shared" si="4"/>
        <v>3206.203</v>
      </c>
      <c r="F31" s="19" t="str">
        <f t="shared" si="5"/>
        <v/>
      </c>
      <c r="G31" s="20">
        <v>0</v>
      </c>
      <c r="H31" s="20">
        <f t="shared" si="6"/>
        <v>3206.203</v>
      </c>
      <c r="I31" s="19" t="str">
        <f t="shared" si="7"/>
        <v/>
      </c>
      <c r="J31" s="42"/>
      <c r="K31" s="43"/>
      <c r="L31" s="59"/>
    </row>
    <row r="32" spans="1:12" ht="15.75">
      <c r="A32" s="28" t="str">
        <v xml:space="preserve"> Bloomington - Bank of America</v>
      </c>
      <c r="B32" s="29" t="str">
        <v>MN</v>
      </c>
      <c r="C32" s="24">
        <v>0</v>
      </c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15.75">
      <c r="A33" s="30" t="str">
        <v xml:space="preserve"> Clayton - Bank of America</v>
      </c>
      <c r="B33" s="31" t="str">
        <v>MO</v>
      </c>
      <c r="C33" s="11">
        <v>2796.7060000000001</v>
      </c>
      <c r="D33" s="18">
        <v>0</v>
      </c>
      <c r="E33" s="18">
        <f t="shared" si="4"/>
        <v>2796.7060000000001</v>
      </c>
      <c r="F33" s="19" t="str">
        <f t="shared" si="5"/>
        <v/>
      </c>
      <c r="G33" s="20">
        <v>0</v>
      </c>
      <c r="H33" s="20">
        <f t="shared" si="6"/>
        <v>2796.7060000000001</v>
      </c>
      <c r="I33" s="19" t="str">
        <f t="shared" si="7"/>
        <v/>
      </c>
      <c r="J33" s="42"/>
      <c r="K33" s="43"/>
      <c r="L33" s="59"/>
    </row>
    <row r="34" spans="1:12" ht="15.75">
      <c r="A34" s="28" t="str">
        <v xml:space="preserve"> Manchester - Bank of America</v>
      </c>
      <c r="B34" s="29" t="str">
        <v>MO</v>
      </c>
      <c r="C34" s="24">
        <v>0</v>
      </c>
      <c r="D34" s="13">
        <v>0</v>
      </c>
      <c r="E34" s="13">
        <f t="shared" si="4"/>
        <v>0</v>
      </c>
      <c r="F34" s="14" t="str">
        <f t="shared" si="5"/>
        <v/>
      </c>
      <c r="G34" s="15">
        <v>0</v>
      </c>
      <c r="H34" s="15">
        <f t="shared" si="6"/>
        <v>0</v>
      </c>
      <c r="I34" s="16" t="str">
        <f t="shared" si="7"/>
        <v/>
      </c>
      <c r="J34" s="41" t="s">
        <v>46</v>
      </c>
      <c r="K34" s="41" t="s">
        <v>47</v>
      </c>
      <c r="L34" s="59"/>
    </row>
    <row r="35" spans="1:12" ht="15.75">
      <c r="A35" s="30" t="str">
        <v xml:space="preserve"> Las Vegas - BA - Eastern Ave</v>
      </c>
      <c r="B35" s="31" t="str">
        <v>NV</v>
      </c>
      <c r="C35" s="11">
        <v>161.69999999999999</v>
      </c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75">
      <c r="A36" s="28" t="str">
        <v xml:space="preserve"> Las Vegas - BA - Town Ctr Dr</v>
      </c>
      <c r="B36" s="29" t="str">
        <v>NV</v>
      </c>
      <c r="C36" s="24">
        <v>0</v>
      </c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75">
      <c r="A37" s="30" t="str">
        <v xml:space="preserve"> Riverton - Bank of America</v>
      </c>
      <c r="B37" s="31" t="str">
        <v>UT</v>
      </c>
      <c r="C37" s="11">
        <v>3077.6329999999998</v>
      </c>
      <c r="D37" s="18">
        <v>0</v>
      </c>
      <c r="E37" s="18">
        <f t="shared" si="4"/>
        <v>3077.6329999999998</v>
      </c>
      <c r="F37" s="19" t="str">
        <f t="shared" si="5"/>
        <v/>
      </c>
      <c r="G37" s="20">
        <v>0</v>
      </c>
      <c r="H37" s="20">
        <f t="shared" si="6"/>
        <v>3077.6329999999998</v>
      </c>
      <c r="I37" s="19" t="str">
        <f t="shared" si="7"/>
        <v/>
      </c>
      <c r="J37" s="42"/>
      <c r="K37" s="43"/>
      <c r="L37" s="59"/>
    </row>
    <row r="38" spans="1:12" ht="15.75">
      <c r="A38" s="28" t="str">
        <v xml:space="preserve"> Salt Lake City - Bank of America</v>
      </c>
      <c r="B38" s="29" t="str">
        <v>UT</v>
      </c>
      <c r="C38" s="24">
        <v>638.12900000000002</v>
      </c>
      <c r="D38" s="13">
        <v>0</v>
      </c>
      <c r="E38" s="13">
        <f t="shared" si="4"/>
        <v>638.12900000000002</v>
      </c>
      <c r="F38" s="14" t="str">
        <f t="shared" si="5"/>
        <v/>
      </c>
      <c r="G38" s="15">
        <v>0</v>
      </c>
      <c r="H38" s="15">
        <f t="shared" si="6"/>
        <v>638.12900000000002</v>
      </c>
      <c r="I38" s="16" t="str">
        <f t="shared" si="7"/>
        <v/>
      </c>
      <c r="J38" s="41"/>
      <c r="K38" s="41"/>
      <c r="L38" s="59"/>
    </row>
    <row r="39" spans="1:12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25">
      <c r="A40" s="21"/>
      <c r="B40" s="33"/>
      <c r="C40" s="58"/>
      <c r="D40" s="21"/>
      <c r="E40" s="21"/>
      <c r="F40" s="22"/>
      <c r="G40" s="21"/>
      <c r="H40" s="21"/>
      <c r="I40" s="22"/>
      <c r="J40" s="21"/>
      <c r="K40" s="21"/>
    </row>
    <row r="41" spans="1:12" ht="14.25">
      <c r="A41" s="21"/>
      <c r="B41" s="33"/>
      <c r="C41" s="58"/>
      <c r="D41" s="21"/>
      <c r="E41" s="21"/>
      <c r="F41" s="22"/>
      <c r="G41" s="21"/>
      <c r="H41" s="21"/>
      <c r="I41" s="22"/>
      <c r="J41" s="21"/>
      <c r="K41" s="21"/>
    </row>
    <row r="42" spans="1:12" ht="14.25">
      <c r="A42" s="21"/>
      <c r="B42" s="33"/>
      <c r="C42" s="58"/>
      <c r="D42" s="21"/>
      <c r="E42" s="21"/>
      <c r="F42" s="22"/>
      <c r="G42" s="21"/>
      <c r="H42" s="21"/>
      <c r="I42" s="22"/>
      <c r="J42" s="21"/>
      <c r="K42" s="21"/>
    </row>
    <row r="43" spans="1:12" ht="14.25">
      <c r="A43" s="21"/>
      <c r="B43" s="33"/>
      <c r="C43" s="58"/>
      <c r="D43" s="21"/>
      <c r="E43" s="21"/>
      <c r="F43" s="22"/>
      <c r="G43" s="21"/>
      <c r="H43" s="21"/>
      <c r="I43" s="22"/>
      <c r="J43" s="21"/>
      <c r="K43" s="21"/>
    </row>
    <row r="44" spans="1:12" ht="14.25">
      <c r="A44" s="21"/>
      <c r="B44" s="33"/>
      <c r="C44" s="58"/>
      <c r="D44" s="21"/>
      <c r="E44" s="21"/>
      <c r="F44" s="22"/>
      <c r="G44" s="21"/>
      <c r="H44" s="21"/>
      <c r="I44" s="22"/>
      <c r="J44" s="21"/>
      <c r="K44" s="21"/>
    </row>
    <row r="45" spans="1:12" ht="14.25">
      <c r="A45" s="21"/>
      <c r="B45" s="33"/>
      <c r="C45" s="58"/>
      <c r="D45" s="21"/>
      <c r="E45" s="21"/>
      <c r="F45" s="22"/>
      <c r="G45" s="21"/>
      <c r="H45" s="21"/>
      <c r="I45" s="22"/>
      <c r="J45" s="21"/>
      <c r="K45" s="21"/>
    </row>
    <row r="46" spans="1:12" ht="14.25">
      <c r="A46" s="21"/>
      <c r="B46" s="33"/>
      <c r="C46" s="58"/>
      <c r="D46" s="21"/>
      <c r="E46" s="21"/>
      <c r="F46" s="22"/>
      <c r="G46" s="21"/>
      <c r="H46" s="21"/>
      <c r="I46" s="22"/>
      <c r="J46" s="21"/>
      <c r="K46" s="21"/>
    </row>
    <row r="47" spans="1:12" ht="14.25">
      <c r="A47" s="21"/>
      <c r="B47" s="33"/>
      <c r="C47" s="58"/>
      <c r="D47" s="21"/>
      <c r="E47" s="21"/>
      <c r="F47" s="22"/>
      <c r="G47" s="21"/>
      <c r="H47" s="21"/>
      <c r="I47" s="22"/>
      <c r="J47" s="21"/>
      <c r="K47" s="21"/>
    </row>
    <row r="48" spans="1:12" ht="14.25">
      <c r="A48" s="21"/>
      <c r="B48" s="33"/>
      <c r="C48" s="58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58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58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58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58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58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58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58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58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58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58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58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58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58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58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58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58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58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58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58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58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58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58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58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58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58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58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58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58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58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58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58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58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58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58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58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58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58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58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58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58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58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58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58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58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58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58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58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58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58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58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58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98 I4:I98">
    <cfRule type="cellIs" dxfId="30" priority="3" stopIfTrue="1" operator="lessThanOrEqual">
      <formula>-0.1</formula>
    </cfRule>
    <cfRule type="expression" dxfId="29" priority="4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6" activePane="bottomRight" state="frozen"/>
      <selection pane="bottomRight" activeCell="B42" sqref="B42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Cushman &amp; Wakefield</v>
      </c>
      <c r="B1" s="61"/>
      <c r="C1" s="61"/>
      <c r="D1" s="62" t="s">
        <v>69</v>
      </c>
      <c r="E1" s="62"/>
      <c r="F1" s="62"/>
      <c r="G1" s="60" t="s">
        <v>70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Cushman &amp; Wakefield</v>
      </c>
      <c r="B1" s="61"/>
      <c r="C1" s="61"/>
      <c r="D1" s="62" t="s">
        <v>71</v>
      </c>
      <c r="E1" s="62"/>
      <c r="F1" s="62"/>
      <c r="G1" s="60" t="s">
        <v>72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Cushman &amp; Wakefield</v>
      </c>
      <c r="B1" s="61"/>
      <c r="C1" s="61"/>
      <c r="D1" s="62" t="s">
        <v>73</v>
      </c>
      <c r="E1" s="62"/>
      <c r="F1" s="62"/>
      <c r="G1" s="60" t="s">
        <v>74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conditionalFormatting sqref="F4:F100 I4:I10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Cushman &amp; Wakefield</v>
      </c>
      <c r="B1" s="61"/>
      <c r="C1" s="61"/>
      <c r="D1" s="62" t="s">
        <v>75</v>
      </c>
      <c r="E1" s="62"/>
      <c r="F1" s="62"/>
      <c r="G1" s="60" t="s">
        <v>76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conditionalFormatting sqref="F4:F100 I4:I100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Cushman &amp; Wakefield</v>
      </c>
      <c r="B1" s="61"/>
      <c r="C1" s="61"/>
      <c r="D1" s="62" t="s">
        <v>77</v>
      </c>
      <c r="E1" s="62"/>
      <c r="F1" s="62"/>
      <c r="G1" s="60" t="s">
        <v>78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conditionalFormatting sqref="F4:F100 I4:I100">
    <cfRule type="cellIs" dxfId="10" priority="1" stopIfTrue="1" operator="lessThanOrEqual">
      <formula>-0.1</formula>
    </cfRule>
    <cfRule type="expression" dxfId="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Q26" sqref="Q2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Cushman &amp; Wakefield</v>
      </c>
      <c r="B1" s="61"/>
      <c r="C1" s="61"/>
      <c r="D1" s="62" t="s">
        <v>79</v>
      </c>
      <c r="E1" s="62"/>
      <c r="F1" s="62"/>
      <c r="G1" s="60" t="s">
        <v>80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conditionalFormatting sqref="F4:F100 I4:I100">
    <cfRule type="cellIs" dxfId="6" priority="1" stopIfTrue="1" operator="lessThanOrEqual">
      <formula>-0.1</formula>
    </cfRule>
    <cfRule type="expression" dxfId="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38"/>
  <sheetViews>
    <sheetView zoomScale="90" zoomScaleNormal="90" workbookViewId="0">
      <pane ySplit="3" topLeftCell="A11" activePane="bottomLeft" state="frozen"/>
      <selection pane="bottomLeft" activeCell="B35" sqref="B35"/>
    </sheetView>
  </sheetViews>
  <sheetFormatPr defaultRowHeight="12.75" customHeight="1"/>
  <cols>
    <col min="1" max="1" width="58.570312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81</v>
      </c>
      <c r="B1" t="s">
        <v>82</v>
      </c>
    </row>
    <row r="3" spans="1:7">
      <c r="A3" t="s">
        <v>83</v>
      </c>
      <c r="B3" t="s">
        <v>3</v>
      </c>
      <c r="C3" t="s">
        <v>4</v>
      </c>
      <c r="D3" t="s">
        <v>84</v>
      </c>
      <c r="E3" s="2" t="s">
        <v>85</v>
      </c>
    </row>
    <row r="4" spans="1:7" ht="14.25">
      <c r="A4" s="44" t="s">
        <v>86</v>
      </c>
      <c r="B4" s="45" t="s">
        <v>87</v>
      </c>
      <c r="C4" s="45" t="s">
        <v>88</v>
      </c>
      <c r="D4" s="46"/>
      <c r="E4" s="47" t="s">
        <v>89</v>
      </c>
      <c r="G4" s="3"/>
    </row>
    <row r="5" spans="1:7" ht="14.25">
      <c r="A5" s="48" t="s">
        <v>86</v>
      </c>
      <c r="B5" s="49" t="s">
        <v>90</v>
      </c>
      <c r="C5" s="49" t="s">
        <v>88</v>
      </c>
      <c r="D5" s="50"/>
      <c r="E5" s="51" t="s">
        <v>89</v>
      </c>
      <c r="G5" s="3"/>
    </row>
    <row r="6" spans="1:7" ht="14.25">
      <c r="A6" s="44" t="s">
        <v>91</v>
      </c>
      <c r="B6" s="45" t="s">
        <v>92</v>
      </c>
      <c r="C6" s="45" t="s">
        <v>88</v>
      </c>
      <c r="D6" s="46"/>
      <c r="E6" s="47" t="s">
        <v>89</v>
      </c>
      <c r="G6" s="3"/>
    </row>
    <row r="7" spans="1:7" ht="12.75" customHeight="1">
      <c r="A7" s="48" t="s">
        <v>93</v>
      </c>
      <c r="B7" s="49" t="s">
        <v>94</v>
      </c>
      <c r="C7" s="49" t="s">
        <v>88</v>
      </c>
      <c r="D7" s="50"/>
      <c r="E7" s="51" t="s">
        <v>89</v>
      </c>
    </row>
    <row r="8" spans="1:7" ht="12.75" customHeight="1">
      <c r="A8" s="44" t="s">
        <v>95</v>
      </c>
      <c r="B8" s="45" t="s">
        <v>96</v>
      </c>
      <c r="C8" s="45" t="s">
        <v>88</v>
      </c>
      <c r="D8" s="46"/>
      <c r="E8" s="47" t="s">
        <v>89</v>
      </c>
    </row>
    <row r="9" spans="1:7" ht="12.75" customHeight="1">
      <c r="A9" s="48" t="s">
        <v>97</v>
      </c>
      <c r="B9" s="49" t="s">
        <v>98</v>
      </c>
      <c r="C9" s="49" t="s">
        <v>88</v>
      </c>
      <c r="D9" s="50"/>
      <c r="E9" s="51" t="s">
        <v>89</v>
      </c>
    </row>
    <row r="10" spans="1:7" ht="12.75" customHeight="1">
      <c r="A10" s="44" t="s">
        <v>99</v>
      </c>
      <c r="B10" s="45" t="s">
        <v>100</v>
      </c>
      <c r="C10" s="45" t="s">
        <v>88</v>
      </c>
      <c r="D10" s="46"/>
      <c r="E10" s="47" t="s">
        <v>89</v>
      </c>
    </row>
    <row r="11" spans="1:7" ht="12.75" customHeight="1">
      <c r="A11" s="48" t="s">
        <v>101</v>
      </c>
      <c r="B11" s="49" t="s">
        <v>102</v>
      </c>
      <c r="C11" s="49" t="s">
        <v>88</v>
      </c>
      <c r="D11" s="50"/>
      <c r="E11" s="51" t="s">
        <v>89</v>
      </c>
    </row>
    <row r="12" spans="1:7" ht="12.75" customHeight="1">
      <c r="A12" s="44" t="s">
        <v>103</v>
      </c>
      <c r="B12" s="45" t="s">
        <v>104</v>
      </c>
      <c r="C12" s="45" t="s">
        <v>88</v>
      </c>
      <c r="D12" s="46"/>
      <c r="E12" s="47" t="s">
        <v>89</v>
      </c>
    </row>
    <row r="13" spans="1:7" ht="12.75" customHeight="1">
      <c r="A13" s="48" t="s">
        <v>86</v>
      </c>
      <c r="B13" s="49" t="s">
        <v>105</v>
      </c>
      <c r="C13" s="49" t="s">
        <v>88</v>
      </c>
      <c r="D13" s="50"/>
      <c r="E13" s="51" t="s">
        <v>89</v>
      </c>
    </row>
    <row r="14" spans="1:7" ht="12.75" customHeight="1">
      <c r="A14" s="44" t="s">
        <v>106</v>
      </c>
      <c r="B14" s="45" t="s">
        <v>107</v>
      </c>
      <c r="C14" s="45" t="s">
        <v>88</v>
      </c>
      <c r="D14" s="46"/>
      <c r="E14" s="47" t="s">
        <v>89</v>
      </c>
    </row>
    <row r="15" spans="1:7" ht="12.75" customHeight="1">
      <c r="A15" s="48" t="s">
        <v>108</v>
      </c>
      <c r="B15" s="49" t="s">
        <v>109</v>
      </c>
      <c r="C15" s="49" t="s">
        <v>88</v>
      </c>
      <c r="D15" s="50"/>
      <c r="E15" s="51" t="s">
        <v>89</v>
      </c>
    </row>
    <row r="16" spans="1:7" ht="12.75" customHeight="1">
      <c r="A16" s="44" t="s">
        <v>110</v>
      </c>
      <c r="B16" s="45" t="s">
        <v>111</v>
      </c>
      <c r="C16" s="45" t="s">
        <v>88</v>
      </c>
      <c r="D16" s="46"/>
      <c r="E16" s="47" t="s">
        <v>89</v>
      </c>
    </row>
    <row r="17" spans="1:5" ht="12.75" customHeight="1">
      <c r="A17" s="48" t="s">
        <v>112</v>
      </c>
      <c r="B17" s="49" t="s">
        <v>113</v>
      </c>
      <c r="C17" s="49" t="s">
        <v>88</v>
      </c>
      <c r="D17" s="50"/>
      <c r="E17" s="51" t="s">
        <v>89</v>
      </c>
    </row>
    <row r="18" spans="1:5" ht="12.75" customHeight="1">
      <c r="A18" s="48"/>
      <c r="B18" s="49" t="s">
        <v>114</v>
      </c>
      <c r="C18" s="49" t="s">
        <v>88</v>
      </c>
      <c r="D18" s="46"/>
      <c r="E18" s="47" t="s">
        <v>89</v>
      </c>
    </row>
    <row r="19" spans="1:5" ht="12.75" customHeight="1">
      <c r="A19" s="48" t="s">
        <v>115</v>
      </c>
      <c r="B19" s="49" t="s">
        <v>116</v>
      </c>
      <c r="C19" s="49" t="s">
        <v>117</v>
      </c>
      <c r="D19" s="50"/>
      <c r="E19" s="51" t="s">
        <v>89</v>
      </c>
    </row>
    <row r="20" spans="1:5" ht="12.75" customHeight="1">
      <c r="A20" s="48" t="s">
        <v>118</v>
      </c>
      <c r="B20" s="49" t="s">
        <v>119</v>
      </c>
      <c r="C20" s="49" t="s">
        <v>117</v>
      </c>
      <c r="D20" s="46"/>
      <c r="E20" s="47" t="s">
        <v>89</v>
      </c>
    </row>
    <row r="21" spans="1:5" ht="12.75" customHeight="1">
      <c r="A21" s="48" t="s">
        <v>120</v>
      </c>
      <c r="B21" s="49" t="s">
        <v>121</v>
      </c>
      <c r="C21" s="49" t="s">
        <v>117</v>
      </c>
      <c r="D21" s="50"/>
      <c r="E21" s="51" t="s">
        <v>89</v>
      </c>
    </row>
    <row r="22" spans="1:5" ht="12.75" customHeight="1">
      <c r="A22" s="48" t="s">
        <v>122</v>
      </c>
      <c r="B22" s="49" t="s">
        <v>123</v>
      </c>
      <c r="C22" s="49" t="s">
        <v>117</v>
      </c>
      <c r="D22" s="46"/>
      <c r="E22" s="47" t="s">
        <v>89</v>
      </c>
    </row>
    <row r="23" spans="1:5" ht="12.75" customHeight="1">
      <c r="A23" s="48" t="s">
        <v>124</v>
      </c>
      <c r="B23" s="49" t="s">
        <v>125</v>
      </c>
      <c r="C23" s="49" t="s">
        <v>117</v>
      </c>
      <c r="D23" s="50"/>
      <c r="E23" s="51" t="s">
        <v>89</v>
      </c>
    </row>
    <row r="24" spans="1:5" ht="12.75" customHeight="1">
      <c r="A24" s="48" t="s">
        <v>126</v>
      </c>
      <c r="B24" s="49" t="s">
        <v>127</v>
      </c>
      <c r="C24" s="49" t="s">
        <v>117</v>
      </c>
      <c r="D24" s="46"/>
      <c r="E24" s="47" t="s">
        <v>89</v>
      </c>
    </row>
    <row r="25" spans="1:5" ht="12.75" customHeight="1">
      <c r="A25" s="48" t="s">
        <v>128</v>
      </c>
      <c r="B25" s="49" t="s">
        <v>129</v>
      </c>
      <c r="C25" s="49" t="s">
        <v>117</v>
      </c>
      <c r="D25" s="50"/>
      <c r="E25" s="51" t="s">
        <v>89</v>
      </c>
    </row>
    <row r="26" spans="1:5" ht="12.75" customHeight="1">
      <c r="A26" s="48" t="s">
        <v>130</v>
      </c>
      <c r="B26" s="49" t="s">
        <v>131</v>
      </c>
      <c r="C26" s="49" t="s">
        <v>117</v>
      </c>
      <c r="D26" s="46"/>
      <c r="E26" s="47" t="s">
        <v>89</v>
      </c>
    </row>
    <row r="27" spans="1:5" ht="12.75" customHeight="1">
      <c r="A27" s="48" t="s">
        <v>132</v>
      </c>
      <c r="B27" s="49" t="s">
        <v>133</v>
      </c>
      <c r="C27" s="49" t="s">
        <v>117</v>
      </c>
      <c r="D27" s="50"/>
      <c r="E27" s="51" t="s">
        <v>89</v>
      </c>
    </row>
    <row r="28" spans="1:5" ht="12.75" customHeight="1">
      <c r="A28" s="48" t="s">
        <v>134</v>
      </c>
      <c r="B28" s="49" t="s">
        <v>135</v>
      </c>
      <c r="C28" s="49" t="s">
        <v>117</v>
      </c>
      <c r="D28" s="46"/>
      <c r="E28" s="47" t="s">
        <v>89</v>
      </c>
    </row>
    <row r="29" spans="1:5" ht="12.75" customHeight="1">
      <c r="A29" s="48" t="s">
        <v>136</v>
      </c>
      <c r="B29" s="49" t="s">
        <v>137</v>
      </c>
      <c r="C29" s="49" t="s">
        <v>117</v>
      </c>
      <c r="D29" s="50"/>
      <c r="E29" s="51" t="s">
        <v>89</v>
      </c>
    </row>
    <row r="30" spans="1:5" ht="12.75" customHeight="1">
      <c r="A30" s="48" t="s">
        <v>138</v>
      </c>
      <c r="B30" s="49" t="s">
        <v>139</v>
      </c>
      <c r="C30" s="49" t="s">
        <v>140</v>
      </c>
      <c r="D30" s="46"/>
      <c r="E30" s="47" t="s">
        <v>89</v>
      </c>
    </row>
    <row r="31" spans="1:5" ht="12.75" customHeight="1">
      <c r="A31" s="48" t="s">
        <v>141</v>
      </c>
      <c r="B31" s="49" t="s">
        <v>142</v>
      </c>
      <c r="C31" s="49" t="s">
        <v>140</v>
      </c>
      <c r="D31" s="50"/>
      <c r="E31" s="51" t="s">
        <v>89</v>
      </c>
    </row>
    <row r="32" spans="1:5" ht="12.75" customHeight="1">
      <c r="A32" s="48" t="s">
        <v>86</v>
      </c>
      <c r="B32" s="49" t="s">
        <v>143</v>
      </c>
      <c r="C32" s="49" t="s">
        <v>144</v>
      </c>
      <c r="D32" s="46"/>
      <c r="E32" s="47" t="s">
        <v>89</v>
      </c>
    </row>
    <row r="33" spans="1:5" ht="12.75" customHeight="1">
      <c r="A33" s="48" t="s">
        <v>145</v>
      </c>
      <c r="B33" s="49" t="s">
        <v>146</v>
      </c>
      <c r="C33" s="49" t="s">
        <v>147</v>
      </c>
      <c r="D33" s="50"/>
      <c r="E33" s="51" t="s">
        <v>89</v>
      </c>
    </row>
    <row r="34" spans="1:5" ht="12.75" customHeight="1">
      <c r="A34" s="48" t="s">
        <v>148</v>
      </c>
      <c r="B34" s="49" t="s">
        <v>149</v>
      </c>
      <c r="C34" s="49" t="s">
        <v>147</v>
      </c>
      <c r="D34" s="46"/>
      <c r="E34" s="47" t="s">
        <v>89</v>
      </c>
    </row>
    <row r="35" spans="1:5" ht="12.75" customHeight="1">
      <c r="A35" s="48" t="s">
        <v>150</v>
      </c>
      <c r="B35" s="49" t="s">
        <v>151</v>
      </c>
      <c r="C35" s="49" t="s">
        <v>152</v>
      </c>
      <c r="D35" s="50"/>
      <c r="E35" s="51" t="s">
        <v>89</v>
      </c>
    </row>
    <row r="36" spans="1:5" ht="12.75" customHeight="1">
      <c r="A36" s="48" t="s">
        <v>86</v>
      </c>
      <c r="B36" s="49" t="s">
        <v>153</v>
      </c>
      <c r="C36" s="49" t="s">
        <v>152</v>
      </c>
      <c r="D36" s="46"/>
      <c r="E36" s="47" t="s">
        <v>89</v>
      </c>
    </row>
    <row r="37" spans="1:5" ht="12.75" customHeight="1">
      <c r="A37" s="48" t="s">
        <v>154</v>
      </c>
      <c r="B37" s="49" t="s">
        <v>155</v>
      </c>
      <c r="C37" s="49" t="s">
        <v>156</v>
      </c>
      <c r="D37" s="50"/>
      <c r="E37" s="51" t="s">
        <v>89</v>
      </c>
    </row>
    <row r="38" spans="1:5" ht="12.75" customHeight="1">
      <c r="A38" s="52" t="s">
        <v>157</v>
      </c>
      <c r="B38" s="53" t="s">
        <v>158</v>
      </c>
      <c r="C38" s="53" t="s">
        <v>156</v>
      </c>
      <c r="D38" s="54"/>
      <c r="E38" s="55" t="s">
        <v>89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Iranossian, Lianna</cp:lastModifiedBy>
  <cp:revision/>
  <dcterms:created xsi:type="dcterms:W3CDTF">2021-01-01T16:39:53Z</dcterms:created>
  <dcterms:modified xsi:type="dcterms:W3CDTF">2024-08-12T17:50:22Z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