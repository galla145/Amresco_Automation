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EFB9771F-4EB2-4E21-8FF5-2AE59DD5982E}" xr6:coauthVersionLast="47" xr6:coauthVersionMax="47" xr10:uidLastSave="{9DC8C998-CD64-463F-AF2C-47A46B8B8C89}"/>
  <bookViews>
    <workbookView xWindow="-108" yWindow="-108" windowWidth="23256" windowHeight="12456" tabRatio="866" firstSheet="2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<sst xmlns="http://schemas.openxmlformats.org/spreadsheetml/2006/main" count="240" uniqueCount="54">
  <si>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</si>
  <si>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</si>
  <si>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</si>
  <si>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</si>
  <si>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</si>
  <si>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</si>
  <si>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</si>
  <si>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</si>
  <si>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</si>
  <si>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</si>
  <si>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</si>
  <si>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</si>
  <si>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</si>
  <si>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</si>
  <si>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</si>
  <si>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</si>
  <si>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</si>
  <si>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</si>
  <si>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</si>
  <si>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</si>
  <si>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</si>
  <si>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</si>
  <si>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</si>
  <si>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</si>
  <si>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</si>
  <si>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</si>
  <si>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</si>
  <si>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</si>
  <si>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</si>
  <si>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</si>
  <si>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</si>
  <si>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</si>
  <si>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</si>
  <si>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</si>
  <si>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</si>
  <si>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</si>
  <si>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</si>
  <si>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</si>
  <si>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</si>
  <si>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</si>
  <si>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</si>
  <si>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</si>
  <si>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</si>
  <si>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</si>
  <si>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</si>
  <si>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Lee Company</t>
  </si>
  <si>
    <t>Site DAS Name</t>
  </si>
  <si>
    <t>Update</t>
  </si>
  <si>
    <t>DAS</t>
  </si>
  <si>
    <t>Lee Building 41</t>
  </si>
  <si>
    <t>CT: Westbrook - Building #41</t>
  </si>
  <si>
    <t>CT</t>
  </si>
  <si>
    <t>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</si>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</sst>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SUM(C4:C72)</f>
        <v>116496.89025</v>
      </c>
      <c r="D2" s="5">
        <f>SUM(D4:D72)</f>
        <v>0</v>
      </c>
      <c r="E2" s="5">
        <f>C2-D2</f>
        <v>116496.89025</v>
      </c>
      <c r="F2" s="6">
        <f>IFERROR(E2/D2, 0)</f>
        <v>0</v>
      </c>
      <c r="G2" s="5">
        <f>SUM(G4:G72)</f>
        <v>0</v>
      </c>
      <c r="H2" s="7">
        <f>C2-G2</f>
        <v>116496.89025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Westbrook - Building #41</v>
      </c>
      <c r="B4" s="9" t="str" cm="1">
        <f t="array" ref="B4">Sites[State]</f>
        <v>CT</v>
      </c>
      <c r="C4" s="18">
        <f>SUM('1st Qtr'!C4, '2nd Qtr'!C4, '3rd Qtr'!C4, '4th Qtr'!C4)</f>
        <v>116496.89025</v>
      </c>
      <c r="D4" s="11">
        <f>SUM('1st Qtr'!D4, '2nd Qtr'!D4, '3rd Qtr'!D4, '4th Qtr'!D4)</f>
        <v>0</v>
      </c>
      <c r="E4" s="11">
        <f>IF(AND(ISNUMBER(C4),ISNUMBER(D4)), C4-D4, "")</f>
        <v>116496.89025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116496.89025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C19" sqref="C19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SUM(C4:C72)</f>
        <v>37694.215250000001</v>
      </c>
      <c r="D2" s="5">
        <f>SUM(D4:D72)</f>
        <v>0</v>
      </c>
      <c r="E2" s="5">
        <f>C2-D2</f>
        <v>37694.215250000001</v>
      </c>
      <c r="F2" s="6">
        <f>IFERROR(E2/D2, 0)</f>
        <v>0</v>
      </c>
      <c r="G2" s="5">
        <f>SUM(G4:G72)</f>
        <v>0</v>
      </c>
      <c r="H2" s="7">
        <f>C2-G2</f>
        <v>37694.215250000001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SUM(Jan!C4, Feb!C4, Mar!C4)</f>
        <v>37694.215250000001</v>
      </c>
      <c r="D4" s="11">
        <f>SUM(Jan!D4, Feb!D4, Mar!D4)</f>
        <v>0</v>
      </c>
      <c r="E4" s="11">
        <f>IF(AND(ISNUMBER(C4),ISNUMBER(D4)), C4-D4, "")</f>
        <v>37694.215250000001</v>
      </c>
      <c r="F4" s="12" t="str">
        <f>IFERROR(E4/D4, "")</f>
        <v/>
      </c>
      <c r="G4" s="13">
        <f>SUM(Jan!G4, Feb!G4, Mar!G4)</f>
        <v>0</v>
      </c>
      <c r="H4" s="13">
        <f>SUM(Jan!H4, Feb!H4, Mar!H4)</f>
        <v>37694.215250000001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SUM(C4:C72)</f>
        <v>78802.675000000003</v>
      </c>
      <c r="D2" s="5">
        <f>SUM(D4:D72)</f>
        <v>0</v>
      </c>
      <c r="E2" s="5">
        <f>C2-D2</f>
        <v>78802.675000000003</v>
      </c>
      <c r="F2" s="6">
        <f>IFERROR(E2/D2, 0)</f>
        <v>0</v>
      </c>
      <c r="G2" s="5">
        <f>SUM(G4:G72)</f>
        <v>0</v>
      </c>
      <c r="H2" s="7">
        <f>C2-G2</f>
        <v>78802.675000000003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SUM(Apr!C4, May!C4, Jun!C4)</f>
        <v>78802.675000000003</v>
      </c>
      <c r="D4" s="11">
        <f>SUM(Apr!D4, May!D4, Jun!D4)</f>
        <v>0</v>
      </c>
      <c r="E4" s="11">
        <f>IF(AND(ISNUMBER(C4),ISNUMBER(D4)), C4-D4, "")</f>
        <v>78802.675000000003</v>
      </c>
      <c r="F4" s="12" t="str">
        <f>IFERROR(E4/D4, "")</f>
        <v/>
      </c>
      <c r="G4" s="13">
        <f>SUM(Apr!G4,May!G4,Jun!G4)</f>
        <v>0</v>
      </c>
      <c r="H4" s="13">
        <f>SUM(Apr!H4, May!H4, Jun!H4)</f>
        <v>78802.675000000003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F13" sqref="F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6337.03125</v>
      </c>
      <c r="D2" s="5">
        <f>SUM(D4:D71)</f>
        <v>0</v>
      </c>
      <c r="E2" s="5">
        <f>C2-D2</f>
        <v>6337.03125</v>
      </c>
      <c r="F2" s="6">
        <f>IFERROR(E2/D2, 0)</f>
        <v>0</v>
      </c>
      <c r="G2" s="5">
        <f>SUM(G4:G71)</f>
        <v>0</v>
      </c>
      <c r="H2" s="7">
        <f>C2-G2</f>
        <v>6337.03125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1">
        <v>6337.03125</v>
      </c>
      <c r="D4" s="11">
        <v>0</v>
      </c>
      <c r="E4" s="11">
        <f>IF(AND(ISNUMBER(C4),ISNUMBER(D4)), C4-D4, "")</f>
        <v>6337.03125</v>
      </c>
      <c r="F4" s="34" t="str">
        <f>IFERROR(E4/D4, "")</f>
        <v/>
      </c>
      <c r="G4" s="13">
        <v>0</v>
      </c>
      <c r="H4" s="13">
        <f>IF(AND(ISNUMBER(C4),ISNUMBER(G4)), C4-G4, "")</f>
        <v>6337.03125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C4" activePane="bottomRight" state="frozen"/>
      <selection pane="bottomRight" activeCell="G11" sqref="G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12435.183999999999</v>
      </c>
      <c r="D2" s="5">
        <f>SUM(D4:D72)</f>
        <v>0</v>
      </c>
      <c r="E2" s="5">
        <f>C2-D2</f>
        <v>12435.183999999999</v>
      </c>
      <c r="F2" s="6">
        <f>IFERROR(E2/D2, 0)</f>
        <v>0</v>
      </c>
      <c r="G2" s="5">
        <f>SUM(G4:G72)</f>
        <v>0</v>
      </c>
      <c r="H2" s="7">
        <f>C2-G2</f>
        <v>12435.183999999999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8">
        <v>12435.183999999999</v>
      </c>
      <c r="D4" s="11">
        <v>0</v>
      </c>
      <c r="E4" s="11">
        <f>IF(AND(ISNUMBER(C4),ISNUMBER(D4)), C4-D4, "")</f>
        <v>12435.183999999999</v>
      </c>
      <c r="F4" s="12" t="str">
        <f>IFERROR(E4/D4, "")</f>
        <v/>
      </c>
      <c r="G4" s="13">
        <v>0</v>
      </c>
      <c r="H4" s="13">
        <f>IF(AND(ISNUMBER(C4),ISNUMBER(G4)), C4-G4, "")</f>
        <v>12435.183999999999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4"/>
  <sheetViews>
    <sheetView workbookViewId="0">
      <pane xSplit="2" ySplit="3" topLeftCell="C4" activePane="bottomRight" state="frozen"/>
      <selection pane="bottomRight" activeCell="E13" sqref="E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18922</v>
      </c>
      <c r="D2" s="5">
        <f>SUM(D4:D72)</f>
        <v>0</v>
      </c>
      <c r="E2" s="5">
        <f>C2-D2</f>
        <v>18922</v>
      </c>
      <c r="F2" s="6">
        <f>IFERROR(E2/D2, 0)</f>
        <v>0</v>
      </c>
      <c r="G2" s="5">
        <f>SUM(G4:G72)</f>
        <v>0</v>
      </c>
      <c r="H2" s="7">
        <f>C2-G2</f>
        <v>18922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18922</v>
      </c>
      <c r="D4" s="11">
        <v>0</v>
      </c>
      <c r="E4" s="11">
        <f>IF(AND(ISNUMBER(C4),ISNUMBER(D4)), C4-D4, "")</f>
        <v>18922</v>
      </c>
      <c r="F4" s="12" t="str">
        <f>IFERROR(E4/D4, "")</f>
        <v/>
      </c>
      <c r="G4" s="13">
        <v>0</v>
      </c>
      <c r="H4" s="13">
        <f>IF(AND(ISNUMBER(C4),ISNUMBER(G4)), C4-G4, "")</f>
        <v>18922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C4" activePane="bottomRight" state="frozen"/>
      <selection pane="bottomRight" activeCell="G5" sqref="G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21921.305</v>
      </c>
      <c r="D2" s="5">
        <f>SUM(D4:D72)</f>
        <v>0</v>
      </c>
      <c r="E2" s="5">
        <f>C2-D2</f>
        <v>21921.305</v>
      </c>
      <c r="F2" s="6">
        <f>IFERROR(E2/D2, 0)</f>
        <v>0</v>
      </c>
      <c r="G2" s="5">
        <f>SUM(G4:G72)</f>
        <v>0</v>
      </c>
      <c r="H2" s="7">
        <f>C2-G2</f>
        <v>21921.305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21921.305</v>
      </c>
      <c r="D4" s="11">
        <v>0</v>
      </c>
      <c r="E4" s="11">
        <f>IF(AND(ISNUMBER(C4),ISNUMBER(D4)), C4-D4, "")</f>
        <v>21921.305</v>
      </c>
      <c r="F4" s="12" t="str">
        <f>IFERROR(E4/D4, "")</f>
        <v/>
      </c>
      <c r="G4" s="13">
        <v>0</v>
      </c>
      <c r="H4" s="13">
        <f>IF(AND(ISNUMBER(C4),ISNUMBER(G4)), C4-G4, "")</f>
        <v>21921.305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C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26753.35</v>
      </c>
      <c r="D2" s="5">
        <f>SUM(D4:D72)</f>
        <v>0</v>
      </c>
      <c r="E2" s="5">
        <f>C2-D2</f>
        <v>26753.35</v>
      </c>
      <c r="F2" s="6">
        <f>IFERROR(E2/D2, 0)</f>
        <v>0</v>
      </c>
      <c r="G2" s="5">
        <f>SUM(G4:G72)</f>
        <v>0</v>
      </c>
      <c r="H2" s="7">
        <f>C2-G2</f>
        <v>26753.35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26753.35</v>
      </c>
      <c r="D4" s="11">
        <v>0</v>
      </c>
      <c r="E4" s="11">
        <f>IF(AND(ISNUMBER(C4),ISNUMBER(D4)), C4-D4, "")</f>
        <v>26753.35</v>
      </c>
      <c r="F4" s="12" t="str">
        <f>IFERROR(E4/D4, "")</f>
        <v/>
      </c>
      <c r="G4" s="13">
        <v>0</v>
      </c>
      <c r="H4" s="13">
        <f>IF(AND(ISNUMBER(C4),ISNUMBER(G4)), C4-G4, "")</f>
        <v>26753.35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C4" activePane="bottomRight" state="frozen"/>
      <selection pane="bottomRight" activeCell="G5" sqref="G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30128.02</v>
      </c>
      <c r="D2" s="5">
        <f>SUM(D4:D72)</f>
        <v>0</v>
      </c>
      <c r="E2" s="5">
        <f>C2-D2</f>
        <v>30128.02</v>
      </c>
      <c r="F2" s="6">
        <f>IFERROR(E2/D2, 0)</f>
        <v>0</v>
      </c>
      <c r="G2" s="5">
        <f>SUM(G4:G72)</f>
        <v>0</v>
      </c>
      <c r="H2" s="7">
        <f>C2-G2</f>
        <v>30128.02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30128.02</v>
      </c>
      <c r="D4" s="11">
        <v>0</v>
      </c>
      <c r="E4" s="11">
        <f>IF(AND(ISNUMBER(C4),ISNUMBER(D4)), C4-D4, "")</f>
        <v>30128.02</v>
      </c>
      <c r="F4" s="12" t="str">
        <f>IFERROR(E4/D4, "")</f>
        <v/>
      </c>
      <c r="G4" s="13">
        <v>0</v>
      </c>
      <c r="H4" s="13">
        <f>IF(AND(ISNUMBER(C4),ISNUMBER(G4)), C4-G4, "")</f>
        <v>30128.02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tabSelected="1" workbookViewId="0">
      <pane xSplit="2" ySplit="3" topLeftCell="C4" activePane="bottomRight" state="frozen"/>
      <selection pane="bottomRight" activeCell="C5" sqref="C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6" sqref="C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s="40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8" t="s">
        <v>49</v>
      </c>
      <c r="B4" t="s">
        <v>50</v>
      </c>
      <c r="C4" s="36" t="s">
        <v>51</v>
      </c>
      <c r="D4" s="41" t="s">
        <v>52</v>
      </c>
      <c r="E4" s="40" t="s">
        <v>53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2024-10-17T20:37:01Z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