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249" documentId="13_ncr:1_{7CED8F40-721C-4ACD-B122-F9A313CFFF8A}" xr6:coauthVersionLast="47" xr6:coauthVersionMax="47" xr10:uidLastSave="{0A80EA82-A927-4D53-A06F-2BFB6F886A27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1" l="1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G5" i="18" l="1"/>
  <c r="G6" i="18"/>
  <c r="G7" i="18"/>
  <c r="G8" i="18"/>
  <c r="G9" i="18"/>
  <c r="G10" i="18"/>
  <c r="G11" i="18"/>
  <c r="G12" i="18"/>
  <c r="G12" i="34" s="1"/>
  <c r="G13" i="18"/>
  <c r="G14" i="18"/>
  <c r="G15" i="18"/>
  <c r="G16" i="18"/>
  <c r="G16" i="34" s="1"/>
  <c r="G17" i="18"/>
  <c r="G18" i="18"/>
  <c r="G19" i="18"/>
  <c r="G20" i="18"/>
  <c r="G20" i="34" s="1"/>
  <c r="G21" i="18"/>
  <c r="G22" i="18"/>
  <c r="G23" i="18"/>
  <c r="G23" i="34" s="1"/>
  <c r="G24" i="18"/>
  <c r="G25" i="18"/>
  <c r="G4" i="18"/>
  <c r="C4" i="18"/>
  <c r="G5" i="34"/>
  <c r="G6" i="34"/>
  <c r="G7" i="34"/>
  <c r="G8" i="34"/>
  <c r="G9" i="34"/>
  <c r="G10" i="34"/>
  <c r="G11" i="34"/>
  <c r="G13" i="34"/>
  <c r="G14" i="34"/>
  <c r="G15" i="34"/>
  <c r="G17" i="34"/>
  <c r="G18" i="34"/>
  <c r="G19" i="34"/>
  <c r="G21" i="34"/>
  <c r="G22" i="34"/>
  <c r="G24" i="34"/>
  <c r="G25" i="34"/>
  <c r="G4" i="34"/>
  <c r="C4" i="34"/>
  <c r="D12" i="34"/>
  <c r="D18" i="34"/>
  <c r="D22" i="34"/>
  <c r="E18" i="33"/>
  <c r="F18" i="33" s="1"/>
  <c r="H18" i="33"/>
  <c r="I18" i="33" s="1"/>
  <c r="E19" i="33"/>
  <c r="F19" i="33" s="1"/>
  <c r="H19" i="33"/>
  <c r="I19" i="33"/>
  <c r="E20" i="33"/>
  <c r="F20" i="33" s="1"/>
  <c r="H20" i="33"/>
  <c r="I20" i="33" s="1"/>
  <c r="E21" i="33"/>
  <c r="F21" i="33" s="1"/>
  <c r="H21" i="33"/>
  <c r="I21" i="33"/>
  <c r="E22" i="33"/>
  <c r="F22" i="33" s="1"/>
  <c r="H22" i="33"/>
  <c r="I22" i="33" s="1"/>
  <c r="E23" i="33"/>
  <c r="F23" i="33" s="1"/>
  <c r="H23" i="33"/>
  <c r="H23" i="30" s="1"/>
  <c r="I23" i="30" s="1"/>
  <c r="I23" i="33"/>
  <c r="E24" i="33"/>
  <c r="F24" i="33" s="1"/>
  <c r="H24" i="33"/>
  <c r="I24" i="33" s="1"/>
  <c r="E25" i="33"/>
  <c r="F25" i="33" s="1"/>
  <c r="H25" i="33"/>
  <c r="I25" i="33"/>
  <c r="E18" i="32"/>
  <c r="F18" i="32"/>
  <c r="H18" i="32"/>
  <c r="H18" i="30" s="1"/>
  <c r="I18" i="30" s="1"/>
  <c r="I18" i="32"/>
  <c r="E19" i="32"/>
  <c r="F19" i="32" s="1"/>
  <c r="H19" i="32"/>
  <c r="I19" i="32" s="1"/>
  <c r="E20" i="32"/>
  <c r="F20" i="32"/>
  <c r="H20" i="32"/>
  <c r="I20" i="32"/>
  <c r="E21" i="32"/>
  <c r="F21" i="32" s="1"/>
  <c r="H21" i="32"/>
  <c r="I21" i="32" s="1"/>
  <c r="E22" i="32"/>
  <c r="F22" i="32"/>
  <c r="H22" i="32"/>
  <c r="I22" i="32"/>
  <c r="E23" i="32"/>
  <c r="F23" i="32" s="1"/>
  <c r="H23" i="32"/>
  <c r="I23" i="32" s="1"/>
  <c r="E24" i="32"/>
  <c r="F24" i="32"/>
  <c r="H24" i="32"/>
  <c r="H24" i="30" s="1"/>
  <c r="I24" i="30" s="1"/>
  <c r="I24" i="32"/>
  <c r="E25" i="32"/>
  <c r="F25" i="32" s="1"/>
  <c r="H25" i="32"/>
  <c r="I25" i="32" s="1"/>
  <c r="E18" i="31"/>
  <c r="F18" i="31" s="1"/>
  <c r="H18" i="31"/>
  <c r="I18" i="31"/>
  <c r="E19" i="31"/>
  <c r="F19" i="31" s="1"/>
  <c r="H19" i="31"/>
  <c r="I19" i="31"/>
  <c r="E20" i="31"/>
  <c r="F20" i="31" s="1"/>
  <c r="H20" i="31"/>
  <c r="I20" i="31"/>
  <c r="E21" i="31"/>
  <c r="F21" i="31" s="1"/>
  <c r="H21" i="31"/>
  <c r="I21" i="31"/>
  <c r="E22" i="31"/>
  <c r="F22" i="31" s="1"/>
  <c r="H22" i="31"/>
  <c r="I22" i="31"/>
  <c r="E23" i="31"/>
  <c r="F23" i="31" s="1"/>
  <c r="H23" i="31"/>
  <c r="I23" i="31"/>
  <c r="E24" i="31"/>
  <c r="F24" i="31" s="1"/>
  <c r="H24" i="31"/>
  <c r="I24" i="31"/>
  <c r="E25" i="31"/>
  <c r="F25" i="31" s="1"/>
  <c r="H25" i="31"/>
  <c r="I25" i="31"/>
  <c r="E18" i="28"/>
  <c r="F18" i="28"/>
  <c r="H18" i="28"/>
  <c r="I18" i="28" s="1"/>
  <c r="E19" i="28"/>
  <c r="F19" i="28" s="1"/>
  <c r="H19" i="28"/>
  <c r="I19" i="28" s="1"/>
  <c r="E20" i="28"/>
  <c r="F20" i="28"/>
  <c r="H20" i="28"/>
  <c r="I20" i="28" s="1"/>
  <c r="E21" i="28"/>
  <c r="F21" i="28" s="1"/>
  <c r="H21" i="28"/>
  <c r="I21" i="28" s="1"/>
  <c r="E22" i="28"/>
  <c r="F22" i="28"/>
  <c r="H22" i="28"/>
  <c r="I22" i="28" s="1"/>
  <c r="E23" i="28"/>
  <c r="F23" i="28" s="1"/>
  <c r="H23" i="28"/>
  <c r="I23" i="28" s="1"/>
  <c r="E24" i="28"/>
  <c r="F24" i="28"/>
  <c r="H24" i="28"/>
  <c r="I24" i="28" s="1"/>
  <c r="E25" i="28"/>
  <c r="F25" i="28" s="1"/>
  <c r="H25" i="28"/>
  <c r="I25" i="28" s="1"/>
  <c r="E18" i="27"/>
  <c r="F18" i="27" s="1"/>
  <c r="H18" i="27"/>
  <c r="I18" i="27"/>
  <c r="E19" i="27"/>
  <c r="F19" i="27" s="1"/>
  <c r="H19" i="27"/>
  <c r="I19" i="27"/>
  <c r="E20" i="27"/>
  <c r="F20" i="27" s="1"/>
  <c r="H20" i="27"/>
  <c r="I20" i="27"/>
  <c r="E21" i="27"/>
  <c r="F21" i="27" s="1"/>
  <c r="H21" i="27"/>
  <c r="I21" i="27"/>
  <c r="E22" i="27"/>
  <c r="F22" i="27" s="1"/>
  <c r="H22" i="27"/>
  <c r="I22" i="27"/>
  <c r="E23" i="27"/>
  <c r="F23" i="27" s="1"/>
  <c r="H23" i="27"/>
  <c r="H23" i="29" s="1"/>
  <c r="I23" i="29" s="1"/>
  <c r="I23" i="27"/>
  <c r="E24" i="27"/>
  <c r="F24" i="27" s="1"/>
  <c r="H24" i="27"/>
  <c r="I24" i="27"/>
  <c r="E25" i="27"/>
  <c r="F25" i="27" s="1"/>
  <c r="H25" i="27"/>
  <c r="I25" i="27"/>
  <c r="E18" i="26"/>
  <c r="F18" i="26"/>
  <c r="H18" i="26"/>
  <c r="I18" i="26" s="1"/>
  <c r="E19" i="26"/>
  <c r="F19" i="26" s="1"/>
  <c r="H19" i="26"/>
  <c r="I19" i="26" s="1"/>
  <c r="E20" i="26"/>
  <c r="F20" i="26"/>
  <c r="H20" i="26"/>
  <c r="I20" i="26" s="1"/>
  <c r="E21" i="26"/>
  <c r="F21" i="26" s="1"/>
  <c r="H21" i="26"/>
  <c r="I21" i="26" s="1"/>
  <c r="E22" i="26"/>
  <c r="F22" i="26"/>
  <c r="H22" i="26"/>
  <c r="I22" i="26" s="1"/>
  <c r="E23" i="26"/>
  <c r="F23" i="26" s="1"/>
  <c r="H23" i="26"/>
  <c r="I23" i="26" s="1"/>
  <c r="E24" i="26"/>
  <c r="F24" i="26"/>
  <c r="H24" i="26"/>
  <c r="I24" i="26" s="1"/>
  <c r="E25" i="26"/>
  <c r="F25" i="26" s="1"/>
  <c r="H25" i="26"/>
  <c r="I25" i="26" s="1"/>
  <c r="E18" i="19"/>
  <c r="F18" i="19" s="1"/>
  <c r="H18" i="19"/>
  <c r="I18" i="19" s="1"/>
  <c r="E19" i="19"/>
  <c r="F19" i="19"/>
  <c r="H19" i="19"/>
  <c r="I19" i="19"/>
  <c r="E20" i="19"/>
  <c r="F20" i="19" s="1"/>
  <c r="H20" i="19"/>
  <c r="I20" i="19" s="1"/>
  <c r="E21" i="19"/>
  <c r="F21" i="19"/>
  <c r="H21" i="19"/>
  <c r="I21" i="19"/>
  <c r="E22" i="19"/>
  <c r="F22" i="19" s="1"/>
  <c r="H22" i="19"/>
  <c r="I22" i="19" s="1"/>
  <c r="I23" i="19"/>
  <c r="E24" i="19"/>
  <c r="F24" i="19" s="1"/>
  <c r="H24" i="19"/>
  <c r="I24" i="19" s="1"/>
  <c r="E25" i="19"/>
  <c r="F25" i="19"/>
  <c r="H25" i="19"/>
  <c r="I25" i="19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/>
  <c r="E20" i="21"/>
  <c r="F20" i="21" s="1"/>
  <c r="H20" i="21"/>
  <c r="I20" i="21" s="1"/>
  <c r="E21" i="21"/>
  <c r="F21" i="21" s="1"/>
  <c r="H21" i="21"/>
  <c r="I21" i="2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E18" i="4"/>
  <c r="F18" i="4"/>
  <c r="H18" i="4"/>
  <c r="H18" i="1" s="1"/>
  <c r="I18" i="4"/>
  <c r="E19" i="4"/>
  <c r="F19" i="4" s="1"/>
  <c r="H19" i="4"/>
  <c r="I19" i="4" s="1"/>
  <c r="E20" i="4"/>
  <c r="F20" i="4"/>
  <c r="H20" i="4"/>
  <c r="H20" i="34" s="1"/>
  <c r="I20" i="4"/>
  <c r="E21" i="4"/>
  <c r="F21" i="4" s="1"/>
  <c r="H21" i="4"/>
  <c r="I21" i="4" s="1"/>
  <c r="E22" i="4"/>
  <c r="F22" i="4"/>
  <c r="H22" i="4"/>
  <c r="I22" i="4"/>
  <c r="E23" i="4"/>
  <c r="F23" i="4" s="1"/>
  <c r="H23" i="4"/>
  <c r="I23" i="4" s="1"/>
  <c r="E24" i="4"/>
  <c r="F24" i="4"/>
  <c r="H24" i="4"/>
  <c r="I24" i="4"/>
  <c r="E25" i="4"/>
  <c r="F25" i="4" s="1"/>
  <c r="H25" i="4"/>
  <c r="I25" i="4" s="1"/>
  <c r="E18" i="3"/>
  <c r="F18" i="3" s="1"/>
  <c r="H18" i="3"/>
  <c r="I18" i="3" s="1"/>
  <c r="E19" i="3"/>
  <c r="F19" i="3" s="1"/>
  <c r="H19" i="3"/>
  <c r="H19" i="34" s="1"/>
  <c r="I19" i="34" s="1"/>
  <c r="E20" i="3"/>
  <c r="F20" i="3" s="1"/>
  <c r="H20" i="3"/>
  <c r="I20" i="3" s="1"/>
  <c r="E21" i="3"/>
  <c r="F21" i="3" s="1"/>
  <c r="H21" i="3"/>
  <c r="H21" i="34" s="1"/>
  <c r="E22" i="3"/>
  <c r="F22" i="3" s="1"/>
  <c r="H22" i="3"/>
  <c r="I22" i="3" s="1"/>
  <c r="E23" i="3"/>
  <c r="F23" i="3" s="1"/>
  <c r="H23" i="3"/>
  <c r="H23" i="34" s="1"/>
  <c r="E24" i="3"/>
  <c r="F24" i="3" s="1"/>
  <c r="H24" i="3"/>
  <c r="I24" i="3" s="1"/>
  <c r="E25" i="3"/>
  <c r="F25" i="3" s="1"/>
  <c r="H25" i="3"/>
  <c r="I25" i="3" s="1"/>
  <c r="E18" i="72"/>
  <c r="F18" i="72"/>
  <c r="H18" i="72"/>
  <c r="I18" i="72"/>
  <c r="E19" i="72"/>
  <c r="F19" i="72" s="1"/>
  <c r="H19" i="72"/>
  <c r="I19" i="72" s="1"/>
  <c r="E20" i="72"/>
  <c r="F20" i="72"/>
  <c r="H20" i="72"/>
  <c r="I20" i="72"/>
  <c r="E21" i="72"/>
  <c r="F21" i="72" s="1"/>
  <c r="H21" i="72"/>
  <c r="I21" i="72" s="1"/>
  <c r="E22" i="72"/>
  <c r="F22" i="72"/>
  <c r="H22" i="72"/>
  <c r="I22" i="72"/>
  <c r="E23" i="72"/>
  <c r="F23" i="72" s="1"/>
  <c r="H23" i="72"/>
  <c r="I23" i="72" s="1"/>
  <c r="E24" i="72"/>
  <c r="F24" i="72"/>
  <c r="H24" i="72"/>
  <c r="I24" i="72"/>
  <c r="E25" i="72"/>
  <c r="F25" i="72" s="1"/>
  <c r="H25" i="72"/>
  <c r="I25" i="72" s="1"/>
  <c r="C18" i="30"/>
  <c r="E18" i="30" s="1"/>
  <c r="F18" i="30" s="1"/>
  <c r="D18" i="30"/>
  <c r="C19" i="30"/>
  <c r="D19" i="30"/>
  <c r="C20" i="30"/>
  <c r="D20" i="30"/>
  <c r="H20" i="30"/>
  <c r="I20" i="30" s="1"/>
  <c r="C21" i="30"/>
  <c r="D21" i="30"/>
  <c r="C22" i="30"/>
  <c r="D22" i="30"/>
  <c r="H22" i="30"/>
  <c r="I22" i="30" s="1"/>
  <c r="C23" i="30"/>
  <c r="D23" i="30"/>
  <c r="C24" i="30"/>
  <c r="D24" i="30"/>
  <c r="C25" i="30"/>
  <c r="D25" i="30"/>
  <c r="H25" i="30"/>
  <c r="I25" i="30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C24" i="29"/>
  <c r="D24" i="29"/>
  <c r="H24" i="29"/>
  <c r="I24" i="29" s="1"/>
  <c r="C25" i="29"/>
  <c r="D25" i="29"/>
  <c r="H25" i="29"/>
  <c r="I25" i="29" s="1"/>
  <c r="C18" i="18"/>
  <c r="C18" i="34" s="1"/>
  <c r="D18" i="18"/>
  <c r="C19" i="18"/>
  <c r="C19" i="34" s="1"/>
  <c r="D19" i="18"/>
  <c r="D19" i="34" s="1"/>
  <c r="C20" i="18"/>
  <c r="C20" i="34" s="1"/>
  <c r="D20" i="18"/>
  <c r="D20" i="34" s="1"/>
  <c r="H20" i="18"/>
  <c r="C21" i="18"/>
  <c r="C21" i="34" s="1"/>
  <c r="D21" i="18"/>
  <c r="D21" i="34" s="1"/>
  <c r="C22" i="18"/>
  <c r="C22" i="34" s="1"/>
  <c r="D22" i="18"/>
  <c r="C23" i="18"/>
  <c r="C23" i="34" s="1"/>
  <c r="D23" i="18"/>
  <c r="D23" i="34" s="1"/>
  <c r="H23" i="18"/>
  <c r="I23" i="18" s="1"/>
  <c r="C24" i="18"/>
  <c r="C24" i="34" s="1"/>
  <c r="D24" i="18"/>
  <c r="D24" i="34" s="1"/>
  <c r="C25" i="18"/>
  <c r="C25" i="34" s="1"/>
  <c r="D25" i="18"/>
  <c r="D25" i="34" s="1"/>
  <c r="H22" i="34"/>
  <c r="C18" i="1"/>
  <c r="D18" i="1"/>
  <c r="G18" i="1"/>
  <c r="C19" i="1"/>
  <c r="D19" i="1"/>
  <c r="G19" i="1"/>
  <c r="C20" i="1"/>
  <c r="D20" i="1"/>
  <c r="G20" i="1"/>
  <c r="H20" i="1"/>
  <c r="C21" i="1"/>
  <c r="E21" i="1" s="1"/>
  <c r="F21" i="1" s="1"/>
  <c r="D21" i="1"/>
  <c r="G21" i="1"/>
  <c r="H21" i="1"/>
  <c r="C22" i="1"/>
  <c r="D22" i="1"/>
  <c r="G22" i="1"/>
  <c r="H22" i="1"/>
  <c r="C23" i="1"/>
  <c r="D23" i="1"/>
  <c r="G23" i="1"/>
  <c r="H23" i="1"/>
  <c r="C24" i="1"/>
  <c r="D24" i="1"/>
  <c r="G24" i="1"/>
  <c r="H24" i="1"/>
  <c r="I24" i="1" s="1"/>
  <c r="C25" i="1"/>
  <c r="D25" i="1"/>
  <c r="G25" i="1"/>
  <c r="H25" i="1"/>
  <c r="I25" i="1" s="1"/>
  <c r="C16" i="30"/>
  <c r="D16" i="30"/>
  <c r="C17" i="30"/>
  <c r="D17" i="30"/>
  <c r="E17" i="30" s="1"/>
  <c r="F17" i="30" s="1"/>
  <c r="C16" i="29"/>
  <c r="D16" i="29"/>
  <c r="C17" i="29"/>
  <c r="D17" i="29"/>
  <c r="C16" i="18"/>
  <c r="C16" i="34" s="1"/>
  <c r="D16" i="18"/>
  <c r="D16" i="34" s="1"/>
  <c r="C17" i="18"/>
  <c r="C17" i="34" s="1"/>
  <c r="D17" i="18"/>
  <c r="D17" i="34" s="1"/>
  <c r="C16" i="1"/>
  <c r="D16" i="1"/>
  <c r="G16" i="1"/>
  <c r="C17" i="1"/>
  <c r="D17" i="1"/>
  <c r="G17" i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D13" i="30"/>
  <c r="C13" i="30"/>
  <c r="D12" i="30"/>
  <c r="C12" i="30"/>
  <c r="D11" i="30"/>
  <c r="C11" i="30"/>
  <c r="E11" i="30" s="1"/>
  <c r="F11" i="30" s="1"/>
  <c r="D10" i="30"/>
  <c r="C10" i="30"/>
  <c r="D9" i="30"/>
  <c r="C9" i="30"/>
  <c r="D8" i="30"/>
  <c r="C8" i="30"/>
  <c r="D7" i="30"/>
  <c r="C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D15" i="34" s="1"/>
  <c r="C15" i="18"/>
  <c r="C15" i="34" s="1"/>
  <c r="D14" i="18"/>
  <c r="D14" i="34" s="1"/>
  <c r="C14" i="18"/>
  <c r="C14" i="34" s="1"/>
  <c r="D13" i="18"/>
  <c r="D13" i="34" s="1"/>
  <c r="C13" i="18"/>
  <c r="C13" i="34" s="1"/>
  <c r="D12" i="18"/>
  <c r="C12" i="18"/>
  <c r="C12" i="34" s="1"/>
  <c r="D11" i="18"/>
  <c r="D11" i="34" s="1"/>
  <c r="C11" i="18"/>
  <c r="C11" i="34" s="1"/>
  <c r="D10" i="18"/>
  <c r="D10" i="34" s="1"/>
  <c r="C10" i="18"/>
  <c r="C10" i="34" s="1"/>
  <c r="D9" i="18"/>
  <c r="D9" i="34" s="1"/>
  <c r="C9" i="18"/>
  <c r="C9" i="34" s="1"/>
  <c r="D8" i="18"/>
  <c r="D8" i="34" s="1"/>
  <c r="C8" i="18"/>
  <c r="C8" i="34" s="1"/>
  <c r="D7" i="18"/>
  <c r="D7" i="34" s="1"/>
  <c r="C7" i="18"/>
  <c r="C7" i="34" s="1"/>
  <c r="D6" i="18"/>
  <c r="D6" i="34" s="1"/>
  <c r="C6" i="18"/>
  <c r="C6" i="34" s="1"/>
  <c r="D5" i="18"/>
  <c r="D5" i="34" s="1"/>
  <c r="C5" i="18"/>
  <c r="C5" i="34" s="1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5" i="34" l="1"/>
  <c r="F25" i="34" s="1"/>
  <c r="H24" i="18"/>
  <c r="I24" i="18" s="1"/>
  <c r="E17" i="34"/>
  <c r="F17" i="34" s="1"/>
  <c r="H19" i="18"/>
  <c r="I19" i="18" s="1"/>
  <c r="I22" i="34"/>
  <c r="I23" i="34"/>
  <c r="G2" i="18"/>
  <c r="I20" i="18"/>
  <c r="I21" i="34"/>
  <c r="G2" i="34"/>
  <c r="I20" i="34"/>
  <c r="E22" i="34"/>
  <c r="F22" i="34" s="1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21" i="34"/>
  <c r="F21" i="34" s="1"/>
  <c r="E16" i="1"/>
  <c r="F16" i="1" s="1"/>
  <c r="H19" i="1"/>
  <c r="I19" i="1" s="1"/>
  <c r="H25" i="34"/>
  <c r="I25" i="34" s="1"/>
  <c r="E23" i="34"/>
  <c r="F23" i="34" s="1"/>
  <c r="E18" i="34"/>
  <c r="F18" i="34" s="1"/>
  <c r="I23" i="3"/>
  <c r="I21" i="3"/>
  <c r="I19" i="3"/>
  <c r="E16" i="34"/>
  <c r="F16" i="34" s="1"/>
  <c r="H24" i="34"/>
  <c r="I24" i="34" s="1"/>
  <c r="E19" i="34"/>
  <c r="F19" i="34" s="1"/>
  <c r="I22" i="1"/>
  <c r="I20" i="1"/>
  <c r="I18" i="1"/>
  <c r="E24" i="1"/>
  <c r="F24" i="1" s="1"/>
  <c r="E22" i="1"/>
  <c r="F22" i="1" s="1"/>
  <c r="E24" i="34"/>
  <c r="F24" i="34" s="1"/>
  <c r="E20" i="34"/>
  <c r="F20" i="34" s="1"/>
  <c r="E17" i="1"/>
  <c r="F17" i="1" s="1"/>
  <c r="I23" i="1"/>
  <c r="I21" i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D2" i="34" s="1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E4" i="34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<sst xmlns="http://schemas.openxmlformats.org/spreadsheetml/2006/main" count="356" uniqueCount="110">
  <si>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</si>
  <si>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</si>
  <si>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</si>
  <si>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</si>
  <si>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</si>
  <si>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</si>
  <si>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</si>
  <si>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</si>
  <si>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</si>
  <si>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</si>
  <si>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</si>
  <si>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</si>
  <si>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</si>
  <si>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</si>
  <si>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</si>
  <si>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</si>
  <si>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</si>
  <si>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</si>
  <si>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</si>
  <si>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</si>
  <si>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</si>
  <si>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</si>
  <si>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</si>
  <si>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</si>
  <si>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</si>
  <si>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</si>
  <si>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</si>
  <si>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</si>
  <si>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Microinverter 202305091322 has never produced from the day site has started</t>
  </si>
  <si>
    <t>1. SR088272</t>
  </si>
  <si>
    <t>1. Site is offline from 04/01/2024 to 06/27/2024 and again offline from 07/19/2024 (site started communicatimg from April 2024)</t>
  </si>
  <si>
    <t>1.SR088245</t>
  </si>
  <si>
    <t>1. Microinverter 202305093144 is offline
     Microinverter 202305091209 has no communication
     Microinverter 202305089706 has no communication
these issues been present since site started communicating</t>
  </si>
  <si>
    <t>1. SR086320</t>
  </si>
  <si>
    <t>1. Site gateway not reporting since 08/01/2023</t>
  </si>
  <si>
    <t>1. SR086405</t>
  </si>
  <si>
    <t/>
  </si>
  <si>
    <t xml:space="preserve">1. Microinverter 202305092066 is starting late (between 9:30am to 12pm) for production on multiple days </t>
  </si>
  <si>
    <t>1. SR088271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</si>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</sst>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164" fontId="0" fillId="0" borderId="0" xfId="0" applyNumberFormat="1"/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CBRE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SUM(C4:C87)</f>
        <v>100099.47299999998</v>
      </c>
      <c r="D2" s="5">
        <f>SUM(D4:D87)</f>
        <v>0</v>
      </c>
      <c r="E2" s="5">
        <f>C2-D2</f>
        <v>100099.47299999998</v>
      </c>
      <c r="F2" s="6">
        <f>IFERROR(E2/D2, 0)</f>
        <v>0</v>
      </c>
      <c r="G2" s="5">
        <f>SUM(G4:G87)</f>
        <v>0</v>
      </c>
      <c r="H2" s="7">
        <f>C2-G2</f>
        <v>100099.47299999998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East Hartford - BA</v>
      </c>
      <c r="B4" s="9" t="str" cm="1">
        <f t="array" ref="B4:B25">Sites[State]</f>
        <v>CT</v>
      </c>
      <c r="C4" s="24">
        <f>SUM('1st Qtr'!C4, '2nd Qtr'!C4, '3rd Qtr'!C4, '4th Qtr'!C4)</f>
        <v>9160.7989999999991</v>
      </c>
      <c r="D4" s="13">
        <f>SUM('1st Qtr'!D4, '2nd Qtr'!D4, '3rd Qtr'!D4, '4th Qtr'!D4)</f>
        <v>0</v>
      </c>
      <c r="E4" s="13">
        <f>IF(AND(ISNUMBER(C4),ISNUMBER(D4)), C4-D4, "")</f>
        <v>9160.7989999999991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9160.7989999999991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SUM('1st Qtr'!C5, '2nd Qtr'!C5, '3rd Qtr'!C5, '4th Qtr'!C5)</f>
        <v>4212.07</v>
      </c>
      <c r="D5" s="18">
        <f>SUM('1st Qtr'!D5, '2nd Qtr'!D5, '3rd Qtr'!D5, '4th Qtr'!D5)</f>
        <v>0</v>
      </c>
      <c r="E5" s="18">
        <f t="shared" ref="E5:E13" si="0">IF(AND(ISNUMBER(C5),ISNUMBER(D5)), C5-D5, "")</f>
        <v>4212.07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SUM('1st Qtr'!C6, '2nd Qtr'!C6, '3rd Qtr'!C6, '4th Qtr'!C6)</f>
        <v>2257</v>
      </c>
      <c r="D6" s="13">
        <f>SUM('1st Qtr'!D6, '2nd Qtr'!D6, '3rd Qtr'!D6, '4th Qtr'!D6)</f>
        <v>0</v>
      </c>
      <c r="E6" s="13">
        <f t="shared" si="0"/>
        <v>2257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SUM('1st Qtr'!C7, '2nd Qtr'!C7, '3rd Qtr'!C7, '4th Qtr'!C7)</f>
        <v>4847</v>
      </c>
      <c r="D7" s="18">
        <f>SUM('1st Qtr'!D7, '2nd Qtr'!D7, '3rd Qtr'!D7, '4th Qtr'!D7)</f>
        <v>0</v>
      </c>
      <c r="E7" s="18">
        <f t="shared" si="0"/>
        <v>4847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SUM('1st Qtr'!C8, '2nd Qtr'!C8, '3rd Qtr'!C8, '4th Qtr'!C8)</f>
        <v>7155</v>
      </c>
      <c r="D8" s="13">
        <f>SUM('1st Qtr'!D8, '2nd Qtr'!D8, '3rd Qtr'!D8, '4th Qtr'!D8)</f>
        <v>0</v>
      </c>
      <c r="E8" s="13">
        <f t="shared" si="0"/>
        <v>7155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SUM('1st Qtr'!C9, '2nd Qtr'!C9, '3rd Qtr'!C9, '4th Qtr'!C9)</f>
        <v>5955</v>
      </c>
      <c r="D9" s="18">
        <f>SUM('1st Qtr'!D9, '2nd Qtr'!D9, '3rd Qtr'!D9, '4th Qtr'!D9)</f>
        <v>0</v>
      </c>
      <c r="E9" s="18">
        <f t="shared" si="0"/>
        <v>5955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SUM('1st Qtr'!C10, '2nd Qtr'!C10, '3rd Qtr'!C10, '4th Qtr'!C10)</f>
        <v>6955</v>
      </c>
      <c r="D10" s="13">
        <f>SUM('1st Qtr'!D10, '2nd Qtr'!D10, '3rd Qtr'!D10, '4th Qtr'!D10)</f>
        <v>0</v>
      </c>
      <c r="E10" s="13">
        <f t="shared" si="0"/>
        <v>6955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SUM('1st Qtr'!C11, '2nd Qtr'!C11, '3rd Qtr'!C11, '4th Qtr'!C11)</f>
        <v>5070.2070000000003</v>
      </c>
      <c r="D11" s="18">
        <f>SUM('1st Qtr'!D11, '2nd Qtr'!D11, '3rd Qtr'!D11, '4th Qtr'!D11)</f>
        <v>0</v>
      </c>
      <c r="E11" s="18">
        <f t="shared" si="0"/>
        <v>5070.2070000000003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SUM('1st Qtr'!C12, '2nd Qtr'!C12, '3rd Qtr'!C12, '4th Qtr'!C12)</f>
        <v>0</v>
      </c>
      <c r="D12" s="13">
        <f>SUM('1st Qtr'!D12, '2nd Qtr'!D12, '3rd Qtr'!D12, '4th Qtr'!D12)</f>
        <v>0</v>
      </c>
      <c r="E12" s="13">
        <f t="shared" si="0"/>
        <v>0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SUM('1st Qtr'!C13, '2nd Qtr'!C13, '3rd Qtr'!C13, '4th Qtr'!C13)</f>
        <v>9116.7609999999986</v>
      </c>
      <c r="D13" s="18">
        <f>SUM('1st Qtr'!D13, '2nd Qtr'!D13, '3rd Qtr'!D13, '4th Qtr'!D13)</f>
        <v>0</v>
      </c>
      <c r="E13" s="18">
        <f t="shared" si="0"/>
        <v>9116.7609999999986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SUM('1st Qtr'!C14, '2nd Qtr'!C14, '3rd Qtr'!C14, '4th Qtr'!C14)</f>
        <v>5070</v>
      </c>
      <c r="D14" s="13">
        <f>SUM('1st Qtr'!D14, '2nd Qtr'!D14, '3rd Qtr'!D14, '4th Qtr'!D14)</f>
        <v>0</v>
      </c>
      <c r="E14" s="13">
        <f>IF(AND(ISNUMBER(C14),ISNUMBER(D14)), C14-D14, "")</f>
        <v>5070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>Columbus - BA Eastmoor</v>
      </c>
      <c r="B15" s="10" t="str">
        <v>OH</v>
      </c>
      <c r="C15" s="11">
        <f>SUM('1st Qtr'!C15, '2nd Qtr'!C15, '3rd Qtr'!C15, '4th Qtr'!C15)</f>
        <v>8285.5600000000013</v>
      </c>
      <c r="D15" s="18">
        <f>SUM('1st Qtr'!D15, '2nd Qtr'!D15, '3rd Qtr'!D15, '4th Qtr'!D15)</f>
        <v>0</v>
      </c>
      <c r="E15" s="18">
        <f>IF(AND(ISNUMBER(C15),ISNUMBER(D15)), C15-D15, "")</f>
        <v>8285.5600000000013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75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SUM('1st Qtr'!C17, '2nd Qtr'!C17, '3rd Qtr'!C17, '4th Qtr'!C17)</f>
        <v>1570.8910000000001</v>
      </c>
      <c r="D17" s="18">
        <f>SUM('1st Qtr'!D17, '2nd Qtr'!D17, '3rd Qtr'!D17, '4th Qtr'!D17)</f>
        <v>0</v>
      </c>
      <c r="E17" s="18">
        <f t="shared" si="3"/>
        <v>1570.8910000000001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SUM('1st Qtr'!C19, '2nd Qtr'!C19, '3rd Qtr'!C19, '4th Qtr'!C19)</f>
        <v>0</v>
      </c>
      <c r="D19" s="18">
        <f>SUM('1st Qtr'!D19, '2nd Qtr'!D19, '3rd Qtr'!D19, '4th Qtr'!D19)</f>
        <v>0</v>
      </c>
      <c r="E19" s="18">
        <f t="shared" si="6"/>
        <v>0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SUM('1st Qtr'!C20, '2nd Qtr'!C20, '3rd Qtr'!C20, '4th Qtr'!C20)</f>
        <v>5901.9989999999998</v>
      </c>
      <c r="D20" s="13">
        <f>SUM('1st Qtr'!D20, '2nd Qtr'!D20, '3rd Qtr'!D20, '4th Qtr'!D20)</f>
        <v>0</v>
      </c>
      <c r="E20" s="13">
        <f t="shared" si="6"/>
        <v>5901.9989999999998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SUM('1st Qtr'!C21, '2nd Qtr'!C21, '3rd Qtr'!C21, '4th Qtr'!C21)</f>
        <v>7407.1970000000001</v>
      </c>
      <c r="D21" s="18">
        <f>SUM('1st Qtr'!D21, '2nd Qtr'!D21, '3rd Qtr'!D21, '4th Qtr'!D21)</f>
        <v>0</v>
      </c>
      <c r="E21" s="18">
        <f t="shared" si="6"/>
        <v>7407.1970000000001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SUM('1st Qtr'!C23, '2nd Qtr'!C23, '3rd Qtr'!C23, '4th Qtr'!C23)</f>
        <v>8348.0169999999998</v>
      </c>
      <c r="D23" s="18">
        <f>SUM('1st Qtr'!D23, '2nd Qtr'!D23, '3rd Qtr'!D23, '4th Qtr'!D23)</f>
        <v>0</v>
      </c>
      <c r="E23" s="18">
        <f t="shared" si="6"/>
        <v>8348.0169999999998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SUM('1st Qtr'!C24, '2nd Qtr'!C24, '3rd Qtr'!C24, '4th Qtr'!C24)</f>
        <v>4545.9719999999998</v>
      </c>
      <c r="D24" s="13">
        <f>SUM('1st Qtr'!D24, '2nd Qtr'!D24, '3rd Qtr'!D24, '4th Qtr'!D24)</f>
        <v>0</v>
      </c>
      <c r="E24" s="13">
        <f t="shared" si="6"/>
        <v>4545.9719999999998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SUM('1st Qtr'!C25, '2nd Qtr'!C25, '3rd Qtr'!C25, '4th Qtr'!C25)</f>
        <v>4241</v>
      </c>
      <c r="D25" s="18">
        <f>SUM('1st Qtr'!D25, '2nd Qtr'!D25, '3rd Qtr'!D25, '4th Qtr'!D25)</f>
        <v>0</v>
      </c>
      <c r="E25" s="18">
        <f t="shared" si="6"/>
        <v>4241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G4:G25">
    <cfRule type="cellIs" dxfId="40" priority="1" stopIfTrue="1" operator="lessThanOrEqual">
      <formula>-0.1</formula>
    </cfRule>
    <cfRule type="expression" dxfId="39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3" sqref="E1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CBRE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East Hartford - BA</v>
      </c>
      <c r="B4" s="9" t="str" cm="1">
        <f t="array" ref="B4:B25">Sites[State]</f>
        <v>CT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CBRE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SUM(C4:C86)</f>
        <v>100099.47299999998</v>
      </c>
      <c r="D2" s="5">
        <f>SUM(D4:D86)</f>
        <v>0</v>
      </c>
      <c r="E2" s="5">
        <f>C2-D2</f>
        <v>100099.47299999998</v>
      </c>
      <c r="F2" s="6">
        <f>IFERROR(E2/D2, 0)</f>
        <v>0</v>
      </c>
      <c r="G2" s="5">
        <f>SUM(G4:G86)</f>
        <v>0</v>
      </c>
      <c r="H2" s="7">
        <f>C2-G2</f>
        <v>100099.47299999998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East Hartford - BA</v>
      </c>
      <c r="B4" s="9" t="str" cm="1">
        <f t="array" ref="B4:B25">Sites[State]</f>
        <v>CT</v>
      </c>
      <c r="C4" s="24">
        <f>SUM(Apr!C4, May!C4, Jun!C4)</f>
        <v>9160.7989999999991</v>
      </c>
      <c r="D4" s="13">
        <f>SUM(Apr!D4, May!D4, Jun!D4)</f>
        <v>0</v>
      </c>
      <c r="E4" s="13">
        <f>IF(AND(ISNUMBER(C4),ISNUMBER(D4)), C4-D4, "")</f>
        <v>9160.7989999999991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9160.7989999999991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SUM(Apr!C5, May!C5, Jun!C5)</f>
        <v>4212.07</v>
      </c>
      <c r="D5" s="18">
        <f>SUM(Apr!D5, May!D5, Jun!D5)</f>
        <v>0</v>
      </c>
      <c r="E5" s="18">
        <f t="shared" ref="E5:E15" si="0">IF(AND(ISNUMBER(C5),ISNUMBER(D5)), C5-D5, "")</f>
        <v>4212.07</v>
      </c>
      <c r="F5" s="19" t="str">
        <f>IFERROR(E5/D5, "")</f>
        <v/>
      </c>
      <c r="G5" s="19">
        <f>SUM(Apr!G5, May!G5, Jun!G5)</f>
        <v>0</v>
      </c>
      <c r="H5" s="20">
        <f>SUM(Apr!H5, May!H5, Jun!H5)</f>
        <v>4212.07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SUM(Apr!C6, May!C6, Jun!C6)</f>
        <v>2257</v>
      </c>
      <c r="D6" s="13">
        <f>SUM(Apr!D6, May!D6, Jun!D6)</f>
        <v>0</v>
      </c>
      <c r="E6" s="13">
        <f t="shared" si="0"/>
        <v>2257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2257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SUM(Apr!C7, May!C7, Jun!C7)</f>
        <v>4847</v>
      </c>
      <c r="D7" s="18">
        <f>SUM(Apr!D7, May!D7, Jun!D7)</f>
        <v>0</v>
      </c>
      <c r="E7" s="18">
        <f t="shared" si="0"/>
        <v>4847</v>
      </c>
      <c r="F7" s="19" t="str">
        <f t="shared" si="1"/>
        <v/>
      </c>
      <c r="G7" s="19">
        <f>SUM(Apr!G7, May!G7, Jun!G7)</f>
        <v>0</v>
      </c>
      <c r="H7" s="20">
        <f>SUM(Apr!H7, May!H7, Jun!H7)</f>
        <v>4847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SUM(Apr!C8, May!C8, Jun!C8)</f>
        <v>7155</v>
      </c>
      <c r="D8" s="13">
        <f>SUM(Apr!D8, May!D8, Jun!D8)</f>
        <v>0</v>
      </c>
      <c r="E8" s="13">
        <f t="shared" si="0"/>
        <v>7155</v>
      </c>
      <c r="F8" s="14" t="str">
        <f t="shared" si="1"/>
        <v/>
      </c>
      <c r="G8" s="16">
        <f>SUM(Apr!G8, May!G8, Jun!G8)</f>
        <v>0</v>
      </c>
      <c r="H8" s="15">
        <f>SUM(Apr!H8, May!H8, Jun!H8)</f>
        <v>7155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SUM(Apr!C9, May!C9, Jun!C9)</f>
        <v>5955</v>
      </c>
      <c r="D9" s="18">
        <f>SUM(Apr!D9, May!D9, Jun!D9)</f>
        <v>0</v>
      </c>
      <c r="E9" s="18">
        <f t="shared" si="0"/>
        <v>5955</v>
      </c>
      <c r="F9" s="19" t="str">
        <f t="shared" si="1"/>
        <v/>
      </c>
      <c r="G9" s="19">
        <f>SUM(Apr!G9, May!G9, Jun!G9)</f>
        <v>0</v>
      </c>
      <c r="H9" s="20">
        <f>SUM(Apr!H9, May!H9, Jun!H9)</f>
        <v>5955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SUM(Apr!C10, May!C10, Jun!C10)</f>
        <v>6955</v>
      </c>
      <c r="D10" s="13">
        <f>SUM(Apr!D10, May!D10, Jun!D10)</f>
        <v>0</v>
      </c>
      <c r="E10" s="13">
        <f t="shared" si="0"/>
        <v>6955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6955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SUM(Apr!C11, May!C11, Jun!C11)</f>
        <v>5070.2070000000003</v>
      </c>
      <c r="D11" s="18">
        <f>SUM(Apr!D11, May!D11, Jun!D11)</f>
        <v>0</v>
      </c>
      <c r="E11" s="18">
        <f t="shared" si="0"/>
        <v>5070.2070000000003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5070.2070000000003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SUM(Apr!C13, May!C13, Jun!C13)</f>
        <v>9116.7609999999986</v>
      </c>
      <c r="D13" s="18">
        <f>SUM(Apr!D13, May!D13, Jun!D13)</f>
        <v>0</v>
      </c>
      <c r="E13" s="18">
        <f t="shared" si="0"/>
        <v>9116.7609999999986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9116.7609999999986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SUM(Apr!C14, May!C14, Jun!C14)</f>
        <v>5070</v>
      </c>
      <c r="D14" s="13">
        <f>SUM(Apr!D14, May!D14, Jun!D14)</f>
        <v>0</v>
      </c>
      <c r="E14" s="13">
        <f t="shared" si="0"/>
        <v>5070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5070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SUM(Apr!C15, May!C15, Jun!C15)</f>
        <v>8285.5600000000013</v>
      </c>
      <c r="D15" s="18">
        <f>SUM(Apr!D15, May!D15, Jun!D15)</f>
        <v>0</v>
      </c>
      <c r="E15" s="18">
        <f t="shared" si="0"/>
        <v>8285.5600000000013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8285.5600000000013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SUM(Apr!C17, May!C17, Jun!C17)</f>
        <v>1570.8910000000001</v>
      </c>
      <c r="D17" s="18">
        <f>SUM(Apr!D17, May!D17, Jun!D17)</f>
        <v>0</v>
      </c>
      <c r="E17" s="18">
        <f t="shared" si="3"/>
        <v>1570.8910000000001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1570.8910000000001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75">
      <c r="A19" s="17" t="str">
        <v>Baltimore - BA Sudbrook Lane</v>
      </c>
      <c r="B19" s="10" t="str">
        <v>MD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75">
      <c r="A20" s="12" t="str">
        <v>Stamford - BA West Stamford</v>
      </c>
      <c r="B20" s="9" t="str">
        <v>CT</v>
      </c>
      <c r="C20" s="24">
        <f>SUM(Apr!C20, May!C20, Jun!C20)</f>
        <v>5901.9989999999998</v>
      </c>
      <c r="D20" s="13">
        <f>SUM(Apr!D20, May!D20, Jun!D20)</f>
        <v>0</v>
      </c>
      <c r="E20" s="13">
        <f t="shared" ref="E20:E25" si="6">IF(AND(ISNUMBER(C20),ISNUMBER(D20)), C20-D20, "")</f>
        <v>5901.9989999999998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5901.9989999999998</v>
      </c>
      <c r="I20" s="16" t="str">
        <f t="shared" ref="I20:I25" si="8">IFERROR(H20/G20, "")</f>
        <v/>
      </c>
    </row>
    <row r="21" spans="1:9" ht="15.75">
      <c r="A21" s="17" t="str">
        <v>Hanover - BA Arundel Mills</v>
      </c>
      <c r="B21" s="10" t="str">
        <v>MD</v>
      </c>
      <c r="C21" s="11">
        <f>SUM(Apr!C21, May!C21, Jun!C21)</f>
        <v>7407.1970000000001</v>
      </c>
      <c r="D21" s="18">
        <f>SUM(Apr!D21, May!D21, Jun!D21)</f>
        <v>0</v>
      </c>
      <c r="E21" s="18">
        <f t="shared" si="6"/>
        <v>7407.1970000000001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7407.1970000000001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SUM(Apr!C23, May!C23, Jun!C23)</f>
        <v>8348.0169999999998</v>
      </c>
      <c r="D23" s="18">
        <f>SUM(Apr!D23, May!D23, Jun!D23)</f>
        <v>0</v>
      </c>
      <c r="E23" s="18">
        <f t="shared" si="6"/>
        <v>8348.0169999999998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8348017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SUM(Apr!C24, May!C24, Jun!C24)</f>
        <v>4545.9719999999998</v>
      </c>
      <c r="D24" s="13">
        <f>SUM(Apr!D24, May!D24, Jun!D24)</f>
        <v>0</v>
      </c>
      <c r="E24" s="13">
        <f t="shared" si="6"/>
        <v>4545.9719999999998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4545.9719999999998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SUM(Apr!C25, May!C25, Jun!C25)</f>
        <v>4241</v>
      </c>
      <c r="D25" s="18">
        <f>SUM(Apr!D25, May!D25, Jun!D25)</f>
        <v>0</v>
      </c>
      <c r="E25" s="18">
        <f t="shared" si="6"/>
        <v>4241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4241</v>
      </c>
      <c r="I25" s="19" t="str">
        <f t="shared" si="8"/>
        <v/>
      </c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4:G25">
    <cfRule type="cellIs" dxfId="34" priority="1" stopIfTrue="1" operator="lessThanOrEqual">
      <formula>-0.1</formula>
    </cfRule>
    <cfRule type="expression" dxfId="3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4" activePane="bottomRight" state="frozen"/>
      <selection pane="bottomRight" activeCell="L13" sqref="L1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CBRE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East Hartford - BA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75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75">
      <c r="A20" s="12" t="str">
        <v>Stamford - BA West Stamford</v>
      </c>
      <c r="B20" s="9" t="str">
        <v>CT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17" t="str">
        <v>Hanover - BA Arundel Mills</v>
      </c>
      <c r="B21" s="10" t="str">
        <v>MD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L21" sqref="L2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CBRE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5">Sites[Site]</f>
        <v>East Hartford - BA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xSplit="2" ySplit="3" topLeftCell="C4" activePane="bottomRight" state="frozen"/>
      <selection pane="bottomRight" activeCell="H6" sqref="H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>New York - BA Two Bryant Pk</v>
      </c>
      <c r="B18" s="29" t="str">
        <v>NY</v>
      </c>
      <c r="C18" s="24"/>
      <c r="D18" s="13"/>
      <c r="E18" s="13" t="str">
        <f t="shared" ref="E18:E25" si="10">IF(AND(ISNUMBER(C18),ISNUMBER(D18)), C18-D18, "")</f>
        <v/>
      </c>
      <c r="F18" s="14" t="str">
        <f t="shared" ref="F18:F25" si="11">IFERROR(E18/D18, "")</f>
        <v/>
      </c>
      <c r="G18" s="15"/>
      <c r="H18" s="15" t="str">
        <f t="shared" ref="H18:H25" si="12">IF(AND(ISNUMBER(C18),ISNUMBER(G18)), C18-G18, "")</f>
        <v/>
      </c>
      <c r="I18" s="16" t="str">
        <f t="shared" ref="I18:I25" si="13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 F4:F85 I4:I85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xSplit="2" ySplit="3" topLeftCell="C4" activePane="bottomRight" state="frozen"/>
      <selection pane="bottomRight" activeCell="E8" sqref="E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8">IF(AND(ISNUMBER(C18),ISNUMBER(D18)), C18-D18, "")</f>
        <v/>
      </c>
      <c r="F18" s="14" t="str">
        <f t="shared" ref="F18:F25" si="9">IFERROR(E18/D18, "")</f>
        <v/>
      </c>
      <c r="G18" s="15"/>
      <c r="H18" s="15" t="str">
        <f t="shared" ref="H18:H25" si="10">IF(AND(ISNUMBER(C18),ISNUMBER(G18)), C18-G18, "")</f>
        <v/>
      </c>
      <c r="I18" s="16" t="str">
        <f t="shared" ref="I18:I25" si="11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xSplit="2" ySplit="3" topLeftCell="C4" activePane="bottomRight" state="frozen"/>
      <selection pane="bottomRight" activeCell="E13" sqref="E1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80" zoomScaleNormal="80" workbookViewId="0">
      <pane xSplit="2" ySplit="3" topLeftCell="C8" activePane="bottomRight" state="frozen"/>
      <selection pane="bottomRight" activeCell="J25" sqref="J25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CBRE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2" ht="19.5" customHeight="1">
      <c r="A2" s="55" t="s">
        <v>2</v>
      </c>
      <c r="B2" s="55"/>
      <c r="C2" s="5">
        <f>SUM(C4:C85)</f>
        <v>29085.181000000004</v>
      </c>
      <c r="D2" s="5">
        <f>SUM(D4:D85)</f>
        <v>0</v>
      </c>
      <c r="E2" s="5">
        <f>C2-D2</f>
        <v>29085.181000000004</v>
      </c>
      <c r="F2" s="6">
        <f>IFERROR(E2/D2, 0)</f>
        <v>0</v>
      </c>
      <c r="G2" s="5">
        <f>SUM(G4:G85)</f>
        <v>0</v>
      </c>
      <c r="H2" s="7">
        <f>C2-G2</f>
        <v>29085.181000000004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>
        <v>2586.0650000000001</v>
      </c>
      <c r="D4" s="13">
        <v>0</v>
      </c>
      <c r="E4" s="13">
        <f>IF(AND(ISNUMBER(C4),ISNUMBER(D4)), C4-D4, "")</f>
        <v>2586.0650000000001</v>
      </c>
      <c r="F4" s="14" t="str">
        <f>IFERROR(E4/D4, "")</f>
        <v/>
      </c>
      <c r="G4" s="15">
        <v>0</v>
      </c>
      <c r="H4" s="15">
        <f>IF(AND(ISNUMBER(C4),ISNUMBER(G4)), C4-G4, "")</f>
        <v>2586.0650000000001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1249.07</v>
      </c>
      <c r="D5" s="18">
        <v>0</v>
      </c>
      <c r="E5" s="18">
        <f t="shared" ref="E5:E17" si="0">IF(AND(ISNUMBER(C5),ISNUMBER(D5)), C5-D5, "")</f>
        <v>1249.07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1249.07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661</v>
      </c>
      <c r="D6" s="13">
        <v>0</v>
      </c>
      <c r="E6" s="13">
        <f t="shared" si="0"/>
        <v>661</v>
      </c>
      <c r="F6" s="14" t="str">
        <f t="shared" ref="F6:F17" si="3">IFERROR(E6/D6, "")</f>
        <v/>
      </c>
      <c r="G6" s="15">
        <v>0</v>
      </c>
      <c r="H6" s="15">
        <f t="shared" si="1"/>
        <v>661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1473</v>
      </c>
      <c r="D7" s="18">
        <v>0</v>
      </c>
      <c r="E7" s="18">
        <f t="shared" si="0"/>
        <v>1473</v>
      </c>
      <c r="F7" s="19" t="str">
        <f t="shared" si="3"/>
        <v/>
      </c>
      <c r="G7" s="20">
        <v>0</v>
      </c>
      <c r="H7" s="20">
        <f t="shared" si="1"/>
        <v>1473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2200</v>
      </c>
      <c r="D8" s="13">
        <v>0</v>
      </c>
      <c r="E8" s="13">
        <f t="shared" si="0"/>
        <v>2200</v>
      </c>
      <c r="F8" s="14" t="str">
        <f t="shared" si="3"/>
        <v/>
      </c>
      <c r="G8" s="15">
        <v>0</v>
      </c>
      <c r="H8" s="15">
        <f t="shared" si="1"/>
        <v>2200</v>
      </c>
      <c r="I8" s="16" t="str">
        <f t="shared" si="2"/>
        <v/>
      </c>
      <c r="J8" s="41"/>
      <c r="K8" s="41"/>
      <c r="L8" s="47"/>
    </row>
    <row r="9" spans="1:12" ht="16.5">
      <c r="A9" s="30" t="str">
        <v>Columbus - BA Harrisburg Pike</v>
      </c>
      <c r="B9" s="31" t="str">
        <v>OH</v>
      </c>
      <c r="C9" s="11">
        <v>1805</v>
      </c>
      <c r="D9" s="18">
        <v>0</v>
      </c>
      <c r="E9" s="18">
        <f t="shared" si="0"/>
        <v>1805</v>
      </c>
      <c r="F9" s="19" t="str">
        <f t="shared" si="3"/>
        <v/>
      </c>
      <c r="G9" s="20">
        <v>0</v>
      </c>
      <c r="H9" s="20">
        <f t="shared" si="1"/>
        <v>1805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2125</v>
      </c>
      <c r="D10" s="13">
        <v>0</v>
      </c>
      <c r="E10" s="13">
        <f t="shared" si="0"/>
        <v>2125</v>
      </c>
      <c r="F10" s="14" t="str">
        <f t="shared" si="3"/>
        <v/>
      </c>
      <c r="G10" s="15">
        <v>0</v>
      </c>
      <c r="H10" s="15">
        <f t="shared" si="1"/>
        <v>2125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1460.7059999999999</v>
      </c>
      <c r="D11" s="18">
        <v>0</v>
      </c>
      <c r="E11" s="18">
        <f t="shared" si="0"/>
        <v>1460.7059999999999</v>
      </c>
      <c r="F11" s="19" t="str">
        <f t="shared" si="3"/>
        <v/>
      </c>
      <c r="G11" s="20">
        <v>0</v>
      </c>
      <c r="H11" s="20">
        <f t="shared" si="1"/>
        <v>1460.7059999999999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2625.9929999999999</v>
      </c>
      <c r="D13" s="18">
        <v>0</v>
      </c>
      <c r="E13" s="18">
        <f t="shared" si="0"/>
        <v>2625.9929999999999</v>
      </c>
      <c r="F13" s="19" t="str">
        <f t="shared" si="3"/>
        <v/>
      </c>
      <c r="G13" s="20">
        <v>0</v>
      </c>
      <c r="H13" s="20">
        <f t="shared" si="1"/>
        <v>2625.9929999999999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1460</v>
      </c>
      <c r="D14" s="13">
        <v>0</v>
      </c>
      <c r="E14" s="13">
        <f t="shared" si="0"/>
        <v>1460</v>
      </c>
      <c r="F14" s="14" t="str">
        <f t="shared" si="3"/>
        <v/>
      </c>
      <c r="G14" s="15">
        <v>0</v>
      </c>
      <c r="H14" s="15">
        <f t="shared" si="1"/>
        <v>1460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2539.623</v>
      </c>
      <c r="D15" s="18">
        <v>0</v>
      </c>
      <c r="E15" s="18">
        <f t="shared" si="0"/>
        <v>2539.623</v>
      </c>
      <c r="F15" s="19" t="str">
        <f t="shared" si="3"/>
        <v/>
      </c>
      <c r="G15" s="20">
        <v>0</v>
      </c>
      <c r="H15" s="20">
        <f t="shared" si="1"/>
        <v>2539.623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1673.3820000000001</v>
      </c>
      <c r="D20" s="13">
        <v>0</v>
      </c>
      <c r="E20" s="13">
        <f t="shared" si="4"/>
        <v>1673.3820000000001</v>
      </c>
      <c r="F20" s="14" t="str">
        <f t="shared" si="5"/>
        <v/>
      </c>
      <c r="G20" s="15">
        <v>0</v>
      </c>
      <c r="H20" s="15">
        <f t="shared" si="6"/>
        <v>1673.3820000000001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2159.1080000000002</v>
      </c>
      <c r="D21" s="18">
        <v>0</v>
      </c>
      <c r="E21" s="18">
        <f t="shared" si="4"/>
        <v>2159.1080000000002</v>
      </c>
      <c r="F21" s="19" t="str">
        <f t="shared" si="5"/>
        <v/>
      </c>
      <c r="G21" s="20">
        <v>0</v>
      </c>
      <c r="H21" s="20">
        <f t="shared" si="6"/>
        <v>2159.1080000000002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2439.8870000000002</v>
      </c>
      <c r="D23" s="18">
        <v>0</v>
      </c>
      <c r="E23" s="18">
        <v>2439887</v>
      </c>
      <c r="F23" s="19" t="s">
        <v>36</v>
      </c>
      <c r="G23" s="20">
        <v>0</v>
      </c>
      <c r="H23" s="20">
        <v>2439887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1345.347</v>
      </c>
      <c r="D24" s="13">
        <v>0</v>
      </c>
      <c r="E24" s="13">
        <f t="shared" si="4"/>
        <v>1345.347</v>
      </c>
      <c r="F24" s="14" t="str">
        <f t="shared" si="5"/>
        <v/>
      </c>
      <c r="G24" s="15">
        <v>0</v>
      </c>
      <c r="H24" s="15">
        <f t="shared" si="6"/>
        <v>1345.347</v>
      </c>
      <c r="I24" s="16" t="str">
        <f t="shared" si="7"/>
        <v/>
      </c>
      <c r="J24" s="41"/>
      <c r="K24" s="41"/>
      <c r="L24" s="47"/>
    </row>
    <row r="25" spans="1:12" ht="30.75">
      <c r="A25" s="30" t="str">
        <v>Lexington - BA North Park</v>
      </c>
      <c r="B25" s="31" t="str">
        <v>KY</v>
      </c>
      <c r="C25" s="11">
        <v>1282</v>
      </c>
      <c r="D25" s="18">
        <v>0</v>
      </c>
      <c r="E25" s="18">
        <f t="shared" si="4"/>
        <v>1282</v>
      </c>
      <c r="F25" s="19" t="str">
        <f t="shared" si="5"/>
        <v/>
      </c>
      <c r="G25" s="20">
        <v>0</v>
      </c>
      <c r="H25" s="20">
        <f t="shared" si="6"/>
        <v>1282</v>
      </c>
      <c r="I25" s="19" t="str">
        <f t="shared" si="7"/>
        <v/>
      </c>
      <c r="J25" s="42" t="s">
        <v>37</v>
      </c>
      <c r="K25" s="42" t="s">
        <v>38</v>
      </c>
    </row>
    <row r="26" spans="1:12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80" zoomScaleNormal="80" workbookViewId="0">
      <pane xSplit="2" ySplit="3" topLeftCell="C8" activePane="bottomRight" state="frozen"/>
      <selection pane="bottomRight" activeCell="J25" sqref="J25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CBRE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2" ht="19.5" customHeight="1">
      <c r="A2" s="55" t="s">
        <v>2</v>
      </c>
      <c r="B2" s="55"/>
      <c r="C2" s="5">
        <f>SUM(C4:C86)</f>
        <v>33269.073999999993</v>
      </c>
      <c r="D2" s="5">
        <f>SUM(D4:D86)</f>
        <v>0</v>
      </c>
      <c r="E2" s="5">
        <f>C2-D2</f>
        <v>33269.073999999993</v>
      </c>
      <c r="F2" s="6">
        <f>IFERROR(E2/D2, 0)</f>
        <v>0</v>
      </c>
      <c r="G2" s="5">
        <f>SUM(G4:G86)</f>
        <v>0</v>
      </c>
      <c r="H2" s="7">
        <f>C2-G2</f>
        <v>33269.073999999993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>
        <v>3115.7159999999999</v>
      </c>
      <c r="D4" s="13">
        <v>0</v>
      </c>
      <c r="E4" s="13">
        <f>IF(AND(ISNUMBER(C4),ISNUMBER(D4)), C4-D4, "")</f>
        <v>3115.7159999999999</v>
      </c>
      <c r="F4" s="14" t="str">
        <f>IFERROR(E4/D4, "")</f>
        <v/>
      </c>
      <c r="G4" s="15">
        <v>0</v>
      </c>
      <c r="H4" s="15">
        <f>IF(AND(ISNUMBER(C4),ISNUMBER(G4)), C4-G4, "")</f>
        <v>3115.7159999999999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1447</v>
      </c>
      <c r="D5" s="18">
        <v>0</v>
      </c>
      <c r="E5" s="18">
        <f t="shared" ref="E5:E17" si="0">IF(AND(ISNUMBER(C5),ISNUMBER(D5)), C5-D5, "")</f>
        <v>1447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1447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777</v>
      </c>
      <c r="D6" s="13">
        <v>0</v>
      </c>
      <c r="E6" s="13">
        <f t="shared" si="0"/>
        <v>777</v>
      </c>
      <c r="F6" s="14" t="str">
        <f t="shared" ref="F6:F17" si="3">IFERROR(E6/D6, "")</f>
        <v/>
      </c>
      <c r="G6" s="15">
        <v>0</v>
      </c>
      <c r="H6" s="15">
        <f t="shared" si="1"/>
        <v>777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1641</v>
      </c>
      <c r="D7" s="18">
        <v>0</v>
      </c>
      <c r="E7" s="18">
        <f t="shared" si="0"/>
        <v>1641</v>
      </c>
      <c r="F7" s="19" t="str">
        <f t="shared" si="3"/>
        <v/>
      </c>
      <c r="G7" s="20">
        <v>0</v>
      </c>
      <c r="H7" s="20">
        <f t="shared" si="1"/>
        <v>1641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2385</v>
      </c>
      <c r="D8" s="13">
        <v>0</v>
      </c>
      <c r="E8" s="13">
        <f t="shared" si="0"/>
        <v>2385</v>
      </c>
      <c r="F8" s="14" t="str">
        <f t="shared" si="3"/>
        <v/>
      </c>
      <c r="G8" s="15">
        <v>0</v>
      </c>
      <c r="H8" s="15">
        <f t="shared" si="1"/>
        <v>2385</v>
      </c>
      <c r="I8" s="16" t="str">
        <f t="shared" si="2"/>
        <v/>
      </c>
      <c r="J8" s="41"/>
      <c r="K8" s="41"/>
      <c r="L8" s="47"/>
    </row>
    <row r="9" spans="1:12" ht="16.5">
      <c r="A9" s="30" t="str">
        <v>Columbus - BA Harrisburg Pike</v>
      </c>
      <c r="B9" s="31" t="str">
        <v>OH</v>
      </c>
      <c r="C9" s="11">
        <v>1997</v>
      </c>
      <c r="D9" s="18">
        <v>0</v>
      </c>
      <c r="E9" s="18">
        <f t="shared" si="0"/>
        <v>1997</v>
      </c>
      <c r="F9" s="19" t="str">
        <f t="shared" si="3"/>
        <v/>
      </c>
      <c r="G9" s="20">
        <v>0</v>
      </c>
      <c r="H9" s="20">
        <f t="shared" si="1"/>
        <v>1997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2324</v>
      </c>
      <c r="D10" s="13">
        <v>0</v>
      </c>
      <c r="E10" s="13">
        <f t="shared" si="0"/>
        <v>2324</v>
      </c>
      <c r="F10" s="14" t="str">
        <f t="shared" si="3"/>
        <v/>
      </c>
      <c r="G10" s="15">
        <v>0</v>
      </c>
      <c r="H10" s="15">
        <f t="shared" si="1"/>
        <v>2324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1858.76</v>
      </c>
      <c r="D11" s="18">
        <v>0</v>
      </c>
      <c r="E11" s="18">
        <f t="shared" si="0"/>
        <v>1858.76</v>
      </c>
      <c r="F11" s="19" t="str">
        <f t="shared" si="3"/>
        <v/>
      </c>
      <c r="G11" s="20">
        <v>0</v>
      </c>
      <c r="H11" s="20">
        <f t="shared" si="1"/>
        <v>1858.76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3194.9070000000002</v>
      </c>
      <c r="D13" s="18">
        <v>0</v>
      </c>
      <c r="E13" s="18">
        <f t="shared" si="0"/>
        <v>3194.9070000000002</v>
      </c>
      <c r="F13" s="19" t="str">
        <f t="shared" si="3"/>
        <v/>
      </c>
      <c r="G13" s="20">
        <v>0</v>
      </c>
      <c r="H13" s="20">
        <f t="shared" si="1"/>
        <v>3194.9070000000002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1859</v>
      </c>
      <c r="D14" s="13">
        <v>0</v>
      </c>
      <c r="E14" s="13">
        <f t="shared" si="0"/>
        <v>1859</v>
      </c>
      <c r="F14" s="14" t="str">
        <f t="shared" si="3"/>
        <v/>
      </c>
      <c r="G14" s="15">
        <v>0</v>
      </c>
      <c r="H14" s="15">
        <f t="shared" si="1"/>
        <v>1859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2798.6950000000002</v>
      </c>
      <c r="D15" s="18">
        <v>0</v>
      </c>
      <c r="E15" s="18">
        <f t="shared" si="0"/>
        <v>2798.6950000000002</v>
      </c>
      <c r="F15" s="19" t="str">
        <f t="shared" si="3"/>
        <v/>
      </c>
      <c r="G15" s="20">
        <v>0</v>
      </c>
      <c r="H15" s="20">
        <f t="shared" si="1"/>
        <v>2798.6950000000002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1975.9580000000001</v>
      </c>
      <c r="D20" s="13">
        <v>0</v>
      </c>
      <c r="E20" s="13">
        <f t="shared" si="4"/>
        <v>1975.9580000000001</v>
      </c>
      <c r="F20" s="14" t="str">
        <f t="shared" si="5"/>
        <v/>
      </c>
      <c r="G20" s="15">
        <v>0</v>
      </c>
      <c r="H20" s="15">
        <f t="shared" si="6"/>
        <v>1975.9580000000001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2269.547</v>
      </c>
      <c r="D21" s="18">
        <v>0</v>
      </c>
      <c r="E21" s="18">
        <f t="shared" si="4"/>
        <v>2269.547</v>
      </c>
      <c r="F21" s="19" t="str">
        <f t="shared" si="5"/>
        <v/>
      </c>
      <c r="G21" s="20">
        <v>0</v>
      </c>
      <c r="H21" s="20">
        <f t="shared" si="6"/>
        <v>2269.547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2727.1</v>
      </c>
      <c r="D23" s="18">
        <v>0</v>
      </c>
      <c r="E23" s="18">
        <v>2727100</v>
      </c>
      <c r="F23" s="19" t="s">
        <v>36</v>
      </c>
      <c r="G23" s="20">
        <v>0</v>
      </c>
      <c r="H23" s="20">
        <v>2727100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1486.3910000000001</v>
      </c>
      <c r="D24" s="13">
        <v>0</v>
      </c>
      <c r="E24" s="13">
        <f t="shared" si="4"/>
        <v>1486.3910000000001</v>
      </c>
      <c r="F24" s="14" t="str">
        <f t="shared" si="5"/>
        <v/>
      </c>
      <c r="G24" s="15">
        <v>0</v>
      </c>
      <c r="H24" s="15">
        <f t="shared" si="6"/>
        <v>1486.3910000000001</v>
      </c>
      <c r="I24" s="16" t="str">
        <f t="shared" si="7"/>
        <v/>
      </c>
      <c r="J24" s="41"/>
      <c r="K24" s="41"/>
      <c r="L24" s="47"/>
    </row>
    <row r="25" spans="1:12" ht="30.75">
      <c r="A25" s="30" t="str">
        <v>Lexington - BA North Park</v>
      </c>
      <c r="B25" s="31" t="str">
        <v>KY</v>
      </c>
      <c r="C25" s="11">
        <v>1412</v>
      </c>
      <c r="D25" s="18">
        <v>0</v>
      </c>
      <c r="E25" s="18">
        <f t="shared" si="4"/>
        <v>1412</v>
      </c>
      <c r="F25" s="19" t="str">
        <f t="shared" si="5"/>
        <v/>
      </c>
      <c r="G25" s="20">
        <v>0</v>
      </c>
      <c r="H25" s="20">
        <f t="shared" si="6"/>
        <v>1412</v>
      </c>
      <c r="I25" s="19" t="str">
        <f t="shared" si="7"/>
        <v/>
      </c>
      <c r="J25" s="42" t="s">
        <v>37</v>
      </c>
      <c r="K25" s="42" t="s">
        <v>38</v>
      </c>
      <c r="L25" s="47"/>
    </row>
    <row r="26" spans="1:12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tabSelected="1" zoomScale="80" zoomScaleNormal="80" workbookViewId="0">
      <pane xSplit="2" ySplit="3" topLeftCell="C4" activePane="bottomRight" state="frozen"/>
      <selection pane="bottomRight" activeCell="J6" sqref="J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CBRE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2" ht="19.5" customHeight="1">
      <c r="A2" s="55" t="s">
        <v>2</v>
      </c>
      <c r="B2" s="55"/>
      <c r="C2" s="5">
        <f>SUM(C4:C86)</f>
        <v>37745.218000000001</v>
      </c>
      <c r="D2" s="5">
        <f>SUM(D4:D86)</f>
        <v>0</v>
      </c>
      <c r="E2" s="5">
        <f>C2-D2</f>
        <v>37745.218000000001</v>
      </c>
      <c r="F2" s="6">
        <f>IFERROR(E2/D2, 0)</f>
        <v>0</v>
      </c>
      <c r="G2" s="5">
        <f>SUM(G4:G86)</f>
        <v>0</v>
      </c>
      <c r="H2" s="7">
        <f>C2-G2</f>
        <v>37745.218000000001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>
        <v>3459.018</v>
      </c>
      <c r="D4" s="13">
        <v>0</v>
      </c>
      <c r="E4" s="13">
        <f>IF(AND(ISNUMBER(C4),ISNUMBER(D4)), C4-D4, "")</f>
        <v>3459.018</v>
      </c>
      <c r="F4" s="14" t="str">
        <f>IFERROR(E4/D4, "")</f>
        <v/>
      </c>
      <c r="G4" s="15">
        <v>0</v>
      </c>
      <c r="H4" s="15">
        <f>IF(AND(ISNUMBER(C4),ISNUMBER(G4)), C4-G4, "")</f>
        <v>3459.018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1516</v>
      </c>
      <c r="D5" s="18">
        <v>0</v>
      </c>
      <c r="E5" s="18">
        <f t="shared" ref="E5:E17" si="0">IF(AND(ISNUMBER(C5),ISNUMBER(D5)), C5-D5, "")</f>
        <v>1516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1516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819</v>
      </c>
      <c r="D6" s="13">
        <v>0</v>
      </c>
      <c r="E6" s="13">
        <f t="shared" si="0"/>
        <v>819</v>
      </c>
      <c r="F6" s="14" t="str">
        <f t="shared" ref="F6:F17" si="3">IFERROR(E6/D6, "")</f>
        <v/>
      </c>
      <c r="G6" s="15">
        <v>0</v>
      </c>
      <c r="H6" s="15">
        <f t="shared" si="1"/>
        <v>819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1733</v>
      </c>
      <c r="D7" s="18">
        <v>0</v>
      </c>
      <c r="E7" s="18">
        <f t="shared" si="0"/>
        <v>1733</v>
      </c>
      <c r="F7" s="19" t="str">
        <f t="shared" si="3"/>
        <v/>
      </c>
      <c r="G7" s="20">
        <v>0</v>
      </c>
      <c r="H7" s="20">
        <f t="shared" si="1"/>
        <v>1733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2570</v>
      </c>
      <c r="D8" s="13">
        <v>0</v>
      </c>
      <c r="E8" s="13">
        <f t="shared" si="0"/>
        <v>2570</v>
      </c>
      <c r="F8" s="14" t="str">
        <f t="shared" si="3"/>
        <v/>
      </c>
      <c r="G8" s="15">
        <v>0</v>
      </c>
      <c r="H8" s="15">
        <f t="shared" si="1"/>
        <v>2570</v>
      </c>
      <c r="I8" s="16" t="str">
        <f t="shared" si="2"/>
        <v/>
      </c>
      <c r="J8" s="41"/>
      <c r="K8" s="41"/>
      <c r="L8" s="47"/>
    </row>
    <row r="9" spans="1:12" ht="16.5">
      <c r="A9" s="30" t="str">
        <v>Columbus - BA Harrisburg Pike</v>
      </c>
      <c r="B9" s="31" t="str">
        <v>OH</v>
      </c>
      <c r="C9" s="11">
        <v>2153</v>
      </c>
      <c r="D9" s="18">
        <v>0</v>
      </c>
      <c r="E9" s="18">
        <f t="shared" si="0"/>
        <v>2153</v>
      </c>
      <c r="F9" s="19" t="str">
        <f t="shared" si="3"/>
        <v/>
      </c>
      <c r="G9" s="20">
        <v>0</v>
      </c>
      <c r="H9" s="20">
        <f t="shared" si="1"/>
        <v>2153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2506</v>
      </c>
      <c r="D10" s="13">
        <v>0</v>
      </c>
      <c r="E10" s="13">
        <f t="shared" si="0"/>
        <v>2506</v>
      </c>
      <c r="F10" s="14" t="str">
        <f t="shared" si="3"/>
        <v/>
      </c>
      <c r="G10" s="15">
        <v>0</v>
      </c>
      <c r="H10" s="15">
        <f t="shared" si="1"/>
        <v>2506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1750.741</v>
      </c>
      <c r="D11" s="18">
        <v>0</v>
      </c>
      <c r="E11" s="18">
        <f t="shared" si="0"/>
        <v>1750.741</v>
      </c>
      <c r="F11" s="19" t="str">
        <f t="shared" si="3"/>
        <v/>
      </c>
      <c r="G11" s="20">
        <v>0</v>
      </c>
      <c r="H11" s="20">
        <f t="shared" si="1"/>
        <v>1750.741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3295.8609999999999</v>
      </c>
      <c r="D13" s="18">
        <v>0</v>
      </c>
      <c r="E13" s="18">
        <f t="shared" si="0"/>
        <v>3295.8609999999999</v>
      </c>
      <c r="F13" s="19" t="str">
        <f t="shared" si="3"/>
        <v/>
      </c>
      <c r="G13" s="20">
        <v>0</v>
      </c>
      <c r="H13" s="20">
        <f t="shared" si="1"/>
        <v>3295.8609999999999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1751</v>
      </c>
      <c r="D14" s="13">
        <v>0</v>
      </c>
      <c r="E14" s="13">
        <f t="shared" si="0"/>
        <v>1751</v>
      </c>
      <c r="F14" s="14" t="str">
        <f t="shared" si="3"/>
        <v/>
      </c>
      <c r="G14" s="15">
        <v>0</v>
      </c>
      <c r="H14" s="15">
        <f t="shared" si="1"/>
        <v>1751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2947.2420000000002</v>
      </c>
      <c r="D15" s="18">
        <v>0</v>
      </c>
      <c r="E15" s="18">
        <f t="shared" si="0"/>
        <v>2947.2420000000002</v>
      </c>
      <c r="F15" s="19" t="str">
        <f t="shared" si="3"/>
        <v/>
      </c>
      <c r="G15" s="20">
        <v>0</v>
      </c>
      <c r="H15" s="20">
        <f t="shared" si="1"/>
        <v>2947.2420000000002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1570.8910000000001</v>
      </c>
      <c r="D17" s="18">
        <v>0</v>
      </c>
      <c r="E17" s="18">
        <f t="shared" si="0"/>
        <v>1570.8910000000001</v>
      </c>
      <c r="F17" s="19" t="str">
        <f t="shared" si="3"/>
        <v/>
      </c>
      <c r="G17" s="20">
        <v>0</v>
      </c>
      <c r="H17" s="20">
        <f t="shared" si="1"/>
        <v>1570.8910000000001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2252.6590000000001</v>
      </c>
      <c r="D20" s="13">
        <v>0</v>
      </c>
      <c r="E20" s="13">
        <f t="shared" si="4"/>
        <v>2252.6590000000001</v>
      </c>
      <c r="F20" s="14" t="str">
        <f t="shared" si="5"/>
        <v/>
      </c>
      <c r="G20" s="15">
        <v>0</v>
      </c>
      <c r="H20" s="15">
        <f t="shared" si="6"/>
        <v>2252.6590000000001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2978.5419999999999</v>
      </c>
      <c r="D21" s="18">
        <v>0</v>
      </c>
      <c r="E21" s="18">
        <f t="shared" si="4"/>
        <v>2978.5419999999999</v>
      </c>
      <c r="F21" s="19" t="str">
        <f t="shared" si="5"/>
        <v/>
      </c>
      <c r="G21" s="20">
        <v>0</v>
      </c>
      <c r="H21" s="20">
        <f t="shared" si="6"/>
        <v>2978.5419999999999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3181.03</v>
      </c>
      <c r="D23" s="18">
        <v>0</v>
      </c>
      <c r="E23" s="18">
        <v>3181030</v>
      </c>
      <c r="F23" s="19" t="s">
        <v>36</v>
      </c>
      <c r="G23" s="20">
        <v>0</v>
      </c>
      <c r="H23" s="20">
        <v>3181030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1714.2339999999999</v>
      </c>
      <c r="D24" s="13">
        <v>0</v>
      </c>
      <c r="E24" s="13">
        <f t="shared" si="4"/>
        <v>1714.2339999999999</v>
      </c>
      <c r="F24" s="14" t="str">
        <f t="shared" si="5"/>
        <v/>
      </c>
      <c r="G24" s="15">
        <v>0</v>
      </c>
      <c r="H24" s="15">
        <f t="shared" si="6"/>
        <v>1714.2339999999999</v>
      </c>
      <c r="I24" s="16" t="str">
        <f t="shared" si="7"/>
        <v/>
      </c>
      <c r="J24" s="41"/>
      <c r="K24" s="41"/>
      <c r="L24" s="47"/>
    </row>
    <row r="25" spans="1:12" ht="30.75">
      <c r="A25" s="30" t="str">
        <v>Lexington - BA North Park</v>
      </c>
      <c r="B25" s="31" t="str">
        <v>KY</v>
      </c>
      <c r="C25" s="11">
        <v>1547</v>
      </c>
      <c r="D25" s="18">
        <v>0</v>
      </c>
      <c r="E25" s="18">
        <f t="shared" si="4"/>
        <v>1547</v>
      </c>
      <c r="F25" s="19" t="str">
        <f t="shared" si="5"/>
        <v/>
      </c>
      <c r="G25" s="20">
        <v>0</v>
      </c>
      <c r="H25" s="20">
        <f t="shared" si="6"/>
        <v>1547</v>
      </c>
      <c r="I25" s="19" t="str">
        <f t="shared" si="7"/>
        <v/>
      </c>
      <c r="J25" s="42" t="s">
        <v>37</v>
      </c>
      <c r="K25" s="42" t="s">
        <v>38</v>
      </c>
      <c r="L25" s="47"/>
    </row>
    <row r="26" spans="1:12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G9" sqref="G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3.9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4" activePane="bottomRight" state="frozen"/>
      <selection pane="bottomRight" activeCell="F11" sqref="F1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49</v>
      </c>
      <c r="E1" s="54"/>
      <c r="F1" s="54"/>
      <c r="G1" s="52" t="s">
        <v>50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F10" sqref="F1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51</v>
      </c>
      <c r="E1" s="54"/>
      <c r="F1" s="54"/>
      <c r="G1" s="52" t="s">
        <v>52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3.9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CBRE</v>
      </c>
      <c r="B1" s="53"/>
      <c r="C1" s="53"/>
      <c r="D1" s="54" t="s">
        <v>53</v>
      </c>
      <c r="E1" s="54"/>
      <c r="F1" s="54"/>
      <c r="G1" s="52" t="s">
        <v>54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East Hartford - BA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1" width="70.1406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t="s">
        <v>56</v>
      </c>
    </row>
    <row r="3" spans="1:7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25">
      <c r="A4" t="s">
        <v>60</v>
      </c>
      <c r="B4" t="s">
        <v>61</v>
      </c>
      <c r="C4" s="44" t="s">
        <v>62</v>
      </c>
      <c r="D4" s="48"/>
      <c r="E4" s="49" t="s">
        <v>63</v>
      </c>
      <c r="G4" s="3"/>
    </row>
    <row r="5" spans="1:7" ht="14.25">
      <c r="A5" t="s">
        <v>64</v>
      </c>
      <c r="B5" t="s">
        <v>65</v>
      </c>
      <c r="C5" s="45" t="s">
        <v>66</v>
      </c>
      <c r="D5" s="50"/>
      <c r="E5" s="51" t="s">
        <v>63</v>
      </c>
      <c r="G5" s="3"/>
    </row>
    <row r="6" spans="1:7" ht="14.25">
      <c r="A6" t="s">
        <v>67</v>
      </c>
      <c r="B6" t="s">
        <v>68</v>
      </c>
      <c r="C6" s="44" t="s">
        <v>66</v>
      </c>
      <c r="D6" s="48"/>
      <c r="E6" s="49" t="s">
        <v>63</v>
      </c>
      <c r="G6" s="3"/>
    </row>
    <row r="7" spans="1:7" ht="12.75" customHeight="1">
      <c r="A7" t="s">
        <v>69</v>
      </c>
      <c r="B7" t="s">
        <v>70</v>
      </c>
      <c r="C7" s="45" t="s">
        <v>71</v>
      </c>
      <c r="D7" s="50"/>
      <c r="E7" s="51" t="s">
        <v>63</v>
      </c>
    </row>
    <row r="8" spans="1:7" ht="12.75" customHeight="1">
      <c r="A8" t="s">
        <v>72</v>
      </c>
      <c r="B8" t="s">
        <v>73</v>
      </c>
      <c r="C8" s="44" t="s">
        <v>71</v>
      </c>
      <c r="D8" s="48"/>
      <c r="E8" s="49" t="s">
        <v>63</v>
      </c>
    </row>
    <row r="9" spans="1:7" ht="12.75" customHeight="1">
      <c r="A9" t="s">
        <v>74</v>
      </c>
      <c r="B9" t="s">
        <v>75</v>
      </c>
      <c r="C9" s="45" t="s">
        <v>71</v>
      </c>
      <c r="D9" s="50"/>
      <c r="E9" s="51" t="s">
        <v>63</v>
      </c>
    </row>
    <row r="10" spans="1:7" ht="12.75" customHeight="1">
      <c r="A10" t="s">
        <v>76</v>
      </c>
      <c r="B10" t="s">
        <v>77</v>
      </c>
      <c r="C10" s="44" t="s">
        <v>71</v>
      </c>
      <c r="D10" s="48"/>
      <c r="E10" s="49" t="s">
        <v>63</v>
      </c>
    </row>
    <row r="11" spans="1:7" ht="12.75" customHeight="1">
      <c r="A11" t="s">
        <v>78</v>
      </c>
      <c r="B11" t="s">
        <v>79</v>
      </c>
      <c r="C11" s="45" t="s">
        <v>71</v>
      </c>
      <c r="D11" s="50"/>
      <c r="E11" s="51" t="s">
        <v>63</v>
      </c>
    </row>
    <row r="12" spans="1:7" ht="12.75" customHeight="1">
      <c r="A12" t="s">
        <v>80</v>
      </c>
      <c r="B12" t="s">
        <v>81</v>
      </c>
      <c r="C12" s="44" t="s">
        <v>71</v>
      </c>
      <c r="D12" s="48"/>
      <c r="E12" s="49" t="s">
        <v>63</v>
      </c>
    </row>
    <row r="13" spans="1:7" ht="12.75" customHeight="1">
      <c r="A13" t="s">
        <v>82</v>
      </c>
      <c r="B13" t="s">
        <v>83</v>
      </c>
      <c r="C13" s="45" t="s">
        <v>66</v>
      </c>
      <c r="D13" s="50"/>
      <c r="E13" s="51" t="s">
        <v>63</v>
      </c>
    </row>
    <row r="14" spans="1:7" ht="12.75" customHeight="1">
      <c r="A14" t="s">
        <v>84</v>
      </c>
      <c r="B14" t="s">
        <v>85</v>
      </c>
      <c r="C14" s="44" t="s">
        <v>71</v>
      </c>
      <c r="D14" s="48"/>
      <c r="E14" s="49" t="s">
        <v>63</v>
      </c>
    </row>
    <row r="15" spans="1:7" ht="12.75" customHeight="1">
      <c r="A15" t="s">
        <v>86</v>
      </c>
      <c r="B15" t="s">
        <v>87</v>
      </c>
      <c r="C15" s="45" t="s">
        <v>71</v>
      </c>
      <c r="D15" s="50"/>
      <c r="E15" s="51" t="s">
        <v>63</v>
      </c>
    </row>
    <row r="16" spans="1:7" ht="12.75" customHeight="1">
      <c r="A16" t="s">
        <v>36</v>
      </c>
      <c r="B16" t="s">
        <v>88</v>
      </c>
      <c r="C16" s="44" t="s">
        <v>89</v>
      </c>
      <c r="D16" s="48"/>
      <c r="E16" s="49" t="s">
        <v>63</v>
      </c>
    </row>
    <row r="17" spans="1:5" ht="12.75" customHeight="1">
      <c r="A17" t="s">
        <v>90</v>
      </c>
      <c r="B17" t="s">
        <v>91</v>
      </c>
      <c r="C17" s="45" t="s">
        <v>92</v>
      </c>
      <c r="D17" s="50"/>
      <c r="E17" s="51" t="s">
        <v>63</v>
      </c>
    </row>
    <row r="18" spans="1:5" ht="12.75" customHeight="1">
      <c r="A18" t="s">
        <v>36</v>
      </c>
      <c r="B18" t="s">
        <v>93</v>
      </c>
      <c r="C18" s="45" t="s">
        <v>89</v>
      </c>
      <c r="D18" s="48"/>
      <c r="E18" s="49" t="s">
        <v>63</v>
      </c>
    </row>
    <row r="19" spans="1:5" ht="12.75" customHeight="1">
      <c r="A19" t="s">
        <v>94</v>
      </c>
      <c r="B19" t="s">
        <v>95</v>
      </c>
      <c r="C19" s="45" t="s">
        <v>96</v>
      </c>
      <c r="D19" s="50"/>
      <c r="E19" s="51" t="s">
        <v>63</v>
      </c>
    </row>
    <row r="20" spans="1:5" ht="12.75" customHeight="1">
      <c r="A20" t="s">
        <v>97</v>
      </c>
      <c r="B20" t="s">
        <v>98</v>
      </c>
      <c r="C20" s="45" t="s">
        <v>62</v>
      </c>
      <c r="D20" s="48"/>
      <c r="E20" s="49" t="s">
        <v>63</v>
      </c>
    </row>
    <row r="21" spans="1:5" ht="12.75" customHeight="1">
      <c r="A21" t="s">
        <v>99</v>
      </c>
      <c r="B21" t="s">
        <v>100</v>
      </c>
      <c r="C21" s="45" t="s">
        <v>96</v>
      </c>
      <c r="D21" s="50"/>
      <c r="E21" s="51" t="s">
        <v>63</v>
      </c>
    </row>
    <row r="22" spans="1:5" ht="12.75" customHeight="1">
      <c r="A22" t="s">
        <v>36</v>
      </c>
      <c r="B22" t="s">
        <v>101</v>
      </c>
      <c r="C22" s="45" t="s">
        <v>89</v>
      </c>
      <c r="D22" s="48"/>
      <c r="E22" s="49" t="s">
        <v>63</v>
      </c>
    </row>
    <row r="23" spans="1:5" ht="12.75" customHeight="1">
      <c r="A23" t="s">
        <v>102</v>
      </c>
      <c r="B23" t="s">
        <v>103</v>
      </c>
      <c r="C23" s="45" t="s">
        <v>89</v>
      </c>
      <c r="D23" s="50"/>
      <c r="E23" s="51" t="s">
        <v>63</v>
      </c>
    </row>
    <row r="24" spans="1:5" ht="12.75" customHeight="1">
      <c r="A24" t="s">
        <v>104</v>
      </c>
      <c r="B24" t="s">
        <v>105</v>
      </c>
      <c r="C24" s="45" t="s">
        <v>106</v>
      </c>
      <c r="D24" s="48"/>
      <c r="E24" s="49" t="s">
        <v>63</v>
      </c>
    </row>
    <row r="25" spans="1:5" ht="12.75" customHeight="1">
      <c r="A25" t="s">
        <v>107</v>
      </c>
      <c r="B25" t="s">
        <v>108</v>
      </c>
      <c r="C25" s="45" t="s">
        <v>109</v>
      </c>
      <c r="D25" s="50"/>
      <c r="E25" s="51" t="s">
        <v>63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2024-08-19T01:51:01Z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