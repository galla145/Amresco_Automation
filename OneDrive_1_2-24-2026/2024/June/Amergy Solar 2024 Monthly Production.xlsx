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Microsoft Teams Chat Files/"/>
    </mc:Choice>
  </mc:AlternateContent>
  <xr:revisionPtr revIDLastSave="78" documentId="13_ncr:1_{3CC90B3E-5FBC-4436-A039-279BA1A125F7}" xr6:coauthVersionLast="47" xr6:coauthVersionMax="47" xr10:uidLastSave="{3740E094-97E5-453C-A963-B2303180AE60}"/>
  <bookViews>
    <workbookView xWindow="-98" yWindow="-98" windowWidth="21795" windowHeight="12975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G5" i="34"/>
  <c r="G4" i="34"/>
  <c r="G2" i="34" s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G5" i="1"/>
  <c r="G4" i="1"/>
  <c r="B4" i="34" a="1"/>
  <c r="B4" i="34" s="1"/>
  <c r="A4" i="34" a="1"/>
  <c r="A4" i="34" s="1"/>
  <c r="A1" i="34" a="1"/>
  <c r="A1" i="34" s="1"/>
  <c r="D5" i="30"/>
  <c r="C5" i="30"/>
  <c r="E5" i="30" s="1"/>
  <c r="F5" i="30" s="1"/>
  <c r="D4" i="30"/>
  <c r="C4" i="30"/>
  <c r="E4" i="30" s="1"/>
  <c r="F4" i="30" s="1"/>
  <c r="D5" i="29"/>
  <c r="C5" i="29"/>
  <c r="D4" i="29"/>
  <c r="C4" i="29"/>
  <c r="D5" i="18"/>
  <c r="D5" i="34" s="1"/>
  <c r="C5" i="18"/>
  <c r="C5" i="34" s="1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4" i="18" l="1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I6" i="26"/>
  <c r="I9" i="26"/>
  <c r="I12" i="26"/>
  <c r="I15" i="26"/>
  <c r="H4" i="29"/>
  <c r="I4" i="29" s="1"/>
  <c r="H5" i="29"/>
  <c r="I5" i="29" s="1"/>
  <c r="I7" i="26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<sst xmlns="http://schemas.openxmlformats.org/spreadsheetml/2006/main" count="255" uniqueCount="66">
  <si>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</si>
  <si>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</si>
  <si>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</si>
  <si>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</si>
  <si>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</si>
  <si>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</si>
  <si>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</si>
  <si>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</si>
  <si>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</si>
  <si>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</si>
  <si>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</si>
  <si>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</si>
  <si>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</si>
  <si>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</si>
  <si>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</si>
  <si>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</si>
  <si>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</si>
  <si>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</si>
  <si>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</si>
  <si>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</si>
  <si>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</si>
  <si>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</si>
  <si>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</si>
  <si>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</si>
  <si>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1. Inverter 14 tripped offline on 02/21 at 12:50 and back online on 02/22 at 14:45</t>
  </si>
  <si>
    <t>1. SR081176</t>
  </si>
  <si>
    <t>March Actual v. Expected</t>
  </si>
  <si>
    <t>March Actual v. Forecasted</t>
  </si>
  <si>
    <t>1. Inverter 15 was offline on 03/01 between 09:15 to 11:45. Inverter again tripped offline on 03/3 at 09:47 and back online on 03/04
2. Inverter 6 was offline on 03/10 between 11:00 to 13:30
3. Inverter 15 tripped offline on 03/19 at 14:15 and back online on 03/22
4. Inverter 12 tripped offline on 03/21 at 14:35 and back online on 03/22
5. Inverter 3 was offline on 03/31 between 08:15 and back online at 14:20</t>
  </si>
  <si>
    <t>1. SR081489
2. SR081728
3. SR082200
4. SR082289
5. SR082944</t>
  </si>
  <si>
    <t>April Actual v. Expected</t>
  </si>
  <si>
    <t>April Actual v. Forecasted</t>
  </si>
  <si>
    <t xml:space="preserve">1.  Inverter 2, 4,6 are tripped offline at 10:45 on 04/04 and back online at 13:30 on 04/04.
2. Inverter 2 tripped offline at 12:45 on 04/04 and back online at 13:30 on 04/04 and again Inverter 2 tripped offline at 14:00 on 04/05 and back online at 04/06.
3. Site tripped offline on 04/25 at 10:15 and back online at 11:15 with 2 inverters back online and rest back online at 3:30 PM </t>
  </si>
  <si>
    <t xml:space="preserve">1. SR083085
2. SR083130
3. SR083808
</t>
  </si>
  <si>
    <t>May Actual v. Expected</t>
  </si>
  <si>
    <t>May Actual v. Forecasted</t>
  </si>
  <si>
    <t>1. Inverter 13 tripped offline at 15:45 on 05/07 and back online on 05/08
2. Inverter 7 tripped offline at 13:30 on 05/10 and back online at 14:00 on 05/10</t>
  </si>
  <si>
    <t>1. SR084382
2. SR084550</t>
  </si>
  <si>
    <t>June Actual v. Expected</t>
  </si>
  <si>
    <t>June Actual v. Forecasted</t>
  </si>
  <si>
    <t>1. Inverter 6 was tripped offline on 06/07 at 13:45 and it was still offline
2. Inverter 7 was tripped offline on 06/17 and back online at 18:00 on the same day and again tripped offline on 06/19 and back online on 6/21 at 11:00
3. Inverter 8 tripped offline on 06/19 at 11:00 and back online on 06/21 at 11:00</t>
  </si>
  <si>
    <t>1. SRO85747
2. SR086315
3. SR086427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</si>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</sst>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34" fillId="46" borderId="12" xfId="0" applyFont="1" applyFill="1" applyBorder="1"/>
    <xf numFmtId="0" fontId="34" fillId="0" borderId="0" xfId="0" applyFont="1"/>
    <xf numFmtId="0" fontId="34" fillId="0" borderId="12" xfId="0" applyFont="1" applyBorder="1"/>
    <xf numFmtId="0" fontId="35" fillId="46" borderId="0" xfId="0" applyFont="1" applyFill="1"/>
    <xf numFmtId="0" fontId="35" fillId="0" borderId="0" xfId="0" applyFont="1"/>
    <xf numFmtId="164" fontId="27" fillId="47" borderId="0" xfId="1" applyNumberFormat="1" applyFont="1" applyFill="1" applyBorder="1" applyAlignment="1">
      <alignment horizontal="center" vertical="center"/>
    </xf>
    <xf numFmtId="3" fontId="29" fillId="48" borderId="0" xfId="0" applyNumberFormat="1" applyFont="1" applyFill="1" applyAlignment="1">
      <alignment horizontal="right" vertical="center"/>
    </xf>
    <xf numFmtId="3" fontId="29" fillId="48" borderId="0" xfId="1" applyNumberFormat="1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SUM(C4:C88)</f>
        <v>849693.50000000012</v>
      </c>
      <c r="D2" s="5">
        <f>SUM(D4:D88)</f>
        <v>939710.17999999993</v>
      </c>
      <c r="E2" s="5">
        <f>C2-D2</f>
        <v>-90016.679999999818</v>
      </c>
      <c r="F2" s="6">
        <f>IFERROR(E2/D2, 0)</f>
        <v>-9.5791960027505313E-2</v>
      </c>
      <c r="G2" s="5">
        <f>SUM(G4:G88)</f>
        <v>961763.87</v>
      </c>
      <c r="H2" s="7">
        <f>C2-G2</f>
        <v>-112070.36999999988</v>
      </c>
      <c r="I2" s="6">
        <f>IFERROR(H2/G2, 0)</f>
        <v>-0.11652586824664132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360301.5</v>
      </c>
      <c r="D4" s="13">
        <f>SUM('1st Qtr'!D4, '2nd Qtr'!D4, '3rd Qtr'!D4, '4th Qtr'!D4)</f>
        <v>377673.18</v>
      </c>
      <c r="E4" s="13">
        <f>IF(AND(ISNUMBER(C4),ISNUMBER(D4)), C4-D4, "")</f>
        <v>-17371.679999999993</v>
      </c>
      <c r="F4" s="14">
        <f>IFERROR(E4/D4, "")</f>
        <v>-4.599659419819007E-2</v>
      </c>
      <c r="G4" s="15">
        <f>SUM('1st Qtr'!G4+'2nd Qtr'!G4+'3rd Qtr'!G4+'4th Qtr'!G4)</f>
        <v>462363.57</v>
      </c>
      <c r="H4" s="15">
        <f>SUM('1st Qtr'!H4, '2nd Qtr'!H4, '3rd Qtr'!H4, '4th Qtr'!H4)</f>
        <v>-102062.07</v>
      </c>
      <c r="I4" s="16">
        <f>IFERROR(H4/G4, "")</f>
        <v>-0.2207398606252651</v>
      </c>
    </row>
    <row r="5" spans="1:9" ht="15.75">
      <c r="A5" s="17" t="str">
        <v>Mount Laurel - Igloo Ice Rink</v>
      </c>
      <c r="B5" s="10" t="str">
        <v>NJ</v>
      </c>
      <c r="C5" s="49">
        <f>SUM('1st Qtr'!C5, '2nd Qtr'!C5, '3rd Qtr'!C5, '4th Qtr'!C5)</f>
        <v>489392.00000000012</v>
      </c>
      <c r="D5" s="50">
        <f>SUM('1st Qtr'!D5, '2nd Qtr'!D5, '3rd Qtr'!D5, '4th Qtr'!D5)</f>
        <v>562037</v>
      </c>
      <c r="E5" s="18">
        <f t="shared" ref="E5" si="0">IF(AND(ISNUMBER(C5),ISNUMBER(D5)), C5-D5, "")</f>
        <v>-72644.999999999884</v>
      </c>
      <c r="F5" s="19">
        <f>IFERROR(E5/D5, "")</f>
        <v>-0.12925305629344666</v>
      </c>
      <c r="G5" s="51">
        <f>SUM('1st Qtr'!G5+'2nd Qtr'!G5+'3rd Qtr'!G5+'4th Qtr'!G5)</f>
        <v>499400.3</v>
      </c>
      <c r="H5" s="20">
        <f>SUM(Jan!H5, Feb!H5, Mar!H5)</f>
        <v>9880</v>
      </c>
      <c r="I5" s="19">
        <f>IFERROR(H5/G5, "")</f>
        <v>1.9783728604087742E-2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15">
      <c r="A7" s="21"/>
      <c r="B7" s="21"/>
      <c r="C7" s="21"/>
      <c r="D7" s="21"/>
      <c r="E7" s="21"/>
      <c r="F7" s="21"/>
      <c r="G7" s="21"/>
      <c r="H7" s="21"/>
      <c r="I7" s="21"/>
    </row>
    <row r="8" spans="1:9" ht="13.15">
      <c r="A8" s="21"/>
      <c r="B8" s="21"/>
      <c r="C8" s="21"/>
      <c r="D8" s="21"/>
      <c r="E8" s="21"/>
      <c r="F8" s="21"/>
      <c r="G8" s="21"/>
      <c r="H8" s="21"/>
      <c r="I8" s="21"/>
    </row>
    <row r="9" spans="1:9" ht="13.15">
      <c r="A9" s="21"/>
      <c r="B9" s="21"/>
      <c r="C9" s="21"/>
      <c r="D9" s="21"/>
      <c r="E9" s="21"/>
      <c r="F9" s="21"/>
      <c r="G9" s="21"/>
      <c r="H9" s="21"/>
      <c r="I9" s="21"/>
    </row>
    <row r="10" spans="1:9" ht="13.1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1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1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1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1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1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1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1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1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1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15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SUM(C4:C88)</f>
        <v>295596</v>
      </c>
      <c r="D2" s="5">
        <f>SUM(D4:D88)</f>
        <v>333524</v>
      </c>
      <c r="E2" s="5">
        <f>C2-D2</f>
        <v>-37928</v>
      </c>
      <c r="F2" s="6">
        <f>IFERROR(E2/D2, 0)</f>
        <v>-0.11371895275902184</v>
      </c>
      <c r="G2" s="5">
        <f>SUM(G4:G88)</f>
        <v>349521</v>
      </c>
      <c r="H2" s="7">
        <f>C2-G2</f>
        <v>-53925</v>
      </c>
      <c r="I2" s="6">
        <f>IFERROR(H2/G2, 0)</f>
        <v>-0.15428257529590497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121256</v>
      </c>
      <c r="D4" s="13">
        <f>SUM(Jan!D4, Feb!D4, Mar!D4)</f>
        <v>129357</v>
      </c>
      <c r="E4" s="13">
        <f>IF(AND(ISNUMBER(C4),ISNUMBER(D4)), C4-D4, "")</f>
        <v>-8101</v>
      </c>
      <c r="F4" s="14">
        <f>IFERROR(E4/D4, "")</f>
        <v>-6.2625138183476731E-2</v>
      </c>
      <c r="G4" s="15">
        <f>SUM(Jan!G4, Feb!G4, Mar!G4)</f>
        <v>185061</v>
      </c>
      <c r="H4" s="15">
        <f>SUM(Jan!H4, Feb!H4, Mar!H4)</f>
        <v>-63805</v>
      </c>
      <c r="I4" s="16">
        <f>IFERROR(H4/G4, "")</f>
        <v>-0.34477820826646349</v>
      </c>
    </row>
    <row r="5" spans="1:9" ht="15.75">
      <c r="A5" s="17" t="str">
        <v>Mount Laurel - Igloo Ice Rink</v>
      </c>
      <c r="B5" s="10" t="str">
        <v>NJ</v>
      </c>
      <c r="C5" s="11">
        <f>SUM(Jan!C5, Feb!C5, Mar!C5)</f>
        <v>174340</v>
      </c>
      <c r="D5" s="18">
        <f>SUM(Jan!D5, Feb!D5, Mar!D5)</f>
        <v>204167</v>
      </c>
      <c r="E5" s="18">
        <f t="shared" ref="E5" si="0">IF(AND(ISNUMBER(C5),ISNUMBER(D5)), C5-D5, "")</f>
        <v>-29827</v>
      </c>
      <c r="F5" s="19">
        <f>IFERROR(E5/D5, "")</f>
        <v>-0.14609119005519991</v>
      </c>
      <c r="G5" s="20">
        <f>SUM(Jan!G5, Feb!G5, Mar!G5)</f>
        <v>164460</v>
      </c>
      <c r="H5" s="20">
        <f>SUM(Jan!H5, Feb!H5, Mar!H5)</f>
        <v>9880</v>
      </c>
      <c r="I5" s="19">
        <f>IFERROR(H5/G5, "")</f>
        <v>6.0075398273136328E-2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15">
      <c r="A7" s="21"/>
      <c r="B7" s="21"/>
      <c r="C7" s="21"/>
      <c r="D7" s="21"/>
      <c r="E7" s="21"/>
      <c r="F7" s="21"/>
      <c r="G7" s="21"/>
      <c r="H7" s="21"/>
      <c r="I7" s="21"/>
    </row>
    <row r="8" spans="1:9" ht="13.15">
      <c r="A8" s="21"/>
      <c r="B8" s="21"/>
      <c r="C8" s="21"/>
      <c r="D8" s="21"/>
      <c r="E8" s="21"/>
      <c r="F8" s="21"/>
      <c r="G8" s="21"/>
      <c r="H8" s="21"/>
      <c r="I8" s="21"/>
    </row>
    <row r="9" spans="1:9" ht="13.15">
      <c r="A9" s="21"/>
      <c r="B9" s="21"/>
      <c r="C9" s="21"/>
      <c r="D9" s="21"/>
      <c r="E9" s="21"/>
      <c r="F9" s="21"/>
      <c r="G9" s="21"/>
      <c r="H9" s="21"/>
      <c r="I9" s="21"/>
    </row>
    <row r="10" spans="1:9" ht="13.1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1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1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1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1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1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1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1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1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1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15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tabSelected="1"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SUM(C4:C88)</f>
        <v>554097.50000000012</v>
      </c>
      <c r="D2" s="5">
        <f>SUM(D4:D88)</f>
        <v>606186.17999999993</v>
      </c>
      <c r="E2" s="5">
        <f>C2-D2</f>
        <v>-52088.679999999818</v>
      </c>
      <c r="F2" s="6">
        <f>IFERROR(E2/D2, 0)</f>
        <v>-8.5928517868882837E-2</v>
      </c>
      <c r="G2" s="5">
        <f>SUM(G4:G88)</f>
        <v>612242.87</v>
      </c>
      <c r="H2" s="7">
        <f>C2-G2</f>
        <v>-58145.369999999879</v>
      </c>
      <c r="I2" s="6">
        <f>IFERROR(H2/G2, 0)</f>
        <v>-9.4971085575892261E-2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239045.5</v>
      </c>
      <c r="D4" s="13">
        <f>SUM(Apr!D4, May!D4, Jun!D4)</f>
        <v>248316.18</v>
      </c>
      <c r="E4" s="13">
        <f>IF(AND(ISNUMBER(C4),ISNUMBER(D4)), C4-D4, "")</f>
        <v>-9270.679999999993</v>
      </c>
      <c r="F4" s="14">
        <f>IFERROR(E4/D4, "")</f>
        <v>-3.7334176129803519E-2</v>
      </c>
      <c r="G4" s="15">
        <f>SUM(Apr!G4,May!G4,Jun!G4)</f>
        <v>277302.57</v>
      </c>
      <c r="H4" s="15">
        <f>SUM(Apr!H4, May!H4, Jun!H4)</f>
        <v>-38257.070000000007</v>
      </c>
      <c r="I4" s="16">
        <f>IFERROR(H4/G4, "")</f>
        <v>-0.13796146930769523</v>
      </c>
    </row>
    <row r="5" spans="1:9" ht="15.75">
      <c r="A5" s="17" t="str">
        <v>Mount Laurel - Igloo Ice Rink</v>
      </c>
      <c r="B5" s="10" t="str">
        <v>NJ</v>
      </c>
      <c r="C5" s="11">
        <f>SUM(Apr!C5, May!C5, Jun!C5)</f>
        <v>315052.00000000012</v>
      </c>
      <c r="D5" s="18">
        <f>SUM(Apr!D5, May!D5, Jun!D5)</f>
        <v>357870</v>
      </c>
      <c r="E5" s="18">
        <f t="shared" ref="E5" si="0">IF(AND(ISNUMBER(C5),ISNUMBER(D5)), C5-D5, "")</f>
        <v>-42817.999999999884</v>
      </c>
      <c r="F5" s="19">
        <f>IFERROR(E5/D5, "")</f>
        <v>-0.11964679911699747</v>
      </c>
      <c r="G5" s="20">
        <f>SUM(Apr!G5,May!G5,Jun!G5)</f>
        <v>334940.3</v>
      </c>
      <c r="H5" s="20">
        <f>SUM(Apr!H5, May!H5, Jun!H5)</f>
        <v>-19888.299999999901</v>
      </c>
      <c r="I5" s="19">
        <f>IFERROR(H5/G5, "")</f>
        <v>-5.9378641507157846E-2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15">
      <c r="A7" s="21"/>
      <c r="B7" s="21"/>
      <c r="C7" s="21"/>
      <c r="D7" s="21"/>
      <c r="E7" s="21"/>
      <c r="F7" s="21"/>
      <c r="G7" s="21"/>
      <c r="H7" s="21"/>
      <c r="I7" s="21"/>
    </row>
    <row r="8" spans="1:9" ht="13.15">
      <c r="A8" s="21"/>
      <c r="B8" s="21"/>
      <c r="C8" s="21"/>
      <c r="D8" s="21"/>
      <c r="E8" s="21"/>
      <c r="F8" s="21"/>
      <c r="G8" s="21"/>
      <c r="H8" s="21"/>
      <c r="I8" s="21"/>
    </row>
    <row r="9" spans="1:9" ht="13.15">
      <c r="A9" s="21"/>
      <c r="B9" s="21"/>
      <c r="C9" s="21"/>
      <c r="D9" s="21"/>
      <c r="E9" s="21"/>
      <c r="F9" s="21"/>
      <c r="G9" s="21"/>
      <c r="H9" s="21"/>
      <c r="I9" s="21"/>
    </row>
    <row r="10" spans="1:9" ht="13.1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1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1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1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1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1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1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1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1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1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15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B22" sqref="B2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17" t="str">
        <v>Mount Laurel - Igloo Ice Rink</v>
      </c>
      <c r="B5" s="10" t="str">
        <v>NJ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1"/>
      <c r="G6" s="21"/>
      <c r="H6" s="21"/>
      <c r="I6" s="21"/>
    </row>
    <row r="7" spans="1:9" ht="13.15">
      <c r="A7" s="21"/>
      <c r="B7" s="21"/>
      <c r="C7" s="21"/>
      <c r="D7" s="21"/>
      <c r="E7" s="21"/>
      <c r="F7" s="21"/>
      <c r="G7" s="21"/>
      <c r="H7" s="21"/>
      <c r="I7" s="21"/>
    </row>
    <row r="8" spans="1:9" ht="13.15">
      <c r="A8" s="21"/>
      <c r="B8" s="21"/>
      <c r="C8" s="21"/>
      <c r="D8" s="21"/>
      <c r="E8" s="21"/>
      <c r="F8" s="21"/>
      <c r="G8" s="21"/>
      <c r="H8" s="21"/>
      <c r="I8" s="21"/>
    </row>
    <row r="9" spans="1:9" ht="13.15">
      <c r="A9" s="21"/>
      <c r="B9" s="21"/>
      <c r="C9" s="21"/>
      <c r="D9" s="21"/>
      <c r="E9" s="21"/>
      <c r="F9" s="21"/>
      <c r="G9" s="21"/>
      <c r="H9" s="21"/>
      <c r="I9" s="21"/>
    </row>
    <row r="10" spans="1:9" ht="13.1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1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1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1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1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1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1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1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1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15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C24" sqref="B24:C2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17" t="str">
        <v>Mount Laurel - Igloo Ice Rink</v>
      </c>
      <c r="B5" s="10" t="str">
        <v>NJ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.15">
      <c r="A6" s="21"/>
      <c r="B6" s="21"/>
      <c r="C6" s="21"/>
      <c r="D6" s="21"/>
      <c r="E6" s="21"/>
      <c r="F6" s="21"/>
      <c r="G6" s="21"/>
      <c r="H6" s="21"/>
      <c r="I6" s="21"/>
    </row>
    <row r="7" spans="1:9" ht="13.15">
      <c r="A7" s="21"/>
      <c r="B7" s="21"/>
      <c r="C7" s="21"/>
      <c r="D7" s="21"/>
      <c r="E7" s="21"/>
      <c r="F7" s="21"/>
      <c r="G7" s="21"/>
      <c r="H7" s="21"/>
      <c r="I7" s="21"/>
    </row>
    <row r="8" spans="1:9" ht="13.15">
      <c r="A8" s="21"/>
      <c r="B8" s="21"/>
      <c r="C8" s="21"/>
      <c r="D8" s="21"/>
      <c r="E8" s="21"/>
      <c r="F8" s="21"/>
      <c r="G8" s="21"/>
      <c r="H8" s="21"/>
      <c r="I8" s="21"/>
    </row>
    <row r="9" spans="1:9" ht="13.15">
      <c r="A9" s="21"/>
      <c r="B9" s="21"/>
      <c r="C9" s="21"/>
      <c r="D9" s="21"/>
      <c r="E9" s="21"/>
      <c r="F9" s="21"/>
      <c r="G9" s="21"/>
      <c r="H9" s="21"/>
      <c r="I9" s="21"/>
    </row>
    <row r="10" spans="1:9" ht="13.15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15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15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15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15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15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15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15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15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workbookViewId="0">
      <pane xSplit="2" ySplit="3" topLeftCell="C4" activePane="bottomRight" state="frozen"/>
      <selection pane="bottomRight" activeCell="I13" sqref="I1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SUM(C4:C88)</f>
        <v>42875</v>
      </c>
      <c r="D2" s="5">
        <f>SUM(D4:D88)</f>
        <v>60849</v>
      </c>
      <c r="E2" s="5">
        <f>C2-D2</f>
        <v>-17974</v>
      </c>
      <c r="F2" s="6">
        <f>IFERROR(E2/D2, 0)</f>
        <v>-0.29538694144521682</v>
      </c>
      <c r="G2" s="5">
        <f>SUM(G4:G88)</f>
        <v>83738</v>
      </c>
      <c r="H2" s="7">
        <f>C2-G2</f>
        <v>-40863</v>
      </c>
      <c r="I2" s="6">
        <f>IFERROR(H2/G2, 0)</f>
        <v>-0.48798633834101601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17773</v>
      </c>
      <c r="D4" s="13">
        <v>22778</v>
      </c>
      <c r="E4" s="13">
        <f>IF(AND(ISNUMBER(C4),ISNUMBER(D4)), C4-D4, "")</f>
        <v>-5005</v>
      </c>
      <c r="F4" s="14">
        <f>IFERROR(E4/D4, "")</f>
        <v>-0.21972956361401352</v>
      </c>
      <c r="G4" s="15">
        <v>48244</v>
      </c>
      <c r="H4" s="15">
        <f>IF(AND(ISNUMBER(C4),ISNUMBER(G4)), C4-G4, "")</f>
        <v>-30471</v>
      </c>
      <c r="I4" s="16">
        <f>IFERROR(H4/G4, "")</f>
        <v>-0.631601857225769</v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>
        <v>25102</v>
      </c>
      <c r="D5" s="18">
        <v>38071</v>
      </c>
      <c r="E5" s="18">
        <f t="shared" ref="E5" si="0">IF(AND(ISNUMBER(C5),ISNUMBER(D5)), C5-D5, "")</f>
        <v>-12969</v>
      </c>
      <c r="F5" s="19">
        <f>IFERROR(E5/D5, "")</f>
        <v>-0.34065299046518349</v>
      </c>
      <c r="G5" s="20">
        <v>35494</v>
      </c>
      <c r="H5" s="20">
        <f t="shared" ref="H5" si="1">IF(AND(ISNUMBER(C5),ISNUMBER(G5)), C5-G5, "")</f>
        <v>-10392</v>
      </c>
      <c r="I5" s="19">
        <f t="shared" ref="I5" si="2">IFERROR(H5/G5, "")</f>
        <v>-0.29278187862737365</v>
      </c>
      <c r="J5" s="42"/>
      <c r="K5" s="42"/>
    </row>
    <row r="6" spans="1:11" ht="15.75">
      <c r="A6" s="30"/>
      <c r="B6" s="31"/>
      <c r="C6" s="11"/>
      <c r="D6" s="18"/>
      <c r="E6" s="18" t="str">
        <f t="shared" ref="E6" si="3">IF(AND(ISNUMBER(C6),ISNUMBER(D6)), C6-D6, "")</f>
        <v/>
      </c>
      <c r="F6" s="19" t="str">
        <f t="shared" ref="F6" si="4">IFERROR(E6/D6, "")</f>
        <v/>
      </c>
      <c r="G6" s="20"/>
      <c r="H6" s="20" t="str">
        <f t="shared" ref="H6" si="5">IF(AND(ISNUMBER(C6),ISNUMBER(G6)), C6-G6, "")</f>
        <v/>
      </c>
      <c r="I6" s="19" t="str">
        <f t="shared" ref="I6" si="6">IFERROR(H6/G6, "")</f>
        <v/>
      </c>
      <c r="J6" s="42"/>
      <c r="K6" s="43"/>
    </row>
    <row r="7" spans="1:11" ht="14.25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38" priority="4" stopIfTrue="1" operator="lessThanOrEqual">
      <formula>-0.1</formula>
    </cfRule>
    <cfRule type="expression" dxfId="3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xSplit="2" ySplit="3" topLeftCell="C4" activePane="bottomRight" state="frozen"/>
      <selection pane="bottomRight" activeCell="K5" sqref="K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105722</v>
      </c>
      <c r="D2" s="5">
        <f>SUM(D4:D89)</f>
        <v>117230</v>
      </c>
      <c r="E2" s="5">
        <f>C2-D2</f>
        <v>-11508</v>
      </c>
      <c r="F2" s="6">
        <f>IFERROR(E2/D2, 0)</f>
        <v>-9.8165998464556856E-2</v>
      </c>
      <c r="G2" s="5">
        <f>SUM(G4:G89)</f>
        <v>108237</v>
      </c>
      <c r="H2" s="7">
        <f>C2-G2</f>
        <v>-2515</v>
      </c>
      <c r="I2" s="6">
        <f>IFERROR(H2/G2, 0)</f>
        <v>-2.323604682317507E-2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42119</v>
      </c>
      <c r="D4" s="13">
        <v>44694</v>
      </c>
      <c r="E4" s="13">
        <f>IF(AND(ISNUMBER(C4),ISNUMBER(D4)), C4-D4, "")</f>
        <v>-2575</v>
      </c>
      <c r="F4" s="14">
        <f>IFERROR(E4/D4, "")</f>
        <v>-5.7613997404573319E-2</v>
      </c>
      <c r="G4" s="15">
        <v>59297</v>
      </c>
      <c r="H4" s="15">
        <f>IF(AND(ISNUMBER(C4),ISNUMBER(G4)), C4-G4, "")</f>
        <v>-17178</v>
      </c>
      <c r="I4" s="16">
        <f>IFERROR(H4/G4, "")</f>
        <v>-0.28969425097391099</v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>
        <v>63603</v>
      </c>
      <c r="D5" s="18">
        <v>72536</v>
      </c>
      <c r="E5" s="18">
        <f t="shared" ref="E5" si="0">IF(AND(ISNUMBER(C5),ISNUMBER(D5)), C5-D5, "")</f>
        <v>-8933</v>
      </c>
      <c r="F5" s="19">
        <f>IFERROR(E5/D5, "")</f>
        <v>-0.12315264144700562</v>
      </c>
      <c r="G5" s="20">
        <v>48940</v>
      </c>
      <c r="H5" s="20">
        <f t="shared" ref="H5" si="1">IF(AND(ISNUMBER(C5),ISNUMBER(G5)), C5-G5, "")</f>
        <v>14663</v>
      </c>
      <c r="I5" s="19">
        <f t="shared" ref="I5" si="2">IFERROR(H5/G5, "")</f>
        <v>0.29961176951369023</v>
      </c>
      <c r="J5" s="42" t="s">
        <v>24</v>
      </c>
      <c r="K5" s="42" t="s">
        <v>25</v>
      </c>
    </row>
    <row r="6" spans="1:11" ht="15.75">
      <c r="A6" s="30"/>
      <c r="B6" s="31"/>
      <c r="C6" s="11"/>
      <c r="D6" s="18"/>
      <c r="E6" s="18" t="str">
        <f t="shared" ref="E6" si="3">IF(AND(ISNUMBER(C6),ISNUMBER(D6)), C6-D6, "")</f>
        <v/>
      </c>
      <c r="F6" s="19" t="str">
        <f t="shared" ref="F6" si="4">IFERROR(E6/D6, "")</f>
        <v/>
      </c>
      <c r="G6" s="20"/>
      <c r="H6" s="20" t="str">
        <f t="shared" ref="H6" si="5">IF(AND(ISNUMBER(C6),ISNUMBER(G6)), C6-G6, "")</f>
        <v/>
      </c>
      <c r="I6" s="19" t="str">
        <f t="shared" ref="I6" si="6">IFERROR(H6/G6, "")</f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3.9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workbookViewId="0">
      <pane xSplit="2" ySplit="3" topLeftCell="C4" activePane="bottomRight" state="frozen"/>
      <selection pane="bottomRight" activeCell="J16" sqref="J1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146999</v>
      </c>
      <c r="D2" s="5">
        <f>SUM(D4:D89)</f>
        <v>155445</v>
      </c>
      <c r="E2" s="5">
        <f>C2-D2</f>
        <v>-8446</v>
      </c>
      <c r="F2" s="6">
        <f>IFERROR(E2/D2, 0)</f>
        <v>-5.4334330470584453E-2</v>
      </c>
      <c r="G2" s="5">
        <f>SUM(G4:G89)</f>
        <v>157546</v>
      </c>
      <c r="H2" s="7">
        <f>C2-G2</f>
        <v>-10547</v>
      </c>
      <c r="I2" s="6">
        <f>IFERROR(H2/G2, 0)</f>
        <v>-6.6945527020679671E-2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61364</v>
      </c>
      <c r="D4" s="13">
        <v>61885</v>
      </c>
      <c r="E4" s="13">
        <f>IF(AND(ISNUMBER(C4),ISNUMBER(D4)), C4-D4, "")</f>
        <v>-521</v>
      </c>
      <c r="F4" s="14">
        <f>IFERROR(E4/D4, "")</f>
        <v>-8.4188413993697992E-3</v>
      </c>
      <c r="G4" s="15">
        <v>77520</v>
      </c>
      <c r="H4" s="15">
        <f>IF(AND(ISNUMBER(C4),ISNUMBER(G4)), C4-G4, "")</f>
        <v>-16156</v>
      </c>
      <c r="I4" s="16">
        <f>IFERROR(H4/G4, "")</f>
        <v>-0.20841073271413829</v>
      </c>
      <c r="J4" s="41"/>
      <c r="K4" s="41"/>
    </row>
    <row r="5" spans="1:11" ht="85.5">
      <c r="A5" s="30" t="str">
        <v>Mount Laurel - Igloo Ice Rink</v>
      </c>
      <c r="B5" s="31" t="str">
        <v>NJ</v>
      </c>
      <c r="C5" s="11">
        <v>85635</v>
      </c>
      <c r="D5" s="18">
        <v>93560</v>
      </c>
      <c r="E5" s="18">
        <f t="shared" ref="E5:E6" si="0">IF(AND(ISNUMBER(C5),ISNUMBER(D5)), C5-D5, "")</f>
        <v>-7925</v>
      </c>
      <c r="F5" s="19">
        <f>IFERROR(E5/D5, "")</f>
        <v>-8.4705002137665672E-2</v>
      </c>
      <c r="G5" s="20">
        <v>80026</v>
      </c>
      <c r="H5" s="20">
        <f t="shared" ref="H5:H6" si="1">IF(AND(ISNUMBER(C5),ISNUMBER(G5)), C5-G5, "")</f>
        <v>5609</v>
      </c>
      <c r="I5" s="19">
        <f t="shared" ref="I5:I6" si="2">IFERROR(H5/G5, "")</f>
        <v>7.008972084072676E-2</v>
      </c>
      <c r="J5" s="42" t="s">
        <v>28</v>
      </c>
      <c r="K5" s="42" t="s">
        <v>29</v>
      </c>
    </row>
    <row r="6" spans="1:11" ht="15.75">
      <c r="A6" s="30"/>
      <c r="B6" s="31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3.9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70" zoomScaleNormal="70" workbookViewId="0">
      <pane xSplit="2" ySplit="3" topLeftCell="C4" activePane="bottomRight" state="frozen"/>
      <selection pane="bottomRight" activeCell="J11" sqref="J1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164489.00000000009</v>
      </c>
      <c r="D2" s="5">
        <f>SUM(D4:D89)</f>
        <v>174614.74</v>
      </c>
      <c r="E2" s="5">
        <f>C2-D2</f>
        <v>-10125.739999999903</v>
      </c>
      <c r="F2" s="6">
        <f>IFERROR(E2/D2, 0)</f>
        <v>-5.7989033457312392E-2</v>
      </c>
      <c r="G2" s="5">
        <f>SUM(G4:G89)</f>
        <v>192341.02000000002</v>
      </c>
      <c r="H2" s="7">
        <f>C2-G2</f>
        <v>-27852.019999999931</v>
      </c>
      <c r="I2" s="6">
        <f>IFERROR(H2/G2, 0)</f>
        <v>-0.14480540864346009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70881.399999999994</v>
      </c>
      <c r="D4" s="13">
        <v>71383.039999999994</v>
      </c>
      <c r="E4" s="13">
        <f>IF(AND(ISNUMBER(C4),ISNUMBER(D4)), C4-D4, "")</f>
        <v>-501.63999999999942</v>
      </c>
      <c r="F4" s="14">
        <f>IFERROR(E4/D4, "")</f>
        <v>-7.0274395710801822E-3</v>
      </c>
      <c r="G4" s="15">
        <v>89755.42</v>
      </c>
      <c r="H4" s="15">
        <f>IF(AND(ISNUMBER(C4),ISNUMBER(G4)), C4-G4, "")</f>
        <v>-18874.020000000004</v>
      </c>
      <c r="I4" s="16">
        <f>IFERROR(H4/G4, "")</f>
        <v>-0.21028278849344145</v>
      </c>
      <c r="J4" s="41"/>
      <c r="K4" s="41"/>
    </row>
    <row r="5" spans="1:11" ht="109.15" customHeight="1">
      <c r="A5" s="30" t="str">
        <v>Mount Laurel - Igloo Ice Rink</v>
      </c>
      <c r="B5" s="31" t="str">
        <v>NJ</v>
      </c>
      <c r="C5" s="11">
        <v>93607.600000000093</v>
      </c>
      <c r="D5" s="18">
        <v>103231.7</v>
      </c>
      <c r="E5" s="18">
        <f t="shared" ref="E5:E6" si="0">IF(AND(ISNUMBER(C5),ISNUMBER(D5)), C5-D5, "")</f>
        <v>-9624.099999999904</v>
      </c>
      <c r="F5" s="19">
        <f>IFERROR(E5/D5, "")</f>
        <v>-9.3228146005538068E-2</v>
      </c>
      <c r="G5" s="20">
        <v>102585.60000000001</v>
      </c>
      <c r="H5" s="20">
        <f t="shared" ref="H5:H6" si="1">IF(AND(ISNUMBER(C5),ISNUMBER(G5)), C5-G5, "")</f>
        <v>-8977.9999999999127</v>
      </c>
      <c r="I5" s="19">
        <f t="shared" ref="I5:I6" si="2">IFERROR(H5/G5, "")</f>
        <v>-8.751715640401686E-2</v>
      </c>
      <c r="J5" s="42" t="s">
        <v>32</v>
      </c>
      <c r="K5" s="52" t="s">
        <v>33</v>
      </c>
    </row>
    <row r="6" spans="1:11" ht="15.75">
      <c r="A6" s="30"/>
      <c r="B6" s="31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2"/>
      <c r="K6" s="43"/>
    </row>
    <row r="7" spans="1:11" ht="12.75" customHeight="1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3.9"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/>
    <row r="333" spans="1:11" ht="14.25"/>
    <row r="334" spans="1:11" ht="14.25"/>
    <row r="335" spans="1:11" ht="14.25"/>
    <row r="336" spans="1:11" ht="14.25"/>
    <row r="337" ht="14.25"/>
    <row r="338" ht="14.25"/>
    <row r="339" ht="14.25"/>
    <row r="340" ht="14.25"/>
    <row r="341" ht="14.25"/>
    <row r="342" ht="14.25"/>
  </sheetData>
  <mergeCells count="4">
    <mergeCell ref="G1:I1"/>
    <mergeCell ref="A1:C1"/>
    <mergeCell ref="D1:F1"/>
    <mergeCell ref="A2:B2"/>
  </mergeCells>
  <conditionalFormatting sqref="F2 I2 F4:F89 I4:I89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zoomScale="80" zoomScaleNormal="80" workbookViewId="0">
      <pane xSplit="2" ySplit="3" topLeftCell="C4" activePane="bottomRight" state="frozen"/>
      <selection pane="bottomRight" activeCell="F14" sqref="F1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SUM(C4:C87)</f>
        <v>174238.90000000002</v>
      </c>
      <c r="D2" s="5">
        <f>SUM(D4:D87)</f>
        <v>190323.62</v>
      </c>
      <c r="E2" s="5">
        <f>C2-D2</f>
        <v>-16084.719999999972</v>
      </c>
      <c r="F2" s="6">
        <f>IFERROR(E2/D2, 0)</f>
        <v>-8.4512474069166885E-2</v>
      </c>
      <c r="G2" s="5">
        <f>SUM(G4:G87)</f>
        <v>205896.61</v>
      </c>
      <c r="H2" s="7">
        <f>C2-G2</f>
        <v>-31657.709999999963</v>
      </c>
      <c r="I2" s="6">
        <f>IFERROR(H2/G2, 0)</f>
        <v>-0.15375537266009365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74972.600000000006</v>
      </c>
      <c r="D4" s="13">
        <v>78493.62</v>
      </c>
      <c r="E4" s="13">
        <f>IF(AND(ISNUMBER(C4),ISNUMBER(D4)), C4-D4, "")</f>
        <v>-3521.0199999999895</v>
      </c>
      <c r="F4" s="14">
        <f>IFERROR(E4/D4, "")</f>
        <v>-4.4857403697268511E-2</v>
      </c>
      <c r="G4" s="15">
        <v>92366.41</v>
      </c>
      <c r="H4" s="15">
        <f>IF(AND(ISNUMBER(C4),ISNUMBER(G4)), C4-G4, "")</f>
        <v>-17393.809999999998</v>
      </c>
      <c r="I4" s="16">
        <f>IFERROR(H4/G4, "")</f>
        <v>-0.1883131541000673</v>
      </c>
      <c r="J4" s="41"/>
      <c r="K4" s="41"/>
    </row>
    <row r="5" spans="1:11" ht="28.5">
      <c r="A5" s="30" t="str">
        <v>Mount Laurel - Igloo Ice Rink</v>
      </c>
      <c r="B5" s="31" t="str">
        <v>NJ</v>
      </c>
      <c r="C5" s="11">
        <v>99266.3</v>
      </c>
      <c r="D5" s="18">
        <v>111830</v>
      </c>
      <c r="E5" s="18">
        <f t="shared" ref="E5" si="0">IF(AND(ISNUMBER(C5),ISNUMBER(D5)), C5-D5, "")</f>
        <v>-12563.699999999997</v>
      </c>
      <c r="F5" s="19">
        <f>IFERROR(E5/D5, "")</f>
        <v>-0.11234641867119732</v>
      </c>
      <c r="G5" s="20">
        <v>113530.2</v>
      </c>
      <c r="H5" s="20">
        <f t="shared" ref="H5" si="1">IF(AND(ISNUMBER(C5),ISNUMBER(G5)), C5-G5, "")</f>
        <v>-14263.899999999994</v>
      </c>
      <c r="I5" s="19">
        <f t="shared" ref="I5" si="2">IFERROR(H5/G5, "")</f>
        <v>-0.12563969763111485</v>
      </c>
      <c r="J5" s="42" t="s">
        <v>36</v>
      </c>
      <c r="K5" s="42" t="s">
        <v>37</v>
      </c>
    </row>
    <row r="6" spans="1:11" ht="14.25">
      <c r="A6" s="21"/>
      <c r="B6" s="33"/>
      <c r="C6" s="21"/>
      <c r="D6" s="21"/>
      <c r="E6" s="21"/>
      <c r="F6" s="21"/>
      <c r="G6" s="21"/>
      <c r="H6" s="21"/>
      <c r="I6" s="21"/>
      <c r="J6" s="21"/>
      <c r="K6" s="21"/>
    </row>
    <row r="7" spans="1:11" ht="14.25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3.9"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/>
    <row r="331" spans="1:11" ht="14.25"/>
    <row r="332" spans="1:11" ht="14.25"/>
    <row r="333" spans="1:11" ht="14.25"/>
    <row r="334" spans="1:11" ht="14.25"/>
    <row r="335" spans="1:11" ht="14.25"/>
    <row r="336" spans="1:11" ht="14.25"/>
    <row r="337" ht="14.25"/>
    <row r="338" ht="14.25"/>
    <row r="339" ht="14.25"/>
    <row r="340" ht="14.25"/>
    <row r="341" ht="14.25"/>
    <row r="342" ht="14.25"/>
  </sheetData>
  <mergeCells count="4">
    <mergeCell ref="G1:I1"/>
    <mergeCell ref="A1:C1"/>
    <mergeCell ref="D1:F1"/>
    <mergeCell ref="A2:B2"/>
  </mergeCells>
  <conditionalFormatting sqref="F2 I2 F4:F87 I4:I87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80" zoomScaleNormal="80" workbookViewId="0">
      <pane xSplit="2" ySplit="3" topLeftCell="C4" activePane="bottomRight" state="frozen"/>
      <selection pane="bottomRight" activeCell="A6" sqref="A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SUM(C4:C88)</f>
        <v>215369.60000000001</v>
      </c>
      <c r="D2" s="5">
        <f>SUM(D4:D88)</f>
        <v>241247.82</v>
      </c>
      <c r="E2" s="5">
        <f>C2-D2</f>
        <v>-25878.22</v>
      </c>
      <c r="F2" s="6">
        <f>IFERROR(E2/D2, 0)</f>
        <v>-0.10726820246500052</v>
      </c>
      <c r="G2" s="5">
        <f>SUM(G4:G88)</f>
        <v>214005.24</v>
      </c>
      <c r="H2" s="7">
        <f>C2-G2</f>
        <v>1364.3600000000151</v>
      </c>
      <c r="I2" s="6">
        <f>IFERROR(H2/G2, 0)</f>
        <v>6.3753579117969972E-3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>
        <v>93191.5</v>
      </c>
      <c r="D4" s="13">
        <v>98439.52</v>
      </c>
      <c r="E4" s="13">
        <f>IF(AND(ISNUMBER(C4),ISNUMBER(D4)), C4-D4, "")</f>
        <v>-5248.0200000000041</v>
      </c>
      <c r="F4" s="14">
        <f>IFERROR(E4/D4, "")</f>
        <v>-5.3312125048964112E-2</v>
      </c>
      <c r="G4" s="15">
        <v>95180.74</v>
      </c>
      <c r="H4" s="15">
        <f>IF(AND(ISNUMBER(C4),ISNUMBER(G4)), C4-G4, "")</f>
        <v>-1989.2400000000052</v>
      </c>
      <c r="I4" s="16">
        <f>IFERROR(H4/G4, "")</f>
        <v>-2.0899606369944226E-2</v>
      </c>
      <c r="J4" s="41"/>
      <c r="K4" s="41"/>
    </row>
    <row r="5" spans="1:11" ht="60.75">
      <c r="A5" s="30" t="str">
        <v>Mount Laurel - Igloo Ice Rink</v>
      </c>
      <c r="B5" s="31" t="str">
        <v>NJ</v>
      </c>
      <c r="C5" s="11">
        <v>122178.1</v>
      </c>
      <c r="D5" s="18">
        <v>142808.29999999999</v>
      </c>
      <c r="E5" s="18">
        <f t="shared" ref="E5" si="0">IF(AND(ISNUMBER(C5),ISNUMBER(D5)), C5-D5, "")</f>
        <v>-20630.199999999983</v>
      </c>
      <c r="F5" s="19">
        <f>IFERROR(E5/D5, "")</f>
        <v>-0.1444607911444922</v>
      </c>
      <c r="G5" s="20">
        <v>118824.5</v>
      </c>
      <c r="H5" s="20">
        <f t="shared" ref="H5" si="1">IF(AND(ISNUMBER(C5),ISNUMBER(G5)), C5-G5, "")</f>
        <v>3353.6000000000058</v>
      </c>
      <c r="I5" s="19">
        <f t="shared" ref="I5" si="2">IFERROR(H5/G5, "")</f>
        <v>2.8223135801118505E-2</v>
      </c>
      <c r="J5" s="53" t="s">
        <v>40</v>
      </c>
      <c r="K5" s="53" t="s">
        <v>41</v>
      </c>
    </row>
    <row r="6" spans="1:11" ht="12.75" customHeight="1">
      <c r="A6" s="21"/>
      <c r="B6" s="33"/>
      <c r="C6" s="21"/>
      <c r="D6" s="21"/>
      <c r="E6" s="21"/>
      <c r="F6" s="21"/>
      <c r="G6" s="21"/>
      <c r="H6" s="21"/>
      <c r="I6" s="21"/>
      <c r="J6" s="21"/>
      <c r="K6" s="21"/>
    </row>
    <row r="7" spans="1:11" ht="14.25">
      <c r="A7" s="21"/>
      <c r="B7" s="33"/>
      <c r="C7" s="21"/>
      <c r="D7" s="21"/>
      <c r="E7" s="21"/>
      <c r="F7" s="21"/>
      <c r="G7" s="21"/>
      <c r="H7" s="21"/>
      <c r="I7" s="21"/>
      <c r="J7" s="21"/>
      <c r="K7" s="21"/>
    </row>
    <row r="8" spans="1:11" ht="14.25">
      <c r="A8" s="21"/>
      <c r="B8" s="33"/>
      <c r="C8" s="21"/>
      <c r="D8" s="21"/>
      <c r="E8" s="21"/>
      <c r="F8" s="21"/>
      <c r="G8" s="21"/>
      <c r="H8" s="21"/>
      <c r="I8" s="21"/>
      <c r="J8" s="21"/>
      <c r="K8" s="21"/>
    </row>
    <row r="9" spans="1:11" ht="14.25">
      <c r="A9" s="21"/>
      <c r="B9" s="33"/>
      <c r="C9" s="21"/>
      <c r="D9" s="21"/>
      <c r="E9" s="21"/>
      <c r="F9" s="21"/>
      <c r="G9" s="21"/>
      <c r="H9" s="21"/>
      <c r="I9" s="21"/>
      <c r="J9" s="21"/>
      <c r="K9" s="21"/>
    </row>
    <row r="10" spans="1:11" ht="14.25">
      <c r="A10" s="21"/>
      <c r="B10" s="33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25">
      <c r="A11" s="21"/>
      <c r="B11" s="33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25">
      <c r="A12" s="21"/>
      <c r="B12" s="33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25">
      <c r="A13" s="21"/>
      <c r="B13" s="33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25">
      <c r="A14" s="21"/>
      <c r="B14" s="33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25">
      <c r="A15" s="21"/>
      <c r="B15" s="33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25">
      <c r="A16" s="21"/>
      <c r="B16" s="33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25">
      <c r="A17" s="21"/>
      <c r="B17" s="33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25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3.9"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/>
    <row r="332" spans="1:11" ht="14.25"/>
    <row r="333" spans="1:11" ht="14.25"/>
    <row r="334" spans="1:11" ht="14.25"/>
    <row r="335" spans="1:11" ht="14.25"/>
    <row r="336" spans="1:11" ht="14.25"/>
    <row r="337" ht="14.25"/>
    <row r="338" ht="14.25"/>
    <row r="339" ht="14.25"/>
    <row r="340" ht="14.25"/>
    <row r="341" ht="14.25"/>
    <row r="342" ht="14.25"/>
  </sheetData>
  <mergeCells count="4">
    <mergeCell ref="G1:I1"/>
    <mergeCell ref="A1:C1"/>
    <mergeCell ref="D1:F1"/>
    <mergeCell ref="A2:B2"/>
  </mergeCells>
  <conditionalFormatting sqref="F2 I2 F4:F88 I4:I88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50</v>
      </c>
      <c r="E1" s="56"/>
      <c r="F1" s="56"/>
      <c r="G1" s="54" t="s">
        <v>51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1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52</v>
      </c>
      <c r="E1" s="56"/>
      <c r="F1" s="56"/>
      <c r="G1" s="54" t="s">
        <v>53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5">Sites[Site]</f>
        <v>Farmingdale - Howell Ice Arena</v>
      </c>
      <c r="B4" s="29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Mount Laurel - Igloo Ice Rink</v>
      </c>
      <c r="B5" s="31" t="str">
        <v>NJ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/>
      <c r="B6" s="29"/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/>
      <c r="B7" s="31"/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/>
      <c r="B8" s="29"/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/>
      <c r="B9" s="31"/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/>
      <c r="B10" s="29"/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/>
      <c r="B11" s="31"/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/>
      <c r="B12" s="29"/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/>
      <c r="B13" s="31"/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/>
      <c r="B14" s="29"/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/>
      <c r="B15" s="31"/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/>
      <c r="B16" s="29"/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/>
      <c r="B17" s="31"/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1"/>
      <c r="B18" s="33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25">
      <c r="A19" s="21"/>
      <c r="B19" s="33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25">
      <c r="A20" s="21"/>
      <c r="B20" s="33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25">
      <c r="A21" s="21"/>
      <c r="B21" s="33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25">
      <c r="A22" s="21"/>
      <c r="B22" s="33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25">
      <c r="A23" s="21"/>
      <c r="B23" s="33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25">
      <c r="A24" s="21"/>
      <c r="B24" s="33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25">
      <c r="A25" s="21"/>
      <c r="B25" s="33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2" sqref="B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54</v>
      </c>
      <c r="B1" t="s">
        <v>55</v>
      </c>
    </row>
    <row r="3" spans="1:7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7" ht="14.25">
      <c r="A4" s="44" t="s">
        <v>59</v>
      </c>
      <c r="B4" s="44" t="s">
        <v>60</v>
      </c>
      <c r="C4" s="44" t="s">
        <v>61</v>
      </c>
      <c r="D4" s="47" t="s">
        <v>62</v>
      </c>
      <c r="E4" t="s">
        <v>63</v>
      </c>
      <c r="G4" s="3"/>
    </row>
    <row r="5" spans="1:7" ht="14.25">
      <c r="A5" s="45" t="s">
        <v>64</v>
      </c>
      <c r="B5" s="45" t="s">
        <v>65</v>
      </c>
      <c r="C5" s="46" t="s">
        <v>61</v>
      </c>
      <c r="D5" s="48" t="s">
        <v>62</v>
      </c>
      <c r="E5" t="s">
        <v>63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[Libsys]</cp:lastModifiedBy>
  <cp:revision/>
  <dcterms:created xsi:type="dcterms:W3CDTF">2021-01-01T16:39:53Z</dcterms:created>
  <dcterms:modified xsi:type="dcterms:W3CDTF">2024-10-01T05:28:23Z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