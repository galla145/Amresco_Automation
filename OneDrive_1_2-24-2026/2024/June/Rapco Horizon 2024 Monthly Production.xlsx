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8" documentId="13_ncr:1_{85703BA0-F7B0-4DE4-84D0-558FD23B7311}" xr6:coauthVersionLast="47" xr6:coauthVersionMax="47" xr10:uidLastSave="{BC19D7EB-C117-4C39-932F-56F5D8199936}"/>
  <bookViews>
    <workbookView xWindow="-108" yWindow="-108" windowWidth="23256" windowHeight="12456" tabRatio="866" firstSheet="9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<sst xmlns="http://schemas.openxmlformats.org/spreadsheetml/2006/main" count="242" uniqueCount="55">
  <si>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</si>
  <si>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</si>
  <si>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</si>
  <si>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</si>
  <si>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</si>
  <si>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</si>
  <si>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</si>
  <si>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</si>
  <si>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</si>
  <si>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</si>
  <si>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</si>
  <si>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</si>
  <si>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</si>
  <si>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</si>
  <si>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</si>
  <si>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</si>
  <si>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</si>
  <si>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</si>
  <si>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</si>
  <si>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</si>
  <si>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</si>
  <si>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</si>
  <si>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</si>
  <si>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</si>
  <si>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</si>
  <si>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</si>
  <si>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</si>
  <si>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</si>
  <si>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Inverter 6 is having tripping events from 09:25AM on 04/27 and later resolved on 04/29.</t>
  </si>
  <si>
    <t>1. SR083904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</si>
  <si>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</si>
  <si>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</si>
  <si>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</si>
  <si>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</si>
  <si>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</si>
  <si>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</si>
  <si>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</si>
  <si>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</si>
  <si>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</si>
  <si>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</si>
  <si>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</si>
  <si>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</si>
  <si>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</si>
  <si>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</si>
  <si>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</si>
  <si>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</si>
  <si>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</si>
  <si>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Leominster - 1776 Lock Dr - Rapco Horizon</t>
  </si>
  <si>
    <t>Site DAS Name</t>
  </si>
  <si>
    <t>Update</t>
  </si>
  <si>
    <t>DAS</t>
  </si>
  <si>
    <t>Rapco Horizon - 1776 Lock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</si>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</sst>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Leominster - 1776 Lock Dr - Rapco Horizon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245757.34</v>
      </c>
      <c r="D2" s="5">
        <f>SUM(D4:D79)</f>
        <v>0</v>
      </c>
      <c r="E2" s="5">
        <f>C2-D2</f>
        <v>245757.34</v>
      </c>
      <c r="F2" s="6">
        <f>IFERROR(E2/D2, 0)</f>
        <v>0</v>
      </c>
      <c r="G2" s="5">
        <f>SUM(G4:G79)</f>
        <v>268711.58999999997</v>
      </c>
      <c r="H2" s="7">
        <f>C2-G2</f>
        <v>-22954.249999999971</v>
      </c>
      <c r="I2" s="6">
        <f>IFERROR(H2/G2, 0)</f>
        <v>-8.5423371578427165E-2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SUM('1st Qtr'!C4, '2nd Qtr'!C4, '3rd Qtr'!C4, '4th Qtr'!C4)</f>
        <v>245757.34</v>
      </c>
      <c r="D4" s="12">
        <f>SUM('1st Qtr'!D4, '2nd Qtr'!D4, '3rd Qtr'!D4, '4th Qtr'!D4)</f>
        <v>0</v>
      </c>
      <c r="E4" s="12">
        <f>IF(AND(ISNUMBER(C4),ISNUMBER(D4)), C4-D4, "")</f>
        <v>245757.34</v>
      </c>
      <c r="F4" s="13" t="str">
        <f>IFERROR(E4/D4, "")</f>
        <v/>
      </c>
      <c r="G4" s="14">
        <f>SUM('1st Qtr'!G4, '2nd Qtr'!G4, '3rd Qtr'!G4, '4th Qtr'!G4)</f>
        <v>268711.58999999997</v>
      </c>
      <c r="H4" s="14">
        <f>SUM('1st Qtr'!H4, '2nd Qtr'!H4, '3rd Qtr'!H4, '4th Qtr'!H4)</f>
        <v>-22954.25</v>
      </c>
      <c r="I4" s="15">
        <f>IFERROR(H4/G4, "")</f>
        <v>-8.5423371578427276E-2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Leominster - 1776 Lock Dr - Rapco Horizon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83001.34</v>
      </c>
      <c r="D2" s="5">
        <f>SUM(D4:D79)</f>
        <v>0</v>
      </c>
      <c r="E2" s="5">
        <f>C2-D2</f>
        <v>83001.34</v>
      </c>
      <c r="F2" s="6">
        <f>IFERROR(E2/D2, 0)</f>
        <v>0</v>
      </c>
      <c r="G2" s="5">
        <f>SUM(G4:G79)</f>
        <v>96524.59</v>
      </c>
      <c r="H2" s="7">
        <f>C2-G2</f>
        <v>-13523.25</v>
      </c>
      <c r="I2" s="6">
        <f>IFERROR(H2/G2, 0)</f>
        <v>-0.14010160519718343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SUM(Jan!C4, Feb!C4, Mar!C4)</f>
        <v>83001.34</v>
      </c>
      <c r="D4" s="12">
        <f>SUM(Jan!D4, Feb!D4, Mar!D4)</f>
        <v>0</v>
      </c>
      <c r="E4" s="12">
        <f>IF(AND(ISNUMBER(C4),ISNUMBER(D4)), C4-D4, "")</f>
        <v>83001.34</v>
      </c>
      <c r="F4" s="13" t="str">
        <f>IFERROR(E4/D4, "")</f>
        <v/>
      </c>
      <c r="G4" s="14">
        <f>SUM(Jan!G4, Feb!G4, Mar!G4)</f>
        <v>96524.59</v>
      </c>
      <c r="H4" s="14">
        <f>SUM(Jan!H4, Feb!H4, Mar!H4)</f>
        <v>-13523.25</v>
      </c>
      <c r="I4" s="15">
        <f>IFERROR(H4/G4, "")</f>
        <v>-0.14010160519718343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Leominster - 1776 Lock Dr - Rapco Horizon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162756</v>
      </c>
      <c r="D2" s="5">
        <f>SUM(D4:D79)</f>
        <v>0</v>
      </c>
      <c r="E2" s="5">
        <f>C2-D2</f>
        <v>162756</v>
      </c>
      <c r="F2" s="6">
        <f>IFERROR(E2/D2, 0)</f>
        <v>0</v>
      </c>
      <c r="G2" s="5">
        <f>SUM(G4:G79)</f>
        <v>172187</v>
      </c>
      <c r="H2" s="7">
        <f>C2-G2</f>
        <v>-9431</v>
      </c>
      <c r="I2" s="6">
        <f>IFERROR(H2/G2, 0)</f>
        <v>-5.4771846887395684E-2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SUM(Apr!C4, May!C4, Jun!C4)</f>
        <v>162756</v>
      </c>
      <c r="D4" s="12">
        <f>SUM(Apr!D4, May!D4, Jun!D4)</f>
        <v>0</v>
      </c>
      <c r="E4" s="12">
        <f>IF(AND(ISNUMBER(C4),ISNUMBER(D4)), C4-D4, "")</f>
        <v>162756</v>
      </c>
      <c r="F4" s="13" t="str">
        <f>IFERROR(E4/D4, "")</f>
        <v/>
      </c>
      <c r="G4" s="14">
        <f>SUM(Apr!G4,May!G4,Jun!G4)</f>
        <v>172187</v>
      </c>
      <c r="H4" s="14">
        <f>SUM(Apr!H4, May!H4, Jun!H4)</f>
        <v>-9431</v>
      </c>
      <c r="I4" s="15">
        <f>IFERROR(H4/G4, "")</f>
        <v>-5.4771846887395684E-2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Leominster - 1776 Lock Dr - Rapco Horizon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Leominster - 1776 Lock Dr - Rapco Horizon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2" sqref="G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Leominster - 1776 Lock Dr - Rapco Horizon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8796</v>
      </c>
      <c r="D2" s="5">
        <f>SUM(D4:D78)</f>
        <v>0</v>
      </c>
      <c r="E2" s="5">
        <f>C2-D2</f>
        <v>8796</v>
      </c>
      <c r="F2" s="6">
        <f>IFERROR(E2/D2, 0)</f>
        <v>0</v>
      </c>
      <c r="G2" s="5">
        <f>SUM(G4:G78)</f>
        <v>22339</v>
      </c>
      <c r="H2" s="7">
        <f>C2-G2</f>
        <v>-13543</v>
      </c>
      <c r="I2" s="6">
        <f>IFERROR(H2/G2, 0)</f>
        <v>-0.60624916066072787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50">
        <v>8796</v>
      </c>
      <c r="D4" s="51">
        <v>0</v>
      </c>
      <c r="E4" s="12">
        <f>IF(AND(ISNUMBER(C4),ISNUMBER(D4)), C4-D4, "")</f>
        <v>8796</v>
      </c>
      <c r="F4" s="40" t="str">
        <f>IFERROR(E4/D4, "")</f>
        <v/>
      </c>
      <c r="G4" s="53">
        <v>22339</v>
      </c>
      <c r="H4" s="14">
        <f>IF(AND(ISNUMBER(C4),ISNUMBER(G4)), C4-G4, "")</f>
        <v>-13543</v>
      </c>
      <c r="I4" s="15">
        <f>IFERROR(H4/G4, "")</f>
        <v>-0.60624916066072787</v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12" sqref="G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Leominster - 1776 Lock Dr - Rapco Horizon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32517.958999999999</v>
      </c>
      <c r="D2" s="5">
        <f>SUM(D4:D79)</f>
        <v>0</v>
      </c>
      <c r="E2" s="5">
        <f>C2-D2</f>
        <v>32517.958999999999</v>
      </c>
      <c r="F2" s="6">
        <f>IFERROR(E2/D2, 0)</f>
        <v>0</v>
      </c>
      <c r="G2" s="5">
        <f>SUM(G4:G79)</f>
        <v>30499.143</v>
      </c>
      <c r="H2" s="7">
        <f>C2-G2</f>
        <v>2018.8159999999989</v>
      </c>
      <c r="I2" s="6">
        <f>IFERROR(H2/G2, 0)</f>
        <v>6.6192548426688549E-2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32517.958999999999</v>
      </c>
      <c r="D4" s="12">
        <v>0</v>
      </c>
      <c r="E4" s="12">
        <f>IF(AND(ISNUMBER(C4),ISNUMBER(D4)), C4-D4, "")</f>
        <v>32517.958999999999</v>
      </c>
      <c r="F4" s="13" t="str">
        <f>IFERROR(E4/D4, "")</f>
        <v/>
      </c>
      <c r="G4" s="14">
        <v>30499.143</v>
      </c>
      <c r="H4" s="14">
        <f>IF(AND(ISNUMBER(C4),ISNUMBER(G4)), C4-G4, "")</f>
        <v>2018.8159999999989</v>
      </c>
      <c r="I4" s="15">
        <f>IFERROR(H4/G4, "")</f>
        <v>6.6192548426688549E-2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F11" sqref="F1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Leominster - 1776 Lock Dr - Rapco Horizon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41687.381000000001</v>
      </c>
      <c r="D2" s="5">
        <f>SUM(D4:D79)</f>
        <v>0</v>
      </c>
      <c r="E2" s="5">
        <f>C2-D2</f>
        <v>41687.381000000001</v>
      </c>
      <c r="F2" s="6">
        <f>IFERROR(E2/D2, 0)</f>
        <v>0</v>
      </c>
      <c r="G2" s="5">
        <f>SUM(G4:G79)</f>
        <v>43686.447</v>
      </c>
      <c r="H2" s="7">
        <f>C2-G2</f>
        <v>-1999.0659999999989</v>
      </c>
      <c r="I2" s="6">
        <f>IFERROR(H2/G2, 0)</f>
        <v>-4.5759409090878889E-2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41687.381000000001</v>
      </c>
      <c r="D4" s="12">
        <v>0</v>
      </c>
      <c r="E4" s="12">
        <f>IF(AND(ISNUMBER(C4),ISNUMBER(D4)), C4-D4, "")</f>
        <v>41687.381000000001</v>
      </c>
      <c r="F4" s="13" t="str">
        <f>IFERROR(E4/D4, "")</f>
        <v/>
      </c>
      <c r="G4" s="14">
        <v>43686.447</v>
      </c>
      <c r="H4" s="14">
        <f>IF(AND(ISNUMBER(C4),ISNUMBER(G4)), C4-G4, "")</f>
        <v>-1999.0659999999989</v>
      </c>
      <c r="I4" s="15">
        <f>IFERROR(H4/G4, "")</f>
        <v>-4.5759409090878889E-2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K4" sqref="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Leominster - 1776 Lock Dr - Rapco Horizon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46736</v>
      </c>
      <c r="D2" s="5">
        <f>SUM(D4:D79)</f>
        <v>0</v>
      </c>
      <c r="E2" s="5">
        <f>C2-D2</f>
        <v>46736</v>
      </c>
      <c r="F2" s="6">
        <f>IFERROR(E2/D2, 0)</f>
        <v>0</v>
      </c>
      <c r="G2" s="5">
        <f>SUM(G4:G79)</f>
        <v>50625</v>
      </c>
      <c r="H2" s="7">
        <f>C2-G2</f>
        <v>-3889</v>
      </c>
      <c r="I2" s="6">
        <f>IFERROR(H2/G2, 0)</f>
        <v>-7.6819753086419751E-2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46736</v>
      </c>
      <c r="D4" s="12">
        <v>0</v>
      </c>
      <c r="E4" s="12">
        <f>IF(AND(ISNUMBER(C4),ISNUMBER(D4)), C4-D4, "")</f>
        <v>46736</v>
      </c>
      <c r="F4" s="13" t="str">
        <f>IFERROR(E4/D4, "")</f>
        <v/>
      </c>
      <c r="G4" s="14">
        <v>50625</v>
      </c>
      <c r="H4" s="14">
        <f>IF(AND(ISNUMBER(C4),ISNUMBER(G4)), C4-G4, "")</f>
        <v>-3889</v>
      </c>
      <c r="I4" s="15">
        <f>IFERROR(H4/G4, "")</f>
        <v>-7.6819753086419751E-2</v>
      </c>
      <c r="J4" s="36" t="s">
        <v>28</v>
      </c>
      <c r="K4" s="36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Leominster - 1776 Lock Dr - Rapco Horizon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54866</v>
      </c>
      <c r="D2" s="5">
        <f>SUM(D4:D79)</f>
        <v>0</v>
      </c>
      <c r="E2" s="5">
        <f>C2-D2</f>
        <v>54866</v>
      </c>
      <c r="F2" s="6">
        <f>IFERROR(E2/D2, 0)</f>
        <v>0</v>
      </c>
      <c r="G2" s="5">
        <f>SUM(G4:G79)</f>
        <v>60160</v>
      </c>
      <c r="H2" s="7">
        <f>C2-G2</f>
        <v>-5294</v>
      </c>
      <c r="I2" s="6">
        <f>IFERROR(H2/G2, 0)</f>
        <v>-8.7998670212765959E-2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54866</v>
      </c>
      <c r="D4" s="12">
        <v>0</v>
      </c>
      <c r="E4" s="12">
        <f>IF(AND(ISNUMBER(C4),ISNUMBER(D4)), C4-D4, "")</f>
        <v>54866</v>
      </c>
      <c r="F4" s="13" t="str">
        <f>IFERROR(E4/D4, "")</f>
        <v/>
      </c>
      <c r="G4" s="14">
        <v>60160</v>
      </c>
      <c r="H4" s="14">
        <f>IF(AND(ISNUMBER(C4),ISNUMBER(G4)), C4-G4, "")</f>
        <v>-5294</v>
      </c>
      <c r="I4" s="15">
        <f>IFERROR(H4/G4, "")</f>
        <v>-8.7998670212765959E-2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E19" sqref="E1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Leominster - 1776 Lock Dr - Rapco Horizon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61154</v>
      </c>
      <c r="D2" s="5">
        <f>SUM(D4:D79)</f>
        <v>0</v>
      </c>
      <c r="E2" s="5">
        <f>C2-D2</f>
        <v>61154</v>
      </c>
      <c r="F2" s="6">
        <f>IFERROR(E2/D2, 0)</f>
        <v>0</v>
      </c>
      <c r="G2" s="5">
        <f>SUM(G4:G79)</f>
        <v>61402</v>
      </c>
      <c r="H2" s="7">
        <f>C2-G2</f>
        <v>-248</v>
      </c>
      <c r="I2" s="6">
        <f>IFERROR(H2/G2, 0)</f>
        <v>-4.0389563857854789E-3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61154</v>
      </c>
      <c r="D4" s="12">
        <v>0</v>
      </c>
      <c r="E4" s="12">
        <f>IF(AND(ISNUMBER(C4),ISNUMBER(D4)), C4-D4, "")</f>
        <v>61154</v>
      </c>
      <c r="F4" s="13" t="str">
        <f>IFERROR(E4/D4, "")</f>
        <v/>
      </c>
      <c r="G4" s="14">
        <v>61402</v>
      </c>
      <c r="H4" s="14">
        <f>IF(AND(ISNUMBER(C4),ISNUMBER(G4)), C4-G4, "")</f>
        <v>-248</v>
      </c>
      <c r="I4" s="15">
        <f>IFERROR(H4/G4, "")</f>
        <v>-4.0389563857854789E-3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Leominster - 1776 Lock Dr - Rapco Horizon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Leominster - 1776 Lock Dr - Rapco Horizon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Leominster - 1776 Lock Dr - Rapco Horizon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Leominster - 1776 Lock Dr - Rapco Horizon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Leominster - 1776 Lock Dr - Rapco Horizon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Leominster - 1776 Lock Dr - Rapco Horizon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45" t="s">
        <v>51</v>
      </c>
      <c r="B4" t="s">
        <v>47</v>
      </c>
      <c r="C4" s="43" t="s">
        <v>52</v>
      </c>
      <c r="D4" s="42" t="s">
        <v>53</v>
      </c>
      <c r="E4" t="s">
        <v>54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[AGS]</cp:lastModifiedBy>
  <cp:revision/>
  <dcterms:created xsi:type="dcterms:W3CDTF">2021-01-01T16:39:53Z</dcterms:created>
  <dcterms:modified xsi:type="dcterms:W3CDTF">2024-07-10T10:46:46Z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