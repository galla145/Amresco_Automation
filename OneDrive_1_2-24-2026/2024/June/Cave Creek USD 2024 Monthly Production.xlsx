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rinivasakrishnan_amgsol_com/Documents/Microsoft Teams Chat Files/"/>
    </mc:Choice>
  </mc:AlternateContent>
  <xr:revisionPtr revIDLastSave="0" documentId="8_{7555DB06-0202-4C3A-839B-4922AB8C82CF}" xr6:coauthVersionLast="47" xr6:coauthVersionMax="47" xr10:uidLastSave="{00000000-0000-0000-0000-000000000000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2" l="1"/>
  <c r="H6" i="72"/>
  <c r="I6" i="72" s="1"/>
  <c r="H5" i="72"/>
  <c r="I5" i="72" s="1"/>
  <c r="H4" i="72"/>
  <c r="I4" i="72" s="1"/>
  <c r="F6" i="72"/>
  <c r="E5" i="72"/>
  <c r="F5" i="72" s="1"/>
  <c r="E4" i="72"/>
  <c r="F4" i="72" s="1"/>
  <c r="I5" i="29"/>
  <c r="I6" i="29"/>
  <c r="I4" i="29"/>
  <c r="F5" i="29"/>
  <c r="F6" i="29"/>
  <c r="F4" i="29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6" i="29"/>
  <c r="C6" i="29"/>
  <c r="E6" i="29" s="1"/>
  <c r="D5" i="29"/>
  <c r="C5" i="29"/>
  <c r="D4" i="29"/>
  <c r="C4" i="29"/>
  <c r="D6" i="18"/>
  <c r="C6" i="18"/>
  <c r="D5" i="18"/>
  <c r="C5" i="18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H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H2" i="19" l="1"/>
  <c r="I2" i="19" s="1"/>
  <c r="E2" i="20"/>
  <c r="F2" i="20" s="1"/>
  <c r="D2" i="18"/>
  <c r="E5" i="18"/>
  <c r="F5" i="18" s="1"/>
  <c r="D4" i="34"/>
  <c r="E6" i="18"/>
  <c r="F6" i="18" s="1"/>
  <c r="E4" i="18"/>
  <c r="F4" i="18" s="1"/>
  <c r="G2" i="34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J2" i="27"/>
  <c r="H2" i="4"/>
  <c r="I2" i="4" s="1"/>
  <c r="H2" i="21"/>
  <c r="I2" i="21" s="1"/>
  <c r="J2" i="28"/>
  <c r="J2" i="19"/>
  <c r="H2" i="20"/>
  <c r="I2" i="20" s="1"/>
  <c r="J2" i="31"/>
  <c r="J2" i="32"/>
  <c r="H2" i="3"/>
  <c r="I2" i="3" s="1"/>
  <c r="E5" i="34"/>
  <c r="F5" i="34" s="1"/>
  <c r="G2" i="1"/>
  <c r="E6" i="34"/>
  <c r="F6" i="34" s="1"/>
  <c r="D2" i="34"/>
  <c r="E5" i="1"/>
  <c r="F5" i="1" s="1"/>
  <c r="E6" i="1"/>
  <c r="F6" i="1" s="1"/>
  <c r="H4" i="30"/>
  <c r="I4" i="30" s="1"/>
  <c r="H5" i="30"/>
  <c r="I5" i="30" s="1"/>
  <c r="I6" i="26"/>
  <c r="H4" i="29"/>
  <c r="H5" i="29"/>
  <c r="H6" i="18"/>
  <c r="I6" i="18" s="1"/>
  <c r="H4" i="18"/>
  <c r="I4" i="18" s="1"/>
  <c r="C4" i="34"/>
  <c r="E4" i="34" s="1"/>
  <c r="F4" i="34" s="1"/>
  <c r="H5" i="18"/>
  <c r="I5" i="18" s="1"/>
  <c r="H6" i="34"/>
  <c r="I6" i="34" s="1"/>
  <c r="H5" i="34"/>
  <c r="I5" i="34" s="1"/>
  <c r="C2" i="29"/>
  <c r="E2" i="29" s="1"/>
  <c r="F2" i="29" s="1"/>
  <c r="C2" i="30"/>
  <c r="E4" i="29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<sst xmlns="http://schemas.openxmlformats.org/spreadsheetml/2006/main" count="262" uniqueCount="69">
  <si>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</si>
  <si>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</si>
  <si>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</si>
  <si>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</si>
  <si>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</si>
  <si>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</si>
  <si>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</si>
  <si>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</si>
  <si>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</si>
  <si>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</si>
  <si>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</si>
  <si>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</si>
  <si>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</si>
  <si>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</si>
  <si>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</si>
  <si>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</si>
  <si>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</si>
  <si>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</si>
  <si>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</si>
  <si>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</si>
  <si>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</si>
  <si>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</si>
  <si>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1.7 is offline for whole month.</t>
  </si>
  <si>
    <t>1. SR075156</t>
  </si>
  <si>
    <t>February Actual v. Expected</t>
  </si>
  <si>
    <t>February Actual v. Forecasted</t>
  </si>
  <si>
    <t>1. Meter is not capturing full production of inverters
2. Inverter 1.7 is offline for whole month</t>
  </si>
  <si>
    <t>1. 	SR081116
2. SR075156</t>
  </si>
  <si>
    <t>March Actual v. Expected</t>
  </si>
  <si>
    <t>March Actual v. Forecasted</t>
  </si>
  <si>
    <t>1. Inverter 1.7 is offline &amp; RMA'd</t>
  </si>
  <si>
    <t>April Actual v. Expected</t>
  </si>
  <si>
    <t>April Actual v. Forecasted</t>
  </si>
  <si>
    <t>1. Meter is not capturing full production of inverters due to drop in phase B and phase C currents. But the SR is in closed state
2. Inverter 1.7 is offline and being RMA'd</t>
  </si>
  <si>
    <t>1. SR081116
2. SR075156</t>
  </si>
  <si>
    <t>May Actual v. Expected</t>
  </si>
  <si>
    <t>May Actual v. Forecasted</t>
  </si>
  <si>
    <t>1. Inverter 1-6 was offline on 05/22,05/30</t>
  </si>
  <si>
    <t>1. SR085017</t>
  </si>
  <si>
    <t>1. Meter is not capturing full production of inverters due to drop in phase B and phase C currents. But the SR was in closed state
2. Inverter 1.7 was replaced on 05/16 but it is still offline
3. Inverter 1.4 was offline on 05/18 and back online on 05/19.</t>
  </si>
  <si>
    <t>1. SR081116
2. SR075156
3. SR084829</t>
  </si>
  <si>
    <t>1. Site tripped offline at 13:30 on 05/21 and back online at 09:00 on 05/24</t>
  </si>
  <si>
    <t>1. SR084994</t>
  </si>
  <si>
    <t>June Actual v. Expected</t>
  </si>
  <si>
    <t>June Actual v. Forecasted</t>
  </si>
  <si>
    <t>1. Inverter 1-6 was derating during peak hours from 06/11. Inverter was also offline on 06/17,06/30</t>
  </si>
  <si>
    <t>1. 	SR085017</t>
  </si>
  <si>
    <t>1. Meter is not capturing full production of inverters due to drop in phase B and phase C currents. But the SR was in closed state.
2. Inverter 1.7 is still offline throughout the month
3. Inverter 1.4 was offline throughout the month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</si>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</sst>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E2" sqref="E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6">
        <f>SUM(C4:C91)</f>
        <v>368627</v>
      </c>
      <c r="D2" s="6">
        <f>SUM(D4:D91)</f>
        <v>318889.25</v>
      </c>
      <c r="E2" s="6">
        <f>C2-D2</f>
        <v>49737.75</v>
      </c>
      <c r="F2" s="7">
        <f>IFERROR(E2/D2, 0)</f>
        <v>0.1559718617043378</v>
      </c>
      <c r="G2" s="6">
        <f>SUM(G4:G91)</f>
        <v>0</v>
      </c>
      <c r="H2" s="8">
        <f>C2-G2</f>
        <v>368627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224759</v>
      </c>
      <c r="D4" s="14">
        <f>SUM('1st Qtr'!D4, '2nd Qtr'!D4, '3rd Qtr'!D4, '4th Qtr'!D4)</f>
        <v>233764.31</v>
      </c>
      <c r="E4" s="14">
        <f>IF(AND(ISNUMBER(C4),ISNUMBER(D4)), C4-D4, "")</f>
        <v>-9005.3099999999977</v>
      </c>
      <c r="F4" s="15">
        <f>IFERROR(E4/D4, 0)</f>
        <v>-3.8523032023151854E-2</v>
      </c>
      <c r="G4" s="16">
        <f>SUM('1st Qtr'!G4,'2nd Qtr'!G4,'3rd Qtr'!G4,'4th Qtr'!G4)</f>
        <v>0</v>
      </c>
      <c r="H4" s="16">
        <f>SUM('1st Qtr'!H4, '2nd Qtr'!H4, '3rd Qtr'!H4, '4th Qtr'!H4)</f>
        <v>224759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SUM(Jan!C5, Feb!C5, Mar!C5)</f>
        <v>65853</v>
      </c>
      <c r="D5" s="20">
        <f>SUM(Jan!D5, Feb!D5, Mar!D5)</f>
        <v>85124.94</v>
      </c>
      <c r="E5" s="20">
        <f t="shared" ref="E5:E6" si="0">IF(AND(ISNUMBER(C5),ISNUMBER(D5)), C5-D5, "")</f>
        <v>-19271.940000000002</v>
      </c>
      <c r="F5" s="21">
        <f>IFERROR(E5/D5, 0)</f>
        <v>-0.22639593049933429</v>
      </c>
      <c r="G5" s="44">
        <f>SUM('1st Qtr'!G5,'2nd Qtr'!G5,'3rd Qtr'!G5,'4th Qtr'!G5)</f>
        <v>0</v>
      </c>
      <c r="H5" s="22">
        <f>SUM(Jan!H5, Feb!H5, Mar!H5)</f>
        <v>65853</v>
      </c>
      <c r="I5" s="21">
        <f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SUM(Jan!C6, Feb!C6, Mar!C6)</f>
        <v>78015</v>
      </c>
      <c r="D6" s="14">
        <f>SUM(Jan!D6, Feb!D6, Mar!D6)</f>
        <v>0</v>
      </c>
      <c r="E6" s="14">
        <f t="shared" si="0"/>
        <v>78015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78015</v>
      </c>
      <c r="I6" s="17">
        <f>IFERROR(H6/G6, 0)</f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D19" sqref="D19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6">
        <f>SUM(C4:C88)</f>
        <v>235410</v>
      </c>
      <c r="D2" s="6">
        <f>SUM(D4:D88)</f>
        <v>177803.88</v>
      </c>
      <c r="E2" s="6">
        <f>C2-D2</f>
        <v>57606.119999999995</v>
      </c>
      <c r="F2" s="7">
        <f>IFERROR(E2/D2, 0)</f>
        <v>0.32398685562992208</v>
      </c>
      <c r="G2" s="6">
        <f>SUM(G4:G88)</f>
        <v>0</v>
      </c>
      <c r="H2" s="8">
        <f>C2-G2</f>
        <v>235410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91542</v>
      </c>
      <c r="D4" s="14">
        <f>SUM(Jan!D4, Feb!D4, Mar!D4)</f>
        <v>92678.94</v>
      </c>
      <c r="E4" s="14">
        <f>IF(AND(ISNUMBER(C4),ISNUMBER(D4)), C4-D4, "")</f>
        <v>-1136.9400000000023</v>
      </c>
      <c r="F4" s="15">
        <f>IFERROR(E4/D4, 0)</f>
        <v>-1.2267511907235908E-2</v>
      </c>
      <c r="G4" s="16">
        <f>SUM(Jan!G4, Feb!G4, Mar!G4)</f>
        <v>0</v>
      </c>
      <c r="H4" s="16">
        <f>SUM(Jan!H4, Feb!H4, Mar!H4)</f>
        <v>91542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SUM(Jan!C5, Feb!C5, Mar!C5)</f>
        <v>65853</v>
      </c>
      <c r="D5" s="20">
        <f>SUM(Jan!D5, Feb!D5, Mar!D5)</f>
        <v>85124.94</v>
      </c>
      <c r="E5" s="20">
        <f t="shared" ref="E5:E6" si="0">IF(AND(ISNUMBER(C5),ISNUMBER(D5)), C5-D5, "")</f>
        <v>-19271.940000000002</v>
      </c>
      <c r="F5" s="43">
        <f t="shared" ref="F5:F6" si="1">IFERROR(E5/D5, 0)</f>
        <v>-0.22639593049933429</v>
      </c>
      <c r="G5" s="22">
        <f>SUM(Jan!G5, Feb!G5, Mar!G5)</f>
        <v>0</v>
      </c>
      <c r="H5" s="22">
        <f>SUM(Jan!H5, Feb!H5, Mar!H5)</f>
        <v>65853</v>
      </c>
      <c r="I5" s="43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SUM(Jan!C6, Feb!C6, Mar!C6)</f>
        <v>78015</v>
      </c>
      <c r="D6" s="14">
        <f>SUM(Jan!D6, Feb!D6, Mar!D6)</f>
        <v>0</v>
      </c>
      <c r="E6" s="14">
        <f t="shared" si="0"/>
        <v>78015</v>
      </c>
      <c r="F6" s="15">
        <f t="shared" si="1"/>
        <v>0</v>
      </c>
      <c r="G6" s="16">
        <f>SUM(Jan!G6, Feb!G6, Mar!G6)</f>
        <v>0</v>
      </c>
      <c r="H6" s="16">
        <f>SUM(Jan!H6, Feb!H6, Mar!H6)</f>
        <v>78015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ySplit="2" topLeftCell="A3" activePane="bottomLeft" state="frozen"/>
      <selection pane="bottomLeft" activeCell="C4" sqref="C4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6">
        <f>SUM(C4:C88)</f>
        <v>351969.5</v>
      </c>
      <c r="D2" s="6">
        <f>SUM(D4:D88)</f>
        <v>273880.5</v>
      </c>
      <c r="E2" s="6">
        <f>C2-D2</f>
        <v>78089</v>
      </c>
      <c r="F2" s="7">
        <f>IFERROR(E2/D2, 0)</f>
        <v>0.28512070045147425</v>
      </c>
      <c r="G2" s="6">
        <f>SUM(G4:G88)</f>
        <v>0</v>
      </c>
      <c r="H2" s="8">
        <f>C2-G2</f>
        <v>351969.5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133217</v>
      </c>
      <c r="D4" s="14">
        <f>SUM(Apr!D4, May!D4, Jun!D4)</f>
        <v>141085.37</v>
      </c>
      <c r="E4" s="14">
        <f>IF(AND(ISNUMBER(C4),ISNUMBER(D4)), C4-D4, "")</f>
        <v>-7868.3699999999953</v>
      </c>
      <c r="F4" s="15">
        <f>IFERROR(E4/D4, 0)</f>
        <v>-5.5770275826614736E-2</v>
      </c>
      <c r="G4" s="16"/>
      <c r="H4" s="16">
        <f>SUM(Apr!H4, May!H4, Jun!H4)</f>
        <v>133217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SUM(Apr!C5, May!C5, Jun!C5)</f>
        <v>98941.25</v>
      </c>
      <c r="D5" s="20">
        <f>SUM(Apr!D5, May!D5, Jun!D5)</f>
        <v>132795.13</v>
      </c>
      <c r="E5" s="20">
        <f t="shared" ref="E5:E6" si="0">IF(AND(ISNUMBER(C5),ISNUMBER(D5)), C5-D5, "")</f>
        <v>-33853.880000000005</v>
      </c>
      <c r="F5" s="15">
        <f t="shared" ref="F5:F6" si="1">IFERROR(E5/D5, 0)</f>
        <v>-0.25493314400912143</v>
      </c>
      <c r="G5" s="22"/>
      <c r="H5" s="22">
        <f>SUM(Apr!H5, May!H5, Jun!H5)</f>
        <v>98941.25</v>
      </c>
      <c r="I5" s="17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SUM(Apr!C6, May!C6, Jun!C6)</f>
        <v>119811.25</v>
      </c>
      <c r="D6" s="14">
        <f>SUM(Apr!D6, May!D6, Jun!D6)</f>
        <v>0</v>
      </c>
      <c r="E6" s="14">
        <f t="shared" si="0"/>
        <v>119811.25</v>
      </c>
      <c r="F6" s="15">
        <f t="shared" si="1"/>
        <v>0</v>
      </c>
      <c r="G6" s="16"/>
      <c r="H6" s="16">
        <f>SUM(Apr!H6, May!H6, Jun!H6)</f>
        <v>119811.25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I4" sqref="I4:I6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>
        <f>IFERROR(E4/D4, 0)</f>
        <v>0</v>
      </c>
      <c r="G4" s="16"/>
      <c r="H4" s="16">
        <f>SUM(Jul!H4, Aug!H4, Sep!H4)</f>
        <v>0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15">
        <f t="shared" ref="F5:F6" si="1">IFERROR(E5/D5, 0)</f>
        <v>0</v>
      </c>
      <c r="G5" s="22"/>
      <c r="H5" s="22">
        <f>SUM(Jul!H5, Aug!H5, Sep!H5)</f>
        <v>0</v>
      </c>
      <c r="I5" s="17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>
        <f t="shared" si="1"/>
        <v>0</v>
      </c>
      <c r="G6" s="16"/>
      <c r="H6" s="16">
        <f>SUM(Jul!H6, Aug!H6, Sep!H6)</f>
        <v>0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Cave Creek - HTES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Cave Creek - LMES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workbookViewId="0">
      <pane ySplit="3" topLeftCell="A4" activePane="bottomLeft" state="frozen"/>
      <selection pane="bottomLeft" activeCell="I20" sqref="I20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SUM(C4:C86)</f>
        <v>64323</v>
      </c>
      <c r="D2" s="6">
        <f>SUM(D4:D86)</f>
        <v>48931.88</v>
      </c>
      <c r="E2" s="6">
        <f>C2-D2</f>
        <v>15391.120000000003</v>
      </c>
      <c r="F2" s="7">
        <f>IFERROR(E2/D2, 0)</f>
        <v>0.31454176704430736</v>
      </c>
      <c r="G2" s="6">
        <f>SUM(G4:G86)</f>
        <v>0</v>
      </c>
      <c r="H2" s="8">
        <f>C2-G2</f>
        <v>64323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25401</v>
      </c>
      <c r="D4" s="14">
        <v>25675.94</v>
      </c>
      <c r="E4" s="14">
        <f>IF(AND(ISNUMBER(C4),ISNUMBER(D4)), C4-D4, 0)</f>
        <v>-274.93999999999869</v>
      </c>
      <c r="F4" s="15">
        <f>IFERROR(E4/D4, 0)</f>
        <v>-1.0708079236826332E-2</v>
      </c>
      <c r="G4" s="16">
        <v>0</v>
      </c>
      <c r="H4" s="16">
        <f>IF(AND(ISNUMBER(C4),ISNUMBER(G4)), C4-G4, 0)</f>
        <v>25401</v>
      </c>
      <c r="I4" s="17">
        <f>IFERROR(H4/G4, 0)</f>
        <v>0</v>
      </c>
      <c r="J4" s="18"/>
      <c r="K4" s="18"/>
    </row>
    <row r="5" spans="1:11" ht="15.75">
      <c r="A5" s="32" t="str">
        <v>AZ: Cave Creek - HTES</v>
      </c>
      <c r="B5" s="33" t="str">
        <v>AZ</v>
      </c>
      <c r="C5" s="12">
        <v>17366</v>
      </c>
      <c r="D5" s="20">
        <v>23255.94</v>
      </c>
      <c r="E5" s="20">
        <f>IF(AND(ISNUMBER(C5),ISNUMBER(D5)), C5-D5, 0)</f>
        <v>-5889.9399999999987</v>
      </c>
      <c r="F5" s="15">
        <f t="shared" ref="F5:F6" si="0">IFERROR(E5/D5, 0)</f>
        <v>-0.2532660472980236</v>
      </c>
      <c r="G5" s="22">
        <v>0</v>
      </c>
      <c r="H5" s="22">
        <f>IF(AND(ISNUMBER(C5),ISNUMBER(G5)), C5-G5, 0)</f>
        <v>17366</v>
      </c>
      <c r="I5" s="21">
        <f>IFERROR(H5/G5, 0)</f>
        <v>0</v>
      </c>
      <c r="J5" s="45" t="s">
        <v>22</v>
      </c>
      <c r="K5" s="46" t="s">
        <v>23</v>
      </c>
    </row>
    <row r="6" spans="1:11" ht="15.75">
      <c r="A6" s="30" t="str">
        <v>AZ: Cave Creek - LMES</v>
      </c>
      <c r="B6" s="31" t="str">
        <v>AZ</v>
      </c>
      <c r="C6" s="26">
        <v>21556</v>
      </c>
      <c r="D6" s="14">
        <v>0</v>
      </c>
      <c r="E6" s="14">
        <f>IF(AND(ISNUMBER(C6),ISNUMBER(D6)), C6-D6, 0)</f>
        <v>21556</v>
      </c>
      <c r="F6" s="15">
        <f t="shared" si="0"/>
        <v>0</v>
      </c>
      <c r="G6" s="16">
        <v>0</v>
      </c>
      <c r="H6" s="16">
        <f>IF(AND(ISNUMBER(C6),ISNUMBER(G6)), C6-G6, 0)</f>
        <v>21556</v>
      </c>
      <c r="I6" s="17">
        <f>IFERROR(H6/G6, 0)</f>
        <v>0</v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 F4:F86 I4:I8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topLeftCell="F1" workbookViewId="0">
      <pane ySplit="2" topLeftCell="A3" activePane="bottomLeft" state="frozen"/>
      <selection pane="bottomLeft" activeCell="J5" sqref="J5:K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75073</v>
      </c>
      <c r="D2" s="6">
        <f>SUM(D4:D88)</f>
        <v>56523</v>
      </c>
      <c r="E2" s="6">
        <f>C2-D2</f>
        <v>18550</v>
      </c>
      <c r="F2" s="7">
        <f>IFERROR(E2/D2, 0)</f>
        <v>0.32818498664260565</v>
      </c>
      <c r="G2" s="6">
        <f>SUM(G4:G88)</f>
        <v>0</v>
      </c>
      <c r="H2" s="8">
        <f>C2-G2</f>
        <v>75073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28950</v>
      </c>
      <c r="D4" s="14">
        <v>29323</v>
      </c>
      <c r="E4" s="14">
        <f>IF(AND(ISNUMBER(C4),ISNUMBER(D4)), C4-D4, "")</f>
        <v>-373</v>
      </c>
      <c r="F4" s="15">
        <f>IFERROR(E4/D4, "")</f>
        <v>-1.2720390137434779E-2</v>
      </c>
      <c r="G4" s="16">
        <v>0</v>
      </c>
      <c r="H4" s="16">
        <f>IF(AND(ISNUMBER(C4),ISNUMBER(G4)), C4-G4, "")</f>
        <v>28950</v>
      </c>
      <c r="I4" s="17" t="str">
        <f>IFERROR(H4/G4, "")</f>
        <v/>
      </c>
      <c r="J4" s="18"/>
      <c r="K4" s="18"/>
    </row>
    <row r="5" spans="1:11" ht="31.5">
      <c r="A5" s="32" t="str">
        <v>AZ: Cave Creek - HTES</v>
      </c>
      <c r="B5" s="33" t="str">
        <v>AZ</v>
      </c>
      <c r="C5" s="12">
        <v>21380</v>
      </c>
      <c r="D5" s="20">
        <v>27200</v>
      </c>
      <c r="E5" s="20">
        <f t="shared" ref="E5:E6" si="0">IF(AND(ISNUMBER(C5),ISNUMBER(D5)), C5-D5, "")</f>
        <v>-5820</v>
      </c>
      <c r="F5" s="21">
        <f>IFERROR(E5/D5, "")</f>
        <v>-0.21397058823529411</v>
      </c>
      <c r="G5" s="22">
        <v>0</v>
      </c>
      <c r="H5" s="22">
        <f t="shared" ref="H5:H6" si="1">IF(AND(ISNUMBER(C5),ISNUMBER(G5)), C5-G5, "")</f>
        <v>21380</v>
      </c>
      <c r="I5" s="21" t="str">
        <f t="shared" ref="I5:I6" si="2">IFERROR(H5/G5, "")</f>
        <v/>
      </c>
      <c r="J5" s="45" t="s">
        <v>26</v>
      </c>
      <c r="K5" s="46" t="s">
        <v>27</v>
      </c>
    </row>
    <row r="6" spans="1:11" ht="15.75">
      <c r="A6" s="30" t="str">
        <v>AZ: Cave Creek - LMES</v>
      </c>
      <c r="B6" s="31" t="str">
        <v>AZ</v>
      </c>
      <c r="C6" s="26">
        <v>24743</v>
      </c>
      <c r="D6" s="14">
        <v>0</v>
      </c>
      <c r="E6" s="14">
        <f t="shared" si="0"/>
        <v>24743</v>
      </c>
      <c r="F6" s="15" t="str">
        <f t="shared" ref="F6" si="3">IFERROR(E6/D6, "")</f>
        <v/>
      </c>
      <c r="G6" s="16">
        <v>0</v>
      </c>
      <c r="H6" s="16">
        <f t="shared" si="1"/>
        <v>24743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topLeftCell="B1" workbookViewId="0">
      <pane ySplit="2" topLeftCell="A3" activePane="bottomLeft" state="frozen"/>
      <selection pane="bottomLeft" activeCell="G20" sqref="G20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96014</v>
      </c>
      <c r="D2" s="6">
        <f>SUM(D4:D88)</f>
        <v>72349</v>
      </c>
      <c r="E2" s="6">
        <f>C2-D2</f>
        <v>23665</v>
      </c>
      <c r="F2" s="7">
        <f>IFERROR(E2/D2, 0)</f>
        <v>0.32709505314517134</v>
      </c>
      <c r="G2" s="6">
        <f>SUM(G4:G88)</f>
        <v>0</v>
      </c>
      <c r="H2" s="8">
        <f>C2-G2</f>
        <v>96014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37191</v>
      </c>
      <c r="D4" s="14">
        <v>37680</v>
      </c>
      <c r="E4" s="14">
        <f>IF(AND(ISNUMBER(C4),ISNUMBER(D4)), C4-D4, "")</f>
        <v>-489</v>
      </c>
      <c r="F4" s="15">
        <f>IFERROR(E4/D4, "")</f>
        <v>-1.2977707006369427E-2</v>
      </c>
      <c r="G4" s="16">
        <v>0</v>
      </c>
      <c r="H4" s="16">
        <f>IF(AND(ISNUMBER(C4),ISNUMBER(G4)), C4-G4, "")</f>
        <v>37191</v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>
        <v>27107</v>
      </c>
      <c r="D5" s="20">
        <v>34669</v>
      </c>
      <c r="E5" s="20">
        <f t="shared" ref="E5:E6" si="0">IF(AND(ISNUMBER(C5),ISNUMBER(D5)), C5-D5, "")</f>
        <v>-7562</v>
      </c>
      <c r="F5" s="21">
        <f>IFERROR(E5/D5, "")</f>
        <v>-0.21811993423519571</v>
      </c>
      <c r="G5" s="22">
        <v>0</v>
      </c>
      <c r="H5" s="22">
        <f t="shared" ref="H5:H6" si="1">IF(AND(ISNUMBER(C5),ISNUMBER(G5)), C5-G5, "")</f>
        <v>27107</v>
      </c>
      <c r="I5" s="21" t="str">
        <f t="shared" ref="I5:I6" si="2">IFERROR(H5/G5, "")</f>
        <v/>
      </c>
      <c r="J5" s="45" t="s">
        <v>30</v>
      </c>
      <c r="K5" s="46" t="s">
        <v>23</v>
      </c>
    </row>
    <row r="6" spans="1:11" ht="15.75">
      <c r="A6" s="30" t="str">
        <v>AZ: Cave Creek - LMES</v>
      </c>
      <c r="B6" s="31" t="str">
        <v>AZ</v>
      </c>
      <c r="C6" s="26">
        <v>31716</v>
      </c>
      <c r="D6" s="14">
        <v>0</v>
      </c>
      <c r="E6" s="14">
        <f t="shared" si="0"/>
        <v>31716</v>
      </c>
      <c r="F6" s="15" t="str">
        <f t="shared" ref="F6" si="3">IFERROR(E6/D6, "")</f>
        <v/>
      </c>
      <c r="G6" s="16">
        <v>0</v>
      </c>
      <c r="H6" s="16">
        <f t="shared" si="1"/>
        <v>31716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zoomScale="80" zoomScaleNormal="80" workbookViewId="0">
      <pane ySplit="2" topLeftCell="A3" activePane="bottomLeft" state="frozen"/>
      <selection pane="bottomLeft" activeCell="J5" sqref="J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116907.5</v>
      </c>
      <c r="D2" s="6">
        <f>SUM(D4:D88)</f>
        <v>89840.56</v>
      </c>
      <c r="E2" s="6">
        <f>C2-D2</f>
        <v>27066.940000000002</v>
      </c>
      <c r="F2" s="7">
        <f>IFERROR(E2/D2, 0)</f>
        <v>0.30127750762016625</v>
      </c>
      <c r="G2" s="6">
        <f>SUM(G4:G88)</f>
        <v>0</v>
      </c>
      <c r="H2" s="8">
        <f>C2-G2</f>
        <v>116907.5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44830.5</v>
      </c>
      <c r="D4" s="14">
        <v>46486.1</v>
      </c>
      <c r="E4" s="14">
        <f>IF(AND(ISNUMBER(C4),ISNUMBER(D4)), C4-D4, "")</f>
        <v>-1655.5999999999985</v>
      </c>
      <c r="F4" s="15">
        <f>IFERROR(E4/D4, "")</f>
        <v>-3.5614947263805707E-2</v>
      </c>
      <c r="G4" s="16">
        <v>0</v>
      </c>
      <c r="H4" s="16">
        <f>IF(AND(ISNUMBER(C4),ISNUMBER(G4)), C4-G4, "")</f>
        <v>44830.5</v>
      </c>
      <c r="I4" s="17" t="str">
        <f>IFERROR(H4/G4, "")</f>
        <v/>
      </c>
      <c r="J4" s="18"/>
      <c r="K4" s="18"/>
    </row>
    <row r="5" spans="1:11" ht="45.75">
      <c r="A5" s="32" t="str">
        <v>AZ: Cave Creek - HTES</v>
      </c>
      <c r="B5" s="33" t="str">
        <v>AZ</v>
      </c>
      <c r="C5" s="12">
        <v>33191</v>
      </c>
      <c r="D5" s="20">
        <v>43354.46</v>
      </c>
      <c r="E5" s="20">
        <f t="shared" ref="E5:E6" si="0">IF(AND(ISNUMBER(C5),ISNUMBER(D5)), C5-D5, "")</f>
        <v>-10163.459999999999</v>
      </c>
      <c r="F5" s="21">
        <f>IFERROR(E5/D5, "")</f>
        <v>-0.23442709239141715</v>
      </c>
      <c r="G5" s="22">
        <v>0</v>
      </c>
      <c r="H5" s="22">
        <f t="shared" ref="H5:H6" si="1">IF(AND(ISNUMBER(C5),ISNUMBER(G5)), C5-G5, "")</f>
        <v>33191</v>
      </c>
      <c r="I5" s="21" t="str">
        <f t="shared" ref="I5:I6" si="2">IFERROR(H5/G5, "")</f>
        <v/>
      </c>
      <c r="J5" s="45" t="s">
        <v>33</v>
      </c>
      <c r="K5" s="45" t="s">
        <v>34</v>
      </c>
    </row>
    <row r="6" spans="1:11" ht="15.75">
      <c r="A6" s="30" t="str">
        <v>AZ: Cave Creek - LMES</v>
      </c>
      <c r="B6" s="31" t="str">
        <v>AZ</v>
      </c>
      <c r="C6" s="26">
        <v>38886</v>
      </c>
      <c r="D6" s="14">
        <v>0</v>
      </c>
      <c r="E6" s="14">
        <f t="shared" si="0"/>
        <v>38886</v>
      </c>
      <c r="F6" s="15" t="str">
        <f t="shared" ref="F6" si="3">IFERROR(E6/D6, "")</f>
        <v/>
      </c>
      <c r="G6" s="16">
        <v>0</v>
      </c>
      <c r="H6" s="16">
        <f t="shared" si="1"/>
        <v>38886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zoomScale="80" zoomScaleNormal="80" workbookViewId="0">
      <pane ySplit="2" topLeftCell="A3" activePane="bottomLeft" state="frozen"/>
      <selection pane="bottomLeft" activeCell="J5" sqref="J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123538.5</v>
      </c>
      <c r="D2" s="6">
        <f>SUM(D4:D88)</f>
        <v>97361.579999999987</v>
      </c>
      <c r="E2" s="6">
        <f>C2-D2</f>
        <v>26176.920000000013</v>
      </c>
      <c r="F2" s="7">
        <f>IFERROR(E2/D2, 0)</f>
        <v>0.2688629334076133</v>
      </c>
      <c r="G2" s="6">
        <f>SUM(G4:G88)</f>
        <v>0</v>
      </c>
      <c r="H2" s="8">
        <f>C2-G2</f>
        <v>123538.5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48409</v>
      </c>
      <c r="D4" s="14">
        <v>49907.09</v>
      </c>
      <c r="E4" s="14">
        <f>IF(AND(ISNUMBER(C4),ISNUMBER(D4)), C4-D4, "")</f>
        <v>-1498.0899999999965</v>
      </c>
      <c r="F4" s="15">
        <f>IFERROR(E4/D4, "")</f>
        <v>-3.0017578664674631E-2</v>
      </c>
      <c r="G4" s="16">
        <v>0</v>
      </c>
      <c r="H4" s="16">
        <f>IF(AND(ISNUMBER(C4),ISNUMBER(G4)), C4-G4, "")</f>
        <v>48409</v>
      </c>
      <c r="I4" s="17" t="str">
        <f>IFERROR(H4/G4, "")</f>
        <v/>
      </c>
      <c r="J4" s="18" t="s">
        <v>37</v>
      </c>
      <c r="K4" s="18" t="s">
        <v>38</v>
      </c>
    </row>
    <row r="5" spans="1:11" ht="60.75">
      <c r="A5" s="32" t="str">
        <v>AZ: Cave Creek - HTES</v>
      </c>
      <c r="B5" s="33" t="str">
        <v>AZ</v>
      </c>
      <c r="C5" s="12">
        <v>35656.75</v>
      </c>
      <c r="D5" s="20">
        <v>47454.49</v>
      </c>
      <c r="E5" s="20">
        <f t="shared" ref="E5:E6" si="0">IF(AND(ISNUMBER(C5),ISNUMBER(D5)), C5-D5, "")</f>
        <v>-11797.739999999998</v>
      </c>
      <c r="F5" s="21">
        <f>IFERROR(E5/D5, "")</f>
        <v>-0.24861166983356051</v>
      </c>
      <c r="G5" s="22">
        <v>0</v>
      </c>
      <c r="H5" s="22">
        <f t="shared" ref="H5:H6" si="1">IF(AND(ISNUMBER(C5),ISNUMBER(G5)), C5-G5, "")</f>
        <v>35656.75</v>
      </c>
      <c r="I5" s="21" t="str">
        <f t="shared" ref="I5:I6" si="2">IFERROR(H5/G5, "")</f>
        <v/>
      </c>
      <c r="J5" s="45" t="s">
        <v>39</v>
      </c>
      <c r="K5" s="45" t="s">
        <v>40</v>
      </c>
    </row>
    <row r="6" spans="1:11" ht="15.75">
      <c r="A6" s="30" t="str">
        <v>AZ: Cave Creek - LMES</v>
      </c>
      <c r="B6" s="31" t="str">
        <v>AZ</v>
      </c>
      <c r="C6" s="26">
        <v>39472.75</v>
      </c>
      <c r="D6" s="14">
        <v>0</v>
      </c>
      <c r="E6" s="14">
        <f t="shared" si="0"/>
        <v>39472.75</v>
      </c>
      <c r="F6" s="15" t="str">
        <f t="shared" ref="F6" si="3">IFERROR(E6/D6, "")</f>
        <v/>
      </c>
      <c r="G6" s="16">
        <v>0</v>
      </c>
      <c r="H6" s="16">
        <f t="shared" si="1"/>
        <v>39472.75</v>
      </c>
      <c r="I6" s="17" t="str">
        <f t="shared" si="2"/>
        <v/>
      </c>
      <c r="J6" s="18" t="s">
        <v>41</v>
      </c>
      <c r="K6" s="18" t="s">
        <v>42</v>
      </c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tabSelected="1" zoomScale="70" zoomScaleNormal="70" workbookViewId="0">
      <pane ySplit="2" topLeftCell="A3" activePane="bottomLeft" state="frozen"/>
      <selection pane="bottomLeft" activeCell="E18" sqref="E18"/>
      <selection activeCell="C34" sqref="C3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111523.5</v>
      </c>
      <c r="D2" s="6">
        <f>SUM(D4:D88)</f>
        <v>86678.36</v>
      </c>
      <c r="E2" s="6">
        <f>C2-D2</f>
        <v>24845.14</v>
      </c>
      <c r="F2" s="7">
        <f>IFERROR(E2/D2, 0)</f>
        <v>0.28663601849412007</v>
      </c>
      <c r="G2" s="6">
        <f>SUM(G4:G88)</f>
        <v>0</v>
      </c>
      <c r="H2" s="8">
        <f>C2-G2</f>
        <v>111523.5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39977.5</v>
      </c>
      <c r="D4" s="14">
        <v>44692.18</v>
      </c>
      <c r="E4" s="14">
        <f>IF(AND(ISNUMBER(C4),ISNUMBER(D4)), C4-D4, "")</f>
        <v>-4714.68</v>
      </c>
      <c r="F4" s="15">
        <f>IFERROR(E4/D4, "")</f>
        <v>-0.10549228075247169</v>
      </c>
      <c r="G4" s="16">
        <v>0</v>
      </c>
      <c r="H4" s="16">
        <f>IF(AND(ISNUMBER(C4),ISNUMBER(G4)), C4-G4, "")</f>
        <v>39977.5</v>
      </c>
      <c r="I4" s="17" t="str">
        <f>IFERROR(H4/G4, "")</f>
        <v/>
      </c>
      <c r="J4" s="18" t="s">
        <v>45</v>
      </c>
      <c r="K4" s="18" t="s">
        <v>46</v>
      </c>
    </row>
    <row r="5" spans="1:11" ht="78" customHeight="1">
      <c r="A5" s="32" t="str">
        <v>AZ: Cave Creek - HTES</v>
      </c>
      <c r="B5" s="33" t="str">
        <v>AZ</v>
      </c>
      <c r="C5" s="12">
        <v>30093.5</v>
      </c>
      <c r="D5" s="20">
        <v>41986.18</v>
      </c>
      <c r="E5" s="20">
        <f t="shared" ref="E5:E6" si="0">IF(AND(ISNUMBER(C5),ISNUMBER(D5)), C5-D5, "")</f>
        <v>-11892.68</v>
      </c>
      <c r="F5" s="21">
        <f>IFERROR(E5/D5, "")</f>
        <v>-0.28325225109786123</v>
      </c>
      <c r="G5" s="22">
        <v>0</v>
      </c>
      <c r="H5" s="22">
        <f t="shared" ref="H5:H6" si="1">IF(AND(ISNUMBER(C5),ISNUMBER(G5)), C5-G5, "")</f>
        <v>30093.5</v>
      </c>
      <c r="I5" s="21" t="str">
        <f t="shared" ref="I5:I6" si="2">IFERROR(H5/G5, "")</f>
        <v/>
      </c>
      <c r="J5" s="45" t="s">
        <v>47</v>
      </c>
      <c r="K5" s="45" t="s">
        <v>40</v>
      </c>
    </row>
    <row r="6" spans="1:11" ht="15.75">
      <c r="A6" s="30" t="str">
        <v>AZ: Cave Creek - LMES</v>
      </c>
      <c r="B6" s="31" t="str">
        <v>AZ</v>
      </c>
      <c r="C6" s="26">
        <v>41452.5</v>
      </c>
      <c r="D6" s="14">
        <v>0</v>
      </c>
      <c r="E6" s="14">
        <f t="shared" si="0"/>
        <v>41452.5</v>
      </c>
      <c r="F6" s="15" t="str">
        <f t="shared" ref="F6" si="3">IFERROR(E6/D6, "")</f>
        <v/>
      </c>
      <c r="G6" s="16">
        <v>0</v>
      </c>
      <c r="H6" s="16">
        <f t="shared" si="1"/>
        <v>41452.5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48</v>
      </c>
      <c r="E1" s="49"/>
      <c r="F1" s="49"/>
      <c r="G1" s="47" t="s">
        <v>49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50</v>
      </c>
      <c r="E1" s="49"/>
      <c r="F1" s="49"/>
      <c r="G1" s="47" t="s">
        <v>51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52</v>
      </c>
      <c r="E1" s="49"/>
      <c r="F1" s="49"/>
      <c r="G1" s="47" t="s">
        <v>53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54</v>
      </c>
      <c r="E1" s="49"/>
      <c r="F1" s="49"/>
      <c r="G1" s="47" t="s">
        <v>55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56</v>
      </c>
      <c r="E1" s="49"/>
      <c r="F1" s="49"/>
      <c r="G1" s="47" t="s">
        <v>57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58</v>
      </c>
      <c r="E1" s="49"/>
      <c r="F1" s="49"/>
      <c r="G1" s="47" t="s">
        <v>59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60</v>
      </c>
      <c r="B1" t="s">
        <v>61</v>
      </c>
    </row>
    <row r="3" spans="1:7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7" ht="14.25">
      <c r="A4" t="s">
        <v>65</v>
      </c>
      <c r="B4" t="s">
        <v>65</v>
      </c>
      <c r="C4" s="4" t="s">
        <v>66</v>
      </c>
      <c r="G4" s="3"/>
    </row>
    <row r="5" spans="1:7" ht="14.25">
      <c r="A5" t="s">
        <v>67</v>
      </c>
      <c r="B5" t="s">
        <v>67</v>
      </c>
      <c r="C5" s="4" t="s">
        <v>66</v>
      </c>
      <c r="G5" s="3"/>
    </row>
    <row r="6" spans="1:7" ht="14.25">
      <c r="A6" s="4" t="s">
        <v>68</v>
      </c>
      <c r="B6" s="4" t="s">
        <v>68</v>
      </c>
      <c r="C6" s="4" t="s">
        <v>66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2024-07-15T17:05:25Z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