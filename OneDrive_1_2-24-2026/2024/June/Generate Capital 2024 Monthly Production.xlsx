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1333" documentId="13_ncr:1_{61267446-FE67-4959-827C-20AE9D0E8B55}" xr6:coauthVersionLast="47" xr6:coauthVersionMax="47" xr10:uidLastSave="{43D6D255-3F80-4085-B36B-B64022D14F2B}"/>
  <bookViews>
    <workbookView xWindow="-98" yWindow="-98" windowWidth="21795" windowHeight="12975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Qtr'!$A$2:$J$2</definedName>
    <definedName name="_xlnm._FilterDatabase" localSheetId="2" hidden="1">'2nd Qtr'!$A$2:$J$2</definedName>
    <definedName name="_xlnm._FilterDatabase" localSheetId="3" hidden="1">'3rd Qtr'!$A$2:$J$2</definedName>
    <definedName name="_xlnm._FilterDatabase" localSheetId="4" hidden="1">'4th Qtr'!$A$2:$J$2</definedName>
    <definedName name="_xlnm._FilterDatabase" localSheetId="8" hidden="1">Apr!$A$2:$J$2</definedName>
    <definedName name="_xlnm._FilterDatabase" localSheetId="12" hidden="1">Aug!$A$2:$J$2</definedName>
    <definedName name="_xlnm._FilterDatabase" localSheetId="16" hidden="1">Dec!$A$2:$J$2</definedName>
    <definedName name="_xlnm._FilterDatabase" localSheetId="6" hidden="1">Feb!$A$2:$J$2</definedName>
    <definedName name="_xlnm._FilterDatabase" localSheetId="5" hidden="1">Jan!$A$3:$L$3</definedName>
    <definedName name="_xlnm._FilterDatabase" localSheetId="11" hidden="1">Jul!$A$2:$J$2</definedName>
    <definedName name="_xlnm._FilterDatabase" localSheetId="10" hidden="1">Jun!$A$2:$J$2</definedName>
    <definedName name="_xlnm._FilterDatabase" localSheetId="7" hidden="1">Mar!$A$2:$J$2</definedName>
    <definedName name="_xlnm._FilterDatabase" localSheetId="9" hidden="1">May!$A$2:$J$2</definedName>
    <definedName name="_xlnm._FilterDatabase" localSheetId="15" hidden="1">Nov!$A$2:$J$2</definedName>
    <definedName name="_xlnm._FilterDatabase" localSheetId="14" hidden="1">Oct!$A$2:$J$2</definedName>
    <definedName name="_xlnm._FilterDatabase" localSheetId="13" hidden="1">Sep!$A$2:$J$2</definedName>
    <definedName name="_xlnm._FilterDatabase" localSheetId="0" hidden="1">'Year to Date'!$A$2:$J$2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9" i="30" l="1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38" i="30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37" i="29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40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F75" i="19"/>
  <c r="G75" i="19" s="1"/>
  <c r="H2" i="19"/>
  <c r="D2" i="19"/>
  <c r="I18" i="19"/>
  <c r="J18" i="19" s="1"/>
  <c r="I19" i="19"/>
  <c r="J19" i="19" s="1"/>
  <c r="I20" i="19"/>
  <c r="J20" i="19" s="1"/>
  <c r="I21" i="19"/>
  <c r="J21" i="19" s="1"/>
  <c r="I22" i="19"/>
  <c r="J22" i="19" s="1"/>
  <c r="I23" i="19"/>
  <c r="J23" i="19" s="1"/>
  <c r="I24" i="19"/>
  <c r="J24" i="19" s="1"/>
  <c r="I25" i="19"/>
  <c r="J25" i="19" s="1"/>
  <c r="I26" i="19"/>
  <c r="J26" i="19" s="1"/>
  <c r="I27" i="19"/>
  <c r="J27" i="19" s="1"/>
  <c r="I28" i="19"/>
  <c r="J28" i="19" s="1"/>
  <c r="I29" i="19"/>
  <c r="J29" i="19"/>
  <c r="I30" i="19"/>
  <c r="J30" i="19" s="1"/>
  <c r="I31" i="19"/>
  <c r="J31" i="19" s="1"/>
  <c r="I32" i="19"/>
  <c r="J32" i="19" s="1"/>
  <c r="I33" i="19"/>
  <c r="J33" i="19" s="1"/>
  <c r="I34" i="19"/>
  <c r="J34" i="19" s="1"/>
  <c r="I35" i="19"/>
  <c r="J35" i="19" s="1"/>
  <c r="I36" i="19"/>
  <c r="J36" i="19" s="1"/>
  <c r="I37" i="19"/>
  <c r="J37" i="19" s="1"/>
  <c r="I38" i="19"/>
  <c r="J38" i="19" s="1"/>
  <c r="I39" i="19"/>
  <c r="J39" i="19" s="1"/>
  <c r="I40" i="19"/>
  <c r="J40" i="19" s="1"/>
  <c r="I41" i="19"/>
  <c r="J41" i="19" s="1"/>
  <c r="I42" i="19"/>
  <c r="J42" i="19" s="1"/>
  <c r="I43" i="19"/>
  <c r="J43" i="19" s="1"/>
  <c r="I44" i="19"/>
  <c r="J44" i="19" s="1"/>
  <c r="I45" i="19"/>
  <c r="J45" i="19"/>
  <c r="I46" i="19"/>
  <c r="J46" i="19" s="1"/>
  <c r="I47" i="19"/>
  <c r="J47" i="19" s="1"/>
  <c r="I48" i="19"/>
  <c r="J48" i="19" s="1"/>
  <c r="I49" i="19"/>
  <c r="I49" i="18" s="1"/>
  <c r="I49" i="34" s="1"/>
  <c r="I50" i="19"/>
  <c r="J50" i="19" s="1"/>
  <c r="I51" i="19"/>
  <c r="J51" i="19" s="1"/>
  <c r="I52" i="19"/>
  <c r="J52" i="19" s="1"/>
  <c r="I53" i="19"/>
  <c r="J53" i="19"/>
  <c r="I54" i="19"/>
  <c r="J54" i="19" s="1"/>
  <c r="I55" i="19"/>
  <c r="J55" i="19" s="1"/>
  <c r="I56" i="19"/>
  <c r="J56" i="19" s="1"/>
  <c r="I57" i="19"/>
  <c r="J57" i="19" s="1"/>
  <c r="I58" i="19"/>
  <c r="J58" i="19" s="1"/>
  <c r="I59" i="19"/>
  <c r="J59" i="19" s="1"/>
  <c r="I60" i="19"/>
  <c r="J60" i="19" s="1"/>
  <c r="I61" i="19"/>
  <c r="J61" i="19"/>
  <c r="I62" i="19"/>
  <c r="J62" i="19" s="1"/>
  <c r="I63" i="19"/>
  <c r="J63" i="19" s="1"/>
  <c r="I64" i="19"/>
  <c r="J64" i="19" s="1"/>
  <c r="I65" i="19"/>
  <c r="J65" i="19" s="1"/>
  <c r="I66" i="19"/>
  <c r="J66" i="19" s="1"/>
  <c r="I67" i="19"/>
  <c r="J67" i="19" s="1"/>
  <c r="I68" i="19"/>
  <c r="J68" i="19" s="1"/>
  <c r="I69" i="19"/>
  <c r="J69" i="19" s="1"/>
  <c r="I70" i="19"/>
  <c r="J70" i="19" s="1"/>
  <c r="I71" i="19"/>
  <c r="J71" i="19" s="1"/>
  <c r="I72" i="19"/>
  <c r="J72" i="19" s="1"/>
  <c r="I73" i="19"/>
  <c r="J73" i="19" s="1"/>
  <c r="I74" i="19"/>
  <c r="J74" i="19" s="1"/>
  <c r="I75" i="19"/>
  <c r="J75" i="19" s="1"/>
  <c r="I76" i="19"/>
  <c r="J76" i="19" s="1"/>
  <c r="I77" i="19"/>
  <c r="J77" i="19" s="1"/>
  <c r="I78" i="19"/>
  <c r="J78" i="19" s="1"/>
  <c r="I79" i="19"/>
  <c r="J79" i="19" s="1"/>
  <c r="I80" i="19"/>
  <c r="J80" i="19" s="1"/>
  <c r="I81" i="19"/>
  <c r="J81" i="19" s="1"/>
  <c r="I82" i="19"/>
  <c r="J82" i="19" s="1"/>
  <c r="I83" i="19"/>
  <c r="J83" i="19" s="1"/>
  <c r="I84" i="19"/>
  <c r="J84" i="19" s="1"/>
  <c r="I85" i="19"/>
  <c r="J85" i="19" s="1"/>
  <c r="I86" i="19"/>
  <c r="J86" i="19" s="1"/>
  <c r="I87" i="19"/>
  <c r="J87" i="19" s="1"/>
  <c r="I88" i="19"/>
  <c r="J88" i="19" s="1"/>
  <c r="I89" i="19"/>
  <c r="J89" i="19" s="1"/>
  <c r="I90" i="19"/>
  <c r="J90" i="19" s="1"/>
  <c r="I91" i="19"/>
  <c r="J91" i="19" s="1"/>
  <c r="I92" i="19"/>
  <c r="J92" i="19" s="1"/>
  <c r="I93" i="19"/>
  <c r="I93" i="18" s="1"/>
  <c r="I94" i="19"/>
  <c r="J94" i="19" s="1"/>
  <c r="I95" i="19"/>
  <c r="J95" i="19" s="1"/>
  <c r="I96" i="19"/>
  <c r="J96" i="19" s="1"/>
  <c r="I97" i="19"/>
  <c r="J97" i="19" s="1"/>
  <c r="I98" i="19"/>
  <c r="J98" i="19" s="1"/>
  <c r="I99" i="19"/>
  <c r="J99" i="19" s="1"/>
  <c r="I100" i="19"/>
  <c r="J100" i="19" s="1"/>
  <c r="I101" i="19"/>
  <c r="J101" i="19" s="1"/>
  <c r="I102" i="19"/>
  <c r="J102" i="19" s="1"/>
  <c r="I103" i="19"/>
  <c r="J103" i="19" s="1"/>
  <c r="I104" i="19"/>
  <c r="J104" i="19" s="1"/>
  <c r="I105" i="19"/>
  <c r="I105" i="18" s="1"/>
  <c r="I106" i="19"/>
  <c r="J106" i="19" s="1"/>
  <c r="I107" i="19"/>
  <c r="J107" i="19" s="1"/>
  <c r="I108" i="19"/>
  <c r="J108" i="19" s="1"/>
  <c r="I109" i="19"/>
  <c r="J109" i="19" s="1"/>
  <c r="I110" i="19"/>
  <c r="J110" i="19" s="1"/>
  <c r="I111" i="19"/>
  <c r="J111" i="19" s="1"/>
  <c r="I112" i="19"/>
  <c r="J112" i="19" s="1"/>
  <c r="I113" i="19"/>
  <c r="J113" i="19" s="1"/>
  <c r="I114" i="19"/>
  <c r="J114" i="19" s="1"/>
  <c r="I115" i="19"/>
  <c r="J115" i="19" s="1"/>
  <c r="I116" i="19"/>
  <c r="J116" i="19" s="1"/>
  <c r="I117" i="19"/>
  <c r="J117" i="19" s="1"/>
  <c r="I118" i="19"/>
  <c r="J118" i="19" s="1"/>
  <c r="I119" i="19"/>
  <c r="J119" i="19" s="1"/>
  <c r="I120" i="19"/>
  <c r="J120" i="19" s="1"/>
  <c r="I121" i="19"/>
  <c r="J121" i="19" s="1"/>
  <c r="I122" i="19"/>
  <c r="J122" i="19" s="1"/>
  <c r="I123" i="19"/>
  <c r="J123" i="19" s="1"/>
  <c r="I124" i="19"/>
  <c r="J124" i="19" s="1"/>
  <c r="I125" i="19"/>
  <c r="J125" i="19" s="1"/>
  <c r="I126" i="19"/>
  <c r="J126" i="19" s="1"/>
  <c r="I127" i="19"/>
  <c r="J127" i="19" s="1"/>
  <c r="I128" i="19"/>
  <c r="J128" i="19" s="1"/>
  <c r="I129" i="19"/>
  <c r="J129" i="19" s="1"/>
  <c r="I130" i="19"/>
  <c r="J130" i="19" s="1"/>
  <c r="I131" i="19"/>
  <c r="J131" i="19" s="1"/>
  <c r="I132" i="19"/>
  <c r="J132" i="19" s="1"/>
  <c r="I133" i="19"/>
  <c r="J133" i="19" s="1"/>
  <c r="I134" i="19"/>
  <c r="J134" i="19" s="1"/>
  <c r="I135" i="19"/>
  <c r="J135" i="19" s="1"/>
  <c r="I136" i="19"/>
  <c r="J136" i="19" s="1"/>
  <c r="I137" i="19"/>
  <c r="J137" i="19" s="1"/>
  <c r="I138" i="19"/>
  <c r="J138" i="19" s="1"/>
  <c r="I139" i="19"/>
  <c r="J139" i="19" s="1"/>
  <c r="I140" i="19"/>
  <c r="J140" i="19" s="1"/>
  <c r="I141" i="19"/>
  <c r="J141" i="19" s="1"/>
  <c r="I142" i="19"/>
  <c r="J142" i="19" s="1"/>
  <c r="I143" i="19"/>
  <c r="J143" i="19" s="1"/>
  <c r="I144" i="19"/>
  <c r="J144" i="19" s="1"/>
  <c r="I145" i="19"/>
  <c r="J145" i="19" s="1"/>
  <c r="I146" i="19"/>
  <c r="J146" i="19" s="1"/>
  <c r="I147" i="19"/>
  <c r="J147" i="19" s="1"/>
  <c r="I148" i="19"/>
  <c r="J148" i="19" s="1"/>
  <c r="I149" i="19"/>
  <c r="J149" i="19" s="1"/>
  <c r="I150" i="19"/>
  <c r="J150" i="19" s="1"/>
  <c r="I151" i="19"/>
  <c r="J151" i="19" s="1"/>
  <c r="I152" i="19"/>
  <c r="J152" i="19" s="1"/>
  <c r="I153" i="19"/>
  <c r="J153" i="19"/>
  <c r="I154" i="19"/>
  <c r="J154" i="19" s="1"/>
  <c r="I155" i="19"/>
  <c r="J155" i="19" s="1"/>
  <c r="I156" i="19"/>
  <c r="J156" i="19" s="1"/>
  <c r="I157" i="19"/>
  <c r="J157" i="19" s="1"/>
  <c r="I158" i="19"/>
  <c r="J158" i="19" s="1"/>
  <c r="I159" i="19"/>
  <c r="J159" i="19" s="1"/>
  <c r="I160" i="19"/>
  <c r="J160" i="19" s="1"/>
  <c r="I29" i="18"/>
  <c r="I37" i="18"/>
  <c r="I37" i="34" s="1"/>
  <c r="I45" i="18"/>
  <c r="I53" i="18"/>
  <c r="I53" i="34" s="1"/>
  <c r="I61" i="18"/>
  <c r="I61" i="34" s="1"/>
  <c r="I81" i="18"/>
  <c r="G21" i="19"/>
  <c r="G23" i="19"/>
  <c r="G25" i="19"/>
  <c r="G26" i="19"/>
  <c r="G30" i="19"/>
  <c r="G31" i="19"/>
  <c r="G33" i="19"/>
  <c r="G34" i="19"/>
  <c r="G39" i="19"/>
  <c r="G42" i="19"/>
  <c r="G47" i="19"/>
  <c r="G50" i="19"/>
  <c r="G55" i="19"/>
  <c r="G58" i="19"/>
  <c r="G71" i="19"/>
  <c r="G80" i="19"/>
  <c r="G125" i="19"/>
  <c r="G147" i="19"/>
  <c r="F18" i="19"/>
  <c r="G18" i="19" s="1"/>
  <c r="F19" i="19"/>
  <c r="G19" i="19" s="1"/>
  <c r="F20" i="19"/>
  <c r="G20" i="19" s="1"/>
  <c r="F21" i="19"/>
  <c r="F22" i="19"/>
  <c r="G22" i="19" s="1"/>
  <c r="F23" i="19"/>
  <c r="F24" i="19"/>
  <c r="G24" i="19" s="1"/>
  <c r="F25" i="19"/>
  <c r="F26" i="19"/>
  <c r="F27" i="19"/>
  <c r="G27" i="19" s="1"/>
  <c r="F28" i="19"/>
  <c r="G28" i="19" s="1"/>
  <c r="F29" i="19"/>
  <c r="G29" i="19" s="1"/>
  <c r="F30" i="19"/>
  <c r="F31" i="19"/>
  <c r="F32" i="19"/>
  <c r="G32" i="19" s="1"/>
  <c r="F33" i="19"/>
  <c r="F34" i="19"/>
  <c r="F35" i="19"/>
  <c r="G35" i="19" s="1"/>
  <c r="F36" i="19"/>
  <c r="G36" i="19" s="1"/>
  <c r="F37" i="19"/>
  <c r="G37" i="19" s="1"/>
  <c r="F38" i="19"/>
  <c r="G38" i="19" s="1"/>
  <c r="F39" i="19"/>
  <c r="F40" i="19"/>
  <c r="G40" i="19" s="1"/>
  <c r="F41" i="19"/>
  <c r="G41" i="19" s="1"/>
  <c r="F42" i="19"/>
  <c r="F43" i="19"/>
  <c r="G43" i="19" s="1"/>
  <c r="F44" i="19"/>
  <c r="G44" i="19" s="1"/>
  <c r="F45" i="19"/>
  <c r="G45" i="19" s="1"/>
  <c r="F46" i="19"/>
  <c r="G46" i="19" s="1"/>
  <c r="F47" i="19"/>
  <c r="F48" i="19"/>
  <c r="G48" i="19" s="1"/>
  <c r="F49" i="19"/>
  <c r="G49" i="19" s="1"/>
  <c r="F50" i="19"/>
  <c r="F51" i="19"/>
  <c r="G51" i="19" s="1"/>
  <c r="F52" i="19"/>
  <c r="G52" i="19" s="1"/>
  <c r="F53" i="19"/>
  <c r="G53" i="19" s="1"/>
  <c r="F54" i="19"/>
  <c r="G54" i="19" s="1"/>
  <c r="F55" i="19"/>
  <c r="F56" i="19"/>
  <c r="G56" i="19" s="1"/>
  <c r="F57" i="19"/>
  <c r="G57" i="19" s="1"/>
  <c r="F58" i="19"/>
  <c r="F59" i="19"/>
  <c r="G59" i="19" s="1"/>
  <c r="F60" i="19"/>
  <c r="G60" i="19" s="1"/>
  <c r="F61" i="19"/>
  <c r="G61" i="19" s="1"/>
  <c r="F62" i="19"/>
  <c r="G62" i="19" s="1"/>
  <c r="F63" i="19"/>
  <c r="G63" i="19" s="1"/>
  <c r="F64" i="19"/>
  <c r="G64" i="19" s="1"/>
  <c r="F65" i="19"/>
  <c r="G65" i="19" s="1"/>
  <c r="F66" i="19"/>
  <c r="G66" i="19" s="1"/>
  <c r="F67" i="19"/>
  <c r="G67" i="19" s="1"/>
  <c r="F68" i="19"/>
  <c r="G68" i="19" s="1"/>
  <c r="F69" i="19"/>
  <c r="G69" i="19" s="1"/>
  <c r="F70" i="19"/>
  <c r="G70" i="19" s="1"/>
  <c r="F71" i="19"/>
  <c r="F72" i="19"/>
  <c r="G72" i="19" s="1"/>
  <c r="F73" i="19"/>
  <c r="G73" i="19" s="1"/>
  <c r="F74" i="19"/>
  <c r="G74" i="19" s="1"/>
  <c r="F76" i="19"/>
  <c r="G76" i="19" s="1"/>
  <c r="F77" i="19"/>
  <c r="G77" i="19" s="1"/>
  <c r="F78" i="19"/>
  <c r="G78" i="19" s="1"/>
  <c r="F79" i="19"/>
  <c r="G79" i="19" s="1"/>
  <c r="F80" i="19"/>
  <c r="F81" i="19"/>
  <c r="G81" i="19" s="1"/>
  <c r="F82" i="19"/>
  <c r="G82" i="19" s="1"/>
  <c r="F83" i="19"/>
  <c r="G83" i="19" s="1"/>
  <c r="F84" i="19"/>
  <c r="G84" i="19" s="1"/>
  <c r="F85" i="19"/>
  <c r="G85" i="19" s="1"/>
  <c r="F86" i="19"/>
  <c r="G86" i="19" s="1"/>
  <c r="F87" i="19"/>
  <c r="G87" i="19" s="1"/>
  <c r="F88" i="19"/>
  <c r="G88" i="19" s="1"/>
  <c r="F89" i="19"/>
  <c r="G89" i="19" s="1"/>
  <c r="F90" i="19"/>
  <c r="G90" i="19" s="1"/>
  <c r="F91" i="19"/>
  <c r="G91" i="19" s="1"/>
  <c r="F92" i="19"/>
  <c r="G92" i="19" s="1"/>
  <c r="F93" i="19"/>
  <c r="G93" i="19" s="1"/>
  <c r="F94" i="19"/>
  <c r="G94" i="19" s="1"/>
  <c r="F95" i="19"/>
  <c r="G95" i="19" s="1"/>
  <c r="F96" i="19"/>
  <c r="G96" i="19" s="1"/>
  <c r="F97" i="19"/>
  <c r="G97" i="19" s="1"/>
  <c r="F98" i="19"/>
  <c r="G98" i="19" s="1"/>
  <c r="F99" i="19"/>
  <c r="G99" i="19" s="1"/>
  <c r="F100" i="19"/>
  <c r="G100" i="19" s="1"/>
  <c r="F101" i="19"/>
  <c r="G101" i="19" s="1"/>
  <c r="F102" i="19"/>
  <c r="G102" i="19" s="1"/>
  <c r="F103" i="19"/>
  <c r="G103" i="19" s="1"/>
  <c r="F104" i="19"/>
  <c r="G104" i="19" s="1"/>
  <c r="F105" i="19"/>
  <c r="G105" i="19" s="1"/>
  <c r="F106" i="19"/>
  <c r="G106" i="19" s="1"/>
  <c r="F107" i="19"/>
  <c r="G107" i="19" s="1"/>
  <c r="F108" i="19"/>
  <c r="G108" i="19" s="1"/>
  <c r="F109" i="19"/>
  <c r="G109" i="19" s="1"/>
  <c r="F110" i="19"/>
  <c r="G110" i="19" s="1"/>
  <c r="F111" i="19"/>
  <c r="G111" i="19" s="1"/>
  <c r="F112" i="19"/>
  <c r="G112" i="19" s="1"/>
  <c r="F113" i="19"/>
  <c r="G113" i="19" s="1"/>
  <c r="F114" i="19"/>
  <c r="G114" i="19" s="1"/>
  <c r="F115" i="19"/>
  <c r="G115" i="19" s="1"/>
  <c r="F116" i="19"/>
  <c r="G116" i="19" s="1"/>
  <c r="F117" i="19"/>
  <c r="G117" i="19" s="1"/>
  <c r="F118" i="19"/>
  <c r="G118" i="19" s="1"/>
  <c r="F119" i="19"/>
  <c r="G119" i="19" s="1"/>
  <c r="F120" i="19"/>
  <c r="G120" i="19" s="1"/>
  <c r="F121" i="19"/>
  <c r="G121" i="19" s="1"/>
  <c r="F122" i="19"/>
  <c r="G122" i="19" s="1"/>
  <c r="F123" i="19"/>
  <c r="G123" i="19" s="1"/>
  <c r="F124" i="19"/>
  <c r="G124" i="19" s="1"/>
  <c r="F125" i="19"/>
  <c r="F126" i="19"/>
  <c r="G126" i="19" s="1"/>
  <c r="F127" i="19"/>
  <c r="G127" i="19" s="1"/>
  <c r="F128" i="19"/>
  <c r="G128" i="19" s="1"/>
  <c r="F129" i="19"/>
  <c r="G129" i="19" s="1"/>
  <c r="F130" i="19"/>
  <c r="G130" i="19" s="1"/>
  <c r="F131" i="19"/>
  <c r="G131" i="19" s="1"/>
  <c r="F132" i="19"/>
  <c r="G132" i="19" s="1"/>
  <c r="F133" i="19"/>
  <c r="G133" i="19" s="1"/>
  <c r="F134" i="19"/>
  <c r="G134" i="19" s="1"/>
  <c r="F135" i="19"/>
  <c r="G135" i="19" s="1"/>
  <c r="F136" i="19"/>
  <c r="G136" i="19" s="1"/>
  <c r="F137" i="19"/>
  <c r="G137" i="19" s="1"/>
  <c r="F138" i="19"/>
  <c r="G138" i="19" s="1"/>
  <c r="F139" i="19"/>
  <c r="G139" i="19" s="1"/>
  <c r="F140" i="19"/>
  <c r="G140" i="19" s="1"/>
  <c r="F141" i="19"/>
  <c r="G141" i="19" s="1"/>
  <c r="F142" i="19"/>
  <c r="G142" i="19" s="1"/>
  <c r="F143" i="19"/>
  <c r="G143" i="19" s="1"/>
  <c r="F144" i="19"/>
  <c r="G144" i="19" s="1"/>
  <c r="F145" i="19"/>
  <c r="G145" i="19" s="1"/>
  <c r="F146" i="19"/>
  <c r="G146" i="19" s="1"/>
  <c r="F147" i="19"/>
  <c r="F148" i="19"/>
  <c r="G148" i="19" s="1"/>
  <c r="F149" i="19"/>
  <c r="G149" i="19" s="1"/>
  <c r="F150" i="19"/>
  <c r="G150" i="19" s="1"/>
  <c r="F151" i="19"/>
  <c r="G151" i="19" s="1"/>
  <c r="F152" i="19"/>
  <c r="G152" i="19" s="1"/>
  <c r="F153" i="19"/>
  <c r="G153" i="19" s="1"/>
  <c r="F154" i="19"/>
  <c r="G154" i="19" s="1"/>
  <c r="F155" i="19"/>
  <c r="G155" i="19" s="1"/>
  <c r="F156" i="19"/>
  <c r="G156" i="19" s="1"/>
  <c r="F157" i="19"/>
  <c r="G157" i="19" s="1"/>
  <c r="F158" i="19"/>
  <c r="G158" i="19" s="1"/>
  <c r="F159" i="19"/>
  <c r="G159" i="19" s="1"/>
  <c r="F160" i="19"/>
  <c r="G160" i="19" s="1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E138" i="18"/>
  <c r="E138" i="34" s="1"/>
  <c r="E139" i="18"/>
  <c r="E139" i="34" s="1"/>
  <c r="E140" i="18"/>
  <c r="E140" i="34" s="1"/>
  <c r="E141" i="18"/>
  <c r="E141" i="34" s="1"/>
  <c r="E142" i="18"/>
  <c r="E142" i="34" s="1"/>
  <c r="E143" i="18"/>
  <c r="E143" i="34" s="1"/>
  <c r="E144" i="18"/>
  <c r="E144" i="34" s="1"/>
  <c r="E145" i="18"/>
  <c r="E145" i="34" s="1"/>
  <c r="E146" i="18"/>
  <c r="E147" i="18"/>
  <c r="E148" i="18"/>
  <c r="E148" i="34" s="1"/>
  <c r="E149" i="18"/>
  <c r="E149" i="34" s="1"/>
  <c r="E150" i="18"/>
  <c r="E150" i="34" s="1"/>
  <c r="E151" i="18"/>
  <c r="E151" i="34" s="1"/>
  <c r="E152" i="18"/>
  <c r="E152" i="34" s="1"/>
  <c r="E153" i="18"/>
  <c r="E154" i="18"/>
  <c r="E154" i="34" s="1"/>
  <c r="E155" i="18"/>
  <c r="E156" i="18"/>
  <c r="E156" i="34" s="1"/>
  <c r="E157" i="18"/>
  <c r="E157" i="34" s="1"/>
  <c r="E158" i="18"/>
  <c r="E158" i="34" s="1"/>
  <c r="E159" i="18"/>
  <c r="E159" i="34" s="1"/>
  <c r="E160" i="18"/>
  <c r="E160" i="34" s="1"/>
  <c r="D138" i="18"/>
  <c r="F138" i="18" s="1"/>
  <c r="G138" i="18" s="1"/>
  <c r="D139" i="18"/>
  <c r="D140" i="18"/>
  <c r="D141" i="18"/>
  <c r="F141" i="18" s="1"/>
  <c r="G141" i="18" s="1"/>
  <c r="D142" i="18"/>
  <c r="F142" i="18" s="1"/>
  <c r="G142" i="18" s="1"/>
  <c r="D143" i="18"/>
  <c r="D144" i="18"/>
  <c r="D144" i="34" s="1"/>
  <c r="D145" i="18"/>
  <c r="D145" i="34" s="1"/>
  <c r="D146" i="18"/>
  <c r="D146" i="34" s="1"/>
  <c r="D147" i="18"/>
  <c r="D148" i="18"/>
  <c r="D149" i="18"/>
  <c r="D149" i="34" s="1"/>
  <c r="D150" i="18"/>
  <c r="D150" i="34" s="1"/>
  <c r="D151" i="18"/>
  <c r="D151" i="34" s="1"/>
  <c r="D152" i="18"/>
  <c r="D153" i="18"/>
  <c r="D153" i="34" s="1"/>
  <c r="D154" i="18"/>
  <c r="D154" i="34" s="1"/>
  <c r="D155" i="18"/>
  <c r="F155" i="18" s="1"/>
  <c r="G155" i="18" s="1"/>
  <c r="D156" i="18"/>
  <c r="D157" i="18"/>
  <c r="D157" i="34" s="1"/>
  <c r="D158" i="18"/>
  <c r="D158" i="34" s="1"/>
  <c r="D159" i="18"/>
  <c r="D160" i="18"/>
  <c r="D160" i="34" s="1"/>
  <c r="E129" i="34"/>
  <c r="E147" i="34"/>
  <c r="E153" i="34"/>
  <c r="E155" i="34"/>
  <c r="D26" i="34"/>
  <c r="D138" i="34"/>
  <c r="D139" i="34"/>
  <c r="D140" i="34"/>
  <c r="D147" i="34"/>
  <c r="D148" i="34"/>
  <c r="D155" i="34"/>
  <c r="D156" i="34"/>
  <c r="I18" i="18"/>
  <c r="I18" i="34" s="1"/>
  <c r="I19" i="18"/>
  <c r="I19" i="34" s="1"/>
  <c r="I20" i="18"/>
  <c r="I20" i="34" s="1"/>
  <c r="I21" i="18"/>
  <c r="I22" i="18"/>
  <c r="I23" i="18"/>
  <c r="I23" i="34" s="1"/>
  <c r="I24" i="18"/>
  <c r="I24" i="34" s="1"/>
  <c r="I25" i="18"/>
  <c r="I25" i="34" s="1"/>
  <c r="I26" i="18"/>
  <c r="I27" i="18"/>
  <c r="I27" i="34" s="1"/>
  <c r="I28" i="18"/>
  <c r="I28" i="34" s="1"/>
  <c r="I30" i="18"/>
  <c r="I30" i="34" s="1"/>
  <c r="I31" i="18"/>
  <c r="I32" i="18"/>
  <c r="I32" i="34" s="1"/>
  <c r="I33" i="18"/>
  <c r="I33" i="34" s="1"/>
  <c r="I34" i="18"/>
  <c r="I35" i="18"/>
  <c r="I36" i="18"/>
  <c r="I36" i="34" s="1"/>
  <c r="I38" i="18"/>
  <c r="I38" i="34" s="1"/>
  <c r="I39" i="18"/>
  <c r="I40" i="18"/>
  <c r="I41" i="18"/>
  <c r="I41" i="34" s="1"/>
  <c r="I43" i="18"/>
  <c r="I43" i="34" s="1"/>
  <c r="I44" i="18"/>
  <c r="I44" i="34" s="1"/>
  <c r="I46" i="18"/>
  <c r="I48" i="18"/>
  <c r="I48" i="34" s="1"/>
  <c r="I50" i="18"/>
  <c r="I51" i="18"/>
  <c r="I52" i="18"/>
  <c r="I54" i="18"/>
  <c r="I56" i="18"/>
  <c r="I56" i="34" s="1"/>
  <c r="I57" i="18"/>
  <c r="I57" i="34" s="1"/>
  <c r="I58" i="18"/>
  <c r="I59" i="18"/>
  <c r="I60" i="18"/>
  <c r="I60" i="34" s="1"/>
  <c r="I62" i="18"/>
  <c r="I62" i="34" s="1"/>
  <c r="I63" i="18"/>
  <c r="I63" i="34" s="1"/>
  <c r="I64" i="18"/>
  <c r="I65" i="18"/>
  <c r="I65" i="34" s="1"/>
  <c r="I66" i="18"/>
  <c r="I67" i="18"/>
  <c r="I70" i="18"/>
  <c r="I70" i="34" s="1"/>
  <c r="I71" i="18"/>
  <c r="I71" i="34" s="1"/>
  <c r="I72" i="18"/>
  <c r="I73" i="18"/>
  <c r="I74" i="18"/>
  <c r="I74" i="34" s="1"/>
  <c r="I76" i="18"/>
  <c r="I82" i="18"/>
  <c r="I83" i="18"/>
  <c r="I85" i="18"/>
  <c r="I86" i="18"/>
  <c r="I87" i="18"/>
  <c r="I89" i="18"/>
  <c r="I89" i="34" s="1"/>
  <c r="I90" i="18"/>
  <c r="I91" i="18"/>
  <c r="I94" i="18"/>
  <c r="I95" i="18"/>
  <c r="I97" i="18"/>
  <c r="I97" i="34" s="1"/>
  <c r="I98" i="18"/>
  <c r="I102" i="18"/>
  <c r="I103" i="18"/>
  <c r="I110" i="18"/>
  <c r="I111" i="18"/>
  <c r="I111" i="34" s="1"/>
  <c r="I112" i="18"/>
  <c r="I112" i="34" s="1"/>
  <c r="I113" i="18"/>
  <c r="I113" i="34" s="1"/>
  <c r="I114" i="18"/>
  <c r="I116" i="18"/>
  <c r="I117" i="18"/>
  <c r="I117" i="34" s="1"/>
  <c r="I119" i="18"/>
  <c r="I121" i="18"/>
  <c r="I122" i="18"/>
  <c r="I123" i="18"/>
  <c r="I124" i="18"/>
  <c r="I127" i="18"/>
  <c r="I128" i="18"/>
  <c r="I129" i="18"/>
  <c r="I129" i="34" s="1"/>
  <c r="I130" i="18"/>
  <c r="I133" i="18"/>
  <c r="I133" i="34" s="1"/>
  <c r="I134" i="18"/>
  <c r="I136" i="18"/>
  <c r="I137" i="18"/>
  <c r="I140" i="18"/>
  <c r="I141" i="18"/>
  <c r="I141" i="34" s="1"/>
  <c r="I142" i="18"/>
  <c r="I142" i="34" s="1"/>
  <c r="I143" i="18"/>
  <c r="I144" i="18"/>
  <c r="I145" i="18"/>
  <c r="I147" i="18"/>
  <c r="I150" i="18"/>
  <c r="I151" i="18"/>
  <c r="I152" i="18"/>
  <c r="I153" i="18"/>
  <c r="I155" i="18"/>
  <c r="I156" i="18"/>
  <c r="I157" i="18"/>
  <c r="I158" i="18"/>
  <c r="I159" i="18"/>
  <c r="I159" i="34" s="1"/>
  <c r="I160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J113" i="18" s="1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8" i="34" s="1"/>
  <c r="H139" i="18"/>
  <c r="H139" i="34" s="1"/>
  <c r="H140" i="18"/>
  <c r="H140" i="34" s="1"/>
  <c r="H141" i="18"/>
  <c r="H141" i="34" s="1"/>
  <c r="H142" i="18"/>
  <c r="H142" i="34" s="1"/>
  <c r="H143" i="18"/>
  <c r="H143" i="34" s="1"/>
  <c r="H144" i="18"/>
  <c r="H144" i="34" s="1"/>
  <c r="H145" i="18"/>
  <c r="H145" i="34" s="1"/>
  <c r="H146" i="18"/>
  <c r="H146" i="34" s="1"/>
  <c r="H147" i="18"/>
  <c r="H147" i="34" s="1"/>
  <c r="H148" i="18"/>
  <c r="H148" i="34" s="1"/>
  <c r="H149" i="18"/>
  <c r="H149" i="34" s="1"/>
  <c r="H150" i="18"/>
  <c r="H150" i="34" s="1"/>
  <c r="H151" i="18"/>
  <c r="H151" i="34" s="1"/>
  <c r="H152" i="18"/>
  <c r="H152" i="34" s="1"/>
  <c r="H153" i="18"/>
  <c r="H153" i="34" s="1"/>
  <c r="H154" i="18"/>
  <c r="H154" i="34" s="1"/>
  <c r="H155" i="18"/>
  <c r="H155" i="34" s="1"/>
  <c r="H156" i="18"/>
  <c r="H156" i="34" s="1"/>
  <c r="H157" i="18"/>
  <c r="H157" i="34" s="1"/>
  <c r="H158" i="18"/>
  <c r="H158" i="34" s="1"/>
  <c r="H159" i="18"/>
  <c r="H159" i="34" s="1"/>
  <c r="H160" i="18"/>
  <c r="H160" i="34" s="1"/>
  <c r="H4" i="18"/>
  <c r="H4" i="34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J48" i="20" s="1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/>
  <c r="I66" i="20"/>
  <c r="J66" i="20" s="1"/>
  <c r="I67" i="20"/>
  <c r="J67" i="20" s="1"/>
  <c r="I68" i="20"/>
  <c r="J68" i="20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F42" i="20"/>
  <c r="G42" i="20" s="1"/>
  <c r="F43" i="20"/>
  <c r="G43" i="20" s="1"/>
  <c r="F44" i="20"/>
  <c r="G44" i="20" s="1"/>
  <c r="F45" i="20"/>
  <c r="G45" i="20" s="1"/>
  <c r="F46" i="20"/>
  <c r="G46" i="20" s="1"/>
  <c r="F47" i="20"/>
  <c r="G47" i="20" s="1"/>
  <c r="F48" i="20"/>
  <c r="G48" i="20" s="1"/>
  <c r="F49" i="20"/>
  <c r="G49" i="20" s="1"/>
  <c r="F50" i="20"/>
  <c r="G50" i="20" s="1"/>
  <c r="F51" i="20"/>
  <c r="G51" i="20" s="1"/>
  <c r="F52" i="20"/>
  <c r="G52" i="20" s="1"/>
  <c r="F53" i="20"/>
  <c r="G53" i="20" s="1"/>
  <c r="F54" i="20"/>
  <c r="G54" i="20" s="1"/>
  <c r="F55" i="20"/>
  <c r="G55" i="20" s="1"/>
  <c r="F56" i="20"/>
  <c r="G56" i="20" s="1"/>
  <c r="F57" i="20"/>
  <c r="G57" i="20" s="1"/>
  <c r="F58" i="20"/>
  <c r="G58" i="20" s="1"/>
  <c r="F59" i="20"/>
  <c r="G59" i="20" s="1"/>
  <c r="F60" i="20"/>
  <c r="G60" i="20" s="1"/>
  <c r="F61" i="20"/>
  <c r="G61" i="20" s="1"/>
  <c r="F62" i="20"/>
  <c r="G62" i="20" s="1"/>
  <c r="F63" i="20"/>
  <c r="G63" i="20" s="1"/>
  <c r="F64" i="20"/>
  <c r="G64" i="20" s="1"/>
  <c r="F65" i="20"/>
  <c r="G65" i="20" s="1"/>
  <c r="F66" i="20"/>
  <c r="G66" i="20" s="1"/>
  <c r="F67" i="20"/>
  <c r="G67" i="20" s="1"/>
  <c r="F68" i="20"/>
  <c r="G68" i="20" s="1"/>
  <c r="F69" i="20"/>
  <c r="G69" i="20" s="1"/>
  <c r="F70" i="20"/>
  <c r="G70" i="20" s="1"/>
  <c r="F71" i="20"/>
  <c r="G71" i="20" s="1"/>
  <c r="F72" i="20"/>
  <c r="G72" i="20" s="1"/>
  <c r="F73" i="20"/>
  <c r="G73" i="20" s="1"/>
  <c r="F74" i="20"/>
  <c r="G74" i="20" s="1"/>
  <c r="F75" i="20"/>
  <c r="G75" i="20" s="1"/>
  <c r="F76" i="20"/>
  <c r="G76" i="20" s="1"/>
  <c r="F77" i="20"/>
  <c r="G77" i="20" s="1"/>
  <c r="F78" i="20"/>
  <c r="G78" i="20" s="1"/>
  <c r="F79" i="20"/>
  <c r="G79" i="20" s="1"/>
  <c r="F80" i="20"/>
  <c r="G80" i="20" s="1"/>
  <c r="F81" i="20"/>
  <c r="G81" i="20" s="1"/>
  <c r="F82" i="20"/>
  <c r="G82" i="20" s="1"/>
  <c r="F83" i="20"/>
  <c r="G83" i="20" s="1"/>
  <c r="F84" i="20"/>
  <c r="G84" i="20" s="1"/>
  <c r="F85" i="20"/>
  <c r="G85" i="20" s="1"/>
  <c r="F86" i="20"/>
  <c r="G86" i="20" s="1"/>
  <c r="F87" i="20"/>
  <c r="G87" i="20" s="1"/>
  <c r="F88" i="20"/>
  <c r="G88" i="20" s="1"/>
  <c r="F89" i="20"/>
  <c r="G89" i="20" s="1"/>
  <c r="F90" i="20"/>
  <c r="G90" i="20" s="1"/>
  <c r="F91" i="20"/>
  <c r="G91" i="20" s="1"/>
  <c r="F92" i="20"/>
  <c r="G92" i="20" s="1"/>
  <c r="F93" i="20"/>
  <c r="G93" i="20" s="1"/>
  <c r="F94" i="20"/>
  <c r="G94" i="20" s="1"/>
  <c r="F95" i="20"/>
  <c r="G95" i="20" s="1"/>
  <c r="F96" i="20"/>
  <c r="G96" i="20" s="1"/>
  <c r="F97" i="20"/>
  <c r="G97" i="20" s="1"/>
  <c r="F98" i="20"/>
  <c r="G98" i="20" s="1"/>
  <c r="F99" i="20"/>
  <c r="G99" i="20" s="1"/>
  <c r="F100" i="20"/>
  <c r="G100" i="20" s="1"/>
  <c r="F101" i="20"/>
  <c r="G101" i="20" s="1"/>
  <c r="F102" i="20"/>
  <c r="G102" i="20" s="1"/>
  <c r="F103" i="20"/>
  <c r="G103" i="20" s="1"/>
  <c r="F104" i="20"/>
  <c r="G104" i="20" s="1"/>
  <c r="F105" i="20"/>
  <c r="G105" i="20" s="1"/>
  <c r="F106" i="20"/>
  <c r="G106" i="20" s="1"/>
  <c r="F107" i="20"/>
  <c r="G107" i="20" s="1"/>
  <c r="F108" i="20"/>
  <c r="G108" i="20" s="1"/>
  <c r="F109" i="20"/>
  <c r="G109" i="20" s="1"/>
  <c r="F110" i="20"/>
  <c r="G110" i="20" s="1"/>
  <c r="F111" i="20"/>
  <c r="G111" i="20" s="1"/>
  <c r="F112" i="20"/>
  <c r="G112" i="20" s="1"/>
  <c r="F113" i="20"/>
  <c r="G113" i="20" s="1"/>
  <c r="F114" i="20"/>
  <c r="G114" i="20" s="1"/>
  <c r="F115" i="20"/>
  <c r="G115" i="20" s="1"/>
  <c r="F116" i="20"/>
  <c r="G116" i="20" s="1"/>
  <c r="F117" i="20"/>
  <c r="G117" i="20" s="1"/>
  <c r="F118" i="20"/>
  <c r="G118" i="20" s="1"/>
  <c r="F119" i="20"/>
  <c r="G119" i="20" s="1"/>
  <c r="F120" i="20"/>
  <c r="G120" i="20" s="1"/>
  <c r="F121" i="20"/>
  <c r="G121" i="20" s="1"/>
  <c r="F122" i="20"/>
  <c r="G122" i="20" s="1"/>
  <c r="F123" i="20"/>
  <c r="G123" i="20" s="1"/>
  <c r="F124" i="20"/>
  <c r="G124" i="20" s="1"/>
  <c r="F125" i="20"/>
  <c r="G125" i="20" s="1"/>
  <c r="F126" i="20"/>
  <c r="G126" i="20" s="1"/>
  <c r="F127" i="20"/>
  <c r="G127" i="20" s="1"/>
  <c r="F128" i="20"/>
  <c r="G128" i="20" s="1"/>
  <c r="F129" i="20"/>
  <c r="G129" i="20" s="1"/>
  <c r="F130" i="20"/>
  <c r="G130" i="20" s="1"/>
  <c r="F131" i="20"/>
  <c r="G131" i="20" s="1"/>
  <c r="F132" i="20"/>
  <c r="G132" i="20" s="1"/>
  <c r="F133" i="20"/>
  <c r="G133" i="20" s="1"/>
  <c r="F134" i="20"/>
  <c r="G134" i="20" s="1"/>
  <c r="F135" i="20"/>
  <c r="G135" i="20" s="1"/>
  <c r="F136" i="20"/>
  <c r="G136" i="20" s="1"/>
  <c r="F137" i="20"/>
  <c r="G137" i="20" s="1"/>
  <c r="F138" i="20"/>
  <c r="G138" i="20" s="1"/>
  <c r="F139" i="20"/>
  <c r="G139" i="20" s="1"/>
  <c r="F140" i="20"/>
  <c r="G140" i="20" s="1"/>
  <c r="F141" i="20"/>
  <c r="G141" i="20" s="1"/>
  <c r="F142" i="20"/>
  <c r="G142" i="20" s="1"/>
  <c r="F143" i="20"/>
  <c r="G143" i="20" s="1"/>
  <c r="F144" i="20"/>
  <c r="G144" i="20" s="1"/>
  <c r="F145" i="20"/>
  <c r="G145" i="20" s="1"/>
  <c r="F146" i="20"/>
  <c r="G146" i="20" s="1"/>
  <c r="F147" i="20"/>
  <c r="G147" i="20" s="1"/>
  <c r="F148" i="20"/>
  <c r="G148" i="20" s="1"/>
  <c r="F149" i="20"/>
  <c r="G149" i="20" s="1"/>
  <c r="F150" i="20"/>
  <c r="G150" i="20" s="1"/>
  <c r="F151" i="20"/>
  <c r="G151" i="20" s="1"/>
  <c r="F152" i="20"/>
  <c r="G152" i="20" s="1"/>
  <c r="F153" i="20"/>
  <c r="G153" i="20" s="1"/>
  <c r="F154" i="20"/>
  <c r="G154" i="20" s="1"/>
  <c r="F155" i="20"/>
  <c r="G155" i="20" s="1"/>
  <c r="F156" i="20"/>
  <c r="G156" i="20" s="1"/>
  <c r="F157" i="20"/>
  <c r="G157" i="20" s="1"/>
  <c r="F158" i="20"/>
  <c r="G158" i="20" s="1"/>
  <c r="F159" i="20"/>
  <c r="G159" i="20" s="1"/>
  <c r="F160" i="20"/>
  <c r="G160" i="20" s="1"/>
  <c r="H2" i="21"/>
  <c r="E2" i="21"/>
  <c r="H2" i="20"/>
  <c r="E2" i="20"/>
  <c r="D2" i="20"/>
  <c r="D2" i="21"/>
  <c r="E18" i="30"/>
  <c r="E19" i="30"/>
  <c r="C140" i="33"/>
  <c r="C141" i="33"/>
  <c r="C142" i="33"/>
  <c r="C143" i="33"/>
  <c r="C144" i="33"/>
  <c r="C145" i="33"/>
  <c r="C146" i="33"/>
  <c r="C147" i="33"/>
  <c r="C148" i="33"/>
  <c r="C149" i="33"/>
  <c r="C150" i="33"/>
  <c r="C151" i="33"/>
  <c r="C152" i="33"/>
  <c r="C153" i="33"/>
  <c r="C154" i="33"/>
  <c r="C155" i="33"/>
  <c r="C156" i="33"/>
  <c r="C157" i="33"/>
  <c r="C158" i="33"/>
  <c r="C159" i="33"/>
  <c r="C160" i="33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0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J24" i="21"/>
  <c r="J29" i="21"/>
  <c r="J32" i="21"/>
  <c r="J37" i="21"/>
  <c r="J40" i="21"/>
  <c r="J45" i="21"/>
  <c r="J48" i="21"/>
  <c r="J53" i="21"/>
  <c r="J56" i="21"/>
  <c r="J61" i="21"/>
  <c r="J64" i="21"/>
  <c r="J69" i="21"/>
  <c r="J72" i="21"/>
  <c r="J77" i="21"/>
  <c r="J80" i="21"/>
  <c r="J85" i="21"/>
  <c r="J88" i="21"/>
  <c r="J93" i="21"/>
  <c r="J96" i="21"/>
  <c r="J101" i="21"/>
  <c r="J104" i="21"/>
  <c r="J109" i="21"/>
  <c r="J112" i="21"/>
  <c r="J117" i="21"/>
  <c r="J120" i="21"/>
  <c r="J125" i="21"/>
  <c r="J128" i="21"/>
  <c r="J133" i="21"/>
  <c r="J136" i="21"/>
  <c r="I18" i="21"/>
  <c r="J18" i="21" s="1"/>
  <c r="I19" i="21"/>
  <c r="J19" i="21" s="1"/>
  <c r="I20" i="21"/>
  <c r="J20" i="21" s="1"/>
  <c r="I21" i="21"/>
  <c r="J21" i="21" s="1"/>
  <c r="I22" i="21"/>
  <c r="J22" i="21" s="1"/>
  <c r="I23" i="21"/>
  <c r="J23" i="21" s="1"/>
  <c r="I24" i="21"/>
  <c r="I25" i="21"/>
  <c r="J25" i="21" s="1"/>
  <c r="I26" i="21"/>
  <c r="J26" i="21" s="1"/>
  <c r="I27" i="21"/>
  <c r="J27" i="21" s="1"/>
  <c r="I28" i="21"/>
  <c r="J28" i="21" s="1"/>
  <c r="I29" i="21"/>
  <c r="I30" i="21"/>
  <c r="J30" i="21" s="1"/>
  <c r="I31" i="21"/>
  <c r="J31" i="21" s="1"/>
  <c r="I32" i="21"/>
  <c r="I33" i="21"/>
  <c r="J33" i="21" s="1"/>
  <c r="I34" i="21"/>
  <c r="J34" i="21" s="1"/>
  <c r="I35" i="21"/>
  <c r="J35" i="21" s="1"/>
  <c r="I36" i="21"/>
  <c r="J36" i="21" s="1"/>
  <c r="I37" i="21"/>
  <c r="I38" i="21"/>
  <c r="J38" i="21" s="1"/>
  <c r="I39" i="21"/>
  <c r="J39" i="21" s="1"/>
  <c r="I40" i="21"/>
  <c r="I41" i="21"/>
  <c r="J41" i="21" s="1"/>
  <c r="I42" i="21"/>
  <c r="J42" i="21" s="1"/>
  <c r="I43" i="21"/>
  <c r="J43" i="21" s="1"/>
  <c r="I44" i="21"/>
  <c r="J44" i="21" s="1"/>
  <c r="I45" i="21"/>
  <c r="I46" i="21"/>
  <c r="J46" i="21" s="1"/>
  <c r="I47" i="21"/>
  <c r="I48" i="21"/>
  <c r="I49" i="21"/>
  <c r="J49" i="21" s="1"/>
  <c r="I50" i="21"/>
  <c r="J50" i="21" s="1"/>
  <c r="I51" i="21"/>
  <c r="J51" i="21" s="1"/>
  <c r="I52" i="21"/>
  <c r="J52" i="21" s="1"/>
  <c r="I53" i="21"/>
  <c r="I54" i="21"/>
  <c r="J54" i="21" s="1"/>
  <c r="I55" i="21"/>
  <c r="J55" i="21" s="1"/>
  <c r="I56" i="21"/>
  <c r="I57" i="21"/>
  <c r="J57" i="21" s="1"/>
  <c r="I58" i="21"/>
  <c r="J58" i="21" s="1"/>
  <c r="I59" i="21"/>
  <c r="J59" i="21" s="1"/>
  <c r="I60" i="21"/>
  <c r="J60" i="21" s="1"/>
  <c r="I61" i="21"/>
  <c r="I62" i="21"/>
  <c r="J62" i="21" s="1"/>
  <c r="I63" i="21"/>
  <c r="J63" i="21" s="1"/>
  <c r="I64" i="21"/>
  <c r="I65" i="21"/>
  <c r="J65" i="21" s="1"/>
  <c r="I66" i="21"/>
  <c r="J66" i="21" s="1"/>
  <c r="I67" i="21"/>
  <c r="J67" i="21" s="1"/>
  <c r="I68" i="21"/>
  <c r="J68" i="21" s="1"/>
  <c r="I69" i="21"/>
  <c r="I70" i="21"/>
  <c r="J70" i="21" s="1"/>
  <c r="I71" i="21"/>
  <c r="J71" i="21" s="1"/>
  <c r="I72" i="21"/>
  <c r="I73" i="21"/>
  <c r="J73" i="21" s="1"/>
  <c r="I74" i="21"/>
  <c r="J74" i="21" s="1"/>
  <c r="I75" i="21"/>
  <c r="J75" i="21" s="1"/>
  <c r="I76" i="21"/>
  <c r="J76" i="21" s="1"/>
  <c r="I77" i="21"/>
  <c r="I78" i="21"/>
  <c r="J78" i="21" s="1"/>
  <c r="I79" i="21"/>
  <c r="J79" i="21" s="1"/>
  <c r="I80" i="21"/>
  <c r="I81" i="21"/>
  <c r="J81" i="21" s="1"/>
  <c r="I82" i="21"/>
  <c r="J82" i="21" s="1"/>
  <c r="I83" i="21"/>
  <c r="J83" i="21" s="1"/>
  <c r="I84" i="21"/>
  <c r="J84" i="21" s="1"/>
  <c r="I85" i="21"/>
  <c r="I86" i="21"/>
  <c r="J86" i="21" s="1"/>
  <c r="I87" i="21"/>
  <c r="J87" i="21" s="1"/>
  <c r="I88" i="21"/>
  <c r="I89" i="21"/>
  <c r="J89" i="21" s="1"/>
  <c r="I90" i="21"/>
  <c r="J90" i="21" s="1"/>
  <c r="I91" i="21"/>
  <c r="J91" i="21" s="1"/>
  <c r="I92" i="21"/>
  <c r="J92" i="21" s="1"/>
  <c r="I93" i="21"/>
  <c r="I94" i="21"/>
  <c r="J94" i="21" s="1"/>
  <c r="I95" i="21"/>
  <c r="J95" i="21" s="1"/>
  <c r="I96" i="21"/>
  <c r="I97" i="21"/>
  <c r="J97" i="21" s="1"/>
  <c r="I98" i="21"/>
  <c r="J98" i="21" s="1"/>
  <c r="I99" i="21"/>
  <c r="J99" i="21" s="1"/>
  <c r="I100" i="21"/>
  <c r="J100" i="21" s="1"/>
  <c r="I101" i="21"/>
  <c r="I102" i="21"/>
  <c r="J102" i="21" s="1"/>
  <c r="I103" i="21"/>
  <c r="J103" i="21" s="1"/>
  <c r="I104" i="21"/>
  <c r="I105" i="21"/>
  <c r="J105" i="21" s="1"/>
  <c r="I106" i="21"/>
  <c r="J106" i="21" s="1"/>
  <c r="I107" i="21"/>
  <c r="J107" i="21" s="1"/>
  <c r="I108" i="21"/>
  <c r="J108" i="21" s="1"/>
  <c r="I109" i="21"/>
  <c r="I110" i="21"/>
  <c r="J110" i="21" s="1"/>
  <c r="I111" i="21"/>
  <c r="J111" i="21" s="1"/>
  <c r="I112" i="21"/>
  <c r="I113" i="21"/>
  <c r="J113" i="21" s="1"/>
  <c r="I114" i="21"/>
  <c r="J114" i="21" s="1"/>
  <c r="I115" i="21"/>
  <c r="J115" i="21" s="1"/>
  <c r="I116" i="21"/>
  <c r="J116" i="21" s="1"/>
  <c r="I117" i="21"/>
  <c r="I118" i="21"/>
  <c r="J118" i="21" s="1"/>
  <c r="I119" i="21"/>
  <c r="J119" i="21" s="1"/>
  <c r="I120" i="21"/>
  <c r="I121" i="21"/>
  <c r="J121" i="21" s="1"/>
  <c r="I122" i="21"/>
  <c r="J122" i="21" s="1"/>
  <c r="I123" i="21"/>
  <c r="J123" i="21" s="1"/>
  <c r="I124" i="21"/>
  <c r="J124" i="21" s="1"/>
  <c r="I125" i="21"/>
  <c r="I126" i="21"/>
  <c r="J126" i="21" s="1"/>
  <c r="I127" i="21"/>
  <c r="J127" i="21" s="1"/>
  <c r="I128" i="21"/>
  <c r="I129" i="21"/>
  <c r="J129" i="21" s="1"/>
  <c r="I130" i="21"/>
  <c r="J130" i="21" s="1"/>
  <c r="I131" i="21"/>
  <c r="J131" i="21" s="1"/>
  <c r="I132" i="21"/>
  <c r="J132" i="21" s="1"/>
  <c r="I133" i="21"/>
  <c r="I134" i="21"/>
  <c r="J134" i="21" s="1"/>
  <c r="I135" i="21"/>
  <c r="J135" i="21" s="1"/>
  <c r="I136" i="21"/>
  <c r="I137" i="21"/>
  <c r="J137" i="21" s="1"/>
  <c r="I138" i="21"/>
  <c r="J138" i="21" s="1"/>
  <c r="I139" i="21"/>
  <c r="J139" i="21" s="1"/>
  <c r="G19" i="21"/>
  <c r="G21" i="21"/>
  <c r="G24" i="21"/>
  <c r="G27" i="21"/>
  <c r="G29" i="21"/>
  <c r="G32" i="21"/>
  <c r="G35" i="21"/>
  <c r="G37" i="21"/>
  <c r="G40" i="21"/>
  <c r="G43" i="21"/>
  <c r="G45" i="21"/>
  <c r="G48" i="21"/>
  <c r="G51" i="21"/>
  <c r="G53" i="21"/>
  <c r="G56" i="21"/>
  <c r="G59" i="21"/>
  <c r="G61" i="21"/>
  <c r="G64" i="21"/>
  <c r="G67" i="21"/>
  <c r="G69" i="21"/>
  <c r="G72" i="21"/>
  <c r="G75" i="21"/>
  <c r="G77" i="21"/>
  <c r="G80" i="21"/>
  <c r="G83" i="21"/>
  <c r="G85" i="21"/>
  <c r="G88" i="21"/>
  <c r="G91" i="21"/>
  <c r="G93" i="21"/>
  <c r="G96" i="21"/>
  <c r="G99" i="21"/>
  <c r="G101" i="21"/>
  <c r="G104" i="21"/>
  <c r="G107" i="21"/>
  <c r="G109" i="21"/>
  <c r="G112" i="21"/>
  <c r="G115" i="21"/>
  <c r="G117" i="21"/>
  <c r="G120" i="21"/>
  <c r="G123" i="21"/>
  <c r="G125" i="21"/>
  <c r="G128" i="21"/>
  <c r="G131" i="21"/>
  <c r="G133" i="21"/>
  <c r="G136" i="21"/>
  <c r="F18" i="21"/>
  <c r="G18" i="21" s="1"/>
  <c r="F19" i="21"/>
  <c r="F20" i="21"/>
  <c r="G20" i="21" s="1"/>
  <c r="F21" i="21"/>
  <c r="F22" i="21"/>
  <c r="G22" i="21" s="1"/>
  <c r="F23" i="21"/>
  <c r="G23" i="21" s="1"/>
  <c r="F24" i="21"/>
  <c r="F25" i="21"/>
  <c r="G25" i="21" s="1"/>
  <c r="F26" i="21"/>
  <c r="G26" i="21" s="1"/>
  <c r="F27" i="21"/>
  <c r="F28" i="21"/>
  <c r="G28" i="21" s="1"/>
  <c r="F29" i="21"/>
  <c r="F30" i="21"/>
  <c r="G30" i="21" s="1"/>
  <c r="F31" i="21"/>
  <c r="G31" i="21" s="1"/>
  <c r="F32" i="21"/>
  <c r="F33" i="21"/>
  <c r="G33" i="21" s="1"/>
  <c r="F34" i="21"/>
  <c r="G34" i="21" s="1"/>
  <c r="F35" i="21"/>
  <c r="F36" i="21"/>
  <c r="G36" i="21" s="1"/>
  <c r="F37" i="21"/>
  <c r="F38" i="21"/>
  <c r="G38" i="21" s="1"/>
  <c r="F39" i="21"/>
  <c r="G39" i="21" s="1"/>
  <c r="F40" i="21"/>
  <c r="F41" i="21"/>
  <c r="G41" i="21" s="1"/>
  <c r="F42" i="21"/>
  <c r="G42" i="21" s="1"/>
  <c r="F43" i="21"/>
  <c r="F44" i="21"/>
  <c r="G44" i="21" s="1"/>
  <c r="F45" i="21"/>
  <c r="F46" i="21"/>
  <c r="G46" i="21" s="1"/>
  <c r="F47" i="21"/>
  <c r="G47" i="21" s="1"/>
  <c r="F48" i="21"/>
  <c r="F49" i="21"/>
  <c r="G49" i="21" s="1"/>
  <c r="F50" i="21"/>
  <c r="G50" i="21" s="1"/>
  <c r="F51" i="21"/>
  <c r="F52" i="21"/>
  <c r="G52" i="21" s="1"/>
  <c r="F53" i="21"/>
  <c r="F54" i="21"/>
  <c r="G54" i="21" s="1"/>
  <c r="F55" i="21"/>
  <c r="G55" i="21" s="1"/>
  <c r="F56" i="21"/>
  <c r="F57" i="21"/>
  <c r="G57" i="21" s="1"/>
  <c r="F58" i="21"/>
  <c r="G58" i="21" s="1"/>
  <c r="F59" i="21"/>
  <c r="F60" i="21"/>
  <c r="G60" i="21" s="1"/>
  <c r="F61" i="21"/>
  <c r="F62" i="21"/>
  <c r="G62" i="21" s="1"/>
  <c r="F63" i="21"/>
  <c r="G63" i="21" s="1"/>
  <c r="F64" i="21"/>
  <c r="F65" i="21"/>
  <c r="G65" i="21" s="1"/>
  <c r="F66" i="21"/>
  <c r="G66" i="21" s="1"/>
  <c r="F67" i="21"/>
  <c r="F68" i="21"/>
  <c r="G68" i="21" s="1"/>
  <c r="F69" i="21"/>
  <c r="F70" i="21"/>
  <c r="G70" i="21" s="1"/>
  <c r="F71" i="21"/>
  <c r="G71" i="21" s="1"/>
  <c r="F72" i="21"/>
  <c r="F73" i="21"/>
  <c r="G73" i="21" s="1"/>
  <c r="F74" i="21"/>
  <c r="G74" i="21" s="1"/>
  <c r="F75" i="21"/>
  <c r="F76" i="21"/>
  <c r="G76" i="21" s="1"/>
  <c r="F77" i="21"/>
  <c r="F78" i="21"/>
  <c r="G78" i="21" s="1"/>
  <c r="F79" i="21"/>
  <c r="G79" i="21" s="1"/>
  <c r="F80" i="21"/>
  <c r="F81" i="21"/>
  <c r="G81" i="21" s="1"/>
  <c r="F82" i="21"/>
  <c r="G82" i="21" s="1"/>
  <c r="F83" i="21"/>
  <c r="F84" i="21"/>
  <c r="G84" i="21" s="1"/>
  <c r="F85" i="21"/>
  <c r="F86" i="21"/>
  <c r="G86" i="21" s="1"/>
  <c r="F87" i="21"/>
  <c r="G87" i="21" s="1"/>
  <c r="F88" i="21"/>
  <c r="F89" i="21"/>
  <c r="G89" i="21" s="1"/>
  <c r="F90" i="21"/>
  <c r="G90" i="21" s="1"/>
  <c r="F91" i="21"/>
  <c r="F92" i="21"/>
  <c r="G92" i="21" s="1"/>
  <c r="F93" i="21"/>
  <c r="F94" i="21"/>
  <c r="G94" i="21" s="1"/>
  <c r="F95" i="21"/>
  <c r="G95" i="21" s="1"/>
  <c r="F96" i="21"/>
  <c r="F97" i="21"/>
  <c r="G97" i="21" s="1"/>
  <c r="F98" i="21"/>
  <c r="G98" i="21" s="1"/>
  <c r="F99" i="21"/>
  <c r="F100" i="21"/>
  <c r="G100" i="21" s="1"/>
  <c r="F101" i="21"/>
  <c r="F102" i="21"/>
  <c r="G102" i="21" s="1"/>
  <c r="F103" i="21"/>
  <c r="G103" i="21" s="1"/>
  <c r="F104" i="21"/>
  <c r="F105" i="21"/>
  <c r="G105" i="21" s="1"/>
  <c r="F106" i="21"/>
  <c r="G106" i="21" s="1"/>
  <c r="F107" i="21"/>
  <c r="F108" i="21"/>
  <c r="G108" i="21" s="1"/>
  <c r="F109" i="21"/>
  <c r="F110" i="21"/>
  <c r="G110" i="21" s="1"/>
  <c r="F111" i="21"/>
  <c r="G111" i="21" s="1"/>
  <c r="F112" i="21"/>
  <c r="F113" i="21"/>
  <c r="G113" i="21" s="1"/>
  <c r="F114" i="21"/>
  <c r="G114" i="21" s="1"/>
  <c r="F115" i="21"/>
  <c r="F116" i="21"/>
  <c r="G116" i="21" s="1"/>
  <c r="F117" i="21"/>
  <c r="F118" i="21"/>
  <c r="G118" i="21" s="1"/>
  <c r="F119" i="21"/>
  <c r="G119" i="21" s="1"/>
  <c r="F120" i="21"/>
  <c r="F121" i="21"/>
  <c r="G121" i="21" s="1"/>
  <c r="F122" i="21"/>
  <c r="G122" i="21" s="1"/>
  <c r="F123" i="21"/>
  <c r="F124" i="21"/>
  <c r="G124" i="21" s="1"/>
  <c r="F125" i="21"/>
  <c r="F126" i="21"/>
  <c r="G126" i="21" s="1"/>
  <c r="F127" i="21"/>
  <c r="G127" i="21" s="1"/>
  <c r="F128" i="21"/>
  <c r="F129" i="21"/>
  <c r="G129" i="21" s="1"/>
  <c r="F130" i="21"/>
  <c r="G130" i="21" s="1"/>
  <c r="F131" i="21"/>
  <c r="F132" i="21"/>
  <c r="G132" i="21" s="1"/>
  <c r="F133" i="21"/>
  <c r="F134" i="21"/>
  <c r="G134" i="21" s="1"/>
  <c r="F135" i="21"/>
  <c r="G135" i="21" s="1"/>
  <c r="F136" i="21"/>
  <c r="F137" i="21"/>
  <c r="G137" i="21" s="1"/>
  <c r="F138" i="21"/>
  <c r="G138" i="21" s="1"/>
  <c r="F139" i="21"/>
  <c r="G139" i="21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1" i="33"/>
  <c r="C102" i="33"/>
  <c r="C103" i="33"/>
  <c r="C104" i="33"/>
  <c r="C105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0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4" i="3"/>
  <c r="C4" i="4"/>
  <c r="C4" i="21"/>
  <c r="C4" i="20"/>
  <c r="C4" i="19"/>
  <c r="C4" i="26"/>
  <c r="C4" i="27"/>
  <c r="C4" i="28"/>
  <c r="C4" i="31"/>
  <c r="C4" i="32"/>
  <c r="C4" i="33"/>
  <c r="C4" i="72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4" i="30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8" i="29"/>
  <c r="C4" i="29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4" i="18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4" i="1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4" i="34"/>
  <c r="F138" i="4"/>
  <c r="G138" i="4" s="1"/>
  <c r="I138" i="4"/>
  <c r="J138" i="4" s="1"/>
  <c r="F139" i="4"/>
  <c r="D138" i="1"/>
  <c r="I138" i="1"/>
  <c r="H2" i="4"/>
  <c r="E2" i="4"/>
  <c r="D2" i="4"/>
  <c r="E18" i="18"/>
  <c r="E18" i="34" s="1"/>
  <c r="E19" i="18"/>
  <c r="E19" i="34" s="1"/>
  <c r="E20" i="18"/>
  <c r="E20" i="34" s="1"/>
  <c r="E21" i="18"/>
  <c r="E21" i="34" s="1"/>
  <c r="E22" i="18"/>
  <c r="E22" i="34" s="1"/>
  <c r="E23" i="18"/>
  <c r="E23" i="34" s="1"/>
  <c r="E24" i="18"/>
  <c r="E24" i="34" s="1"/>
  <c r="E25" i="18"/>
  <c r="E25" i="34" s="1"/>
  <c r="E26" i="18"/>
  <c r="E26" i="34" s="1"/>
  <c r="E27" i="18"/>
  <c r="E27" i="34" s="1"/>
  <c r="E28" i="18"/>
  <c r="E28" i="34" s="1"/>
  <c r="E29" i="18"/>
  <c r="E29" i="34" s="1"/>
  <c r="E30" i="18"/>
  <c r="E30" i="34" s="1"/>
  <c r="E31" i="18"/>
  <c r="E31" i="34" s="1"/>
  <c r="E32" i="18"/>
  <c r="E32" i="34" s="1"/>
  <c r="E33" i="18"/>
  <c r="E33" i="34" s="1"/>
  <c r="E34" i="18"/>
  <c r="E34" i="34" s="1"/>
  <c r="E35" i="18"/>
  <c r="E35" i="34" s="1"/>
  <c r="E36" i="18"/>
  <c r="E36" i="34" s="1"/>
  <c r="E37" i="18"/>
  <c r="E37" i="34" s="1"/>
  <c r="E38" i="18"/>
  <c r="E38" i="34" s="1"/>
  <c r="E39" i="18"/>
  <c r="E39" i="34" s="1"/>
  <c r="E40" i="18"/>
  <c r="E40" i="34" s="1"/>
  <c r="E41" i="18"/>
  <c r="E41" i="34" s="1"/>
  <c r="E42" i="18"/>
  <c r="E42" i="34" s="1"/>
  <c r="E43" i="18"/>
  <c r="E43" i="34" s="1"/>
  <c r="E44" i="18"/>
  <c r="E44" i="34" s="1"/>
  <c r="E45" i="18"/>
  <c r="E45" i="34" s="1"/>
  <c r="E46" i="18"/>
  <c r="E46" i="34" s="1"/>
  <c r="E47" i="18"/>
  <c r="E47" i="34" s="1"/>
  <c r="E48" i="18"/>
  <c r="E48" i="34" s="1"/>
  <c r="E49" i="18"/>
  <c r="E49" i="34" s="1"/>
  <c r="E50" i="18"/>
  <c r="E50" i="34" s="1"/>
  <c r="E51" i="18"/>
  <c r="E51" i="34" s="1"/>
  <c r="E52" i="18"/>
  <c r="E52" i="34" s="1"/>
  <c r="E53" i="18"/>
  <c r="E53" i="34" s="1"/>
  <c r="E54" i="18"/>
  <c r="E54" i="34" s="1"/>
  <c r="E55" i="18"/>
  <c r="E55" i="34" s="1"/>
  <c r="E56" i="18"/>
  <c r="E56" i="34" s="1"/>
  <c r="E57" i="18"/>
  <c r="E57" i="34" s="1"/>
  <c r="E58" i="18"/>
  <c r="E58" i="34" s="1"/>
  <c r="E59" i="18"/>
  <c r="E59" i="34" s="1"/>
  <c r="E60" i="18"/>
  <c r="E60" i="34" s="1"/>
  <c r="E61" i="18"/>
  <c r="E61" i="34" s="1"/>
  <c r="E62" i="18"/>
  <c r="E62" i="34" s="1"/>
  <c r="E63" i="18"/>
  <c r="E63" i="34" s="1"/>
  <c r="E64" i="18"/>
  <c r="E64" i="34" s="1"/>
  <c r="E65" i="18"/>
  <c r="E65" i="34" s="1"/>
  <c r="E66" i="18"/>
  <c r="E66" i="34" s="1"/>
  <c r="E67" i="18"/>
  <c r="E67" i="34" s="1"/>
  <c r="E68" i="18"/>
  <c r="E68" i="34" s="1"/>
  <c r="E69" i="18"/>
  <c r="E69" i="34" s="1"/>
  <c r="E70" i="18"/>
  <c r="E70" i="34" s="1"/>
  <c r="E71" i="18"/>
  <c r="E71" i="34" s="1"/>
  <c r="E72" i="18"/>
  <c r="E72" i="34" s="1"/>
  <c r="E73" i="18"/>
  <c r="E73" i="34" s="1"/>
  <c r="E74" i="18"/>
  <c r="E74" i="34" s="1"/>
  <c r="E76" i="18"/>
  <c r="E76" i="34" s="1"/>
  <c r="E77" i="18"/>
  <c r="E77" i="34" s="1"/>
  <c r="E78" i="18"/>
  <c r="E78" i="34" s="1"/>
  <c r="E79" i="18"/>
  <c r="E79" i="34" s="1"/>
  <c r="E80" i="18"/>
  <c r="E80" i="34" s="1"/>
  <c r="E81" i="18"/>
  <c r="E81" i="34" s="1"/>
  <c r="E82" i="18"/>
  <c r="E82" i="34" s="1"/>
  <c r="E83" i="18"/>
  <c r="E83" i="34" s="1"/>
  <c r="E84" i="18"/>
  <c r="E84" i="34" s="1"/>
  <c r="E85" i="18"/>
  <c r="E85" i="34" s="1"/>
  <c r="E86" i="18"/>
  <c r="E86" i="34" s="1"/>
  <c r="E87" i="18"/>
  <c r="E87" i="34" s="1"/>
  <c r="E88" i="18"/>
  <c r="E88" i="34" s="1"/>
  <c r="E89" i="18"/>
  <c r="E89" i="34" s="1"/>
  <c r="E90" i="18"/>
  <c r="E90" i="34" s="1"/>
  <c r="E91" i="18"/>
  <c r="E91" i="34" s="1"/>
  <c r="E92" i="18"/>
  <c r="E92" i="34" s="1"/>
  <c r="E93" i="18"/>
  <c r="E93" i="34" s="1"/>
  <c r="E94" i="18"/>
  <c r="E94" i="34" s="1"/>
  <c r="E95" i="18"/>
  <c r="E95" i="34" s="1"/>
  <c r="E96" i="18"/>
  <c r="E96" i="34" s="1"/>
  <c r="E97" i="18"/>
  <c r="E97" i="34" s="1"/>
  <c r="E98" i="18"/>
  <c r="E98" i="34" s="1"/>
  <c r="E99" i="18"/>
  <c r="E99" i="34" s="1"/>
  <c r="E100" i="18"/>
  <c r="E100" i="34" s="1"/>
  <c r="E101" i="18"/>
  <c r="E101" i="34" s="1"/>
  <c r="E102" i="18"/>
  <c r="E102" i="34" s="1"/>
  <c r="E103" i="18"/>
  <c r="E103" i="34" s="1"/>
  <c r="E104" i="18"/>
  <c r="E104" i="34" s="1"/>
  <c r="E105" i="18"/>
  <c r="E105" i="34" s="1"/>
  <c r="E106" i="18"/>
  <c r="E106" i="34" s="1"/>
  <c r="E107" i="18"/>
  <c r="E107" i="34" s="1"/>
  <c r="E108" i="18"/>
  <c r="E108" i="34" s="1"/>
  <c r="E109" i="18"/>
  <c r="E109" i="34" s="1"/>
  <c r="E110" i="18"/>
  <c r="E110" i="34" s="1"/>
  <c r="E111" i="18"/>
  <c r="E111" i="34" s="1"/>
  <c r="E112" i="18"/>
  <c r="E112" i="34" s="1"/>
  <c r="E113" i="18"/>
  <c r="E113" i="34" s="1"/>
  <c r="E114" i="18"/>
  <c r="E114" i="34" s="1"/>
  <c r="E115" i="18"/>
  <c r="E115" i="34" s="1"/>
  <c r="E116" i="18"/>
  <c r="E116" i="34" s="1"/>
  <c r="E117" i="18"/>
  <c r="E117" i="34" s="1"/>
  <c r="E118" i="18"/>
  <c r="E118" i="34" s="1"/>
  <c r="E119" i="18"/>
  <c r="E119" i="34" s="1"/>
  <c r="E120" i="18"/>
  <c r="E120" i="34" s="1"/>
  <c r="E121" i="18"/>
  <c r="E121" i="34" s="1"/>
  <c r="E122" i="18"/>
  <c r="E122" i="34" s="1"/>
  <c r="E123" i="18"/>
  <c r="E123" i="34" s="1"/>
  <c r="E124" i="18"/>
  <c r="E124" i="34" s="1"/>
  <c r="E125" i="18"/>
  <c r="E125" i="34" s="1"/>
  <c r="E126" i="18"/>
  <c r="E126" i="34" s="1"/>
  <c r="E127" i="18"/>
  <c r="E127" i="34" s="1"/>
  <c r="E128" i="18"/>
  <c r="E128" i="34" s="1"/>
  <c r="E129" i="18"/>
  <c r="E130" i="18"/>
  <c r="E130" i="34" s="1"/>
  <c r="E131" i="18"/>
  <c r="E131" i="34" s="1"/>
  <c r="E132" i="18"/>
  <c r="E132" i="34" s="1"/>
  <c r="E133" i="18"/>
  <c r="E133" i="34" s="1"/>
  <c r="E134" i="18"/>
  <c r="E134" i="34" s="1"/>
  <c r="E135" i="18"/>
  <c r="E135" i="34" s="1"/>
  <c r="E136" i="18"/>
  <c r="E136" i="34" s="1"/>
  <c r="E137" i="18"/>
  <c r="E137" i="34" s="1"/>
  <c r="D18" i="18"/>
  <c r="F18" i="18" s="1"/>
  <c r="G18" i="18" s="1"/>
  <c r="D19" i="18"/>
  <c r="D19" i="34" s="1"/>
  <c r="D20" i="18"/>
  <c r="D20" i="34" s="1"/>
  <c r="D21" i="18"/>
  <c r="D22" i="18"/>
  <c r="D22" i="34" s="1"/>
  <c r="D23" i="18"/>
  <c r="D23" i="34" s="1"/>
  <c r="D24" i="18"/>
  <c r="D24" i="34" s="1"/>
  <c r="D25" i="18"/>
  <c r="D25" i="34" s="1"/>
  <c r="D26" i="18"/>
  <c r="F26" i="18" s="1"/>
  <c r="G26" i="18" s="1"/>
  <c r="D27" i="18"/>
  <c r="F27" i="18" s="1"/>
  <c r="G27" i="18" s="1"/>
  <c r="D28" i="18"/>
  <c r="D29" i="18"/>
  <c r="D29" i="34" s="1"/>
  <c r="D30" i="18"/>
  <c r="D30" i="34" s="1"/>
  <c r="D31" i="18"/>
  <c r="D31" i="34" s="1"/>
  <c r="D32" i="18"/>
  <c r="D32" i="34" s="1"/>
  <c r="D33" i="18"/>
  <c r="F33" i="18" s="1"/>
  <c r="G33" i="18" s="1"/>
  <c r="D34" i="18"/>
  <c r="F34" i="18" s="1"/>
  <c r="G34" i="18" s="1"/>
  <c r="D35" i="18"/>
  <c r="F35" i="18" s="1"/>
  <c r="G35" i="18" s="1"/>
  <c r="D36" i="18"/>
  <c r="D37" i="18"/>
  <c r="D38" i="18"/>
  <c r="D38" i="34" s="1"/>
  <c r="D39" i="18"/>
  <c r="D39" i="34" s="1"/>
  <c r="D40" i="18"/>
  <c r="D40" i="34" s="1"/>
  <c r="D41" i="18"/>
  <c r="D41" i="34" s="1"/>
  <c r="D42" i="18"/>
  <c r="F42" i="18" s="1"/>
  <c r="G42" i="18" s="1"/>
  <c r="D43" i="18"/>
  <c r="D43" i="34" s="1"/>
  <c r="D44" i="18"/>
  <c r="D45" i="18"/>
  <c r="D45" i="34" s="1"/>
  <c r="D46" i="18"/>
  <c r="D46" i="34" s="1"/>
  <c r="D47" i="18"/>
  <c r="D47" i="34" s="1"/>
  <c r="D48" i="18"/>
  <c r="D48" i="34" s="1"/>
  <c r="D49" i="18"/>
  <c r="F49" i="18" s="1"/>
  <c r="G49" i="18" s="1"/>
  <c r="D50" i="18"/>
  <c r="F50" i="18" s="1"/>
  <c r="G50" i="18" s="1"/>
  <c r="D51" i="18"/>
  <c r="D51" i="34" s="1"/>
  <c r="D52" i="18"/>
  <c r="D53" i="18"/>
  <c r="D53" i="34" s="1"/>
  <c r="D54" i="18"/>
  <c r="D54" i="34" s="1"/>
  <c r="D55" i="18"/>
  <c r="D55" i="34" s="1"/>
  <c r="D56" i="18"/>
  <c r="D56" i="34" s="1"/>
  <c r="D57" i="18"/>
  <c r="F57" i="18" s="1"/>
  <c r="G57" i="18" s="1"/>
  <c r="D58" i="18"/>
  <c r="F58" i="18" s="1"/>
  <c r="G58" i="18" s="1"/>
  <c r="D59" i="18"/>
  <c r="F59" i="18" s="1"/>
  <c r="G59" i="18" s="1"/>
  <c r="D60" i="18"/>
  <c r="D60" i="34" s="1"/>
  <c r="D61" i="18"/>
  <c r="D62" i="18"/>
  <c r="D63" i="18"/>
  <c r="D63" i="34" s="1"/>
  <c r="D64" i="18"/>
  <c r="D64" i="34" s="1"/>
  <c r="D65" i="18"/>
  <c r="F65" i="18" s="1"/>
  <c r="G65" i="18" s="1"/>
  <c r="D66" i="18"/>
  <c r="D67" i="18"/>
  <c r="D67" i="34" s="1"/>
  <c r="D68" i="18"/>
  <c r="D68" i="34" s="1"/>
  <c r="D69" i="18"/>
  <c r="D69" i="34" s="1"/>
  <c r="D70" i="18"/>
  <c r="D70" i="34" s="1"/>
  <c r="D71" i="18"/>
  <c r="D71" i="34" s="1"/>
  <c r="D72" i="18"/>
  <c r="D72" i="34" s="1"/>
  <c r="D73" i="18"/>
  <c r="F73" i="18" s="1"/>
  <c r="G73" i="18" s="1"/>
  <c r="D74" i="18"/>
  <c r="F74" i="18" s="1"/>
  <c r="G74" i="18" s="1"/>
  <c r="D75" i="18"/>
  <c r="D75" i="34" s="1"/>
  <c r="D76" i="18"/>
  <c r="D76" i="34" s="1"/>
  <c r="D77" i="18"/>
  <c r="D77" i="34" s="1"/>
  <c r="D78" i="18"/>
  <c r="D78" i="34" s="1"/>
  <c r="D79" i="18"/>
  <c r="D79" i="34" s="1"/>
  <c r="D80" i="18"/>
  <c r="D80" i="34" s="1"/>
  <c r="D81" i="18"/>
  <c r="D81" i="34" s="1"/>
  <c r="D82" i="18"/>
  <c r="D82" i="34" s="1"/>
  <c r="D83" i="18"/>
  <c r="D83" i="34" s="1"/>
  <c r="D84" i="18"/>
  <c r="D84" i="34" s="1"/>
  <c r="D85" i="18"/>
  <c r="D85" i="34" s="1"/>
  <c r="D86" i="18"/>
  <c r="D86" i="34" s="1"/>
  <c r="D87" i="18"/>
  <c r="D87" i="34" s="1"/>
  <c r="D88" i="18"/>
  <c r="D88" i="34" s="1"/>
  <c r="D89" i="18"/>
  <c r="D89" i="34" s="1"/>
  <c r="D90" i="18"/>
  <c r="D91" i="18"/>
  <c r="D91" i="34" s="1"/>
  <c r="D92" i="18"/>
  <c r="D92" i="34" s="1"/>
  <c r="D93" i="18"/>
  <c r="D94" i="18"/>
  <c r="F94" i="18" s="1"/>
  <c r="G94" i="18" s="1"/>
  <c r="D95" i="18"/>
  <c r="F95" i="18" s="1"/>
  <c r="G95" i="18" s="1"/>
  <c r="D96" i="18"/>
  <c r="F96" i="18" s="1"/>
  <c r="G96" i="18" s="1"/>
  <c r="D97" i="18"/>
  <c r="F97" i="18" s="1"/>
  <c r="G97" i="18" s="1"/>
  <c r="D98" i="18"/>
  <c r="D98" i="34" s="1"/>
  <c r="D99" i="18"/>
  <c r="D99" i="34" s="1"/>
  <c r="D100" i="18"/>
  <c r="D101" i="18"/>
  <c r="D102" i="18"/>
  <c r="D102" i="34" s="1"/>
  <c r="D103" i="18"/>
  <c r="F103" i="18" s="1"/>
  <c r="G103" i="18" s="1"/>
  <c r="D104" i="18"/>
  <c r="D105" i="18"/>
  <c r="F105" i="18" s="1"/>
  <c r="G105" i="18" s="1"/>
  <c r="D106" i="18"/>
  <c r="F106" i="18" s="1"/>
  <c r="G106" i="18" s="1"/>
  <c r="D107" i="18"/>
  <c r="D107" i="34" s="1"/>
  <c r="D108" i="18"/>
  <c r="D109" i="18"/>
  <c r="F109" i="18" s="1"/>
  <c r="G109" i="18" s="1"/>
  <c r="D110" i="18"/>
  <c r="D111" i="18"/>
  <c r="D111" i="34" s="1"/>
  <c r="D112" i="18"/>
  <c r="D112" i="34" s="1"/>
  <c r="D113" i="18"/>
  <c r="D113" i="34" s="1"/>
  <c r="D114" i="18"/>
  <c r="D114" i="34" s="1"/>
  <c r="D115" i="18"/>
  <c r="D115" i="34" s="1"/>
  <c r="D116" i="18"/>
  <c r="D116" i="34" s="1"/>
  <c r="D117" i="18"/>
  <c r="D118" i="18"/>
  <c r="D119" i="18"/>
  <c r="F119" i="18" s="1"/>
  <c r="G119" i="18" s="1"/>
  <c r="D120" i="18"/>
  <c r="D121" i="18"/>
  <c r="F121" i="18" s="1"/>
  <c r="G121" i="18" s="1"/>
  <c r="D122" i="18"/>
  <c r="D122" i="34" s="1"/>
  <c r="D123" i="18"/>
  <c r="F123" i="18" s="1"/>
  <c r="G123" i="18" s="1"/>
  <c r="D124" i="18"/>
  <c r="D124" i="34" s="1"/>
  <c r="D125" i="18"/>
  <c r="D125" i="34" s="1"/>
  <c r="D126" i="18"/>
  <c r="D126" i="34" s="1"/>
  <c r="D127" i="18"/>
  <c r="D127" i="34" s="1"/>
  <c r="D128" i="18"/>
  <c r="D128" i="34" s="1"/>
  <c r="D129" i="18"/>
  <c r="D129" i="34" s="1"/>
  <c r="D130" i="18"/>
  <c r="D130" i="34" s="1"/>
  <c r="D131" i="18"/>
  <c r="D131" i="34" s="1"/>
  <c r="D132" i="18"/>
  <c r="D133" i="18"/>
  <c r="D133" i="34" s="1"/>
  <c r="D134" i="18"/>
  <c r="D134" i="34" s="1"/>
  <c r="D135" i="18"/>
  <c r="D135" i="34" s="1"/>
  <c r="D136" i="18"/>
  <c r="D136" i="34" s="1"/>
  <c r="D137" i="18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/>
  <c r="I46" i="4"/>
  <c r="J46" i="4" s="1"/>
  <c r="I47" i="4"/>
  <c r="J47" i="4" s="1"/>
  <c r="I48" i="4"/>
  <c r="J48" i="4" s="1"/>
  <c r="I49" i="4"/>
  <c r="J49" i="4"/>
  <c r="I50" i="4"/>
  <c r="J50" i="4"/>
  <c r="I51" i="4"/>
  <c r="J51" i="4" s="1"/>
  <c r="I52" i="4"/>
  <c r="J52" i="4"/>
  <c r="I53" i="4"/>
  <c r="J53" i="4" s="1"/>
  <c r="I54" i="4"/>
  <c r="J54" i="4"/>
  <c r="I55" i="4"/>
  <c r="J55" i="4" s="1"/>
  <c r="I56" i="4"/>
  <c r="J56" i="4" s="1"/>
  <c r="I57" i="4"/>
  <c r="J57" i="4" s="1"/>
  <c r="I58" i="4"/>
  <c r="J58" i="4"/>
  <c r="I59" i="4"/>
  <c r="J59" i="4" s="1"/>
  <c r="I60" i="4"/>
  <c r="J60" i="4" s="1"/>
  <c r="I61" i="4"/>
  <c r="J61" i="4" s="1"/>
  <c r="I62" i="4"/>
  <c r="J62" i="4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/>
  <c r="I69" i="4"/>
  <c r="J69" i="4" s="1"/>
  <c r="I70" i="4"/>
  <c r="J70" i="4" s="1"/>
  <c r="I71" i="4"/>
  <c r="J71" i="4" s="1"/>
  <c r="I72" i="4"/>
  <c r="J72" i="4" s="1"/>
  <c r="I73" i="4"/>
  <c r="J73" i="4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/>
  <c r="I85" i="4"/>
  <c r="J85" i="4" s="1"/>
  <c r="I86" i="4"/>
  <c r="J86" i="4" s="1"/>
  <c r="I87" i="4"/>
  <c r="J87" i="4" s="1"/>
  <c r="I88" i="4"/>
  <c r="J88" i="4"/>
  <c r="I89" i="4"/>
  <c r="J89" i="4" s="1"/>
  <c r="I90" i="4"/>
  <c r="J90" i="4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/>
  <c r="F78" i="4"/>
  <c r="G78" i="4" s="1"/>
  <c r="F79" i="4"/>
  <c r="G79" i="4" s="1"/>
  <c r="F80" i="4"/>
  <c r="G80" i="4" s="1"/>
  <c r="F81" i="4"/>
  <c r="G81" i="4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H2" i="3"/>
  <c r="E2" i="3"/>
  <c r="E2" i="72"/>
  <c r="H2" i="72"/>
  <c r="D2" i="3"/>
  <c r="D2" i="72"/>
  <c r="I42" i="18" l="1"/>
  <c r="I42" i="34" s="1"/>
  <c r="J49" i="19"/>
  <c r="J153" i="18"/>
  <c r="J143" i="18"/>
  <c r="I84" i="18"/>
  <c r="J59" i="18"/>
  <c r="J40" i="18"/>
  <c r="J31" i="18"/>
  <c r="F156" i="18"/>
  <c r="G156" i="18" s="1"/>
  <c r="I131" i="18"/>
  <c r="J131" i="18" s="1"/>
  <c r="J121" i="18"/>
  <c r="I92" i="18"/>
  <c r="J92" i="18" s="1"/>
  <c r="J83" i="18"/>
  <c r="J67" i="18"/>
  <c r="J58" i="18"/>
  <c r="J39" i="18"/>
  <c r="I108" i="18"/>
  <c r="J91" i="18"/>
  <c r="D65" i="34"/>
  <c r="F52" i="18"/>
  <c r="G52" i="18" s="1"/>
  <c r="F44" i="18"/>
  <c r="G44" i="18" s="1"/>
  <c r="F36" i="18"/>
  <c r="G36" i="18" s="1"/>
  <c r="F28" i="18"/>
  <c r="G28" i="18" s="1"/>
  <c r="I138" i="18"/>
  <c r="J138" i="18" s="1"/>
  <c r="I55" i="18"/>
  <c r="J55" i="18" s="1"/>
  <c r="J35" i="18"/>
  <c r="F152" i="18"/>
  <c r="G152" i="18" s="1"/>
  <c r="F93" i="18"/>
  <c r="G93" i="18" s="1"/>
  <c r="I146" i="18"/>
  <c r="J146" i="18" s="1"/>
  <c r="F159" i="18"/>
  <c r="G159" i="18" s="1"/>
  <c r="J21" i="18"/>
  <c r="F61" i="18"/>
  <c r="G61" i="18" s="1"/>
  <c r="F21" i="18"/>
  <c r="G21" i="18" s="1"/>
  <c r="J150" i="18"/>
  <c r="J46" i="18"/>
  <c r="D52" i="34"/>
  <c r="F143" i="18"/>
  <c r="G143" i="18" s="1"/>
  <c r="J116" i="18"/>
  <c r="J26" i="18"/>
  <c r="D143" i="34"/>
  <c r="F143" i="34" s="1"/>
  <c r="G143" i="34" s="1"/>
  <c r="J157" i="18"/>
  <c r="J127" i="18"/>
  <c r="J114" i="18"/>
  <c r="J73" i="18"/>
  <c r="J54" i="18"/>
  <c r="J34" i="18"/>
  <c r="D152" i="34"/>
  <c r="D142" i="34"/>
  <c r="F142" i="34" s="1"/>
  <c r="G142" i="34" s="1"/>
  <c r="F147" i="18"/>
  <c r="G147" i="18" s="1"/>
  <c r="J136" i="18"/>
  <c r="J52" i="18"/>
  <c r="D159" i="34"/>
  <c r="D141" i="34"/>
  <c r="F146" i="18"/>
  <c r="G146" i="18" s="1"/>
  <c r="J155" i="18"/>
  <c r="J144" i="18"/>
  <c r="J95" i="18"/>
  <c r="J51" i="18"/>
  <c r="D123" i="34"/>
  <c r="D28" i="34"/>
  <c r="J94" i="18"/>
  <c r="J50" i="18"/>
  <c r="J22" i="18"/>
  <c r="D27" i="34"/>
  <c r="J160" i="18"/>
  <c r="J158" i="18"/>
  <c r="I154" i="18"/>
  <c r="J154" i="18" s="1"/>
  <c r="J152" i="18"/>
  <c r="I149" i="18"/>
  <c r="I149" i="34" s="1"/>
  <c r="J145" i="18"/>
  <c r="F160" i="18"/>
  <c r="G160" i="18" s="1"/>
  <c r="F158" i="18"/>
  <c r="G158" i="18" s="1"/>
  <c r="F157" i="18"/>
  <c r="G157" i="18" s="1"/>
  <c r="F154" i="18"/>
  <c r="G154" i="18" s="1"/>
  <c r="F153" i="34"/>
  <c r="G153" i="34" s="1"/>
  <c r="F153" i="18"/>
  <c r="G153" i="18" s="1"/>
  <c r="F150" i="18"/>
  <c r="G150" i="18" s="1"/>
  <c r="F149" i="18"/>
  <c r="G149" i="18" s="1"/>
  <c r="F145" i="18"/>
  <c r="G145" i="18" s="1"/>
  <c r="F144" i="18"/>
  <c r="G144" i="18" s="1"/>
  <c r="I139" i="18"/>
  <c r="J139" i="18" s="1"/>
  <c r="J110" i="18"/>
  <c r="I109" i="18"/>
  <c r="I109" i="34" s="1"/>
  <c r="I104" i="18"/>
  <c r="I104" i="34" s="1"/>
  <c r="I100" i="18"/>
  <c r="J100" i="18" s="1"/>
  <c r="F155" i="34"/>
  <c r="G155" i="34" s="1"/>
  <c r="F145" i="34"/>
  <c r="G145" i="34" s="1"/>
  <c r="F156" i="34"/>
  <c r="G156" i="34" s="1"/>
  <c r="F149" i="34"/>
  <c r="G149" i="34" s="1"/>
  <c r="F157" i="34"/>
  <c r="G157" i="34" s="1"/>
  <c r="F154" i="34"/>
  <c r="G154" i="34" s="1"/>
  <c r="F144" i="34"/>
  <c r="G144" i="34" s="1"/>
  <c r="F150" i="34"/>
  <c r="G150" i="34" s="1"/>
  <c r="F141" i="34"/>
  <c r="G141" i="34" s="1"/>
  <c r="F158" i="34"/>
  <c r="G158" i="34" s="1"/>
  <c r="F160" i="34"/>
  <c r="G160" i="34" s="1"/>
  <c r="F152" i="34"/>
  <c r="G152" i="34" s="1"/>
  <c r="F110" i="18"/>
  <c r="G110" i="18" s="1"/>
  <c r="F108" i="18"/>
  <c r="G108" i="18" s="1"/>
  <c r="F104" i="18"/>
  <c r="G104" i="18" s="1"/>
  <c r="F101" i="18"/>
  <c r="G101" i="18" s="1"/>
  <c r="F100" i="18"/>
  <c r="G100" i="18" s="1"/>
  <c r="I96" i="18"/>
  <c r="J96" i="18" s="1"/>
  <c r="D96" i="34"/>
  <c r="D95" i="34"/>
  <c r="F140" i="18"/>
  <c r="G140" i="18" s="1"/>
  <c r="F148" i="18"/>
  <c r="G148" i="18" s="1"/>
  <c r="F148" i="34"/>
  <c r="G148" i="34" s="1"/>
  <c r="I148" i="18"/>
  <c r="J148" i="18" s="1"/>
  <c r="J147" i="18"/>
  <c r="F147" i="34"/>
  <c r="G147" i="34" s="1"/>
  <c r="J137" i="18"/>
  <c r="F137" i="18"/>
  <c r="G137" i="18" s="1"/>
  <c r="D137" i="34"/>
  <c r="I135" i="18"/>
  <c r="J135" i="18" s="1"/>
  <c r="J134" i="18"/>
  <c r="F132" i="18"/>
  <c r="G132" i="18" s="1"/>
  <c r="I132" i="18"/>
  <c r="J132" i="18" s="1"/>
  <c r="D132" i="34"/>
  <c r="F118" i="18"/>
  <c r="G118" i="18" s="1"/>
  <c r="I118" i="18"/>
  <c r="J118" i="18" s="1"/>
  <c r="D118" i="34"/>
  <c r="F120" i="18"/>
  <c r="G120" i="18" s="1"/>
  <c r="I120" i="18"/>
  <c r="J120" i="18" s="1"/>
  <c r="D120" i="34"/>
  <c r="F131" i="18"/>
  <c r="G131" i="18" s="1"/>
  <c r="J130" i="18"/>
  <c r="J128" i="18"/>
  <c r="I126" i="18"/>
  <c r="J126" i="18" s="1"/>
  <c r="I125" i="18"/>
  <c r="J125" i="18" s="1"/>
  <c r="J124" i="18"/>
  <c r="J123" i="18"/>
  <c r="J122" i="18"/>
  <c r="D121" i="34"/>
  <c r="J119" i="18"/>
  <c r="D119" i="34"/>
  <c r="D93" i="34"/>
  <c r="J93" i="19"/>
  <c r="F117" i="18"/>
  <c r="G117" i="18" s="1"/>
  <c r="J117" i="18"/>
  <c r="D117" i="34"/>
  <c r="I115" i="18"/>
  <c r="J115" i="18" s="1"/>
  <c r="F90" i="18"/>
  <c r="G90" i="18" s="1"/>
  <c r="J90" i="18"/>
  <c r="J86" i="18"/>
  <c r="J85" i="18"/>
  <c r="F139" i="34"/>
  <c r="G139" i="34" s="1"/>
  <c r="F139" i="18"/>
  <c r="G139" i="18" s="1"/>
  <c r="F138" i="34"/>
  <c r="G138" i="34" s="1"/>
  <c r="D110" i="34"/>
  <c r="D94" i="34"/>
  <c r="J72" i="18"/>
  <c r="I69" i="18"/>
  <c r="J69" i="18" s="1"/>
  <c r="I68" i="18"/>
  <c r="J68" i="18" s="1"/>
  <c r="J66" i="18"/>
  <c r="F66" i="18"/>
  <c r="G66" i="18" s="1"/>
  <c r="D66" i="34"/>
  <c r="J64" i="18"/>
  <c r="F62" i="18"/>
  <c r="G62" i="18" s="1"/>
  <c r="F37" i="18"/>
  <c r="G37" i="18" s="1"/>
  <c r="J156" i="18"/>
  <c r="J151" i="18"/>
  <c r="F151" i="34"/>
  <c r="G151" i="34" s="1"/>
  <c r="F151" i="18"/>
  <c r="G151" i="18" s="1"/>
  <c r="E146" i="34"/>
  <c r="F146" i="34" s="1"/>
  <c r="G146" i="34" s="1"/>
  <c r="J140" i="18"/>
  <c r="F140" i="34"/>
  <c r="G140" i="34" s="1"/>
  <c r="J84" i="18"/>
  <c r="J82" i="18"/>
  <c r="I80" i="18"/>
  <c r="J80" i="18" s="1"/>
  <c r="E75" i="18"/>
  <c r="E75" i="34" s="1"/>
  <c r="E2" i="19"/>
  <c r="J108" i="18"/>
  <c r="J105" i="18"/>
  <c r="I78" i="18"/>
  <c r="J78" i="18" s="1"/>
  <c r="J103" i="18"/>
  <c r="I77" i="18"/>
  <c r="I77" i="34" s="1"/>
  <c r="J76" i="18"/>
  <c r="J98" i="18"/>
  <c r="D109" i="34"/>
  <c r="J87" i="18"/>
  <c r="D108" i="34"/>
  <c r="I79" i="18"/>
  <c r="J79" i="18" s="1"/>
  <c r="D90" i="34"/>
  <c r="I88" i="18"/>
  <c r="J88" i="18" s="1"/>
  <c r="I107" i="18"/>
  <c r="J107" i="18" s="1"/>
  <c r="D106" i="34"/>
  <c r="I106" i="18"/>
  <c r="J106" i="18" s="1"/>
  <c r="D105" i="34"/>
  <c r="J105" i="19"/>
  <c r="D100" i="34"/>
  <c r="I99" i="18"/>
  <c r="J99" i="18" s="1"/>
  <c r="D104" i="34"/>
  <c r="J104" i="18"/>
  <c r="D103" i="34"/>
  <c r="D97" i="34"/>
  <c r="J102" i="18"/>
  <c r="I101" i="18"/>
  <c r="J101" i="18" s="1"/>
  <c r="D101" i="34"/>
  <c r="I75" i="18"/>
  <c r="J75" i="18" s="1"/>
  <c r="I160" i="34"/>
  <c r="J97" i="18"/>
  <c r="J89" i="18"/>
  <c r="I153" i="34"/>
  <c r="I122" i="34"/>
  <c r="I98" i="34"/>
  <c r="J141" i="18"/>
  <c r="I136" i="34"/>
  <c r="I73" i="34"/>
  <c r="I154" i="34"/>
  <c r="I128" i="34"/>
  <c r="I105" i="34"/>
  <c r="I66" i="34"/>
  <c r="I152" i="34"/>
  <c r="I121" i="34"/>
  <c r="I90" i="34"/>
  <c r="I26" i="34"/>
  <c r="I146" i="34"/>
  <c r="I145" i="34"/>
  <c r="I114" i="34"/>
  <c r="I82" i="34"/>
  <c r="I144" i="34"/>
  <c r="I80" i="34"/>
  <c r="J65" i="18"/>
  <c r="I138" i="34"/>
  <c r="J138" i="34" s="1"/>
  <c r="J81" i="18"/>
  <c r="I81" i="34"/>
  <c r="I93" i="34"/>
  <c r="J93" i="18"/>
  <c r="I45" i="34"/>
  <c r="J45" i="18"/>
  <c r="J29" i="18"/>
  <c r="I29" i="34"/>
  <c r="I130" i="34"/>
  <c r="I58" i="34"/>
  <c r="I50" i="34"/>
  <c r="I34" i="34"/>
  <c r="J129" i="18"/>
  <c r="J109" i="18"/>
  <c r="J33" i="18"/>
  <c r="I137" i="34"/>
  <c r="J61" i="18"/>
  <c r="I64" i="34"/>
  <c r="I40" i="34"/>
  <c r="I151" i="34"/>
  <c r="I143" i="34"/>
  <c r="I127" i="34"/>
  <c r="I119" i="34"/>
  <c r="I103" i="34"/>
  <c r="I95" i="34"/>
  <c r="I87" i="34"/>
  <c r="I55" i="34"/>
  <c r="I39" i="34"/>
  <c r="I31" i="34"/>
  <c r="J133" i="18"/>
  <c r="I158" i="34"/>
  <c r="I150" i="34"/>
  <c r="I134" i="34"/>
  <c r="I110" i="34"/>
  <c r="I102" i="34"/>
  <c r="I94" i="34"/>
  <c r="I86" i="34"/>
  <c r="I54" i="34"/>
  <c r="I46" i="34"/>
  <c r="I22" i="34"/>
  <c r="J37" i="18"/>
  <c r="I72" i="34"/>
  <c r="I157" i="34"/>
  <c r="I85" i="34"/>
  <c r="I21" i="34"/>
  <c r="J57" i="18"/>
  <c r="J49" i="18"/>
  <c r="J41" i="18"/>
  <c r="J25" i="18"/>
  <c r="I156" i="34"/>
  <c r="I148" i="34"/>
  <c r="I140" i="34"/>
  <c r="I124" i="34"/>
  <c r="I116" i="34"/>
  <c r="I108" i="34"/>
  <c r="I100" i="34"/>
  <c r="I92" i="34"/>
  <c r="I84" i="34"/>
  <c r="I76" i="34"/>
  <c r="I52" i="34"/>
  <c r="J53" i="18"/>
  <c r="I155" i="34"/>
  <c r="I147" i="34"/>
  <c r="I139" i="34"/>
  <c r="I123" i="34"/>
  <c r="I91" i="34"/>
  <c r="I83" i="34"/>
  <c r="I67" i="34"/>
  <c r="I59" i="34"/>
  <c r="I51" i="34"/>
  <c r="I35" i="34"/>
  <c r="J71" i="18"/>
  <c r="J70" i="18"/>
  <c r="J63" i="18"/>
  <c r="J74" i="18"/>
  <c r="D74" i="34"/>
  <c r="J18" i="18"/>
  <c r="D18" i="34"/>
  <c r="J112" i="18"/>
  <c r="J111" i="18"/>
  <c r="J19" i="18"/>
  <c r="J62" i="18"/>
  <c r="D62" i="34"/>
  <c r="D61" i="34"/>
  <c r="J60" i="18"/>
  <c r="D59" i="34"/>
  <c r="D58" i="34"/>
  <c r="D57" i="34"/>
  <c r="J56" i="18"/>
  <c r="D50" i="34"/>
  <c r="D49" i="34"/>
  <c r="J48" i="18"/>
  <c r="D73" i="34"/>
  <c r="J43" i="18"/>
  <c r="J42" i="18"/>
  <c r="D42" i="34"/>
  <c r="J38" i="18"/>
  <c r="J159" i="18"/>
  <c r="F159" i="34"/>
  <c r="G159" i="34" s="1"/>
  <c r="D37" i="34"/>
  <c r="J36" i="18"/>
  <c r="D36" i="34"/>
  <c r="D35" i="34"/>
  <c r="D34" i="34"/>
  <c r="D33" i="34"/>
  <c r="J32" i="18"/>
  <c r="J30" i="18"/>
  <c r="J28" i="18"/>
  <c r="J27" i="18"/>
  <c r="J24" i="18"/>
  <c r="J23" i="18"/>
  <c r="D21" i="34"/>
  <c r="J44" i="18"/>
  <c r="D44" i="34"/>
  <c r="J142" i="18"/>
  <c r="J20" i="18"/>
  <c r="J47" i="21"/>
  <c r="I47" i="18"/>
  <c r="F102" i="18"/>
  <c r="G102" i="18" s="1"/>
  <c r="F99" i="18"/>
  <c r="G99" i="18" s="1"/>
  <c r="F89" i="18"/>
  <c r="G89" i="18" s="1"/>
  <c r="F88" i="18"/>
  <c r="G88" i="18" s="1"/>
  <c r="F87" i="18"/>
  <c r="G87" i="18" s="1"/>
  <c r="F86" i="18"/>
  <c r="G86" i="18" s="1"/>
  <c r="F85" i="18"/>
  <c r="G85" i="18" s="1"/>
  <c r="F134" i="18"/>
  <c r="G134" i="18" s="1"/>
  <c r="F133" i="18"/>
  <c r="G133" i="18" s="1"/>
  <c r="F136" i="18"/>
  <c r="G136" i="18" s="1"/>
  <c r="F129" i="18"/>
  <c r="G129" i="18" s="1"/>
  <c r="F72" i="18"/>
  <c r="G72" i="18" s="1"/>
  <c r="F69" i="18"/>
  <c r="G69" i="18" s="1"/>
  <c r="F43" i="18"/>
  <c r="G43" i="18" s="1"/>
  <c r="F41" i="18"/>
  <c r="G41" i="18" s="1"/>
  <c r="F67" i="18"/>
  <c r="G67" i="18" s="1"/>
  <c r="F80" i="18"/>
  <c r="G80" i="18" s="1"/>
  <c r="F81" i="18"/>
  <c r="G81" i="18" s="1"/>
  <c r="F77" i="18"/>
  <c r="G77" i="18" s="1"/>
  <c r="F76" i="18"/>
  <c r="G76" i="18" s="1"/>
  <c r="F71" i="18"/>
  <c r="G71" i="18" s="1"/>
  <c r="F70" i="18"/>
  <c r="G70" i="18" s="1"/>
  <c r="F127" i="18"/>
  <c r="G127" i="18" s="1"/>
  <c r="F112" i="18"/>
  <c r="G112" i="18" s="1"/>
  <c r="F55" i="18"/>
  <c r="G55" i="18" s="1"/>
  <c r="F54" i="18"/>
  <c r="G54" i="18" s="1"/>
  <c r="F53" i="18"/>
  <c r="G53" i="18" s="1"/>
  <c r="F48" i="18"/>
  <c r="G48" i="18" s="1"/>
  <c r="F47" i="18"/>
  <c r="G47" i="18" s="1"/>
  <c r="F38" i="18"/>
  <c r="G38" i="18" s="1"/>
  <c r="F31" i="18"/>
  <c r="G31" i="18" s="1"/>
  <c r="F29" i="18"/>
  <c r="G29" i="18" s="1"/>
  <c r="F24" i="18"/>
  <c r="G24" i="18" s="1"/>
  <c r="F130" i="18"/>
  <c r="G130" i="18" s="1"/>
  <c r="F128" i="18"/>
  <c r="G128" i="18" s="1"/>
  <c r="F64" i="18"/>
  <c r="G64" i="18" s="1"/>
  <c r="F63" i="18"/>
  <c r="G63" i="18" s="1"/>
  <c r="F116" i="18"/>
  <c r="G116" i="18" s="1"/>
  <c r="F115" i="18"/>
  <c r="G115" i="18" s="1"/>
  <c r="F113" i="18"/>
  <c r="G113" i="18" s="1"/>
  <c r="F124" i="18"/>
  <c r="G124" i="18" s="1"/>
  <c r="F114" i="18"/>
  <c r="G114" i="18" s="1"/>
  <c r="F111" i="18"/>
  <c r="G111" i="18" s="1"/>
  <c r="F91" i="18"/>
  <c r="G91" i="18" s="1"/>
  <c r="F19" i="18"/>
  <c r="G19" i="18" s="1"/>
  <c r="F56" i="18"/>
  <c r="G56" i="18" s="1"/>
  <c r="F51" i="18"/>
  <c r="G51" i="18" s="1"/>
  <c r="F46" i="18"/>
  <c r="G46" i="18" s="1"/>
  <c r="F45" i="18"/>
  <c r="G45" i="18" s="1"/>
  <c r="F40" i="18"/>
  <c r="G40" i="18" s="1"/>
  <c r="F39" i="18"/>
  <c r="G39" i="18" s="1"/>
  <c r="F32" i="18"/>
  <c r="G32" i="18" s="1"/>
  <c r="F30" i="18"/>
  <c r="G30" i="18" s="1"/>
  <c r="F25" i="18"/>
  <c r="G25" i="18" s="1"/>
  <c r="F23" i="18"/>
  <c r="G23" i="18" s="1"/>
  <c r="F135" i="18"/>
  <c r="G135" i="18" s="1"/>
  <c r="F126" i="18"/>
  <c r="G126" i="18" s="1"/>
  <c r="F125" i="18"/>
  <c r="G125" i="18" s="1"/>
  <c r="F20" i="18"/>
  <c r="G20" i="18" s="1"/>
  <c r="F84" i="18"/>
  <c r="G84" i="18" s="1"/>
  <c r="F83" i="18"/>
  <c r="G83" i="18" s="1"/>
  <c r="F82" i="18"/>
  <c r="G82" i="18" s="1"/>
  <c r="F78" i="18"/>
  <c r="G78" i="18" s="1"/>
  <c r="F79" i="18"/>
  <c r="G79" i="18" s="1"/>
  <c r="F22" i="18"/>
  <c r="G22" i="18" s="1"/>
  <c r="F60" i="18"/>
  <c r="G60" i="18" s="1"/>
  <c r="F107" i="18"/>
  <c r="G107" i="18" s="1"/>
  <c r="F122" i="18"/>
  <c r="G122" i="18" s="1"/>
  <c r="F68" i="18"/>
  <c r="G68" i="18" s="1"/>
  <c r="F98" i="18"/>
  <c r="G98" i="18" s="1"/>
  <c r="F92" i="18"/>
  <c r="G92" i="18" s="1"/>
  <c r="F76" i="3"/>
  <c r="I106" i="34" l="1"/>
  <c r="I68" i="34"/>
  <c r="I131" i="34"/>
  <c r="I101" i="34"/>
  <c r="I69" i="34"/>
  <c r="J77" i="18"/>
  <c r="J149" i="18"/>
  <c r="I96" i="34"/>
  <c r="I135" i="34"/>
  <c r="I132" i="34"/>
  <c r="I118" i="34"/>
  <c r="I120" i="34"/>
  <c r="I126" i="34"/>
  <c r="I125" i="34"/>
  <c r="I115" i="34"/>
  <c r="F75" i="18"/>
  <c r="G75" i="18" s="1"/>
  <c r="I79" i="34"/>
  <c r="I107" i="34"/>
  <c r="I99" i="34"/>
  <c r="I78" i="34"/>
  <c r="I75" i="34"/>
  <c r="I88" i="34"/>
  <c r="J47" i="18"/>
  <c r="I47" i="34"/>
  <c r="D18" i="1"/>
  <c r="E18" i="1"/>
  <c r="H18" i="1"/>
  <c r="H18" i="34" s="1"/>
  <c r="D19" i="1"/>
  <c r="E19" i="1"/>
  <c r="H19" i="1"/>
  <c r="H19" i="34" s="1"/>
  <c r="D20" i="1"/>
  <c r="E20" i="1"/>
  <c r="H20" i="1"/>
  <c r="H20" i="34" s="1"/>
  <c r="D21" i="1"/>
  <c r="E21" i="1"/>
  <c r="H21" i="1"/>
  <c r="H21" i="34" s="1"/>
  <c r="D22" i="1"/>
  <c r="E22" i="1"/>
  <c r="H22" i="1"/>
  <c r="H22" i="34" s="1"/>
  <c r="D23" i="1"/>
  <c r="E23" i="1"/>
  <c r="H23" i="1"/>
  <c r="H23" i="34" s="1"/>
  <c r="D24" i="1"/>
  <c r="E24" i="1"/>
  <c r="H24" i="1"/>
  <c r="H24" i="34" s="1"/>
  <c r="D25" i="1"/>
  <c r="E25" i="1"/>
  <c r="H25" i="1"/>
  <c r="H25" i="34" s="1"/>
  <c r="D26" i="1"/>
  <c r="E26" i="1"/>
  <c r="H26" i="1"/>
  <c r="H26" i="34" s="1"/>
  <c r="D27" i="1"/>
  <c r="E27" i="1"/>
  <c r="H27" i="1"/>
  <c r="H27" i="34" s="1"/>
  <c r="D28" i="1"/>
  <c r="E28" i="1"/>
  <c r="H28" i="1"/>
  <c r="H28" i="34" s="1"/>
  <c r="D29" i="1"/>
  <c r="E29" i="1"/>
  <c r="H29" i="1"/>
  <c r="H29" i="34" s="1"/>
  <c r="D30" i="1"/>
  <c r="E30" i="1"/>
  <c r="H30" i="1"/>
  <c r="H30" i="34" s="1"/>
  <c r="D31" i="1"/>
  <c r="E31" i="1"/>
  <c r="H31" i="1"/>
  <c r="H31" i="34" s="1"/>
  <c r="D32" i="1"/>
  <c r="E32" i="1"/>
  <c r="H32" i="1"/>
  <c r="H32" i="34" s="1"/>
  <c r="D33" i="1"/>
  <c r="E33" i="1"/>
  <c r="H33" i="1"/>
  <c r="H33" i="34" s="1"/>
  <c r="D34" i="1"/>
  <c r="E34" i="1"/>
  <c r="H34" i="1"/>
  <c r="H34" i="34" s="1"/>
  <c r="D35" i="1"/>
  <c r="E35" i="1"/>
  <c r="H35" i="1"/>
  <c r="H35" i="34" s="1"/>
  <c r="D36" i="1"/>
  <c r="E36" i="1"/>
  <c r="H36" i="1"/>
  <c r="H36" i="34" s="1"/>
  <c r="D37" i="1"/>
  <c r="E37" i="1"/>
  <c r="H37" i="1"/>
  <c r="H37" i="34" s="1"/>
  <c r="D38" i="1"/>
  <c r="E38" i="1"/>
  <c r="H38" i="1"/>
  <c r="H38" i="34" s="1"/>
  <c r="D39" i="1"/>
  <c r="E39" i="1"/>
  <c r="H39" i="1"/>
  <c r="H39" i="34" s="1"/>
  <c r="D40" i="1"/>
  <c r="E40" i="1"/>
  <c r="H40" i="1"/>
  <c r="H40" i="34" s="1"/>
  <c r="D41" i="1"/>
  <c r="E41" i="1"/>
  <c r="H41" i="1"/>
  <c r="H41" i="34" s="1"/>
  <c r="D42" i="1"/>
  <c r="E42" i="1"/>
  <c r="H42" i="1"/>
  <c r="H42" i="34" s="1"/>
  <c r="D43" i="1"/>
  <c r="E43" i="1"/>
  <c r="H43" i="1"/>
  <c r="H43" i="34" s="1"/>
  <c r="D44" i="1"/>
  <c r="E44" i="1"/>
  <c r="H44" i="1"/>
  <c r="H44" i="34" s="1"/>
  <c r="D45" i="1"/>
  <c r="E45" i="1"/>
  <c r="H45" i="1"/>
  <c r="H45" i="34" s="1"/>
  <c r="D46" i="1"/>
  <c r="E46" i="1"/>
  <c r="H46" i="1"/>
  <c r="H46" i="34" s="1"/>
  <c r="D47" i="1"/>
  <c r="E47" i="1"/>
  <c r="H47" i="1"/>
  <c r="H47" i="34" s="1"/>
  <c r="D48" i="1"/>
  <c r="E48" i="1"/>
  <c r="H48" i="1"/>
  <c r="H48" i="34" s="1"/>
  <c r="D49" i="1"/>
  <c r="E49" i="1"/>
  <c r="H49" i="1"/>
  <c r="H49" i="34" s="1"/>
  <c r="D50" i="1"/>
  <c r="E50" i="1"/>
  <c r="H50" i="1"/>
  <c r="H50" i="34" s="1"/>
  <c r="D51" i="1"/>
  <c r="E51" i="1"/>
  <c r="H51" i="1"/>
  <c r="H51" i="34" s="1"/>
  <c r="D52" i="1"/>
  <c r="E52" i="1"/>
  <c r="H52" i="1"/>
  <c r="H52" i="34" s="1"/>
  <c r="D53" i="1"/>
  <c r="E53" i="1"/>
  <c r="H53" i="1"/>
  <c r="H53" i="34" s="1"/>
  <c r="D54" i="1"/>
  <c r="E54" i="1"/>
  <c r="H54" i="1"/>
  <c r="H54" i="34" s="1"/>
  <c r="D55" i="1"/>
  <c r="E55" i="1"/>
  <c r="H55" i="1"/>
  <c r="H55" i="34" s="1"/>
  <c r="D56" i="1"/>
  <c r="E56" i="1"/>
  <c r="H56" i="1"/>
  <c r="H56" i="34" s="1"/>
  <c r="D57" i="1"/>
  <c r="E57" i="1"/>
  <c r="H57" i="1"/>
  <c r="H57" i="34" s="1"/>
  <c r="D58" i="1"/>
  <c r="E58" i="1"/>
  <c r="H58" i="1"/>
  <c r="H58" i="34" s="1"/>
  <c r="D59" i="1"/>
  <c r="E59" i="1"/>
  <c r="H59" i="1"/>
  <c r="H59" i="34" s="1"/>
  <c r="D60" i="1"/>
  <c r="E60" i="1"/>
  <c r="H60" i="1"/>
  <c r="H60" i="34" s="1"/>
  <c r="D61" i="1"/>
  <c r="E61" i="1"/>
  <c r="H61" i="1"/>
  <c r="H61" i="34" s="1"/>
  <c r="D62" i="1"/>
  <c r="E62" i="1"/>
  <c r="H62" i="1"/>
  <c r="H62" i="34" s="1"/>
  <c r="D63" i="1"/>
  <c r="E63" i="1"/>
  <c r="H63" i="1"/>
  <c r="H63" i="34" s="1"/>
  <c r="D64" i="1"/>
  <c r="E64" i="1"/>
  <c r="H64" i="1"/>
  <c r="H64" i="34" s="1"/>
  <c r="D65" i="1"/>
  <c r="E65" i="1"/>
  <c r="H65" i="1"/>
  <c r="H65" i="34" s="1"/>
  <c r="D66" i="1"/>
  <c r="E66" i="1"/>
  <c r="H66" i="1"/>
  <c r="H66" i="34" s="1"/>
  <c r="D67" i="1"/>
  <c r="E67" i="1"/>
  <c r="H67" i="1"/>
  <c r="H67" i="34" s="1"/>
  <c r="D68" i="1"/>
  <c r="E68" i="1"/>
  <c r="H68" i="1"/>
  <c r="H68" i="34" s="1"/>
  <c r="D69" i="1"/>
  <c r="E69" i="1"/>
  <c r="H69" i="1"/>
  <c r="H69" i="34" s="1"/>
  <c r="D70" i="1"/>
  <c r="E70" i="1"/>
  <c r="H70" i="1"/>
  <c r="H70" i="34" s="1"/>
  <c r="D71" i="1"/>
  <c r="E71" i="1"/>
  <c r="H71" i="1"/>
  <c r="H71" i="34" s="1"/>
  <c r="D72" i="1"/>
  <c r="E72" i="1"/>
  <c r="H72" i="1"/>
  <c r="H72" i="34" s="1"/>
  <c r="D73" i="1"/>
  <c r="E73" i="1"/>
  <c r="H73" i="1"/>
  <c r="H73" i="34" s="1"/>
  <c r="D74" i="1"/>
  <c r="E74" i="1"/>
  <c r="H74" i="1"/>
  <c r="H74" i="34" s="1"/>
  <c r="D75" i="1"/>
  <c r="E75" i="1"/>
  <c r="H75" i="1"/>
  <c r="H75" i="34" s="1"/>
  <c r="D76" i="1"/>
  <c r="E76" i="1"/>
  <c r="H76" i="1"/>
  <c r="H76" i="34" s="1"/>
  <c r="D77" i="1"/>
  <c r="E77" i="1"/>
  <c r="H77" i="1"/>
  <c r="H77" i="34" s="1"/>
  <c r="D78" i="1"/>
  <c r="E78" i="1"/>
  <c r="H78" i="1"/>
  <c r="H78" i="34" s="1"/>
  <c r="D79" i="1"/>
  <c r="E79" i="1"/>
  <c r="H79" i="1"/>
  <c r="H79" i="34" s="1"/>
  <c r="D80" i="1"/>
  <c r="E80" i="1"/>
  <c r="H80" i="1"/>
  <c r="H80" i="34" s="1"/>
  <c r="D81" i="1"/>
  <c r="E81" i="1"/>
  <c r="H81" i="1"/>
  <c r="H81" i="34" s="1"/>
  <c r="D82" i="1"/>
  <c r="E82" i="1"/>
  <c r="H82" i="1"/>
  <c r="H82" i="34" s="1"/>
  <c r="D83" i="1"/>
  <c r="E83" i="1"/>
  <c r="H83" i="1"/>
  <c r="H83" i="34" s="1"/>
  <c r="D84" i="1"/>
  <c r="E84" i="1"/>
  <c r="H84" i="1"/>
  <c r="H84" i="34" s="1"/>
  <c r="D85" i="1"/>
  <c r="E85" i="1"/>
  <c r="H85" i="1"/>
  <c r="H85" i="34" s="1"/>
  <c r="D86" i="1"/>
  <c r="E86" i="1"/>
  <c r="H86" i="1"/>
  <c r="H86" i="34" s="1"/>
  <c r="D87" i="1"/>
  <c r="E87" i="1"/>
  <c r="H87" i="1"/>
  <c r="H87" i="34" s="1"/>
  <c r="D88" i="1"/>
  <c r="E88" i="1"/>
  <c r="H88" i="1"/>
  <c r="H88" i="34" s="1"/>
  <c r="D89" i="1"/>
  <c r="E89" i="1"/>
  <c r="H89" i="1"/>
  <c r="H89" i="34" s="1"/>
  <c r="D90" i="1"/>
  <c r="E90" i="1"/>
  <c r="H90" i="1"/>
  <c r="H90" i="34" s="1"/>
  <c r="D91" i="1"/>
  <c r="E91" i="1"/>
  <c r="H91" i="1"/>
  <c r="H91" i="34" s="1"/>
  <c r="D92" i="1"/>
  <c r="E92" i="1"/>
  <c r="H92" i="1"/>
  <c r="H92" i="34" s="1"/>
  <c r="D93" i="1"/>
  <c r="E93" i="1"/>
  <c r="H93" i="1"/>
  <c r="H93" i="34" s="1"/>
  <c r="D94" i="1"/>
  <c r="E94" i="1"/>
  <c r="H94" i="1"/>
  <c r="H94" i="34" s="1"/>
  <c r="D95" i="1"/>
  <c r="E95" i="1"/>
  <c r="H95" i="1"/>
  <c r="H95" i="34" s="1"/>
  <c r="D96" i="1"/>
  <c r="E96" i="1"/>
  <c r="H96" i="1"/>
  <c r="H96" i="34" s="1"/>
  <c r="D97" i="1"/>
  <c r="E97" i="1"/>
  <c r="H97" i="1"/>
  <c r="H97" i="34" s="1"/>
  <c r="D98" i="1"/>
  <c r="E98" i="1"/>
  <c r="H98" i="1"/>
  <c r="H98" i="34" s="1"/>
  <c r="D99" i="1"/>
  <c r="E99" i="1"/>
  <c r="H99" i="1"/>
  <c r="H99" i="34" s="1"/>
  <c r="D100" i="1"/>
  <c r="E100" i="1"/>
  <c r="H100" i="1"/>
  <c r="H100" i="34" s="1"/>
  <c r="D101" i="1"/>
  <c r="E101" i="1"/>
  <c r="F101" i="1" s="1"/>
  <c r="G101" i="1" s="1"/>
  <c r="H101" i="1"/>
  <c r="H101" i="34" s="1"/>
  <c r="D102" i="1"/>
  <c r="E102" i="1"/>
  <c r="H102" i="1"/>
  <c r="H102" i="34" s="1"/>
  <c r="D103" i="1"/>
  <c r="E103" i="1"/>
  <c r="H103" i="1"/>
  <c r="H103" i="34" s="1"/>
  <c r="D104" i="1"/>
  <c r="E104" i="1"/>
  <c r="H104" i="1"/>
  <c r="H104" i="34" s="1"/>
  <c r="D105" i="1"/>
  <c r="E105" i="1"/>
  <c r="H105" i="1"/>
  <c r="H105" i="34" s="1"/>
  <c r="D106" i="1"/>
  <c r="E106" i="1"/>
  <c r="H106" i="1"/>
  <c r="H106" i="34" s="1"/>
  <c r="D107" i="1"/>
  <c r="E107" i="1"/>
  <c r="H107" i="1"/>
  <c r="H107" i="34" s="1"/>
  <c r="D108" i="1"/>
  <c r="E108" i="1"/>
  <c r="H108" i="1"/>
  <c r="H108" i="34" s="1"/>
  <c r="D109" i="1"/>
  <c r="E109" i="1"/>
  <c r="H109" i="1"/>
  <c r="H109" i="34" s="1"/>
  <c r="D110" i="1"/>
  <c r="E110" i="1"/>
  <c r="H110" i="1"/>
  <c r="H110" i="34" s="1"/>
  <c r="D111" i="1"/>
  <c r="E111" i="1"/>
  <c r="H111" i="1"/>
  <c r="H111" i="34" s="1"/>
  <c r="D112" i="1"/>
  <c r="E112" i="1"/>
  <c r="H112" i="1"/>
  <c r="H112" i="34" s="1"/>
  <c r="D113" i="1"/>
  <c r="E113" i="1"/>
  <c r="H113" i="1"/>
  <c r="H113" i="34" s="1"/>
  <c r="D114" i="1"/>
  <c r="E114" i="1"/>
  <c r="H114" i="1"/>
  <c r="H114" i="34" s="1"/>
  <c r="D115" i="1"/>
  <c r="E115" i="1"/>
  <c r="H115" i="1"/>
  <c r="H115" i="34" s="1"/>
  <c r="D116" i="1"/>
  <c r="E116" i="1"/>
  <c r="H116" i="1"/>
  <c r="H116" i="34" s="1"/>
  <c r="D117" i="1"/>
  <c r="E117" i="1"/>
  <c r="H117" i="1"/>
  <c r="H117" i="34" s="1"/>
  <c r="D118" i="1"/>
  <c r="E118" i="1"/>
  <c r="H118" i="1"/>
  <c r="H118" i="34" s="1"/>
  <c r="D119" i="1"/>
  <c r="E119" i="1"/>
  <c r="H119" i="1"/>
  <c r="H119" i="34" s="1"/>
  <c r="D120" i="1"/>
  <c r="E120" i="1"/>
  <c r="H120" i="1"/>
  <c r="H120" i="34" s="1"/>
  <c r="D121" i="1"/>
  <c r="E121" i="1"/>
  <c r="H121" i="1"/>
  <c r="H121" i="34" s="1"/>
  <c r="D122" i="1"/>
  <c r="E122" i="1"/>
  <c r="H122" i="1"/>
  <c r="H122" i="34" s="1"/>
  <c r="D123" i="1"/>
  <c r="E123" i="1"/>
  <c r="H123" i="1"/>
  <c r="H123" i="34" s="1"/>
  <c r="D124" i="1"/>
  <c r="E124" i="1"/>
  <c r="H124" i="1"/>
  <c r="H124" i="34" s="1"/>
  <c r="D125" i="1"/>
  <c r="E125" i="1"/>
  <c r="H125" i="1"/>
  <c r="H125" i="34" s="1"/>
  <c r="D126" i="1"/>
  <c r="E126" i="1"/>
  <c r="H126" i="1"/>
  <c r="H126" i="34" s="1"/>
  <c r="D127" i="1"/>
  <c r="E127" i="1"/>
  <c r="H127" i="1"/>
  <c r="H127" i="34" s="1"/>
  <c r="D128" i="1"/>
  <c r="E128" i="1"/>
  <c r="H128" i="1"/>
  <c r="H128" i="34" s="1"/>
  <c r="D129" i="1"/>
  <c r="E129" i="1"/>
  <c r="H129" i="1"/>
  <c r="H129" i="34" s="1"/>
  <c r="D130" i="1"/>
  <c r="E130" i="1"/>
  <c r="H130" i="1"/>
  <c r="H130" i="34" s="1"/>
  <c r="D131" i="1"/>
  <c r="E131" i="1"/>
  <c r="H131" i="1"/>
  <c r="H131" i="34" s="1"/>
  <c r="D132" i="1"/>
  <c r="E132" i="1"/>
  <c r="H132" i="1"/>
  <c r="H132" i="34" s="1"/>
  <c r="D133" i="1"/>
  <c r="E133" i="1"/>
  <c r="H133" i="1"/>
  <c r="H133" i="34" s="1"/>
  <c r="D134" i="1"/>
  <c r="E134" i="1"/>
  <c r="H134" i="1"/>
  <c r="H134" i="34" s="1"/>
  <c r="D135" i="1"/>
  <c r="E135" i="1"/>
  <c r="H135" i="1"/>
  <c r="H135" i="34" s="1"/>
  <c r="D136" i="1"/>
  <c r="E136" i="1"/>
  <c r="H136" i="1"/>
  <c r="H136" i="34" s="1"/>
  <c r="D137" i="1"/>
  <c r="H137" i="1"/>
  <c r="H137" i="34" s="1"/>
  <c r="F127" i="1" l="1"/>
  <c r="G127" i="1" s="1"/>
  <c r="F19" i="1"/>
  <c r="G19" i="1" s="1"/>
  <c r="F113" i="34"/>
  <c r="G113" i="34" s="1"/>
  <c r="F25" i="34"/>
  <c r="G25" i="34" s="1"/>
  <c r="F57" i="34"/>
  <c r="G57" i="34" s="1"/>
  <c r="F53" i="34"/>
  <c r="G53" i="34" s="1"/>
  <c r="F126" i="1"/>
  <c r="G126" i="1" s="1"/>
  <c r="F112" i="34"/>
  <c r="G112" i="34" s="1"/>
  <c r="F64" i="34"/>
  <c r="G64" i="34" s="1"/>
  <c r="F40" i="34"/>
  <c r="G40" i="34" s="1"/>
  <c r="F77" i="34"/>
  <c r="G77" i="34" s="1"/>
  <c r="F33" i="34"/>
  <c r="G33" i="34" s="1"/>
  <c r="F128" i="1"/>
  <c r="G128" i="1" s="1"/>
  <c r="F65" i="34"/>
  <c r="G65" i="34" s="1"/>
  <c r="F26" i="1"/>
  <c r="G26" i="1" s="1"/>
  <c r="F114" i="34"/>
  <c r="G114" i="34" s="1"/>
  <c r="F66" i="34"/>
  <c r="G66" i="34" s="1"/>
  <c r="F46" i="34"/>
  <c r="G46" i="34" s="1"/>
  <c r="F34" i="34"/>
  <c r="G34" i="34" s="1"/>
  <c r="F18" i="34"/>
  <c r="G18" i="34" s="1"/>
  <c r="F70" i="1"/>
  <c r="G70" i="1" s="1"/>
  <c r="F127" i="34"/>
  <c r="G127" i="34" s="1"/>
  <c r="F36" i="1"/>
  <c r="G36" i="1" s="1"/>
  <c r="F125" i="34"/>
  <c r="G125" i="34" s="1"/>
  <c r="F105" i="1"/>
  <c r="G105" i="1" s="1"/>
  <c r="F97" i="1"/>
  <c r="G97" i="1" s="1"/>
  <c r="F73" i="1"/>
  <c r="G73" i="1" s="1"/>
  <c r="F65" i="1"/>
  <c r="G65" i="1" s="1"/>
  <c r="F54" i="1"/>
  <c r="G54" i="1" s="1"/>
  <c r="F46" i="1"/>
  <c r="G46" i="1" s="1"/>
  <c r="F38" i="1"/>
  <c r="G38" i="1" s="1"/>
  <c r="F112" i="1"/>
  <c r="G112" i="1" s="1"/>
  <c r="F72" i="1"/>
  <c r="G72" i="1" s="1"/>
  <c r="F64" i="1"/>
  <c r="G64" i="1" s="1"/>
  <c r="F24" i="1"/>
  <c r="G24" i="1" s="1"/>
  <c r="F123" i="34"/>
  <c r="G123" i="34" s="1"/>
  <c r="F53" i="1"/>
  <c r="G53" i="1" s="1"/>
  <c r="F45" i="1"/>
  <c r="G45" i="1" s="1"/>
  <c r="F55" i="34"/>
  <c r="G55" i="34" s="1"/>
  <c r="F51" i="34"/>
  <c r="G51" i="34" s="1"/>
  <c r="F35" i="34"/>
  <c r="G35" i="34" s="1"/>
  <c r="F23" i="34"/>
  <c r="G23" i="34" s="1"/>
  <c r="F19" i="34"/>
  <c r="G19" i="34" s="1"/>
  <c r="F23" i="1"/>
  <c r="G23" i="1" s="1"/>
  <c r="F124" i="1"/>
  <c r="G124" i="1" s="1"/>
  <c r="F68" i="1"/>
  <c r="G68" i="1" s="1"/>
  <c r="F63" i="1"/>
  <c r="G63" i="1" s="1"/>
  <c r="F55" i="1"/>
  <c r="G55" i="1" s="1"/>
  <c r="F50" i="1"/>
  <c r="G50" i="1" s="1"/>
  <c r="F39" i="1"/>
  <c r="G39" i="1" s="1"/>
  <c r="F37" i="1"/>
  <c r="G37" i="1" s="1"/>
  <c r="F29" i="1"/>
  <c r="G29" i="1" s="1"/>
  <c r="F21" i="1"/>
  <c r="G21" i="1" s="1"/>
  <c r="F135" i="34"/>
  <c r="G135" i="34" s="1"/>
  <c r="F131" i="34"/>
  <c r="G131" i="34" s="1"/>
  <c r="F73" i="34"/>
  <c r="G73" i="34" s="1"/>
  <c r="F47" i="34"/>
  <c r="G47" i="34" s="1"/>
  <c r="F39" i="34"/>
  <c r="G39" i="34" s="1"/>
  <c r="F31" i="34"/>
  <c r="G31" i="34" s="1"/>
  <c r="F52" i="1"/>
  <c r="G52" i="1" s="1"/>
  <c r="F123" i="1"/>
  <c r="G123" i="1" s="1"/>
  <c r="F67" i="1"/>
  <c r="G67" i="1" s="1"/>
  <c r="F27" i="34"/>
  <c r="G27" i="34" s="1"/>
  <c r="F25" i="1"/>
  <c r="G25" i="1" s="1"/>
  <c r="F71" i="34"/>
  <c r="G71" i="34" s="1"/>
  <c r="F56" i="34"/>
  <c r="G56" i="34" s="1"/>
  <c r="F117" i="1"/>
  <c r="G117" i="1" s="1"/>
  <c r="F56" i="1"/>
  <c r="G56" i="1" s="1"/>
  <c r="F51" i="1"/>
  <c r="G51" i="1" s="1"/>
  <c r="F26" i="34"/>
  <c r="G26" i="34" s="1"/>
  <c r="F111" i="1"/>
  <c r="G111" i="1" s="1"/>
  <c r="F66" i="1"/>
  <c r="G66" i="1" s="1"/>
  <c r="F61" i="1"/>
  <c r="G61" i="1" s="1"/>
  <c r="F40" i="1"/>
  <c r="G40" i="1" s="1"/>
  <c r="F35" i="1"/>
  <c r="G35" i="1" s="1"/>
  <c r="F128" i="34"/>
  <c r="G128" i="34" s="1"/>
  <c r="F124" i="34"/>
  <c r="G124" i="34" s="1"/>
  <c r="F133" i="1"/>
  <c r="G133" i="1" s="1"/>
  <c r="F113" i="1"/>
  <c r="G113" i="1" s="1"/>
  <c r="F84" i="1"/>
  <c r="G84" i="1" s="1"/>
  <c r="F48" i="1"/>
  <c r="G48" i="1" s="1"/>
  <c r="F33" i="1"/>
  <c r="G33" i="1" s="1"/>
  <c r="F30" i="1"/>
  <c r="G30" i="1" s="1"/>
  <c r="F137" i="34"/>
  <c r="G137" i="34" s="1"/>
  <c r="F91" i="34"/>
  <c r="G91" i="34" s="1"/>
  <c r="F79" i="34"/>
  <c r="G79" i="34" s="1"/>
  <c r="F70" i="34"/>
  <c r="G70" i="34" s="1"/>
  <c r="F49" i="34"/>
  <c r="G49" i="34" s="1"/>
  <c r="F20" i="1"/>
  <c r="G20" i="1" s="1"/>
  <c r="F134" i="34"/>
  <c r="G134" i="34" s="1"/>
  <c r="F121" i="34"/>
  <c r="G121" i="34" s="1"/>
  <c r="F115" i="34"/>
  <c r="G115" i="34" s="1"/>
  <c r="F72" i="34"/>
  <c r="G72" i="34" s="1"/>
  <c r="F67" i="34"/>
  <c r="G67" i="34" s="1"/>
  <c r="F59" i="34"/>
  <c r="G59" i="34" s="1"/>
  <c r="F54" i="34"/>
  <c r="G54" i="34" s="1"/>
  <c r="F130" i="1"/>
  <c r="G130" i="1" s="1"/>
  <c r="F115" i="1"/>
  <c r="G115" i="1" s="1"/>
  <c r="F102" i="1"/>
  <c r="G102" i="1" s="1"/>
  <c r="F135" i="1"/>
  <c r="G135" i="1" s="1"/>
  <c r="F125" i="1"/>
  <c r="G125" i="1" s="1"/>
  <c r="F99" i="1"/>
  <c r="G99" i="1" s="1"/>
  <c r="F96" i="1"/>
  <c r="G96" i="1" s="1"/>
  <c r="F91" i="1"/>
  <c r="G91" i="1" s="1"/>
  <c r="F88" i="1"/>
  <c r="G88" i="1" s="1"/>
  <c r="F57" i="1"/>
  <c r="G57" i="1" s="1"/>
  <c r="F42" i="1"/>
  <c r="G42" i="1" s="1"/>
  <c r="F32" i="1"/>
  <c r="G32" i="1" s="1"/>
  <c r="F27" i="1"/>
  <c r="G27" i="1" s="1"/>
  <c r="F133" i="34"/>
  <c r="G133" i="34" s="1"/>
  <c r="F126" i="34"/>
  <c r="G126" i="34" s="1"/>
  <c r="F117" i="34"/>
  <c r="G117" i="34" s="1"/>
  <c r="F102" i="34"/>
  <c r="G102" i="34" s="1"/>
  <c r="F74" i="34"/>
  <c r="G74" i="34" s="1"/>
  <c r="F61" i="34"/>
  <c r="G61" i="34" s="1"/>
  <c r="F48" i="34"/>
  <c r="G48" i="34" s="1"/>
  <c r="F43" i="34"/>
  <c r="G43" i="34" s="1"/>
  <c r="F38" i="34"/>
  <c r="G38" i="34" s="1"/>
  <c r="F137" i="1"/>
  <c r="G137" i="1" s="1"/>
  <c r="F114" i="1"/>
  <c r="G114" i="1" s="1"/>
  <c r="F109" i="1"/>
  <c r="G109" i="1" s="1"/>
  <c r="F82" i="1"/>
  <c r="G82" i="1" s="1"/>
  <c r="F69" i="1"/>
  <c r="G69" i="1" s="1"/>
  <c r="F59" i="1"/>
  <c r="G59" i="1" s="1"/>
  <c r="F49" i="1"/>
  <c r="G49" i="1" s="1"/>
  <c r="F44" i="1"/>
  <c r="G44" i="1" s="1"/>
  <c r="F34" i="1"/>
  <c r="G34" i="1" s="1"/>
  <c r="F130" i="34"/>
  <c r="G130" i="34" s="1"/>
  <c r="F116" i="34"/>
  <c r="G116" i="34" s="1"/>
  <c r="F111" i="34"/>
  <c r="G111" i="34" s="1"/>
  <c r="F50" i="34"/>
  <c r="G50" i="34" s="1"/>
  <c r="F45" i="34"/>
  <c r="G45" i="34" s="1"/>
  <c r="F32" i="34"/>
  <c r="G32" i="34" s="1"/>
  <c r="F24" i="34"/>
  <c r="G24" i="34" s="1"/>
  <c r="F79" i="1"/>
  <c r="G79" i="1" s="1"/>
  <c r="F71" i="1"/>
  <c r="G71" i="1" s="1"/>
  <c r="F42" i="34"/>
  <c r="G42" i="34" s="1"/>
  <c r="F29" i="34"/>
  <c r="G29" i="34" s="1"/>
  <c r="F21" i="34"/>
  <c r="G21" i="34" s="1"/>
  <c r="F131" i="1"/>
  <c r="G131" i="1" s="1"/>
  <c r="F116" i="1"/>
  <c r="G116" i="1" s="1"/>
  <c r="F28" i="1"/>
  <c r="G28" i="1" s="1"/>
  <c r="F30" i="34"/>
  <c r="G30" i="34" s="1"/>
  <c r="F41" i="1"/>
  <c r="G41" i="1" s="1"/>
  <c r="F41" i="34"/>
  <c r="G41" i="34" s="1"/>
  <c r="F37" i="34"/>
  <c r="G37" i="34" s="1"/>
  <c r="F43" i="1"/>
  <c r="G43" i="1" s="1"/>
  <c r="F60" i="1"/>
  <c r="G60" i="1" s="1"/>
  <c r="F63" i="34"/>
  <c r="G63" i="34" s="1"/>
  <c r="F62" i="34"/>
  <c r="G62" i="34" s="1"/>
  <c r="F62" i="1"/>
  <c r="G62" i="1" s="1"/>
  <c r="F69" i="34"/>
  <c r="G69" i="34" s="1"/>
  <c r="F119" i="34"/>
  <c r="G119" i="34" s="1"/>
  <c r="F118" i="1"/>
  <c r="G118" i="1" s="1"/>
  <c r="F136" i="1"/>
  <c r="G136" i="1" s="1"/>
  <c r="F136" i="34"/>
  <c r="G136" i="34" s="1"/>
  <c r="F134" i="1"/>
  <c r="G134" i="1" s="1"/>
  <c r="F132" i="1"/>
  <c r="G132" i="1" s="1"/>
  <c r="F129" i="1"/>
  <c r="G129" i="1" s="1"/>
  <c r="F129" i="34"/>
  <c r="G129" i="34" s="1"/>
  <c r="F122" i="34"/>
  <c r="G122" i="34" s="1"/>
  <c r="F122" i="1"/>
  <c r="G122" i="1" s="1"/>
  <c r="F121" i="1"/>
  <c r="G121" i="1" s="1"/>
  <c r="F120" i="1"/>
  <c r="G120" i="1" s="1"/>
  <c r="F120" i="34"/>
  <c r="G120" i="34" s="1"/>
  <c r="F118" i="34"/>
  <c r="G118" i="34" s="1"/>
  <c r="F58" i="34"/>
  <c r="G58" i="34" s="1"/>
  <c r="F58" i="1"/>
  <c r="G58" i="1" s="1"/>
  <c r="F18" i="1"/>
  <c r="G18" i="1" s="1"/>
  <c r="F22" i="1"/>
  <c r="G22" i="1" s="1"/>
  <c r="F22" i="34"/>
  <c r="G22" i="34" s="1"/>
  <c r="F110" i="1"/>
  <c r="G110" i="1" s="1"/>
  <c r="F110" i="34"/>
  <c r="G110" i="34" s="1"/>
  <c r="F109" i="34"/>
  <c r="G109" i="34" s="1"/>
  <c r="F108" i="1"/>
  <c r="G108" i="1" s="1"/>
  <c r="F107" i="1"/>
  <c r="G107" i="1" s="1"/>
  <c r="F107" i="34"/>
  <c r="G107" i="34" s="1"/>
  <c r="F106" i="34"/>
  <c r="G106" i="34" s="1"/>
  <c r="F105" i="34"/>
  <c r="G105" i="34" s="1"/>
  <c r="F104" i="1"/>
  <c r="G104" i="1" s="1"/>
  <c r="F104" i="34"/>
  <c r="G104" i="34" s="1"/>
  <c r="F103" i="34"/>
  <c r="G103" i="34" s="1"/>
  <c r="F101" i="34"/>
  <c r="G101" i="34" s="1"/>
  <c r="F100" i="1"/>
  <c r="G100" i="1" s="1"/>
  <c r="F99" i="34"/>
  <c r="G99" i="34" s="1"/>
  <c r="F98" i="34"/>
  <c r="G98" i="34" s="1"/>
  <c r="F97" i="34"/>
  <c r="G97" i="34" s="1"/>
  <c r="F96" i="34"/>
  <c r="G96" i="34" s="1"/>
  <c r="F95" i="34"/>
  <c r="G95" i="34" s="1"/>
  <c r="F94" i="1"/>
  <c r="G94" i="1" s="1"/>
  <c r="F94" i="34"/>
  <c r="G94" i="34" s="1"/>
  <c r="F93" i="1"/>
  <c r="G93" i="1" s="1"/>
  <c r="F93" i="34"/>
  <c r="G93" i="34" s="1"/>
  <c r="F92" i="1"/>
  <c r="G92" i="1" s="1"/>
  <c r="F88" i="34"/>
  <c r="G88" i="34" s="1"/>
  <c r="F90" i="34"/>
  <c r="G90" i="34" s="1"/>
  <c r="F86" i="1"/>
  <c r="G86" i="1" s="1"/>
  <c r="F87" i="34"/>
  <c r="G87" i="34" s="1"/>
  <c r="F89" i="34"/>
  <c r="G89" i="34" s="1"/>
  <c r="F86" i="34"/>
  <c r="G86" i="34" s="1"/>
  <c r="F89" i="1"/>
  <c r="G89" i="1" s="1"/>
  <c r="F95" i="1"/>
  <c r="G95" i="1" s="1"/>
  <c r="F92" i="34"/>
  <c r="G92" i="34" s="1"/>
  <c r="F87" i="1"/>
  <c r="G87" i="1" s="1"/>
  <c r="F85" i="1"/>
  <c r="G85" i="1" s="1"/>
  <c r="F85" i="34"/>
  <c r="G85" i="34" s="1"/>
  <c r="F119" i="1"/>
  <c r="G119" i="1" s="1"/>
  <c r="F90" i="1"/>
  <c r="G90" i="1" s="1"/>
  <c r="F31" i="1"/>
  <c r="G31" i="1" s="1"/>
  <c r="F84" i="34"/>
  <c r="G84" i="34" s="1"/>
  <c r="F60" i="34"/>
  <c r="G60" i="34" s="1"/>
  <c r="F44" i="34"/>
  <c r="G44" i="34" s="1"/>
  <c r="F28" i="34"/>
  <c r="G28" i="34" s="1"/>
  <c r="F74" i="1"/>
  <c r="G74" i="1" s="1"/>
  <c r="F132" i="34"/>
  <c r="G132" i="34" s="1"/>
  <c r="F47" i="1"/>
  <c r="G47" i="1" s="1"/>
  <c r="F68" i="34"/>
  <c r="G68" i="34" s="1"/>
  <c r="F52" i="34"/>
  <c r="G52" i="34" s="1"/>
  <c r="F36" i="34"/>
  <c r="G36" i="34" s="1"/>
  <c r="F20" i="34"/>
  <c r="G20" i="34" s="1"/>
  <c r="F75" i="34"/>
  <c r="G75" i="34" s="1"/>
  <c r="F75" i="1"/>
  <c r="G75" i="1" s="1"/>
  <c r="F76" i="1"/>
  <c r="G76" i="1" s="1"/>
  <c r="F77" i="1"/>
  <c r="G77" i="1" s="1"/>
  <c r="F83" i="34"/>
  <c r="G83" i="34" s="1"/>
  <c r="F83" i="1"/>
  <c r="G83" i="1" s="1"/>
  <c r="F82" i="34"/>
  <c r="G82" i="34" s="1"/>
  <c r="F80" i="34"/>
  <c r="G80" i="34" s="1"/>
  <c r="F81" i="1"/>
  <c r="G81" i="1" s="1"/>
  <c r="F81" i="34"/>
  <c r="G81" i="34" s="1"/>
  <c r="F80" i="1"/>
  <c r="G80" i="1" s="1"/>
  <c r="F76" i="34"/>
  <c r="G76" i="34" s="1"/>
  <c r="F78" i="1"/>
  <c r="G78" i="1" s="1"/>
  <c r="F78" i="34"/>
  <c r="G78" i="34" s="1"/>
  <c r="F100" i="34"/>
  <c r="G100" i="34" s="1"/>
  <c r="F106" i="1"/>
  <c r="G106" i="1" s="1"/>
  <c r="F108" i="34"/>
  <c r="G108" i="34" s="1"/>
  <c r="F103" i="1"/>
  <c r="G103" i="1" s="1"/>
  <c r="F98" i="1"/>
  <c r="G98" i="1" s="1"/>
  <c r="F18" i="3"/>
  <c r="G18" i="3" s="1"/>
  <c r="I18" i="3"/>
  <c r="J18" i="3" s="1"/>
  <c r="F19" i="3"/>
  <c r="G19" i="3" s="1"/>
  <c r="I19" i="3"/>
  <c r="J19" i="3" s="1"/>
  <c r="F20" i="3"/>
  <c r="G20" i="3" s="1"/>
  <c r="I20" i="3"/>
  <c r="J20" i="3" s="1"/>
  <c r="F21" i="3"/>
  <c r="G21" i="3" s="1"/>
  <c r="I21" i="3"/>
  <c r="J21" i="3" s="1"/>
  <c r="F22" i="3"/>
  <c r="G22" i="3" s="1"/>
  <c r="I22" i="3"/>
  <c r="J22" i="3" s="1"/>
  <c r="F23" i="3"/>
  <c r="G23" i="3" s="1"/>
  <c r="I23" i="3"/>
  <c r="J23" i="3" s="1"/>
  <c r="F24" i="3"/>
  <c r="G24" i="3" s="1"/>
  <c r="I24" i="3"/>
  <c r="J24" i="3" s="1"/>
  <c r="F25" i="3"/>
  <c r="G25" i="3" s="1"/>
  <c r="I25" i="3"/>
  <c r="J25" i="3" s="1"/>
  <c r="F26" i="3"/>
  <c r="G26" i="3" s="1"/>
  <c r="I26" i="3"/>
  <c r="J26" i="3" s="1"/>
  <c r="F27" i="3"/>
  <c r="G27" i="3" s="1"/>
  <c r="I27" i="3"/>
  <c r="J27" i="3" s="1"/>
  <c r="F28" i="3"/>
  <c r="G28" i="3" s="1"/>
  <c r="I28" i="3"/>
  <c r="J28" i="3" s="1"/>
  <c r="F29" i="3"/>
  <c r="G29" i="3" s="1"/>
  <c r="I29" i="3"/>
  <c r="J29" i="3" s="1"/>
  <c r="F30" i="3"/>
  <c r="G30" i="3" s="1"/>
  <c r="I30" i="3"/>
  <c r="J30" i="3" s="1"/>
  <c r="F31" i="3"/>
  <c r="G31" i="3" s="1"/>
  <c r="I31" i="3"/>
  <c r="J31" i="3" s="1"/>
  <c r="F32" i="3"/>
  <c r="G32" i="3" s="1"/>
  <c r="I32" i="3"/>
  <c r="J32" i="3" s="1"/>
  <c r="F33" i="3"/>
  <c r="G33" i="3" s="1"/>
  <c r="I33" i="3"/>
  <c r="J33" i="3" s="1"/>
  <c r="F34" i="3"/>
  <c r="G34" i="3" s="1"/>
  <c r="I34" i="3"/>
  <c r="J34" i="3" s="1"/>
  <c r="F35" i="3"/>
  <c r="G35" i="3" s="1"/>
  <c r="I35" i="3"/>
  <c r="J35" i="3" s="1"/>
  <c r="F36" i="3"/>
  <c r="G36" i="3" s="1"/>
  <c r="I36" i="3"/>
  <c r="J36" i="3" s="1"/>
  <c r="F37" i="3"/>
  <c r="G37" i="3" s="1"/>
  <c r="I37" i="3"/>
  <c r="J37" i="3" s="1"/>
  <c r="F38" i="3"/>
  <c r="G38" i="3" s="1"/>
  <c r="I38" i="3"/>
  <c r="J38" i="3" s="1"/>
  <c r="F39" i="3"/>
  <c r="G39" i="3" s="1"/>
  <c r="I39" i="3"/>
  <c r="J39" i="3" s="1"/>
  <c r="F40" i="3"/>
  <c r="G40" i="3" s="1"/>
  <c r="I40" i="3"/>
  <c r="J40" i="3" s="1"/>
  <c r="F41" i="3"/>
  <c r="G41" i="3" s="1"/>
  <c r="I41" i="3"/>
  <c r="J41" i="3" s="1"/>
  <c r="F42" i="3"/>
  <c r="G42" i="3" s="1"/>
  <c r="I42" i="3"/>
  <c r="J42" i="3" s="1"/>
  <c r="F43" i="3"/>
  <c r="G43" i="3" s="1"/>
  <c r="I43" i="3"/>
  <c r="J43" i="3" s="1"/>
  <c r="F44" i="3"/>
  <c r="G44" i="3" s="1"/>
  <c r="I44" i="3"/>
  <c r="J44" i="3" s="1"/>
  <c r="F45" i="3"/>
  <c r="G45" i="3" s="1"/>
  <c r="I45" i="3"/>
  <c r="J45" i="3" s="1"/>
  <c r="F46" i="3"/>
  <c r="G46" i="3" s="1"/>
  <c r="I46" i="3"/>
  <c r="J46" i="3" s="1"/>
  <c r="F47" i="3"/>
  <c r="G47" i="3" s="1"/>
  <c r="I47" i="3"/>
  <c r="J47" i="3" s="1"/>
  <c r="F48" i="3"/>
  <c r="G48" i="3" s="1"/>
  <c r="I48" i="3"/>
  <c r="J48" i="3" s="1"/>
  <c r="F49" i="3"/>
  <c r="G49" i="3" s="1"/>
  <c r="I49" i="3"/>
  <c r="J49" i="3" s="1"/>
  <c r="F50" i="3"/>
  <c r="G50" i="3" s="1"/>
  <c r="I50" i="3"/>
  <c r="J50" i="3" s="1"/>
  <c r="F51" i="3"/>
  <c r="G51" i="3" s="1"/>
  <c r="I51" i="3"/>
  <c r="J51" i="3" s="1"/>
  <c r="F52" i="3"/>
  <c r="G52" i="3" s="1"/>
  <c r="I52" i="3"/>
  <c r="J52" i="3" s="1"/>
  <c r="F53" i="3"/>
  <c r="G53" i="3" s="1"/>
  <c r="I53" i="3"/>
  <c r="J53" i="3" s="1"/>
  <c r="F54" i="3"/>
  <c r="G54" i="3" s="1"/>
  <c r="I54" i="3"/>
  <c r="J54" i="3" s="1"/>
  <c r="F55" i="3"/>
  <c r="G55" i="3" s="1"/>
  <c r="I55" i="3"/>
  <c r="J55" i="3" s="1"/>
  <c r="F56" i="3"/>
  <c r="G56" i="3" s="1"/>
  <c r="I56" i="3"/>
  <c r="J56" i="3" s="1"/>
  <c r="F57" i="3"/>
  <c r="G57" i="3" s="1"/>
  <c r="I57" i="3"/>
  <c r="J57" i="3" s="1"/>
  <c r="F58" i="3"/>
  <c r="G58" i="3" s="1"/>
  <c r="I58" i="3"/>
  <c r="J58" i="3" s="1"/>
  <c r="F59" i="3"/>
  <c r="G59" i="3" s="1"/>
  <c r="I59" i="3"/>
  <c r="J59" i="3" s="1"/>
  <c r="F60" i="3"/>
  <c r="G60" i="3" s="1"/>
  <c r="I60" i="3"/>
  <c r="J60" i="3" s="1"/>
  <c r="F61" i="3"/>
  <c r="G61" i="3" s="1"/>
  <c r="I61" i="3"/>
  <c r="J61" i="3" s="1"/>
  <c r="F62" i="3"/>
  <c r="G62" i="3" s="1"/>
  <c r="I62" i="3"/>
  <c r="J62" i="3" s="1"/>
  <c r="F63" i="3"/>
  <c r="G63" i="3" s="1"/>
  <c r="I63" i="3"/>
  <c r="J63" i="3" s="1"/>
  <c r="F64" i="3"/>
  <c r="G64" i="3" s="1"/>
  <c r="I64" i="3"/>
  <c r="J64" i="3" s="1"/>
  <c r="F65" i="3"/>
  <c r="G65" i="3" s="1"/>
  <c r="I65" i="3"/>
  <c r="J65" i="3" s="1"/>
  <c r="F66" i="3"/>
  <c r="G66" i="3" s="1"/>
  <c r="I66" i="3"/>
  <c r="J66" i="3" s="1"/>
  <c r="F67" i="3"/>
  <c r="G67" i="3" s="1"/>
  <c r="I67" i="3"/>
  <c r="J67" i="3" s="1"/>
  <c r="F68" i="3"/>
  <c r="G68" i="3" s="1"/>
  <c r="I68" i="3"/>
  <c r="J68" i="3" s="1"/>
  <c r="F69" i="3"/>
  <c r="G69" i="3" s="1"/>
  <c r="I69" i="3"/>
  <c r="J69" i="3" s="1"/>
  <c r="F70" i="3"/>
  <c r="G70" i="3" s="1"/>
  <c r="I70" i="3"/>
  <c r="J70" i="3" s="1"/>
  <c r="F71" i="3"/>
  <c r="G71" i="3" s="1"/>
  <c r="I71" i="3"/>
  <c r="J71" i="3" s="1"/>
  <c r="F72" i="3"/>
  <c r="G72" i="3" s="1"/>
  <c r="I72" i="3"/>
  <c r="J72" i="3" s="1"/>
  <c r="F73" i="3"/>
  <c r="G73" i="3" s="1"/>
  <c r="I73" i="3"/>
  <c r="J73" i="3" s="1"/>
  <c r="F74" i="3"/>
  <c r="G74" i="3" s="1"/>
  <c r="I74" i="3"/>
  <c r="J74" i="3" s="1"/>
  <c r="F75" i="3"/>
  <c r="G75" i="3" s="1"/>
  <c r="I75" i="3"/>
  <c r="G76" i="3"/>
  <c r="I76" i="3"/>
  <c r="F77" i="3"/>
  <c r="G77" i="3" s="1"/>
  <c r="I77" i="3"/>
  <c r="F78" i="3"/>
  <c r="G78" i="3" s="1"/>
  <c r="I78" i="3"/>
  <c r="F79" i="3"/>
  <c r="G79" i="3" s="1"/>
  <c r="I79" i="3"/>
  <c r="F80" i="3"/>
  <c r="G80" i="3" s="1"/>
  <c r="I80" i="3"/>
  <c r="F81" i="3"/>
  <c r="G81" i="3" s="1"/>
  <c r="I81" i="3"/>
  <c r="F82" i="3"/>
  <c r="G82" i="3" s="1"/>
  <c r="I82" i="3"/>
  <c r="F83" i="3"/>
  <c r="G83" i="3" s="1"/>
  <c r="I83" i="3"/>
  <c r="F84" i="3"/>
  <c r="G84" i="3" s="1"/>
  <c r="I84" i="3"/>
  <c r="F85" i="3"/>
  <c r="G85" i="3" s="1"/>
  <c r="I85" i="3"/>
  <c r="J85" i="3" s="1"/>
  <c r="F86" i="3"/>
  <c r="G86" i="3" s="1"/>
  <c r="I86" i="3"/>
  <c r="J86" i="3" s="1"/>
  <c r="F87" i="3"/>
  <c r="G87" i="3" s="1"/>
  <c r="I87" i="3"/>
  <c r="J87" i="3" s="1"/>
  <c r="F88" i="3"/>
  <c r="G88" i="3" s="1"/>
  <c r="I88" i="3"/>
  <c r="J88" i="3" s="1"/>
  <c r="F89" i="3"/>
  <c r="G89" i="3" s="1"/>
  <c r="I89" i="3"/>
  <c r="J89" i="3" s="1"/>
  <c r="F90" i="3"/>
  <c r="G90" i="3" s="1"/>
  <c r="I90" i="3"/>
  <c r="J90" i="3" s="1"/>
  <c r="F91" i="3"/>
  <c r="G91" i="3" s="1"/>
  <c r="I91" i="3"/>
  <c r="J91" i="3" s="1"/>
  <c r="F92" i="3"/>
  <c r="G92" i="3" s="1"/>
  <c r="I92" i="3"/>
  <c r="J92" i="3" s="1"/>
  <c r="F93" i="3"/>
  <c r="G93" i="3" s="1"/>
  <c r="I93" i="3"/>
  <c r="J93" i="3" s="1"/>
  <c r="F94" i="3"/>
  <c r="G94" i="3" s="1"/>
  <c r="I94" i="3"/>
  <c r="J94" i="3" s="1"/>
  <c r="F95" i="3"/>
  <c r="G95" i="3" s="1"/>
  <c r="I95" i="3"/>
  <c r="J95" i="3" s="1"/>
  <c r="F96" i="3"/>
  <c r="G96" i="3" s="1"/>
  <c r="I96" i="3"/>
  <c r="J96" i="3" s="1"/>
  <c r="F97" i="3"/>
  <c r="G97" i="3" s="1"/>
  <c r="I97" i="3"/>
  <c r="F98" i="3"/>
  <c r="G98" i="3" s="1"/>
  <c r="I98" i="3"/>
  <c r="F99" i="3"/>
  <c r="G99" i="3" s="1"/>
  <c r="I99" i="3"/>
  <c r="F100" i="3"/>
  <c r="G100" i="3" s="1"/>
  <c r="I100" i="3"/>
  <c r="F101" i="3"/>
  <c r="G101" i="3" s="1"/>
  <c r="I101" i="3"/>
  <c r="F102" i="3"/>
  <c r="G102" i="3" s="1"/>
  <c r="I102" i="3"/>
  <c r="F103" i="3"/>
  <c r="G103" i="3" s="1"/>
  <c r="I103" i="3"/>
  <c r="F104" i="3"/>
  <c r="G104" i="3" s="1"/>
  <c r="I104" i="3"/>
  <c r="F105" i="3"/>
  <c r="G105" i="3" s="1"/>
  <c r="I105" i="3"/>
  <c r="F106" i="3"/>
  <c r="G106" i="3" s="1"/>
  <c r="I106" i="3"/>
  <c r="F107" i="3"/>
  <c r="G107" i="3" s="1"/>
  <c r="I107" i="3"/>
  <c r="F108" i="3"/>
  <c r="G108" i="3" s="1"/>
  <c r="I108" i="3"/>
  <c r="F109" i="3"/>
  <c r="G109" i="3" s="1"/>
  <c r="I109" i="3"/>
  <c r="J109" i="3" s="1"/>
  <c r="F110" i="3"/>
  <c r="G110" i="3" s="1"/>
  <c r="I110" i="3"/>
  <c r="J110" i="3" s="1"/>
  <c r="F111" i="3"/>
  <c r="G111" i="3" s="1"/>
  <c r="I111" i="3"/>
  <c r="J111" i="3" s="1"/>
  <c r="F112" i="3"/>
  <c r="G112" i="3" s="1"/>
  <c r="I112" i="3"/>
  <c r="J112" i="3" s="1"/>
  <c r="F113" i="3"/>
  <c r="G113" i="3" s="1"/>
  <c r="I113" i="3"/>
  <c r="J113" i="3" s="1"/>
  <c r="F114" i="3"/>
  <c r="G114" i="3" s="1"/>
  <c r="I114" i="3"/>
  <c r="J114" i="3" s="1"/>
  <c r="F115" i="3"/>
  <c r="G115" i="3" s="1"/>
  <c r="I115" i="3"/>
  <c r="J115" i="3" s="1"/>
  <c r="F116" i="3"/>
  <c r="G116" i="3" s="1"/>
  <c r="I116" i="3"/>
  <c r="J116" i="3" s="1"/>
  <c r="F117" i="3"/>
  <c r="G117" i="3" s="1"/>
  <c r="I117" i="3"/>
  <c r="J117" i="3" s="1"/>
  <c r="F118" i="3"/>
  <c r="G118" i="3" s="1"/>
  <c r="I118" i="3"/>
  <c r="J118" i="3" s="1"/>
  <c r="F119" i="3"/>
  <c r="G119" i="3" s="1"/>
  <c r="I119" i="3"/>
  <c r="J119" i="3" s="1"/>
  <c r="F120" i="3"/>
  <c r="G120" i="3" s="1"/>
  <c r="I120" i="3"/>
  <c r="J120" i="3" s="1"/>
  <c r="F121" i="3"/>
  <c r="G121" i="3" s="1"/>
  <c r="I121" i="3"/>
  <c r="J121" i="3" s="1"/>
  <c r="F122" i="3"/>
  <c r="G122" i="3" s="1"/>
  <c r="I122" i="3"/>
  <c r="J122" i="3" s="1"/>
  <c r="F123" i="3"/>
  <c r="G123" i="3" s="1"/>
  <c r="I123" i="3"/>
  <c r="J123" i="3" s="1"/>
  <c r="F124" i="3"/>
  <c r="G124" i="3" s="1"/>
  <c r="I124" i="3"/>
  <c r="J124" i="3" s="1"/>
  <c r="F125" i="3"/>
  <c r="G125" i="3" s="1"/>
  <c r="I125" i="3"/>
  <c r="J125" i="3" s="1"/>
  <c r="F126" i="3"/>
  <c r="G126" i="3" s="1"/>
  <c r="I126" i="3"/>
  <c r="J126" i="3" s="1"/>
  <c r="F127" i="3"/>
  <c r="G127" i="3" s="1"/>
  <c r="I127" i="3"/>
  <c r="J127" i="3" s="1"/>
  <c r="F128" i="3"/>
  <c r="G128" i="3" s="1"/>
  <c r="I128" i="3"/>
  <c r="J128" i="3" s="1"/>
  <c r="F129" i="3"/>
  <c r="G129" i="3" s="1"/>
  <c r="I129" i="3"/>
  <c r="J129" i="3" s="1"/>
  <c r="F130" i="3"/>
  <c r="G130" i="3" s="1"/>
  <c r="I130" i="3"/>
  <c r="J130" i="3" s="1"/>
  <c r="F131" i="3"/>
  <c r="G131" i="3" s="1"/>
  <c r="I131" i="3"/>
  <c r="J131" i="3" s="1"/>
  <c r="F132" i="3"/>
  <c r="G132" i="3" s="1"/>
  <c r="I132" i="3"/>
  <c r="J132" i="3" s="1"/>
  <c r="F133" i="3"/>
  <c r="G133" i="3" s="1"/>
  <c r="I133" i="3"/>
  <c r="J133" i="3" s="1"/>
  <c r="F134" i="3"/>
  <c r="G134" i="3" s="1"/>
  <c r="I134" i="3"/>
  <c r="J134" i="3" s="1"/>
  <c r="F135" i="3"/>
  <c r="G135" i="3" s="1"/>
  <c r="I135" i="3"/>
  <c r="J135" i="3" s="1"/>
  <c r="F136" i="3"/>
  <c r="G136" i="3" s="1"/>
  <c r="I136" i="3"/>
  <c r="J136" i="3" s="1"/>
  <c r="F137" i="3"/>
  <c r="G137" i="3" s="1"/>
  <c r="I137" i="3"/>
  <c r="J137" i="3" s="1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J75" i="72" s="1"/>
  <c r="I76" i="72"/>
  <c r="J76" i="72" s="1"/>
  <c r="I77" i="72"/>
  <c r="J77" i="72" s="1"/>
  <c r="I78" i="72"/>
  <c r="J78" i="72" s="1"/>
  <c r="I79" i="72"/>
  <c r="J79" i="72" s="1"/>
  <c r="I80" i="72"/>
  <c r="J80" i="72" s="1"/>
  <c r="I81" i="72"/>
  <c r="J81" i="72" s="1"/>
  <c r="I82" i="72"/>
  <c r="J82" i="72" s="1"/>
  <c r="I83" i="72"/>
  <c r="J83" i="72" s="1"/>
  <c r="I84" i="72"/>
  <c r="J84" i="72" s="1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J97" i="72" s="1"/>
  <c r="I98" i="72"/>
  <c r="J98" i="72" s="1"/>
  <c r="I99" i="72"/>
  <c r="J99" i="72" s="1"/>
  <c r="I100" i="72"/>
  <c r="J100" i="72" s="1"/>
  <c r="I101" i="72"/>
  <c r="J101" i="72" s="1"/>
  <c r="I102" i="72"/>
  <c r="J102" i="72" s="1"/>
  <c r="I103" i="72"/>
  <c r="J103" i="72" s="1"/>
  <c r="I104" i="72"/>
  <c r="J104" i="72" s="1"/>
  <c r="I105" i="72"/>
  <c r="J105" i="72" s="1"/>
  <c r="I106" i="72"/>
  <c r="J106" i="72" s="1"/>
  <c r="I107" i="72"/>
  <c r="J107" i="72" s="1"/>
  <c r="I108" i="72"/>
  <c r="J108" i="72" s="1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G26" i="72"/>
  <c r="G58" i="72"/>
  <c r="F22" i="72"/>
  <c r="G22" i="72" s="1"/>
  <c r="F23" i="72"/>
  <c r="G23" i="72" s="1"/>
  <c r="F24" i="72"/>
  <c r="G24" i="72" s="1"/>
  <c r="F25" i="72"/>
  <c r="G25" i="72" s="1"/>
  <c r="F26" i="72"/>
  <c r="F27" i="72"/>
  <c r="G27" i="72" s="1"/>
  <c r="F28" i="72"/>
  <c r="G28" i="72" s="1"/>
  <c r="F29" i="72"/>
  <c r="G29" i="72" s="1"/>
  <c r="F30" i="72"/>
  <c r="G30" i="72" s="1"/>
  <c r="F31" i="72"/>
  <c r="G31" i="72" s="1"/>
  <c r="F32" i="72"/>
  <c r="G32" i="72" s="1"/>
  <c r="F33" i="72"/>
  <c r="G33" i="72" s="1"/>
  <c r="F34" i="72"/>
  <c r="G34" i="72" s="1"/>
  <c r="F35" i="72"/>
  <c r="G35" i="72" s="1"/>
  <c r="F36" i="72"/>
  <c r="G36" i="72" s="1"/>
  <c r="F37" i="72"/>
  <c r="G37" i="72" s="1"/>
  <c r="F38" i="72"/>
  <c r="G38" i="72" s="1"/>
  <c r="F39" i="72"/>
  <c r="G39" i="72" s="1"/>
  <c r="F40" i="72"/>
  <c r="G40" i="72" s="1"/>
  <c r="F41" i="72"/>
  <c r="G41" i="72" s="1"/>
  <c r="F42" i="72"/>
  <c r="G42" i="72" s="1"/>
  <c r="F43" i="72"/>
  <c r="G43" i="72" s="1"/>
  <c r="F44" i="72"/>
  <c r="G44" i="72" s="1"/>
  <c r="F45" i="72"/>
  <c r="G45" i="72" s="1"/>
  <c r="F46" i="72"/>
  <c r="G46" i="72" s="1"/>
  <c r="F47" i="72"/>
  <c r="G47" i="72" s="1"/>
  <c r="F48" i="72"/>
  <c r="G48" i="72" s="1"/>
  <c r="F49" i="72"/>
  <c r="G49" i="72" s="1"/>
  <c r="F50" i="72"/>
  <c r="G50" i="72" s="1"/>
  <c r="F51" i="72"/>
  <c r="G51" i="72" s="1"/>
  <c r="F52" i="72"/>
  <c r="G52" i="72" s="1"/>
  <c r="F53" i="72"/>
  <c r="G53" i="72" s="1"/>
  <c r="F54" i="72"/>
  <c r="G54" i="72" s="1"/>
  <c r="F55" i="72"/>
  <c r="G55" i="72" s="1"/>
  <c r="F56" i="72"/>
  <c r="G56" i="72" s="1"/>
  <c r="F57" i="72"/>
  <c r="G57" i="72" s="1"/>
  <c r="F58" i="72"/>
  <c r="F59" i="72"/>
  <c r="G59" i="72" s="1"/>
  <c r="F60" i="72"/>
  <c r="G60" i="72" s="1"/>
  <c r="F61" i="72"/>
  <c r="G61" i="72" s="1"/>
  <c r="F62" i="72"/>
  <c r="G62" i="72" s="1"/>
  <c r="F63" i="72"/>
  <c r="G63" i="72" s="1"/>
  <c r="F64" i="72"/>
  <c r="G64" i="72" s="1"/>
  <c r="F65" i="72"/>
  <c r="G65" i="72" s="1"/>
  <c r="F66" i="72"/>
  <c r="G66" i="72" s="1"/>
  <c r="F67" i="72"/>
  <c r="G67" i="72" s="1"/>
  <c r="F68" i="72"/>
  <c r="G68" i="72" s="1"/>
  <c r="F69" i="72"/>
  <c r="G69" i="72" s="1"/>
  <c r="F70" i="72"/>
  <c r="G70" i="72" s="1"/>
  <c r="F71" i="72"/>
  <c r="G71" i="72" s="1"/>
  <c r="F72" i="72"/>
  <c r="G72" i="72" s="1"/>
  <c r="F73" i="72"/>
  <c r="G73" i="72" s="1"/>
  <c r="F74" i="72"/>
  <c r="G74" i="72" s="1"/>
  <c r="F75" i="72"/>
  <c r="G75" i="72" s="1"/>
  <c r="F76" i="72"/>
  <c r="G76" i="72" s="1"/>
  <c r="F77" i="72"/>
  <c r="G77" i="72" s="1"/>
  <c r="F78" i="72"/>
  <c r="G78" i="72" s="1"/>
  <c r="F79" i="72"/>
  <c r="G79" i="72" s="1"/>
  <c r="F80" i="72"/>
  <c r="G80" i="72" s="1"/>
  <c r="F81" i="72"/>
  <c r="G81" i="72" s="1"/>
  <c r="F82" i="72"/>
  <c r="G82" i="72" s="1"/>
  <c r="F83" i="72"/>
  <c r="G83" i="72" s="1"/>
  <c r="F84" i="72"/>
  <c r="G84" i="72" s="1"/>
  <c r="F85" i="72"/>
  <c r="G85" i="72" s="1"/>
  <c r="F86" i="72"/>
  <c r="G86" i="72" s="1"/>
  <c r="F87" i="72"/>
  <c r="G87" i="72" s="1"/>
  <c r="F88" i="72"/>
  <c r="G88" i="72" s="1"/>
  <c r="F89" i="72"/>
  <c r="G89" i="72" s="1"/>
  <c r="F90" i="72"/>
  <c r="G90" i="72" s="1"/>
  <c r="F91" i="72"/>
  <c r="G91" i="72" s="1"/>
  <c r="F92" i="72"/>
  <c r="G92" i="72" s="1"/>
  <c r="F93" i="72"/>
  <c r="G93" i="72" s="1"/>
  <c r="F94" i="72"/>
  <c r="G94" i="72" s="1"/>
  <c r="F95" i="72"/>
  <c r="G95" i="72" s="1"/>
  <c r="F96" i="72"/>
  <c r="G96" i="72" s="1"/>
  <c r="F97" i="72"/>
  <c r="G97" i="72" s="1"/>
  <c r="F98" i="72"/>
  <c r="G98" i="72" s="1"/>
  <c r="F99" i="72"/>
  <c r="G99" i="72" s="1"/>
  <c r="F100" i="72"/>
  <c r="G100" i="72" s="1"/>
  <c r="F101" i="72"/>
  <c r="G101" i="72" s="1"/>
  <c r="F102" i="72"/>
  <c r="G102" i="72" s="1"/>
  <c r="F103" i="72"/>
  <c r="G103" i="72" s="1"/>
  <c r="F104" i="72"/>
  <c r="G104" i="72" s="1"/>
  <c r="F105" i="72"/>
  <c r="G105" i="72" s="1"/>
  <c r="F106" i="72"/>
  <c r="G106" i="72" s="1"/>
  <c r="F107" i="72"/>
  <c r="G107" i="72" s="1"/>
  <c r="F108" i="72"/>
  <c r="G108" i="72" s="1"/>
  <c r="F109" i="72"/>
  <c r="G109" i="72" s="1"/>
  <c r="F110" i="72"/>
  <c r="G110" i="72" s="1"/>
  <c r="F111" i="72"/>
  <c r="G111" i="72" s="1"/>
  <c r="F112" i="72"/>
  <c r="G112" i="72" s="1"/>
  <c r="F113" i="72"/>
  <c r="G113" i="72" s="1"/>
  <c r="F114" i="72"/>
  <c r="G114" i="72" s="1"/>
  <c r="F115" i="72"/>
  <c r="G115" i="72" s="1"/>
  <c r="F116" i="72"/>
  <c r="G116" i="72" s="1"/>
  <c r="F117" i="72"/>
  <c r="G117" i="72" s="1"/>
  <c r="F118" i="72"/>
  <c r="G118" i="72" s="1"/>
  <c r="F119" i="72"/>
  <c r="G119" i="72" s="1"/>
  <c r="F120" i="72"/>
  <c r="G120" i="72" s="1"/>
  <c r="F121" i="72"/>
  <c r="G121" i="72" s="1"/>
  <c r="F122" i="72"/>
  <c r="G122" i="72" s="1"/>
  <c r="F123" i="72"/>
  <c r="G123" i="72" s="1"/>
  <c r="F124" i="72"/>
  <c r="G124" i="72" s="1"/>
  <c r="F125" i="72"/>
  <c r="G125" i="72" s="1"/>
  <c r="F126" i="72"/>
  <c r="G126" i="72" s="1"/>
  <c r="F127" i="72"/>
  <c r="G127" i="72" s="1"/>
  <c r="F128" i="72"/>
  <c r="G128" i="72" s="1"/>
  <c r="F129" i="72"/>
  <c r="G129" i="72" s="1"/>
  <c r="F130" i="72"/>
  <c r="G130" i="72" s="1"/>
  <c r="F131" i="72"/>
  <c r="G131" i="72" s="1"/>
  <c r="F132" i="72"/>
  <c r="G132" i="72" s="1"/>
  <c r="F133" i="72"/>
  <c r="G133" i="72" s="1"/>
  <c r="F134" i="72"/>
  <c r="G134" i="72" s="1"/>
  <c r="F135" i="72"/>
  <c r="G135" i="72" s="1"/>
  <c r="F136" i="72"/>
  <c r="G136" i="72" s="1"/>
  <c r="F137" i="72"/>
  <c r="G137" i="72" s="1"/>
  <c r="F21" i="72"/>
  <c r="G21" i="72" s="1"/>
  <c r="F18" i="72"/>
  <c r="G18" i="72" s="1"/>
  <c r="F19" i="72"/>
  <c r="G19" i="72" s="1"/>
  <c r="F20" i="72"/>
  <c r="G20" i="72" s="1"/>
  <c r="J136" i="72" l="1"/>
  <c r="J136" i="34"/>
  <c r="I136" i="1"/>
  <c r="J136" i="1" s="1"/>
  <c r="J120" i="72"/>
  <c r="J120" i="34"/>
  <c r="I120" i="1"/>
  <c r="J120" i="1" s="1"/>
  <c r="J112" i="72"/>
  <c r="I112" i="1"/>
  <c r="J112" i="1" s="1"/>
  <c r="J112" i="34"/>
  <c r="J88" i="72"/>
  <c r="I88" i="1"/>
  <c r="J88" i="1" s="1"/>
  <c r="J88" i="34"/>
  <c r="J72" i="72"/>
  <c r="I72" i="1"/>
  <c r="J72" i="1" s="1"/>
  <c r="J72" i="34"/>
  <c r="J57" i="34"/>
  <c r="I57" i="1"/>
  <c r="J57" i="1" s="1"/>
  <c r="J41" i="72"/>
  <c r="J41" i="34"/>
  <c r="I41" i="1"/>
  <c r="J41" i="1" s="1"/>
  <c r="J18" i="72"/>
  <c r="J18" i="34"/>
  <c r="I18" i="1"/>
  <c r="J18" i="1" s="1"/>
  <c r="J131" i="72"/>
  <c r="J131" i="34"/>
  <c r="I131" i="1"/>
  <c r="J131" i="1" s="1"/>
  <c r="J123" i="72"/>
  <c r="J123" i="34"/>
  <c r="I123" i="1"/>
  <c r="J123" i="1" s="1"/>
  <c r="J115" i="72"/>
  <c r="J115" i="34"/>
  <c r="I115" i="1"/>
  <c r="J115" i="1" s="1"/>
  <c r="J91" i="72"/>
  <c r="J91" i="34"/>
  <c r="I91" i="1"/>
  <c r="J91" i="1" s="1"/>
  <c r="J67" i="72"/>
  <c r="I67" i="1"/>
  <c r="J67" i="1" s="1"/>
  <c r="J67" i="34"/>
  <c r="J59" i="72"/>
  <c r="J59" i="34"/>
  <c r="I59" i="1"/>
  <c r="J59" i="1" s="1"/>
  <c r="J52" i="72"/>
  <c r="J52" i="34"/>
  <c r="I52" i="1"/>
  <c r="J52" i="1" s="1"/>
  <c r="J44" i="72"/>
  <c r="J44" i="34"/>
  <c r="I44" i="1"/>
  <c r="J44" i="1" s="1"/>
  <c r="J36" i="72"/>
  <c r="J36" i="34"/>
  <c r="I36" i="1"/>
  <c r="J36" i="1" s="1"/>
  <c r="J28" i="72"/>
  <c r="J28" i="34"/>
  <c r="I28" i="1"/>
  <c r="J28" i="1" s="1"/>
  <c r="I21" i="1"/>
  <c r="J21" i="1" s="1"/>
  <c r="J21" i="34"/>
  <c r="J130" i="72"/>
  <c r="J130" i="34"/>
  <c r="I130" i="1"/>
  <c r="J130" i="1" s="1"/>
  <c r="J122" i="72"/>
  <c r="J122" i="34"/>
  <c r="I122" i="1"/>
  <c r="J122" i="1" s="1"/>
  <c r="J114" i="72"/>
  <c r="J114" i="34"/>
  <c r="I114" i="1"/>
  <c r="J114" i="1" s="1"/>
  <c r="J90" i="72"/>
  <c r="I90" i="1"/>
  <c r="J90" i="1" s="1"/>
  <c r="J90" i="34"/>
  <c r="J74" i="72"/>
  <c r="J74" i="34"/>
  <c r="I74" i="1"/>
  <c r="J74" i="1" s="1"/>
  <c r="J66" i="72"/>
  <c r="J66" i="34"/>
  <c r="I66" i="1"/>
  <c r="J66" i="1" s="1"/>
  <c r="J58" i="72"/>
  <c r="J58" i="34"/>
  <c r="I58" i="1"/>
  <c r="J58" i="1" s="1"/>
  <c r="J51" i="72"/>
  <c r="J51" i="34"/>
  <c r="I51" i="1"/>
  <c r="J51" i="1" s="1"/>
  <c r="J43" i="72"/>
  <c r="J43" i="34"/>
  <c r="I43" i="1"/>
  <c r="J43" i="1" s="1"/>
  <c r="J35" i="72"/>
  <c r="I35" i="1"/>
  <c r="J35" i="1" s="1"/>
  <c r="J35" i="34"/>
  <c r="J27" i="72"/>
  <c r="I27" i="1"/>
  <c r="J27" i="1" s="1"/>
  <c r="J27" i="34"/>
  <c r="J137" i="72"/>
  <c r="J137" i="34"/>
  <c r="I137" i="1"/>
  <c r="J129" i="72"/>
  <c r="I129" i="1"/>
  <c r="J129" i="1" s="1"/>
  <c r="J129" i="34"/>
  <c r="J121" i="72"/>
  <c r="I121" i="1"/>
  <c r="J121" i="1" s="1"/>
  <c r="J121" i="34"/>
  <c r="J113" i="72"/>
  <c r="I113" i="1"/>
  <c r="J113" i="1" s="1"/>
  <c r="J113" i="34"/>
  <c r="J89" i="72"/>
  <c r="I89" i="1"/>
  <c r="J89" i="1" s="1"/>
  <c r="J89" i="34"/>
  <c r="J73" i="72"/>
  <c r="J73" i="34"/>
  <c r="I73" i="1"/>
  <c r="J73" i="1" s="1"/>
  <c r="J65" i="72"/>
  <c r="I65" i="1"/>
  <c r="J65" i="1" s="1"/>
  <c r="J65" i="34"/>
  <c r="J57" i="72"/>
  <c r="J50" i="72"/>
  <c r="I50" i="1"/>
  <c r="J50" i="1" s="1"/>
  <c r="J50" i="34"/>
  <c r="J42" i="72"/>
  <c r="I42" i="1"/>
  <c r="J42" i="1" s="1"/>
  <c r="J42" i="34"/>
  <c r="J34" i="72"/>
  <c r="J34" i="34"/>
  <c r="I34" i="1"/>
  <c r="J34" i="1" s="1"/>
  <c r="J26" i="72"/>
  <c r="J26" i="34"/>
  <c r="I26" i="1"/>
  <c r="J26" i="1" s="1"/>
  <c r="J19" i="72"/>
  <c r="I19" i="1"/>
  <c r="J19" i="1" s="1"/>
  <c r="J19" i="34"/>
  <c r="J128" i="72"/>
  <c r="J128" i="34"/>
  <c r="I128" i="1"/>
  <c r="J128" i="1" s="1"/>
  <c r="J96" i="72"/>
  <c r="J96" i="34"/>
  <c r="I96" i="1"/>
  <c r="J96" i="1" s="1"/>
  <c r="J135" i="72"/>
  <c r="J135" i="34"/>
  <c r="I135" i="1"/>
  <c r="J135" i="1" s="1"/>
  <c r="J127" i="72"/>
  <c r="J127" i="34"/>
  <c r="I127" i="1"/>
  <c r="J127" i="1" s="1"/>
  <c r="J111" i="72"/>
  <c r="I111" i="1"/>
  <c r="J111" i="1" s="1"/>
  <c r="J111" i="34"/>
  <c r="J95" i="72"/>
  <c r="J95" i="34"/>
  <c r="I95" i="1"/>
  <c r="J95" i="1" s="1"/>
  <c r="J63" i="72"/>
  <c r="J63" i="34"/>
  <c r="I63" i="1"/>
  <c r="J63" i="1" s="1"/>
  <c r="J48" i="72"/>
  <c r="J48" i="34"/>
  <c r="I48" i="1"/>
  <c r="J48" i="1" s="1"/>
  <c r="J40" i="72"/>
  <c r="I40" i="1"/>
  <c r="J40" i="1" s="1"/>
  <c r="J40" i="34"/>
  <c r="J32" i="72"/>
  <c r="J32" i="34"/>
  <c r="I32" i="1"/>
  <c r="J32" i="1" s="1"/>
  <c r="J126" i="72"/>
  <c r="I126" i="1"/>
  <c r="J126" i="1" s="1"/>
  <c r="J126" i="34"/>
  <c r="J47" i="72"/>
  <c r="I47" i="1"/>
  <c r="J47" i="1" s="1"/>
  <c r="J47" i="34"/>
  <c r="J125" i="72"/>
  <c r="J125" i="34"/>
  <c r="I125" i="1"/>
  <c r="J125" i="1" s="1"/>
  <c r="J117" i="72"/>
  <c r="I117" i="1"/>
  <c r="J117" i="1" s="1"/>
  <c r="J117" i="34"/>
  <c r="J93" i="72"/>
  <c r="I93" i="1"/>
  <c r="J93" i="1" s="1"/>
  <c r="J93" i="34"/>
  <c r="J85" i="72"/>
  <c r="J85" i="34"/>
  <c r="I85" i="1"/>
  <c r="J85" i="1" s="1"/>
  <c r="J69" i="72"/>
  <c r="I69" i="1"/>
  <c r="J69" i="1" s="1"/>
  <c r="J69" i="34"/>
  <c r="J61" i="72"/>
  <c r="I61" i="1"/>
  <c r="J61" i="1" s="1"/>
  <c r="J61" i="34"/>
  <c r="J54" i="72"/>
  <c r="I54" i="1"/>
  <c r="J54" i="1" s="1"/>
  <c r="J54" i="34"/>
  <c r="J38" i="72"/>
  <c r="I38" i="1"/>
  <c r="J38" i="1" s="1"/>
  <c r="J38" i="34"/>
  <c r="J30" i="72"/>
  <c r="I30" i="1"/>
  <c r="J30" i="1" s="1"/>
  <c r="J30" i="34"/>
  <c r="J22" i="72"/>
  <c r="J22" i="34"/>
  <c r="I22" i="1"/>
  <c r="J22" i="1" s="1"/>
  <c r="J64" i="72"/>
  <c r="J64" i="34"/>
  <c r="I64" i="1"/>
  <c r="J64" i="1" s="1"/>
  <c r="J49" i="72"/>
  <c r="J49" i="34"/>
  <c r="I49" i="1"/>
  <c r="J49" i="1" s="1"/>
  <c r="J33" i="72"/>
  <c r="J33" i="34"/>
  <c r="I33" i="1"/>
  <c r="J33" i="1" s="1"/>
  <c r="J25" i="72"/>
  <c r="J25" i="34"/>
  <c r="I25" i="1"/>
  <c r="J25" i="1" s="1"/>
  <c r="J119" i="72"/>
  <c r="I119" i="1"/>
  <c r="J119" i="1" s="1"/>
  <c r="J119" i="34"/>
  <c r="J87" i="72"/>
  <c r="I87" i="1"/>
  <c r="J87" i="1" s="1"/>
  <c r="J87" i="34"/>
  <c r="J71" i="72"/>
  <c r="J71" i="34"/>
  <c r="I71" i="1"/>
  <c r="J71" i="1" s="1"/>
  <c r="J56" i="72"/>
  <c r="J56" i="34"/>
  <c r="I56" i="1"/>
  <c r="J56" i="1" s="1"/>
  <c r="J24" i="72"/>
  <c r="J24" i="34"/>
  <c r="I24" i="1"/>
  <c r="J24" i="1" s="1"/>
  <c r="J134" i="72"/>
  <c r="I134" i="1"/>
  <c r="J134" i="1" s="1"/>
  <c r="J134" i="34"/>
  <c r="J118" i="72"/>
  <c r="J118" i="34"/>
  <c r="I118" i="1"/>
  <c r="J118" i="1" s="1"/>
  <c r="J110" i="72"/>
  <c r="J110" i="34"/>
  <c r="I110" i="1"/>
  <c r="J110" i="1" s="1"/>
  <c r="J94" i="72"/>
  <c r="J94" i="34"/>
  <c r="I94" i="1"/>
  <c r="J94" i="1" s="1"/>
  <c r="J86" i="72"/>
  <c r="I86" i="1"/>
  <c r="J86" i="1" s="1"/>
  <c r="J86" i="34"/>
  <c r="J70" i="72"/>
  <c r="I70" i="1"/>
  <c r="J70" i="1" s="1"/>
  <c r="J70" i="34"/>
  <c r="J62" i="72"/>
  <c r="J62" i="34"/>
  <c r="I62" i="1"/>
  <c r="J62" i="1" s="1"/>
  <c r="J55" i="72"/>
  <c r="J55" i="34"/>
  <c r="I55" i="1"/>
  <c r="J55" i="1" s="1"/>
  <c r="J39" i="72"/>
  <c r="J39" i="34"/>
  <c r="I39" i="1"/>
  <c r="J39" i="1" s="1"/>
  <c r="J31" i="72"/>
  <c r="J31" i="34"/>
  <c r="I31" i="1"/>
  <c r="J31" i="1" s="1"/>
  <c r="J23" i="72"/>
  <c r="J23" i="34"/>
  <c r="I23" i="1"/>
  <c r="J23" i="1" s="1"/>
  <c r="J133" i="72"/>
  <c r="J133" i="34"/>
  <c r="I133" i="1"/>
  <c r="J133" i="1" s="1"/>
  <c r="J109" i="72"/>
  <c r="J109" i="34"/>
  <c r="I109" i="1"/>
  <c r="J109" i="1" s="1"/>
  <c r="J46" i="72"/>
  <c r="J46" i="34"/>
  <c r="I46" i="1"/>
  <c r="J46" i="1" s="1"/>
  <c r="J132" i="72"/>
  <c r="I132" i="1"/>
  <c r="J132" i="1" s="1"/>
  <c r="J132" i="34"/>
  <c r="J124" i="72"/>
  <c r="I124" i="1"/>
  <c r="J124" i="1" s="1"/>
  <c r="J124" i="34"/>
  <c r="J116" i="72"/>
  <c r="J116" i="34"/>
  <c r="I116" i="1"/>
  <c r="J116" i="1" s="1"/>
  <c r="J92" i="72"/>
  <c r="J92" i="34"/>
  <c r="I92" i="1"/>
  <c r="J92" i="1" s="1"/>
  <c r="J68" i="72"/>
  <c r="J68" i="34"/>
  <c r="I68" i="1"/>
  <c r="J68" i="1" s="1"/>
  <c r="J60" i="72"/>
  <c r="I60" i="1"/>
  <c r="J60" i="1" s="1"/>
  <c r="J60" i="34"/>
  <c r="J53" i="72"/>
  <c r="J53" i="34"/>
  <c r="I53" i="1"/>
  <c r="J53" i="1" s="1"/>
  <c r="J45" i="72"/>
  <c r="I45" i="1"/>
  <c r="J45" i="1" s="1"/>
  <c r="J45" i="34"/>
  <c r="J37" i="72"/>
  <c r="J37" i="34"/>
  <c r="I37" i="1"/>
  <c r="J37" i="1" s="1"/>
  <c r="J29" i="72"/>
  <c r="I29" i="1"/>
  <c r="J29" i="1" s="1"/>
  <c r="J29" i="34"/>
  <c r="J21" i="72"/>
  <c r="J20" i="72"/>
  <c r="I20" i="1"/>
  <c r="J20" i="1" s="1"/>
  <c r="J20" i="34"/>
  <c r="J83" i="3"/>
  <c r="I83" i="1"/>
  <c r="J83" i="1" s="1"/>
  <c r="J83" i="34"/>
  <c r="J82" i="3"/>
  <c r="I82" i="1"/>
  <c r="J82" i="1" s="1"/>
  <c r="J82" i="34"/>
  <c r="J84" i="3"/>
  <c r="J84" i="34"/>
  <c r="I84" i="1"/>
  <c r="J84" i="1" s="1"/>
  <c r="J81" i="3"/>
  <c r="I81" i="1"/>
  <c r="J81" i="1" s="1"/>
  <c r="J81" i="34"/>
  <c r="J80" i="3"/>
  <c r="J80" i="34"/>
  <c r="I80" i="1"/>
  <c r="J80" i="1" s="1"/>
  <c r="J79" i="3"/>
  <c r="I79" i="1"/>
  <c r="J79" i="1" s="1"/>
  <c r="J79" i="34"/>
  <c r="J76" i="3"/>
  <c r="I76" i="1"/>
  <c r="J76" i="1" s="1"/>
  <c r="J76" i="34"/>
  <c r="J77" i="3"/>
  <c r="J77" i="34"/>
  <c r="I77" i="1"/>
  <c r="J77" i="1" s="1"/>
  <c r="J78" i="3"/>
  <c r="J78" i="34"/>
  <c r="I78" i="1"/>
  <c r="J78" i="1" s="1"/>
  <c r="J75" i="3"/>
  <c r="I75" i="1"/>
  <c r="J75" i="1" s="1"/>
  <c r="J75" i="34"/>
  <c r="J97" i="3"/>
  <c r="J97" i="34"/>
  <c r="I97" i="1"/>
  <c r="J97" i="1" s="1"/>
  <c r="J105" i="3"/>
  <c r="J105" i="34"/>
  <c r="I105" i="1"/>
  <c r="J105" i="1" s="1"/>
  <c r="J101" i="3"/>
  <c r="J101" i="34"/>
  <c r="I101" i="1"/>
  <c r="J101" i="1" s="1"/>
  <c r="J107" i="3"/>
  <c r="J107" i="34"/>
  <c r="I107" i="1"/>
  <c r="J107" i="1" s="1"/>
  <c r="J103" i="3"/>
  <c r="J103" i="34"/>
  <c r="I103" i="1"/>
  <c r="J103" i="1" s="1"/>
  <c r="J99" i="3"/>
  <c r="J99" i="34"/>
  <c r="I99" i="1"/>
  <c r="J99" i="1" s="1"/>
  <c r="J108" i="3"/>
  <c r="J108" i="34"/>
  <c r="I108" i="1"/>
  <c r="J108" i="1" s="1"/>
  <c r="J100" i="3"/>
  <c r="I100" i="1"/>
  <c r="J100" i="1" s="1"/>
  <c r="J100" i="34"/>
  <c r="J106" i="3"/>
  <c r="J106" i="34"/>
  <c r="I106" i="1"/>
  <c r="J106" i="1" s="1"/>
  <c r="J102" i="3"/>
  <c r="J102" i="34"/>
  <c r="I102" i="1"/>
  <c r="J102" i="1" s="1"/>
  <c r="J98" i="3"/>
  <c r="I98" i="1"/>
  <c r="J98" i="1" s="1"/>
  <c r="J98" i="34"/>
  <c r="J104" i="3"/>
  <c r="J104" i="34"/>
  <c r="I104" i="1"/>
  <c r="J104" i="1" s="1"/>
  <c r="D16" i="30"/>
  <c r="F16" i="30" s="1"/>
  <c r="G16" i="30" s="1"/>
  <c r="E16" i="30"/>
  <c r="D17" i="30"/>
  <c r="E17" i="30"/>
  <c r="E16" i="29"/>
  <c r="E17" i="29"/>
  <c r="D16" i="18"/>
  <c r="D16" i="34" s="1"/>
  <c r="E16" i="18"/>
  <c r="E16" i="34" s="1"/>
  <c r="D17" i="18"/>
  <c r="D17" i="34" s="1"/>
  <c r="E17" i="18"/>
  <c r="E17" i="34" s="1"/>
  <c r="D16" i="1"/>
  <c r="E16" i="1"/>
  <c r="H16" i="1"/>
  <c r="H16" i="34" s="1"/>
  <c r="D17" i="1"/>
  <c r="E17" i="1"/>
  <c r="H17" i="1"/>
  <c r="H17" i="34" s="1"/>
  <c r="I17" i="33"/>
  <c r="J17" i="33" s="1"/>
  <c r="F17" i="33"/>
  <c r="G17" i="33" s="1"/>
  <c r="I16" i="33"/>
  <c r="J16" i="33" s="1"/>
  <c r="F16" i="33"/>
  <c r="G16" i="33" s="1"/>
  <c r="I17" i="32"/>
  <c r="J17" i="32" s="1"/>
  <c r="F17" i="32"/>
  <c r="G17" i="32" s="1"/>
  <c r="I16" i="32"/>
  <c r="J16" i="32" s="1"/>
  <c r="F16" i="32"/>
  <c r="G16" i="32" s="1"/>
  <c r="I17" i="31"/>
  <c r="J17" i="31" s="1"/>
  <c r="F17" i="31"/>
  <c r="G17" i="31" s="1"/>
  <c r="I16" i="31"/>
  <c r="J16" i="31" s="1"/>
  <c r="F16" i="31"/>
  <c r="G16" i="31" s="1"/>
  <c r="I17" i="28"/>
  <c r="J17" i="28" s="1"/>
  <c r="F17" i="28"/>
  <c r="G17" i="28" s="1"/>
  <c r="I16" i="28"/>
  <c r="J16" i="28" s="1"/>
  <c r="F16" i="28"/>
  <c r="G16" i="28" s="1"/>
  <c r="I17" i="27"/>
  <c r="J17" i="27" s="1"/>
  <c r="F17" i="27"/>
  <c r="G17" i="27" s="1"/>
  <c r="I16" i="27"/>
  <c r="J16" i="27" s="1"/>
  <c r="F16" i="27"/>
  <c r="G16" i="27" s="1"/>
  <c r="I17" i="26"/>
  <c r="J17" i="26" s="1"/>
  <c r="F17" i="26"/>
  <c r="G17" i="26" s="1"/>
  <c r="I16" i="26"/>
  <c r="J16" i="26" s="1"/>
  <c r="F16" i="26"/>
  <c r="G16" i="26" s="1"/>
  <c r="I17" i="19"/>
  <c r="J17" i="19" s="1"/>
  <c r="F17" i="19"/>
  <c r="G17" i="19" s="1"/>
  <c r="I16" i="19"/>
  <c r="J16" i="19" s="1"/>
  <c r="F16" i="19"/>
  <c r="G16" i="19" s="1"/>
  <c r="I17" i="20"/>
  <c r="J17" i="20" s="1"/>
  <c r="F17" i="20"/>
  <c r="G17" i="20" s="1"/>
  <c r="I16" i="20"/>
  <c r="J16" i="20" s="1"/>
  <c r="F16" i="20"/>
  <c r="G16" i="20" s="1"/>
  <c r="I17" i="21"/>
  <c r="J17" i="21" s="1"/>
  <c r="F17" i="21"/>
  <c r="G17" i="21" s="1"/>
  <c r="I16" i="21"/>
  <c r="J16" i="21" s="1"/>
  <c r="F16" i="21"/>
  <c r="G16" i="21" s="1"/>
  <c r="I17" i="4"/>
  <c r="J17" i="4" s="1"/>
  <c r="I16" i="4"/>
  <c r="J16" i="4" s="1"/>
  <c r="F16" i="3"/>
  <c r="G16" i="3" s="1"/>
  <c r="I16" i="3"/>
  <c r="J16" i="3" s="1"/>
  <c r="F17" i="3"/>
  <c r="G17" i="3" s="1"/>
  <c r="I17" i="3"/>
  <c r="J17" i="3" s="1"/>
  <c r="F16" i="72"/>
  <c r="G16" i="72" s="1"/>
  <c r="I16" i="72"/>
  <c r="J16" i="72" s="1"/>
  <c r="F17" i="72"/>
  <c r="G17" i="72" s="1"/>
  <c r="I17" i="72"/>
  <c r="J17" i="72" s="1"/>
  <c r="F15" i="72"/>
  <c r="G15" i="72" s="1"/>
  <c r="F14" i="72"/>
  <c r="G14" i="72" s="1"/>
  <c r="F13" i="72"/>
  <c r="G13" i="72" s="1"/>
  <c r="F12" i="72"/>
  <c r="G12" i="72" s="1"/>
  <c r="F11" i="72"/>
  <c r="G11" i="72" s="1"/>
  <c r="F10" i="72"/>
  <c r="G10" i="72" s="1"/>
  <c r="F9" i="72"/>
  <c r="G9" i="72" s="1"/>
  <c r="F8" i="72"/>
  <c r="G8" i="72" s="1"/>
  <c r="F7" i="72"/>
  <c r="G7" i="72" s="1"/>
  <c r="F6" i="72"/>
  <c r="G6" i="72" s="1"/>
  <c r="F5" i="72"/>
  <c r="G5" i="72" s="1"/>
  <c r="F4" i="72"/>
  <c r="G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G4" i="3" s="1"/>
  <c r="I4" i="3"/>
  <c r="J4" i="3" s="1"/>
  <c r="F5" i="3"/>
  <c r="G5" i="3" s="1"/>
  <c r="I5" i="3"/>
  <c r="J5" i="3" s="1"/>
  <c r="F6" i="3"/>
  <c r="G6" i="3" s="1"/>
  <c r="I6" i="3"/>
  <c r="J6" i="3" s="1"/>
  <c r="F7" i="3"/>
  <c r="G7" i="3" s="1"/>
  <c r="I7" i="3"/>
  <c r="J7" i="3" s="1"/>
  <c r="F8" i="3"/>
  <c r="G8" i="3" s="1"/>
  <c r="I8" i="3"/>
  <c r="J8" i="3" s="1"/>
  <c r="F9" i="3"/>
  <c r="G9" i="3" s="1"/>
  <c r="I9" i="3"/>
  <c r="J9" i="3" s="1"/>
  <c r="F10" i="3"/>
  <c r="G10" i="3" s="1"/>
  <c r="I10" i="3"/>
  <c r="J10" i="3" s="1"/>
  <c r="F11" i="3"/>
  <c r="G11" i="3" s="1"/>
  <c r="I11" i="3"/>
  <c r="J11" i="3" s="1"/>
  <c r="F12" i="3"/>
  <c r="G12" i="3" s="1"/>
  <c r="I12" i="3"/>
  <c r="J12" i="3" s="1"/>
  <c r="F13" i="3"/>
  <c r="G13" i="3" s="1"/>
  <c r="I13" i="3"/>
  <c r="J13" i="3" s="1"/>
  <c r="F14" i="3"/>
  <c r="G14" i="3" s="1"/>
  <c r="I14" i="3"/>
  <c r="J14" i="3" s="1"/>
  <c r="F15" i="3"/>
  <c r="G15" i="3" s="1"/>
  <c r="I15" i="3"/>
  <c r="J15" i="3" s="1"/>
  <c r="H6" i="1"/>
  <c r="H6" i="34" s="1"/>
  <c r="H7" i="1"/>
  <c r="H7" i="34" s="1"/>
  <c r="H8" i="1"/>
  <c r="H8" i="34" s="1"/>
  <c r="H9" i="1"/>
  <c r="H9" i="34" s="1"/>
  <c r="H10" i="1"/>
  <c r="H10" i="34" s="1"/>
  <c r="H11" i="1"/>
  <c r="H11" i="34" s="1"/>
  <c r="H12" i="1"/>
  <c r="H12" i="34" s="1"/>
  <c r="H13" i="1"/>
  <c r="H13" i="34" s="1"/>
  <c r="H14" i="1"/>
  <c r="H14" i="34" s="1"/>
  <c r="H15" i="1"/>
  <c r="H15" i="34" s="1"/>
  <c r="H5" i="1"/>
  <c r="H5" i="34" s="1"/>
  <c r="H4" i="1"/>
  <c r="B4" i="34" a="1"/>
  <c r="B4" i="34" s="1"/>
  <c r="A4" i="34" a="1"/>
  <c r="A4" i="34" s="1"/>
  <c r="A1" i="34" a="1"/>
  <c r="A1" i="34" s="1"/>
  <c r="E15" i="30"/>
  <c r="D15" i="30"/>
  <c r="E14" i="30"/>
  <c r="D14" i="30"/>
  <c r="E13" i="30"/>
  <c r="D13" i="30"/>
  <c r="E12" i="30"/>
  <c r="D12" i="30"/>
  <c r="E11" i="30"/>
  <c r="D11" i="30"/>
  <c r="F11" i="30" s="1"/>
  <c r="G11" i="30" s="1"/>
  <c r="E10" i="30"/>
  <c r="D10" i="30"/>
  <c r="E9" i="30"/>
  <c r="D9" i="30"/>
  <c r="E8" i="30"/>
  <c r="D8" i="30"/>
  <c r="E7" i="30"/>
  <c r="D7" i="30"/>
  <c r="E6" i="30"/>
  <c r="D6" i="30"/>
  <c r="E5" i="30"/>
  <c r="D5" i="30"/>
  <c r="E4" i="30"/>
  <c r="D4" i="30"/>
  <c r="E15" i="29"/>
  <c r="E14" i="29"/>
  <c r="E13" i="29"/>
  <c r="E12" i="29"/>
  <c r="E11" i="29"/>
  <c r="E10" i="29"/>
  <c r="E9" i="29"/>
  <c r="E8" i="29"/>
  <c r="E7" i="29"/>
  <c r="E6" i="29"/>
  <c r="E5" i="29"/>
  <c r="E4" i="29"/>
  <c r="D4" i="29"/>
  <c r="E15" i="18"/>
  <c r="E15" i="34" s="1"/>
  <c r="D15" i="18"/>
  <c r="D15" i="34" s="1"/>
  <c r="E14" i="18"/>
  <c r="E14" i="34" s="1"/>
  <c r="D14" i="18"/>
  <c r="D14" i="34" s="1"/>
  <c r="E13" i="18"/>
  <c r="E13" i="34" s="1"/>
  <c r="D13" i="18"/>
  <c r="D13" i="34" s="1"/>
  <c r="E12" i="18"/>
  <c r="E12" i="34" s="1"/>
  <c r="D12" i="18"/>
  <c r="D12" i="34" s="1"/>
  <c r="E11" i="18"/>
  <c r="E11" i="34" s="1"/>
  <c r="D11" i="18"/>
  <c r="D11" i="34" s="1"/>
  <c r="E10" i="18"/>
  <c r="E10" i="34" s="1"/>
  <c r="D10" i="18"/>
  <c r="D10" i="34" s="1"/>
  <c r="E9" i="18"/>
  <c r="E9" i="34" s="1"/>
  <c r="D9" i="18"/>
  <c r="D9" i="34" s="1"/>
  <c r="E8" i="18"/>
  <c r="E8" i="34" s="1"/>
  <c r="D8" i="18"/>
  <c r="D8" i="34" s="1"/>
  <c r="E7" i="18"/>
  <c r="E7" i="34" s="1"/>
  <c r="D7" i="18"/>
  <c r="D7" i="34" s="1"/>
  <c r="E6" i="18"/>
  <c r="E6" i="34" s="1"/>
  <c r="D6" i="18"/>
  <c r="D6" i="34" s="1"/>
  <c r="E5" i="18"/>
  <c r="E5" i="34" s="1"/>
  <c r="D5" i="18"/>
  <c r="D5" i="34" s="1"/>
  <c r="E4" i="18"/>
  <c r="D4" i="18"/>
  <c r="B4" i="30" a="1"/>
  <c r="B4" i="30" s="1"/>
  <c r="H2" i="30"/>
  <c r="A1" i="30" a="1"/>
  <c r="A1" i="30" s="1"/>
  <c r="B4" i="29" a="1"/>
  <c r="B4" i="29" s="1"/>
  <c r="A4" i="29" a="1"/>
  <c r="A4" i="29" s="1"/>
  <c r="H2" i="29"/>
  <c r="A1" i="29" a="1"/>
  <c r="A1" i="29" s="1"/>
  <c r="B4" i="18" a="1"/>
  <c r="B4" i="18" s="1"/>
  <c r="A4" i="18" a="1"/>
  <c r="A4" i="18" s="1"/>
  <c r="H2" i="18"/>
  <c r="A1" i="18" a="1"/>
  <c r="A1" i="18" s="1"/>
  <c r="D15" i="1"/>
  <c r="D14" i="1"/>
  <c r="D13" i="1"/>
  <c r="D12" i="1"/>
  <c r="D11" i="1"/>
  <c r="D10" i="1"/>
  <c r="D9" i="1"/>
  <c r="D8" i="1"/>
  <c r="D7" i="1"/>
  <c r="D6" i="1"/>
  <c r="D5" i="1"/>
  <c r="D4" i="1"/>
  <c r="E6" i="1"/>
  <c r="E7" i="1"/>
  <c r="E8" i="1"/>
  <c r="E9" i="1"/>
  <c r="E10" i="1"/>
  <c r="E11" i="1"/>
  <c r="E12" i="1"/>
  <c r="E13" i="1"/>
  <c r="E14" i="1"/>
  <c r="E15" i="1"/>
  <c r="E5" i="1"/>
  <c r="E4" i="1"/>
  <c r="B4" i="1" a="1"/>
  <c r="B4" i="1" s="1"/>
  <c r="A4" i="1" a="1"/>
  <c r="A4" i="1" s="1"/>
  <c r="A1" i="1" a="1"/>
  <c r="A1" i="1" s="1"/>
  <c r="I15" i="33"/>
  <c r="J15" i="33" s="1"/>
  <c r="F15" i="33"/>
  <c r="G15" i="33" s="1"/>
  <c r="I14" i="33"/>
  <c r="J14" i="33" s="1"/>
  <c r="F14" i="33"/>
  <c r="G14" i="33" s="1"/>
  <c r="I13" i="33"/>
  <c r="J13" i="33" s="1"/>
  <c r="F13" i="33"/>
  <c r="G13" i="33" s="1"/>
  <c r="I12" i="33"/>
  <c r="J12" i="33" s="1"/>
  <c r="F12" i="33"/>
  <c r="G12" i="33" s="1"/>
  <c r="I11" i="33"/>
  <c r="J11" i="33" s="1"/>
  <c r="F11" i="33"/>
  <c r="G11" i="33" s="1"/>
  <c r="I10" i="33"/>
  <c r="J10" i="33" s="1"/>
  <c r="F10" i="33"/>
  <c r="G10" i="33" s="1"/>
  <c r="I9" i="33"/>
  <c r="J9" i="33" s="1"/>
  <c r="F9" i="33"/>
  <c r="G9" i="33" s="1"/>
  <c r="I8" i="33"/>
  <c r="J8" i="33" s="1"/>
  <c r="F8" i="33"/>
  <c r="G8" i="33" s="1"/>
  <c r="I7" i="33"/>
  <c r="J7" i="33" s="1"/>
  <c r="F7" i="33"/>
  <c r="G7" i="33" s="1"/>
  <c r="J6" i="33"/>
  <c r="I6" i="33"/>
  <c r="F6" i="33"/>
  <c r="G6" i="33" s="1"/>
  <c r="I5" i="33"/>
  <c r="J5" i="33" s="1"/>
  <c r="F5" i="33"/>
  <c r="G5" i="33" s="1"/>
  <c r="I4" i="33"/>
  <c r="J4" i="33" s="1"/>
  <c r="F4" i="33"/>
  <c r="G4" i="33" s="1"/>
  <c r="H2" i="33"/>
  <c r="E2" i="33"/>
  <c r="D2" i="33"/>
  <c r="A1" i="33" a="1"/>
  <c r="A1" i="33" s="1"/>
  <c r="I15" i="32"/>
  <c r="J15" i="32" s="1"/>
  <c r="G15" i="32"/>
  <c r="F15" i="32"/>
  <c r="I14" i="32"/>
  <c r="J14" i="32" s="1"/>
  <c r="F14" i="32"/>
  <c r="G14" i="32" s="1"/>
  <c r="I13" i="32"/>
  <c r="J13" i="32" s="1"/>
  <c r="F13" i="32"/>
  <c r="G13" i="32" s="1"/>
  <c r="I12" i="32"/>
  <c r="J12" i="32" s="1"/>
  <c r="F12" i="32"/>
  <c r="G12" i="32" s="1"/>
  <c r="I11" i="32"/>
  <c r="J11" i="32" s="1"/>
  <c r="F11" i="32"/>
  <c r="G11" i="32" s="1"/>
  <c r="I10" i="32"/>
  <c r="J10" i="32" s="1"/>
  <c r="F10" i="32"/>
  <c r="G10" i="32" s="1"/>
  <c r="I9" i="32"/>
  <c r="J9" i="32" s="1"/>
  <c r="F9" i="32"/>
  <c r="G9" i="32" s="1"/>
  <c r="I8" i="32"/>
  <c r="J8" i="32" s="1"/>
  <c r="F8" i="32"/>
  <c r="G8" i="32" s="1"/>
  <c r="I7" i="32"/>
  <c r="J7" i="32" s="1"/>
  <c r="F7" i="32"/>
  <c r="G7" i="32" s="1"/>
  <c r="I6" i="32"/>
  <c r="J6" i="32" s="1"/>
  <c r="G6" i="32"/>
  <c r="F6" i="32"/>
  <c r="I5" i="32"/>
  <c r="J5" i="32" s="1"/>
  <c r="F5" i="32"/>
  <c r="G5" i="32" s="1"/>
  <c r="I4" i="32"/>
  <c r="J4" i="32" s="1"/>
  <c r="F4" i="32"/>
  <c r="G4" i="32" s="1"/>
  <c r="H2" i="32"/>
  <c r="E2" i="32"/>
  <c r="D2" i="32"/>
  <c r="A1" i="32" a="1"/>
  <c r="A1" i="32" s="1"/>
  <c r="I15" i="31"/>
  <c r="J15" i="31" s="1"/>
  <c r="F15" i="31"/>
  <c r="G15" i="31" s="1"/>
  <c r="I14" i="31"/>
  <c r="J14" i="31" s="1"/>
  <c r="F14" i="31"/>
  <c r="G14" i="31" s="1"/>
  <c r="I13" i="31"/>
  <c r="J13" i="31" s="1"/>
  <c r="F13" i="31"/>
  <c r="G13" i="31" s="1"/>
  <c r="I12" i="31"/>
  <c r="J12" i="31" s="1"/>
  <c r="F12" i="31"/>
  <c r="G12" i="31" s="1"/>
  <c r="I11" i="31"/>
  <c r="J11" i="31" s="1"/>
  <c r="F11" i="31"/>
  <c r="G11" i="31" s="1"/>
  <c r="I10" i="31"/>
  <c r="J10" i="31" s="1"/>
  <c r="F10" i="31"/>
  <c r="G10" i="31" s="1"/>
  <c r="I9" i="31"/>
  <c r="J9" i="31" s="1"/>
  <c r="F9" i="31"/>
  <c r="G9" i="31" s="1"/>
  <c r="I8" i="31"/>
  <c r="J8" i="31" s="1"/>
  <c r="F8" i="31"/>
  <c r="G8" i="31" s="1"/>
  <c r="I7" i="31"/>
  <c r="J7" i="31" s="1"/>
  <c r="F7" i="31"/>
  <c r="G7" i="31" s="1"/>
  <c r="I6" i="31"/>
  <c r="J6" i="31" s="1"/>
  <c r="F6" i="31"/>
  <c r="G6" i="31" s="1"/>
  <c r="I5" i="31"/>
  <c r="J5" i="31" s="1"/>
  <c r="F5" i="31"/>
  <c r="G5" i="31" s="1"/>
  <c r="I4" i="31"/>
  <c r="J4" i="31" s="1"/>
  <c r="F4" i="31"/>
  <c r="G4" i="31" s="1"/>
  <c r="H2" i="31"/>
  <c r="E2" i="31"/>
  <c r="D2" i="31"/>
  <c r="A1" i="31" a="1"/>
  <c r="A1" i="31" s="1"/>
  <c r="I15" i="28"/>
  <c r="J15" i="28" s="1"/>
  <c r="F15" i="28"/>
  <c r="G15" i="28" s="1"/>
  <c r="I14" i="28"/>
  <c r="J14" i="28" s="1"/>
  <c r="F14" i="28"/>
  <c r="G14" i="28" s="1"/>
  <c r="I13" i="28"/>
  <c r="J13" i="28" s="1"/>
  <c r="F13" i="28"/>
  <c r="G13" i="28" s="1"/>
  <c r="I12" i="28"/>
  <c r="J12" i="28" s="1"/>
  <c r="F12" i="28"/>
  <c r="G12" i="28" s="1"/>
  <c r="I11" i="28"/>
  <c r="J11" i="28" s="1"/>
  <c r="F11" i="28"/>
  <c r="G11" i="28" s="1"/>
  <c r="J10" i="28"/>
  <c r="I10" i="28"/>
  <c r="F10" i="28"/>
  <c r="G10" i="28" s="1"/>
  <c r="I9" i="28"/>
  <c r="J9" i="28" s="1"/>
  <c r="F9" i="28"/>
  <c r="G9" i="28" s="1"/>
  <c r="I8" i="28"/>
  <c r="J8" i="28" s="1"/>
  <c r="F8" i="28"/>
  <c r="G8" i="28" s="1"/>
  <c r="I7" i="28"/>
  <c r="J7" i="28" s="1"/>
  <c r="F7" i="28"/>
  <c r="G7" i="28" s="1"/>
  <c r="I6" i="28"/>
  <c r="J6" i="28" s="1"/>
  <c r="F6" i="28"/>
  <c r="G6" i="28" s="1"/>
  <c r="I5" i="28"/>
  <c r="J5" i="28" s="1"/>
  <c r="F5" i="28"/>
  <c r="G5" i="28" s="1"/>
  <c r="I4" i="28"/>
  <c r="J4" i="28" s="1"/>
  <c r="F4" i="28"/>
  <c r="G4" i="28" s="1"/>
  <c r="B4" i="28" a="1"/>
  <c r="B4" i="28" s="1"/>
  <c r="A4" i="28" a="1"/>
  <c r="A4" i="28" s="1"/>
  <c r="H2" i="28"/>
  <c r="E2" i="28"/>
  <c r="D2" i="28"/>
  <c r="A1" i="28" a="1"/>
  <c r="A1" i="28" s="1"/>
  <c r="I15" i="27"/>
  <c r="J15" i="27" s="1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H2" i="27"/>
  <c r="E2" i="27"/>
  <c r="D2" i="27"/>
  <c r="A1" i="27" a="1"/>
  <c r="A1" i="27" s="1"/>
  <c r="I15" i="26"/>
  <c r="F15" i="26"/>
  <c r="G15" i="26" s="1"/>
  <c r="I14" i="26"/>
  <c r="J14" i="26" s="1"/>
  <c r="F14" i="26"/>
  <c r="G14" i="26" s="1"/>
  <c r="I13" i="26"/>
  <c r="J13" i="26" s="1"/>
  <c r="F13" i="26"/>
  <c r="G13" i="26" s="1"/>
  <c r="I12" i="26"/>
  <c r="I12" i="29" s="1"/>
  <c r="J12" i="29" s="1"/>
  <c r="F12" i="26"/>
  <c r="G12" i="26" s="1"/>
  <c r="I11" i="26"/>
  <c r="J11" i="26" s="1"/>
  <c r="F11" i="26"/>
  <c r="G11" i="26" s="1"/>
  <c r="I10" i="26"/>
  <c r="J10" i="26" s="1"/>
  <c r="F10" i="26"/>
  <c r="G10" i="26" s="1"/>
  <c r="I9" i="26"/>
  <c r="F9" i="26"/>
  <c r="G9" i="26" s="1"/>
  <c r="I8" i="26"/>
  <c r="J8" i="26" s="1"/>
  <c r="F8" i="26"/>
  <c r="G8" i="26" s="1"/>
  <c r="I7" i="26"/>
  <c r="F7" i="26"/>
  <c r="G7" i="26" s="1"/>
  <c r="I6" i="26"/>
  <c r="F6" i="26"/>
  <c r="G6" i="26" s="1"/>
  <c r="I5" i="26"/>
  <c r="J5" i="26" s="1"/>
  <c r="F5" i="26"/>
  <c r="G5" i="26" s="1"/>
  <c r="I4" i="26"/>
  <c r="J4" i="26" s="1"/>
  <c r="F4" i="26"/>
  <c r="G4" i="26" s="1"/>
  <c r="H2" i="26"/>
  <c r="E2" i="26"/>
  <c r="D2" i="26"/>
  <c r="A1" i="26" a="1"/>
  <c r="A1" i="26" s="1"/>
  <c r="I15" i="19"/>
  <c r="J15" i="19" s="1"/>
  <c r="F15" i="19"/>
  <c r="G15" i="19" s="1"/>
  <c r="I14" i="19"/>
  <c r="J14" i="19" s="1"/>
  <c r="F14" i="19"/>
  <c r="G14" i="19" s="1"/>
  <c r="I13" i="19"/>
  <c r="J13" i="19" s="1"/>
  <c r="F13" i="19"/>
  <c r="G13" i="19" s="1"/>
  <c r="I12" i="19"/>
  <c r="J12" i="19" s="1"/>
  <c r="F12" i="19"/>
  <c r="G12" i="19" s="1"/>
  <c r="I11" i="19"/>
  <c r="J11" i="19" s="1"/>
  <c r="F11" i="19"/>
  <c r="G11" i="19" s="1"/>
  <c r="I10" i="19"/>
  <c r="J10" i="19" s="1"/>
  <c r="F10" i="19"/>
  <c r="G10" i="19" s="1"/>
  <c r="I9" i="19"/>
  <c r="J9" i="19" s="1"/>
  <c r="F9" i="19"/>
  <c r="G9" i="19" s="1"/>
  <c r="I8" i="19"/>
  <c r="J8" i="19" s="1"/>
  <c r="F8" i="19"/>
  <c r="G8" i="19" s="1"/>
  <c r="I7" i="19"/>
  <c r="J7" i="19" s="1"/>
  <c r="F7" i="19"/>
  <c r="G7" i="19" s="1"/>
  <c r="I6" i="19"/>
  <c r="J6" i="19" s="1"/>
  <c r="F6" i="19"/>
  <c r="G6" i="19" s="1"/>
  <c r="I5" i="19"/>
  <c r="J5" i="19" s="1"/>
  <c r="F5" i="19"/>
  <c r="G5" i="19" s="1"/>
  <c r="I4" i="19"/>
  <c r="J4" i="19" s="1"/>
  <c r="F4" i="19"/>
  <c r="G4" i="19" s="1"/>
  <c r="A1" i="19" a="1"/>
  <c r="A1" i="19" s="1"/>
  <c r="I15" i="20"/>
  <c r="J15" i="20" s="1"/>
  <c r="F15" i="20"/>
  <c r="G15" i="20" s="1"/>
  <c r="I14" i="20"/>
  <c r="J14" i="20" s="1"/>
  <c r="F14" i="20"/>
  <c r="G14" i="20" s="1"/>
  <c r="I13" i="20"/>
  <c r="J13" i="20" s="1"/>
  <c r="F13" i="20"/>
  <c r="G13" i="20" s="1"/>
  <c r="I12" i="20"/>
  <c r="J12" i="20" s="1"/>
  <c r="F12" i="20"/>
  <c r="G12" i="20" s="1"/>
  <c r="I11" i="20"/>
  <c r="J11" i="20" s="1"/>
  <c r="F11" i="20"/>
  <c r="G11" i="20" s="1"/>
  <c r="I10" i="20"/>
  <c r="J10" i="20" s="1"/>
  <c r="F10" i="20"/>
  <c r="G10" i="20" s="1"/>
  <c r="I9" i="20"/>
  <c r="J9" i="20" s="1"/>
  <c r="F9" i="20"/>
  <c r="G9" i="20" s="1"/>
  <c r="I8" i="20"/>
  <c r="J8" i="20" s="1"/>
  <c r="F8" i="20"/>
  <c r="G8" i="20" s="1"/>
  <c r="I7" i="20"/>
  <c r="J7" i="20" s="1"/>
  <c r="F7" i="20"/>
  <c r="G7" i="20" s="1"/>
  <c r="I6" i="20"/>
  <c r="J6" i="20" s="1"/>
  <c r="F6" i="20"/>
  <c r="G6" i="20" s="1"/>
  <c r="I5" i="20"/>
  <c r="J5" i="20" s="1"/>
  <c r="F5" i="20"/>
  <c r="G5" i="20" s="1"/>
  <c r="I4" i="20"/>
  <c r="J4" i="20" s="1"/>
  <c r="F4" i="20"/>
  <c r="G4" i="20" s="1"/>
  <c r="A1" i="20" a="1"/>
  <c r="A1" i="20" s="1"/>
  <c r="I15" i="21"/>
  <c r="J15" i="21" s="1"/>
  <c r="F15" i="21"/>
  <c r="G15" i="21" s="1"/>
  <c r="I14" i="21"/>
  <c r="J14" i="21" s="1"/>
  <c r="F14" i="21"/>
  <c r="G14" i="21" s="1"/>
  <c r="I13" i="21"/>
  <c r="J13" i="21" s="1"/>
  <c r="F13" i="21"/>
  <c r="G13" i="21" s="1"/>
  <c r="I12" i="21"/>
  <c r="J12" i="21" s="1"/>
  <c r="F12" i="21"/>
  <c r="G12" i="21" s="1"/>
  <c r="I11" i="21"/>
  <c r="J11" i="21" s="1"/>
  <c r="F11" i="21"/>
  <c r="G11" i="21" s="1"/>
  <c r="I10" i="21"/>
  <c r="J10" i="21" s="1"/>
  <c r="F10" i="21"/>
  <c r="G10" i="21" s="1"/>
  <c r="I9" i="21"/>
  <c r="J9" i="21" s="1"/>
  <c r="F9" i="21"/>
  <c r="G9" i="21" s="1"/>
  <c r="I8" i="21"/>
  <c r="J8" i="21" s="1"/>
  <c r="F8" i="21"/>
  <c r="G8" i="21" s="1"/>
  <c r="I7" i="21"/>
  <c r="J7" i="21" s="1"/>
  <c r="F7" i="21"/>
  <c r="G7" i="21" s="1"/>
  <c r="I6" i="21"/>
  <c r="J6" i="21" s="1"/>
  <c r="F6" i="21"/>
  <c r="G6" i="21" s="1"/>
  <c r="I5" i="21"/>
  <c r="J5" i="21" s="1"/>
  <c r="F5" i="21"/>
  <c r="G5" i="21" s="1"/>
  <c r="I4" i="21"/>
  <c r="J4" i="21" s="1"/>
  <c r="F4" i="21"/>
  <c r="G4" i="21" s="1"/>
  <c r="A1" i="21" a="1"/>
  <c r="A1" i="21" s="1"/>
  <c r="I15" i="4"/>
  <c r="J15" i="4" s="1"/>
  <c r="I14" i="4"/>
  <c r="J14" i="4" s="1"/>
  <c r="I13" i="4"/>
  <c r="J13" i="4" s="1"/>
  <c r="F13" i="4"/>
  <c r="G13" i="4" s="1"/>
  <c r="I12" i="4"/>
  <c r="J12" i="4" s="1"/>
  <c r="F12" i="4"/>
  <c r="G12" i="4" s="1"/>
  <c r="I11" i="4"/>
  <c r="J11" i="4" s="1"/>
  <c r="F11" i="4"/>
  <c r="G11" i="4" s="1"/>
  <c r="I10" i="4"/>
  <c r="J10" i="4" s="1"/>
  <c r="F10" i="4"/>
  <c r="G10" i="4" s="1"/>
  <c r="I9" i="4"/>
  <c r="J9" i="4" s="1"/>
  <c r="F9" i="4"/>
  <c r="G9" i="4" s="1"/>
  <c r="I8" i="4"/>
  <c r="J8" i="4" s="1"/>
  <c r="F8" i="4"/>
  <c r="G8" i="4" s="1"/>
  <c r="I7" i="4"/>
  <c r="J7" i="4" s="1"/>
  <c r="F7" i="4"/>
  <c r="G7" i="4" s="1"/>
  <c r="I6" i="4"/>
  <c r="J6" i="4" s="1"/>
  <c r="F6" i="4"/>
  <c r="G6" i="4" s="1"/>
  <c r="I5" i="4"/>
  <c r="J5" i="4" s="1"/>
  <c r="F5" i="4"/>
  <c r="G5" i="4" s="1"/>
  <c r="I4" i="4"/>
  <c r="J4" i="4" s="1"/>
  <c r="F4" i="4"/>
  <c r="G4" i="4" s="1"/>
  <c r="A1" i="4" a="1"/>
  <c r="A1" i="4" s="1"/>
  <c r="K2" i="3"/>
  <c r="A1" i="3" a="1"/>
  <c r="A1" i="3" s="1"/>
  <c r="I6" i="72"/>
  <c r="J6" i="72" s="1"/>
  <c r="I7" i="72"/>
  <c r="J7" i="72" s="1"/>
  <c r="I8" i="72"/>
  <c r="J8" i="72" s="1"/>
  <c r="I9" i="72"/>
  <c r="J9" i="72" s="1"/>
  <c r="I10" i="72"/>
  <c r="J10" i="72" s="1"/>
  <c r="I11" i="72"/>
  <c r="J11" i="72" s="1"/>
  <c r="I12" i="72"/>
  <c r="J12" i="72" s="1"/>
  <c r="I13" i="72"/>
  <c r="J13" i="72" s="1"/>
  <c r="I14" i="72"/>
  <c r="J14" i="72" s="1"/>
  <c r="I15" i="72"/>
  <c r="J15" i="72" s="1"/>
  <c r="I5" i="72"/>
  <c r="J5" i="72" s="1"/>
  <c r="I4" i="72"/>
  <c r="J4" i="72" s="1"/>
  <c r="K2" i="72"/>
  <c r="A1" i="72" a="1"/>
  <c r="A1" i="72" s="1"/>
  <c r="F16" i="18" l="1"/>
  <c r="G16" i="18" s="1"/>
  <c r="I7" i="29"/>
  <c r="J7" i="29" s="1"/>
  <c r="I15" i="29"/>
  <c r="J15" i="29" s="1"/>
  <c r="F6" i="18"/>
  <c r="G6" i="18" s="1"/>
  <c r="F10" i="18"/>
  <c r="G10" i="18" s="1"/>
  <c r="F6" i="29"/>
  <c r="G6" i="29" s="1"/>
  <c r="F10" i="29"/>
  <c r="G10" i="29" s="1"/>
  <c r="F10" i="30"/>
  <c r="G10" i="30" s="1"/>
  <c r="F14" i="30"/>
  <c r="G14" i="30" s="1"/>
  <c r="E2" i="1"/>
  <c r="F8" i="30"/>
  <c r="G8" i="30" s="1"/>
  <c r="F12" i="30"/>
  <c r="G12" i="30" s="1"/>
  <c r="F17" i="30"/>
  <c r="G17" i="30" s="1"/>
  <c r="F16" i="29"/>
  <c r="G16" i="29" s="1"/>
  <c r="F9" i="30"/>
  <c r="G9" i="30" s="1"/>
  <c r="F13" i="30"/>
  <c r="G13" i="30" s="1"/>
  <c r="E2" i="18"/>
  <c r="F17" i="18"/>
  <c r="G17" i="18" s="1"/>
  <c r="D2" i="1"/>
  <c r="H2" i="1"/>
  <c r="H2" i="34"/>
  <c r="F17" i="1"/>
  <c r="G17" i="1" s="1"/>
  <c r="F16" i="1"/>
  <c r="G16" i="1" s="1"/>
  <c r="F16" i="34"/>
  <c r="G16" i="34" s="1"/>
  <c r="F15" i="30"/>
  <c r="G15" i="30" s="1"/>
  <c r="E2" i="30"/>
  <c r="F5" i="30"/>
  <c r="G5" i="30" s="1"/>
  <c r="F6" i="30"/>
  <c r="G6" i="30" s="1"/>
  <c r="I16" i="30"/>
  <c r="J16" i="30" s="1"/>
  <c r="I6" i="30"/>
  <c r="J6" i="30" s="1"/>
  <c r="I17" i="30"/>
  <c r="J17" i="30" s="1"/>
  <c r="F4" i="30"/>
  <c r="G4" i="30" s="1"/>
  <c r="F17" i="29"/>
  <c r="G17" i="29" s="1"/>
  <c r="F13" i="29"/>
  <c r="G13" i="29" s="1"/>
  <c r="F14" i="29"/>
  <c r="G14" i="29" s="1"/>
  <c r="I9" i="29"/>
  <c r="J9" i="29" s="1"/>
  <c r="I6" i="29"/>
  <c r="J6" i="29" s="1"/>
  <c r="E2" i="29"/>
  <c r="F5" i="29"/>
  <c r="G5" i="29" s="1"/>
  <c r="F9" i="29"/>
  <c r="G9" i="29" s="1"/>
  <c r="I17" i="29"/>
  <c r="J17" i="29" s="1"/>
  <c r="I10" i="29"/>
  <c r="J10" i="29" s="1"/>
  <c r="I13" i="29"/>
  <c r="J13" i="29" s="1"/>
  <c r="F11" i="29"/>
  <c r="G11" i="29" s="1"/>
  <c r="F8" i="29"/>
  <c r="G8" i="29" s="1"/>
  <c r="F12" i="29"/>
  <c r="G12" i="29" s="1"/>
  <c r="I16" i="29"/>
  <c r="J16" i="29" s="1"/>
  <c r="F9" i="18"/>
  <c r="G9" i="18" s="1"/>
  <c r="F14" i="18"/>
  <c r="G14" i="18" s="1"/>
  <c r="F5" i="18"/>
  <c r="G5" i="18" s="1"/>
  <c r="F13" i="18"/>
  <c r="G13" i="18" s="1"/>
  <c r="I16" i="18"/>
  <c r="E4" i="34"/>
  <c r="E2" i="34" s="1"/>
  <c r="F7" i="18"/>
  <c r="G7" i="18" s="1"/>
  <c r="F11" i="18"/>
  <c r="G11" i="18" s="1"/>
  <c r="F15" i="18"/>
  <c r="G15" i="18" s="1"/>
  <c r="I17" i="18"/>
  <c r="F4" i="18"/>
  <c r="G4" i="18" s="1"/>
  <c r="F8" i="18"/>
  <c r="G8" i="18" s="1"/>
  <c r="F12" i="18"/>
  <c r="G12" i="18" s="1"/>
  <c r="F17" i="34"/>
  <c r="G17" i="34" s="1"/>
  <c r="I17" i="1"/>
  <c r="J17" i="1" s="1"/>
  <c r="I16" i="1"/>
  <c r="J16" i="1" s="1"/>
  <c r="I2" i="33"/>
  <c r="J2" i="33" s="1"/>
  <c r="K2" i="33"/>
  <c r="I2" i="32"/>
  <c r="J2" i="32" s="1"/>
  <c r="K2" i="32"/>
  <c r="I2" i="31"/>
  <c r="J2" i="31" s="1"/>
  <c r="K2" i="31"/>
  <c r="I2" i="28"/>
  <c r="J2" i="28" s="1"/>
  <c r="K2" i="28"/>
  <c r="F2" i="28"/>
  <c r="G2" i="28" s="1"/>
  <c r="I2" i="27"/>
  <c r="J2" i="27" s="1"/>
  <c r="K2" i="27"/>
  <c r="I2" i="26"/>
  <c r="J2" i="26" s="1"/>
  <c r="K2" i="26"/>
  <c r="I2" i="19"/>
  <c r="J2" i="19" s="1"/>
  <c r="K2" i="19"/>
  <c r="F2" i="20"/>
  <c r="G2" i="20" s="1"/>
  <c r="K2" i="20"/>
  <c r="I2" i="20"/>
  <c r="J2" i="20" s="1"/>
  <c r="I2" i="21"/>
  <c r="J2" i="21" s="1"/>
  <c r="K2" i="21"/>
  <c r="I2" i="4"/>
  <c r="J2" i="4" s="1"/>
  <c r="K2" i="4"/>
  <c r="I2" i="3"/>
  <c r="J2" i="3" s="1"/>
  <c r="F11" i="34"/>
  <c r="G11" i="34" s="1"/>
  <c r="F7" i="1"/>
  <c r="G7" i="1" s="1"/>
  <c r="F15" i="1"/>
  <c r="G15" i="1" s="1"/>
  <c r="F12" i="34"/>
  <c r="G12" i="34" s="1"/>
  <c r="F5" i="34"/>
  <c r="G5" i="34" s="1"/>
  <c r="F13" i="34"/>
  <c r="G13" i="34" s="1"/>
  <c r="F6" i="34"/>
  <c r="G6" i="34" s="1"/>
  <c r="F8" i="1"/>
  <c r="G8" i="1" s="1"/>
  <c r="F11" i="1"/>
  <c r="G11" i="1" s="1"/>
  <c r="F9" i="1"/>
  <c r="G9" i="1" s="1"/>
  <c r="F10" i="1"/>
  <c r="G10" i="1" s="1"/>
  <c r="F12" i="1"/>
  <c r="G12" i="1" s="1"/>
  <c r="F9" i="34"/>
  <c r="G9" i="34" s="1"/>
  <c r="F5" i="1"/>
  <c r="G5" i="1" s="1"/>
  <c r="F13" i="1"/>
  <c r="G13" i="1" s="1"/>
  <c r="F10" i="34"/>
  <c r="G10" i="34" s="1"/>
  <c r="F6" i="1"/>
  <c r="G6" i="1" s="1"/>
  <c r="F14" i="1"/>
  <c r="G14" i="1" s="1"/>
  <c r="I14" i="30"/>
  <c r="J14" i="30" s="1"/>
  <c r="I9" i="30"/>
  <c r="J9" i="30" s="1"/>
  <c r="I4" i="30"/>
  <c r="J4" i="30" s="1"/>
  <c r="F7" i="30"/>
  <c r="G7" i="30" s="1"/>
  <c r="I12" i="30"/>
  <c r="J12" i="30" s="1"/>
  <c r="I7" i="30"/>
  <c r="J7" i="30" s="1"/>
  <c r="I15" i="30"/>
  <c r="J15" i="30" s="1"/>
  <c r="I10" i="30"/>
  <c r="J10" i="30" s="1"/>
  <c r="I5" i="30"/>
  <c r="J5" i="30" s="1"/>
  <c r="I13" i="30"/>
  <c r="J13" i="30" s="1"/>
  <c r="I8" i="30"/>
  <c r="J8" i="30" s="1"/>
  <c r="I11" i="30"/>
  <c r="J11" i="30" s="1"/>
  <c r="F7" i="29"/>
  <c r="G7" i="29" s="1"/>
  <c r="I8" i="29"/>
  <c r="J8" i="29" s="1"/>
  <c r="I11" i="29"/>
  <c r="J11" i="29" s="1"/>
  <c r="J6" i="26"/>
  <c r="J9" i="26"/>
  <c r="J12" i="26"/>
  <c r="J15" i="26"/>
  <c r="I14" i="29"/>
  <c r="J14" i="29" s="1"/>
  <c r="I4" i="29"/>
  <c r="J4" i="29" s="1"/>
  <c r="F15" i="29"/>
  <c r="G15" i="29" s="1"/>
  <c r="I5" i="29"/>
  <c r="J5" i="29" s="1"/>
  <c r="J7" i="26"/>
  <c r="I14" i="18"/>
  <c r="I9" i="18"/>
  <c r="I6" i="18"/>
  <c r="I4" i="18"/>
  <c r="J4" i="18" s="1"/>
  <c r="I12" i="18"/>
  <c r="I7" i="18"/>
  <c r="I15" i="18"/>
  <c r="I10" i="18"/>
  <c r="D4" i="34"/>
  <c r="D2" i="34" s="1"/>
  <c r="I5" i="18"/>
  <c r="I13" i="18"/>
  <c r="I8" i="18"/>
  <c r="I11" i="18"/>
  <c r="F7" i="34"/>
  <c r="G7" i="34" s="1"/>
  <c r="F8" i="34"/>
  <c r="G8" i="34" s="1"/>
  <c r="F14" i="34"/>
  <c r="G14" i="34" s="1"/>
  <c r="F15" i="34"/>
  <c r="G15" i="34" s="1"/>
  <c r="D2" i="29"/>
  <c r="F2" i="29" s="1"/>
  <c r="G2" i="29" s="1"/>
  <c r="D2" i="30"/>
  <c r="F4" i="29"/>
  <c r="G4" i="29" s="1"/>
  <c r="D2" i="18"/>
  <c r="I7" i="1"/>
  <c r="J7" i="1" s="1"/>
  <c r="I4" i="1"/>
  <c r="I5" i="1"/>
  <c r="J5" i="1" s="1"/>
  <c r="I15" i="1"/>
  <c r="J15" i="1" s="1"/>
  <c r="I12" i="1"/>
  <c r="J12" i="1" s="1"/>
  <c r="I11" i="1"/>
  <c r="J11" i="1" s="1"/>
  <c r="I10" i="1"/>
  <c r="J10" i="1" s="1"/>
  <c r="I6" i="1"/>
  <c r="J6" i="1" s="1"/>
  <c r="F2" i="3"/>
  <c r="G2" i="3" s="1"/>
  <c r="F4" i="1"/>
  <c r="G4" i="1" s="1"/>
  <c r="I14" i="1"/>
  <c r="J14" i="1" s="1"/>
  <c r="I13" i="1"/>
  <c r="J13" i="1" s="1"/>
  <c r="I9" i="1"/>
  <c r="J9" i="1" s="1"/>
  <c r="I8" i="1"/>
  <c r="J8" i="1" s="1"/>
  <c r="F2" i="33"/>
  <c r="G2" i="33" s="1"/>
  <c r="F2" i="32"/>
  <c r="G2" i="32" s="1"/>
  <c r="F2" i="31"/>
  <c r="G2" i="31" s="1"/>
  <c r="F2" i="27"/>
  <c r="G2" i="27" s="1"/>
  <c r="F2" i="26"/>
  <c r="G2" i="26" s="1"/>
  <c r="F2" i="19"/>
  <c r="G2" i="19" s="1"/>
  <c r="F2" i="21"/>
  <c r="G2" i="21" s="1"/>
  <c r="F2" i="4"/>
  <c r="G2" i="4" s="1"/>
  <c r="I2" i="72"/>
  <c r="J12" i="18" l="1"/>
  <c r="I12" i="34"/>
  <c r="J12" i="34" s="1"/>
  <c r="J11" i="18"/>
  <c r="I11" i="34"/>
  <c r="J11" i="34" s="1"/>
  <c r="J17" i="18"/>
  <c r="I17" i="34"/>
  <c r="J17" i="34" s="1"/>
  <c r="J6" i="18"/>
  <c r="I6" i="34"/>
  <c r="J6" i="34" s="1"/>
  <c r="J16" i="18"/>
  <c r="I16" i="34"/>
  <c r="J16" i="34" s="1"/>
  <c r="J15" i="18"/>
  <c r="I15" i="34"/>
  <c r="J15" i="34" s="1"/>
  <c r="J14" i="18"/>
  <c r="I14" i="34"/>
  <c r="J14" i="34" s="1"/>
  <c r="J13" i="18"/>
  <c r="I13" i="34"/>
  <c r="J13" i="34" s="1"/>
  <c r="J10" i="18"/>
  <c r="I10" i="34"/>
  <c r="J10" i="34" s="1"/>
  <c r="J9" i="18"/>
  <c r="I9" i="34"/>
  <c r="J9" i="34" s="1"/>
  <c r="J8" i="18"/>
  <c r="I8" i="34"/>
  <c r="J8" i="34" s="1"/>
  <c r="J7" i="18"/>
  <c r="I7" i="34"/>
  <c r="J7" i="34" s="1"/>
  <c r="J5" i="18"/>
  <c r="I5" i="34"/>
  <c r="J5" i="34" s="1"/>
  <c r="F4" i="34"/>
  <c r="G4" i="34" s="1"/>
  <c r="I2" i="1"/>
  <c r="J2" i="1" s="1"/>
  <c r="I2" i="34"/>
  <c r="J2" i="34" s="1"/>
  <c r="J4" i="1"/>
  <c r="I4" i="34"/>
  <c r="J4" i="34" s="1"/>
  <c r="I2" i="29"/>
  <c r="J2" i="29" s="1"/>
  <c r="I2" i="30"/>
  <c r="J2" i="30" s="1"/>
  <c r="F2" i="30"/>
  <c r="G2" i="30" s="1"/>
  <c r="I2" i="18"/>
  <c r="J2" i="18" s="1"/>
  <c r="F2" i="18"/>
  <c r="G2" i="18" s="1"/>
  <c r="F2" i="1"/>
  <c r="G2" i="1" s="1"/>
  <c r="J2" i="72"/>
  <c r="F2" i="72"/>
  <c r="G2" i="72" s="1"/>
  <c r="F2" i="34" l="1"/>
  <c r="G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tc={DF67D825-C883-44F2-8EA5-D891A5BC6DA2}</author>
    <author>tc={A315C444-F93F-4C05-92FF-4E51C72D0B9B}</author>
  </authors>
  <commentList>
    <comment ref="D81" authorId="0" shapeId="0" xr:uid="{DF67D825-C883-44F2-8EA5-D891A5BC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  <comment ref="D89" authorId="1" shapeId="0" xr:uid="{A315C444-F93F-4C05-92FF-4E51C72D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<sst xmlns="http://schemas.openxmlformats.org/spreadsheetml/2006/main" count="1899" uniqueCount="1048">
  <si>
    <t>Year to Date Actual v. Expected</t>
  </si>
  <si>
    <t>Year to Date Actual v. Forecasted</t>
  </si>
  <si>
    <t>Total</t>
  </si>
  <si>
    <t>Site</t>
  </si>
  <si>
    <t>State</t>
  </si>
  <si>
    <t>SOL#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</si>
  <si>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</si>
  <si>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</si>
  <si>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</si>
  <si>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</si>
  <si>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</si>
  <si>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</si>
  <si>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</si>
  <si>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</si>
  <si>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</si>
  <si>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</si>
  <si>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</si>
  <si>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</si>
  <si>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</si>
  <si>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</si>
  <si>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</si>
  <si>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</si>
  <si>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</si>
  <si>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</si>
  <si>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</si>
  <si>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</si>
  <si>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</si>
  <si>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</si>
  <si>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</si>
  <si>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</si>
  <si>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 xml:space="preserve"> 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</si>
  <si>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</si>
  <si>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</si>
  <si>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</si>
  <si>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</si>
  <si>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</si>
  <si>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</si>
  <si>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</si>
  <si>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</si>
  <si>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</si>
  <si>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</si>
  <si>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</si>
  <si>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</si>
  <si>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</si>
  <si>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</si>
  <si>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</si>
  <si>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</si>
  <si>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</si>
  <si>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</si>
  <si>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</si>
  <si>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</si>
  <si>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</si>
  <si>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</si>
  <si>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</si>
  <si>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</si>
  <si>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</si>
  <si>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</si>
  <si>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</si>
  <si>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</si>
  <si>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</si>
  <si>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</si>
  <si>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</si>
  <si>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</si>
  <si>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</si>
  <si>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</si>
  <si>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</si>
  <si>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</si>
  <si>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</si>
  <si>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</si>
  <si>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</si>
  <si>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</si>
  <si>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</si>
  <si>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</si>
  <si>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</si>
  <si>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</si>
  <si>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</si>
  <si>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</si>
  <si>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</si>
  <si>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</si>
  <si>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</si>
  <si>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</si>
  <si>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</si>
  <si>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</si>
  <si>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</si>
  <si>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</si>
  <si>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</si>
  <si>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</si>
  <si>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</si>
  <si>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</si>
  <si>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</si>
  <si>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</si>
  <si>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</si>
  <si>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 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</si>
  <si>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</si>
  <si>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</si>
  <si>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</si>
  <si>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</si>
  <si>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</si>
  <si>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</si>
  <si>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</si>
  <si>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</si>
  <si>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</si>
  <si>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</si>
  <si>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</si>
  <si>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</si>
  <si>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</si>
  <si>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</si>
  <si>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</si>
  <si>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</si>
  <si>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</si>
  <si>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</si>
  <si>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</si>
  <si>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</si>
  <si>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</si>
  <si>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</si>
  <si>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</si>
  <si>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</si>
  <si>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</si>
  <si>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</si>
  <si>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</si>
  <si>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</si>
  <si>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</si>
  <si>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</si>
  <si>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</si>
  <si>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</si>
  <si>
    <t>February Actual v. Expected</t>
  </si>
  <si>
    <t>February Actual v. Forecasted</t>
  </si>
  <si>
    <t>1. Inverter was offline on 02/12 and back online on 02/13
2. The inverter was offline on 02/23 and came back online on 02/26.</t>
  </si>
  <si>
    <t>1. SR080937
2. SR081271</t>
  </si>
  <si>
    <t>1. The inverter 1.1 is offline on 02/08 and back online on 02/09.</t>
  </si>
  <si>
    <t>1. SR080873</t>
  </si>
  <si>
    <t>1. Site is offline on 02/07, 02/10, 02/14, 02/17, 02/21, 02/23 to 02/25</t>
  </si>
  <si>
    <t>1. SR081005</t>
  </si>
  <si>
    <t>1. Inverter 2 has been underperforming by 40kW compared to inverter 1 since 02/09.</t>
  </si>
  <si>
    <t>1. SR081066</t>
  </si>
  <si>
    <t>1. The site was offline on 02/13, and the technician reset the inverters' AC disconnects, bringing it back online on 02/22 at 13:00.
2. All the inverters tripped offline on 02/25, and the technician reset them, bringing them back online on 02/26 at 9:00.</t>
  </si>
  <si>
    <t>1. SR080401
2. SR081307</t>
  </si>
  <si>
    <t>1. The primary unit of Inverter 1 started late on 02/10, 02/23, 02/27, and 02/28.</t>
  </si>
  <si>
    <t>1. SR080914</t>
  </si>
  <si>
    <t>1. The inverter 3 is offline on 02/06 and back online on 02/12 at 12:00pm.
2. Site tripped offline on 02/12 at 08:00am and came back online at 12:00pm on the same day.</t>
  </si>
  <si>
    <t>1. SR080762
2. 	SR080934</t>
  </si>
  <si>
    <t>1. The inverter 10 center unit has been offline since 02/26.</t>
  </si>
  <si>
    <t>1. SR081412</t>
  </si>
  <si>
    <t xml:space="preserve">1. The left unit of Inverter 2 has been offline since 02/12 and came back online on 02/20.
</t>
  </si>
  <si>
    <t xml:space="preserve">1. SR080942
</t>
  </si>
  <si>
    <t>1. Inverter 2 (which is inverter 1 in PowerTrack) left unit is offline on 02/18 and back online on 02/26 at 10:30AM</t>
  </si>
  <si>
    <t>1.SR081106, SR081210</t>
  </si>
  <si>
    <t xml:space="preserve">1.Inverter 4 is offline due to an isolation fault on 02/23
</t>
  </si>
  <si>
    <t xml:space="preserve">1.SR081267
</t>
  </si>
  <si>
    <t>1.Inverter 3 left unit is offline from 02/01 and back online on 02/22 at 11:00</t>
  </si>
  <si>
    <t>1. Site was offline due to transformer issue.</t>
  </si>
  <si>
    <t xml:space="preserve">1.Inverter 1 central unit tripped offline on 02/06 at 15:00 and back online 02/16 at 07:00
2.Inverter 2 primary unit offline from 02/06 and back online on 02/16 at 07:00
3.Inverter 3 right unit tripped offline at 15:00 on 02/07 and back online on 02/16 at 11:00
4.Inverter 4 left unit is offline from 02/07 and back online on 02/16 at 11:00AM </t>
  </si>
  <si>
    <t>1.SR080835
2.SR080836
3.SR080476
4.SR080837</t>
  </si>
  <si>
    <t>1.Inverter 4 tripped offline on 02/09 at 15:15 and back online on 02/14 at 09:15 AM and gain tripped offline on 02/23 at 09:00AM and back online at 11:30AM while technician at site</t>
  </si>
  <si>
    <t>1.SR080913</t>
  </si>
  <si>
    <t>1.  Inverter 2 left unit is offline since 02/15</t>
  </si>
  <si>
    <t>1. SR081335</t>
  </si>
  <si>
    <t>1. Inverter 2 left unit is tripped offline on 02/01 at 12:00pm and back online on 02/16</t>
  </si>
  <si>
    <t>1. SR080859</t>
  </si>
  <si>
    <t>1.Inverter 1 tripped offline on 02/04 at 08:15 AM and back online on 02/05 at 11:30AM
   Inverter 1 started late on 02/07 at 12:00PM while PE is at site
   Inverter 1 again tripped offline on 02/09 at 09:00AM and back online on 02/10 at 11:30AM 
   Inverter 1 again tripped offline on 02/11 at 09:00AM and back online on 02/12 at 13:00
   Inverter 1 again tripped offline on 02/20 at 08:45AM and back online on 02/21 at 11:30AM
   Inverter 1 is offline on 02/22 at 08:15AM and back online at 13:15 on 02/22 due to PE at site 
   On 02/23 Inverter 1 started late at 09:15AM while PE is at site</t>
  </si>
  <si>
    <t>1.SR080711</t>
  </si>
  <si>
    <t>1. Inverter 2 tripped offline at 11:00 on 02/14 and back online at 13:30 on 02/15 but combiner box 5 is disconnected due to thermal damage</t>
  </si>
  <si>
    <t>1. SR080998</t>
  </si>
  <si>
    <t xml:space="preserve">1. Inverters 23,24,25,26,27 tripped offline at 10:10 on 02/05 and back online at 13:10 on 02/06.
    Inverters 23,24,25,26,27 tripped offline at 10:00 on 02/19 and back online at 12:30 on 02/20.
    Inverters again tripped offline at 14:00 on 02/22 and back online at 14:00 on 02/29.
2. Site had a brief outage from 10:15 to 10:55 am on 02/22. Inverter 15 was offline after site outage and back online at 07:00 am on 02/23
</t>
  </si>
  <si>
    <t>1. SR080730, SR081102,  SR081202
2. SR081184</t>
  </si>
  <si>
    <t>1. Inverter 11 tripped offline at 10:30 on 02/27 and back online at 08:30 on 02/28</t>
  </si>
  <si>
    <t>1. SR081363</t>
  </si>
  <si>
    <t>1. Inverter 1 is offline from 1/30 and back online at 12:30 on 02/02</t>
  </si>
  <si>
    <t>1. SR080606</t>
  </si>
  <si>
    <t>1. Site was offline from 13:00 to 14:00 on 02/16
2. Inverter 3 tripped offline at 12:10 PM on 02/25 and back online at 12:15 PM on 02/27</t>
  </si>
  <si>
    <t>1. SR081058
2. SR081316</t>
  </si>
  <si>
    <t>1. Expected energy is not populating from 01/19/2024 - awaiting GPM support</t>
  </si>
  <si>
    <t>1. Meter not reporting power from 02/01 to 02/22 till 15:30, added inverter generation since meter didn't capture enitre generation of this month</t>
  </si>
  <si>
    <t>1. SR080648</t>
  </si>
  <si>
    <t>1. Site tripped offline from 01/30 and back online at 15:30 on 02/06
2. Inverter 1 tripped offline at 13:00 on 02/18 and back online EOD on 02/19
3. Inverter 2 tripped offline on 02/17, back online on 02/18 morning and again tripped offline at 12:35pm on 02/18 due AC contactor fault  and back online EOD on 02/19
4.   Both inverters have tripped offline and reporting instantaneous over current fault on 02/20 and back online at 13:05pm</t>
  </si>
  <si>
    <t>1. 	SR080622
2. SR081089
3. SR081080
4.  SR081125</t>
  </si>
  <si>
    <t>1. Inverter 3 tripped multiple times in the month
2. Inverters 4 are offline multiple times in the month and back online by midday
3. Inverter 2 has tripped offline on  02/17</t>
  </si>
  <si>
    <t>1. SR081289
2. SR081073	
3. SR081072</t>
  </si>
  <si>
    <t>1. Inverter 1 was offline on 02/01 from 07:00 and back online at 13:00 on 02/01
2. Site tripped offline at 17:00 on 02/28 and back online at 16:00 on 03/01</t>
  </si>
  <si>
    <t>1. 	SR080447
2. SR081429</t>
  </si>
  <si>
    <t xml:space="preserve">1. Meter 1 is not reporting production from 02/14, meter 2 looks good. Added cumulative energy values of inverters 1 &amp; 2 since meter 1 is not reporting from 02/14 </t>
  </si>
  <si>
    <t>1. SR081032</t>
  </si>
  <si>
    <t>1. Inverter 3 tripped offline on 02/29/2024 at 04:40PM and back online on 03/01/2024 at 07:00AM.
2. Inverter 4 tripped offline on 02/29/2024 at 05:00PM and back online on 03/01/2024 at 07:00PM.</t>
  </si>
  <si>
    <t>1. SR081477
2. SR081478</t>
  </si>
  <si>
    <t>1. Inverter 5 tripped offline on 02/03/2024 at 12:00PM and back online on 02/06/2024 at 10:15AM.
2. Inverter 30 tripped offline on 02/06/2024 at 11:45PM and back online on 02/06/2024 at 13:15.</t>
  </si>
  <si>
    <t>1. SR080693
2. SR080773</t>
  </si>
  <si>
    <t>1. Site tripped offline on 02/01/2024 at 04:50PM and later back online on 02/02/2024 at 05:10PM.
2. Inverter 2 was offline from 02/03/2024 and later back online on 02/05/2024 at 02:10PM.</t>
  </si>
  <si>
    <t>1. SR080659
2. SR080203, 	SR080690</t>
  </si>
  <si>
    <t>1. Site tripped offline 02/08/2023 at 02:05PM and back online on 02/09/2024 at 03:20PM.</t>
  </si>
  <si>
    <t>1. SR080885</t>
  </si>
  <si>
    <t xml:space="preserve">1. Site tripped offline  from 02/28 at 21:15PM and back online on 03/01 at 11 am </t>
  </si>
  <si>
    <t>1. SR081431</t>
  </si>
  <si>
    <t>1.  Site tripped offline  from 02/28 at 21:15 and back online at 08:50AM on 2/29</t>
  </si>
  <si>
    <t>1.  SR081432</t>
  </si>
  <si>
    <t xml:space="preserve">1. Site tripped offline at 08:55AM on 02/06 and back online at 12:55
</t>
  </si>
  <si>
    <t>1. SR080763</t>
  </si>
  <si>
    <t>1. Site tripped offline at 08:55AM on 02/06 and back online at 12:55</t>
  </si>
  <si>
    <t>1.  	SR080764</t>
  </si>
  <si>
    <t>1. Inverter 1 is getting continuously tripping due to transformer pressure relief valve and it also causing communication outage for the entire site</t>
  </si>
  <si>
    <t>1. SR080591</t>
  </si>
  <si>
    <t>1. Site tripped offline on 02/06/2024 at 08:55am &amp; back online at 12:45pm</t>
  </si>
  <si>
    <t>1.SR080765</t>
  </si>
  <si>
    <t xml:space="preserve">1. Site tripped offline on 02/06/2024 at 08:55 &amp; back online at 12:45. </t>
  </si>
  <si>
    <t>2.SR080766</t>
  </si>
  <si>
    <t xml:space="preserve">1. Site is offline on 02/09/2024 while tech is on site 12:30 to 14:00, site is offline on 02/22/2024 while tech is on site from 12:00 to 15:35. 
2. Site was taken offline by tech while on site - 02/28/2024 at 13:15 to 14:00. </t>
  </si>
  <si>
    <t>1.SR079118
2.SR081218</t>
  </si>
  <si>
    <t>1. Inverter is offline most of the days, from 02/06 to 02/28</t>
  </si>
  <si>
    <t>1. SR080654, SR081286</t>
  </si>
  <si>
    <t xml:space="preserve">1. Site was taken offline on 02/16/2024 by EV Solar from 09:00 to 12:00. 
2. Site is offline from 02/29/2024 &amp; back online on 03/01/2024 at 17:50. </t>
  </si>
  <si>
    <t>1.SR078378
2.SR081435</t>
  </si>
  <si>
    <t>1. Site is offline on 02/20/2024 at 14:55 &amp; back online at 08:35AM on 02/21/2024. 
2. Site tripped offline 02/28/2024 at 19:15 &amp; back online on 03/01/2024 at 08:00</t>
  </si>
  <si>
    <t>1. SR081137
2. SR081430</t>
  </si>
  <si>
    <t>1. Site started production from 02/02.
Site is offline on 02/05/2024 &amp; back online at 15:35 on same day &amp; again tripped offline on 02/06/2024 at 08:10 &amp; back online on 02/07/2024 at 08:40. 
Inverter 2 tripped offline on 02/09/2024 at 7:35am &amp; back online at 13:50. 
Site was offline by EV Solar on 02/16/2024 at 08:00 to 15:00. 
Site was taken offline on 02/26/2024 at 10:55 &amp; site was back online at 02/28/2024 at 14:</t>
  </si>
  <si>
    <t>1.SR080731</t>
  </si>
  <si>
    <t>1. Inverter 1 is offline at 11:45AM and back online at 13:00 and Inverter 2 is offline at 13:15 to 14:30 while technician is onsite on 02/06
2. Site tripped offline due to utility outage on 02/22 at 11 am to 11:45 am.
3. Inverter 1 did not start up from 02/25</t>
  </si>
  <si>
    <t>1.SR080509
2.SR081185
3.SR081302</t>
  </si>
  <si>
    <t>1. Inverter 2 is back online on 02/02 at 14:30
2. Site is offline on 02/06 from 10:00AM to 10:45AM while tech is onsite to troubleshoot with trackers
3. Site tripped offline due to utility outage on 02/22 at 11 am to 11:45 am.
4. DC Zones (SA3) 1 tripped offline on 02/04 at 12:00pm and back online on 02/05</t>
  </si>
  <si>
    <t>1.SR079987
2.SR080739
3.SR081186
4.SR080721</t>
  </si>
  <si>
    <t>1.Inverter 11 tripped offline on 02/19 at 11:15AM and back online at 16:00</t>
  </si>
  <si>
    <t>1.SR081112</t>
  </si>
  <si>
    <t>1.Inverter 2 had an AC contactor fail on 02/27</t>
  </si>
  <si>
    <t>1.SR081366</t>
  </si>
  <si>
    <t>1. Inverter 5 is offline and reporting " Fault Current" from 02/11/2024</t>
  </si>
  <si>
    <t>1. SR080925</t>
  </si>
  <si>
    <t>1. Inverters 2 and 15 are offline and reporting "fault current" from 01/27/2024
2. Inverters 8 and 9 are offline since 08/17/2023 due to damage to the AC relay
3.  Inverter 3 tripped offline from 12/14  and reporting "Fault Current".</t>
  </si>
  <si>
    <t>1. SR080525
2. SR078106
3.  SR079260</t>
  </si>
  <si>
    <t>1. Inverters 6,10,15, have been offline since the commencement of the site. SMA is RMAing the inverters
2. Inverter 17 tripped offline on 02/23/2024 due to "electric arc detected" 
3. Inverter 16 was offline from 01/15.</t>
  </si>
  <si>
    <t>1. SR078111
2. SR081250
3. SR079971</t>
  </si>
  <si>
    <t>1. Inverter 5 did not start on 02/23/2024 &amp; 2/28/24</t>
  </si>
  <si>
    <t>1. SR081416</t>
  </si>
  <si>
    <t>1. Inverter 7 is derating due to a fan fault (production impact was minor and can be obseved from 02/08)</t>
  </si>
  <si>
    <t>1. SR081341</t>
  </si>
  <si>
    <t>1. SR082925</t>
  </si>
  <si>
    <t>1. Inverter 5 is offline on 02/13 due to "bus differential high" fault</t>
  </si>
  <si>
    <t>1. SR080961</t>
  </si>
  <si>
    <t>March Actual v. Expected</t>
  </si>
  <si>
    <t>March Actual v. Forecasted</t>
  </si>
  <si>
    <t>1. Inverter tripped offline on 03/28 at 17:00 and back online on 03/29 at 17:45
2. Inverter tripped offline on 03/30 at 14:30 and back online on 04/01 at 11:00</t>
  </si>
  <si>
    <t>1. SR082894
2. SR082942</t>
  </si>
  <si>
    <t>1. Site started late at 12:00pm on 03/25 and on 03/26 site was offline between 08:00am to 13:00</t>
  </si>
  <si>
    <t>1. SR082722</t>
  </si>
  <si>
    <t>1. Inverter 3 tripped offline on 03/14 at 13:00 and back online on 03/20 at 11:00</t>
  </si>
  <si>
    <t>1. SR081918</t>
  </si>
  <si>
    <t>1. Inverter B is offline on 03/20 and back online on 03/21 and inverter is again offline on 03/25 and backonline on 03/26</t>
  </si>
  <si>
    <t>1. SR082252</t>
  </si>
  <si>
    <t>1. Weather station 2 showing erroneous value for whole month.</t>
  </si>
  <si>
    <t>1. SR082250</t>
  </si>
  <si>
    <t>1. Inverter 2 tripped offline on 03/17 at 13:15 and back online on 03/18 and again tripped offline on 03/18 at 14:30.</t>
  </si>
  <si>
    <t>1.SR081975</t>
  </si>
  <si>
    <t>1. Inverter 2 central unit is offline on 03/08 and back online on 03/12</t>
  </si>
  <si>
    <t>1. SR081701</t>
  </si>
  <si>
    <t>1. Inverter tripped offline on 03/19 at 11:00 am and back online on 03/20. Right unit is RMA'd on 03/22.</t>
  </si>
  <si>
    <t>1.SR082110</t>
  </si>
  <si>
    <t>1. Inverter 2 is offline from 03/05 and being RMA'd</t>
  </si>
  <si>
    <t>1. SR075645</t>
  </si>
  <si>
    <t>1. Inverter 1 is underproducing due to multiple tripping on left and right unit from 03/21.</t>
  </si>
  <si>
    <t>1. SR082762</t>
  </si>
  <si>
    <t>1. Inverter 3 right unit is underproducing approximately 12kW  for whole month</t>
  </si>
  <si>
    <t>1. SR081580</t>
  </si>
  <si>
    <t>1. Site tripped offline on 03/01 and back online on 03/04 at 11am
2. Site is offline on 03/27 and back online on 03/28 at 14:30 and again the site is offline on 03/29 and back online at 13:00 on 03/29</t>
  </si>
  <si>
    <t>1. SR081486
2. SR082799</t>
  </si>
  <si>
    <t xml:space="preserve">1. Site was taken offline by the technician on 03/21 at 13:00 &amp; back online on 03/22 at 13:00. </t>
  </si>
  <si>
    <t>1.SR082347</t>
  </si>
  <si>
    <t>1. Site is offline throughout the month due to transformer issue.</t>
  </si>
  <si>
    <t>1.SR077239</t>
  </si>
  <si>
    <t xml:space="preserve">1. Inverter 2 left unit is offline from 02/15 &amp; continued till 03/15. </t>
  </si>
  <si>
    <t>1.SR081335</t>
  </si>
  <si>
    <t>1. Site was  on battery mod on 03/07 at 12:45 &amp; back online at 14:15. 
2. Site is offline on 03/27 &amp; continued throughout the month. 
3. Inverter 5 derated from 08:00 to 10:35 on 03/01/23024</t>
  </si>
  <si>
    <t>1.SR082874
2.SR082874
3. SR081494</t>
  </si>
  <si>
    <t>1. Inverter 2 CB 5 is offline for whole month.</t>
  </si>
  <si>
    <t xml:space="preserve">1. Inverter 12 tripped offline on 03/08 and back online on 03/11 
2. Inverter 12 again tripped offline on 03/12 at 10:35 and back online on 03/13 at 10:35
3. Inverter 7 tripped offline on 03/29 at 10:40 and back online on 04/01
4. Inverter 13 tripped offline on 03/29 17:25 and back online on 04/01 </t>
  </si>
  <si>
    <t>1. SR081708
2. SR081833
3. SR082896
4. SR082917</t>
  </si>
  <si>
    <t>1. Inverter 1 tripped offline at 16:40 on 03/24 &amp; back online on 03/25 at 14:15</t>
  </si>
  <si>
    <t>1.SR082613</t>
  </si>
  <si>
    <t xml:space="preserve">1. Site tripped offline at 14:00 on 03/04 &amp; back online at 12:55 on 03/08. 
2. Site is offline from 07:30 to 12:15 on 03/25. 
3. Site was taken offline by the technician 12:00 to 12:45 on 02/13. </t>
  </si>
  <si>
    <t>1. SR081561
2.SR082703
3. SR081848</t>
  </si>
  <si>
    <t xml:space="preserve">1. Inverter 1 tripped offline on 03/11 from 10:00 to 15:05. 
2. Site tripped offline on 03/12 from 11:00 to 14:00  </t>
  </si>
  <si>
    <t>1.SR081756
2.SR081804</t>
  </si>
  <si>
    <t>1. Inverter 3 is offline on 03/19, 03/21, 03/22, 03/25, 03/29 and 03/30 due to temperatur fault</t>
  </si>
  <si>
    <t>1. SR081289</t>
  </si>
  <si>
    <t>1. Site tripped offline on 02/28 at 18:15and back online on 03/01 at 16:05</t>
  </si>
  <si>
    <t>1. SR081429</t>
  </si>
  <si>
    <t>1. Inverter 1 CB 12.3 tripped offline on 03/04 and back online on 03/06
2. CB 02 is offline on 03/19 and back online on 03/20</t>
  </si>
  <si>
    <t>1. SR081550
2. SR082126</t>
  </si>
  <si>
    <t>1. CB 4 tripped offline on 3/18/24. Also there is a mislabeling issue between CBs 3 and 4 and back online at 11:35 on 03/22.</t>
  </si>
  <si>
    <t>1. SR082281</t>
  </si>
  <si>
    <t>1. Inverter 30 tripped offline on 14/03 and back online on 13/15
2. Inverters 1-20 are not started for production on 03/11 and started for production on 03/12 at 14:30  and data was backfilled.
3. Inverter 23  tripped offline 03/24 and being RMA'd</t>
  </si>
  <si>
    <t>1. SR081904
2. SR081770
3. SR082624</t>
  </si>
  <si>
    <t>1. Inverter 1 didn't started for production and reporting "Isolation fault" on 03/03 and later it started production at 10:45am on 03/03.
2. Site tripped offline at 3:35pm on 03/20 and back online on 03/23.</t>
  </si>
  <si>
    <t>1. SR081524
2. SR082282</t>
  </si>
  <si>
    <t xml:space="preserve">1.  Inverter 4 tripped offline at  12:20pm due to isolation fault on 03/09 and back online at 2:00pm on 03/09. and again tripped offline at 8:45am on 03/13 and back online at 09:10am on 03/13 and again tripped offline at 8:40am on 03/14 and back online at 9:05am on 03/14.
</t>
  </si>
  <si>
    <t>1. SR081717</t>
  </si>
  <si>
    <t>1.  Inverters 1,2 are tripped offline and reporting "Instantaneous over current fault" from  03/18.</t>
  </si>
  <si>
    <t>1. SR082000</t>
  </si>
  <si>
    <t>1. Site tripped offline at 06:35 AM, meter voltages dropped to zero on 03/22 and back online on 03/23 at 4:50pm.
2. Site tripped offline at 08:20am, meter voltages dropped to zero on 03/29  and came back online at 3:25pm on 03/29</t>
  </si>
  <si>
    <t>1. SR082362
2. SR082887</t>
  </si>
  <si>
    <t>1. Site is offline, meter voltages dropped to zero at 06:35am on 03/22 and back online on 03/23 at 4:45pm.
2. Site tripped offline at 08:20am, meter voltages dropped to zero on 03/29 and back online at  1:05pm on 03/29.</t>
  </si>
  <si>
    <t>1. SR082359
2. SR082888</t>
  </si>
  <si>
    <t>1. Site was offline from 03/12 to 03/18 due to utility planned outage.</t>
  </si>
  <si>
    <t>1. SR079967</t>
  </si>
  <si>
    <t>1. Site was offline from 03/12 to 03/18 due to utility planned outage.
2. Inverter tripped offline at 10:00am on 03/20 and back online at 11:00am on 03/20</t>
  </si>
  <si>
    <t>1. SR079968
2. SR082218</t>
  </si>
  <si>
    <t>1. SR079969</t>
  </si>
  <si>
    <t>1. Site tripped offline on 02/28 at 18:00 and back online on 03/01 at 17:50
2. Site tripped offline on 03/05 at 09:30am and back online on 03/06 at 18:40
3. Inverter 1 Combiner box 1 &amp; 2 are offline from 03/07 and back online on 03/08
4. Site tripped offline on 03/11 at 13:15pm and back online on 03/12 at 03:30am
5. Inverter 1 tripped offline on 03/12 at 13:35 and back online at 16:35
6. Site was taken offline by EV solar on 03/14 at 10:35am to 12:40pm and few combiners were left offline and site was again taken offline on 03/18, 03/19. Inverter 1 taken offline on 03/20 and re-energised on 03/21</t>
  </si>
  <si>
    <t>1. SR081435
2. SR081581
3. SR081633
4. SR081779
5. SR081817
6. SR081749</t>
  </si>
  <si>
    <t>1. Inverter is exceeding its max limit and sometimes derating at 2175kW
2. EV Solar taken site offline to install cable division on 03/12 between 08:10 to 11:30, 03/13 between 13:40 to 15:55 and on 03/14 between 08:50 to 09:30</t>
  </si>
  <si>
    <t xml:space="preserve">1. SR081137
2. SR081795, SR081846
</t>
  </si>
  <si>
    <t>1. EV Solar de-energized inverter 2 on 03/13 between 15:00 to 15:30 to replace hinge on main inverter door.</t>
  </si>
  <si>
    <t xml:space="preserve">1. SR081855 </t>
  </si>
  <si>
    <t>1. CB 1-09 is offline on 03/15 and back online on 03/19 at 9:15AM.
2. Inverter 1 did not start for production with error message "Faulty switching status of the DC on 02/25 and back online on 03/14</t>
  </si>
  <si>
    <t>1. SR081950
2. SR081302</t>
  </si>
  <si>
    <t>1. Inverter 11 tripped offline on 03/22 at 10:30AM and is being RMA'd</t>
  </si>
  <si>
    <t>1. SR081812</t>
  </si>
  <si>
    <t>1. Inverter 2 tripped offline at 15:00 on 03/14 and is back online at 8:30am on 03/15</t>
  </si>
  <si>
    <t>1. SR081921</t>
  </si>
  <si>
    <t>1. Inverter 5 is offline and reporting " Fault Current" from 03/28/2024</t>
  </si>
  <si>
    <t>1. SR082872</t>
  </si>
  <si>
    <t>1. Inverter 15 is offline from 01/27 and back online on 03/12 and again offline from 03/16 and back online at 10:00am on 03/26.
2. Inverter 25 is offline from 03/26
3. Inverter 2 is offline from 01/27 and back online on 03/12.
4.  Inverters 8 and 9 are offline since 08/17/2023 due to damage to the AC relay
5. Inverter 3 tripped offline  from 12/14 and reporting "Fault Current" and back online on 03/12.</t>
  </si>
  <si>
    <t>1. SR081958
2. SR082788
3. SR080525
4. SR078106
5. SR079260</t>
  </si>
  <si>
    <t>1. Inverter 16 is offline for whole month.
2. Inverter 15 did not start for production on 03/26 and later it started for production on 03/27.
3. Inverter 4 didn't start for the production on 03/27 and back online on 03/29.</t>
  </si>
  <si>
    <t>1. SR082659
2. SR082781
3. SR082814</t>
  </si>
  <si>
    <t xml:space="preserve">1. Inverter 7 is derating due to fan fault and fan being RAM'd 
2. Inverter 9 is derating due to fan fault and fan being RAM'd 
3. Inverter 5 is underperforming and fan being RAM'd </t>
  </si>
  <si>
    <t>1. SR081341
2. SR081548
3. SR081549</t>
  </si>
  <si>
    <t>1. Inverter 37 is offline on 03/30 and back online on 03/31 at 09:00am</t>
  </si>
  <si>
    <t>1. Inverter 5 is offline on 03/23 and back online on 03/24</t>
  </si>
  <si>
    <t>1. SR082600</t>
  </si>
  <si>
    <t>April Actual v. Expected</t>
  </si>
  <si>
    <t>April Actual v. Forecasted</t>
  </si>
  <si>
    <t>1. Inverter started for production on 04/01 at 10:00am</t>
  </si>
  <si>
    <t>1. SR082942</t>
  </si>
  <si>
    <t>1. Inverter B was offline on 04/01 and back online on 04/02</t>
  </si>
  <si>
    <t>1. Inverter 5 tripped offline on 04/05 at 12:15pm and back online on 04/09 at 08:405am
2. Weather station 2 showing erroneous value for whole month</t>
  </si>
  <si>
    <t>1. SR083132
2. SR082250</t>
  </si>
  <si>
    <t>1. Inverter 2 was offline on 04/02 and back online on 04/03 at 10:45am</t>
  </si>
  <si>
    <t>1. SR081975</t>
  </si>
  <si>
    <t>1. Inverter 2 left unit is derating since 04/07 and fan replaced on left unit on 04/29
2.  Inverter 1 central unit tripped offline on 04/24 and back online on 04/29</t>
  </si>
  <si>
    <t>1. SR083233
2. SR083775</t>
  </si>
  <si>
    <t>1. Ongoing construction of array on the roof. 70 percent of the array is offline for construction</t>
  </si>
  <si>
    <t>1. Inverter 2 was offline from 03/05 and back online on 04/05 at 09:00am</t>
  </si>
  <si>
    <t>1. Inverter 2 is underproducing by 12kW possibly due to ongoing construction work</t>
  </si>
  <si>
    <t>1. SR078471</t>
  </si>
  <si>
    <t>1. Inverter 1 derating during peak hours due to multiple trippings on left and right units throughout the month. DC relay board being RMA'd.</t>
  </si>
  <si>
    <t>1. Inverter 3 right unit is underproducinng. Fan Being RMA'd</t>
  </si>
  <si>
    <t>1. Site tripped offline on 04/17 at 11:00am and back online on 04/22 at 11:00am
2. Inverter 2 right unit offline on 04/16 back onlin eon 04/22 at 13:00</t>
  </si>
  <si>
    <t>1. SR083544
2. SR083537</t>
  </si>
  <si>
    <t>1. Inverter 2 was offline from 04/15 and back online on 4/22</t>
  </si>
  <si>
    <t>1. SR083438</t>
  </si>
  <si>
    <t xml:space="preserve">1. Inverter 1 is underproducing due to units fluctuations form 04/23 </t>
  </si>
  <si>
    <t>1. SR083774</t>
  </si>
  <si>
    <t xml:space="preserve">1. Inverter 3 offline from 04/10 and back online on 04/17 
2. Site was taken offline by techician nd worked on inverters on 04/25 
3. Inverter 3 is offline since 04/25 and being RMA'd </t>
  </si>
  <si>
    <t>1. SR083301
2. SR083846
3. PM1680</t>
  </si>
  <si>
    <t>1. Inverter 3 tripped offline on 04/10 and back online on 04/12</t>
  </si>
  <si>
    <t>1. SR083295</t>
  </si>
  <si>
    <t>1. Inverter 3 primary unit tripped offline on 04/14 and back online on 04/19</t>
  </si>
  <si>
    <t>1. SR083418</t>
  </si>
  <si>
    <t>1. Site offline from 10/05/23 and back online 04/26
2. Inverter 1 to 4 tripped offline on 04/28 and 4 back online on 04/28 at 16:00. Inverters 1 to 3 back online on 04/29
3. Inverter 1 right unit tripped offline on 04/29, back online on 04/30 but still underproducing and inverter 4 (in SE 2) left unit tripped offline 04/29 at 11:00am</t>
  </si>
  <si>
    <t>1. SR077404
2. SR083900
3. SR083981</t>
  </si>
  <si>
    <t>1. Inverter 3 center unit tripped offline on 03/30 and back online on 04/04
2. Inverter 2 right unit tripped offline on 03/31 and back online on 04/04</t>
  </si>
  <si>
    <t>1. SR082934
2. SR082961</t>
  </si>
  <si>
    <t>1. Site tripped offline on 04/26 and back online on 04/29</t>
  </si>
  <si>
    <t>1. SR083865</t>
  </si>
  <si>
    <t>1. Technician worked on inverter 1 on 04/09</t>
  </si>
  <si>
    <t>1. SR083275</t>
  </si>
  <si>
    <t>1. Site offline since 03/27 due to utility pllanned outage and back online on 04/12 
2. Inverter 1 derated at 874 kW from 04/12 and offline since 04/17 and back online on 04/25</t>
  </si>
  <si>
    <t>1. SR082874
2. SR083425</t>
  </si>
  <si>
    <t>1. Site taken by ingeteam on 04/26 between 10:30 to 11:20
2. Inverter 2 CB 5 offline on 04/01 and back online on 04/02 at 12:55</t>
  </si>
  <si>
    <t>1. SR083853
2. SR080998</t>
  </si>
  <si>
    <t>1. Site was taken offline by technician on 04/17 between 08:20 to 09:25 to work on inverter 2 and inverter 2 was offline from 04/28 and back online on 04/30</t>
  </si>
  <si>
    <t>1. SR083296</t>
  </si>
  <si>
    <t>1. Meter stopped communicating on 04/18 and communication restored on 04/23
2. Inverter 1 was offline from 04/24, inverter 2 also offline on 04/29 and both inverters back online on 04/30</t>
  </si>
  <si>
    <t>1. SR083598
2. SR083783</t>
  </si>
  <si>
    <t>1. Site was taken offline by technician on 04/15 between 09:50 to 10:45 
2. Site was taken offline by technician  on 04/10 between 11:15 to 14:55</t>
  </si>
  <si>
    <t>1. PM5604
2. SR082364</t>
  </si>
  <si>
    <t>1. Site was taken offfline by USNE from 04/22 and back online on 04/25 at 13:50
2. Site was taken offline by technician  on 04/10 between 09:55 to 12:05</t>
  </si>
  <si>
    <t>1. SR083249
2. SR082364</t>
  </si>
  <si>
    <t>1. Site tripped offline on 04/14 at 10:15am and back online on 04/15 at 19:25
2. Site was taken offline by technician on 04/10 between 11:35 to 14:50
3. Site was taken offline by USNE on 04/23 between 08:15 to 15:05
4. Site was taken offline by technician  on 04/25 between 10:30 to 11:20</t>
  </si>
  <si>
    <t>1. SR083415 
2. SR082364
3. SR083249
4. SR082365</t>
  </si>
  <si>
    <t>1. Site was taken offline by Ingeteam on 04/23 between 13:40 to 15:15</t>
  </si>
  <si>
    <t>1. SR080818</t>
  </si>
  <si>
    <t>1. Site was taken offline by technician on 04/09 between 08:00 to 15:00
2. Inverter 3 tripped offline on 04/22 at 12:10pm and back online on 04/23
3. Inverter 3 tripped offline on 04/28 at 08:35am and back online on 04/29</t>
  </si>
  <si>
    <t>1. SR082956
2. SR083693
3. SR083897</t>
  </si>
  <si>
    <t>1. Inverter 3 CB 20 is offline throughout the month</t>
  </si>
  <si>
    <t>1. SR080319</t>
  </si>
  <si>
    <t>1. Site was taken offline by Ingeteam on 04/25 between 12:45 to 13:45</t>
  </si>
  <si>
    <t>1. SR083814</t>
  </si>
  <si>
    <t>1. Inverter 2 started late at 12:05 on 04/04
2. Site was taken offline by technician on 04/15 between 15:40 to 17:05</t>
  </si>
  <si>
    <t>1. SR083084
2. PM5576</t>
  </si>
  <si>
    <t>1. Inverters 3,4 are tripped offline at 9am on 04/14 and reporting Instantaneous over current fault ON and back online on 11:45am 
2. Inverters are offline from 12:15pm to 2:45pm due to capacitor retrofit by ingeteam
3. Site tripped offline at 09:30 AM on 04/26 and back online on same day on 1:20pm
4. Inverter 1 is tripped offline at 1:10pm on 04/30.</t>
  </si>
  <si>
    <t>1. SR083394
2. SR083496
3. SR083854
4. SR084119</t>
  </si>
  <si>
    <t>1. Inverter 23 offline form 03/24 and replaced on 04/04
2. Inverters 1 to 20 tripped offline on 04/03 at 12:30 and back online on 04/04 at 13:10
3. Inverter 5 tripped offline on 04/07 at 13:00 and back online on 04/08 at 10:15am
4. Site tripped offline on 04/10 at 01:06am and back online on 04/11 at 15:45
5. Inverter 8 offline from 04/20 and being RMA'd
6. Inverter 28 tripped offline on 04/22 and back online on 04/24</t>
  </si>
  <si>
    <t>1. SR082624
2. SR083036
3. SR083161
4. SR083280
5. SR083650
6. SR083697</t>
  </si>
  <si>
    <t>1. Inverter 1 tripped offline for multiple days and resolving for next day.
2. due to technician prforming capacity retrofit the inverters 1 is offline from 6:50am to 12:15pm and inverter 2 is offline from 11:50am to 12:20pm.</t>
  </si>
  <si>
    <t>1. SR083116, SR083715
2. SR083812</t>
  </si>
  <si>
    <t>1. Site tripped offline due to loss of utility power at 12:30pm on 04/03 at 12:25pm and back online on 04/08 at 10:15am. 
2. Again Site tripped offline at 12:00. Meter voltages are dropped on 04/16 at 11:50am and back online at 04/22 at 9:00am.
3. Inverter were offline from 11:10am to 1:15pm due to  PQA testing and medium voltage preventative maintenance inspection on 04/25 and 04/27
4. Again the site was tripped offline on 04/29 at 6:00pm and back online on 04/30 at 4:15pm</t>
  </si>
  <si>
    <t>1. SR083037
2. SR083493
3. SR083493
4. SR083978</t>
  </si>
  <si>
    <t>1. due to technician prforming capacity retrofit the inverters 1,2,3 are offline from 9:50am to 10:30am and inverter 4 is offline from 9:00am to 10:30am.</t>
  </si>
  <si>
    <t>1. SR083799</t>
  </si>
  <si>
    <t>1. Inverter 2 is offline on 04/20 and technician power cycled the inverter and it came back online on 04/22 at 11:00am</t>
  </si>
  <si>
    <t>1. SR083648</t>
  </si>
  <si>
    <t>1. Inverters 1,2 are back online on 04/05 at 12:05pm
2. Again inverter 1 tripped offline at 7:30 AM and reporting " Instantaneous over current Iac out of range" on 04/11 and back online on same day at 12:45 and tripped at 8:25am on 04/12 and back online on same day at 1:50pm
3. inv 2 tripping off multiple times and self-resolving and reporting instantaneous Vac overvoltage on 04/29</t>
  </si>
  <si>
    <t>1. SR082000
2. SR083327
3. SR083912</t>
  </si>
  <si>
    <t>1.  Site is offline on 04/10 at 9:15am due to utility planned outage and back online on 04/10 at 11:30am due to utility planned outage
2. site tripped offline at 9:30 am on 04/26 and back online at 04/26 at 1:30pm</t>
  </si>
  <si>
    <t>1. SR083284
2. SR083850</t>
  </si>
  <si>
    <t>1. Site is offline on 04/10 at 9:15am due to utility planned outage and back online on 04/10 at 11:30am due to utility planned outage and site is offline on 04/16 from 10:30 to 1:15pm
2. site tripped offline at 9:30 am on 04/26 and back online at 04/27 at 2:00am</t>
  </si>
  <si>
    <t>1. SR083285
2. SR083851</t>
  </si>
  <si>
    <t>1. Inverter 2 CBX 16 is running very low compared to its peers.</t>
  </si>
  <si>
    <t>1. SR083240</t>
  </si>
  <si>
    <t>1. Site is offline on 04/10 at 9:15am due to utility planned outage and back online on 04/10 at 11:20am</t>
  </si>
  <si>
    <t>1. SR083281</t>
  </si>
  <si>
    <t>1. Site is offline on 04/10 at 9:15am due to utility planned outage and back online on 04/10 at 11:20am
2. Site tripped offline at 9:30 am on 04/26 and back online on 04/26 at 1:30pm</t>
  </si>
  <si>
    <t>1. SR083283
2. SR083852</t>
  </si>
  <si>
    <t>1. Site tripped offline at 14:00 on 04/03 and back online on 04/04 at 9:50am.
2. Combiner box 21 is offline on 04/08 and back online on 04/09</t>
  </si>
  <si>
    <t>1. SR083044
2. SR083177</t>
  </si>
  <si>
    <t xml:space="preserve">1. Site tripped offline on 04/08 at 12:42 and back online at 14:20
2. Inverter 2 was taken offline by technician on 04/22 between 11:33 to 13:09 to replace comms borad </t>
  </si>
  <si>
    <t>1. SR083180 
2. SR081978</t>
  </si>
  <si>
    <t>1. Site tripped offline on 04/08 at 12:42 and back online at 14:20</t>
  </si>
  <si>
    <t>1. SR083179</t>
  </si>
  <si>
    <t>1. Site is offline from 04/27 and back online on 04/29</t>
  </si>
  <si>
    <t>1. SR083895</t>
  </si>
  <si>
    <t>1. Inverter 11 is replaced and back online on 04/02 at 11:00am.</t>
  </si>
  <si>
    <t>1. Inverter 8 is offline from 04/08 and is being RMA'd
2. Inverter 2 tripped offline on 04/08 at 13:45 to 15:00 and  again tripped offline on 04/10 at 13:00 and back online on 04/12 at 16:15 and again offline on 04/15 at 14:30 and is back online on 04/19 at 15:30 and again offline on 04/29 at 13:45 and back online on 05/01.</t>
  </si>
  <si>
    <t>1. SR083178
2. SR083204, SR083304</t>
  </si>
  <si>
    <t>1. Site has tripped offline due to phase A voltages missing on 04/14 at 8:00am and back online at 10:30am and again tripped offline  due to phase A voltages missing on 04/23 and back online on 04/23 at 13:30pm and again offline on 04/25 and back online on 04/26
2. Inverter 5 is offline from 03/28 to 04/15 and again offline on 04/17 t0 04/23 and back online at 04/24 at 10:00am and offline on 04/25 and They troubleshot with SMA and parameters were changed within inverter 5 and reenergised.</t>
  </si>
  <si>
    <t>1. SR083391
2. SR082872</t>
  </si>
  <si>
    <t>1. Inverter 2 is offline on 04/02 and back online on 04/12 at 8:00am and again offline on 04/15 and back online on 04/16 at 8:00am.
2. Inverter 27 is offline on 04/05 and is being RMA'd.
3. Inverter 13 is tripped offline on 04/22 at 12:00pm and is back online on same day at 13:00</t>
  </si>
  <si>
    <t>1. SR083064
2. SR083113
3. SR083696</t>
  </si>
  <si>
    <t>1. Inverter 17 tripped offline at 11:00 am due to "electric arc detected" on 03/31 and offline for whole month.
2. Inverter 16 is offline for whole month.
3. Inverter 4 is offline on 04/01 to 04/04 and back online on 04/05 at 13:00 and again offline on 04/06 and back online on 04/07 at 10:00am and again offline on 04/07 at 15:45 and back online on 04/09 and again offline on 04/10 to 04/18 and again offline on 04/20 to 04/26 and again offline on 04/28 to 04/29.
4. Inverter 2 and 7 are offline on 04/02 and back online 04/03 at 7:00am.
5.  Inverter 1 tripped offline at 12:00pm from 04/10 to end of the month.
6. Inverter 2 is offline on 04/02, 04/06 and back online on 04/07 at 10:00am and offline on 04/11 and back online on 04/12 and again offline on 04/14, 04/22, 04/30 and back online on 04/30
7. Inverter 3 is offline on 04/22 and back online on 04/23
8.  inv 5 tripped offline at 12:30 pm on 04/22 and back online on 04/23</t>
  </si>
  <si>
    <t>1. SR081250
2. SR081250
3. SR082814
4. SR082989
5. SR083305
6. SR083328
7. SR083688
8. SR083698</t>
  </si>
  <si>
    <t>1. Inverter 10 is derated at 1:40 pm to 15:30 by 20kW on 04/26 
2. Inverter 1 is derating at peak hours approximately 30 kW on 04/23 and exhaust fans need to be replaced for inverter.
3. inverters 5, 7, &amp; 9 are underperforming and Technician replaced the fan clusters  and power cycled. Currently all inverters are online and producing.</t>
  </si>
  <si>
    <t>1. SR083870
2. SR083761
3. SR081548, SR081549, SR081341</t>
  </si>
  <si>
    <t>1. Inverter 37 is offline on 04/01 and back online on 04/05 at 10:00am.
2.  Inverter 1.2 MPPT 1 is tripped offline at 13:00 on 04/08/2024 and back online on 04/09
3. Inverter 1.2 MPPT 2 &amp; 3 is tripped offline at 12:45 on 04/16/2024 and back online on 04/17
4. Inverter 1.2 MPPT 1 &amp; 3 is tripped offline at 12:45 on 04/016/2024 and back online on 04/17
5.  Inverter 1.2 MPPT 1 has tripped offline on multiple days on 04/23, 04/27, 04/29, 04/30
6.  Inverter 1.2 MPPT 4 has tripped offline on 04/28 and back online on 04/29
7.  Inverter 9 is offline on 04/26 and Reporting String 3 reverse connection alarm.</t>
  </si>
  <si>
    <t>1. SR082925
2. SR083234
3. SR083468
4. SR083469
5. SR083763
6. SR083763
7. SR083861</t>
  </si>
  <si>
    <t>1. Site was taken offline by EV solar on 04/15 between 10:45 to 15:25</t>
  </si>
  <si>
    <t>1. SR083423</t>
  </si>
  <si>
    <t>May Actual v. Expected</t>
  </si>
  <si>
    <t>May Actual v. Forecasted</t>
  </si>
  <si>
    <t>1. Site is offline from 12:30 PM  to 01:00PM on 05/01.</t>
  </si>
  <si>
    <t>1. SR084116</t>
  </si>
  <si>
    <t>1. Site is offline from 14:00 on 05/14 and back online at 06:00AM on 05/15 and again site is offline from 12:45pm on 05/28 and back online at 6:00AM on 05/29.</t>
  </si>
  <si>
    <t>1. SR084701</t>
  </si>
  <si>
    <t>1. Inverter B is offline from 07:00AM  to 12:15PM on 05/02 and again the inverter B remaind offline from 05/15.</t>
  </si>
  <si>
    <t>1. Inverter 1 is underprforming approximately 33kW compared to its peers inverter from 05/14.
2. Inverter 2 started derating about 100kW from 05/13 during afternoon hours.</t>
  </si>
  <si>
    <t>1. SR084741
2. SR085344</t>
  </si>
  <si>
    <t xml:space="preserve">1.  Weather station is reporting 0 W/m^2 from </t>
  </si>
  <si>
    <t>1. SR085322</t>
  </si>
  <si>
    <t>1. Inverter 2 is offline from 07:00PM to 09:45AM on 05/28.</t>
  </si>
  <si>
    <t>1. SR085229</t>
  </si>
  <si>
    <t>1. Site is offline from 10:00am on  05/07 to 08:30am on 05/09</t>
  </si>
  <si>
    <t>1. SR084369</t>
  </si>
  <si>
    <t>1. Inverter 4 is derated 10kW down from 05/01 to 05/14</t>
  </si>
  <si>
    <t>1. SR084167</t>
  </si>
  <si>
    <t>1. inverter 1 left and right unit having multiple tripping for whole month</t>
  </si>
  <si>
    <t>1. Site is offline from 17:15 to 17:45 on 05/28 and Inverter 2 is offline from 11:45AM on 05/24 and back online at 11:45AM on 05/30.
2. Inverter 2 is offline from 11:45AM on 05/11 and back online at 10:45AM on 05/15.</t>
  </si>
  <si>
    <t>1. SR085155
2. SR084586</t>
  </si>
  <si>
    <t>1. Inverter 1 left unit is offline from 15:13 on 04/04 and back online at 12:08PM on 05/01.
2. Site is offline from 14:15 on 05/03 and later back online at 09:45AM on 05/06 and site is offline at 12:30PM on 05/07 and back online at 09:30AM on 05/13.
3. Site is offline at 14:30 on 05/14 and back online at 11:30AM on 05/17</t>
  </si>
  <si>
    <t>1. SR084049
2. SR084228
3. SR084699</t>
  </si>
  <si>
    <t>1. Inverter 2 primary unit is having multiple tripping events from 04/20.</t>
  </si>
  <si>
    <t>1. SR084157</t>
  </si>
  <si>
    <t>1. Inverter 3 is offline from 07:00AM on 05/31.</t>
  </si>
  <si>
    <t>1. SR085399</t>
  </si>
  <si>
    <t>1. Inverter 3 right unit tripped offline 11:56AM on 05/11 and is back online at 11:11AM on 05/15.</t>
  </si>
  <si>
    <t>1. SR084602</t>
  </si>
  <si>
    <t>1. Inverter 5 is offline from 13:30 on 05/01 and back online 05/17.</t>
  </si>
  <si>
    <t>1. 	SR084120, SR084121</t>
  </si>
  <si>
    <t>1. Inverter 4 is tripped offline at 15:00 on 05/08 and back online at 09:30AM on 05/09.
2. Site tripped offline at 11:45AM on 05/11 and back online at 08:00AM on 05/24.
3. Inverter 3 center unit is offline from 07:00AM on 05/26 and back online at 08:48AM on 05/30.</t>
  </si>
  <si>
    <t>1. SR084426
2. SR084587
3. SR085164</t>
  </si>
  <si>
    <t>1. Inverter 2 left unit is offline at 08:00AM on 05/21 and back online at 12:29PM on 05/29.</t>
  </si>
  <si>
    <t>1. SR084951</t>
  </si>
  <si>
    <t>1. Inverter 1 primary unit is offline from 07:00AM on 05/10</t>
  </si>
  <si>
    <t>1. 	SR084588</t>
  </si>
  <si>
    <t>1. Site is offline at 09:30AM on 05/01 and back online at 12:15PM on 05/02.
2. Inverter C is offline from 07:00AM to 08:15AM on 05/22.</t>
  </si>
  <si>
    <t>1. SR084053
2. SR084997</t>
  </si>
  <si>
    <t>1. Site is offline at 09:45 om 05/01 and back online at 11:15AM on 05/02.</t>
  </si>
  <si>
    <t>1. SR084054</t>
  </si>
  <si>
    <t>1. The inverters had multiple tripping events on 05/30 due to 'Vac Out of range'.</t>
  </si>
  <si>
    <t>1. SR085331</t>
  </si>
  <si>
    <t>1. Inverter 15 tripped oflline on 05/02 at 13:10 and later self resolved at EOD, on 05/03 the technician went on site to check cause of trip event and he found the fault "Protect 0150"  code caused by AC fluctuation.</t>
  </si>
  <si>
    <t>1. SR084165</t>
  </si>
  <si>
    <t>1. The site was offline from 05/16 at 08:50 am to 05/23 at 01:45pm, due to utility 
outage.
2. Inverter 1 was offline on 05/28 at 06:30 due to "isolation fault", later on 05/29 technician on site worked on inverter 1 and brought online at 10:10am.</t>
  </si>
  <si>
    <t>1. SR084723
2. SR085221</t>
  </si>
  <si>
    <t>1.On 05/16 inverters 2, 13 ,14  and 19 derated by 20kW each at the peak irradiance due to fan fault and later the day on 05/17, the technician worked on inverters and removed the snail shells obstructing the fan movement.</t>
  </si>
  <si>
    <t>1.SR084793</t>
  </si>
  <si>
    <t>1. Meter stopped communicating almost throught out the month, still an issue</t>
  </si>
  <si>
    <t>1. SR084092</t>
  </si>
  <si>
    <t>1. Site was offline on 05/02 at 04:40 pm and later back online 05/03 at 06:05 pm, 
due to utility outage.</t>
  </si>
  <si>
    <t>1.SR084176</t>
  </si>
  <si>
    <t>1. Site tripped offline on 05/10 at 07:35 am and back online at 11:55 pm on same day, after the RGE crew cleared the dead squirrel that caused the outage.
2.Inverter 3 was offline on 05/17 at 5:55 am and back online at 09:20 am. On 05/18 the inverter again tripped ofline and later on 05/20 at 10:35 am, technicain on site worked on inverter 3 and brought inverter back online.</t>
  </si>
  <si>
    <t>1. SR084523
2. SR084801</t>
  </si>
  <si>
    <t>1. Inverter 5 tripped offline at 14:00 on 05/02 and back online at 07:15AM on 05/03.
2. Inverter 30 tripped offline at 14:15 on 05/07 and back online at 15:00 on 05/08.
3. Inverter 8 tripped offline at 07:30AM on 05/12 and back online at 11:30 on 05/20.
4. Inverter 32 tripped offline at 15:00 on 05/17 and back online at 13:00 on 05/20.
5. Inverter 23 tripped offline at 15:15 on 05/22 and back online at 09:30AM on 05/23 and inverter 30 tripped offline at 14:45 on 05/22 and back online at 09:30 on 05/23.
6. Inverter 1 tripped offline from 11:45AM on 05/19.
7. Inverter 34 tripped offline at 10:45 on 05/19.
8. Inverter 23 tripped offline at 15:15 on 05/23 and back online at 09:15 on 05/24.
9. All inverters are offline from 07:00AM to 09:45AM on 05/23.
10. Inverter 5 tripped at 14:30 on 05/31 and back online at 07:00AM on 06/03</t>
  </si>
  <si>
    <t>1. SR084169
2. SR084379
3. SR084593
4. SR084818
5. SR085025
6. SR084871
7. SR084868
8. SR085043
9. SR085047
10. SR085390</t>
  </si>
  <si>
    <t>1. Inverter 1 tripped offline at 10:30AM on 05/05 and back online at 05:00PM on 05/06.</t>
  </si>
  <si>
    <t>1. SR084275</t>
  </si>
  <si>
    <t>1. Inverter 3 tripped offline at 02:55PM on 05/18 and back online at 04:20PM 05/19 and due to PS board swapping between 3 and 4, inverter 4 is offline from 03:05AM to 04:10AM
2. Inverters 1 and 3 is having curtliment event the clipping value is about 1245 from 05/14.</t>
  </si>
  <si>
    <t>1. SR084827
2. SR085366</t>
  </si>
  <si>
    <t>1.Site was taken offline on 05/09 from 11:20AM to 14:20PM by technician.</t>
  </si>
  <si>
    <t>1.SR083716</t>
  </si>
  <si>
    <t>1. Site was taken offline on 05/09 from 11:00AM to 13:10PM by technician.</t>
  </si>
  <si>
    <t>1.SR083717</t>
  </si>
  <si>
    <t>1. Site is offline on 05/23 and back online on 05/30</t>
  </si>
  <si>
    <t>1. SR084805</t>
  </si>
  <si>
    <t>1.Site is offline due to Utility outage on 05/28 from 09:15AM to 14:00PM.</t>
  </si>
  <si>
    <t>1.SR084910</t>
  </si>
  <si>
    <t>1.SR084911</t>
  </si>
  <si>
    <t>1.SR084912</t>
  </si>
  <si>
    <t>1.Site was taken offline on 05/10 from 08:25AM to 11:10AM by technician.</t>
  </si>
  <si>
    <t>1.SR083718</t>
  </si>
  <si>
    <t xml:space="preserve">1. Inverter 1 tripped offline on 05/07 at 09:30AM and back online on 05/09 at 10:40AM.
2.Inverter 1 tripped offline on 05/16 at 12:00AM and back online on at 05:30 PM and again tripped offline on 05/17 at 15:05PM </t>
  </si>
  <si>
    <t>1.SR084352
2.SR084774</t>
  </si>
  <si>
    <t>1. Inverter 8 was offline throught out the month. Inverter 5 was offline from 05/01 due to thermal damage on breaker, later on 05/29 technician replaced the breaker and inverter was back online.</t>
  </si>
  <si>
    <t>1.SR082892</t>
  </si>
  <si>
    <t>1. Inverter 3 is tripped offline at 11:45am on 05/25.</t>
  </si>
  <si>
    <t>1. SR085156</t>
  </si>
  <si>
    <t xml:space="preserve">1. Inverter 14 is tripped offline at 12:00pm  on 05/07 and back online on 05/10 and again offline from 05/11.
2. Inverter 20 is tripped offline on 05/07 at 8:30am and back online on 05/10 at 9:00am.
3. Inverter 27 is tripped offline on 05/02 and back online at 13:15 on 05/02 and again offline on 05/04 and back online on 05/05 at 11:00am </t>
  </si>
  <si>
    <t>1. SSR084581
2. SR084581
3.  SR083113</t>
  </si>
  <si>
    <t>1. Inverter 2 tripped offline at 13:45 on 05/04 and back online on 05/05 and again tripped offline on 05/11 and back online on 05/12 
2. Inverter 3 tripped offline on 05/06 and back online on 05/07
3. Inverter 1 is offline throughout the month.
4. Inverter 16 is offline for whole month.
5.  Inverter 17  offline due to "electric arc detected and offline for whole month.
6. Inverter 4 is offline for multiple days.</t>
  </si>
  <si>
    <t>1. SR084273
2. SR084288
3. SR083305
4. SR081250
5. SR081250
6. SR082814</t>
  </si>
  <si>
    <t>1.Inverter2,6 and 8 tripped offline at 13:00 on 05/22and back online online on 05/23 at 09:15am.
2.Inverter 2 is underperforming by 30kW from 11:45 on 05/02 and self resolved on 05/03 at 05:45 am</t>
  </si>
  <si>
    <t>1. SR0805023
2. SR084168</t>
  </si>
  <si>
    <t>1. Inverter 9 is being RMA'd
2. Inverter 2.07 is underperforming ~3kW compared with its peer from 04/22
3.inv 17 underperforming by 4 kW since 5/3/24. it looks like DC current 2 lost capacity.</t>
  </si>
  <si>
    <t>1. SR083861
2. SR084135
3. SR084563</t>
  </si>
  <si>
    <t>1. Site tripped offline at 8:20am on 05/21 back online on 05/22</t>
  </si>
  <si>
    <t>1. SR084934</t>
  </si>
  <si>
    <t>June Actual v. Expected</t>
  </si>
  <si>
    <t>June Actual v. Forecasted</t>
  </si>
  <si>
    <t>1. Virtual Weather station had not communicated till 06/13, due to that Expected Energy is low.</t>
  </si>
  <si>
    <t>1. SR083800</t>
  </si>
  <si>
    <t>1. SR083801</t>
  </si>
  <si>
    <t>1. Inverter is tripping on and offline repeatedly on multiple days and hadn't started till 4pm on 06/20. It has a history of heat related issues</t>
  </si>
  <si>
    <t>1. SR085749, SR086481</t>
  </si>
  <si>
    <t>1. Inverter 1-1 tripped offline at 08:45AM on 06/07 and it is still offline.</t>
  </si>
  <si>
    <t>1. SR085744</t>
  </si>
  <si>
    <t xml:space="preserve">1. Virtual Weather station has stopped communication on 06/13 due to that Expected energy is low </t>
  </si>
  <si>
    <t>1. SR083804</t>
  </si>
  <si>
    <t>1. SR083803</t>
  </si>
  <si>
    <t>1. Site was expired in AlsoEnergy but communicating in SolarEdge.</t>
  </si>
  <si>
    <t>1. SR081028</t>
  </si>
  <si>
    <t>1. Virtual Weather station has stopped communication on 06/13 due to that Expected energy is low 
2. Site is experiencing a decrease in production during peak hours</t>
  </si>
  <si>
    <t>1. SR081027
2. SR086614</t>
  </si>
  <si>
    <t>1. Inverter 1 has underproduced compared to inverter 2 till 06/17 due to blown fuse 
2. Inverter 2 is derating by about 50kW</t>
  </si>
  <si>
    <t>1. SR084741
2. SR086766</t>
  </si>
  <si>
    <t>1. The meter for Buildings 1 &amp; 2 has not captured full production till 06/17
2. Building 1 &amp; 2 was tripped offline at 10:15am on 06/09 and were again offline on 06/10 from 9:45am to 13:30</t>
  </si>
  <si>
    <t>1. SR085825
2. SR085789</t>
  </si>
  <si>
    <t>1.Inverter 1 is offline from 06/25 at 13:45 and back online on 06/27 at 12:00</t>
  </si>
  <si>
    <t>1.SR086936</t>
  </si>
  <si>
    <t>1.Inverter 1 left unit is barely producing from 06/05 at 09:30 and back to normal production from 06/24 at 08:00</t>
  </si>
  <si>
    <t>1.SR085982</t>
  </si>
  <si>
    <t>1.Inverter 2 derating approximately 5-15kW from 05/06 while tech working onsite the site was offline from 06/26 from 09:25 to 12:30</t>
  </si>
  <si>
    <t>1.SR086518</t>
  </si>
  <si>
    <t>1.Weather station lost communiction from 06/14 communication started  from 06/24 at 15:45 as a result the site was taken offline from 12:45 to 15:45 on 06/24</t>
  </si>
  <si>
    <t>1. SR086843
2. SR086861</t>
  </si>
  <si>
    <t>1. No communication for weather station</t>
  </si>
  <si>
    <t>1. SR086842</t>
  </si>
  <si>
    <t>1.Inverter 1 tripped offline on 06/22 at 09:45 and  back online at 11:45</t>
  </si>
  <si>
    <t>1. SR086632</t>
  </si>
  <si>
    <t>1. Inverter 2 right unit tripped offline on 06/08 at 13:47 and back online on 06/10 at 07:15 am and again tripped offline at 13:45 back online on 06/14 at 11:00am
2. Inverter 2 right unit tripped offline on 06/24 at 14:00. Possible arc detection fault. and back online on 06/25 at 11:00 am</t>
  </si>
  <si>
    <t>1. SR085765
2. SR086883</t>
  </si>
  <si>
    <t>1. Inverter 1 is offline from 11:48 am on 06/07 and back online on 06/18 at 09:45 am</t>
  </si>
  <si>
    <t>1. SR085754</t>
  </si>
  <si>
    <t xml:space="preserve">1. Inverter 1 was underproduced 33kW due to multiple tripping in center and right unit. Later resolved after the technician replaced center and right unit on 06/03
</t>
  </si>
  <si>
    <t>1. Inverter 3 is offline since 06/01 and back online on 06/20.</t>
  </si>
  <si>
    <t>1. 	SR085399</t>
  </si>
  <si>
    <t>1. Inverter 2 started late on 06/23, 06/27, 06/30.</t>
  </si>
  <si>
    <t>1. SR087028</t>
  </si>
  <si>
    <t>1. Inverter 1 primary unit is offline since 06/05.</t>
  </si>
  <si>
    <t>1. SR085846</t>
  </si>
  <si>
    <t>1. Inverter 1 right unit and inverter 2 left unit tripped offline on 06/01 at 12:45 and back online on 06/02 and inverter right unit again tripped offline on 06/02 at 13:15 and back online on 06/03</t>
  </si>
  <si>
    <t>1. SR085404</t>
  </si>
  <si>
    <t>1. Inverter 1 right unit is offline from 06/14 and back online on 06/25 at 10:00am
2. Inverter 3 center unit is tripped offline on 06/23 at 09:00am and back online on 06/25 at 10:00am.</t>
  </si>
  <si>
    <t>1. SR086364
2. SR086840</t>
  </si>
  <si>
    <t>1. Inverter 3 is offline since 06/17 till end of the month.</t>
  </si>
  <si>
    <t>1. SR086329</t>
  </si>
  <si>
    <t>1.Inverter 1 central unit tripped offline at 13:46 on 06/02 &amp; inverter 1 is offline from 08:15 on 06/03 due to remote reset was failed and again back online from 08:00 on 06/04 and inverter 1 central unit was back online from 06/11 at 14:00</t>
  </si>
  <si>
    <t>1.SR085427</t>
  </si>
  <si>
    <t>1. Inverter 1 primary unit is back online from 06/10 at 15:53</t>
  </si>
  <si>
    <t>1.Inverter 1 left unit is underperforming by 5 kW  from 06/07</t>
  </si>
  <si>
    <t xml:space="preserve">SR086483	</t>
  </si>
  <si>
    <t>1.  Inverter 5 and its meter was offline from 06/08 to 06/10 morning
2. Inverter 3 was offline at 16:00 of 06/16 and back online at 9:15am on 06/19
3. We lost site communication from 06/20 due bad cell modem. Because of this the Actual energy is low</t>
  </si>
  <si>
    <t>1. SR085803
2. SR086297
3. SR086467</t>
  </si>
  <si>
    <t>1.  Inverter 1 tripped offline at 11:15 on 06/03 and back online on 06/14 when technician replaced the fuse
2. Inverter 3 was offline on 06/06</t>
  </si>
  <si>
    <t>1. SR085485
2. SR085685</t>
  </si>
  <si>
    <t>1. Weather station is not communicating from 04/27</t>
  </si>
  <si>
    <t>1. SR085360</t>
  </si>
  <si>
    <t>1. Inverter 20 was derated approximately 20kW from 06/17 at 13:35 and resolved on 07/02</t>
  </si>
  <si>
    <t>1. SR086419</t>
  </si>
  <si>
    <t>1. Weather station has not communicated after 05/10
2. Inverter 16 has derated approximately 20kW compared to its peers on 06/12, 06/13, 06/15, 06/16, 06/17, 06/18, 06/19 and resolved on 06/20</t>
  </si>
  <si>
    <t>1. SR085363
2. SR086276</t>
  </si>
  <si>
    <t>1. Combiner box 1 was offline from 05/19 and back online 06/11 at 8:30am</t>
  </si>
  <si>
    <t>1. SR085411</t>
  </si>
  <si>
    <t>1. Site was offline due to a loss of utility power on 06/24 afternoon and technician re-energized on 06/25 at 10:30am
2. Cradlepoint issue is being present at the site which impacted site communication, due to this Actual Energy data is not avilable from 06/25</t>
  </si>
  <si>
    <t>1. SR086846
2. SR086060</t>
  </si>
  <si>
    <t>1. Site was offline due to a loss of utility power on 06/24 afternoon and technician re-energized on 06/25 at 10:30am
2. Cradlepoint issue is being present at the site which impacted site communication, due to this Actual Energy data is not avilable from 06/17</t>
  </si>
  <si>
    <t>1. SR086847
2. SR086060</t>
  </si>
  <si>
    <t>1. Inverter 2 is offline at 07:00AM on 06/09 due to  "synchronization system failure" alarm and inverter is back online at 12:40PM on 06/14.</t>
  </si>
  <si>
    <t>1. 	SR085775</t>
  </si>
  <si>
    <t>1. Inverter 2 is offline from 07:30AM to 11:25PM on 06/10.
2. Site tripped offline at 03:55AM on 06/30 later technician reset the site, site back online at 15:15 on 07/01.</t>
  </si>
  <si>
    <t>1. SR085800
2. SR087139</t>
  </si>
  <si>
    <t>1. Inverter 3 is offline at 07:00AM on 06/01 and back online at 07:00AM on 06/03.
2. Site offline due to utility outage from 15:00 to 18:00 on 06/06.
3. Site is offline from 09:20AM to 18:15 on 06/10 and Inverter 2 offline at 07:00AM on 06/10 and inverter 2 back online after replacing the phase fan at 10:45AM on 06/18.
4. Site is offline due to planned outage on 06/11 and 06/12.
5. Site is offline from 11:20AM to 12:25PM on 06/20
6. Site offline due to utility switching work on 06/25 and 06/27
7. Inverter 2 tripped offline at 07:20pm pm 06/09 and back online on 06/18</t>
  </si>
  <si>
    <t>1. SR085398
2. SR085713
3. SR085804
4. SR085859
5. SR086486
6. SR086898
7. SR085804</t>
  </si>
  <si>
    <t>1. Inverter 3 combiner box 21 is offline</t>
  </si>
  <si>
    <t>1. SR086063</t>
  </si>
  <si>
    <t>1. Inverter 4 tripped offline at 18:05 on 06/23 and after power cycling inverter back online at 14:25 on 06/24.
2. Site tripped offline at 14:45 on 06/24 and technician re-energize site at 09:55AM on 06/25 site is back online.
3. Site tripped offline at 12:00PM on 06/27 and back online after technician closed Breaker at 11:15AM on 06/28 site back online.
Site again tripped offline at 08:50AM on 06/30 later technician reset Breaker at 14:45 on 07/03 site back online.</t>
  </si>
  <si>
    <t>1. SR086770
2. SR086831
3. SR087041</t>
  </si>
  <si>
    <t xml:space="preserve">1. Inverter 30 offline on 06/01, 06/04, 06/13, 06/16, 06/18, 06/25, 06/28
2. Inverter 9 tripped offline at 14:45 on 06/01 and techncian reset the inverter, inverter back online at 07:00AM on 06/03
3. Inverter 27 offline on 06/04, 06/15, 06/25,
4. Inverter 29 offline 06/04, 06/28
5. Inverter 35 tripped offline at 16:00 on 06/05 and techncian replaced a module with thermal burns on string 11 and repaired the homerun, inverter back online at 02:30PM on 06/06.
6. Inverter 5 tripped offline at 15:00 on 06/14, 06/15, 06/28
</t>
  </si>
  <si>
    <t xml:space="preserve">1. SR085405, SR086292, SR085548, SR086332, SR086927, SR087092
2. SR085408
3. SR085547,SR086280, SR086926
4. SR085553, 	SR087112
5. SR085602
6. SR086260, SR086908, SR087099
</t>
  </si>
  <si>
    <t xml:space="preserve">1. Inverter 4 is offline from 09:45AM to 10:20AM on 06/14
2. Site tripped offline at 6pm on 06/23 and 1 &amp; 2 inverters got back online at 12pm on 06/25 and all site back online on 06/26 </t>
  </si>
  <si>
    <t>1. SR086221
2. SR086769</t>
  </si>
  <si>
    <t>1. Inverter 4 offline on 06/18,06/21,06/23.
2. Site tripped offline at 21:00 on 06/18 and back online at 10:40AM on 06/20</t>
  </si>
  <si>
    <t>1. SR086351
2. SR086421</t>
  </si>
  <si>
    <t>1.Site is offline on 06/23 at 19:15 and back online at 11:15 on 06/24, Site is offline on 06/29 at 21:40 and back online on 06/30 at 08:50</t>
  </si>
  <si>
    <t>1.SR086816</t>
  </si>
  <si>
    <t>1.Site is offline from 06/05 at 05:30 to 06/06 at 16:30 and inverter 2 is kept offline due to replace fan from 06/05 and back online at 06/11 at 12:05
2. Inverters 1 and 3 is having curtliment event, the clipping value is about 1245kW from 05/14 throughout the month.
3.Inverter 1 tripped offline on 06/09 at 12:45 and back online on 17:45</t>
  </si>
  <si>
    <t>1.SR085594
2.SR085366
3.SR085786</t>
  </si>
  <si>
    <t>1.Site is offline from 06/05 at 05:30 to 06/06 at 16:30 
2.Inverter 2 tripped offline on 06/29 at 16:10 and back online on 06/30 at 15:15</t>
  </si>
  <si>
    <t>1.SR086855
2.SR087126</t>
  </si>
  <si>
    <t>1. Inverter 2 has tripped offline on 06/17 at 15:25 through out the month</t>
  </si>
  <si>
    <t xml:space="preserve">1.SR086333	</t>
  </si>
  <si>
    <t xml:space="preserve">1.Site is offline from 06/02 at 12:45 due to utility outage and back online on 06/05 at 16:10, Site is again offline from 06/06 at </t>
  </si>
  <si>
    <t>1.SR084805</t>
  </si>
  <si>
    <t>1.Inverter 1 started late for the production at 12:00 on 06/09, Inverter started late for the production at 17:25 on 06/10, inverter was offline and later tech reset at 10:15 on 06/12</t>
  </si>
  <si>
    <t>1.SR085787</t>
  </si>
  <si>
    <t>1.Site tripped offline from 00:10 to 09:00 on 06/20
2.Site offline on 06/03 from 09:10 to 11:45</t>
  </si>
  <si>
    <t>1.SR086461
2.SR084910</t>
  </si>
  <si>
    <t>1.SR086462
2.SR085397</t>
  </si>
  <si>
    <t>1.Site tripped offline from 00:10 to 09:00 on 06/20
2.Site offline on 06/03 from 09:15 to 11:45</t>
  </si>
  <si>
    <t>1.SR086459
2.SR084912</t>
  </si>
  <si>
    <t>1.Inverter 1 tripped offfline on 06/05 at 17:35 at 06/13 at 13:45</t>
  </si>
  <si>
    <t>1.SR085603</t>
  </si>
  <si>
    <t>1.Inverter 1 tripped offline on 06/01 at 17:05 and back online on 06/03 at 10:50
2. Site was offline on 06/16 later tech reset at 16:15 on the same day.
3. Inverter was offline 6/28 and back online on 17:30 on the same day</t>
  </si>
  <si>
    <t>1.SR085434
2.SR086281
3. SR087102</t>
  </si>
  <si>
    <t>1.Inverter 1 is back online on 06/05 at 12:15
2. Inverter 1 tripped offline at 09:45 am to 11:30 AM and again tripped offline from 16:00 on 06/20 and back online from 06/24 at 09:45
3.Inverter 1 is having multiple trip events from 06/27</t>
  </si>
  <si>
    <t>1.SR084774
2.SR086330
3.SR087050</t>
  </si>
  <si>
    <t>1. Inverter 9 is offline from 06/09 at 07:00 and back online from at 14:30 on 06/12 and again tripped offline on 12:15 on 06/14 and back online 06/15 at 07:00 and again tripped offline on 06/16 and had a multiple tripped event on 06/17 and tripped offline on 06/20 at 11:15 and observed a multiple tripping event on 06/21 and 06/22</t>
  </si>
  <si>
    <t>1.SR083382</t>
  </si>
  <si>
    <t>1. Inverter 8 was offline throught out the month</t>
  </si>
  <si>
    <t>1. Inverter A03 lost a string from 6/7/23, Inverter A07 lost a string from 11/13/23, Inverter 13 also under producing, all inverters are producing as expected from 06/04</t>
  </si>
  <si>
    <t>SR085418</t>
  </si>
  <si>
    <t>1. Inverter 3 is back online on 06/04 at 11:30</t>
  </si>
  <si>
    <t>1. Inverter 14 is offline from 05/11 throught out the month
2.Site is offline from 14:30 to 16:00 on 06/02</t>
  </si>
  <si>
    <t>1. SR084581
2.SR085429</t>
  </si>
  <si>
    <t>1. Inverter 1 is offline throughout the month.
2. Inverter 4 was back online from 06/04 at 07:00 and again offline on 06/08 at 07:00 and having mutliple days offline
3. Inverter 16 was offline from 06/01 to 06/04, 06/07 (11am) to 06/14 morning and again offline from 06/15 to 06/27 mid-day
4. Inverter 17 is offline for whole month
5. Inverters 6 &amp; 10 have no communication for whole month and are offline</t>
  </si>
  <si>
    <t>1.SR083305
2.SR082814,SR086833
3. SR085745
4. SR081250, SR084156
5. SR084156</t>
  </si>
  <si>
    <t>1. Inverter 9 is offline through out the month
2.Inverter 17 underperforming by 4 kW since 5/3/24 through out the month
3.Inverter 2 is down with ~34kW through out the month</t>
  </si>
  <si>
    <t>1. SR083861
2.SR084563
3.SR083763</t>
  </si>
  <si>
    <t>1. Inverter 5 tripped offline on 06/18 at 16:45 through out the month.</t>
  </si>
  <si>
    <t>1.SR086414</t>
  </si>
  <si>
    <t>1.Site is offline from 10:10 to 18:10 on 06/17 as tech was onsite to work on CB and modules</t>
  </si>
  <si>
    <t>1.SR084241</t>
  </si>
  <si>
    <t>1.Site was offline from 13:10 to 16:40 0n 06/07 as tech was onsite to work on CT wires and GPM meters in the monitoring cabinet
2.Site is offline from 11:40 to 17:35 as EV solar is onsite to work on CTs and metering.
3.Site is offline from 10 am to 10:25 am on 06/17 as EV solar is on site 
4.Site was taken offline from 13:10 to 13:50 and 14:40 to 15:45 as EV solar is on site for testing meters, site was taken offline from 09:20AM to 10:30AM on 06/28
5.Site tripped at 11:25 on 06/24 and back online at 08:40 on 06/25</t>
  </si>
  <si>
    <t>1.SR084706
2.SR086091
3.SR086312
4.SR086423
5.SR086863</t>
  </si>
  <si>
    <t>1. Site tripped at 07:43 on 06/06 and back online at 08:26AM on 06/13 and again site tripped offline at 10:54AM on 06/13 and back online at 04:01PM on 06/27.</t>
  </si>
  <si>
    <t>1. SR085741</t>
  </si>
  <si>
    <t>1. Site offline from April and back online on 06/01/24 at 11:45 Am and again tripped on 06/02 at 5:00 Am back online at 12:00PM on 06/03.
2. Site is offline at 21:00 on 06/14 and back online at 11:00AM on 06/15
3. Inverter is offline from 07:00AM to 09:15AM on 06/27.
4. Inverter is offline from 10:00AM to 12:00PM on 06/29
5. Site was taken offline on 06/18 and energized on 06/19 at 1:00 AM</t>
  </si>
  <si>
    <t>1. SR085400, SR085461
2. SR086259
3. SR087020
4.SR087120
5. SR086369</t>
  </si>
  <si>
    <t>1. Site tripped offline at 12:20PM on 06/30 and back online at 05:35 PM on 07/01</t>
  </si>
  <si>
    <t>1. SR087142</t>
  </si>
  <si>
    <t>1. Inverter 1 tripped offline at 07:00AM on 06/07 and back online at 06:50PM on 06/08
Inverter is offline from 07:00AM to 03:25PM on 06/16
2. Inverter is offline from 07:00AM to 12:00PM on 06/24
3. Inverter is offline from 07:30AM to 12:00PM on 06/29
4. Inverter 2 was offline because of pending parts</t>
  </si>
  <si>
    <t>1. SR085764
2. 	SR086828
3. 	SR087121
4. SR085395</t>
  </si>
  <si>
    <t>1. Site tripped  offline from 02:10PM to 05:10PM on 06/28.
2. Site tripped offline at 11:45AM on 06/30 and back online at 12:30PM on 07/02.</t>
  </si>
  <si>
    <t>1. SR087106
2. SR087143</t>
  </si>
  <si>
    <t>1. Site tripped offline at 10:15AM on 05/02 later site stopped communicating from 05/04 and back online at 07:45AM on 06/14.</t>
  </si>
  <si>
    <t>1. SR085419</t>
  </si>
  <si>
    <t xml:space="preserve">1. Inverter is tripped offline at 04:55PM on 06/16 and back online at 08:40AM on 06/18, inverter tripped offline at 03:15PM on 06/18 and back online at 08:15AM on 06/19, inverter tripped offline at 3:00PM on 06/19 and back online at 09:25AM on 06/21. 
2. Inverter tripped offline at 11:50AM on 06/21 and Upon the technician arrival site is offline from 02:40PM on 06/21 and later back online at 08:20PM on 06/23.
Inverter tripped offline at 05:40PM on 06/25 and back online at 08:30AM on 06/26.
3. While technician on site inverter offline from 01:55PM to 04:20PM on 06/24.
4. Inverter is offline from 07:30AM to 09:40PM on 06/28 and inverter again tripped offline at 05:20PM on 06/30 and back online at 06:20PM on 07/03
</t>
  </si>
  <si>
    <t>1. SR086336
2. SR086596
3. SR086860
4. SR087084</t>
  </si>
  <si>
    <t>1. Inverter tripped offline at 08:10 on 06/27 and back online at 05:51AM on 06/28</t>
  </si>
  <si>
    <t>1. 	SR087023</t>
  </si>
  <si>
    <t>1. Inverter tripped offline at 11:21AM on 06/12 and back online at 08:39AM on 06/13.</t>
  </si>
  <si>
    <t>1. SR086093</t>
  </si>
  <si>
    <t>1. Inverter offline from 07:00AM on 06/28 and back at 12:00PM on 06/29</t>
  </si>
  <si>
    <t>1. SR087078</t>
  </si>
  <si>
    <t>1. Site tripped offline at 10:15AM on 06/26 and later back online at 09:55AM on 06/28.</t>
  </si>
  <si>
    <t>1. SR086987</t>
  </si>
  <si>
    <t>1. SR086988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</si>
  <si>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</si>
  <si>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</si>
  <si>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</si>
  <si>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</si>
  <si>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</si>
  <si>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</si>
  <si>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</si>
  <si>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</si>
  <si>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</si>
  <si>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</si>
  <si>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</si>
  <si>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</si>
  <si>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</si>
  <si>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Generate Capital</t>
  </si>
  <si>
    <t>Site DAS Name</t>
  </si>
  <si>
    <t>Update</t>
  </si>
  <si>
    <t>DAS</t>
  </si>
  <si>
    <t>ASU - Farmer</t>
  </si>
  <si>
    <t>Farmer</t>
  </si>
  <si>
    <t>AZ</t>
  </si>
  <si>
    <t>PowerTrack</t>
  </si>
  <si>
    <t>SOL-10748</t>
  </si>
  <si>
    <t>ASU - Fulton</t>
  </si>
  <si>
    <t>Fulton</t>
  </si>
  <si>
    <t>SOL-10749</t>
  </si>
  <si>
    <t>JFK Elementary</t>
  </si>
  <si>
    <t>SOL-10758</t>
  </si>
  <si>
    <t>ASU - Noble</t>
  </si>
  <si>
    <t>Noble</t>
  </si>
  <si>
    <t>SOL-10750</t>
  </si>
  <si>
    <t>ASU - Parking #3</t>
  </si>
  <si>
    <t>Parking 3</t>
  </si>
  <si>
    <t>SOL-10751</t>
  </si>
  <si>
    <t>ASU - PE East</t>
  </si>
  <si>
    <t>PE East</t>
  </si>
  <si>
    <t>SOL-10752</t>
  </si>
  <si>
    <t>ASU - Schwada</t>
  </si>
  <si>
    <t>Schwada</t>
  </si>
  <si>
    <t>SOL-10753</t>
  </si>
  <si>
    <t>Starshine</t>
  </si>
  <si>
    <t>SOL-10757</t>
  </si>
  <si>
    <t>Yuma Airport</t>
  </si>
  <si>
    <t>SOL-10754</t>
  </si>
  <si>
    <t>CV Kinsman</t>
  </si>
  <si>
    <t>Kinsman</t>
  </si>
  <si>
    <t>OH</t>
  </si>
  <si>
    <t>SOL-10762</t>
  </si>
  <si>
    <t>CV Wooster</t>
  </si>
  <si>
    <t>Wooster</t>
  </si>
  <si>
    <t>SOL-10763</t>
  </si>
  <si>
    <t>GCC Globe Solar PV</t>
  </si>
  <si>
    <t>Globe Gila CC</t>
  </si>
  <si>
    <t>SOL-10755</t>
  </si>
  <si>
    <t>GCC Payson Solar PV</t>
  </si>
  <si>
    <t>Payson Gila CC</t>
  </si>
  <si>
    <t>SOL-10756</t>
  </si>
  <si>
    <t>Southwest College Naturopathic Medicine</t>
  </si>
  <si>
    <t>SCNM</t>
  </si>
  <si>
    <t>SOL-10760</t>
  </si>
  <si>
    <t>Sequoia Charter School</t>
  </si>
  <si>
    <t>SOL-10759</t>
  </si>
  <si>
    <t>RCAB - Pastoral Center</t>
  </si>
  <si>
    <t>RCAB</t>
  </si>
  <si>
    <t>MA</t>
  </si>
  <si>
    <t>SOL-10838</t>
  </si>
  <si>
    <t>Claremont Flock</t>
  </si>
  <si>
    <t>Spectro Coatings</t>
  </si>
  <si>
    <t>SOL-10074</t>
  </si>
  <si>
    <t>K026</t>
  </si>
  <si>
    <t>NY</t>
  </si>
  <si>
    <t>SOL-10356</t>
  </si>
  <si>
    <t>K041</t>
  </si>
  <si>
    <t>SOL-10357</t>
  </si>
  <si>
    <t>K043 Brooklyn</t>
  </si>
  <si>
    <t>K043</t>
  </si>
  <si>
    <t>SOL-10358</t>
  </si>
  <si>
    <t>K058</t>
  </si>
  <si>
    <t>SOL-10360</t>
  </si>
  <si>
    <t>K115</t>
  </si>
  <si>
    <t>SOL-10361</t>
  </si>
  <si>
    <t>K152</t>
  </si>
  <si>
    <t>SOL-10362</t>
  </si>
  <si>
    <t>K166</t>
  </si>
  <si>
    <t>SOL-10363</t>
  </si>
  <si>
    <t>K206</t>
  </si>
  <si>
    <t>SOL-10927</t>
  </si>
  <si>
    <t>K251</t>
  </si>
  <si>
    <t>SOL-10365</t>
  </si>
  <si>
    <t>K269</t>
  </si>
  <si>
    <t>SOL-10366</t>
  </si>
  <si>
    <t>K273</t>
  </si>
  <si>
    <t>SOL-10367</t>
  </si>
  <si>
    <t>K287</t>
  </si>
  <si>
    <t>SOL-10919</t>
  </si>
  <si>
    <t>K298</t>
  </si>
  <si>
    <t>SOL-10368</t>
  </si>
  <si>
    <t>K335</t>
  </si>
  <si>
    <t>SOL-10370</t>
  </si>
  <si>
    <t>K345</t>
  </si>
  <si>
    <t>SOL-10920</t>
  </si>
  <si>
    <t>K445</t>
  </si>
  <si>
    <t>SOL-10373</t>
  </si>
  <si>
    <t>K495</t>
  </si>
  <si>
    <t>SOL-10374</t>
  </si>
  <si>
    <t>M020</t>
  </si>
  <si>
    <t>SOL-10380</t>
  </si>
  <si>
    <t>M092</t>
  </si>
  <si>
    <t>SOL-10383</t>
  </si>
  <si>
    <t>M143</t>
  </si>
  <si>
    <t>SOL-10384</t>
  </si>
  <si>
    <t>M144</t>
  </si>
  <si>
    <t>SOL-10385</t>
  </si>
  <si>
    <t>M167</t>
  </si>
  <si>
    <t>SOL-10386</t>
  </si>
  <si>
    <t>M188</t>
  </si>
  <si>
    <t>SOL-10387</t>
  </si>
  <si>
    <t>Elmhurst Hospital</t>
  </si>
  <si>
    <t>EMHC</t>
  </si>
  <si>
    <t>SOL-10351</t>
  </si>
  <si>
    <t>Q008</t>
  </si>
  <si>
    <t>SOL-10397</t>
  </si>
  <si>
    <t>Q018</t>
  </si>
  <si>
    <t>SOL-10398</t>
  </si>
  <si>
    <t>Q021</t>
  </si>
  <si>
    <t>SOL-10399</t>
  </si>
  <si>
    <t>Q025</t>
  </si>
  <si>
    <t>SOL-10400</t>
  </si>
  <si>
    <t>Q074</t>
  </si>
  <si>
    <t>SOL-10402</t>
  </si>
  <si>
    <t>Q115</t>
  </si>
  <si>
    <t>SOL-10872</t>
  </si>
  <si>
    <t>Q139</t>
  </si>
  <si>
    <t>SOL-10403</t>
  </si>
  <si>
    <t>Q157</t>
  </si>
  <si>
    <t>SOL-10404</t>
  </si>
  <si>
    <t>Q192</t>
  </si>
  <si>
    <t>SOL-10406</t>
  </si>
  <si>
    <t>Q210</t>
  </si>
  <si>
    <t>SOL-10407</t>
  </si>
  <si>
    <t>Q229</t>
  </si>
  <si>
    <t>SOL-10408</t>
  </si>
  <si>
    <t>Q231</t>
  </si>
  <si>
    <t>SOL-10870</t>
  </si>
  <si>
    <t>Q405</t>
  </si>
  <si>
    <t>SOL-10409</t>
  </si>
  <si>
    <t>Q435</t>
  </si>
  <si>
    <t>SOL-10923</t>
  </si>
  <si>
    <t>Q485</t>
  </si>
  <si>
    <t>SOL-10869</t>
  </si>
  <si>
    <t>Q490</t>
  </si>
  <si>
    <t>SOL-10411</t>
  </si>
  <si>
    <t>Q620</t>
  </si>
  <si>
    <t>SOL-10867</t>
  </si>
  <si>
    <t>Queens Museum of Art</t>
  </si>
  <si>
    <t>QMOA</t>
  </si>
  <si>
    <t>SOL-10415</t>
  </si>
  <si>
    <t>X024</t>
  </si>
  <si>
    <t>SOL-10419</t>
  </si>
  <si>
    <t>X026</t>
  </si>
  <si>
    <t>SOL-10420</t>
  </si>
  <si>
    <t>X090</t>
  </si>
  <si>
    <t>SOL-10925</t>
  </si>
  <si>
    <t>X117</t>
  </si>
  <si>
    <t>SOL-10422</t>
  </si>
  <si>
    <t>X125</t>
  </si>
  <si>
    <t>SOL-10423</t>
  </si>
  <si>
    <t>X134</t>
  </si>
  <si>
    <t>SOL-10424</t>
  </si>
  <si>
    <t>X135</t>
  </si>
  <si>
    <t>SOL-10425</t>
  </si>
  <si>
    <t>X-139  JHS 222</t>
  </si>
  <si>
    <t>X139 JHS 222</t>
  </si>
  <si>
    <t>SOL-10426</t>
  </si>
  <si>
    <t>X140</t>
  </si>
  <si>
    <t>SOL-10926</t>
  </si>
  <si>
    <t>X166</t>
  </si>
  <si>
    <t>SOL-10427</t>
  </si>
  <si>
    <t>Murphy (WaveSun)</t>
  </si>
  <si>
    <t>Murphy</t>
  </si>
  <si>
    <t>MN</t>
  </si>
  <si>
    <t>SOL-10094</t>
  </si>
  <si>
    <t>Terning (MontSun)</t>
  </si>
  <si>
    <t>Terning</t>
  </si>
  <si>
    <t>SOL-10093</t>
  </si>
  <si>
    <t>Boas Road 04</t>
  </si>
  <si>
    <t>AF</t>
  </si>
  <si>
    <t>GPM</t>
  </si>
  <si>
    <t>SOL-10908</t>
  </si>
  <si>
    <t>Kelly Bridge Farm</t>
  </si>
  <si>
    <t>SOL-10911</t>
  </si>
  <si>
    <t>Pool Brook Farm</t>
  </si>
  <si>
    <t>Pool Brook Road</t>
  </si>
  <si>
    <t>SOL-10909</t>
  </si>
  <si>
    <t>Sackett Lake Farm 1</t>
  </si>
  <si>
    <t>Sackett Lake</t>
  </si>
  <si>
    <t>SOL-10910</t>
  </si>
  <si>
    <t>Burritt Road</t>
  </si>
  <si>
    <t>AEF</t>
  </si>
  <si>
    <t>SOL-10913</t>
  </si>
  <si>
    <t>Villa Roma 1</t>
  </si>
  <si>
    <t>SOL-10914</t>
  </si>
  <si>
    <t>Villa Roma 2</t>
  </si>
  <si>
    <t>SOL-10915</t>
  </si>
  <si>
    <t>Washington 1</t>
  </si>
  <si>
    <t>SOL-10912</t>
  </si>
  <si>
    <t>Washington 3</t>
  </si>
  <si>
    <t>SOL-10828</t>
  </si>
  <si>
    <t>Washington 4</t>
  </si>
  <si>
    <t>SOL-10829</t>
  </si>
  <si>
    <t>Big Tree</t>
  </si>
  <si>
    <t>SOL-10966</t>
  </si>
  <si>
    <t>Canoga</t>
  </si>
  <si>
    <t>A</t>
  </si>
  <si>
    <t>SOL-10965</t>
  </si>
  <si>
    <t>County Route 84</t>
  </si>
  <si>
    <t>SOL-10967</t>
  </si>
  <si>
    <t>Donati</t>
  </si>
  <si>
    <t>SOL-10968</t>
  </si>
  <si>
    <t>Henrietta</t>
  </si>
  <si>
    <t>SOL-10972</t>
  </si>
  <si>
    <t>NY 70</t>
  </si>
  <si>
    <t>SOL-10970</t>
  </si>
  <si>
    <t>Reid (FFP)</t>
  </si>
  <si>
    <t>Reid</t>
  </si>
  <si>
    <t>SOL-10991</t>
  </si>
  <si>
    <t>Sangolqui</t>
  </si>
  <si>
    <t>SOL-10975</t>
  </si>
  <si>
    <t>State Highway 17B</t>
  </si>
  <si>
    <t>SOL-10988</t>
  </si>
  <si>
    <t>State Route 14A</t>
  </si>
  <si>
    <t>SOL-10997</t>
  </si>
  <si>
    <t>West Creek</t>
  </si>
  <si>
    <t>SOL-10995</t>
  </si>
  <si>
    <t>Wildflower</t>
  </si>
  <si>
    <t>SOL-10982</t>
  </si>
  <si>
    <t>Glen Mary 1</t>
  </si>
  <si>
    <t>SOL-10993</t>
  </si>
  <si>
    <t>Glen Mary 2</t>
  </si>
  <si>
    <t>SOL-10994</t>
  </si>
  <si>
    <t>Telegraph 1</t>
  </si>
  <si>
    <t>SOL-11003</t>
  </si>
  <si>
    <t>Telegraph 2</t>
  </si>
  <si>
    <t>SOL-11004</t>
  </si>
  <si>
    <t>Cafferty Hill</t>
  </si>
  <si>
    <t>SOL-10996</t>
  </si>
  <si>
    <t>Dunkleman</t>
  </si>
  <si>
    <t>SOL-11008</t>
  </si>
  <si>
    <t>Route 19 #1</t>
  </si>
  <si>
    <t>Route 19 1</t>
  </si>
  <si>
    <t>SOL-11001</t>
  </si>
  <si>
    <t>Route 19 #2</t>
  </si>
  <si>
    <t>Route 19 2</t>
  </si>
  <si>
    <t>SOL-11002</t>
  </si>
  <si>
    <t>Yellow Mills 1</t>
  </si>
  <si>
    <t>SOL-11006</t>
  </si>
  <si>
    <t>Yellow Mills 2</t>
  </si>
  <si>
    <t>SOL-11005</t>
  </si>
  <si>
    <t>Yellow Mills 3</t>
  </si>
  <si>
    <t>SOL-11007</t>
  </si>
  <si>
    <t>Catskill</t>
  </si>
  <si>
    <t>SOL-11021</t>
  </si>
  <si>
    <t>Eddy Ridge</t>
  </si>
  <si>
    <t>SOL-11054</t>
  </si>
  <si>
    <t>Ridgeway #1</t>
  </si>
  <si>
    <t>SOL-11018</t>
  </si>
  <si>
    <t>Rivard 1</t>
  </si>
  <si>
    <t>SOL-11011</t>
  </si>
  <si>
    <t>Rivard 2</t>
  </si>
  <si>
    <t>SOL-11012</t>
  </si>
  <si>
    <t>The Essex - DC</t>
  </si>
  <si>
    <t>Essex</t>
  </si>
  <si>
    <t>DC</t>
  </si>
  <si>
    <t>SOL-10036</t>
  </si>
  <si>
    <t>Temple Sinai</t>
  </si>
  <si>
    <t>SOL-10028</t>
  </si>
  <si>
    <t>Weinberg 1</t>
  </si>
  <si>
    <t>SOL-10039</t>
  </si>
  <si>
    <t>Weinberg 2</t>
  </si>
  <si>
    <t>SOL-10045</t>
  </si>
  <si>
    <t>Weinberg 3</t>
  </si>
  <si>
    <t>SOL-10042</t>
  </si>
  <si>
    <t>Clayton Hall</t>
  </si>
  <si>
    <t>DE</t>
  </si>
  <si>
    <t>SOL-10820</t>
  </si>
  <si>
    <t>Field House</t>
  </si>
  <si>
    <t>SOL-10821</t>
  </si>
  <si>
    <t>Wyoming Road</t>
  </si>
  <si>
    <t>SOL-10819</t>
  </si>
  <si>
    <t>Leoku</t>
  </si>
  <si>
    <t>HI</t>
  </si>
  <si>
    <t>SOL-10071</t>
  </si>
  <si>
    <t>Waipahu</t>
  </si>
  <si>
    <t>SOL-10068</t>
  </si>
  <si>
    <t>Bird in Hand</t>
  </si>
  <si>
    <t>MD</t>
  </si>
  <si>
    <t>SOL-10092</t>
  </si>
  <si>
    <t>Shortal</t>
  </si>
  <si>
    <t>SOL-10091</t>
  </si>
  <si>
    <t>Aguadilla</t>
  </si>
  <si>
    <t>PR</t>
  </si>
  <si>
    <t>SOL-10072</t>
  </si>
  <si>
    <t>Bayamon</t>
  </si>
  <si>
    <t>SOL-10073</t>
  </si>
  <si>
    <t>St Francis</t>
  </si>
  <si>
    <t>SOL-10034</t>
  </si>
  <si>
    <t>Seaport</t>
  </si>
  <si>
    <t>SOL-10772</t>
  </si>
  <si>
    <t>Sprague St</t>
  </si>
  <si>
    <t>SOL-10773</t>
  </si>
  <si>
    <t>Summer St</t>
  </si>
  <si>
    <t>SOL-10764</t>
  </si>
  <si>
    <t>Brock St Vocational</t>
  </si>
  <si>
    <t>NH</t>
  </si>
  <si>
    <t>SOL-10768</t>
  </si>
  <si>
    <t>McClelland ES</t>
  </si>
  <si>
    <t>SOL-10766</t>
  </si>
  <si>
    <t>Portland St</t>
  </si>
  <si>
    <t>SOL-10771</t>
  </si>
  <si>
    <t>Portsmouth HS</t>
  </si>
  <si>
    <t>SOL-10769</t>
  </si>
  <si>
    <t>Portsmouth WTP</t>
  </si>
  <si>
    <t>SOL-10770</t>
  </si>
  <si>
    <t>Rochester St</t>
  </si>
  <si>
    <t>SOL-10765</t>
  </si>
  <si>
    <t>Spaulding HS</t>
  </si>
  <si>
    <t>SOL-10767</t>
  </si>
  <si>
    <t>Ridgeway #2</t>
  </si>
  <si>
    <t>SOL-11027</t>
  </si>
  <si>
    <t>Spencer</t>
  </si>
  <si>
    <t>SOL-11017</t>
  </si>
  <si>
    <r>
      <rPr>
        <sz val="10"/>
        <rFont val="Arial"/>
        <family val="2"/>
      </rPr>
      <t>Reisender</t>
    </r>
  </si>
  <si>
    <t xml:space="preserve">Green Power Monitor  </t>
  </si>
  <si>
    <t>SOL-10886</t>
  </si>
  <si>
    <r>
      <rPr>
        <sz val="10"/>
        <rFont val="Arial"/>
        <family val="2"/>
      </rPr>
      <t>Finney</t>
    </r>
  </si>
  <si>
    <t xml:space="preserve">Green Power Monitor </t>
  </si>
  <si>
    <t>SOL-10999</t>
  </si>
  <si>
    <r>
      <rPr>
        <sz val="10"/>
        <rFont val="Arial"/>
        <family val="2"/>
      </rPr>
      <t>Davis Solar</t>
    </r>
  </si>
  <si>
    <t>Also Energy API</t>
  </si>
  <si>
    <t>SOL-10958</t>
  </si>
  <si>
    <r>
      <rPr>
        <sz val="10"/>
        <rFont val="Arial"/>
        <family val="2"/>
      </rPr>
      <t>Genesee</t>
    </r>
  </si>
  <si>
    <t>SOL-10951</t>
  </si>
  <si>
    <r>
      <rPr>
        <sz val="10"/>
        <rFont val="Arial"/>
        <family val="2"/>
      </rPr>
      <t>Landau I</t>
    </r>
  </si>
  <si>
    <t>Green Power Monitor</t>
  </si>
  <si>
    <t>SOL-10891</t>
  </si>
  <si>
    <r>
      <rPr>
        <sz val="10"/>
        <rFont val="Arial"/>
        <family val="2"/>
      </rPr>
      <t>Landau II</t>
    </r>
  </si>
  <si>
    <t>SOL-10895</t>
  </si>
  <si>
    <r>
      <rPr>
        <sz val="10"/>
        <rFont val="Arial"/>
        <family val="2"/>
      </rPr>
      <t>New Beginnings</t>
    </r>
  </si>
  <si>
    <t>SOL-10890</t>
  </si>
  <si>
    <t>Guilin Farm Solar</t>
  </si>
  <si>
    <t>SOL-10998</t>
  </si>
  <si>
    <t>Brodhead Solar</t>
  </si>
  <si>
    <t>SOL-10899</t>
  </si>
  <si>
    <r>
      <rPr>
        <sz val="10"/>
        <rFont val="Arial"/>
        <family val="2"/>
      </rPr>
      <t>Svenski</t>
    </r>
  </si>
  <si>
    <t>SOL-10894</t>
  </si>
  <si>
    <r>
      <rPr>
        <sz val="10"/>
        <rFont val="Arial"/>
        <family val="2"/>
      </rPr>
      <t>Bantam</t>
    </r>
  </si>
  <si>
    <t>SOL-10986</t>
  </si>
  <si>
    <r>
      <rPr>
        <sz val="10"/>
        <rFont val="Arial"/>
        <family val="2"/>
      </rPr>
      <t>Bogart</t>
    </r>
  </si>
  <si>
    <t>SOL-10887</t>
  </si>
  <si>
    <r>
      <rPr>
        <sz val="10"/>
        <rFont val="Arial"/>
        <family val="2"/>
      </rPr>
      <t>Dubois</t>
    </r>
  </si>
  <si>
    <t>SOL-10892</t>
  </si>
  <si>
    <r>
      <rPr>
        <sz val="10"/>
        <rFont val="Arial"/>
        <family val="2"/>
      </rPr>
      <t>Salt Point</t>
    </r>
  </si>
  <si>
    <t>SOL-10888</t>
  </si>
  <si>
    <r>
      <rPr>
        <sz val="10"/>
        <rFont val="Arial"/>
        <family val="2"/>
      </rPr>
      <t>Wheatland 2A</t>
    </r>
  </si>
  <si>
    <t>SOL-10971</t>
  </si>
  <si>
    <r>
      <rPr>
        <sz val="10"/>
        <rFont val="Arial"/>
        <family val="2"/>
      </rPr>
      <t>Wheatland 2B</t>
    </r>
  </si>
  <si>
    <t>SOL-10961</t>
  </si>
  <si>
    <r>
      <rPr>
        <sz val="10"/>
        <rFont val="Arial"/>
        <family val="2"/>
      </rPr>
      <t>Brickchurch</t>
    </r>
  </si>
  <si>
    <t>SOL-10889</t>
  </si>
  <si>
    <r>
      <rPr>
        <sz val="10"/>
        <rFont val="Arial"/>
        <family val="2"/>
      </rPr>
      <t>McCarthy Solar</t>
    </r>
  </si>
  <si>
    <t>SOL-10992</t>
  </si>
  <si>
    <r>
      <rPr>
        <sz val="10"/>
        <rFont val="Arial"/>
        <family val="2"/>
      </rPr>
      <t>Costanza</t>
    </r>
  </si>
  <si>
    <t>SOL-10907</t>
  </si>
  <si>
    <r>
      <rPr>
        <sz val="10"/>
        <rFont val="Arial"/>
        <family val="2"/>
      </rPr>
      <t>Lockenhurst Pond</t>
    </r>
  </si>
  <si>
    <t>SOL-11000</t>
  </si>
  <si>
    <r>
      <rPr>
        <sz val="10"/>
        <rFont val="Arial"/>
        <family val="2"/>
      </rPr>
      <t>Drinkwater</t>
    </r>
  </si>
  <si>
    <t>SOL-10896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</si>
</sst>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charset val="1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24" fillId="0" borderId="0"/>
  </cellStyleXfs>
  <cellXfs count="9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0" borderId="0" xfId="43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8" fillId="46" borderId="0" xfId="0" applyFont="1" applyFill="1" applyAlignment="1">
      <alignment horizontal="center" vertical="center"/>
    </xf>
    <xf numFmtId="0" fontId="29" fillId="46" borderId="0" xfId="0" applyFont="1" applyFill="1" applyAlignment="1">
      <alignment horizontal="center" vertical="center"/>
    </xf>
    <xf numFmtId="164" fontId="29" fillId="46" borderId="0" xfId="1" applyNumberFormat="1" applyFont="1" applyFill="1" applyBorder="1" applyAlignment="1">
      <alignment horizontal="center" vertical="center"/>
    </xf>
    <xf numFmtId="3" fontId="31" fillId="46" borderId="0" xfId="0" applyNumberFormat="1" applyFont="1" applyFill="1" applyAlignment="1">
      <alignment horizontal="right" vertical="center"/>
    </xf>
    <xf numFmtId="9" fontId="31" fillId="46" borderId="0" xfId="2" applyFont="1" applyFill="1" applyBorder="1" applyAlignment="1">
      <alignment horizontal="center" vertical="center"/>
    </xf>
    <xf numFmtId="3" fontId="31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45" borderId="1" xfId="0" applyFont="1" applyFill="1" applyBorder="1" applyAlignment="1">
      <alignment horizontal="left" vertical="top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164" fontId="29" fillId="47" borderId="0" xfId="1" applyNumberFormat="1" applyFont="1" applyFill="1" applyBorder="1" applyAlignment="1">
      <alignment horizontal="center" vertical="center"/>
    </xf>
    <xf numFmtId="49" fontId="38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1" fillId="46" borderId="0" xfId="0" applyNumberFormat="1" applyFont="1" applyFill="1" applyAlignment="1">
      <alignment horizontal="left" vertical="top" wrapText="1"/>
    </xf>
    <xf numFmtId="49" fontId="1" fillId="46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49" fontId="24" fillId="46" borderId="0" xfId="0" applyNumberFormat="1" applyFont="1" applyFill="1" applyAlignment="1">
      <alignment horizontal="left" vertical="top" wrapText="1"/>
    </xf>
    <xf numFmtId="49" fontId="31" fillId="38" borderId="0" xfId="2" applyNumberFormat="1" applyFont="1" applyFill="1" applyAlignment="1">
      <alignment vertical="top" wrapText="1"/>
    </xf>
    <xf numFmtId="49" fontId="31" fillId="46" borderId="0" xfId="2" applyNumberFormat="1" applyFont="1" applyFill="1" applyAlignment="1">
      <alignment vertical="top" wrapText="1"/>
    </xf>
    <xf numFmtId="0" fontId="25" fillId="39" borderId="1" xfId="0" applyFont="1" applyFill="1" applyBorder="1" applyAlignment="1">
      <alignment horizontal="center" vertical="center"/>
    </xf>
    <xf numFmtId="0" fontId="31" fillId="48" borderId="0" xfId="0" applyFont="1" applyFill="1" applyAlignment="1">
      <alignment vertical="top" wrapText="1"/>
    </xf>
    <xf numFmtId="0" fontId="2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24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9" fillId="48" borderId="0" xfId="0" applyFont="1" applyFill="1" applyAlignment="1">
      <alignment vertical="top" wrapText="1"/>
    </xf>
    <xf numFmtId="0" fontId="24" fillId="0" borderId="0" xfId="0" applyFont="1" applyAlignment="1">
      <alignment vertical="center"/>
    </xf>
    <xf numFmtId="9" fontId="31" fillId="37" borderId="0" xfId="2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29" fillId="0" borderId="0" xfId="1" applyNumberFormat="1" applyFont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24" fillId="0" borderId="0" xfId="0" applyFont="1" applyAlignment="1">
      <alignment wrapText="1"/>
    </xf>
    <xf numFmtId="4" fontId="24" fillId="0" borderId="0" xfId="0" applyNumberFormat="1" applyFont="1"/>
    <xf numFmtId="3" fontId="24" fillId="0" borderId="0" xfId="0" applyNumberFormat="1" applyFont="1"/>
    <xf numFmtId="49" fontId="31" fillId="38" borderId="0" xfId="2" applyNumberFormat="1" applyFont="1" applyFill="1" applyAlignment="1">
      <alignment horizontal="left" vertical="top" wrapText="1"/>
    </xf>
    <xf numFmtId="49" fontId="39" fillId="38" borderId="0" xfId="2" applyNumberFormat="1" applyFont="1" applyFill="1" applyBorder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40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05C49343-67EE-497F-9D68-6822DB1E5960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tin Bhoite [Libsys]" id="{867BCBE8-FECA-4FFD-8522-7D34F30E89C9}" userId="S::yatinb_libsysinc.com#ext#@ameresco.onmicrosoft.com::b4ffb4e5-d88f-4006-af80-b23c33f36b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F160" totalsRowShown="0">
  <autoFilter ref="A3:F160" xr:uid="{C9C95D9E-67ED-41E0-9F41-9C3DA4ACF4CD}"/>
  <sortState xmlns:xlrd2="http://schemas.microsoft.com/office/spreadsheetml/2017/richdata2" ref="A4:D6">
    <sortCondition ref="C3:C6"/>
  </sortState>
  <tableColumns count="6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  <tableColumn id="6" xr3:uid="{6E275264-06B4-4C88-9B1E-B176A724FD18}" name="SOL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" dT="2024-03-04T13:50:49.99" personId="{867BCBE8-FECA-4FFD-8522-7D34F30E89C9}" id="{DF67D825-C883-44F2-8EA5-D891A5BC6DA2}">
    <text>Meter data is not available, energy values are taken from inverter.</text>
  </threadedComment>
  <threadedComment ref="D89" dT="2024-03-04T13:50:27.85" personId="{867BCBE8-FECA-4FFD-8522-7D34F30E89C9}" id="{A315C444-F93F-4C05-92FF-4E51C72D0B9B}">
    <text>Meter data is not available, energy values are taken from inverter.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2"/>
  <sheetViews>
    <sheetView workbookViewId="0">
      <pane xSplit="2" ySplit="3" topLeftCell="C12" activePane="bottomRight" state="frozen"/>
      <selection pane="bottomRight" activeCell="J169" sqref="J16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0</v>
      </c>
      <c r="F1" s="97"/>
      <c r="G1" s="97"/>
      <c r="H1" s="95" t="s">
        <v>1</v>
      </c>
      <c r="I1" s="95"/>
      <c r="J1" s="95"/>
    </row>
    <row r="2" spans="1:12" ht="19.5" customHeight="1">
      <c r="A2" s="98" t="s">
        <v>2</v>
      </c>
      <c r="B2" s="98"/>
      <c r="C2" s="72"/>
      <c r="D2" s="6">
        <f>SUM(D4:D200)</f>
        <v>138960686.37675563</v>
      </c>
      <c r="E2" s="6">
        <f>SUM(E4:E138)</f>
        <v>50703011.939899996</v>
      </c>
      <c r="F2" s="6">
        <f>D2-E2</f>
        <v>88257674.436855629</v>
      </c>
      <c r="G2" s="7">
        <f>IFERROR(F2/E2, 0)</f>
        <v>1.740679124574896</v>
      </c>
      <c r="H2" s="6">
        <f>SUM(H4:H138)</f>
        <v>83227244.042799965</v>
      </c>
      <c r="I2" s="8">
        <f>D2-H2</f>
        <v>55733442.33395566</v>
      </c>
      <c r="J2" s="7">
        <f>IFERROR(I2/H2, 0)</f>
        <v>0.66965382519808658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SUM('1st Qtr'!D4, '2nd Qtr'!D4, '3rd Qtr'!D4, '4th Qtr'!D4)</f>
        <v>75721.914834495023</v>
      </c>
      <c r="E4" s="11">
        <f>SUM('1st Qtr'!E4, '2nd Qtr'!E4, '3rd Qtr'!E4, '4th Qtr'!E4)</f>
        <v>50382.135999999999</v>
      </c>
      <c r="F4" s="11">
        <f>IF(AND(ISNUMBER(D4),ISNUMBER(E4)), D4-E4, "")</f>
        <v>25339.778834495024</v>
      </c>
      <c r="G4" s="12">
        <f>IFERROR(F4/E4, "")</f>
        <v>0.50295165799431418</v>
      </c>
      <c r="H4" s="13">
        <f>SUM('1st Qtr'!H4+'2nd Qtr'!H4+'3rd Qtr'!H4+'4th Qtr'!H4)</f>
        <v>76784.887000000002</v>
      </c>
      <c r="I4" s="13">
        <f>SUM('1st Qtr'!I4, '2nd Qtr'!I4, '3rd Qtr'!I4, '4th Qtr'!I4)</f>
        <v>-1062.9721655049925</v>
      </c>
      <c r="J4" s="14">
        <f>IFERROR(I4/H4, "")</f>
        <v>-1.3843507583790446E-2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SUM('1st Qtr'!D5, '2nd Qtr'!D5, '3rd Qtr'!D5, '4th Qtr'!D5)</f>
        <v>303626.25</v>
      </c>
      <c r="E5" s="15">
        <f>SUM('1st Qtr'!E5, '2nd Qtr'!E5, '3rd Qtr'!E5, '4th Qtr'!E5)</f>
        <v>260820.58000000002</v>
      </c>
      <c r="F5" s="15">
        <f t="shared" ref="F5:F15" si="0">IF(AND(ISNUMBER(D5),ISNUMBER(E5)), D5-E5, "")</f>
        <v>42805.669999999984</v>
      </c>
      <c r="G5" s="16">
        <f>IFERROR(F5/E5, "")</f>
        <v>0.16411921942662647</v>
      </c>
      <c r="H5" s="17">
        <f>SUM('1st Qtr'!H5+'2nd Qtr'!H5+'3rd Qtr'!H5+'4th Qtr'!H5)</f>
        <v>375615.97000000003</v>
      </c>
      <c r="I5" s="17">
        <f>SUM('1st Qtr'!I5, '2nd Qtr'!I5, '3rd Qtr'!I5, '4th Qtr'!I5)</f>
        <v>-71989.72</v>
      </c>
      <c r="J5" s="16">
        <f>IFERROR(I5/H5, "")</f>
        <v>-0.1916577721655445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SUM('1st Qtr'!D6, '2nd Qtr'!D6, '3rd Qtr'!D6, '4th Qtr'!D6)</f>
        <v>118765.00981783561</v>
      </c>
      <c r="E6" s="11">
        <f>SUM('1st Qtr'!E6, '2nd Qtr'!E6, '3rd Qtr'!E6, '4th Qtr'!E6)</f>
        <v>0</v>
      </c>
      <c r="F6" s="11">
        <f t="shared" si="0"/>
        <v>118765.00981783561</v>
      </c>
      <c r="G6" s="12" t="str">
        <f t="shared" ref="G6:G15" si="1">IFERROR(F6/E6, "")</f>
        <v/>
      </c>
      <c r="H6" s="13">
        <f>SUM('1st Qtr'!H6+'2nd Qtr'!H6+'3rd Qtr'!H6+'4th Qtr'!H6)</f>
        <v>13376</v>
      </c>
      <c r="I6" s="13">
        <f>SUM('1st Qtr'!I6, '2nd Qtr'!I6, '3rd Qtr'!I6, '4th Qtr'!I6)</f>
        <v>105389.00981783561</v>
      </c>
      <c r="J6" s="14">
        <f t="shared" ref="J6:J15" si="2">IFERROR(I6/H6, "")</f>
        <v>7.8789630545630693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SUM('1st Qtr'!D7, '2nd Qtr'!D7, '3rd Qtr'!D7, '4th Qtr'!D7)</f>
        <v>59932.356854962942</v>
      </c>
      <c r="E7" s="15">
        <f>SUM('1st Qtr'!E7, '2nd Qtr'!E7, '3rd Qtr'!E7, '4th Qtr'!E7)</f>
        <v>85808.034</v>
      </c>
      <c r="F7" s="15">
        <f t="shared" si="0"/>
        <v>-25875.677145037058</v>
      </c>
      <c r="G7" s="16">
        <f t="shared" si="1"/>
        <v>-0.30155308237264888</v>
      </c>
      <c r="H7" s="17">
        <f>SUM('1st Qtr'!H7+'2nd Qtr'!H7+'3rd Qtr'!H7+'4th Qtr'!H7)</f>
        <v>85497.33</v>
      </c>
      <c r="I7" s="17">
        <f>SUM('1st Qtr'!I7, '2nd Qtr'!I7, '3rd Qtr'!I7, '4th Qtr'!I7)</f>
        <v>-25564.97314503706</v>
      </c>
      <c r="J7" s="16">
        <f t="shared" si="2"/>
        <v>-0.2990148715174738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SUM('1st Qtr'!D8, '2nd Qtr'!D8, '3rd Qtr'!D8, '4th Qtr'!D8)</f>
        <v>164140.14383571429</v>
      </c>
      <c r="E8" s="11">
        <f>SUM('1st Qtr'!E8, '2nd Qtr'!E8, '3rd Qtr'!E8, '4th Qtr'!E8)</f>
        <v>181257.84999999998</v>
      </c>
      <c r="F8" s="11">
        <f t="shared" si="0"/>
        <v>-17117.706164285686</v>
      </c>
      <c r="G8" s="12">
        <f t="shared" si="1"/>
        <v>-9.4438426607651407E-2</v>
      </c>
      <c r="H8" s="13">
        <f>SUM('1st Qtr'!H8+'2nd Qtr'!H8+'3rd Qtr'!H8+'4th Qtr'!H8)</f>
        <v>202759</v>
      </c>
      <c r="I8" s="13">
        <f>SUM('1st Qtr'!I8, '2nd Qtr'!I8, '3rd Qtr'!I8, '4th Qtr'!I8)</f>
        <v>-38618.856164285709</v>
      </c>
      <c r="J8" s="14">
        <f t="shared" si="2"/>
        <v>-0.19046679143360201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SUM('1st Qtr'!D9, '2nd Qtr'!D9, '3rd Qtr'!D9, '4th Qtr'!D9)</f>
        <v>171365.65601536259</v>
      </c>
      <c r="E9" s="15">
        <f>SUM('1st Qtr'!E9, '2nd Qtr'!E9, '3rd Qtr'!E9, '4th Qtr'!E9)</f>
        <v>118020.26</v>
      </c>
      <c r="F9" s="15">
        <f t="shared" si="0"/>
        <v>53345.396015362596</v>
      </c>
      <c r="G9" s="16">
        <f t="shared" si="1"/>
        <v>0.45200202080017954</v>
      </c>
      <c r="H9" s="17">
        <f>SUM('1st Qtr'!H9+'2nd Qtr'!H9+'3rd Qtr'!H9+'4th Qtr'!H9)</f>
        <v>185453.2</v>
      </c>
      <c r="I9" s="17">
        <f>SUM('1st Qtr'!I9, '2nd Qtr'!I9, '3rd Qtr'!I9, '4th Qtr'!I9)</f>
        <v>-14087.543984637385</v>
      </c>
      <c r="J9" s="16">
        <f t="shared" si="2"/>
        <v>-7.5962798078638621E-2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SUM('1st Qtr'!D10, '2nd Qtr'!D10, '3rd Qtr'!D10, '4th Qtr'!D10)</f>
        <v>75807.219707649725</v>
      </c>
      <c r="E10" s="11">
        <f>SUM('1st Qtr'!E10, '2nd Qtr'!E10, '3rd Qtr'!E10, '4th Qtr'!E10)</f>
        <v>48899.349000000002</v>
      </c>
      <c r="F10" s="11">
        <f t="shared" si="0"/>
        <v>26907.870707649723</v>
      </c>
      <c r="G10" s="12">
        <f t="shared" si="1"/>
        <v>0.55027053034284201</v>
      </c>
      <c r="H10" s="13">
        <f>SUM('1st Qtr'!H10+'2nd Qtr'!H10+'3rd Qtr'!H10+'4th Qtr'!H10)</f>
        <v>79462</v>
      </c>
      <c r="I10" s="13">
        <f>SUM('1st Qtr'!I10, '2nd Qtr'!I10, '3rd Qtr'!I10, '4th Qtr'!I10)</f>
        <v>-3654.7802923502713</v>
      </c>
      <c r="J10" s="14">
        <f t="shared" si="2"/>
        <v>-4.5994063732982697E-2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SUM('1st Qtr'!D11, '2nd Qtr'!D11, '3rd Qtr'!D11, '4th Qtr'!D11)</f>
        <v>44822.692396011393</v>
      </c>
      <c r="E11" s="15">
        <f>SUM('1st Qtr'!E11, '2nd Qtr'!E11, '3rd Qtr'!E11, '4th Qtr'!E11)</f>
        <v>0</v>
      </c>
      <c r="F11" s="15">
        <f t="shared" si="0"/>
        <v>44822.692396011393</v>
      </c>
      <c r="G11" s="16" t="str">
        <f t="shared" si="1"/>
        <v/>
      </c>
      <c r="H11" s="17">
        <f>SUM('1st Qtr'!H11+'2nd Qtr'!H11+'3rd Qtr'!H11+'4th Qtr'!H11)</f>
        <v>0</v>
      </c>
      <c r="I11" s="17">
        <f>SUM('1st Qtr'!I11, '2nd Qtr'!I11, '3rd Qtr'!I11, '4th Qtr'!I11)</f>
        <v>44822.692396011393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SUM('1st Qtr'!D12, '2nd Qtr'!D12, '3rd Qtr'!D12, '4th Qtr'!D12)</f>
        <v>450807</v>
      </c>
      <c r="E12" s="11">
        <f>SUM('1st Qtr'!E12, '2nd Qtr'!E12, '3rd Qtr'!E12, '4th Qtr'!E12)</f>
        <v>546992.93999999994</v>
      </c>
      <c r="F12" s="11">
        <f t="shared" si="0"/>
        <v>-96185.939999999944</v>
      </c>
      <c r="G12" s="12">
        <f t="shared" si="1"/>
        <v>-0.17584493869335854</v>
      </c>
      <c r="H12" s="13">
        <f>SUM('1st Qtr'!H12+'2nd Qtr'!H12+'3rd Qtr'!H12+'4th Qtr'!H12)</f>
        <v>490359</v>
      </c>
      <c r="I12" s="13">
        <f>SUM('1st Qtr'!I12, '2nd Qtr'!I12, '3rd Qtr'!I12, '4th Qtr'!I12)</f>
        <v>-39552</v>
      </c>
      <c r="J12" s="14">
        <f t="shared" si="2"/>
        <v>-8.0659272084330047E-2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SUM('1st Qtr'!D13, '2nd Qtr'!D13, '3rd Qtr'!D13, '4th Qtr'!D13)</f>
        <v>502045.078125</v>
      </c>
      <c r="E13" s="15">
        <f>SUM('1st Qtr'!E13, '2nd Qtr'!E13, '3rd Qtr'!E13, '4th Qtr'!E13)</f>
        <v>658378.14999999991</v>
      </c>
      <c r="F13" s="15">
        <f t="shared" si="0"/>
        <v>-156333.07187499991</v>
      </c>
      <c r="G13" s="16">
        <f t="shared" si="1"/>
        <v>-0.23745179252227602</v>
      </c>
      <c r="H13" s="17">
        <f>SUM('1st Qtr'!H13+'2nd Qtr'!H13+'3rd Qtr'!H13+'4th Qtr'!H13)</f>
        <v>611188</v>
      </c>
      <c r="I13" s="17">
        <f>SUM('1st Qtr'!I13, '2nd Qtr'!I13, '3rd Qtr'!I13, '4th Qtr'!I13)</f>
        <v>-109142.921875</v>
      </c>
      <c r="J13" s="16">
        <f t="shared" si="2"/>
        <v>-0.17857504053580894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SUM('1st Qtr'!D14, '2nd Qtr'!D14, '3rd Qtr'!D14, '4th Qtr'!D14)</f>
        <v>109692</v>
      </c>
      <c r="E14" s="11">
        <f>SUM('1st Qtr'!E14, '2nd Qtr'!E14, '3rd Qtr'!E14, '4th Qtr'!E14)</f>
        <v>0</v>
      </c>
      <c r="F14" s="11">
        <f t="shared" si="0"/>
        <v>109692</v>
      </c>
      <c r="G14" s="12" t="str">
        <f t="shared" si="1"/>
        <v/>
      </c>
      <c r="H14" s="13">
        <f>SUM('1st Qtr'!H14+'2nd Qtr'!H14+'3rd Qtr'!H14+'4th Qtr'!H14)</f>
        <v>144252</v>
      </c>
      <c r="I14" s="13">
        <f>SUM('1st Qtr'!I14, '2nd Qtr'!I14, '3rd Qtr'!I14, '4th Qtr'!I14)</f>
        <v>-34560</v>
      </c>
      <c r="J14" s="14">
        <f t="shared" si="2"/>
        <v>-0.239580733715997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SUM('1st Qtr'!D15, '2nd Qtr'!D15, '3rd Qtr'!D15, '4th Qtr'!D15)</f>
        <v>93527.90741506411</v>
      </c>
      <c r="E15" s="15">
        <f>SUM('1st Qtr'!E15, '2nd Qtr'!E15, '3rd Qtr'!E15, '4th Qtr'!E15)</f>
        <v>24864.852000000003</v>
      </c>
      <c r="F15" s="15">
        <f t="shared" si="0"/>
        <v>68663.055415064111</v>
      </c>
      <c r="G15" s="16">
        <f t="shared" si="1"/>
        <v>2.7614503965301744</v>
      </c>
      <c r="H15" s="17">
        <f>SUM('1st Qtr'!H15+'2nd Qtr'!H15+'3rd Qtr'!H15+'4th Qtr'!H15)</f>
        <v>98117</v>
      </c>
      <c r="I15" s="17">
        <f>SUM('1st Qtr'!I15, '2nd Qtr'!I15, '3rd Qtr'!I15, '4th Qtr'!I15)</f>
        <v>-4589.0925849358991</v>
      </c>
      <c r="J15" s="16">
        <f t="shared" si="2"/>
        <v>-4.677163575054169E-2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SUM('1st Qtr'!D16, '2nd Qtr'!D16, '3rd Qtr'!D16, '4th Qtr'!D16)</f>
        <v>66907.076532706502</v>
      </c>
      <c r="E16" s="11">
        <f>SUM('1st Qtr'!E16, '2nd Qtr'!E16, '3rd Qtr'!E16, '4th Qtr'!E16)</f>
        <v>10404.683999999999</v>
      </c>
      <c r="F16" s="11">
        <f t="shared" ref="F16:F17" si="3">IF(AND(ISNUMBER(D16),ISNUMBER(E16)), D16-E16, "")</f>
        <v>56502.392532706501</v>
      </c>
      <c r="G16" s="12">
        <f t="shared" ref="G16:G17" si="4">IFERROR(F16/E16, "")</f>
        <v>5.4304765558191388</v>
      </c>
      <c r="H16" s="13">
        <f>SUM('1st Qtr'!H16+'2nd Qtr'!H16+'3rd Qtr'!H16+'4th Qtr'!H16)</f>
        <v>79173</v>
      </c>
      <c r="I16" s="13">
        <f>SUM('1st Qtr'!I16, '2nd Qtr'!I16, '3rd Qtr'!I16, '4th Qtr'!I16)</f>
        <v>-12265.923467293502</v>
      </c>
      <c r="J16" s="14">
        <f t="shared" ref="J16:J17" si="5">IFERROR(I16/H16, "")</f>
        <v>-0.15492558659256947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SUM('1st Qtr'!D17, '2nd Qtr'!D17, '3rd Qtr'!D17, '4th Qtr'!D17)</f>
        <v>442379.06000000006</v>
      </c>
      <c r="E17" s="15">
        <f>SUM('1st Qtr'!E17, '2nd Qtr'!E17, '3rd Qtr'!E17, '4th Qtr'!E17)</f>
        <v>77194.320000000007</v>
      </c>
      <c r="F17" s="15">
        <f t="shared" si="3"/>
        <v>365184.74000000005</v>
      </c>
      <c r="G17" s="16">
        <f t="shared" si="4"/>
        <v>4.7307203431547817</v>
      </c>
      <c r="H17" s="17">
        <f>SUM('1st Qtr'!H17+'2nd Qtr'!H17+'3rd Qtr'!H17+'4th Qtr'!H17)</f>
        <v>245434</v>
      </c>
      <c r="I17" s="17">
        <f>SUM('1st Qtr'!I17, '2nd Qtr'!I17, '3rd Qtr'!I17, '4th Qtr'!I17)</f>
        <v>196945.06000000011</v>
      </c>
      <c r="J17" s="16">
        <f t="shared" si="5"/>
        <v>0.80243592982227452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SUM('1st Qtr'!D18, '2nd Qtr'!D18, '3rd Qtr'!D18, '4th Qtr'!D18)</f>
        <v>177863.88999999978</v>
      </c>
      <c r="E18" s="11">
        <f>SUM('1st Qtr'!E18, '2nd Qtr'!E18, '3rd Qtr'!E18, '4th Qtr'!E18)</f>
        <v>0</v>
      </c>
      <c r="F18" s="11">
        <f t="shared" ref="F18:F81" si="6">IF(AND(ISNUMBER(D18),ISNUMBER(E18)), D18-E18, "")</f>
        <v>177863.88999999978</v>
      </c>
      <c r="G18" s="12" t="str">
        <f t="shared" ref="G18:G81" si="7">IFERROR(F18/E18, "")</f>
        <v/>
      </c>
      <c r="H18" s="13">
        <f>SUM('1st Qtr'!H18+'2nd Qtr'!H18+'3rd Qtr'!H18+'4th Qtr'!H18)</f>
        <v>74460</v>
      </c>
      <c r="I18" s="13">
        <f>SUM('1st Qtr'!I18, '2nd Qtr'!I18, '3rd Qtr'!I18, '4th Qtr'!I18)</f>
        <v>103403.8899999998</v>
      </c>
      <c r="J18" s="14">
        <f t="shared" ref="J18:J81" si="8">IFERROR(I18/H18, "")</f>
        <v>1.3887172978780526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SUM('1st Qtr'!D19, '2nd Qtr'!D19, '3rd Qtr'!D19, '4th Qtr'!D19)</f>
        <v>589128.5</v>
      </c>
      <c r="E19" s="15">
        <f>SUM('1st Qtr'!E19, '2nd Qtr'!E19, '3rd Qtr'!E19, '4th Qtr'!E19)</f>
        <v>714555.67</v>
      </c>
      <c r="F19" s="15">
        <f t="shared" si="6"/>
        <v>-125427.17000000004</v>
      </c>
      <c r="G19" s="16">
        <f t="shared" si="7"/>
        <v>-0.17553169790115869</v>
      </c>
      <c r="H19" s="17">
        <f>SUM('1st Qtr'!H19+'2nd Qtr'!H19+'3rd Qtr'!H19+'4th Qtr'!H19)</f>
        <v>626865.46</v>
      </c>
      <c r="I19" s="17">
        <f>SUM('1st Qtr'!I19, '2nd Qtr'!I19, '3rd Qtr'!I19, '4th Qtr'!I19)</f>
        <v>-37736.960000000014</v>
      </c>
      <c r="J19" s="16">
        <f t="shared" si="8"/>
        <v>-6.0199456514959393E-2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SUM('1st Qtr'!D20, '2nd Qtr'!D20, '3rd Qtr'!D20, '4th Qtr'!D20)</f>
        <v>150405.25</v>
      </c>
      <c r="E20" s="11">
        <f>SUM('1st Qtr'!E20, '2nd Qtr'!E20, '3rd Qtr'!E20, '4th Qtr'!E20)</f>
        <v>176181.03999999998</v>
      </c>
      <c r="F20" s="11">
        <f t="shared" si="6"/>
        <v>-25775.789999999979</v>
      </c>
      <c r="G20" s="12">
        <f t="shared" si="7"/>
        <v>-0.146302859831001</v>
      </c>
      <c r="H20" s="13">
        <f>SUM('1st Qtr'!H20+'2nd Qtr'!H20+'3rd Qtr'!H20+'4th Qtr'!H20)</f>
        <v>166198.12</v>
      </c>
      <c r="I20" s="13">
        <f>SUM('1st Qtr'!I20, '2nd Qtr'!I20, '3rd Qtr'!I20, '4th Qtr'!I20)</f>
        <v>-15792.87</v>
      </c>
      <c r="J20" s="14">
        <f t="shared" si="8"/>
        <v>-9.5024360083014181E-2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SUM('1st Qtr'!D21, '2nd Qtr'!D21, '3rd Qtr'!D21, '4th Qtr'!D21)</f>
        <v>159691.625</v>
      </c>
      <c r="E21" s="15">
        <f>SUM('1st Qtr'!E21, '2nd Qtr'!E21, '3rd Qtr'!E21, '4th Qtr'!E21)</f>
        <v>186945.7</v>
      </c>
      <c r="F21" s="15">
        <f t="shared" si="6"/>
        <v>-27254.075000000012</v>
      </c>
      <c r="G21" s="16">
        <f t="shared" si="7"/>
        <v>-0.1457860491040982</v>
      </c>
      <c r="H21" s="17">
        <f>SUM('1st Qtr'!H21+'2nd Qtr'!H21+'3rd Qtr'!H21+'4th Qtr'!H21)</f>
        <v>200855.03</v>
      </c>
      <c r="I21" s="17">
        <f>SUM('1st Qtr'!I21, '2nd Qtr'!I21, '3rd Qtr'!I21, '4th Qtr'!I21)</f>
        <v>-41163.404999999999</v>
      </c>
      <c r="J21" s="16">
        <f t="shared" si="8"/>
        <v>-0.20494087203093694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SUM('1st Qtr'!D22, '2nd Qtr'!D22, '3rd Qtr'!D22, '4th Qtr'!D22)</f>
        <v>112442.83293359375</v>
      </c>
      <c r="E22" s="11">
        <f>SUM('1st Qtr'!E22, '2nd Qtr'!E22, '3rd Qtr'!E22, '4th Qtr'!E22)</f>
        <v>0</v>
      </c>
      <c r="F22" s="11">
        <f t="shared" si="6"/>
        <v>112442.83293359375</v>
      </c>
      <c r="G22" s="12" t="str">
        <f t="shared" si="7"/>
        <v/>
      </c>
      <c r="H22" s="13">
        <f>SUM('1st Qtr'!H22+'2nd Qtr'!H22+'3rd Qtr'!H22+'4th Qtr'!H22)</f>
        <v>0</v>
      </c>
      <c r="I22" s="13">
        <f>SUM('1st Qtr'!I22, '2nd Qtr'!I22, '3rd Qtr'!I22, '4th Qtr'!I22)</f>
        <v>112442.83293359375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SUM('1st Qtr'!D23, '2nd Qtr'!D23, '3rd Qtr'!D23, '4th Qtr'!D23)</f>
        <v>148443.609375</v>
      </c>
      <c r="E23" s="15">
        <f>SUM('1st Qtr'!E23, '2nd Qtr'!E23, '3rd Qtr'!E23, '4th Qtr'!E23)</f>
        <v>163734.41999999998</v>
      </c>
      <c r="F23" s="15">
        <f t="shared" si="6"/>
        <v>-15290.810624999984</v>
      </c>
      <c r="G23" s="16">
        <f t="shared" si="7"/>
        <v>-9.338788157676306E-2</v>
      </c>
      <c r="H23" s="17">
        <f>SUM('1st Qtr'!H23+'2nd Qtr'!H23+'3rd Qtr'!H23+'4th Qtr'!H23)</f>
        <v>189334</v>
      </c>
      <c r="I23" s="17">
        <f>SUM('1st Qtr'!I23, '2nd Qtr'!I23, '3rd Qtr'!I23, '4th Qtr'!I23)</f>
        <v>-40890.390625</v>
      </c>
      <c r="J23" s="16">
        <f t="shared" si="8"/>
        <v>-0.21596961256298394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SUM('1st Qtr'!D24, '2nd Qtr'!D24, '3rd Qtr'!D24, '4th Qtr'!D24)</f>
        <v>120476.4375</v>
      </c>
      <c r="E24" s="11">
        <f>SUM('1st Qtr'!E24, '2nd Qtr'!E24, '3rd Qtr'!E24, '4th Qtr'!E24)</f>
        <v>131637.95199999999</v>
      </c>
      <c r="F24" s="11">
        <f t="shared" si="6"/>
        <v>-11161.51449999999</v>
      </c>
      <c r="G24" s="12">
        <f t="shared" si="7"/>
        <v>-8.478948760916602E-2</v>
      </c>
      <c r="H24" s="13">
        <f>SUM('1st Qtr'!H24+'2nd Qtr'!H24+'3rd Qtr'!H24+'4th Qtr'!H24)</f>
        <v>119607.29000000001</v>
      </c>
      <c r="I24" s="13">
        <f>SUM('1st Qtr'!I24, '2nd Qtr'!I24, '3rd Qtr'!I24, '4th Qtr'!I24)</f>
        <v>869.14749999999913</v>
      </c>
      <c r="J24" s="14">
        <f t="shared" si="8"/>
        <v>7.2666766381881825E-3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SUM('1st Qtr'!D25, '2nd Qtr'!D25, '3rd Qtr'!D25, '4th Qtr'!D25)</f>
        <v>32594.601562499989</v>
      </c>
      <c r="E25" s="15">
        <f>SUM('1st Qtr'!E25, '2nd Qtr'!E25, '3rd Qtr'!E25, '4th Qtr'!E25)</f>
        <v>58594.455000000002</v>
      </c>
      <c r="F25" s="15">
        <f t="shared" si="6"/>
        <v>-25999.853437500013</v>
      </c>
      <c r="G25" s="16">
        <f t="shared" si="7"/>
        <v>-0.44372549309486731</v>
      </c>
      <c r="H25" s="17">
        <f>SUM('1st Qtr'!H25+'2nd Qtr'!H25+'3rd Qtr'!H25+'4th Qtr'!H25)</f>
        <v>43032.136999999995</v>
      </c>
      <c r="I25" s="17">
        <f>SUM('1st Qtr'!I25, '2nd Qtr'!I25, '3rd Qtr'!I25, '4th Qtr'!I25)</f>
        <v>-10437.535437500012</v>
      </c>
      <c r="J25" s="16">
        <f t="shared" si="8"/>
        <v>-0.24255210559261819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SUM('1st Qtr'!D26, '2nd Qtr'!D26, '3rd Qtr'!D26, '4th Qtr'!D26)</f>
        <v>46319.875</v>
      </c>
      <c r="E26" s="11">
        <f>SUM('1st Qtr'!E26, '2nd Qtr'!E26, '3rd Qtr'!E26, '4th Qtr'!E26)</f>
        <v>49715.115000000005</v>
      </c>
      <c r="F26" s="11">
        <f t="shared" si="6"/>
        <v>-3395.2400000000052</v>
      </c>
      <c r="G26" s="12">
        <f t="shared" si="7"/>
        <v>-6.8293918258059041E-2</v>
      </c>
      <c r="H26" s="13">
        <f>SUM('1st Qtr'!H26+'2nd Qtr'!H26+'3rd Qtr'!H26+'4th Qtr'!H26)</f>
        <v>9278</v>
      </c>
      <c r="I26" s="13">
        <f>SUM('1st Qtr'!I26, '2nd Qtr'!I26, '3rd Qtr'!I26, '4th Qtr'!I26)</f>
        <v>37041.875</v>
      </c>
      <c r="J26" s="14">
        <f t="shared" si="8"/>
        <v>3.9924417978012503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SUM('1st Qtr'!D27, '2nd Qtr'!D27, '3rd Qtr'!D27, '4th Qtr'!D27)</f>
        <v>167737.5</v>
      </c>
      <c r="E27" s="15">
        <f>SUM('1st Qtr'!E27, '2nd Qtr'!E27, '3rd Qtr'!E27, '4th Qtr'!E27)</f>
        <v>189514.6</v>
      </c>
      <c r="F27" s="15">
        <f t="shared" si="6"/>
        <v>-21777.100000000006</v>
      </c>
      <c r="G27" s="16">
        <f t="shared" si="7"/>
        <v>-0.11490988029418317</v>
      </c>
      <c r="H27" s="17">
        <f>SUM('1st Qtr'!H27+'2nd Qtr'!H27+'3rd Qtr'!H27+'4th Qtr'!H27)</f>
        <v>203276.53999999998</v>
      </c>
      <c r="I27" s="17">
        <f>SUM('1st Qtr'!I27, '2nd Qtr'!I27, '3rd Qtr'!I27, '4th Qtr'!I27)</f>
        <v>-35539.039999999994</v>
      </c>
      <c r="J27" s="16">
        <f t="shared" si="8"/>
        <v>-0.1748309962379328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SUM('1st Qtr'!D28, '2nd Qtr'!D28, '3rd Qtr'!D28, '4th Qtr'!D28)</f>
        <v>94886.836350154103</v>
      </c>
      <c r="E28" s="11">
        <f>SUM('1st Qtr'!E28, '2nd Qtr'!E28, '3rd Qtr'!E28, '4th Qtr'!E28)</f>
        <v>0</v>
      </c>
      <c r="F28" s="11">
        <f t="shared" si="6"/>
        <v>94886.836350154103</v>
      </c>
      <c r="G28" s="12" t="str">
        <f t="shared" si="7"/>
        <v/>
      </c>
      <c r="H28" s="13">
        <f>SUM('1st Qtr'!H28+'2nd Qtr'!H28+'3rd Qtr'!H28+'4th Qtr'!H28)</f>
        <v>0</v>
      </c>
      <c r="I28" s="13">
        <f>SUM('1st Qtr'!I28, '2nd Qtr'!I28, '3rd Qtr'!I28, '4th Qtr'!I28)</f>
        <v>94886.836350154103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SUM('1st Qtr'!D29, '2nd Qtr'!D29, '3rd Qtr'!D29, '4th Qtr'!D29)</f>
        <v>103020.96875</v>
      </c>
      <c r="E29" s="15">
        <f>SUM('1st Qtr'!E29, '2nd Qtr'!E29, '3rd Qtr'!E29, '4th Qtr'!E29)</f>
        <v>116231.46699999999</v>
      </c>
      <c r="F29" s="15">
        <f t="shared" si="6"/>
        <v>-13210.49824999999</v>
      </c>
      <c r="G29" s="16">
        <f t="shared" si="7"/>
        <v>-0.11365681420849649</v>
      </c>
      <c r="H29" s="17">
        <f>SUM('1st Qtr'!H29+'2nd Qtr'!H29+'3rd Qtr'!H29+'4th Qtr'!H29)</f>
        <v>109500.54700000001</v>
      </c>
      <c r="I29" s="17">
        <f>SUM('1st Qtr'!I29, '2nd Qtr'!I29, '3rd Qtr'!I29, '4th Qtr'!I29)</f>
        <v>-6479.5782499999987</v>
      </c>
      <c r="J29" s="16">
        <f t="shared" si="8"/>
        <v>-5.9173934994132933E-2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SUM('1st Qtr'!D30, '2nd Qtr'!D30, '3rd Qtr'!D30, '4th Qtr'!D30)</f>
        <v>99595.3125</v>
      </c>
      <c r="E30" s="11">
        <f>SUM('1st Qtr'!E30, '2nd Qtr'!E30, '3rd Qtr'!E30, '4th Qtr'!E30)</f>
        <v>6230.46</v>
      </c>
      <c r="F30" s="11">
        <f t="shared" si="6"/>
        <v>93364.852499999994</v>
      </c>
      <c r="G30" s="12">
        <f t="shared" si="7"/>
        <v>14.985226211226779</v>
      </c>
      <c r="H30" s="13">
        <f>SUM('1st Qtr'!H30+'2nd Qtr'!H30+'3rd Qtr'!H30+'4th Qtr'!H30)</f>
        <v>121183.98</v>
      </c>
      <c r="I30" s="13">
        <f>SUM('1st Qtr'!I30, '2nd Qtr'!I30, '3rd Qtr'!I30, '4th Qtr'!I30)</f>
        <v>-21588.6675</v>
      </c>
      <c r="J30" s="14">
        <f t="shared" si="8"/>
        <v>-0.17814786657444326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SUM('1st Qtr'!D31, '2nd Qtr'!D31, '3rd Qtr'!D31, '4th Qtr'!D31)</f>
        <v>112954.71875</v>
      </c>
      <c r="E31" s="15">
        <f>SUM('1st Qtr'!E31, '2nd Qtr'!E31, '3rd Qtr'!E31, '4th Qtr'!E31)</f>
        <v>0</v>
      </c>
      <c r="F31" s="15">
        <f t="shared" si="6"/>
        <v>112954.71875</v>
      </c>
      <c r="G31" s="16" t="str">
        <f t="shared" si="7"/>
        <v/>
      </c>
      <c r="H31" s="17">
        <f>SUM('1st Qtr'!H31+'2nd Qtr'!H31+'3rd Qtr'!H31+'4th Qtr'!H31)</f>
        <v>130593</v>
      </c>
      <c r="I31" s="17">
        <f>SUM('1st Qtr'!I31, '2nd Qtr'!I31, '3rd Qtr'!I31, '4th Qtr'!I31)</f>
        <v>-17638.28125</v>
      </c>
      <c r="J31" s="16">
        <f t="shared" si="8"/>
        <v>-0.13506299150796749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SUM('1st Qtr'!D32, '2nd Qtr'!D32, '3rd Qtr'!D32, '4th Qtr'!D32)</f>
        <v>88722.6875</v>
      </c>
      <c r="E32" s="11">
        <f>SUM('1st Qtr'!E32, '2nd Qtr'!E32, '3rd Qtr'!E32, '4th Qtr'!E32)</f>
        <v>80886.466</v>
      </c>
      <c r="F32" s="11">
        <f t="shared" si="6"/>
        <v>7836.2214999999997</v>
      </c>
      <c r="G32" s="12">
        <f t="shared" si="7"/>
        <v>9.6879266551217605E-2</v>
      </c>
      <c r="H32" s="13">
        <f>SUM('1st Qtr'!H32+'2nd Qtr'!H32+'3rd Qtr'!H32+'4th Qtr'!H32)</f>
        <v>57527</v>
      </c>
      <c r="I32" s="13">
        <f>SUM('1st Qtr'!I32, '2nd Qtr'!I32, '3rd Qtr'!I32, '4th Qtr'!I32)</f>
        <v>31195.6875</v>
      </c>
      <c r="J32" s="14">
        <f t="shared" si="8"/>
        <v>0.54227906026735273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SUM('1st Qtr'!D33, '2nd Qtr'!D33, '3rd Qtr'!D33, '4th Qtr'!D33)</f>
        <v>94557.5</v>
      </c>
      <c r="E33" s="15">
        <f>SUM('1st Qtr'!E33, '2nd Qtr'!E33, '3rd Qtr'!E33, '4th Qtr'!E33)</f>
        <v>105764.16800000001</v>
      </c>
      <c r="F33" s="15">
        <f t="shared" si="6"/>
        <v>-11206.668000000005</v>
      </c>
      <c r="G33" s="16">
        <f t="shared" si="7"/>
        <v>-0.10595902385390112</v>
      </c>
      <c r="H33" s="17">
        <f>SUM('1st Qtr'!H33+'2nd Qtr'!H33+'3rd Qtr'!H33+'4th Qtr'!H33)</f>
        <v>0</v>
      </c>
      <c r="I33" s="17">
        <f>SUM('1st Qtr'!I33, '2nd Qtr'!I33, '3rd Qtr'!I33, '4th Qtr'!I33)</f>
        <v>94557.5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SUM('1st Qtr'!D34, '2nd Qtr'!D34, '3rd Qtr'!D34, '4th Qtr'!D34)</f>
        <v>96127</v>
      </c>
      <c r="E34" s="11">
        <f>SUM('1st Qtr'!E34, '2nd Qtr'!E34, '3rd Qtr'!E34, '4th Qtr'!E34)</f>
        <v>115697.75899999999</v>
      </c>
      <c r="F34" s="11">
        <f t="shared" si="6"/>
        <v>-19570.758999999991</v>
      </c>
      <c r="G34" s="12">
        <f t="shared" si="7"/>
        <v>-0.16915417523341997</v>
      </c>
      <c r="H34" s="13">
        <f>SUM('1st Qtr'!H34+'2nd Qtr'!H34+'3rd Qtr'!H34+'4th Qtr'!H34)</f>
        <v>127200</v>
      </c>
      <c r="I34" s="13">
        <f>SUM('1st Qtr'!I34, '2nd Qtr'!I34, '3rd Qtr'!I34, '4th Qtr'!I34)</f>
        <v>-31073</v>
      </c>
      <c r="J34" s="14">
        <f t="shared" si="8"/>
        <v>-0.24428459119496856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SUM('1st Qtr'!D35, '2nd Qtr'!D35, '3rd Qtr'!D35, '4th Qtr'!D35)</f>
        <v>107065.39468749995</v>
      </c>
      <c r="E35" s="15">
        <f>SUM('1st Qtr'!E35, '2nd Qtr'!E35, '3rd Qtr'!E35, '4th Qtr'!E35)</f>
        <v>68802.173999999999</v>
      </c>
      <c r="F35" s="15">
        <f t="shared" si="6"/>
        <v>38263.220687499954</v>
      </c>
      <c r="G35" s="16">
        <f t="shared" si="7"/>
        <v>0.55613389029683791</v>
      </c>
      <c r="H35" s="17">
        <f>SUM('1st Qtr'!H35+'2nd Qtr'!H35+'3rd Qtr'!H35+'4th Qtr'!H35)</f>
        <v>58917</v>
      </c>
      <c r="I35" s="17">
        <f>SUM('1st Qtr'!I35, '2nd Qtr'!I35, '3rd Qtr'!I35, '4th Qtr'!I35)</f>
        <v>48148.394687499953</v>
      </c>
      <c r="J35" s="16">
        <f t="shared" si="8"/>
        <v>0.81722414052819992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SUM('1st Qtr'!D36, '2nd Qtr'!D36, '3rd Qtr'!D36, '4th Qtr'!D36)</f>
        <v>95306.361109404184</v>
      </c>
      <c r="E36" s="11">
        <f>SUM('1st Qtr'!E36, '2nd Qtr'!E36, '3rd Qtr'!E36, '4th Qtr'!E36)</f>
        <v>88565.07</v>
      </c>
      <c r="F36" s="11">
        <f t="shared" si="6"/>
        <v>6741.2911094041774</v>
      </c>
      <c r="G36" s="12">
        <f t="shared" si="7"/>
        <v>7.6116815685960348E-2</v>
      </c>
      <c r="H36" s="13">
        <f>SUM('1st Qtr'!H36+'2nd Qtr'!H36+'3rd Qtr'!H36+'4th Qtr'!H36)</f>
        <v>96630.76</v>
      </c>
      <c r="I36" s="13">
        <f>SUM('1st Qtr'!I36, '2nd Qtr'!I36, '3rd Qtr'!I36, '4th Qtr'!I36)</f>
        <v>-1324.3988905958176</v>
      </c>
      <c r="J36" s="14">
        <f t="shared" si="8"/>
        <v>-1.3705769162902347E-2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SUM('1st Qtr'!D37, '2nd Qtr'!D37, '3rd Qtr'!D37, '4th Qtr'!D37)</f>
        <v>389700.38031249988</v>
      </c>
      <c r="E37" s="15">
        <f>SUM('1st Qtr'!E37, '2nd Qtr'!E37, '3rd Qtr'!E37, '4th Qtr'!E37)</f>
        <v>0</v>
      </c>
      <c r="F37" s="15">
        <f t="shared" si="6"/>
        <v>389700.38031249988</v>
      </c>
      <c r="G37" s="16" t="str">
        <f t="shared" si="7"/>
        <v/>
      </c>
      <c r="H37" s="17">
        <f>SUM('1st Qtr'!H37+'2nd Qtr'!H37+'3rd Qtr'!H37+'4th Qtr'!H37)</f>
        <v>0</v>
      </c>
      <c r="I37" s="17">
        <f>SUM('1st Qtr'!I37, '2nd Qtr'!I37, '3rd Qtr'!I37, '4th Qtr'!I37)</f>
        <v>389700.38031249988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SUM('1st Qtr'!D38, '2nd Qtr'!D38, '3rd Qtr'!D38, '4th Qtr'!D38)</f>
        <v>98216.09375</v>
      </c>
      <c r="E38" s="11">
        <f>SUM('1st Qtr'!E38, '2nd Qtr'!E38, '3rd Qtr'!E38, '4th Qtr'!E38)</f>
        <v>105074.54700000001</v>
      </c>
      <c r="F38" s="11">
        <f t="shared" si="6"/>
        <v>-6858.4532500000059</v>
      </c>
      <c r="G38" s="12">
        <f t="shared" si="7"/>
        <v>-6.5272260940606341E-2</v>
      </c>
      <c r="H38" s="13">
        <f>SUM('1st Qtr'!H38+'2nd Qtr'!H38+'3rd Qtr'!H38+'4th Qtr'!H38)</f>
        <v>0</v>
      </c>
      <c r="I38" s="13">
        <f>SUM('1st Qtr'!I38, '2nd Qtr'!I38, '3rd Qtr'!I38, '4th Qtr'!I38)</f>
        <v>98216.09375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SUM('1st Qtr'!D39, '2nd Qtr'!D39, '3rd Qtr'!D39, '4th Qtr'!D39)</f>
        <v>99644.15625</v>
      </c>
      <c r="E39" s="15">
        <f>SUM('1st Qtr'!E39, '2nd Qtr'!E39, '3rd Qtr'!E39, '4th Qtr'!E39)</f>
        <v>113842.12899999999</v>
      </c>
      <c r="F39" s="15">
        <f t="shared" si="6"/>
        <v>-14197.972749999986</v>
      </c>
      <c r="G39" s="16">
        <f t="shared" si="7"/>
        <v>-0.12471633194772726</v>
      </c>
      <c r="H39" s="17">
        <f>SUM('1st Qtr'!H39+'2nd Qtr'!H39+'3rd Qtr'!H39+'4th Qtr'!H39)</f>
        <v>126190.76999999999</v>
      </c>
      <c r="I39" s="17">
        <f>SUM('1st Qtr'!I39, '2nd Qtr'!I39, '3rd Qtr'!I39, '4th Qtr'!I39)</f>
        <v>-26546.613749999997</v>
      </c>
      <c r="J39" s="16">
        <f t="shared" si="8"/>
        <v>-0.21036890217882021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SUM('1st Qtr'!D40, '2nd Qtr'!D40, '3rd Qtr'!D40, '4th Qtr'!D40)</f>
        <v>114819.40625</v>
      </c>
      <c r="E40" s="11">
        <f>SUM('1st Qtr'!E40, '2nd Qtr'!E40, '3rd Qtr'!E40, '4th Qtr'!E40)</f>
        <v>139752.25399999999</v>
      </c>
      <c r="F40" s="11">
        <f t="shared" si="6"/>
        <v>-24932.847749999986</v>
      </c>
      <c r="G40" s="12">
        <f t="shared" si="7"/>
        <v>-0.17840748207180965</v>
      </c>
      <c r="H40" s="13">
        <f>SUM('1st Qtr'!H40+'2nd Qtr'!H40+'3rd Qtr'!H40+'4th Qtr'!H40)</f>
        <v>144124.18</v>
      </c>
      <c r="I40" s="13">
        <f>SUM('1st Qtr'!I40, '2nd Qtr'!I40, '3rd Qtr'!I40, '4th Qtr'!I40)</f>
        <v>-29304.773750000004</v>
      </c>
      <c r="J40" s="14">
        <f t="shared" si="8"/>
        <v>-0.20333002935385308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SUM('1st Qtr'!D41, '2nd Qtr'!D41, '3rd Qtr'!D41, '4th Qtr'!D41)</f>
        <v>163671.546875</v>
      </c>
      <c r="E41" s="15">
        <f>SUM('1st Qtr'!E41, '2nd Qtr'!E41, '3rd Qtr'!E41, '4th Qtr'!E41)</f>
        <v>0</v>
      </c>
      <c r="F41" s="15">
        <f t="shared" si="6"/>
        <v>163671.546875</v>
      </c>
      <c r="G41" s="16" t="str">
        <f t="shared" si="7"/>
        <v/>
      </c>
      <c r="H41" s="17">
        <f>SUM('1st Qtr'!H41+'2nd Qtr'!H41+'3rd Qtr'!H41+'4th Qtr'!H41)</f>
        <v>0</v>
      </c>
      <c r="I41" s="17">
        <f>SUM('1st Qtr'!I41, '2nd Qtr'!I41, '3rd Qtr'!I41, '4th Qtr'!I41)</f>
        <v>163671.546875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SUM('1st Qtr'!D42, '2nd Qtr'!D42, '3rd Qtr'!D42, '4th Qtr'!D42)</f>
        <v>112829.18626464839</v>
      </c>
      <c r="E42" s="11">
        <f>SUM('1st Qtr'!E42, '2nd Qtr'!E42, '3rd Qtr'!E42, '4th Qtr'!E42)</f>
        <v>100409.21</v>
      </c>
      <c r="F42" s="11">
        <f t="shared" si="6"/>
        <v>12419.976264648387</v>
      </c>
      <c r="G42" s="12">
        <f t="shared" si="7"/>
        <v>0.12369359608195689</v>
      </c>
      <c r="H42" s="13">
        <f>SUM('1st Qtr'!H42+'2nd Qtr'!H42+'3rd Qtr'!H42+'4th Qtr'!H42)</f>
        <v>111349.99</v>
      </c>
      <c r="I42" s="13">
        <f>SUM('1st Qtr'!I42, '2nd Qtr'!I42, '3rd Qtr'!I42, '4th Qtr'!I42)</f>
        <v>1479.1962646484008</v>
      </c>
      <c r="J42" s="14">
        <f t="shared" si="8"/>
        <v>1.3284206533367454E-2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SUM('1st Qtr'!D43, '2nd Qtr'!D43, '3rd Qtr'!D43, '4th Qtr'!D43)</f>
        <v>89626.296874999971</v>
      </c>
      <c r="E43" s="15">
        <f>SUM('1st Qtr'!E43, '2nd Qtr'!E43, '3rd Qtr'!E43, '4th Qtr'!E43)</f>
        <v>0</v>
      </c>
      <c r="F43" s="15">
        <f t="shared" si="6"/>
        <v>89626.296874999971</v>
      </c>
      <c r="G43" s="16" t="str">
        <f t="shared" si="7"/>
        <v/>
      </c>
      <c r="H43" s="17">
        <f>SUM('1st Qtr'!H43+'2nd Qtr'!H43+'3rd Qtr'!H43+'4th Qtr'!H43)</f>
        <v>0</v>
      </c>
      <c r="I43" s="17">
        <f>SUM('1st Qtr'!I43, '2nd Qtr'!I43, '3rd Qtr'!I43, '4th Qtr'!I43)</f>
        <v>89626.296874999971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SUM('1st Qtr'!D44, '2nd Qtr'!D44, '3rd Qtr'!D44, '4th Qtr'!D44)</f>
        <v>30227.437390370178</v>
      </c>
      <c r="E44" s="11">
        <f>SUM('1st Qtr'!E44, '2nd Qtr'!E44, '3rd Qtr'!E44, '4th Qtr'!E44)</f>
        <v>23366.442000000003</v>
      </c>
      <c r="F44" s="11">
        <f t="shared" si="6"/>
        <v>6860.9953903701753</v>
      </c>
      <c r="G44" s="12">
        <f t="shared" si="7"/>
        <v>0.29362602104206426</v>
      </c>
      <c r="H44" s="13">
        <f>SUM('1st Qtr'!H44+'2nd Qtr'!H44+'3rd Qtr'!H44+'4th Qtr'!H44)</f>
        <v>32696.786</v>
      </c>
      <c r="I44" s="13">
        <f>SUM('1st Qtr'!I44, '2nd Qtr'!I44, '3rd Qtr'!I44, '4th Qtr'!I44)</f>
        <v>-2469.3486096298202</v>
      </c>
      <c r="J44" s="14">
        <f t="shared" si="8"/>
        <v>-7.5522670932544264E-2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SUM('1st Qtr'!D45, '2nd Qtr'!D45, '3rd Qtr'!D45, '4th Qtr'!D45)</f>
        <v>141278.0390625</v>
      </c>
      <c r="E45" s="15">
        <f>SUM('1st Qtr'!E45, '2nd Qtr'!E45, '3rd Qtr'!E45, '4th Qtr'!E45)</f>
        <v>147134.37900000002</v>
      </c>
      <c r="F45" s="15">
        <f t="shared" si="6"/>
        <v>-5856.3399375000154</v>
      </c>
      <c r="G45" s="16">
        <f t="shared" si="7"/>
        <v>-3.9802661874829504E-2</v>
      </c>
      <c r="H45" s="17">
        <f>SUM('1st Qtr'!H45+'2nd Qtr'!H45+'3rd Qtr'!H45+'4th Qtr'!H45)</f>
        <v>145661</v>
      </c>
      <c r="I45" s="17">
        <f>SUM('1st Qtr'!I45, '2nd Qtr'!I45, '3rd Qtr'!I45, '4th Qtr'!I45)</f>
        <v>-4382.9609375</v>
      </c>
      <c r="J45" s="16">
        <f t="shared" si="8"/>
        <v>-3.0090147242570076E-2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SUM('1st Qtr'!D46, '2nd Qtr'!D46, '3rd Qtr'!D46, '4th Qtr'!D46)</f>
        <v>92141.75</v>
      </c>
      <c r="E46" s="11">
        <f>SUM('1st Qtr'!E46, '2nd Qtr'!E46, '3rd Qtr'!E46, '4th Qtr'!E46)</f>
        <v>96121.402999999991</v>
      </c>
      <c r="F46" s="11">
        <f t="shared" si="6"/>
        <v>-3979.6529999999912</v>
      </c>
      <c r="G46" s="12">
        <f t="shared" si="7"/>
        <v>-4.1402360720847901E-2</v>
      </c>
      <c r="H46" s="13">
        <f>SUM('1st Qtr'!H46+'2nd Qtr'!H46+'3rd Qtr'!H46+'4th Qtr'!H46)</f>
        <v>109075.997</v>
      </c>
      <c r="I46" s="13">
        <f>SUM('1st Qtr'!I46, '2nd Qtr'!I46, '3rd Qtr'!I46, '4th Qtr'!I46)</f>
        <v>-16934.246999999999</v>
      </c>
      <c r="J46" s="14">
        <f t="shared" si="8"/>
        <v>-0.1552518195180925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SUM('1st Qtr'!D47, '2nd Qtr'!D47, '3rd Qtr'!D47, '4th Qtr'!D47)</f>
        <v>73420.78125</v>
      </c>
      <c r="E47" s="15">
        <f>SUM('1st Qtr'!E47, '2nd Qtr'!E47, '3rd Qtr'!E47, '4th Qtr'!E47)</f>
        <v>78995.398000000001</v>
      </c>
      <c r="F47" s="15">
        <f t="shared" si="6"/>
        <v>-5574.616750000001</v>
      </c>
      <c r="G47" s="16">
        <f t="shared" si="7"/>
        <v>-7.0568879847912172E-2</v>
      </c>
      <c r="H47" s="17">
        <f>SUM('1st Qtr'!H47+'2nd Qtr'!H47+'3rd Qtr'!H47+'4th Qtr'!H47)</f>
        <v>41261.357000000004</v>
      </c>
      <c r="I47" s="17">
        <f>SUM('1st Qtr'!I47, '2nd Qtr'!I47, '3rd Qtr'!I47, '4th Qtr'!I47)</f>
        <v>32159.42425</v>
      </c>
      <c r="J47" s="16">
        <f t="shared" si="8"/>
        <v>0.77940781855526464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SUM('1st Qtr'!D48, '2nd Qtr'!D48, '3rd Qtr'!D48, '4th Qtr'!D48)</f>
        <v>118041.125</v>
      </c>
      <c r="E48" s="11">
        <f>SUM('1st Qtr'!E48, '2nd Qtr'!E48, '3rd Qtr'!E48, '4th Qtr'!E48)</f>
        <v>134276.01</v>
      </c>
      <c r="F48" s="11">
        <f t="shared" si="6"/>
        <v>-16234.885000000009</v>
      </c>
      <c r="G48" s="12">
        <f t="shared" si="7"/>
        <v>-0.12090681723414337</v>
      </c>
      <c r="H48" s="13">
        <f>SUM('1st Qtr'!H48+'2nd Qtr'!H48+'3rd Qtr'!H48+'4th Qtr'!H48)</f>
        <v>73533</v>
      </c>
      <c r="I48" s="13">
        <f>SUM('1st Qtr'!I48, '2nd Qtr'!I48, '3rd Qtr'!I48, '4th Qtr'!I48)</f>
        <v>44508.125</v>
      </c>
      <c r="J48" s="14">
        <f t="shared" si="8"/>
        <v>0.60528096228904027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SUM('1st Qtr'!D49, '2nd Qtr'!D49, '3rd Qtr'!D49, '4th Qtr'!D49)</f>
        <v>81012.21875</v>
      </c>
      <c r="E49" s="15">
        <f>SUM('1st Qtr'!E49, '2nd Qtr'!E49, '3rd Qtr'!E49, '4th Qtr'!E49)</f>
        <v>87251.88</v>
      </c>
      <c r="F49" s="15">
        <f t="shared" si="6"/>
        <v>-6239.6612500000047</v>
      </c>
      <c r="G49" s="16">
        <f t="shared" si="7"/>
        <v>-7.1513201205521348E-2</v>
      </c>
      <c r="H49" s="17">
        <f>SUM('1st Qtr'!H49+'2nd Qtr'!H49+'3rd Qtr'!H49+'4th Qtr'!H49)</f>
        <v>90823.396000000008</v>
      </c>
      <c r="I49" s="17">
        <f>SUM('1st Qtr'!I49, '2nd Qtr'!I49, '3rd Qtr'!I49, '4th Qtr'!I49)</f>
        <v>-9811.1772500000006</v>
      </c>
      <c r="J49" s="16">
        <f t="shared" si="8"/>
        <v>-0.10802477865945466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SUM('1st Qtr'!D50, '2nd Qtr'!D50, '3rd Qtr'!D50, '4th Qtr'!D50)</f>
        <v>105432</v>
      </c>
      <c r="E50" s="11">
        <f>SUM('1st Qtr'!E50, '2nd Qtr'!E50, '3rd Qtr'!E50, '4th Qtr'!E50)</f>
        <v>120691.38399999999</v>
      </c>
      <c r="F50" s="11">
        <f t="shared" si="6"/>
        <v>-15259.383999999991</v>
      </c>
      <c r="G50" s="12">
        <f t="shared" si="7"/>
        <v>-0.12643308490024435</v>
      </c>
      <c r="H50" s="13">
        <f>SUM('1st Qtr'!H50+'2nd Qtr'!H50+'3rd Qtr'!H50+'4th Qtr'!H50)</f>
        <v>124789.57</v>
      </c>
      <c r="I50" s="13">
        <f>SUM('1st Qtr'!I50, '2nd Qtr'!I50, '3rd Qtr'!I50, '4th Qtr'!I50)</f>
        <v>-19357.570000000007</v>
      </c>
      <c r="J50" s="14">
        <f t="shared" si="8"/>
        <v>-0.15512169807140136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SUM('1st Qtr'!D51, '2nd Qtr'!D51, '3rd Qtr'!D51, '4th Qtr'!D51)</f>
        <v>64197.40625</v>
      </c>
      <c r="E51" s="15">
        <f>SUM('1st Qtr'!E51, '2nd Qtr'!E51, '3rd Qtr'!E51, '4th Qtr'!E51)</f>
        <v>72917.497999999992</v>
      </c>
      <c r="F51" s="15">
        <f t="shared" si="6"/>
        <v>-8720.0917499999923</v>
      </c>
      <c r="G51" s="16">
        <f t="shared" si="7"/>
        <v>-0.11958846626909762</v>
      </c>
      <c r="H51" s="17">
        <f>SUM('1st Qtr'!H51+'2nd Qtr'!H51+'3rd Qtr'!H51+'4th Qtr'!H51)</f>
        <v>70779</v>
      </c>
      <c r="I51" s="17">
        <f>SUM('1st Qtr'!I51, '2nd Qtr'!I51, '3rd Qtr'!I51, '4th Qtr'!I51)</f>
        <v>-6581.59375</v>
      </c>
      <c r="J51" s="16">
        <f t="shared" si="8"/>
        <v>-9.2987944870653719E-2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SUM('1st Qtr'!D52, '2nd Qtr'!D52, '3rd Qtr'!D52, '4th Qtr'!D52)</f>
        <v>99275.625</v>
      </c>
      <c r="E52" s="11">
        <f>SUM('1st Qtr'!E52, '2nd Qtr'!E52, '3rd Qtr'!E52, '4th Qtr'!E52)</f>
        <v>126081.765</v>
      </c>
      <c r="F52" s="11">
        <f t="shared" si="6"/>
        <v>-26806.14</v>
      </c>
      <c r="G52" s="12">
        <f t="shared" si="7"/>
        <v>-0.21260917468913923</v>
      </c>
      <c r="H52" s="13">
        <f>SUM('1st Qtr'!H52+'2nd Qtr'!H52+'3rd Qtr'!H52+'4th Qtr'!H52)</f>
        <v>134382.26999999999</v>
      </c>
      <c r="I52" s="13">
        <f>SUM('1st Qtr'!I52, '2nd Qtr'!I52, '3rd Qtr'!I52, '4th Qtr'!I52)</f>
        <v>-35106.645000000004</v>
      </c>
      <c r="J52" s="14">
        <f t="shared" si="8"/>
        <v>-0.26124461954690903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SUM('1st Qtr'!D53, '2nd Qtr'!D53, '3rd Qtr'!D53, '4th Qtr'!D53)</f>
        <v>174991.0625</v>
      </c>
      <c r="E53" s="15">
        <f>SUM('1st Qtr'!E53, '2nd Qtr'!E53, '3rd Qtr'!E53, '4th Qtr'!E53)</f>
        <v>203147.48</v>
      </c>
      <c r="F53" s="15">
        <f t="shared" si="6"/>
        <v>-28156.41750000001</v>
      </c>
      <c r="G53" s="16">
        <f t="shared" si="7"/>
        <v>-0.13860087016585196</v>
      </c>
      <c r="H53" s="17">
        <f>SUM('1st Qtr'!H53+'2nd Qtr'!H53+'3rd Qtr'!H53+'4th Qtr'!H53)</f>
        <v>188363.87</v>
      </c>
      <c r="I53" s="17">
        <f>SUM('1st Qtr'!I53, '2nd Qtr'!I53, '3rd Qtr'!I53, '4th Qtr'!I53)</f>
        <v>-13372.807499999999</v>
      </c>
      <c r="J53" s="16">
        <f t="shared" si="8"/>
        <v>-7.0994546353289514E-2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SUM('1st Qtr'!D54, '2nd Qtr'!D54, '3rd Qtr'!D54, '4th Qtr'!D54)</f>
        <v>141180.25</v>
      </c>
      <c r="E54" s="11">
        <f>SUM('1st Qtr'!E54, '2nd Qtr'!E54, '3rd Qtr'!E54, '4th Qtr'!E54)</f>
        <v>149689.10800000001</v>
      </c>
      <c r="F54" s="11">
        <f t="shared" si="6"/>
        <v>-8508.8580000000075</v>
      </c>
      <c r="G54" s="12">
        <f t="shared" si="7"/>
        <v>-5.6843534667866465E-2</v>
      </c>
      <c r="H54" s="13">
        <f>SUM('1st Qtr'!H54+'2nd Qtr'!H54+'3rd Qtr'!H54+'4th Qtr'!H54)</f>
        <v>142544</v>
      </c>
      <c r="I54" s="13">
        <f>SUM('1st Qtr'!I54, '2nd Qtr'!I54, '3rd Qtr'!I54, '4th Qtr'!I54)</f>
        <v>-1363.75</v>
      </c>
      <c r="J54" s="14">
        <f t="shared" si="8"/>
        <v>-9.5672213491974408E-3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SUM('1st Qtr'!D55, '2nd Qtr'!D55, '3rd Qtr'!D55, '4th Qtr'!D55)</f>
        <v>63301.687500000102</v>
      </c>
      <c r="E55" s="15">
        <f>SUM('1st Qtr'!E55, '2nd Qtr'!E55, '3rd Qtr'!E55, '4th Qtr'!E55)</f>
        <v>71944.823000000004</v>
      </c>
      <c r="F55" s="15">
        <f t="shared" si="6"/>
        <v>-8643.1354999999021</v>
      </c>
      <c r="G55" s="16">
        <f t="shared" si="7"/>
        <v>-0.12013561420534598</v>
      </c>
      <c r="H55" s="17">
        <f>SUM('1st Qtr'!H55+'2nd Qtr'!H55+'3rd Qtr'!H55+'4th Qtr'!H55)</f>
        <v>77991.842999999993</v>
      </c>
      <c r="I55" s="17">
        <f>SUM('1st Qtr'!I55, '2nd Qtr'!I55, '3rd Qtr'!I55, '4th Qtr'!I55)</f>
        <v>-14690.155499999903</v>
      </c>
      <c r="J55" s="16">
        <f t="shared" si="8"/>
        <v>-0.18835502451198524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SUM('1st Qtr'!D56, '2nd Qtr'!D56, '3rd Qtr'!D56, '4th Qtr'!D56)</f>
        <v>234917.12500000012</v>
      </c>
      <c r="E56" s="11">
        <f>SUM('1st Qtr'!E56, '2nd Qtr'!E56, '3rd Qtr'!E56, '4th Qtr'!E56)</f>
        <v>265778.81</v>
      </c>
      <c r="F56" s="11">
        <f t="shared" si="6"/>
        <v>-30861.684999999881</v>
      </c>
      <c r="G56" s="12">
        <f t="shared" si="7"/>
        <v>-0.11611792904031695</v>
      </c>
      <c r="H56" s="13">
        <f>SUM('1st Qtr'!H56+'2nd Qtr'!H56+'3rd Qtr'!H56+'4th Qtr'!H56)</f>
        <v>0</v>
      </c>
      <c r="I56" s="13">
        <f>SUM('1st Qtr'!I56, '2nd Qtr'!I56, '3rd Qtr'!I56, '4th Qtr'!I56)</f>
        <v>234917.12500000012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SUM('1st Qtr'!D57, '2nd Qtr'!D57, '3rd Qtr'!D57, '4th Qtr'!D57)</f>
        <v>256057.625</v>
      </c>
      <c r="E57" s="15">
        <f>SUM('1st Qtr'!E57, '2nd Qtr'!E57, '3rd Qtr'!E57, '4th Qtr'!E57)</f>
        <v>285611.57</v>
      </c>
      <c r="F57" s="15">
        <f t="shared" si="6"/>
        <v>-29553.945000000007</v>
      </c>
      <c r="G57" s="16">
        <f t="shared" si="7"/>
        <v>-0.1034760076421274</v>
      </c>
      <c r="H57" s="17">
        <f>SUM('1st Qtr'!H57+'2nd Qtr'!H57+'3rd Qtr'!H57+'4th Qtr'!H57)</f>
        <v>225417.91000000003</v>
      </c>
      <c r="I57" s="17">
        <f>SUM('1st Qtr'!I57, '2nd Qtr'!I57, '3rd Qtr'!I57, '4th Qtr'!I57)</f>
        <v>30639.714999999997</v>
      </c>
      <c r="J57" s="16">
        <f t="shared" si="8"/>
        <v>0.13592404880339806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SUM('1st Qtr'!D58, '2nd Qtr'!D58, '3rd Qtr'!D58, '4th Qtr'!D58)</f>
        <v>159207.796875</v>
      </c>
      <c r="E58" s="11">
        <f>SUM('1st Qtr'!E58, '2nd Qtr'!E58, '3rd Qtr'!E58, '4th Qtr'!E58)</f>
        <v>132489.75</v>
      </c>
      <c r="F58" s="11">
        <f t="shared" si="6"/>
        <v>26718.046875</v>
      </c>
      <c r="G58" s="12">
        <f t="shared" si="7"/>
        <v>0.20166123700135294</v>
      </c>
      <c r="H58" s="13">
        <f>SUM('1st Qtr'!H58+'2nd Qtr'!H58+'3rd Qtr'!H58+'4th Qtr'!H58)</f>
        <v>0</v>
      </c>
      <c r="I58" s="13">
        <f>SUM('1st Qtr'!I58, '2nd Qtr'!I58, '3rd Qtr'!I58, '4th Qtr'!I58)</f>
        <v>159207.796875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SUM('1st Qtr'!D59, '2nd Qtr'!D59, '3rd Qtr'!D59, '4th Qtr'!D59)</f>
        <v>277977.58402324317</v>
      </c>
      <c r="E59" s="15">
        <f>SUM('1st Qtr'!E59, '2nd Qtr'!E59, '3rd Qtr'!E59, '4th Qtr'!E59)</f>
        <v>226652.31</v>
      </c>
      <c r="F59" s="15">
        <f t="shared" si="6"/>
        <v>51325.274023243168</v>
      </c>
      <c r="G59" s="16">
        <f t="shared" si="7"/>
        <v>0.22644937535930329</v>
      </c>
      <c r="H59" s="17">
        <f>SUM('1st Qtr'!H59+'2nd Qtr'!H59+'3rd Qtr'!H59+'4th Qtr'!H59)</f>
        <v>257245.78000000003</v>
      </c>
      <c r="I59" s="17">
        <f>SUM('1st Qtr'!I59, '2nd Qtr'!I59, '3rd Qtr'!I59, '4th Qtr'!I59)</f>
        <v>20731.804023243196</v>
      </c>
      <c r="J59" s="16">
        <f t="shared" si="8"/>
        <v>8.059142514696721E-2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SUM('1st Qtr'!D60, '2nd Qtr'!D60, '3rd Qtr'!D60, '4th Qtr'!D60)</f>
        <v>221639.97281250008</v>
      </c>
      <c r="E60" s="11">
        <f>SUM('1st Qtr'!E60, '2nd Qtr'!E60, '3rd Qtr'!E60, '4th Qtr'!E60)</f>
        <v>0</v>
      </c>
      <c r="F60" s="11">
        <f t="shared" si="6"/>
        <v>221639.97281250008</v>
      </c>
      <c r="G60" s="12" t="str">
        <f t="shared" si="7"/>
        <v/>
      </c>
      <c r="H60" s="13">
        <f>SUM('1st Qtr'!H60+'2nd Qtr'!H60+'3rd Qtr'!H60+'4th Qtr'!H60)</f>
        <v>257324.41999999998</v>
      </c>
      <c r="I60" s="13">
        <f>SUM('1st Qtr'!I60, '2nd Qtr'!I60, '3rd Qtr'!I60, '4th Qtr'!I60)</f>
        <v>-35684.4471874999</v>
      </c>
      <c r="J60" s="14">
        <f t="shared" si="8"/>
        <v>-0.13867493488375454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SUM('1st Qtr'!D61, '2nd Qtr'!D61, '3rd Qtr'!D61, '4th Qtr'!D61)</f>
        <v>336775.75</v>
      </c>
      <c r="E61" s="15">
        <f>SUM('1st Qtr'!E61, '2nd Qtr'!E61, '3rd Qtr'!E61, '4th Qtr'!E61)</f>
        <v>364858.83</v>
      </c>
      <c r="F61" s="15">
        <f t="shared" si="6"/>
        <v>-28083.080000000016</v>
      </c>
      <c r="G61" s="16">
        <f t="shared" si="7"/>
        <v>-7.6969714560560357E-2</v>
      </c>
      <c r="H61" s="17">
        <f>SUM('1st Qtr'!H61+'2nd Qtr'!H61+'3rd Qtr'!H61+'4th Qtr'!H61)</f>
        <v>390662.69</v>
      </c>
      <c r="I61" s="17">
        <f>SUM('1st Qtr'!I61, '2nd Qtr'!I61, '3rd Qtr'!I61, '4th Qtr'!I61)</f>
        <v>-53886.94</v>
      </c>
      <c r="J61" s="16">
        <f t="shared" si="8"/>
        <v>-0.13793725733061429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SUM('1st Qtr'!D62, '2nd Qtr'!D62, '3rd Qtr'!D62, '4th Qtr'!D62)</f>
        <v>29633.499999999993</v>
      </c>
      <c r="E62" s="11">
        <f>SUM('1st Qtr'!E62, '2nd Qtr'!E62, '3rd Qtr'!E62, '4th Qtr'!E62)</f>
        <v>0</v>
      </c>
      <c r="F62" s="11">
        <f t="shared" si="6"/>
        <v>29633.499999999993</v>
      </c>
      <c r="G62" s="12" t="str">
        <f t="shared" si="7"/>
        <v/>
      </c>
      <c r="H62" s="13">
        <f>SUM('1st Qtr'!H62+'2nd Qtr'!H62+'3rd Qtr'!H62+'4th Qtr'!H62)</f>
        <v>32676.707000000002</v>
      </c>
      <c r="I62" s="13">
        <f>SUM('1st Qtr'!I62, '2nd Qtr'!I62, '3rd Qtr'!I62, '4th Qtr'!I62)</f>
        <v>-3043.2070000000117</v>
      </c>
      <c r="J62" s="14">
        <f t="shared" si="8"/>
        <v>-9.3130773550713405E-2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SUM('1st Qtr'!D63, '2nd Qtr'!D63, '3rd Qtr'!D63, '4th Qtr'!D63)</f>
        <v>128240.0244375</v>
      </c>
      <c r="E63" s="15">
        <f>SUM('1st Qtr'!E63, '2nd Qtr'!E63, '3rd Qtr'!E63, '4th Qtr'!E63)</f>
        <v>0</v>
      </c>
      <c r="F63" s="15">
        <f t="shared" si="6"/>
        <v>128240.0244375</v>
      </c>
      <c r="G63" s="16" t="str">
        <f t="shared" si="7"/>
        <v/>
      </c>
      <c r="H63" s="17">
        <f>SUM('1st Qtr'!H63+'2nd Qtr'!H63+'3rd Qtr'!H63+'4th Qtr'!H63)</f>
        <v>0</v>
      </c>
      <c r="I63" s="17">
        <f>SUM('1st Qtr'!I63, '2nd Qtr'!I63, '3rd Qtr'!I63, '4th Qtr'!I63)</f>
        <v>128240.0244375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SUM('1st Qtr'!D64, '2nd Qtr'!D64, '3rd Qtr'!D64, '4th Qtr'!D64)</f>
        <v>110092.27700000005</v>
      </c>
      <c r="E64" s="11">
        <f>SUM('1st Qtr'!E64, '2nd Qtr'!E64, '3rd Qtr'!E64, '4th Qtr'!E64)</f>
        <v>114614.17</v>
      </c>
      <c r="F64" s="11">
        <f t="shared" si="6"/>
        <v>-4521.8929999999527</v>
      </c>
      <c r="G64" s="12">
        <f t="shared" si="7"/>
        <v>-3.9453175815869476E-2</v>
      </c>
      <c r="H64" s="13">
        <f>SUM('1st Qtr'!H64+'2nd Qtr'!H64+'3rd Qtr'!H64+'4th Qtr'!H64)</f>
        <v>124875.481</v>
      </c>
      <c r="I64" s="13">
        <f>SUM('1st Qtr'!I64, '2nd Qtr'!I64, '3rd Qtr'!I64, '4th Qtr'!I64)</f>
        <v>-14783.203999999962</v>
      </c>
      <c r="J64" s="14">
        <f t="shared" si="8"/>
        <v>-0.11838356002008081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SUM('1st Qtr'!D65, '2nd Qtr'!D65, '3rd Qtr'!D65, '4th Qtr'!D65)</f>
        <v>98197.7190175</v>
      </c>
      <c r="E65" s="15">
        <f>SUM('1st Qtr'!E65, '2nd Qtr'!E65, '3rd Qtr'!E65, '4th Qtr'!E65)</f>
        <v>87605.290000000008</v>
      </c>
      <c r="F65" s="15">
        <f t="shared" si="6"/>
        <v>10592.429017499991</v>
      </c>
      <c r="G65" s="16">
        <f t="shared" si="7"/>
        <v>0.12091083789004055</v>
      </c>
      <c r="H65" s="17">
        <f>SUM('1st Qtr'!H65+'2nd Qtr'!H65+'3rd Qtr'!H65+'4th Qtr'!H65)</f>
        <v>87835.17</v>
      </c>
      <c r="I65" s="17">
        <f>SUM('1st Qtr'!I65, '2nd Qtr'!I65, '3rd Qtr'!I65, '4th Qtr'!I65)</f>
        <v>10362.549017500001</v>
      </c>
      <c r="J65" s="16">
        <f t="shared" si="8"/>
        <v>0.11797721820883368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SUM('1st Qtr'!D66, '2nd Qtr'!D66, '3rd Qtr'!D66, '4th Qtr'!D66)</f>
        <v>89625.967000000033</v>
      </c>
      <c r="E66" s="11">
        <f>SUM('1st Qtr'!E66, '2nd Qtr'!E66, '3rd Qtr'!E66, '4th Qtr'!E66)</f>
        <v>98259.406000000003</v>
      </c>
      <c r="F66" s="11">
        <f t="shared" si="6"/>
        <v>-8633.4389999999694</v>
      </c>
      <c r="G66" s="12">
        <f t="shared" si="7"/>
        <v>-8.7863741004092472E-2</v>
      </c>
      <c r="H66" s="13">
        <f>SUM('1st Qtr'!H66+'2nd Qtr'!H66+'3rd Qtr'!H66+'4th Qtr'!H66)</f>
        <v>130710.22199999999</v>
      </c>
      <c r="I66" s="13">
        <f>SUM('1st Qtr'!I66, '2nd Qtr'!I66, '3rd Qtr'!I66, '4th Qtr'!I66)</f>
        <v>-41084.254999999961</v>
      </c>
      <c r="J66" s="14">
        <f t="shared" si="8"/>
        <v>-0.31431554756291336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SUM('1st Qtr'!D67, '2nd Qtr'!D67, '3rd Qtr'!D67, '4th Qtr'!D67)</f>
        <v>147628.13</v>
      </c>
      <c r="E67" s="15">
        <f>SUM('1st Qtr'!E67, '2nd Qtr'!E67, '3rd Qtr'!E67, '4th Qtr'!E67)</f>
        <v>165777.693</v>
      </c>
      <c r="F67" s="15">
        <f t="shared" si="6"/>
        <v>-18149.562999999995</v>
      </c>
      <c r="G67" s="16">
        <f t="shared" si="7"/>
        <v>-0.10948133413824256</v>
      </c>
      <c r="H67" s="17">
        <f>SUM('1st Qtr'!H67+'2nd Qtr'!H67+'3rd Qtr'!H67+'4th Qtr'!H67)</f>
        <v>114719.80099999999</v>
      </c>
      <c r="I67" s="17">
        <f>SUM('1st Qtr'!I67, '2nd Qtr'!I67, '3rd Qtr'!I67, '4th Qtr'!I67)</f>
        <v>32908.328999999998</v>
      </c>
      <c r="J67" s="16">
        <f t="shared" si="8"/>
        <v>0.28685831663881634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SUM('1st Qtr'!D68, '2nd Qtr'!D68, '3rd Qtr'!D68, '4th Qtr'!D68)</f>
        <v>144918.17113</v>
      </c>
      <c r="E68" s="11">
        <f>SUM('1st Qtr'!E68, '2nd Qtr'!E68, '3rd Qtr'!E68, '4th Qtr'!E68)</f>
        <v>0</v>
      </c>
      <c r="F68" s="11">
        <f t="shared" si="6"/>
        <v>144918.17113</v>
      </c>
      <c r="G68" s="12" t="str">
        <f t="shared" si="7"/>
        <v/>
      </c>
      <c r="H68" s="13">
        <f>SUM('1st Qtr'!H68+'2nd Qtr'!H68+'3rd Qtr'!H68+'4th Qtr'!H68)</f>
        <v>0</v>
      </c>
      <c r="I68" s="13">
        <f>SUM('1st Qtr'!I68, '2nd Qtr'!I68, '3rd Qtr'!I68, '4th Qtr'!I68)</f>
        <v>144918.17113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SUM('1st Qtr'!D69, '2nd Qtr'!D69, '3rd Qtr'!D69, '4th Qtr'!D69)</f>
        <v>106628.333755</v>
      </c>
      <c r="E69" s="15">
        <f>SUM('1st Qtr'!E69, '2nd Qtr'!E69, '3rd Qtr'!E69, '4th Qtr'!E69)</f>
        <v>0</v>
      </c>
      <c r="F69" s="15">
        <f t="shared" si="6"/>
        <v>106628.333755</v>
      </c>
      <c r="G69" s="16" t="str">
        <f t="shared" si="7"/>
        <v/>
      </c>
      <c r="H69" s="17">
        <f>SUM('1st Qtr'!H69+'2nd Qtr'!H69+'3rd Qtr'!H69+'4th Qtr'!H69)</f>
        <v>0</v>
      </c>
      <c r="I69" s="17">
        <f>SUM('1st Qtr'!I69, '2nd Qtr'!I69, '3rd Qtr'!I69, '4th Qtr'!I69)</f>
        <v>106628.333755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SUM('1st Qtr'!D70, '2nd Qtr'!D70, '3rd Qtr'!D70, '4th Qtr'!D70)</f>
        <v>185173.58447254868</v>
      </c>
      <c r="E70" s="11">
        <f>SUM('1st Qtr'!E70, '2nd Qtr'!E70, '3rd Qtr'!E70, '4th Qtr'!E70)</f>
        <v>204544.13</v>
      </c>
      <c r="F70" s="11">
        <f t="shared" si="6"/>
        <v>-19370.545527451322</v>
      </c>
      <c r="G70" s="12">
        <f t="shared" si="7"/>
        <v>-9.4701058042835656E-2</v>
      </c>
      <c r="H70" s="13">
        <f>SUM('1st Qtr'!H70+'2nd Qtr'!H70+'3rd Qtr'!H70+'4th Qtr'!H70)</f>
        <v>210627</v>
      </c>
      <c r="I70" s="13">
        <f>SUM('1st Qtr'!I70, '2nd Qtr'!I70, '3rd Qtr'!I70, '4th Qtr'!I70)</f>
        <v>-25453.415527451332</v>
      </c>
      <c r="J70" s="14">
        <f t="shared" si="8"/>
        <v>-0.12084592918975882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SUM('1st Qtr'!D71, '2nd Qtr'!D71, '3rd Qtr'!D71, '4th Qtr'!D71)</f>
        <v>102678.28385937499</v>
      </c>
      <c r="E71" s="15">
        <f>SUM('1st Qtr'!E71, '2nd Qtr'!E71, '3rd Qtr'!E71, '4th Qtr'!E71)</f>
        <v>93513.107999999993</v>
      </c>
      <c r="F71" s="15">
        <f t="shared" si="6"/>
        <v>9165.1758593749983</v>
      </c>
      <c r="G71" s="16">
        <f t="shared" si="7"/>
        <v>9.8009531020774102E-2</v>
      </c>
      <c r="H71" s="17">
        <f>SUM('1st Qtr'!H71+'2nd Qtr'!H71+'3rd Qtr'!H71+'4th Qtr'!H71)</f>
        <v>99273.069000000003</v>
      </c>
      <c r="I71" s="17">
        <f>SUM('1st Qtr'!I71, '2nd Qtr'!I71, '3rd Qtr'!I71, '4th Qtr'!I71)</f>
        <v>3405.2148593750007</v>
      </c>
      <c r="J71" s="16">
        <f t="shared" si="8"/>
        <v>3.4301496807507791E-2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SUM('1st Qtr'!D72, '2nd Qtr'!D72, '3rd Qtr'!D72, '4th Qtr'!D72)</f>
        <v>108819.49999999997</v>
      </c>
      <c r="E72" s="11">
        <f>SUM('1st Qtr'!E72, '2nd Qtr'!E72, '3rd Qtr'!E72, '4th Qtr'!E72)</f>
        <v>117381.386</v>
      </c>
      <c r="F72" s="11">
        <f t="shared" si="6"/>
        <v>-8561.8860000000277</v>
      </c>
      <c r="G72" s="12">
        <f t="shared" si="7"/>
        <v>-7.2940747181158921E-2</v>
      </c>
      <c r="H72" s="13">
        <f>SUM('1st Qtr'!H72+'2nd Qtr'!H72+'3rd Qtr'!H72+'4th Qtr'!H72)</f>
        <v>0</v>
      </c>
      <c r="I72" s="13">
        <f>SUM('1st Qtr'!I72, '2nd Qtr'!I72, '3rd Qtr'!I72, '4th Qtr'!I72)</f>
        <v>83812.499999999971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SUM('1st Qtr'!D73, '2nd Qtr'!D73, '3rd Qtr'!D73, '4th Qtr'!D73)</f>
        <v>3634170</v>
      </c>
      <c r="E73" s="15">
        <f>SUM('1st Qtr'!E73, '2nd Qtr'!E73, '3rd Qtr'!E73, '4th Qtr'!E73)</f>
        <v>4116292.6</v>
      </c>
      <c r="F73" s="15">
        <f t="shared" si="6"/>
        <v>-482122.60000000009</v>
      </c>
      <c r="G73" s="16">
        <f t="shared" si="7"/>
        <v>-0.11712544438653368</v>
      </c>
      <c r="H73" s="17">
        <f>SUM('1st Qtr'!H73+'2nd Qtr'!H73+'3rd Qtr'!H73+'4th Qtr'!H73)</f>
        <v>4928772</v>
      </c>
      <c r="I73" s="17">
        <f>SUM('1st Qtr'!I73, '2nd Qtr'!I73, '3rd Qtr'!I73, '4th Qtr'!I73)</f>
        <v>-1294602</v>
      </c>
      <c r="J73" s="16">
        <f t="shared" si="8"/>
        <v>-0.26266218035648636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SUM('1st Qtr'!D74, '2nd Qtr'!D74, '3rd Qtr'!D74, '4th Qtr'!D74)</f>
        <v>4367567.0999999996</v>
      </c>
      <c r="E74" s="11">
        <f>SUM('1st Qtr'!E74, '2nd Qtr'!E74, '3rd Qtr'!E74, '4th Qtr'!E74)</f>
        <v>4946690.0999999996</v>
      </c>
      <c r="F74" s="11">
        <f t="shared" si="6"/>
        <v>-579123</v>
      </c>
      <c r="G74" s="12">
        <f t="shared" si="7"/>
        <v>-0.1170728281523033</v>
      </c>
      <c r="H74" s="13">
        <f>SUM('1st Qtr'!H74+'2nd Qtr'!H74+'3rd Qtr'!H74+'4th Qtr'!H74)</f>
        <v>4928731.1000000006</v>
      </c>
      <c r="I74" s="13">
        <f>SUM('1st Qtr'!I74, '2nd Qtr'!I74, '3rd Qtr'!I74, '4th Qtr'!I74)</f>
        <v>-561164</v>
      </c>
      <c r="J74" s="14">
        <f t="shared" si="8"/>
        <v>-0.11385567372502832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SUM('1st Qtr'!D75, '2nd Qtr'!D75, '3rd Qtr'!D75, '4th Qtr'!D75)</f>
        <v>1512541</v>
      </c>
      <c r="E75" s="15">
        <f>SUM('1st Qtr'!E75, '2nd Qtr'!E75, '3rd Qtr'!E75, '4th Qtr'!E75)</f>
        <v>857355.53800000006</v>
      </c>
      <c r="F75" s="15">
        <f t="shared" si="6"/>
        <v>655185.46199999994</v>
      </c>
      <c r="G75" s="16">
        <f t="shared" si="7"/>
        <v>0.76419342146944869</v>
      </c>
      <c r="H75" s="17">
        <f>SUM('1st Qtr'!H75+'2nd Qtr'!H75+'3rd Qtr'!H75+'4th Qtr'!H75)</f>
        <v>1826997.23</v>
      </c>
      <c r="I75" s="17">
        <f>SUM('1st Qtr'!I75, '2nd Qtr'!I75, '3rd Qtr'!I75, '4th Qtr'!I75)</f>
        <v>-314456.23</v>
      </c>
      <c r="J75" s="16">
        <f t="shared" si="8"/>
        <v>-0.17211642406266811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SUM('1st Qtr'!D76, '2nd Qtr'!D76, '3rd Qtr'!D76, '4th Qtr'!D76)</f>
        <v>1585227</v>
      </c>
      <c r="E76" s="11">
        <f>SUM('1st Qtr'!E76, '2nd Qtr'!E76, '3rd Qtr'!E76, '4th Qtr'!E76)</f>
        <v>1639258.0549999999</v>
      </c>
      <c r="F76" s="11">
        <f t="shared" si="6"/>
        <v>-54031.054999999935</v>
      </c>
      <c r="G76" s="12">
        <f t="shared" si="7"/>
        <v>-3.2960676834984312E-2</v>
      </c>
      <c r="H76" s="13">
        <f>SUM('1st Qtr'!H76+'2nd Qtr'!H76+'3rd Qtr'!H76+'4th Qtr'!H76)</f>
        <v>1844469.1</v>
      </c>
      <c r="I76" s="13">
        <f>SUM('1st Qtr'!I76, '2nd Qtr'!I76, '3rd Qtr'!I76, '4th Qtr'!I76)</f>
        <v>-259242.09999999998</v>
      </c>
      <c r="J76" s="14">
        <f t="shared" si="8"/>
        <v>-0.14055106697097824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SUM('1st Qtr'!D77, '2nd Qtr'!D77, '3rd Qtr'!D77, '4th Qtr'!D77)</f>
        <v>1469253</v>
      </c>
      <c r="E77" s="15">
        <f>SUM('1st Qtr'!E77, '2nd Qtr'!E77, '3rd Qtr'!E77, '4th Qtr'!E77)</f>
        <v>1486738.7860000001</v>
      </c>
      <c r="F77" s="15">
        <f t="shared" si="6"/>
        <v>-17485.78600000008</v>
      </c>
      <c r="G77" s="16">
        <f t="shared" si="7"/>
        <v>-1.1761168918613306E-2</v>
      </c>
      <c r="H77" s="17">
        <f>SUM('1st Qtr'!H77+'2nd Qtr'!H77+'3rd Qtr'!H77+'4th Qtr'!H77)</f>
        <v>1687228.91</v>
      </c>
      <c r="I77" s="17">
        <f>SUM('1st Qtr'!I77, '2nd Qtr'!I77, '3rd Qtr'!I77, '4th Qtr'!I77)</f>
        <v>-217975.91000000003</v>
      </c>
      <c r="J77" s="16">
        <f t="shared" si="8"/>
        <v>-0.12919166374407373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SUM('1st Qtr'!D78, '2nd Qtr'!D78, '3rd Qtr'!D78, '4th Qtr'!D78)</f>
        <v>1505705</v>
      </c>
      <c r="E78" s="11">
        <f>SUM('1st Qtr'!E78, '2nd Qtr'!E78, '3rd Qtr'!E78, '4th Qtr'!E78)</f>
        <v>1544343.834</v>
      </c>
      <c r="F78" s="11">
        <f t="shared" si="6"/>
        <v>-38638.834000000032</v>
      </c>
      <c r="G78" s="12">
        <f t="shared" si="7"/>
        <v>-2.5019579933777902E-2</v>
      </c>
      <c r="H78" s="13">
        <f>SUM('1st Qtr'!H78+'2nd Qtr'!H78+'3rd Qtr'!H78+'4th Qtr'!H78)</f>
        <v>1830476.5899999999</v>
      </c>
      <c r="I78" s="13">
        <f>SUM('1st Qtr'!I78, '2nd Qtr'!I78, '3rd Qtr'!I78, '4th Qtr'!I78)</f>
        <v>-324771.58999999997</v>
      </c>
      <c r="J78" s="14">
        <f t="shared" si="8"/>
        <v>-0.1774246072166375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SUM('1st Qtr'!D79, '2nd Qtr'!D79, '3rd Qtr'!D79, '4th Qtr'!D79)</f>
        <v>1609380</v>
      </c>
      <c r="E79" s="15">
        <f>SUM('1st Qtr'!E79, '2nd Qtr'!E79, '3rd Qtr'!E79, '4th Qtr'!E79)</f>
        <v>957728.71499999997</v>
      </c>
      <c r="F79" s="15">
        <f t="shared" si="6"/>
        <v>651651.28500000003</v>
      </c>
      <c r="G79" s="16">
        <f t="shared" si="7"/>
        <v>0.68041322641140611</v>
      </c>
      <c r="H79" s="17">
        <f>SUM('1st Qtr'!H79+'2nd Qtr'!H79+'3rd Qtr'!H79+'4th Qtr'!H79)</f>
        <v>1675627.31</v>
      </c>
      <c r="I79" s="17">
        <f>SUM('1st Qtr'!I79, '2nd Qtr'!I79, '3rd Qtr'!I79, '4th Qtr'!I79)</f>
        <v>-66247.309999999969</v>
      </c>
      <c r="J79" s="16">
        <f t="shared" si="8"/>
        <v>-3.9535826137853988E-2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SUM('1st Qtr'!D80, '2nd Qtr'!D80, '3rd Qtr'!D80, '4th Qtr'!D80)</f>
        <v>1369296</v>
      </c>
      <c r="E80" s="11">
        <f>SUM('1st Qtr'!E80, '2nd Qtr'!E80, '3rd Qtr'!E80, '4th Qtr'!E80)</f>
        <v>1496875.33</v>
      </c>
      <c r="F80" s="11">
        <f t="shared" si="6"/>
        <v>-127579.33000000007</v>
      </c>
      <c r="G80" s="12">
        <f t="shared" si="7"/>
        <v>-8.5230431314543789E-2</v>
      </c>
      <c r="H80" s="13">
        <f>SUM('1st Qtr'!H80+'2nd Qtr'!H80+'3rd Qtr'!H80+'4th Qtr'!H80)</f>
        <v>1506045.62</v>
      </c>
      <c r="I80" s="13">
        <f>SUM('1st Qtr'!I80, '2nd Qtr'!I80, '3rd Qtr'!I80, '4th Qtr'!I80)</f>
        <v>-136749.62</v>
      </c>
      <c r="J80" s="14">
        <f t="shared" si="8"/>
        <v>-9.0800449989024895E-2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SUM('1st Qtr'!D81, '2nd Qtr'!D81, '3rd Qtr'!D81, '4th Qtr'!D81)</f>
        <v>1397389</v>
      </c>
      <c r="E81" s="15">
        <f>SUM('1st Qtr'!E81, '2nd Qtr'!E81, '3rd Qtr'!E81, '4th Qtr'!E81)</f>
        <v>1561124.0010000002</v>
      </c>
      <c r="F81" s="15">
        <f t="shared" si="6"/>
        <v>-163735.00100000016</v>
      </c>
      <c r="G81" s="16">
        <f t="shared" si="7"/>
        <v>-0.10488276453063138</v>
      </c>
      <c r="H81" s="17">
        <f>SUM('1st Qtr'!H81+'2nd Qtr'!H81+'3rd Qtr'!H81+'4th Qtr'!H81)</f>
        <v>1461108.29</v>
      </c>
      <c r="I81" s="17">
        <f>SUM('1st Qtr'!I81, '2nd Qtr'!I81, '3rd Qtr'!I81, '4th Qtr'!I81)</f>
        <v>-63719.290000000008</v>
      </c>
      <c r="J81" s="16">
        <f t="shared" si="8"/>
        <v>-4.3610244658867828E-2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SUM('1st Qtr'!D82, '2nd Qtr'!D82, '3rd Qtr'!D82, '4th Qtr'!D82)</f>
        <v>1586860</v>
      </c>
      <c r="E82" s="11">
        <f>SUM('1st Qtr'!E82, '2nd Qtr'!E82, '3rd Qtr'!E82, '4th Qtr'!E82)</f>
        <v>1777063.7760000001</v>
      </c>
      <c r="F82" s="11">
        <f t="shared" ref="F82:F145" si="9">IF(AND(ISNUMBER(D82),ISNUMBER(E82)), D82-E82, "")</f>
        <v>-190203.77600000007</v>
      </c>
      <c r="G82" s="12">
        <f t="shared" ref="G82:G145" si="10">IFERROR(F82/E82, "")</f>
        <v>-0.10703261107945744</v>
      </c>
      <c r="H82" s="13">
        <f>SUM('1st Qtr'!H82+'2nd Qtr'!H82+'3rd Qtr'!H82+'4th Qtr'!H82)</f>
        <v>1653947.8</v>
      </c>
      <c r="I82" s="13">
        <f>SUM('1st Qtr'!I82, '2nd Qtr'!I82, '3rd Qtr'!I82, '4th Qtr'!I82)</f>
        <v>-67087.800000000032</v>
      </c>
      <c r="J82" s="14">
        <f t="shared" ref="J82:J138" si="11">IFERROR(I82/H82, "")</f>
        <v>-4.0562223305959252E-2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SUM('1st Qtr'!D83, '2nd Qtr'!D83, '3rd Qtr'!D83, '4th Qtr'!D83)</f>
        <v>1687059</v>
      </c>
      <c r="E83" s="15">
        <f>SUM('1st Qtr'!E83, '2nd Qtr'!E83, '3rd Qtr'!E83, '4th Qtr'!E83)</f>
        <v>1611291.142</v>
      </c>
      <c r="F83" s="15">
        <f t="shared" si="9"/>
        <v>75767.858000000007</v>
      </c>
      <c r="G83" s="16">
        <f t="shared" si="10"/>
        <v>4.702307114154048E-2</v>
      </c>
      <c r="H83" s="17">
        <f>SUM('1st Qtr'!H83+'2nd Qtr'!H83+'3rd Qtr'!H83+'4th Qtr'!H83)</f>
        <v>2017516.2400000002</v>
      </c>
      <c r="I83" s="17">
        <f>SUM('1st Qtr'!I83, '2nd Qtr'!I83, '3rd Qtr'!I83, '4th Qtr'!I83)</f>
        <v>-330457.24</v>
      </c>
      <c r="J83" s="16">
        <f t="shared" si="11"/>
        <v>-0.16379409168969067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SUM('1st Qtr'!D84, '2nd Qtr'!D84, '3rd Qtr'!D84, '4th Qtr'!D84)</f>
        <v>1701340</v>
      </c>
      <c r="E84" s="11">
        <f>SUM('1st Qtr'!E84, '2nd Qtr'!E84, '3rd Qtr'!E84, '4th Qtr'!E84)</f>
        <v>0</v>
      </c>
      <c r="F84" s="11">
        <f t="shared" si="9"/>
        <v>1701340</v>
      </c>
      <c r="G84" s="12" t="str">
        <f t="shared" si="10"/>
        <v/>
      </c>
      <c r="H84" s="13">
        <f>SUM('1st Qtr'!H84+'2nd Qtr'!H84+'3rd Qtr'!H84+'4th Qtr'!H84)</f>
        <v>2022519.68</v>
      </c>
      <c r="I84" s="13">
        <f>SUM('1st Qtr'!I84, '2nd Qtr'!I84, '3rd Qtr'!I84, '4th Qtr'!I84)</f>
        <v>-321179.68000000005</v>
      </c>
      <c r="J84" s="14">
        <f t="shared" si="11"/>
        <v>-0.15880175761750812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SUM('1st Qtr'!D85, '2nd Qtr'!D85, '3rd Qtr'!D85, '4th Qtr'!D85)</f>
        <v>1496112</v>
      </c>
      <c r="E85" s="15">
        <f>SUM('1st Qtr'!E85, '2nd Qtr'!E85, '3rd Qtr'!E85, '4th Qtr'!E85)</f>
        <v>400672</v>
      </c>
      <c r="F85" s="15">
        <f t="shared" si="9"/>
        <v>1095440</v>
      </c>
      <c r="G85" s="16">
        <f t="shared" si="10"/>
        <v>2.7340068684609857</v>
      </c>
      <c r="H85" s="17">
        <f>SUM('1st Qtr'!H85+'2nd Qtr'!H85+'3rd Qtr'!H85+'4th Qtr'!H85)</f>
        <v>633562.66999999993</v>
      </c>
      <c r="I85" s="17">
        <f>SUM('1st Qtr'!I85, '2nd Qtr'!I85, '3rd Qtr'!I85, '4th Qtr'!I85)</f>
        <v>862549.33000000007</v>
      </c>
      <c r="J85" s="16">
        <f t="shared" si="11"/>
        <v>1.3614270076865485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SUM('1st Qtr'!D86, '2nd Qtr'!D86, '3rd Qtr'!D86, '4th Qtr'!D86)</f>
        <v>4152265</v>
      </c>
      <c r="E86" s="11">
        <f>SUM('1st Qtr'!E86, '2nd Qtr'!E86, '3rd Qtr'!E86, '4th Qtr'!E86)</f>
        <v>0</v>
      </c>
      <c r="F86" s="11">
        <f t="shared" si="9"/>
        <v>4152265</v>
      </c>
      <c r="G86" s="12" t="str">
        <f t="shared" si="10"/>
        <v/>
      </c>
      <c r="H86" s="13">
        <f>SUM('1st Qtr'!H86+'2nd Qtr'!H86+'3rd Qtr'!H86+'4th Qtr'!H86)</f>
        <v>1796058.41</v>
      </c>
      <c r="I86" s="13">
        <f>SUM('1st Qtr'!I86, '2nd Qtr'!I86, '3rd Qtr'!I86, '4th Qtr'!I86)</f>
        <v>2356206.59</v>
      </c>
      <c r="J86" s="14">
        <f t="shared" si="11"/>
        <v>1.3118763715485178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SUM('1st Qtr'!D87, '2nd Qtr'!D87, '3rd Qtr'!D87, '4th Qtr'!D87)</f>
        <v>3911826</v>
      </c>
      <c r="E87" s="15">
        <f>SUM('1st Qtr'!E87, '2nd Qtr'!E87, '3rd Qtr'!E87, '4th Qtr'!E87)</f>
        <v>0</v>
      </c>
      <c r="F87" s="15">
        <f t="shared" si="9"/>
        <v>3911826</v>
      </c>
      <c r="G87" s="16" t="str">
        <f t="shared" si="10"/>
        <v/>
      </c>
      <c r="H87" s="17">
        <f>SUM('1st Qtr'!H87+'2nd Qtr'!H87+'3rd Qtr'!H87+'4th Qtr'!H87)</f>
        <v>2214055</v>
      </c>
      <c r="I87" s="17">
        <f>SUM('1st Qtr'!I87, '2nd Qtr'!I87, '3rd Qtr'!I87, '4th Qtr'!I87)</f>
        <v>1697771</v>
      </c>
      <c r="J87" s="16">
        <f t="shared" si="11"/>
        <v>0.76681518751792521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SUM('1st Qtr'!D88, '2nd Qtr'!D88, '3rd Qtr'!D88, '4th Qtr'!D88)</f>
        <v>1540199</v>
      </c>
      <c r="E88" s="11">
        <f>SUM('1st Qtr'!E88, '2nd Qtr'!E88, '3rd Qtr'!E88, '4th Qtr'!E88)</f>
        <v>0</v>
      </c>
      <c r="F88" s="11">
        <f t="shared" si="9"/>
        <v>1540199</v>
      </c>
      <c r="G88" s="12" t="str">
        <f t="shared" si="10"/>
        <v/>
      </c>
      <c r="H88" s="13">
        <f>SUM('1st Qtr'!H88+'2nd Qtr'!H88+'3rd Qtr'!H88+'4th Qtr'!H88)</f>
        <v>706848.29</v>
      </c>
      <c r="I88" s="13">
        <f>SUM('1st Qtr'!I88, '2nd Qtr'!I88, '3rd Qtr'!I88, '4th Qtr'!I88)</f>
        <v>949862</v>
      </c>
      <c r="J88" s="14">
        <f t="shared" si="11"/>
        <v>1.3437989642728003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SUM('1st Qtr'!D89, '2nd Qtr'!D89, '3rd Qtr'!D89, '4th Qtr'!D89)</f>
        <v>3916781</v>
      </c>
      <c r="E89" s="15">
        <f>SUM('1st Qtr'!E89, '2nd Qtr'!E89, '3rd Qtr'!E89, '4th Qtr'!E89)</f>
        <v>923077</v>
      </c>
      <c r="F89" s="15">
        <f t="shared" si="9"/>
        <v>2993704</v>
      </c>
      <c r="G89" s="16">
        <f t="shared" si="10"/>
        <v>3.2431790630684114</v>
      </c>
      <c r="H89" s="17">
        <f>SUM('1st Qtr'!H89+'2nd Qtr'!H89+'3rd Qtr'!H89+'4th Qtr'!H89)</f>
        <v>1361120.45</v>
      </c>
      <c r="I89" s="17">
        <f>SUM('1st Qtr'!I89, '2nd Qtr'!I89, '3rd Qtr'!I89, '4th Qtr'!I89)</f>
        <v>2555660.5499999998</v>
      </c>
      <c r="J89" s="16">
        <f t="shared" si="11"/>
        <v>1.8776152764437561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SUM('1st Qtr'!D90, '2nd Qtr'!D90, '3rd Qtr'!D90, '4th Qtr'!D90)</f>
        <v>4267246</v>
      </c>
      <c r="E90" s="11">
        <f>SUM('1st Qtr'!E90, '2nd Qtr'!E90, '3rd Qtr'!E90, '4th Qtr'!E90)</f>
        <v>0</v>
      </c>
      <c r="F90" s="11">
        <f t="shared" si="9"/>
        <v>4267246</v>
      </c>
      <c r="G90" s="12" t="str">
        <f t="shared" si="10"/>
        <v/>
      </c>
      <c r="H90" s="13">
        <f>SUM('1st Qtr'!H90+'2nd Qtr'!H90+'3rd Qtr'!H90+'4th Qtr'!H90)</f>
        <v>2145102.9699999997</v>
      </c>
      <c r="I90" s="13">
        <f>SUM('1st Qtr'!I90, '2nd Qtr'!I90, '3rd Qtr'!I90, '4th Qtr'!I90)</f>
        <v>2122143.0300000003</v>
      </c>
      <c r="J90" s="14">
        <f t="shared" si="11"/>
        <v>0.98929657908216895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SUM('1st Qtr'!D91, '2nd Qtr'!D91, '3rd Qtr'!D91, '4th Qtr'!D91)</f>
        <v>3533527.8279562811</v>
      </c>
      <c r="E91" s="15">
        <f>SUM('1st Qtr'!E91, '2nd Qtr'!E91, '3rd Qtr'!E91, '4th Qtr'!E91)</f>
        <v>3503396.8</v>
      </c>
      <c r="F91" s="15">
        <f t="shared" si="9"/>
        <v>30131.027956281323</v>
      </c>
      <c r="G91" s="16">
        <f t="shared" si="10"/>
        <v>8.6005182045839988E-3</v>
      </c>
      <c r="H91" s="17">
        <f>SUM('1st Qtr'!H91+'2nd Qtr'!H91+'3rd Qtr'!H91+'4th Qtr'!H91)</f>
        <v>3988920</v>
      </c>
      <c r="I91" s="17">
        <f>SUM('1st Qtr'!I91, '2nd Qtr'!I91, '3rd Qtr'!I91, '4th Qtr'!I91)</f>
        <v>-455392.17204371898</v>
      </c>
      <c r="J91" s="16">
        <f t="shared" si="11"/>
        <v>-0.11416427806115916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SUM('1st Qtr'!D92, '2nd Qtr'!D92, '3rd Qtr'!D92, '4th Qtr'!D92)</f>
        <v>1852445</v>
      </c>
      <c r="E92" s="11">
        <f>SUM('1st Qtr'!E92, '2nd Qtr'!E92, '3rd Qtr'!E92, '4th Qtr'!E92)</f>
        <v>482020</v>
      </c>
      <c r="F92" s="11">
        <f t="shared" si="9"/>
        <v>1370425</v>
      </c>
      <c r="G92" s="12">
        <f t="shared" si="10"/>
        <v>2.8430874237583503</v>
      </c>
      <c r="H92" s="13">
        <f>SUM('1st Qtr'!H92+'2nd Qtr'!H92+'3rd Qtr'!H92+'4th Qtr'!H92)</f>
        <v>689322.58000000007</v>
      </c>
      <c r="I92" s="13">
        <f>SUM('1st Qtr'!I92, '2nd Qtr'!I92, '3rd Qtr'!I92, '4th Qtr'!I92)</f>
        <v>1163122.42</v>
      </c>
      <c r="J92" s="14">
        <f t="shared" si="11"/>
        <v>1.6873412445012317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SUM('1st Qtr'!D93, '2nd Qtr'!D93, '3rd Qtr'!D93, '4th Qtr'!D93)</f>
        <v>3428742</v>
      </c>
      <c r="E93" s="15">
        <f>SUM('1st Qtr'!E93, '2nd Qtr'!E93, '3rd Qtr'!E93, '4th Qtr'!E93)</f>
        <v>849596</v>
      </c>
      <c r="F93" s="15">
        <f t="shared" si="9"/>
        <v>2579146</v>
      </c>
      <c r="G93" s="16">
        <f t="shared" si="10"/>
        <v>3.0357322774589335</v>
      </c>
      <c r="H93" s="17">
        <f>SUM('1st Qtr'!H93+'2nd Qtr'!H93+'3rd Qtr'!H93+'4th Qtr'!H93)</f>
        <v>1900691.17</v>
      </c>
      <c r="I93" s="17">
        <f>SUM('1st Qtr'!I93, '2nd Qtr'!I93, '3rd Qtr'!I93, '4th Qtr'!I93)</f>
        <v>1528050.83</v>
      </c>
      <c r="J93" s="16">
        <f t="shared" si="11"/>
        <v>0.80394482497648478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SUM('1st Qtr'!D94, '2nd Qtr'!D94, '3rd Qtr'!D94, '4th Qtr'!D94)</f>
        <v>4106955</v>
      </c>
      <c r="E94" s="11">
        <f>SUM('1st Qtr'!E94, '2nd Qtr'!E94, '3rd Qtr'!E94, '4th Qtr'!E94)</f>
        <v>0</v>
      </c>
      <c r="F94" s="11">
        <f t="shared" si="9"/>
        <v>4106955</v>
      </c>
      <c r="G94" s="12" t="str">
        <f t="shared" si="10"/>
        <v/>
      </c>
      <c r="H94" s="13">
        <f>SUM('1st Qtr'!H94+'2nd Qtr'!H94+'3rd Qtr'!H94+'4th Qtr'!H94)</f>
        <v>2040645.9</v>
      </c>
      <c r="I94" s="13">
        <f>SUM('1st Qtr'!I94, '2nd Qtr'!I94, '3rd Qtr'!I94, '4th Qtr'!I94)</f>
        <v>2066309.1</v>
      </c>
      <c r="J94" s="14">
        <f t="shared" si="11"/>
        <v>1.0125760182107049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SUM('1st Qtr'!D95, '2nd Qtr'!D95, '3rd Qtr'!D95, '4th Qtr'!D95)</f>
        <v>4168410</v>
      </c>
      <c r="E95" s="15">
        <f>SUM('1st Qtr'!E95, '2nd Qtr'!E95, '3rd Qtr'!E95, '4th Qtr'!E95)</f>
        <v>0</v>
      </c>
      <c r="F95" s="15">
        <f t="shared" si="9"/>
        <v>4168410</v>
      </c>
      <c r="G95" s="16" t="str">
        <f t="shared" si="10"/>
        <v/>
      </c>
      <c r="H95" s="17">
        <f>SUM('1st Qtr'!H95+'2nd Qtr'!H95+'3rd Qtr'!H95+'4th Qtr'!H95)</f>
        <v>1751995.65</v>
      </c>
      <c r="I95" s="17">
        <f>SUM('1st Qtr'!I95, '2nd Qtr'!I95, '3rd Qtr'!I95, '4th Qtr'!I95)</f>
        <v>2416414.35</v>
      </c>
      <c r="J95" s="16">
        <f t="shared" si="11"/>
        <v>1.3792353594028617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SUM('1st Qtr'!D96, '2nd Qtr'!D96, '3rd Qtr'!D96, '4th Qtr'!D96)</f>
        <v>3127136</v>
      </c>
      <c r="E96" s="11">
        <f>SUM('1st Qtr'!E96, '2nd Qtr'!E96, '3rd Qtr'!E96, '4th Qtr'!E96)</f>
        <v>0</v>
      </c>
      <c r="F96" s="11">
        <f t="shared" si="9"/>
        <v>3127136</v>
      </c>
      <c r="G96" s="12" t="str">
        <f t="shared" si="10"/>
        <v/>
      </c>
      <c r="H96" s="13">
        <f>SUM('1st Qtr'!H96+'2nd Qtr'!H96+'3rd Qtr'!H96+'4th Qtr'!H96)</f>
        <v>2388942.67</v>
      </c>
      <c r="I96" s="13">
        <f>SUM('1st Qtr'!I96, '2nd Qtr'!I96, '3rd Qtr'!I96, '4th Qtr'!I96)</f>
        <v>738193.33</v>
      </c>
      <c r="J96" s="14">
        <f t="shared" si="11"/>
        <v>0.30900420477650054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SUM('1st Qtr'!D97, '2nd Qtr'!D97, '3rd Qtr'!D97, '4th Qtr'!D97)</f>
        <v>3918251</v>
      </c>
      <c r="E97" s="15">
        <f>SUM('1st Qtr'!E97, '2nd Qtr'!E97, '3rd Qtr'!E97, '4th Qtr'!E97)</f>
        <v>0</v>
      </c>
      <c r="F97" s="15">
        <f t="shared" si="9"/>
        <v>3918251</v>
      </c>
      <c r="G97" s="16" t="str">
        <f t="shared" si="10"/>
        <v/>
      </c>
      <c r="H97" s="17">
        <f>SUM('1st Qtr'!H97+'2nd Qtr'!H97+'3rd Qtr'!H97+'4th Qtr'!H97)</f>
        <v>1899872</v>
      </c>
      <c r="I97" s="17">
        <f>SUM('1st Qtr'!I97, '2nd Qtr'!I97, '3rd Qtr'!I97, '4th Qtr'!I97)</f>
        <v>2018379</v>
      </c>
      <c r="J97" s="16">
        <f t="shared" si="11"/>
        <v>1.0623763074565022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SUM('1st Qtr'!D98, '2nd Qtr'!D98, '3rd Qtr'!D98, '4th Qtr'!D98)</f>
        <v>1746707</v>
      </c>
      <c r="E98" s="11">
        <f>SUM('1st Qtr'!E98, '2nd Qtr'!E98, '3rd Qtr'!E98, '4th Qtr'!E98)</f>
        <v>0</v>
      </c>
      <c r="F98" s="11">
        <f t="shared" si="9"/>
        <v>1746707</v>
      </c>
      <c r="G98" s="12" t="str">
        <f t="shared" si="10"/>
        <v/>
      </c>
      <c r="H98" s="13">
        <f>SUM('1st Qtr'!H98+'2nd Qtr'!H98+'3rd Qtr'!H98+'4th Qtr'!H98)</f>
        <v>934674.5</v>
      </c>
      <c r="I98" s="13">
        <f>SUM('1st Qtr'!I98, '2nd Qtr'!I98, '3rd Qtr'!I98, '4th Qtr'!I98)</f>
        <v>812032.5</v>
      </c>
      <c r="J98" s="14">
        <f t="shared" si="11"/>
        <v>0.86878640639067395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SUM('1st Qtr'!D99, '2nd Qtr'!D99, '3rd Qtr'!D99, '4th Qtr'!D99)</f>
        <v>2791104</v>
      </c>
      <c r="E99" s="15">
        <f>SUM('1st Qtr'!E99, '2nd Qtr'!E99, '3rd Qtr'!E99, '4th Qtr'!E99)</f>
        <v>0</v>
      </c>
      <c r="F99" s="15">
        <f t="shared" si="9"/>
        <v>2791104</v>
      </c>
      <c r="G99" s="16" t="str">
        <f t="shared" si="10"/>
        <v/>
      </c>
      <c r="H99" s="17">
        <f>SUM('1st Qtr'!H99+'2nd Qtr'!H99+'3rd Qtr'!H99+'4th Qtr'!H99)</f>
        <v>1515748.5899999999</v>
      </c>
      <c r="I99" s="17">
        <f>SUM('1st Qtr'!I99, '2nd Qtr'!I99, '3rd Qtr'!I99, '4th Qtr'!I99)</f>
        <v>1275355.4099999999</v>
      </c>
      <c r="J99" s="16">
        <f t="shared" si="11"/>
        <v>0.84140299942485852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SUM('1st Qtr'!D100, '2nd Qtr'!D100, '3rd Qtr'!D100, '4th Qtr'!D100)</f>
        <v>1565122</v>
      </c>
      <c r="E100" s="11">
        <f>SUM('1st Qtr'!E100, '2nd Qtr'!E100, '3rd Qtr'!E100, '4th Qtr'!E100)</f>
        <v>0</v>
      </c>
      <c r="F100" s="11">
        <f t="shared" si="9"/>
        <v>1565122</v>
      </c>
      <c r="G100" s="12" t="str">
        <f t="shared" si="10"/>
        <v/>
      </c>
      <c r="H100" s="13">
        <f>SUM('1st Qtr'!H100+'2nd Qtr'!H100+'3rd Qtr'!H100+'4th Qtr'!H100)</f>
        <v>872580.72</v>
      </c>
      <c r="I100" s="13">
        <f>SUM('1st Qtr'!I100, '2nd Qtr'!I100, '3rd Qtr'!I100, '4th Qtr'!I100)</f>
        <v>692541.28</v>
      </c>
      <c r="J100" s="14">
        <f t="shared" si="11"/>
        <v>0.7936701603950177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SUM('1st Qtr'!D101, '2nd Qtr'!D101, '3rd Qtr'!D101, '4th Qtr'!D101)</f>
        <v>4010793</v>
      </c>
      <c r="E101" s="15">
        <f>SUM('1st Qtr'!E101, '2nd Qtr'!E101, '3rd Qtr'!E101, '4th Qtr'!E101)</f>
        <v>0</v>
      </c>
      <c r="F101" s="15">
        <f t="shared" si="9"/>
        <v>4010793</v>
      </c>
      <c r="G101" s="16" t="str">
        <f t="shared" si="10"/>
        <v/>
      </c>
      <c r="H101" s="17">
        <f>SUM('1st Qtr'!H101+'2nd Qtr'!H101+'3rd Qtr'!H101+'4th Qtr'!H101)</f>
        <v>1833686.5</v>
      </c>
      <c r="I101" s="17">
        <f>SUM('1st Qtr'!I101, '2nd Qtr'!I101, '3rd Qtr'!I101, '4th Qtr'!I101)</f>
        <v>2177106.5</v>
      </c>
      <c r="J101" s="16">
        <f t="shared" si="11"/>
        <v>1.1872839223062395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SUM('1st Qtr'!D102, '2nd Qtr'!D102, '3rd Qtr'!D102, '4th Qtr'!D102)</f>
        <v>3242375</v>
      </c>
      <c r="E102" s="11">
        <f>SUM('1st Qtr'!E102, '2nd Qtr'!E102, '3rd Qtr'!E102, '4th Qtr'!E102)</f>
        <v>0</v>
      </c>
      <c r="F102" s="11">
        <f t="shared" si="9"/>
        <v>3242375</v>
      </c>
      <c r="G102" s="12" t="str">
        <f t="shared" si="10"/>
        <v/>
      </c>
      <c r="H102" s="13">
        <f>SUM('1st Qtr'!H102+'2nd Qtr'!H102+'3rd Qtr'!H102+'4th Qtr'!H102)</f>
        <v>1592806.6</v>
      </c>
      <c r="I102" s="13">
        <f>SUM('1st Qtr'!I102, '2nd Qtr'!I102, '3rd Qtr'!I102, '4th Qtr'!I102)</f>
        <v>1649568.4</v>
      </c>
      <c r="J102" s="14">
        <f t="shared" si="11"/>
        <v>1.0356363415370076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SUM('1st Qtr'!D103, '2nd Qtr'!D103, '3rd Qtr'!D103, '4th Qtr'!D103)</f>
        <v>1889938</v>
      </c>
      <c r="E103" s="15">
        <f>SUM('1st Qtr'!E103, '2nd Qtr'!E103, '3rd Qtr'!E103, '4th Qtr'!E103)</f>
        <v>0</v>
      </c>
      <c r="F103" s="15">
        <f t="shared" si="9"/>
        <v>1889938</v>
      </c>
      <c r="G103" s="16" t="str">
        <f t="shared" si="10"/>
        <v/>
      </c>
      <c r="H103" s="17">
        <f>SUM('1st Qtr'!H103+'2nd Qtr'!H103+'3rd Qtr'!H103+'4th Qtr'!H103)</f>
        <v>881371.11</v>
      </c>
      <c r="I103" s="17">
        <f>SUM('1st Qtr'!I103, '2nd Qtr'!I103, '3rd Qtr'!I103, '4th Qtr'!I103)</f>
        <v>1008566.89</v>
      </c>
      <c r="J103" s="16">
        <f t="shared" si="11"/>
        <v>1.1443158035892509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SUM('1st Qtr'!D104, '2nd Qtr'!D104, '3rd Qtr'!D104, '4th Qtr'!D104)</f>
        <v>4464712</v>
      </c>
      <c r="E104" s="11">
        <f>SUM('1st Qtr'!E104, '2nd Qtr'!E104, '3rd Qtr'!E104, '4th Qtr'!E104)</f>
        <v>0</v>
      </c>
      <c r="F104" s="11">
        <f t="shared" si="9"/>
        <v>4464712</v>
      </c>
      <c r="G104" s="12" t="str">
        <f t="shared" si="10"/>
        <v/>
      </c>
      <c r="H104" s="13">
        <f>SUM('1st Qtr'!H104+'2nd Qtr'!H104+'3rd Qtr'!H104+'4th Qtr'!H104)</f>
        <v>2120545.7999999998</v>
      </c>
      <c r="I104" s="13">
        <f>SUM('1st Qtr'!I104, '2nd Qtr'!I104, '3rd Qtr'!I104, '4th Qtr'!I104)</f>
        <v>2344166.2000000002</v>
      </c>
      <c r="J104" s="14">
        <f t="shared" si="11"/>
        <v>1.105454171279866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SUM('1st Qtr'!D105, '2nd Qtr'!D105, '3rd Qtr'!D105, '4th Qtr'!D105)</f>
        <v>1597935</v>
      </c>
      <c r="E105" s="15">
        <f>SUM('1st Qtr'!E105, '2nd Qtr'!E105, '3rd Qtr'!E105, '4th Qtr'!E105)</f>
        <v>0</v>
      </c>
      <c r="F105" s="15">
        <f t="shared" si="9"/>
        <v>1597935</v>
      </c>
      <c r="G105" s="16" t="str">
        <f t="shared" si="10"/>
        <v/>
      </c>
      <c r="H105" s="17">
        <f>SUM('1st Qtr'!H105+'2nd Qtr'!H105+'3rd Qtr'!H105+'4th Qtr'!H105)</f>
        <v>0</v>
      </c>
      <c r="I105" s="17">
        <f>SUM('1st Qtr'!I105, '2nd Qtr'!I105, '3rd Qtr'!I105, '4th Qtr'!I105)</f>
        <v>1597935</v>
      </c>
      <c r="J105" s="16" t="str">
        <f t="shared" si="11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SUM('1st Qtr'!D106, '2nd Qtr'!D106, '3rd Qtr'!D106, '4th Qtr'!D106)</f>
        <v>1583915</v>
      </c>
      <c r="E106" s="11">
        <f>SUM('1st Qtr'!E106, '2nd Qtr'!E106, '3rd Qtr'!E106, '4th Qtr'!E106)</f>
        <v>0</v>
      </c>
      <c r="F106" s="11">
        <f t="shared" si="9"/>
        <v>1583915</v>
      </c>
      <c r="G106" s="12" t="str">
        <f t="shared" si="10"/>
        <v/>
      </c>
      <c r="H106" s="13">
        <f>SUM('1st Qtr'!H106+'2nd Qtr'!H106+'3rd Qtr'!H106+'4th Qtr'!H106)</f>
        <v>0</v>
      </c>
      <c r="I106" s="13">
        <f>SUM('1st Qtr'!I106, '2nd Qtr'!I106, '3rd Qtr'!I106, '4th Qtr'!I106)</f>
        <v>1583915</v>
      </c>
      <c r="J106" s="14" t="str">
        <f t="shared" si="11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SUM('1st Qtr'!D107, '2nd Qtr'!D107, '3rd Qtr'!D107, '4th Qtr'!D107)</f>
        <v>1402770</v>
      </c>
      <c r="E107" s="15">
        <f>SUM('1st Qtr'!E107, '2nd Qtr'!E107, '3rd Qtr'!E107, '4th Qtr'!E107)</f>
        <v>0</v>
      </c>
      <c r="F107" s="15">
        <f t="shared" si="9"/>
        <v>1402770</v>
      </c>
      <c r="G107" s="16" t="str">
        <f t="shared" si="10"/>
        <v/>
      </c>
      <c r="H107" s="17">
        <f>SUM('1st Qtr'!H107+'2nd Qtr'!H107+'3rd Qtr'!H107+'4th Qtr'!H107)</f>
        <v>0</v>
      </c>
      <c r="I107" s="17">
        <f>SUM('1st Qtr'!I107, '2nd Qtr'!I107, '3rd Qtr'!I107, '4th Qtr'!I107)</f>
        <v>1402770</v>
      </c>
      <c r="J107" s="16" t="str">
        <f t="shared" si="11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SUM('1st Qtr'!D108, '2nd Qtr'!D108, '3rd Qtr'!D108, '4th Qtr'!D108)</f>
        <v>3007689</v>
      </c>
      <c r="E108" s="11">
        <f>SUM('1st Qtr'!E108, '2nd Qtr'!E108, '3rd Qtr'!E108, '4th Qtr'!E108)</f>
        <v>0</v>
      </c>
      <c r="F108" s="11">
        <f t="shared" si="9"/>
        <v>3007689</v>
      </c>
      <c r="G108" s="12" t="str">
        <f t="shared" si="10"/>
        <v/>
      </c>
      <c r="H108" s="13">
        <f>SUM('1st Qtr'!H108+'2nd Qtr'!H108+'3rd Qtr'!H108+'4th Qtr'!H108)</f>
        <v>0</v>
      </c>
      <c r="I108" s="13">
        <f>SUM('1st Qtr'!I108, '2nd Qtr'!I108, '3rd Qtr'!I108, '4th Qtr'!I108)</f>
        <v>3007689</v>
      </c>
      <c r="J108" s="14" t="str">
        <f t="shared" si="11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SUM('1st Qtr'!D109, '2nd Qtr'!D109, '3rd Qtr'!D109, '4th Qtr'!D109)</f>
        <v>2190391.4</v>
      </c>
      <c r="E109" s="15">
        <f>SUM('1st Qtr'!E109, '2nd Qtr'!E109, '3rd Qtr'!E109, '4th Qtr'!E109)</f>
        <v>0</v>
      </c>
      <c r="F109" s="15">
        <f t="shared" si="9"/>
        <v>2190391.4</v>
      </c>
      <c r="G109" s="16" t="str">
        <f t="shared" si="10"/>
        <v/>
      </c>
      <c r="H109" s="17">
        <f>SUM('1st Qtr'!H109+'2nd Qtr'!H109+'3rd Qtr'!H109+'4th Qtr'!H109)</f>
        <v>0</v>
      </c>
      <c r="I109" s="17">
        <f>SUM('1st Qtr'!I109, '2nd Qtr'!I109, '3rd Qtr'!I109, '4th Qtr'!I109)</f>
        <v>2190391.4</v>
      </c>
      <c r="J109" s="16" t="str">
        <f t="shared" si="11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SUM('1st Qtr'!D110, '2nd Qtr'!D110, '3rd Qtr'!D110, '4th Qtr'!D110)</f>
        <v>4579795.49</v>
      </c>
      <c r="E110" s="11">
        <f>SUM('1st Qtr'!E110, '2nd Qtr'!E110, '3rd Qtr'!E110, '4th Qtr'!E110)</f>
        <v>0</v>
      </c>
      <c r="F110" s="11">
        <f t="shared" si="9"/>
        <v>4579795.49</v>
      </c>
      <c r="G110" s="12" t="str">
        <f t="shared" si="10"/>
        <v/>
      </c>
      <c r="H110" s="13">
        <f>SUM('1st Qtr'!H110+'2nd Qtr'!H110+'3rd Qtr'!H110+'4th Qtr'!H110)</f>
        <v>0</v>
      </c>
      <c r="I110" s="13">
        <f>SUM('1st Qtr'!I110, '2nd Qtr'!I110, '3rd Qtr'!I110, '4th Qtr'!I110)</f>
        <v>4579795.49</v>
      </c>
      <c r="J110" s="14" t="str">
        <f t="shared" si="11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SUM('1st Qtr'!D111, '2nd Qtr'!D111, '3rd Qtr'!D111, '4th Qtr'!D111)</f>
        <v>3140091.1557788942</v>
      </c>
      <c r="E111" s="15">
        <f>SUM('1st Qtr'!E111, '2nd Qtr'!E111, '3rd Qtr'!E111, '4th Qtr'!E111)</f>
        <v>4142570.1</v>
      </c>
      <c r="F111" s="15">
        <f t="shared" si="9"/>
        <v>-1002478.9442211059</v>
      </c>
      <c r="G111" s="16">
        <f t="shared" si="10"/>
        <v>-0.24199444306835166</v>
      </c>
      <c r="H111" s="17">
        <f>SUM('1st Qtr'!H111+'2nd Qtr'!H111+'3rd Qtr'!H111+'4th Qtr'!H111)</f>
        <v>4330671.2</v>
      </c>
      <c r="I111" s="17">
        <f>SUM('1st Qtr'!I111, '2nd Qtr'!I111, '3rd Qtr'!I111, '4th Qtr'!I111)</f>
        <v>-1190580.044221106</v>
      </c>
      <c r="J111" s="16">
        <f t="shared" si="11"/>
        <v>-0.27491813375744295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SUM('1st Qtr'!D112, '2nd Qtr'!D112, '3rd Qtr'!D112, '4th Qtr'!D112)</f>
        <v>3605736.2925870647</v>
      </c>
      <c r="E112" s="11">
        <f>SUM('1st Qtr'!E112, '2nd Qtr'!E112, '3rd Qtr'!E112, '4th Qtr'!E112)</f>
        <v>3586114.4899999998</v>
      </c>
      <c r="F112" s="11">
        <f t="shared" si="9"/>
        <v>19621.802587064914</v>
      </c>
      <c r="G112" s="12">
        <f t="shared" si="10"/>
        <v>5.4716051709394579E-3</v>
      </c>
      <c r="H112" s="13">
        <f>SUM('1st Qtr'!H112+'2nd Qtr'!H112+'3rd Qtr'!H112+'4th Qtr'!H112)</f>
        <v>4154727.4000000004</v>
      </c>
      <c r="I112" s="13">
        <f>SUM('1st Qtr'!I112, '2nd Qtr'!I112, '3rd Qtr'!I112, '4th Qtr'!I112)</f>
        <v>-548991.10741293535</v>
      </c>
      <c r="J112" s="14">
        <f t="shared" si="11"/>
        <v>-0.13213649285701279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SUM('1st Qtr'!D113, '2nd Qtr'!D113, '3rd Qtr'!D113, '4th Qtr'!D113)</f>
        <v>18256</v>
      </c>
      <c r="E113" s="15">
        <f>SUM('1st Qtr'!E113, '2nd Qtr'!E113, '3rd Qtr'!E113, '4th Qtr'!E113)</f>
        <v>25485.953000000001</v>
      </c>
      <c r="F113" s="15">
        <f t="shared" si="9"/>
        <v>-7229.9530000000013</v>
      </c>
      <c r="G113" s="16">
        <f t="shared" si="10"/>
        <v>-0.28368383948601023</v>
      </c>
      <c r="H113" s="17">
        <f>SUM('1st Qtr'!H113+'2nd Qtr'!H113+'3rd Qtr'!H113+'4th Qtr'!H113)</f>
        <v>24127.140999999996</v>
      </c>
      <c r="I113" s="17">
        <f>SUM('1st Qtr'!I113, '2nd Qtr'!I113, '3rd Qtr'!I113, '4th Qtr'!I113)</f>
        <v>-5871.1409999999996</v>
      </c>
      <c r="J113" s="16">
        <f t="shared" si="11"/>
        <v>-0.2433417618772154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SUM('1st Qtr'!D114, '2nd Qtr'!D114, '3rd Qtr'!D114, '4th Qtr'!D114)</f>
        <v>47764.129999999837</v>
      </c>
      <c r="E114" s="11">
        <f>SUM('1st Qtr'!E114, '2nd Qtr'!E114, '3rd Qtr'!E114, '4th Qtr'!E114)</f>
        <v>66428.286999999997</v>
      </c>
      <c r="F114" s="11">
        <f t="shared" si="9"/>
        <v>-18664.157000000159</v>
      </c>
      <c r="G114" s="12">
        <f t="shared" si="10"/>
        <v>-0.28096700732325314</v>
      </c>
      <c r="H114" s="13">
        <f>SUM('1st Qtr'!H114+'2nd Qtr'!H114+'3rd Qtr'!H114+'4th Qtr'!H114)</f>
        <v>58349.048999999999</v>
      </c>
      <c r="I114" s="13">
        <f>SUM('1st Qtr'!I114, '2nd Qtr'!I114, '3rd Qtr'!I114, '4th Qtr'!I114)</f>
        <v>-10584.91900000016</v>
      </c>
      <c r="J114" s="14">
        <f t="shared" si="11"/>
        <v>-0.1814068811987006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SUM('1st Qtr'!D115, '2nd Qtr'!D115, '3rd Qtr'!D115, '4th Qtr'!D115)</f>
        <v>7625</v>
      </c>
      <c r="E115" s="15">
        <f>SUM('1st Qtr'!E115, '2nd Qtr'!E115, '3rd Qtr'!E115, '4th Qtr'!E115)</f>
        <v>8234.1211000000003</v>
      </c>
      <c r="F115" s="15">
        <f t="shared" si="9"/>
        <v>-609.1211000000003</v>
      </c>
      <c r="G115" s="16">
        <f t="shared" si="10"/>
        <v>-7.397524187493433E-2</v>
      </c>
      <c r="H115" s="17">
        <f>SUM('1st Qtr'!H115+'2nd Qtr'!H115+'3rd Qtr'!H115+'4th Qtr'!H115)</f>
        <v>8725.8500999999997</v>
      </c>
      <c r="I115" s="17">
        <f>SUM('1st Qtr'!I115, '2nd Qtr'!I115, '3rd Qtr'!I115, '4th Qtr'!I115)</f>
        <v>-1100.8501000000001</v>
      </c>
      <c r="J115" s="16">
        <f t="shared" si="11"/>
        <v>-0.12615963916226342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SUM('1st Qtr'!D116, '2nd Qtr'!D116, '3rd Qtr'!D116, '4th Qtr'!D116)</f>
        <v>7077</v>
      </c>
      <c r="E116" s="11">
        <f>SUM('1st Qtr'!E116, '2nd Qtr'!E116, '3rd Qtr'!E116, '4th Qtr'!E116)</f>
        <v>7497.5505000000003</v>
      </c>
      <c r="F116" s="11">
        <f t="shared" si="9"/>
        <v>-420.55050000000028</v>
      </c>
      <c r="G116" s="12">
        <f t="shared" si="10"/>
        <v>-5.6091719555606899E-2</v>
      </c>
      <c r="H116" s="13">
        <f>SUM('1st Qtr'!H116+'2nd Qtr'!H116+'3rd Qtr'!H116+'4th Qtr'!H116)</f>
        <v>8987.4817000000003</v>
      </c>
      <c r="I116" s="13">
        <f>SUM('1st Qtr'!I116, '2nd Qtr'!I116, '3rd Qtr'!I116, '4th Qtr'!I116)</f>
        <v>-1910.4817</v>
      </c>
      <c r="J116" s="14">
        <f t="shared" si="11"/>
        <v>-0.21257141474902808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SUM('1st Qtr'!D117, '2nd Qtr'!D117, '3rd Qtr'!D117, '4th Qtr'!D117)</f>
        <v>8652</v>
      </c>
      <c r="E117" s="15">
        <f>SUM('1st Qtr'!E117, '2nd Qtr'!E117, '3rd Qtr'!E117, '4th Qtr'!E117)</f>
        <v>8354.0743000000002</v>
      </c>
      <c r="F117" s="15">
        <f t="shared" si="9"/>
        <v>297.92569999999978</v>
      </c>
      <c r="G117" s="16">
        <f t="shared" si="10"/>
        <v>3.566232347251206E-2</v>
      </c>
      <c r="H117" s="17">
        <f>SUM('1st Qtr'!H117+'2nd Qtr'!H117+'3rd Qtr'!H117+'4th Qtr'!H117)</f>
        <v>9317</v>
      </c>
      <c r="I117" s="17">
        <f>SUM('1st Qtr'!I117, '2nd Qtr'!I117, '3rd Qtr'!I117, '4th Qtr'!I117)</f>
        <v>-665</v>
      </c>
      <c r="J117" s="16">
        <f t="shared" si="11"/>
        <v>-7.1374906085649892E-2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SUM('1st Qtr'!D118, '2nd Qtr'!D118, '3rd Qtr'!D118, '4th Qtr'!D118)</f>
        <v>80606</v>
      </c>
      <c r="E118" s="11">
        <f>SUM('1st Qtr'!E118, '2nd Qtr'!E118, '3rd Qtr'!E118, '4th Qtr'!E118)</f>
        <v>105262.29699999999</v>
      </c>
      <c r="F118" s="11">
        <f t="shared" si="9"/>
        <v>-24656.296999999991</v>
      </c>
      <c r="G118" s="12">
        <f t="shared" si="10"/>
        <v>-0.23423673720515517</v>
      </c>
      <c r="H118" s="13">
        <f>SUM('1st Qtr'!H118+'2nd Qtr'!H118+'3rd Qtr'!H118+'4th Qtr'!H118)</f>
        <v>25136.180999999997</v>
      </c>
      <c r="I118" s="13">
        <f>SUM('1st Qtr'!I118, '2nd Qtr'!I118, '3rd Qtr'!I118, '4th Qtr'!I118)</f>
        <v>55469.819000000003</v>
      </c>
      <c r="J118" s="14">
        <f t="shared" si="11"/>
        <v>2.206771943597956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SUM('1st Qtr'!D119, '2nd Qtr'!D119, '3rd Qtr'!D119, '4th Qtr'!D119)</f>
        <v>265023</v>
      </c>
      <c r="E119" s="15">
        <f>SUM('1st Qtr'!E119, '2nd Qtr'!E119, '3rd Qtr'!E119, '4th Qtr'!E119)</f>
        <v>0</v>
      </c>
      <c r="F119" s="15">
        <f t="shared" si="9"/>
        <v>265023</v>
      </c>
      <c r="G119" s="16" t="str">
        <f t="shared" si="10"/>
        <v/>
      </c>
      <c r="H119" s="17">
        <f>SUM('1st Qtr'!H119+'2nd Qtr'!H119+'3rd Qtr'!H119+'4th Qtr'!H119)</f>
        <v>260640.196</v>
      </c>
      <c r="I119" s="17">
        <f>SUM('1st Qtr'!I119, '2nd Qtr'!I119, '3rd Qtr'!I119, '4th Qtr'!I119)</f>
        <v>4382.8039999999964</v>
      </c>
      <c r="J119" s="16">
        <f t="shared" si="11"/>
        <v>1.6815533702253648E-2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SUM('1st Qtr'!D120, '2nd Qtr'!D120, '3rd Qtr'!D120, '4th Qtr'!D120)</f>
        <v>162966</v>
      </c>
      <c r="E120" s="11">
        <f>SUM('1st Qtr'!E120, '2nd Qtr'!E120, '3rd Qtr'!E120, '4th Qtr'!E120)</f>
        <v>164256.63099999999</v>
      </c>
      <c r="F120" s="11">
        <f t="shared" si="9"/>
        <v>-1290.6309999999939</v>
      </c>
      <c r="G120" s="12">
        <f t="shared" si="10"/>
        <v>-7.8574057689031387E-3</v>
      </c>
      <c r="H120" s="13">
        <f>SUM('1st Qtr'!H120+'2nd Qtr'!H120+'3rd Qtr'!H120+'4th Qtr'!H120)</f>
        <v>182884.111</v>
      </c>
      <c r="I120" s="13">
        <f>SUM('1st Qtr'!I120, '2nd Qtr'!I120, '3rd Qtr'!I120, '4th Qtr'!I120)</f>
        <v>-19918.111000000001</v>
      </c>
      <c r="J120" s="14">
        <f t="shared" si="11"/>
        <v>-0.10891110709994921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SUM('1st Qtr'!D121, '2nd Qtr'!D121, '3rd Qtr'!D121, '4th Qtr'!D121)</f>
        <v>69281</v>
      </c>
      <c r="E121" s="15">
        <f>SUM('1st Qtr'!E121, '2nd Qtr'!E121, '3rd Qtr'!E121, '4th Qtr'!E121)</f>
        <v>63469.392999999996</v>
      </c>
      <c r="F121" s="15">
        <f t="shared" si="9"/>
        <v>5811.6070000000036</v>
      </c>
      <c r="G121" s="16">
        <f t="shared" si="10"/>
        <v>9.1565504651982474E-2</v>
      </c>
      <c r="H121" s="17">
        <f>SUM('1st Qtr'!H121+'2nd Qtr'!H121+'3rd Qtr'!H121+'4th Qtr'!H121)</f>
        <v>74833.527999999991</v>
      </c>
      <c r="I121" s="17">
        <f>SUM('1st Qtr'!I121, '2nd Qtr'!I121, '3rd Qtr'!I121, '4th Qtr'!I121)</f>
        <v>-5552.5280000000002</v>
      </c>
      <c r="J121" s="16">
        <f t="shared" si="11"/>
        <v>-7.4198399412626931E-2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SUM('1st Qtr'!D122, '2nd Qtr'!D122, '3rd Qtr'!D122, '4th Qtr'!D122)</f>
        <v>70493</v>
      </c>
      <c r="E122" s="11">
        <f>SUM('1st Qtr'!E122, '2nd Qtr'!E122, '3rd Qtr'!E122, '4th Qtr'!E122)</f>
        <v>59392.707999999999</v>
      </c>
      <c r="F122" s="11">
        <f t="shared" si="9"/>
        <v>11100.292000000001</v>
      </c>
      <c r="G122" s="12">
        <f t="shared" si="10"/>
        <v>0.18689654628982402</v>
      </c>
      <c r="H122" s="13">
        <f>SUM('1st Qtr'!H122+'2nd Qtr'!H122+'3rd Qtr'!H122+'4th Qtr'!H122)</f>
        <v>74825.527999999991</v>
      </c>
      <c r="I122" s="13">
        <f>SUM('1st Qtr'!I122, '2nd Qtr'!I122, '3rd Qtr'!I122, '4th Qtr'!I122)</f>
        <v>-4332.5280000000002</v>
      </c>
      <c r="J122" s="14">
        <f t="shared" si="11"/>
        <v>-5.7901736423430258E-2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SUM('1st Qtr'!D123, '2nd Qtr'!D123, '3rd Qtr'!D123, '4th Qtr'!D123)</f>
        <v>855911</v>
      </c>
      <c r="E123" s="15">
        <f>SUM('1st Qtr'!E123, '2nd Qtr'!E123, '3rd Qtr'!E123, '4th Qtr'!E123)</f>
        <v>911089.08000000007</v>
      </c>
      <c r="F123" s="15">
        <f t="shared" si="9"/>
        <v>-55178.080000000075</v>
      </c>
      <c r="G123" s="16">
        <f t="shared" si="10"/>
        <v>-6.0562771754437084E-2</v>
      </c>
      <c r="H123" s="17">
        <f>SUM('1st Qtr'!H123+'2nd Qtr'!H123+'3rd Qtr'!H123+'4th Qtr'!H123)</f>
        <v>964355.6</v>
      </c>
      <c r="I123" s="17">
        <f>SUM('1st Qtr'!I123, '2nd Qtr'!I123, '3rd Qtr'!I123, '4th Qtr'!I123)</f>
        <v>-108444.59999999999</v>
      </c>
      <c r="J123" s="16">
        <f t="shared" si="11"/>
        <v>-0.11245291674564858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SUM('1st Qtr'!D124, '2nd Qtr'!D124, '3rd Qtr'!D124, '4th Qtr'!D124)</f>
        <v>924328</v>
      </c>
      <c r="E124" s="11">
        <f>SUM('1st Qtr'!E124, '2nd Qtr'!E124, '3rd Qtr'!E124, '4th Qtr'!E124)</f>
        <v>841275.11999999988</v>
      </c>
      <c r="F124" s="11">
        <f t="shared" si="9"/>
        <v>83052.880000000121</v>
      </c>
      <c r="G124" s="12">
        <f t="shared" si="10"/>
        <v>9.872261526051089E-2</v>
      </c>
      <c r="H124" s="13">
        <f>SUM('1st Qtr'!H124+'2nd Qtr'!H124+'3rd Qtr'!H124+'4th Qtr'!H124)</f>
        <v>56357.36</v>
      </c>
      <c r="I124" s="13">
        <f>SUM('1st Qtr'!I124, '2nd Qtr'!I124, '3rd Qtr'!I124, '4th Qtr'!I124)</f>
        <v>867970.64</v>
      </c>
      <c r="J124" s="14">
        <f t="shared" si="11"/>
        <v>15.401194094258496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SUM('1st Qtr'!D125, '2nd Qtr'!D125, '3rd Qtr'!D125, '4th Qtr'!D125)</f>
        <v>112058</v>
      </c>
      <c r="E125" s="15">
        <f>SUM('1st Qtr'!E125, '2nd Qtr'!E125, '3rd Qtr'!E125, '4th Qtr'!E125)</f>
        <v>103084.70000000001</v>
      </c>
      <c r="F125" s="15">
        <f t="shared" si="9"/>
        <v>8973.2999999999884</v>
      </c>
      <c r="G125" s="16">
        <f t="shared" si="10"/>
        <v>8.7047835420775224E-2</v>
      </c>
      <c r="H125" s="17">
        <f>SUM('1st Qtr'!H125+'2nd Qtr'!H125+'3rd Qtr'!H125+'4th Qtr'!H125)</f>
        <v>124848</v>
      </c>
      <c r="I125" s="17">
        <f>SUM('1st Qtr'!I125, '2nd Qtr'!I125, '3rd Qtr'!I125, '4th Qtr'!I125)</f>
        <v>-12790</v>
      </c>
      <c r="J125" s="16">
        <f t="shared" si="11"/>
        <v>-0.10244457260028195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SUM('1st Qtr'!D126, '2nd Qtr'!D126, '3rd Qtr'!D126, '4th Qtr'!D126)</f>
        <v>377099</v>
      </c>
      <c r="E126" s="11">
        <f>SUM('1st Qtr'!E126, '2nd Qtr'!E126, '3rd Qtr'!E126, '4th Qtr'!E126)</f>
        <v>420526.45</v>
      </c>
      <c r="F126" s="11">
        <f t="shared" si="9"/>
        <v>-43427.450000000012</v>
      </c>
      <c r="G126" s="12">
        <f t="shared" si="10"/>
        <v>-0.10326924739216763</v>
      </c>
      <c r="H126" s="13">
        <f>SUM('1st Qtr'!H126+'2nd Qtr'!H126+'3rd Qtr'!H126+'4th Qtr'!H126)</f>
        <v>0</v>
      </c>
      <c r="I126" s="13">
        <f>SUM('1st Qtr'!I126, '2nd Qtr'!I126, '3rd Qtr'!I126, '4th Qtr'!I126)</f>
        <v>377099</v>
      </c>
      <c r="J126" s="14" t="str">
        <f t="shared" si="11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SUM('1st Qtr'!D127, '2nd Qtr'!D127, '3rd Qtr'!D127, '4th Qtr'!D127)</f>
        <v>112799.86999999991</v>
      </c>
      <c r="E127" s="15">
        <f>SUM('1st Qtr'!E127, '2nd Qtr'!E127, '3rd Qtr'!E127, '4th Qtr'!E127)</f>
        <v>263277.78999999998</v>
      </c>
      <c r="F127" s="15">
        <f t="shared" si="9"/>
        <v>-150477.92000000007</v>
      </c>
      <c r="G127" s="16">
        <f t="shared" si="10"/>
        <v>-0.57155569408266482</v>
      </c>
      <c r="H127" s="17">
        <f>SUM('1st Qtr'!H127+'2nd Qtr'!H127+'3rd Qtr'!H127+'4th Qtr'!H127)</f>
        <v>177270</v>
      </c>
      <c r="I127" s="17">
        <f>SUM('1st Qtr'!I127, '2nd Qtr'!I127, '3rd Qtr'!I127, '4th Qtr'!I127)</f>
        <v>-64470.130000000099</v>
      </c>
      <c r="J127" s="16">
        <f t="shared" si="11"/>
        <v>-0.36368325153720371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SUM('1st Qtr'!D128, '2nd Qtr'!D128, '3rd Qtr'!D128, '4th Qtr'!D128)</f>
        <v>337389.5</v>
      </c>
      <c r="E128" s="11">
        <f>SUM('1st Qtr'!E128, '2nd Qtr'!E128, '3rd Qtr'!E128, '4th Qtr'!E128)</f>
        <v>312197.52</v>
      </c>
      <c r="F128" s="11">
        <f t="shared" si="9"/>
        <v>25191.979999999981</v>
      </c>
      <c r="G128" s="12">
        <f t="shared" si="10"/>
        <v>8.0692441118686592E-2</v>
      </c>
      <c r="H128" s="13">
        <f>SUM('1st Qtr'!H128+'2nd Qtr'!H128+'3rd Qtr'!H128+'4th Qtr'!H128)</f>
        <v>355057.95</v>
      </c>
      <c r="I128" s="13">
        <f>SUM('1st Qtr'!I128, '2nd Qtr'!I128, '3rd Qtr'!I128, '4th Qtr'!I128)</f>
        <v>-17668.450000000004</v>
      </c>
      <c r="J128" s="14">
        <f t="shared" si="11"/>
        <v>-4.9762158543415244E-2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SUM('1st Qtr'!D129, '2nd Qtr'!D129, '3rd Qtr'!D129, '4th Qtr'!D129)</f>
        <v>767493</v>
      </c>
      <c r="E129" s="15">
        <f>SUM('1st Qtr'!E129, '2nd Qtr'!E129, '3rd Qtr'!E129, '4th Qtr'!E129)</f>
        <v>777062.97699999996</v>
      </c>
      <c r="F129" s="15">
        <f t="shared" si="9"/>
        <v>-9569.9769999999553</v>
      </c>
      <c r="G129" s="16">
        <f t="shared" si="10"/>
        <v>-1.2315574520030126E-2</v>
      </c>
      <c r="H129" s="17">
        <f>SUM('1st Qtr'!H129+'2nd Qtr'!H129+'3rd Qtr'!H129+'4th Qtr'!H129)</f>
        <v>768231.57000000007</v>
      </c>
      <c r="I129" s="17">
        <f>SUM('1st Qtr'!I129, '2nd Qtr'!I129, '3rd Qtr'!I129, '4th Qtr'!I129)</f>
        <v>-738.56999999999971</v>
      </c>
      <c r="J129" s="16">
        <f t="shared" si="11"/>
        <v>-9.6138980594093475E-4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SUM('1st Qtr'!D130, '2nd Qtr'!D130, '3rd Qtr'!D130, '4th Qtr'!D130)</f>
        <v>1575234</v>
      </c>
      <c r="E130" s="11">
        <f>SUM('1st Qtr'!E130, '2nd Qtr'!E130, '3rd Qtr'!E130, '4th Qtr'!E130)</f>
        <v>1652717.6</v>
      </c>
      <c r="F130" s="11">
        <f t="shared" si="9"/>
        <v>-77483.600000000093</v>
      </c>
      <c r="G130" s="12">
        <f t="shared" si="10"/>
        <v>-4.6882540610688778E-2</v>
      </c>
      <c r="H130" s="13">
        <f>SUM('1st Qtr'!H130+'2nd Qtr'!H130+'3rd Qtr'!H130+'4th Qtr'!H130)</f>
        <v>1691595.6</v>
      </c>
      <c r="I130" s="13">
        <f>SUM('1st Qtr'!I130, '2nd Qtr'!I130, '3rd Qtr'!I130, '4th Qtr'!I130)</f>
        <v>-116361.59999999998</v>
      </c>
      <c r="J130" s="14">
        <f t="shared" si="11"/>
        <v>-6.8788072042750628E-2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SUM('1st Qtr'!D131, '2nd Qtr'!D131, '3rd Qtr'!D131, '4th Qtr'!D131)</f>
        <v>85698.289395043597</v>
      </c>
      <c r="E131" s="15">
        <f>SUM('1st Qtr'!E131, '2nd Qtr'!E131, '3rd Qtr'!E131, '4th Qtr'!E131)</f>
        <v>92079.622000000003</v>
      </c>
      <c r="F131" s="15">
        <f t="shared" si="9"/>
        <v>-6381.3326049564057</v>
      </c>
      <c r="G131" s="16">
        <f t="shared" si="10"/>
        <v>-6.9302332767573763E-2</v>
      </c>
      <c r="H131" s="17">
        <f>SUM('1st Qtr'!H131+'2nd Qtr'!H131+'3rd Qtr'!H131+'4th Qtr'!H131)</f>
        <v>85323.459999999992</v>
      </c>
      <c r="I131" s="17">
        <f>SUM('1st Qtr'!I131, '2nd Qtr'!I131, '3rd Qtr'!I131, '4th Qtr'!I131)</f>
        <v>374.82939504359865</v>
      </c>
      <c r="J131" s="16">
        <f t="shared" si="11"/>
        <v>4.3930402616536961E-3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SUM('1st Qtr'!D132, '2nd Qtr'!D132, '3rd Qtr'!D132, '4th Qtr'!D132)</f>
        <v>49691.623310332856</v>
      </c>
      <c r="E132" s="11">
        <f>SUM('1st Qtr'!E132, '2nd Qtr'!E132, '3rd Qtr'!E132, '4th Qtr'!E132)</f>
        <v>62434.478999999999</v>
      </c>
      <c r="F132" s="11">
        <f t="shared" si="9"/>
        <v>-12742.855689667143</v>
      </c>
      <c r="G132" s="12">
        <f t="shared" si="10"/>
        <v>-0.20409965605170091</v>
      </c>
      <c r="H132" s="13">
        <f>SUM('1st Qtr'!H132+'2nd Qtr'!H132+'3rd Qtr'!H132+'4th Qtr'!H132)</f>
        <v>49649.760000000002</v>
      </c>
      <c r="I132" s="13">
        <f>SUM('1st Qtr'!I132, '2nd Qtr'!I132, '3rd Qtr'!I132, '4th Qtr'!I132)</f>
        <v>41.863310332859101</v>
      </c>
      <c r="J132" s="14">
        <f t="shared" si="11"/>
        <v>8.4317246111278478E-4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SUM('1st Qtr'!D133, '2nd Qtr'!D133, '3rd Qtr'!D133, '4th Qtr'!D133)</f>
        <v>41875.220999999998</v>
      </c>
      <c r="E133" s="15">
        <f>SUM('1st Qtr'!E133, '2nd Qtr'!E133, '3rd Qtr'!E133, '4th Qtr'!E133)</f>
        <v>35618.410000000003</v>
      </c>
      <c r="F133" s="15">
        <f t="shared" si="9"/>
        <v>6256.8109999999942</v>
      </c>
      <c r="G133" s="16">
        <f t="shared" si="10"/>
        <v>0.17566227689557151</v>
      </c>
      <c r="H133" s="17">
        <f>SUM('1st Qtr'!H133+'2nd Qtr'!H133+'3rd Qtr'!H133+'4th Qtr'!H133)</f>
        <v>44947.41</v>
      </c>
      <c r="I133" s="17">
        <f>SUM('1st Qtr'!I133, '2nd Qtr'!I133, '3rd Qtr'!I133, '4th Qtr'!I133)</f>
        <v>-3072.1890000000003</v>
      </c>
      <c r="J133" s="16">
        <f t="shared" si="11"/>
        <v>-6.8350745905047694E-2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SUM('1st Qtr'!D134, '2nd Qtr'!D134, '3rd Qtr'!D134, '4th Qtr'!D134)</f>
        <v>172037.875</v>
      </c>
      <c r="E134" s="11">
        <f>SUM('1st Qtr'!E134, '2nd Qtr'!E134, '3rd Qtr'!E134, '4th Qtr'!E134)</f>
        <v>165516.91899999999</v>
      </c>
      <c r="F134" s="11">
        <f t="shared" si="9"/>
        <v>6520.9560000000056</v>
      </c>
      <c r="G134" s="12">
        <f t="shared" si="10"/>
        <v>3.9397519234876562E-2</v>
      </c>
      <c r="H134" s="13">
        <f>SUM('1st Qtr'!H134+'2nd Qtr'!H134+'3rd Qtr'!H134+'4th Qtr'!H134)</f>
        <v>80703.998000000007</v>
      </c>
      <c r="I134" s="13">
        <f>SUM('1st Qtr'!I134, '2nd Qtr'!I134, '3rd Qtr'!I134, '4th Qtr'!I134)</f>
        <v>91333.876999999993</v>
      </c>
      <c r="J134" s="14">
        <f t="shared" si="11"/>
        <v>1.1317144040373315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SUM('1st Qtr'!D135, '2nd Qtr'!D135, '3rd Qtr'!D135, '4th Qtr'!D135)</f>
        <v>161388.75</v>
      </c>
      <c r="E135" s="15">
        <f>SUM('1st Qtr'!E135, '2nd Qtr'!E135, '3rd Qtr'!E135, '4th Qtr'!E135)</f>
        <v>177238.71</v>
      </c>
      <c r="F135" s="15">
        <f t="shared" si="9"/>
        <v>-15849.959999999992</v>
      </c>
      <c r="G135" s="16">
        <f t="shared" si="10"/>
        <v>-8.9427191159312733E-2</v>
      </c>
      <c r="H135" s="17">
        <f>SUM('1st Qtr'!H135+'2nd Qtr'!H135+'3rd Qtr'!H135+'4th Qtr'!H135)</f>
        <v>166539.31</v>
      </c>
      <c r="I135" s="17">
        <f>SUM('1st Qtr'!I135, '2nd Qtr'!I135, '3rd Qtr'!I135, '4th Qtr'!I135)</f>
        <v>-5150.5600000000013</v>
      </c>
      <c r="J135" s="16">
        <f t="shared" si="11"/>
        <v>-3.092699255208876E-2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SUM('1st Qtr'!D136, '2nd Qtr'!D136, '3rd Qtr'!D136, '4th Qtr'!D136)</f>
        <v>149051.503</v>
      </c>
      <c r="E136" s="11">
        <f>SUM('1st Qtr'!E136, '2nd Qtr'!E136, '3rd Qtr'!E136, '4th Qtr'!E136)</f>
        <v>178690.56900000002</v>
      </c>
      <c r="F136" s="11">
        <f t="shared" si="9"/>
        <v>-29639.066000000021</v>
      </c>
      <c r="G136" s="12">
        <f t="shared" si="10"/>
        <v>-0.16586810465637958</v>
      </c>
      <c r="H136" s="13">
        <f>SUM('1st Qtr'!H136+'2nd Qtr'!H136+'3rd Qtr'!H136+'4th Qtr'!H136)</f>
        <v>154551.674</v>
      </c>
      <c r="I136" s="13">
        <f>SUM('1st Qtr'!I136, '2nd Qtr'!I136, '3rd Qtr'!I136, '4th Qtr'!I136)</f>
        <v>-5500.1709999999985</v>
      </c>
      <c r="J136" s="14">
        <f t="shared" si="11"/>
        <v>-3.558790958161992E-2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SUM('1st Qtr'!D137, '2nd Qtr'!D137, '3rd Qtr'!D137, '4th Qtr'!D137)</f>
        <v>74528.759623451202</v>
      </c>
      <c r="E137" s="15">
        <f>SUM('1st Qtr'!E137, '2nd Qtr'!E137, '3rd Qtr'!E137, '4th Qtr'!E137)</f>
        <v>75750.877999999997</v>
      </c>
      <c r="F137" s="15">
        <f t="shared" si="9"/>
        <v>-1222.1183765487949</v>
      </c>
      <c r="G137" s="16">
        <f t="shared" si="10"/>
        <v>-1.6133388929812732E-2</v>
      </c>
      <c r="H137" s="17">
        <f>SUM('1st Qtr'!H137+'2nd Qtr'!H137+'3rd Qtr'!H137+'4th Qtr'!H137)</f>
        <v>75730.705000000002</v>
      </c>
      <c r="I137" s="17">
        <f>SUM('1st Qtr'!I137, '2nd Qtr'!I137, '3rd Qtr'!I137, '4th Qtr'!I137)</f>
        <v>-1201.9453765487992</v>
      </c>
      <c r="J137" s="16">
        <f t="shared" si="11"/>
        <v>-1.5871308428315821E-2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SUM('1st Qtr'!D138, '2nd Qtr'!D138, '3rd Qtr'!D138, '4th Qtr'!D138)</f>
        <v>2006867.4</v>
      </c>
      <c r="E138" s="11">
        <f>SUM('1st Qtr'!E138, '2nd Qtr'!E138, '3rd Qtr'!E138, '4th Qtr'!E138)</f>
        <v>0</v>
      </c>
      <c r="F138" s="11">
        <f t="shared" si="9"/>
        <v>2006867.4</v>
      </c>
      <c r="G138" s="12" t="str">
        <f t="shared" si="10"/>
        <v/>
      </c>
      <c r="H138" s="13">
        <f>SUM('1st Qtr'!H138+'2nd Qtr'!H138+'3rd Qtr'!H138+'4th Qtr'!H138)</f>
        <v>0</v>
      </c>
      <c r="I138" s="13">
        <f>SUM('1st Qtr'!I138, '2nd Qtr'!I138, '3rd Qtr'!I138, '4th Qtr'!I138)</f>
        <v>2006867.4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SUM('1st Qtr'!D139, '2nd Qtr'!D139, '3rd Qtr'!D139, '4th Qtr'!D139)</f>
        <v>3021643.4</v>
      </c>
      <c r="E139" s="15">
        <f>SUM('1st Qtr'!E139, '2nd Qtr'!E139, '3rd Qtr'!E139, '4th Qtr'!E139)</f>
        <v>0</v>
      </c>
      <c r="F139" s="15">
        <f t="shared" si="9"/>
        <v>3021643.4</v>
      </c>
      <c r="G139" s="16" t="str">
        <f t="shared" si="10"/>
        <v/>
      </c>
      <c r="H139" s="17">
        <f>SUM('1st Qtr'!H139+'2nd Qtr'!H139+'3rd Qtr'!H139+'4th Qtr'!H139)</f>
        <v>0</v>
      </c>
      <c r="I139" s="17">
        <f>SUM('1st Qtr'!I139, '2nd Qtr'!I139, '3rd Qtr'!I139, '4th Qtr'!I139)</f>
        <v>3021643.4</v>
      </c>
      <c r="J139" s="16"/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'1st Qtr'!C140</f>
        <v>SOL-10886</v>
      </c>
      <c r="D140" s="67">
        <f>SUM('1st Qtr'!D140, '2nd Qtr'!D140, '3rd Qtr'!D140, '4th Qtr'!D140)</f>
        <v>391080</v>
      </c>
      <c r="E140" s="11">
        <f>SUM('1st Qtr'!E140, '2nd Qtr'!E140, '3rd Qtr'!E140, '4th Qtr'!E140)</f>
        <v>392206</v>
      </c>
      <c r="F140" s="11">
        <f t="shared" si="9"/>
        <v>-1126</v>
      </c>
      <c r="G140" s="12">
        <f t="shared" si="10"/>
        <v>-2.8709402711840208E-3</v>
      </c>
      <c r="H140" s="13">
        <f>SUM('1st Qtr'!H140+'2nd Qtr'!H140+'3rd Qtr'!H140+'4th Qtr'!H140)</f>
        <v>381489</v>
      </c>
      <c r="I140" s="13">
        <f>SUM('1st Qtr'!I140, '2nd Qtr'!I140, '3rd Qtr'!I140, '4th Qtr'!I140)</f>
        <v>9591</v>
      </c>
      <c r="J140" s="14"/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SUM('1st Qtr'!D141, '2nd Qtr'!D141, '3rd Qtr'!D141, '4th Qtr'!D141)</f>
        <v>316580</v>
      </c>
      <c r="E141" s="15">
        <f>SUM('1st Qtr'!E141, '2nd Qtr'!E141, '3rd Qtr'!E141, '4th Qtr'!E141)</f>
        <v>0</v>
      </c>
      <c r="F141" s="15">
        <f t="shared" si="9"/>
        <v>316580</v>
      </c>
      <c r="G141" s="16" t="str">
        <f t="shared" si="10"/>
        <v/>
      </c>
      <c r="H141" s="17">
        <f>SUM('1st Qtr'!H141+'2nd Qtr'!H141+'3rd Qtr'!H141+'4th Qtr'!H141)</f>
        <v>0</v>
      </c>
      <c r="I141" s="17">
        <f>SUM('1st Qtr'!I141, '2nd Qtr'!I141, '3rd Qtr'!I141, '4th Qtr'!I141)</f>
        <v>0</v>
      </c>
      <c r="J141" s="16"/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f>SUM('1st Qtr'!D142, '2nd Qtr'!D142, '3rd Qtr'!D142, '4th Qtr'!D142)</f>
        <v>379098</v>
      </c>
      <c r="E142" s="11">
        <f>SUM('1st Qtr'!E142, '2nd Qtr'!E142, '3rd Qtr'!E142, '4th Qtr'!E142)</f>
        <v>415825.2</v>
      </c>
      <c r="F142" s="11">
        <f t="shared" si="9"/>
        <v>-36727.200000000012</v>
      </c>
      <c r="G142" s="12">
        <f t="shared" si="10"/>
        <v>-8.8323651380435839E-2</v>
      </c>
      <c r="H142" s="13">
        <f>SUM('1st Qtr'!H142+'2nd Qtr'!H142+'3rd Qtr'!H142+'4th Qtr'!H142)</f>
        <v>235847</v>
      </c>
      <c r="I142" s="13">
        <f>SUM('1st Qtr'!I142, '2nd Qtr'!I142, '3rd Qtr'!I142, '4th Qtr'!I142)</f>
        <v>143251</v>
      </c>
      <c r="J142" s="14"/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SUM('1st Qtr'!D143, '2nd Qtr'!D143, '3rd Qtr'!D143, '4th Qtr'!D143)</f>
        <v>881988</v>
      </c>
      <c r="E143" s="15">
        <f>SUM('1st Qtr'!E143, '2nd Qtr'!E143, '3rd Qtr'!E143, '4th Qtr'!E143)</f>
        <v>0</v>
      </c>
      <c r="F143" s="15">
        <f t="shared" si="9"/>
        <v>881988</v>
      </c>
      <c r="G143" s="16" t="str">
        <f t="shared" si="10"/>
        <v/>
      </c>
      <c r="H143" s="17">
        <f>SUM('1st Qtr'!H143+'2nd Qtr'!H143+'3rd Qtr'!H143+'4th Qtr'!H143)</f>
        <v>0</v>
      </c>
      <c r="I143" s="17">
        <f>SUM('1st Qtr'!I143, '2nd Qtr'!I143, '3rd Qtr'!I143, '4th Qtr'!I143)</f>
        <v>881988</v>
      </c>
      <c r="J143" s="16"/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f>SUM('1st Qtr'!D144, '2nd Qtr'!D144, '3rd Qtr'!D144, '4th Qtr'!D144)</f>
        <v>404690</v>
      </c>
      <c r="E144" s="11">
        <f>SUM('1st Qtr'!E144, '2nd Qtr'!E144, '3rd Qtr'!E144, '4th Qtr'!E144)</f>
        <v>0</v>
      </c>
      <c r="F144" s="11">
        <f t="shared" si="9"/>
        <v>404690</v>
      </c>
      <c r="G144" s="12" t="str">
        <f t="shared" si="10"/>
        <v/>
      </c>
      <c r="H144" s="13">
        <f>SUM('1st Qtr'!H144+'2nd Qtr'!H144+'3rd Qtr'!H144+'4th Qtr'!H144)</f>
        <v>0</v>
      </c>
      <c r="I144" s="13">
        <f>SUM('1st Qtr'!I144, '2nd Qtr'!I144, '3rd Qtr'!I144, '4th Qtr'!I144)</f>
        <v>404690</v>
      </c>
      <c r="J144" s="14"/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SUM('1st Qtr'!D145, '2nd Qtr'!D145, '3rd Qtr'!D145, '4th Qtr'!D145)</f>
        <v>334690</v>
      </c>
      <c r="E145" s="15">
        <f>SUM('1st Qtr'!E145, '2nd Qtr'!E145, '3rd Qtr'!E145, '4th Qtr'!E145)</f>
        <v>0</v>
      </c>
      <c r="F145" s="15">
        <f t="shared" si="9"/>
        <v>334690</v>
      </c>
      <c r="G145" s="16" t="str">
        <f t="shared" si="10"/>
        <v/>
      </c>
      <c r="H145" s="17">
        <f>SUM('1st Qtr'!H145+'2nd Qtr'!H145+'3rd Qtr'!H145+'4th Qtr'!H145)</f>
        <v>0</v>
      </c>
      <c r="I145" s="17">
        <f>SUM('1st Qtr'!I145, '2nd Qtr'!I145, '3rd Qtr'!I145, '4th Qtr'!I145)</f>
        <v>334690</v>
      </c>
      <c r="J145" s="16"/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f>SUM('1st Qtr'!D146, '2nd Qtr'!D146, '3rd Qtr'!D146, '4th Qtr'!D146)</f>
        <v>401940</v>
      </c>
      <c r="E146" s="11">
        <f>SUM('1st Qtr'!E146, '2nd Qtr'!E146, '3rd Qtr'!E146, '4th Qtr'!E146)</f>
        <v>401968</v>
      </c>
      <c r="F146" s="11">
        <f t="shared" ref="F146:F160" si="12">IF(AND(ISNUMBER(D146),ISNUMBER(E146)), D146-E146, "")</f>
        <v>-28</v>
      </c>
      <c r="G146" s="12">
        <f t="shared" ref="G146:G160" si="13">IFERROR(F146/E146, "")</f>
        <v>-6.9657286152131518E-5</v>
      </c>
      <c r="H146" s="13">
        <f>SUM('1st Qtr'!H146+'2nd Qtr'!H146+'3rd Qtr'!H146+'4th Qtr'!H146)</f>
        <v>398278</v>
      </c>
      <c r="I146" s="13">
        <f>SUM('1st Qtr'!I146, '2nd Qtr'!I146, '3rd Qtr'!I146, '4th Qtr'!I146)</f>
        <v>3662</v>
      </c>
      <c r="J146" s="14"/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SUM('1st Qtr'!D147, '2nd Qtr'!D147, '3rd Qtr'!D147, '4th Qtr'!D147)</f>
        <v>673297</v>
      </c>
      <c r="E147" s="15">
        <f>SUM('1st Qtr'!E147, '2nd Qtr'!E147, '3rd Qtr'!E147, '4th Qtr'!E147)</f>
        <v>683546</v>
      </c>
      <c r="F147" s="15">
        <f t="shared" si="12"/>
        <v>-10249</v>
      </c>
      <c r="G147" s="16">
        <f t="shared" si="13"/>
        <v>-1.499387020039617E-2</v>
      </c>
      <c r="H147" s="17">
        <f>SUM('1st Qtr'!H147+'2nd Qtr'!H147+'3rd Qtr'!H147+'4th Qtr'!H147)</f>
        <v>1048743</v>
      </c>
      <c r="I147" s="17">
        <f>SUM('1st Qtr'!I147, '2nd Qtr'!I147, '3rd Qtr'!I147, '4th Qtr'!I147)</f>
        <v>-375446</v>
      </c>
      <c r="J147" s="16"/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f>SUM('1st Qtr'!D148, '2nd Qtr'!D148, '3rd Qtr'!D148, '4th Qtr'!D148)</f>
        <v>486584</v>
      </c>
      <c r="E148" s="11">
        <f>SUM('1st Qtr'!E148, '2nd Qtr'!E148, '3rd Qtr'!E148, '4th Qtr'!E148)</f>
        <v>509888</v>
      </c>
      <c r="F148" s="11">
        <f t="shared" si="12"/>
        <v>-23304</v>
      </c>
      <c r="G148" s="12">
        <f t="shared" si="13"/>
        <v>-4.5704154637881259E-2</v>
      </c>
      <c r="H148" s="13">
        <f>SUM('1st Qtr'!H148+'2nd Qtr'!H148+'3rd Qtr'!H148+'4th Qtr'!H148)</f>
        <v>522919</v>
      </c>
      <c r="I148" s="13">
        <f>SUM('1st Qtr'!I148, '2nd Qtr'!I148, '3rd Qtr'!I148, '4th Qtr'!I148)</f>
        <v>-36335</v>
      </c>
      <c r="J148" s="14"/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SUM('1st Qtr'!D149, '2nd Qtr'!D149, '3rd Qtr'!D149, '4th Qtr'!D149)</f>
        <v>304918</v>
      </c>
      <c r="E149" s="15">
        <f>SUM('1st Qtr'!E149, '2nd Qtr'!E149, '3rd Qtr'!E149, '4th Qtr'!E149)</f>
        <v>0</v>
      </c>
      <c r="F149" s="15">
        <f t="shared" si="12"/>
        <v>304918</v>
      </c>
      <c r="G149" s="16" t="str">
        <f t="shared" si="13"/>
        <v/>
      </c>
      <c r="H149" s="17">
        <f>SUM('1st Qtr'!H149+'2nd Qtr'!H149+'3rd Qtr'!H149+'4th Qtr'!H149)</f>
        <v>0</v>
      </c>
      <c r="I149" s="17">
        <f>SUM('1st Qtr'!I149, '2nd Qtr'!I149, '3rd Qtr'!I149, '4th Qtr'!I149)</f>
        <v>304918</v>
      </c>
      <c r="J149" s="16"/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f>SUM('1st Qtr'!D150, '2nd Qtr'!D150, '3rd Qtr'!D150, '4th Qtr'!D150)</f>
        <v>30270</v>
      </c>
      <c r="E150" s="11">
        <f>SUM('1st Qtr'!E150, '2nd Qtr'!E150, '3rd Qtr'!E150, '4th Qtr'!E150)</f>
        <v>0</v>
      </c>
      <c r="F150" s="11">
        <f t="shared" si="12"/>
        <v>30270</v>
      </c>
      <c r="G150" s="12" t="str">
        <f t="shared" si="13"/>
        <v/>
      </c>
      <c r="H150" s="13">
        <f>SUM('1st Qtr'!H150+'2nd Qtr'!H150+'3rd Qtr'!H150+'4th Qtr'!H150)</f>
        <v>0</v>
      </c>
      <c r="I150" s="13">
        <f>SUM('1st Qtr'!I150, '2nd Qtr'!I150, '3rd Qtr'!I150, '4th Qtr'!I150)</f>
        <v>30270</v>
      </c>
      <c r="J150" s="14"/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SUM('1st Qtr'!D151, '2nd Qtr'!D151, '3rd Qtr'!D151, '4th Qtr'!D151)</f>
        <v>358420</v>
      </c>
      <c r="E151" s="15">
        <f>SUM('1st Qtr'!E151, '2nd Qtr'!E151, '3rd Qtr'!E151, '4th Qtr'!E151)</f>
        <v>382168</v>
      </c>
      <c r="F151" s="15">
        <f t="shared" si="12"/>
        <v>-23748</v>
      </c>
      <c r="G151" s="16">
        <f t="shared" si="13"/>
        <v>-6.2140210588013646E-2</v>
      </c>
      <c r="H151" s="17">
        <f>SUM('1st Qtr'!H151+'2nd Qtr'!H151+'3rd Qtr'!H151+'4th Qtr'!H151)</f>
        <v>391479</v>
      </c>
      <c r="I151" s="17">
        <f>SUM('1st Qtr'!I151, '2nd Qtr'!I151, '3rd Qtr'!I151, '4th Qtr'!I151)</f>
        <v>-33059</v>
      </c>
      <c r="J151" s="16"/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f>SUM('1st Qtr'!D152, '2nd Qtr'!D152, '3rd Qtr'!D152, '4th Qtr'!D152)</f>
        <v>359955</v>
      </c>
      <c r="E152" s="11">
        <f>SUM('1st Qtr'!E152, '2nd Qtr'!E152, '3rd Qtr'!E152, '4th Qtr'!E152)</f>
        <v>0</v>
      </c>
      <c r="F152" s="11">
        <f t="shared" si="12"/>
        <v>359955</v>
      </c>
      <c r="G152" s="12" t="str">
        <f t="shared" si="13"/>
        <v/>
      </c>
      <c r="H152" s="13">
        <f>SUM('1st Qtr'!H152+'2nd Qtr'!H152+'3rd Qtr'!H152+'4th Qtr'!H152)</f>
        <v>0</v>
      </c>
      <c r="I152" s="13">
        <f>SUM('1st Qtr'!I152, '2nd Qtr'!I152, '3rd Qtr'!I152, '4th Qtr'!I152)</f>
        <v>359955</v>
      </c>
      <c r="J152" s="14"/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SUM('1st Qtr'!D153, '2nd Qtr'!D153, '3rd Qtr'!D153, '4th Qtr'!D153)</f>
        <v>418107</v>
      </c>
      <c r="E153" s="15">
        <f>SUM('1st Qtr'!E153, '2nd Qtr'!E153, '3rd Qtr'!E153, '4th Qtr'!E153)</f>
        <v>0</v>
      </c>
      <c r="F153" s="15">
        <f t="shared" si="12"/>
        <v>418107</v>
      </c>
      <c r="G153" s="16" t="str">
        <f t="shared" si="13"/>
        <v/>
      </c>
      <c r="H153" s="17">
        <f>SUM('1st Qtr'!H153+'2nd Qtr'!H153+'3rd Qtr'!H153+'4th Qtr'!H153)</f>
        <v>0</v>
      </c>
      <c r="I153" s="17">
        <f>SUM('1st Qtr'!I153, '2nd Qtr'!I153, '3rd Qtr'!I153, '4th Qtr'!I153)</f>
        <v>418107</v>
      </c>
      <c r="J153" s="16"/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f>SUM('1st Qtr'!D154, '2nd Qtr'!D154, '3rd Qtr'!D154, '4th Qtr'!D154)</f>
        <v>941330</v>
      </c>
      <c r="E154" s="11">
        <f>SUM('1st Qtr'!E154, '2nd Qtr'!E154, '3rd Qtr'!E154, '4th Qtr'!E154)</f>
        <v>0</v>
      </c>
      <c r="F154" s="11">
        <f t="shared" si="12"/>
        <v>941330</v>
      </c>
      <c r="G154" s="12" t="str">
        <f t="shared" si="13"/>
        <v/>
      </c>
      <c r="H154" s="13">
        <f>SUM('1st Qtr'!H154+'2nd Qtr'!H154+'3rd Qtr'!H154+'4th Qtr'!H154)</f>
        <v>0</v>
      </c>
      <c r="I154" s="13">
        <f>SUM('1st Qtr'!I154, '2nd Qtr'!I154, '3rd Qtr'!I154, '4th Qtr'!I154)</f>
        <v>941330</v>
      </c>
      <c r="J154" s="14"/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SUM('1st Qtr'!D155, '2nd Qtr'!D155, '3rd Qtr'!D155, '4th Qtr'!D155)</f>
        <v>949970</v>
      </c>
      <c r="E155" s="15">
        <f>SUM('1st Qtr'!E155, '2nd Qtr'!E155, '3rd Qtr'!E155, '4th Qtr'!E155)</f>
        <v>0</v>
      </c>
      <c r="F155" s="15">
        <f t="shared" si="12"/>
        <v>949970</v>
      </c>
      <c r="G155" s="16" t="str">
        <f t="shared" si="13"/>
        <v/>
      </c>
      <c r="H155" s="17">
        <f>SUM('1st Qtr'!H155+'2nd Qtr'!H155+'3rd Qtr'!H155+'4th Qtr'!H155)</f>
        <v>0</v>
      </c>
      <c r="I155" s="17">
        <f>SUM('1st Qtr'!I155, '2nd Qtr'!I155, '3rd Qtr'!I155, '4th Qtr'!I155)</f>
        <v>949970</v>
      </c>
      <c r="J155" s="16"/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f>SUM('1st Qtr'!D156, '2nd Qtr'!D156, '3rd Qtr'!D156, '4th Qtr'!D156)</f>
        <v>450560</v>
      </c>
      <c r="E156" s="11">
        <f>SUM('1st Qtr'!E156, '2nd Qtr'!E156, '3rd Qtr'!E156, '4th Qtr'!E156)</f>
        <v>486732</v>
      </c>
      <c r="F156" s="11">
        <f t="shared" si="12"/>
        <v>-36172</v>
      </c>
      <c r="G156" s="12">
        <f t="shared" si="13"/>
        <v>-7.4316050721957877E-2</v>
      </c>
      <c r="H156" s="13">
        <f>SUM('1st Qtr'!H156+'2nd Qtr'!H156+'3rd Qtr'!H156+'4th Qtr'!H156)</f>
        <v>496313</v>
      </c>
      <c r="I156" s="13">
        <f>SUM('1st Qtr'!I156, '2nd Qtr'!I156, '3rd Qtr'!I156, '4th Qtr'!I156)</f>
        <v>-45753</v>
      </c>
      <c r="J156" s="14"/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SUM('1st Qtr'!D157, '2nd Qtr'!D157, '3rd Qtr'!D157, '4th Qtr'!D157)</f>
        <v>429624</v>
      </c>
      <c r="E157" s="15">
        <f>SUM('1st Qtr'!E157, '2nd Qtr'!E157, '3rd Qtr'!E157, '4th Qtr'!E157)</f>
        <v>0</v>
      </c>
      <c r="F157" s="15">
        <f t="shared" si="12"/>
        <v>429624</v>
      </c>
      <c r="G157" s="16" t="str">
        <f t="shared" si="13"/>
        <v/>
      </c>
      <c r="H157" s="17">
        <f>SUM('1st Qtr'!H157+'2nd Qtr'!H157+'3rd Qtr'!H157+'4th Qtr'!H157)</f>
        <v>0</v>
      </c>
      <c r="I157" s="17">
        <f>SUM('1st Qtr'!I157, '2nd Qtr'!I157, '3rd Qtr'!I157, '4th Qtr'!I157)</f>
        <v>429624</v>
      </c>
      <c r="J157" s="16"/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f>SUM('1st Qtr'!D158, '2nd Qtr'!D158, '3rd Qtr'!D158, '4th Qtr'!D158)</f>
        <v>17824</v>
      </c>
      <c r="E158" s="11">
        <f>SUM('1st Qtr'!E158, '2nd Qtr'!E158, '3rd Qtr'!E158, '4th Qtr'!E158)</f>
        <v>0</v>
      </c>
      <c r="F158" s="11">
        <f t="shared" si="12"/>
        <v>17824</v>
      </c>
      <c r="G158" s="12" t="str">
        <f t="shared" si="13"/>
        <v/>
      </c>
      <c r="H158" s="13">
        <f>SUM('1st Qtr'!H158+'2nd Qtr'!H158+'3rd Qtr'!H158+'4th Qtr'!H158)</f>
        <v>0</v>
      </c>
      <c r="I158" s="13">
        <f>SUM('1st Qtr'!I158, '2nd Qtr'!I158, '3rd Qtr'!I158, '4th Qtr'!I158)</f>
        <v>17824</v>
      </c>
      <c r="J158" s="14"/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SUM('1st Qtr'!D159, '2nd Qtr'!D159, '3rd Qtr'!D159, '4th Qtr'!D159)</f>
        <v>523420.72888888902</v>
      </c>
      <c r="E159" s="15">
        <f>SUM('1st Qtr'!E159, '2nd Qtr'!E159, '3rd Qtr'!E159, '4th Qtr'!E159)</f>
        <v>553634.1</v>
      </c>
      <c r="F159" s="15">
        <f t="shared" si="12"/>
        <v>-30213.371111110959</v>
      </c>
      <c r="G159" s="16">
        <f t="shared" si="13"/>
        <v>-5.4572814628128866E-2</v>
      </c>
      <c r="H159" s="17">
        <f>SUM('1st Qtr'!H159+'2nd Qtr'!H159+'3rd Qtr'!H159+'4th Qtr'!H159)</f>
        <v>491101</v>
      </c>
      <c r="I159" s="17">
        <f>SUM('1st Qtr'!I159, '2nd Qtr'!I159, '3rd Qtr'!I159, '4th Qtr'!I159)</f>
        <v>32319.728888889018</v>
      </c>
      <c r="J159" s="16"/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f>SUM('1st Qtr'!D160, '2nd Qtr'!D160, '3rd Qtr'!D160, '4th Qtr'!D160)</f>
        <v>410647</v>
      </c>
      <c r="E160" s="11">
        <f>SUM('1st Qtr'!E160, '2nd Qtr'!E160, '3rd Qtr'!E160, '4th Qtr'!E160)</f>
        <v>0</v>
      </c>
      <c r="F160" s="11">
        <f t="shared" si="12"/>
        <v>410647</v>
      </c>
      <c r="G160" s="12" t="str">
        <f t="shared" si="13"/>
        <v/>
      </c>
      <c r="H160" s="13">
        <f>SUM('1st Qtr'!H160+'2nd Qtr'!H160+'3rd Qtr'!H160+'4th Qtr'!H160)</f>
        <v>0</v>
      </c>
      <c r="I160" s="13">
        <f>SUM('1st Qtr'!I160, '2nd Qtr'!I160, '3rd Qtr'!I160, '4th Qtr'!I160)</f>
        <v>410647</v>
      </c>
      <c r="J160" s="14"/>
      <c r="K160" s="38"/>
      <c r="L160" s="38"/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72" priority="7" stopIfTrue="1" operator="lessThanOrEqual">
      <formula>-0.1</formula>
    </cfRule>
    <cfRule type="expression" dxfId="71" priority="8">
      <formula>AND(ISNUMBER(G2), G2&gt;=0.1)</formula>
    </cfRule>
  </conditionalFormatting>
  <conditionalFormatting sqref="G4:G160">
    <cfRule type="cellIs" dxfId="70" priority="3" stopIfTrue="1" operator="lessThanOrEqual">
      <formula>-0.1</formula>
    </cfRule>
    <cfRule type="expression" dxfId="69" priority="4">
      <formula>AND(ISNUMBER(G4), G4&gt;=0.1)</formula>
    </cfRule>
  </conditionalFormatting>
  <conditionalFormatting sqref="J4:J160">
    <cfRule type="cellIs" dxfId="68" priority="1" stopIfTrue="1" operator="lessThanOrEqual">
      <formula>-0.1</formula>
    </cfRule>
    <cfRule type="expression" dxfId="67" priority="2">
      <formula>AND(ISNUMBER(J4), J4&gt;=0.1)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L342"/>
  <sheetViews>
    <sheetView zoomScale="90" zoomScaleNormal="90" workbookViewId="0">
      <pane xSplit="2" ySplit="3" topLeftCell="C140" activePane="bottomRight" state="frozen"/>
      <selection pane="bottomRight" activeCell="M155" sqref="M15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11</v>
      </c>
      <c r="F1" s="97"/>
      <c r="G1" s="97"/>
      <c r="H1" s="95" t="s">
        <v>12</v>
      </c>
      <c r="I1" s="95"/>
      <c r="J1" s="95"/>
    </row>
    <row r="2" spans="1:12" ht="19.5" customHeight="1">
      <c r="A2" s="98" t="s">
        <v>2</v>
      </c>
      <c r="B2" s="98"/>
      <c r="C2" s="72"/>
      <c r="D2" s="6">
        <f>SUM(D4:D138)</f>
        <v>43587556.653466031</v>
      </c>
      <c r="E2" s="6">
        <f>SUM(E4:E138)</f>
        <v>18064132.094899997</v>
      </c>
      <c r="F2" s="6">
        <f>D2-E2</f>
        <v>25523424.558566034</v>
      </c>
      <c r="G2" s="7">
        <f>IFERROR(F2/E2, 0)</f>
        <v>1.412933897099435</v>
      </c>
      <c r="H2" s="6">
        <f>SUM(H4:H138)</f>
        <v>34188211.908799991</v>
      </c>
      <c r="I2" s="8">
        <f>D2-H2</f>
        <v>9399344.7446660399</v>
      </c>
      <c r="J2" s="7">
        <f>IFERROR(I2/H2, 0)</f>
        <v>0.27492940460705007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SUM(Jan!D4, Feb!D4, Mar!D4)</f>
        <v>32706.293583600811</v>
      </c>
      <c r="E4" s="11">
        <f>SUM(Jan!E4, Feb!E4, Mar!E4)</f>
        <v>24705.273000000001</v>
      </c>
      <c r="F4" s="11">
        <f>IF(AND(ISNUMBER(D4),ISNUMBER(E4)), D4-E4, "")</f>
        <v>8001.0205836008099</v>
      </c>
      <c r="G4" s="12">
        <f>IFERROR(F4/E4, "")</f>
        <v>0.32385882089223661</v>
      </c>
      <c r="H4" s="13">
        <f>SUM(Jan!H4, Feb!H4, Mar!H4)</f>
        <v>33317.317000000003</v>
      </c>
      <c r="I4" s="13">
        <f>SUM(Jan!I4, Feb!I4, Mar!I4)</f>
        <v>-611.02341639919177</v>
      </c>
      <c r="J4" s="14">
        <f>IFERROR(I4/H4, "")</f>
        <v>-1.833951444527156E-2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SUM(Jan!D5, Feb!D5, Mar!D5)</f>
        <v>107842</v>
      </c>
      <c r="E5" s="15">
        <f>SUM(Jan!E5, Feb!E5, Mar!E5)</f>
        <v>112159.54000000001</v>
      </c>
      <c r="F5" s="15">
        <f t="shared" ref="F5:F15" si="0">IF(AND(ISNUMBER(D5),ISNUMBER(E5)), D5-E5, "")</f>
        <v>-4317.5400000000081</v>
      </c>
      <c r="G5" s="16">
        <f>IFERROR(F5/E5, "")</f>
        <v>-3.8494630060002102E-2</v>
      </c>
      <c r="H5" s="17">
        <f>SUM(Jan!H5, Feb!H5, Mar!H5)</f>
        <v>138999.08000000002</v>
      </c>
      <c r="I5" s="17">
        <f>SUM(Jan!I5, Feb!I5, Mar!I5)</f>
        <v>-31157.08</v>
      </c>
      <c r="J5" s="16">
        <f>IFERROR(I5/H5, "")</f>
        <v>-0.22415313827976413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SUM(Jan!D6, Feb!D6, Mar!D6)</f>
        <v>52126.87</v>
      </c>
      <c r="E6" s="11">
        <f>SUM(Jan!E6, Feb!E6, Mar!E6)</f>
        <v>0</v>
      </c>
      <c r="F6" s="11">
        <f t="shared" si="0"/>
        <v>52126.87</v>
      </c>
      <c r="G6" s="12" t="str">
        <f t="shared" ref="G6:G15" si="1">IFERROR(F6/E6, "")</f>
        <v/>
      </c>
      <c r="H6" s="13">
        <f>SUM(Jan!H6, Feb!H6, Mar!H6)</f>
        <v>6126</v>
      </c>
      <c r="I6" s="13">
        <f>SUM(Jan!I6, Feb!I6, Mar!I6)</f>
        <v>46000.87</v>
      </c>
      <c r="J6" s="14">
        <f t="shared" ref="J6:J15" si="2">IFERROR(I6/H6, "")</f>
        <v>7.5091201436500166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SUM(Jan!D7, Feb!D7, Mar!D7)</f>
        <v>31148.242026522901</v>
      </c>
      <c r="E7" s="15">
        <f>SUM(Jan!E7, Feb!E7, Mar!E7)</f>
        <v>41886.080000000002</v>
      </c>
      <c r="F7" s="15">
        <f t="shared" si="0"/>
        <v>-10737.837973477101</v>
      </c>
      <c r="G7" s="16">
        <f t="shared" si="1"/>
        <v>-0.25635814985496613</v>
      </c>
      <c r="H7" s="17">
        <f>SUM(Jan!H7, Feb!H7, Mar!H7)</f>
        <v>36692.61</v>
      </c>
      <c r="I7" s="17">
        <f>SUM(Jan!I7, Feb!I7, Mar!I7)</f>
        <v>-5544.3679734771013</v>
      </c>
      <c r="J7" s="16">
        <f t="shared" si="2"/>
        <v>-0.1511031233122174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SUM(Jan!D8, Feb!D8, Mar!D8)</f>
        <v>72830.78</v>
      </c>
      <c r="E8" s="11">
        <f>SUM(Jan!E8, Feb!E8, Mar!E8)</f>
        <v>84541.3</v>
      </c>
      <c r="F8" s="11">
        <f t="shared" si="0"/>
        <v>-11710.520000000004</v>
      </c>
      <c r="G8" s="12">
        <f t="shared" si="1"/>
        <v>-0.1385183336428468</v>
      </c>
      <c r="H8" s="13">
        <f>SUM(Jan!H8, Feb!H8, Mar!H8)</f>
        <v>84122</v>
      </c>
      <c r="I8" s="13">
        <f>SUM(Jan!I8, Feb!I8, Mar!I8)</f>
        <v>-11291.220000000005</v>
      </c>
      <c r="J8" s="14">
        <f t="shared" si="2"/>
        <v>-0.13422434083830634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SUM(Jan!D9, Feb!D9, Mar!D9)</f>
        <v>74341.832213312213</v>
      </c>
      <c r="E9" s="15">
        <f>SUM(Jan!E9, Feb!E9, Mar!E9)</f>
        <v>57907.94</v>
      </c>
      <c r="F9" s="15">
        <f t="shared" si="0"/>
        <v>16433.892213312211</v>
      </c>
      <c r="G9" s="16">
        <f t="shared" si="1"/>
        <v>0.28379341785102719</v>
      </c>
      <c r="H9" s="17">
        <f>SUM(Jan!H9, Feb!H9, Mar!H9)</f>
        <v>80684.31</v>
      </c>
      <c r="I9" s="17">
        <f>SUM(Jan!I9, Feb!I9, Mar!I9)</f>
        <v>-6342.4777866877957</v>
      </c>
      <c r="J9" s="16">
        <f t="shared" si="2"/>
        <v>-7.8608564498944045E-2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SUM(Jan!D10, Feb!D10, Mar!D10)</f>
        <v>32098.550975245729</v>
      </c>
      <c r="E10" s="11">
        <f>SUM(Jan!E10, Feb!E10, Mar!E10)</f>
        <v>24254.970999999998</v>
      </c>
      <c r="F10" s="11">
        <f t="shared" si="0"/>
        <v>7843.5799752457315</v>
      </c>
      <c r="G10" s="12">
        <f t="shared" si="1"/>
        <v>0.3233803072881733</v>
      </c>
      <c r="H10" s="13">
        <f>SUM(Jan!H10, Feb!H10, Mar!H10)</f>
        <v>34500</v>
      </c>
      <c r="I10" s="13">
        <f>SUM(Jan!I10, Feb!I10, Mar!I10)</f>
        <v>-2401.4490247542708</v>
      </c>
      <c r="J10" s="14">
        <f t="shared" si="2"/>
        <v>-6.9607218108819438E-2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SUM(Jan!D11, Feb!D11, Mar!D11)</f>
        <v>14150.597000000002</v>
      </c>
      <c r="E11" s="15">
        <f>SUM(Jan!E11, Feb!E11, Mar!E11)</f>
        <v>0</v>
      </c>
      <c r="F11" s="15">
        <f t="shared" si="0"/>
        <v>14150.597000000002</v>
      </c>
      <c r="G11" s="16" t="str">
        <f t="shared" si="1"/>
        <v/>
      </c>
      <c r="H11" s="17">
        <f>SUM(Jan!H11, Feb!H11, Mar!H11)</f>
        <v>0</v>
      </c>
      <c r="I11" s="17">
        <f>SUM(Jan!I11, Feb!I11, Mar!I11)</f>
        <v>14150.597000000002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SUM(Jan!D12, Feb!D12, Mar!D12)</f>
        <v>197992</v>
      </c>
      <c r="E12" s="11">
        <f>SUM(Jan!E12, Feb!E12, Mar!E12)</f>
        <v>251330.95</v>
      </c>
      <c r="F12" s="11">
        <f t="shared" si="0"/>
        <v>-53338.950000000012</v>
      </c>
      <c r="G12" s="12">
        <f t="shared" si="1"/>
        <v>-0.2122259514795134</v>
      </c>
      <c r="H12" s="13">
        <f>SUM(Jan!H12, Feb!H12, Mar!H12)</f>
        <v>220637</v>
      </c>
      <c r="I12" s="13">
        <f>SUM(Jan!I12, Feb!I12, Mar!I12)</f>
        <v>-22645</v>
      </c>
      <c r="J12" s="14">
        <f t="shared" si="2"/>
        <v>-0.10263464423464785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SUM(Jan!D13, Feb!D13, Mar!D13)</f>
        <v>192799.109375</v>
      </c>
      <c r="E13" s="15">
        <f>SUM(Jan!E13, Feb!E13, Mar!E13)</f>
        <v>278939.84999999998</v>
      </c>
      <c r="F13" s="15">
        <f t="shared" si="0"/>
        <v>-86140.740624999977</v>
      </c>
      <c r="G13" s="16">
        <f t="shared" si="1"/>
        <v>-0.30881475208723308</v>
      </c>
      <c r="H13" s="17">
        <f>SUM(Jan!H13, Feb!H13, Mar!H13)</f>
        <v>217404</v>
      </c>
      <c r="I13" s="17">
        <f>SUM(Jan!I13, Feb!I13, Mar!I13)</f>
        <v>-24604.890625</v>
      </c>
      <c r="J13" s="16">
        <f t="shared" si="2"/>
        <v>-0.11317588740317565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SUM(Jan!D14, Feb!D14, Mar!D14)</f>
        <v>41860.5</v>
      </c>
      <c r="E14" s="11">
        <f>SUM(Jan!E14, Feb!E14, Mar!E14)</f>
        <v>0</v>
      </c>
      <c r="F14" s="11">
        <f t="shared" si="0"/>
        <v>41860.5</v>
      </c>
      <c r="G14" s="12" t="str">
        <f t="shared" si="1"/>
        <v/>
      </c>
      <c r="H14" s="13">
        <f>SUM(Jan!H14, Feb!H14, Mar!H14)</f>
        <v>49246</v>
      </c>
      <c r="I14" s="13">
        <f>SUM(Jan!I14, Feb!I14, Mar!I14)</f>
        <v>-7385.5</v>
      </c>
      <c r="J14" s="14">
        <f t="shared" si="2"/>
        <v>-0.14997157129513056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SUM(Jan!D15, Feb!D15, Mar!D15)</f>
        <v>37604.478668042902</v>
      </c>
      <c r="E15" s="15">
        <f>SUM(Jan!E15, Feb!E15, Mar!E15)</f>
        <v>0</v>
      </c>
      <c r="F15" s="15">
        <f t="shared" si="0"/>
        <v>37604.478668042902</v>
      </c>
      <c r="G15" s="16" t="str">
        <f t="shared" si="1"/>
        <v/>
      </c>
      <c r="H15" s="17">
        <f>SUM(Jan!H15, Feb!H15, Mar!H15)</f>
        <v>37905</v>
      </c>
      <c r="I15" s="17">
        <f>SUM(Jan!I15, Feb!I15, Mar!I15)</f>
        <v>-300.52133195709939</v>
      </c>
      <c r="J15" s="16">
        <f t="shared" si="2"/>
        <v>-7.9282767961245063E-3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SUM(Jan!D16, Feb!D16, Mar!D16)</f>
        <v>25234.533825875409</v>
      </c>
      <c r="E16" s="11">
        <f>SUM(Jan!E16, Feb!E16, Mar!E16)</f>
        <v>0</v>
      </c>
      <c r="F16" s="11">
        <f t="shared" ref="F16:F17" si="3">IF(AND(ISNUMBER(D16),ISNUMBER(E16)), D16-E16, "")</f>
        <v>25234.533825875409</v>
      </c>
      <c r="G16" s="12" t="str">
        <f t="shared" ref="G16:G17" si="4">IFERROR(F16/E16, "")</f>
        <v/>
      </c>
      <c r="H16" s="13">
        <f>SUM(Jan!H16, Feb!H16, Mar!H16)</f>
        <v>30379</v>
      </c>
      <c r="I16" s="13">
        <f>SUM(Jan!I16, Feb!I16, Mar!I16)</f>
        <v>-5144.4661741245909</v>
      </c>
      <c r="J16" s="14">
        <f t="shared" ref="J16:J17" si="5">IFERROR(I16/H16, "")</f>
        <v>-0.16934284124311502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SUM(Jan!D17, Feb!D17, Mar!D17)</f>
        <v>180959.88</v>
      </c>
      <c r="E17" s="15">
        <f>SUM(Jan!E17, Feb!E17, Mar!E17)</f>
        <v>0</v>
      </c>
      <c r="F17" s="15">
        <f t="shared" si="3"/>
        <v>180959.88</v>
      </c>
      <c r="G17" s="16" t="str">
        <f t="shared" si="4"/>
        <v/>
      </c>
      <c r="H17" s="17">
        <f>SUM(Jan!H17, Feb!H17, Mar!H17)</f>
        <v>97347</v>
      </c>
      <c r="I17" s="17">
        <f>SUM(Jan!I17, Feb!I17, Mar!I17)</f>
        <v>83612.88</v>
      </c>
      <c r="J17" s="16">
        <f t="shared" si="5"/>
        <v>0.85891583715985087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SUM(Jan!D18, Feb!D18, Mar!D18)</f>
        <v>81953</v>
      </c>
      <c r="E18" s="11">
        <f>SUM(Jan!E18, Feb!E18, Mar!E18)</f>
        <v>0</v>
      </c>
      <c r="F18" s="11">
        <f t="shared" ref="F18:F81" si="6">IF(AND(ISNUMBER(D18),ISNUMBER(E18)), D18-E18, "")</f>
        <v>81953</v>
      </c>
      <c r="G18" s="12" t="str">
        <f t="shared" ref="G18:G81" si="7">IFERROR(F18/E18, "")</f>
        <v/>
      </c>
      <c r="H18" s="13">
        <f>SUM(Jan!H18, Feb!H18, Mar!H18)</f>
        <v>28910</v>
      </c>
      <c r="I18" s="13">
        <f>SUM(Jan!I18, Feb!I18, Mar!I18)</f>
        <v>53043</v>
      </c>
      <c r="J18" s="14">
        <f t="shared" ref="J18:J81" si="8">IFERROR(I18/H18, "")</f>
        <v>1.834763057765479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SUM(Jan!D19, Feb!D19, Mar!D19)</f>
        <v>178095</v>
      </c>
      <c r="E19" s="15">
        <f>SUM(Jan!E19, Feb!E19, Mar!E19)</f>
        <v>227228.27000000002</v>
      </c>
      <c r="F19" s="15">
        <f t="shared" si="6"/>
        <v>-49133.270000000019</v>
      </c>
      <c r="G19" s="16">
        <f t="shared" si="7"/>
        <v>-0.21622868492551572</v>
      </c>
      <c r="H19" s="17">
        <f>SUM(Jan!H19, Feb!H19, Mar!H19)</f>
        <v>209313.56</v>
      </c>
      <c r="I19" s="17">
        <f>SUM(Jan!I19, Feb!I19, Mar!I19)</f>
        <v>-31218.560000000005</v>
      </c>
      <c r="J19" s="16">
        <f t="shared" si="8"/>
        <v>-0.14914733665606761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SUM(Jan!D20, Feb!D20, Mar!D20)</f>
        <v>40969.125</v>
      </c>
      <c r="E20" s="11">
        <f>SUM(Jan!E20, Feb!E20, Mar!E20)</f>
        <v>66169.3</v>
      </c>
      <c r="F20" s="11">
        <f t="shared" si="6"/>
        <v>-25200.175000000003</v>
      </c>
      <c r="G20" s="12">
        <f t="shared" si="7"/>
        <v>-0.38084391099800063</v>
      </c>
      <c r="H20" s="13">
        <f>SUM(Jan!H20, Feb!H20, Mar!H20)</f>
        <v>55906.33</v>
      </c>
      <c r="I20" s="13">
        <f>SUM(Jan!I20, Feb!I20, Mar!I20)</f>
        <v>-14937.205</v>
      </c>
      <c r="J20" s="14">
        <f t="shared" si="8"/>
        <v>-0.26718271437241542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SUM(Jan!D21, Feb!D21, Mar!D21)</f>
        <v>50357.9375</v>
      </c>
      <c r="E21" s="15">
        <f>SUM(Jan!E21, Feb!E21, Mar!E21)</f>
        <v>66333.48000000001</v>
      </c>
      <c r="F21" s="15">
        <f t="shared" si="6"/>
        <v>-15975.54250000001</v>
      </c>
      <c r="G21" s="16">
        <f t="shared" si="7"/>
        <v>-0.24083679161714427</v>
      </c>
      <c r="H21" s="17">
        <f>SUM(Jan!H21, Feb!H21, Mar!H21)</f>
        <v>75233.47</v>
      </c>
      <c r="I21" s="17">
        <f>SUM(Jan!I21, Feb!I21, Mar!I21)</f>
        <v>-24875.532500000001</v>
      </c>
      <c r="J21" s="16">
        <f t="shared" si="8"/>
        <v>-0.33064449240477678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SUM(Jan!D22, Feb!D22, Mar!D22)</f>
        <v>36306.770433593752</v>
      </c>
      <c r="E22" s="11">
        <f>SUM(Jan!E22, Feb!E22, Mar!E22)</f>
        <v>0</v>
      </c>
      <c r="F22" s="11">
        <f t="shared" si="6"/>
        <v>36306.770433593752</v>
      </c>
      <c r="G22" s="12" t="str">
        <f t="shared" si="7"/>
        <v/>
      </c>
      <c r="H22" s="13">
        <f>SUM(Jan!H22, Feb!H22, Mar!H22)</f>
        <v>0</v>
      </c>
      <c r="I22" s="13">
        <f>SUM(Jan!I22, Feb!I22, Mar!I22)</f>
        <v>36306.770433593752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SUM(Jan!D23, Feb!D23, Mar!D23)</f>
        <v>45532.078125</v>
      </c>
      <c r="E23" s="15">
        <f>SUM(Jan!E23, Feb!E23, Mar!E23)</f>
        <v>56574.479999999996</v>
      </c>
      <c r="F23" s="15">
        <f t="shared" si="6"/>
        <v>-11042.401874999996</v>
      </c>
      <c r="G23" s="16">
        <f t="shared" si="7"/>
        <v>-0.1951834444611775</v>
      </c>
      <c r="H23" s="17">
        <f>SUM(Jan!H23, Feb!H23, Mar!H23)</f>
        <v>75760</v>
      </c>
      <c r="I23" s="17">
        <f>SUM(Jan!I23, Feb!I23, Mar!I23)</f>
        <v>-30227.921875</v>
      </c>
      <c r="J23" s="16">
        <f t="shared" si="8"/>
        <v>-0.3989958008843717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SUM(Jan!D24, Feb!D24, Mar!D24)</f>
        <v>37866.125</v>
      </c>
      <c r="E24" s="11">
        <f>SUM(Jan!E24, Feb!E24, Mar!E24)</f>
        <v>45918.432000000001</v>
      </c>
      <c r="F24" s="11">
        <f t="shared" si="6"/>
        <v>-8052.3070000000007</v>
      </c>
      <c r="G24" s="12">
        <f t="shared" si="7"/>
        <v>-0.17536110553600787</v>
      </c>
      <c r="H24" s="13">
        <f>SUM(Jan!H24, Feb!H24, Mar!H24)</f>
        <v>50048.6</v>
      </c>
      <c r="I24" s="13">
        <f>SUM(Jan!I24, Feb!I24, Mar!I24)</f>
        <v>-12182.474999999999</v>
      </c>
      <c r="J24" s="14">
        <f t="shared" si="8"/>
        <v>-0.24341290265861582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SUM(Jan!D25, Feb!D25, Mar!D25)</f>
        <v>9953.9140625</v>
      </c>
      <c r="E25" s="15">
        <f>SUM(Jan!E25, Feb!E25, Mar!E25)</f>
        <v>23326.995000000003</v>
      </c>
      <c r="F25" s="15">
        <f t="shared" si="6"/>
        <v>-13373.080937500003</v>
      </c>
      <c r="G25" s="16">
        <f t="shared" si="7"/>
        <v>-0.57328776970629958</v>
      </c>
      <c r="H25" s="17">
        <f>SUM(Jan!H25, Feb!H25, Mar!H25)</f>
        <v>17068.538999999997</v>
      </c>
      <c r="I25" s="17">
        <f>SUM(Jan!I25, Feb!I25, Mar!I25)</f>
        <v>-7114.6249374999998</v>
      </c>
      <c r="J25" s="16">
        <f t="shared" si="8"/>
        <v>-0.41682682609800409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SUM(Jan!D26, Feb!D26, Mar!D26)</f>
        <v>14706.625</v>
      </c>
      <c r="E26" s="11">
        <f>SUM(Jan!E26, Feb!E26, Mar!E26)</f>
        <v>16998.915000000001</v>
      </c>
      <c r="F26" s="11">
        <f t="shared" si="6"/>
        <v>-2292.2900000000009</v>
      </c>
      <c r="G26" s="12">
        <f t="shared" si="7"/>
        <v>-0.13484919478684379</v>
      </c>
      <c r="H26" s="13">
        <f>SUM(Jan!H26, Feb!H26, Mar!H26)</f>
        <v>3412</v>
      </c>
      <c r="I26" s="13">
        <f>SUM(Jan!I26, Feb!I26, Mar!I26)</f>
        <v>11294.625</v>
      </c>
      <c r="J26" s="14">
        <f t="shared" si="8"/>
        <v>3.3102652403282531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SUM(Jan!D27, Feb!D27, Mar!D27)</f>
        <v>52641.125</v>
      </c>
      <c r="E27" s="15">
        <f>SUM(Jan!E27, Feb!E27, Mar!E27)</f>
        <v>64986.3</v>
      </c>
      <c r="F27" s="15">
        <f t="shared" si="6"/>
        <v>-12345.175000000003</v>
      </c>
      <c r="G27" s="16">
        <f t="shared" si="7"/>
        <v>-0.18996580817803141</v>
      </c>
      <c r="H27" s="17">
        <f>SUM(Jan!H27, Feb!H27, Mar!H27)</f>
        <v>74326.09</v>
      </c>
      <c r="I27" s="17">
        <f>SUM(Jan!I27, Feb!I27, Mar!I27)</f>
        <v>-21684.965</v>
      </c>
      <c r="J27" s="16">
        <f t="shared" si="8"/>
        <v>-0.29175441624872239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SUM(Jan!D28, Feb!D28, Mar!D28)</f>
        <v>26688.33244390411</v>
      </c>
      <c r="E28" s="11">
        <f>SUM(Jan!E28, Feb!E28, Mar!E28)</f>
        <v>0</v>
      </c>
      <c r="F28" s="11">
        <f t="shared" si="6"/>
        <v>26688.33244390411</v>
      </c>
      <c r="G28" s="12" t="str">
        <f t="shared" si="7"/>
        <v/>
      </c>
      <c r="H28" s="13">
        <f>SUM(Jan!H28, Feb!H28, Mar!H28)</f>
        <v>0</v>
      </c>
      <c r="I28" s="13">
        <f>SUM(Jan!I28, Feb!I28, Mar!I28)</f>
        <v>26688.33244390411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SUM(Jan!D29, Feb!D29, Mar!D29)</f>
        <v>30209.09375</v>
      </c>
      <c r="E29" s="15">
        <f>SUM(Jan!E29, Feb!E29, Mar!E29)</f>
        <v>40211.756999999998</v>
      </c>
      <c r="F29" s="15">
        <f t="shared" si="6"/>
        <v>-10002.663249999998</v>
      </c>
      <c r="G29" s="16">
        <f t="shared" si="7"/>
        <v>-0.24874971889440192</v>
      </c>
      <c r="H29" s="17">
        <f>SUM(Jan!H29, Feb!H29, Mar!H29)</f>
        <v>40870.197</v>
      </c>
      <c r="I29" s="17">
        <f>SUM(Jan!I29, Feb!I29, Mar!I29)</f>
        <v>-10661.10325</v>
      </c>
      <c r="J29" s="16">
        <f t="shared" si="8"/>
        <v>-0.26085274925393681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SUM(Jan!D30, Feb!D30, Mar!D30)</f>
        <v>31591.375</v>
      </c>
      <c r="E30" s="11">
        <f>SUM(Jan!E30, Feb!E30, Mar!E30)</f>
        <v>0</v>
      </c>
      <c r="F30" s="11">
        <f t="shared" si="6"/>
        <v>31591.375</v>
      </c>
      <c r="G30" s="12" t="str">
        <f t="shared" si="7"/>
        <v/>
      </c>
      <c r="H30" s="13">
        <f>SUM(Jan!H30, Feb!H30, Mar!H30)</f>
        <v>45748.119999999995</v>
      </c>
      <c r="I30" s="13">
        <f>SUM(Jan!I30, Feb!I30, Mar!I30)</f>
        <v>-14156.744999999999</v>
      </c>
      <c r="J30" s="14">
        <f t="shared" si="8"/>
        <v>-0.30944976536740748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SUM(Jan!D31, Feb!D31, Mar!D31)</f>
        <v>35721.53125</v>
      </c>
      <c r="E31" s="15">
        <f>SUM(Jan!E31, Feb!E31, Mar!E31)</f>
        <v>0</v>
      </c>
      <c r="F31" s="15">
        <f t="shared" si="6"/>
        <v>35721.53125</v>
      </c>
      <c r="G31" s="16" t="str">
        <f t="shared" si="7"/>
        <v/>
      </c>
      <c r="H31" s="17">
        <f>SUM(Jan!H31, Feb!H31, Mar!H31)</f>
        <v>46484</v>
      </c>
      <c r="I31" s="17">
        <f>SUM(Jan!I31, Feb!I31, Mar!I31)</f>
        <v>-10762.46875</v>
      </c>
      <c r="J31" s="16">
        <f t="shared" si="8"/>
        <v>-0.2315306073057396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SUM(Jan!D32, Feb!D32, Mar!D32)</f>
        <v>27908.328125</v>
      </c>
      <c r="E32" s="11">
        <f>SUM(Jan!E32, Feb!E32, Mar!E32)</f>
        <v>28572.155999999999</v>
      </c>
      <c r="F32" s="11">
        <f t="shared" si="6"/>
        <v>-663.82787499999904</v>
      </c>
      <c r="G32" s="12">
        <f t="shared" si="7"/>
        <v>-2.3233384103040704E-2</v>
      </c>
      <c r="H32" s="13">
        <f>SUM(Jan!H32, Feb!H32, Mar!H32)</f>
        <v>0</v>
      </c>
      <c r="I32" s="13">
        <f>SUM(Jan!I32, Feb!I32, Mar!I32)</f>
        <v>27908.328125</v>
      </c>
      <c r="J32" s="14" t="str">
        <f t="shared" si="8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SUM(Jan!D33, Feb!D33, Mar!D33)</f>
        <v>28084.875</v>
      </c>
      <c r="E33" s="15">
        <f>SUM(Jan!E33, Feb!E33, Mar!E33)</f>
        <v>37588.038</v>
      </c>
      <c r="F33" s="15">
        <f t="shared" si="6"/>
        <v>-9503.1630000000005</v>
      </c>
      <c r="G33" s="16">
        <f t="shared" si="7"/>
        <v>-0.25282412984684116</v>
      </c>
      <c r="H33" s="17">
        <f>SUM(Jan!H33, Feb!H33, Mar!H33)</f>
        <v>0</v>
      </c>
      <c r="I33" s="17">
        <f>SUM(Jan!I33, Feb!I33, Mar!I33)</f>
        <v>28084.875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SUM(Jan!D34, Feb!D34, Mar!D34)</f>
        <v>29236.9375</v>
      </c>
      <c r="E34" s="11">
        <f>SUM(Jan!E34, Feb!E34, Mar!E34)</f>
        <v>39988.258999999998</v>
      </c>
      <c r="F34" s="11">
        <f t="shared" si="6"/>
        <v>-10751.321499999998</v>
      </c>
      <c r="G34" s="12">
        <f t="shared" si="7"/>
        <v>-0.26886195520540163</v>
      </c>
      <c r="H34" s="13">
        <f>SUM(Jan!H34, Feb!H34, Mar!H34)</f>
        <v>47334</v>
      </c>
      <c r="I34" s="13">
        <f>SUM(Jan!I34, Feb!I34, Mar!I34)</f>
        <v>-18097.0625</v>
      </c>
      <c r="J34" s="14">
        <f t="shared" si="8"/>
        <v>-0.38232692145181052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SUM(Jan!D35, Feb!D35, Mar!D35)</f>
        <v>32100.457187499953</v>
      </c>
      <c r="E35" s="15">
        <f>SUM(Jan!E35, Feb!E35, Mar!E35)</f>
        <v>21912.313999999998</v>
      </c>
      <c r="F35" s="15">
        <f t="shared" si="6"/>
        <v>10188.143187499954</v>
      </c>
      <c r="G35" s="16">
        <f t="shared" si="7"/>
        <v>0.46495058383610033</v>
      </c>
      <c r="H35" s="17">
        <f>SUM(Jan!H35, Feb!H35, Mar!H35)</f>
        <v>18513</v>
      </c>
      <c r="I35" s="17">
        <f>SUM(Jan!I35, Feb!I35, Mar!I35)</f>
        <v>13587.457187499951</v>
      </c>
      <c r="J35" s="16">
        <f t="shared" si="8"/>
        <v>0.7339414026629909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SUM(Jan!D36, Feb!D36, Mar!D36)</f>
        <v>30178.953693359381</v>
      </c>
      <c r="E36" s="11">
        <f>SUM(Jan!E36, Feb!E36, Mar!E36)</f>
        <v>17957.29</v>
      </c>
      <c r="F36" s="11">
        <f t="shared" si="6"/>
        <v>12221.66369335938</v>
      </c>
      <c r="G36" s="12">
        <f t="shared" si="7"/>
        <v>0.68059621988392338</v>
      </c>
      <c r="H36" s="13">
        <f>SUM(Jan!H36, Feb!H36, Mar!H36)</f>
        <v>20544.73</v>
      </c>
      <c r="I36" s="13">
        <f>SUM(Jan!I36, Feb!I36, Mar!I36)</f>
        <v>9634.2236933593813</v>
      </c>
      <c r="J36" s="14">
        <f t="shared" si="8"/>
        <v>0.46893892951425409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SUM(Jan!D37, Feb!D37, Mar!D37)</f>
        <v>122157.6875</v>
      </c>
      <c r="E37" s="15">
        <f>SUM(Jan!E37, Feb!E37, Mar!E37)</f>
        <v>0</v>
      </c>
      <c r="F37" s="15">
        <f t="shared" si="6"/>
        <v>122157.6875</v>
      </c>
      <c r="G37" s="16" t="str">
        <f t="shared" si="7"/>
        <v/>
      </c>
      <c r="H37" s="17">
        <f>SUM(Jan!H37, Feb!H37, Mar!H37)</f>
        <v>0</v>
      </c>
      <c r="I37" s="17">
        <f>SUM(Jan!I37, Feb!I37, Mar!I37)</f>
        <v>122157.6875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SUM(Jan!D38, Feb!D38, Mar!D38)</f>
        <v>31129.9375</v>
      </c>
      <c r="E38" s="11">
        <f>SUM(Jan!E38, Feb!E38, Mar!E38)</f>
        <v>30547.896999999997</v>
      </c>
      <c r="F38" s="11">
        <f t="shared" si="6"/>
        <v>582.04050000000279</v>
      </c>
      <c r="G38" s="12">
        <f t="shared" si="7"/>
        <v>1.9053373788709672E-2</v>
      </c>
      <c r="H38" s="13">
        <f>SUM(Jan!H38, Feb!H38, Mar!H38)</f>
        <v>0</v>
      </c>
      <c r="I38" s="13">
        <f>SUM(Jan!I38, Feb!I38, Mar!I38)</f>
        <v>31129.9375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SUM(Jan!D39, Feb!D39, Mar!D39)</f>
        <v>30203.25</v>
      </c>
      <c r="E39" s="15">
        <f>SUM(Jan!E39, Feb!E39, Mar!E39)</f>
        <v>38940.919000000002</v>
      </c>
      <c r="F39" s="15">
        <f t="shared" si="6"/>
        <v>-8737.6690000000017</v>
      </c>
      <c r="G39" s="16">
        <f t="shared" si="7"/>
        <v>-0.22438271166635798</v>
      </c>
      <c r="H39" s="17">
        <f>SUM(Jan!H39, Feb!H39, Mar!H39)</f>
        <v>45439.76</v>
      </c>
      <c r="I39" s="17">
        <f>SUM(Jan!I39, Feb!I39, Mar!I39)</f>
        <v>-15236.51</v>
      </c>
      <c r="J39" s="16">
        <f t="shared" si="8"/>
        <v>-0.33531229038181537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SUM(Jan!D40, Feb!D40, Mar!D40)</f>
        <v>35003.65625</v>
      </c>
      <c r="E40" s="11">
        <f>SUM(Jan!E40, Feb!E40, Mar!E40)</f>
        <v>45998.633999999998</v>
      </c>
      <c r="F40" s="11">
        <f t="shared" si="6"/>
        <v>-10994.977749999998</v>
      </c>
      <c r="G40" s="12">
        <f t="shared" si="7"/>
        <v>-0.23902835353762894</v>
      </c>
      <c r="H40" s="13">
        <f>SUM(Jan!H40, Feb!H40, Mar!H40)</f>
        <v>58656.05</v>
      </c>
      <c r="I40" s="13">
        <f>SUM(Jan!I40, Feb!I40, Mar!I40)</f>
        <v>-23652.393750000003</v>
      </c>
      <c r="J40" s="14">
        <f t="shared" si="8"/>
        <v>-0.40323877502832189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SUM(Jan!D41, Feb!D41, Mar!D41)</f>
        <v>50821.90625</v>
      </c>
      <c r="E41" s="15">
        <f>SUM(Jan!E41, Feb!E41, Mar!E41)</f>
        <v>0</v>
      </c>
      <c r="F41" s="15">
        <f t="shared" si="6"/>
        <v>50821.90625</v>
      </c>
      <c r="G41" s="16" t="str">
        <f t="shared" si="7"/>
        <v/>
      </c>
      <c r="H41" s="17">
        <f>SUM(Jan!H41, Feb!H41, Mar!H41)</f>
        <v>0</v>
      </c>
      <c r="I41" s="17">
        <f>SUM(Jan!I41, Feb!I41, Mar!I41)</f>
        <v>50821.90625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SUM(Jan!D42, Feb!D42, Mar!D42)</f>
        <v>36408.467514648401</v>
      </c>
      <c r="E42" s="11">
        <f>SUM(Jan!E42, Feb!E42, Mar!E42)</f>
        <v>34228.5</v>
      </c>
      <c r="F42" s="11">
        <f t="shared" si="6"/>
        <v>2179.9675146484005</v>
      </c>
      <c r="G42" s="12">
        <f t="shared" si="7"/>
        <v>6.3688666305809508E-2</v>
      </c>
      <c r="H42" s="13">
        <f>SUM(Jan!H42, Feb!H42, Mar!H42)</f>
        <v>43728.47</v>
      </c>
      <c r="I42" s="13">
        <f>SUM(Jan!I42, Feb!I42, Mar!I42)</f>
        <v>-7320.0024853515988</v>
      </c>
      <c r="J42" s="14">
        <f t="shared" si="8"/>
        <v>-0.16739672084002935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SUM(Jan!D43, Feb!D43, Mar!D43)</f>
        <v>27839.046874999978</v>
      </c>
      <c r="E43" s="15">
        <f>SUM(Jan!E43, Feb!E43, Mar!E43)</f>
        <v>0</v>
      </c>
      <c r="F43" s="15">
        <f t="shared" si="6"/>
        <v>27839.046874999978</v>
      </c>
      <c r="G43" s="16" t="str">
        <f t="shared" si="7"/>
        <v/>
      </c>
      <c r="H43" s="17">
        <f>SUM(Jan!H43, Feb!H43, Mar!H43)</f>
        <v>0</v>
      </c>
      <c r="I43" s="17">
        <f>SUM(Jan!I43, Feb!I43, Mar!I43)</f>
        <v>27839.046874999978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SUM(Jan!D44, Feb!D44, Mar!D44)</f>
        <v>7677.2293285768392</v>
      </c>
      <c r="E44" s="11">
        <f>SUM(Jan!E44, Feb!E44, Mar!E44)</f>
        <v>0</v>
      </c>
      <c r="F44" s="11">
        <f t="shared" si="6"/>
        <v>7677.2293285768392</v>
      </c>
      <c r="G44" s="12" t="str">
        <f t="shared" si="7"/>
        <v/>
      </c>
      <c r="H44" s="13">
        <f>SUM(Jan!H44, Feb!H44, Mar!H44)</f>
        <v>0</v>
      </c>
      <c r="I44" s="13">
        <f>SUM(Jan!I44, Feb!I44, Mar!I44)</f>
        <v>7677.2293285768392</v>
      </c>
      <c r="J44" s="14" t="str">
        <f t="shared" si="8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SUM(Jan!D45, Feb!D45, Mar!D45)</f>
        <v>45368.6328125</v>
      </c>
      <c r="E45" s="15">
        <f>SUM(Jan!E45, Feb!E45, Mar!E45)</f>
        <v>50600.998999999996</v>
      </c>
      <c r="F45" s="15">
        <f t="shared" si="6"/>
        <v>-5232.3661874999962</v>
      </c>
      <c r="G45" s="16">
        <f t="shared" si="7"/>
        <v>-0.10340440487153221</v>
      </c>
      <c r="H45" s="17">
        <f>SUM(Jan!H45, Feb!H45, Mar!H45)</f>
        <v>58372</v>
      </c>
      <c r="I45" s="17">
        <f>SUM(Jan!I45, Feb!I45, Mar!I45)</f>
        <v>-13003.3671875</v>
      </c>
      <c r="J45" s="16">
        <f t="shared" si="8"/>
        <v>-0.22276720323956692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SUM(Jan!D46, Feb!D46, Mar!D46)</f>
        <v>28670.125</v>
      </c>
      <c r="E46" s="11">
        <f>SUM(Jan!E46, Feb!E46, Mar!E46)</f>
        <v>33187.002999999997</v>
      </c>
      <c r="F46" s="11">
        <f t="shared" si="6"/>
        <v>-4516.877999999997</v>
      </c>
      <c r="G46" s="12">
        <f t="shared" si="7"/>
        <v>-0.13610382353597875</v>
      </c>
      <c r="H46" s="13">
        <f>SUM(Jan!H46, Feb!H46, Mar!H46)</f>
        <v>40523.796999999999</v>
      </c>
      <c r="I46" s="13">
        <f>SUM(Jan!I46, Feb!I46, Mar!I46)</f>
        <v>-11853.671999999999</v>
      </c>
      <c r="J46" s="14">
        <f t="shared" si="8"/>
        <v>-0.29251138534723187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SUM(Jan!D47, Feb!D47, Mar!D47)</f>
        <v>22867.90625</v>
      </c>
      <c r="E47" s="15">
        <f>SUM(Jan!E47, Feb!E47, Mar!E47)</f>
        <v>29754.728000000003</v>
      </c>
      <c r="F47" s="15">
        <f t="shared" si="6"/>
        <v>-6886.8217500000028</v>
      </c>
      <c r="G47" s="16">
        <f t="shared" si="7"/>
        <v>-0.23145302319685135</v>
      </c>
      <c r="H47" s="17">
        <f>SUM(Jan!H47, Feb!H47, Mar!H47)</f>
        <v>17105.143</v>
      </c>
      <c r="I47" s="17">
        <f>SUM(Jan!I47, Feb!I47, Mar!I47)</f>
        <v>5762.7632500000009</v>
      </c>
      <c r="J47" s="16">
        <f t="shared" si="8"/>
        <v>0.33690237199420087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SUM(Jan!D48, Feb!D48, Mar!D48)</f>
        <v>38308.5625</v>
      </c>
      <c r="E48" s="11">
        <f>SUM(Jan!E48, Feb!E48, Mar!E48)</f>
        <v>47791.360000000001</v>
      </c>
      <c r="F48" s="11">
        <f t="shared" si="6"/>
        <v>-9482.7975000000006</v>
      </c>
      <c r="G48" s="12">
        <f t="shared" si="7"/>
        <v>-0.19842075011048024</v>
      </c>
      <c r="H48" s="13">
        <f>SUM(Jan!H48, Feb!H48, Mar!H48)</f>
        <v>30045</v>
      </c>
      <c r="I48" s="13">
        <f>SUM(Jan!I48, Feb!I48, Mar!I48)</f>
        <v>8263.5625</v>
      </c>
      <c r="J48" s="14">
        <f t="shared" si="8"/>
        <v>0.27503952404726245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SUM(Jan!D49, Feb!D49, Mar!D49)</f>
        <v>24363.46875</v>
      </c>
      <c r="E49" s="15">
        <f>SUM(Jan!E49, Feb!E49, Mar!E49)</f>
        <v>29540.1</v>
      </c>
      <c r="F49" s="15">
        <f t="shared" si="6"/>
        <v>-5176.6312499999985</v>
      </c>
      <c r="G49" s="16">
        <f t="shared" si="7"/>
        <v>-0.17524081672032252</v>
      </c>
      <c r="H49" s="17">
        <f>SUM(Jan!H49, Feb!H49, Mar!H49)</f>
        <v>32988.256000000001</v>
      </c>
      <c r="I49" s="17">
        <f>SUM(Jan!I49, Feb!I49, Mar!I49)</f>
        <v>-8624.7872499999976</v>
      </c>
      <c r="J49" s="16">
        <f t="shared" si="8"/>
        <v>-0.26145023398630096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SUM(Jan!D50, Feb!D50, Mar!D50)</f>
        <v>32582.09375</v>
      </c>
      <c r="E50" s="11">
        <f>SUM(Jan!E50, Feb!E50, Mar!E50)</f>
        <v>42996.013999999996</v>
      </c>
      <c r="F50" s="11">
        <f t="shared" si="6"/>
        <v>-10413.920249999996</v>
      </c>
      <c r="G50" s="12">
        <f t="shared" si="7"/>
        <v>-0.24220664385307897</v>
      </c>
      <c r="H50" s="13">
        <f>SUM(Jan!H50, Feb!H50, Mar!H50)</f>
        <v>45957.75</v>
      </c>
      <c r="I50" s="13">
        <f>SUM(Jan!I50, Feb!I50, Mar!I50)</f>
        <v>-13375.656250000002</v>
      </c>
      <c r="J50" s="14">
        <f t="shared" si="8"/>
        <v>-0.29104245203474932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SUM(Jan!D51, Feb!D51, Mar!D51)</f>
        <v>19681.21875</v>
      </c>
      <c r="E51" s="15">
        <f>SUM(Jan!E51, Feb!E51, Mar!E51)</f>
        <v>23615.078000000001</v>
      </c>
      <c r="F51" s="15">
        <f t="shared" si="6"/>
        <v>-3933.8592500000013</v>
      </c>
      <c r="G51" s="16">
        <f t="shared" si="7"/>
        <v>-0.16658252198023657</v>
      </c>
      <c r="H51" s="17">
        <f>SUM(Jan!H51, Feb!H51, Mar!H51)</f>
        <v>25496</v>
      </c>
      <c r="I51" s="17">
        <f>SUM(Jan!I51, Feb!I51, Mar!I51)</f>
        <v>-5814.78125</v>
      </c>
      <c r="J51" s="16">
        <f t="shared" si="8"/>
        <v>-0.2280664123784123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SUM(Jan!D52, Feb!D52, Mar!D52)</f>
        <v>32711.75</v>
      </c>
      <c r="E52" s="11">
        <f>SUM(Jan!E52, Feb!E52, Mar!E52)</f>
        <v>45849.404999999999</v>
      </c>
      <c r="F52" s="11">
        <f t="shared" si="6"/>
        <v>-13137.654999999999</v>
      </c>
      <c r="G52" s="12">
        <f t="shared" si="7"/>
        <v>-0.28653926915736416</v>
      </c>
      <c r="H52" s="13">
        <f>SUM(Jan!H52, Feb!H52, Mar!H52)</f>
        <v>48279.4</v>
      </c>
      <c r="I52" s="13">
        <f>SUM(Jan!I52, Feb!I52, Mar!I52)</f>
        <v>-15567.650000000001</v>
      </c>
      <c r="J52" s="14">
        <f t="shared" si="8"/>
        <v>-0.322449119085987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SUM(Jan!D53, Feb!D53, Mar!D53)</f>
        <v>54298.9375</v>
      </c>
      <c r="E53" s="15">
        <f>SUM(Jan!E53, Feb!E53, Mar!E53)</f>
        <v>70533.75</v>
      </c>
      <c r="F53" s="15">
        <f t="shared" si="6"/>
        <v>-16234.8125</v>
      </c>
      <c r="G53" s="16">
        <f t="shared" si="7"/>
        <v>-0.23017084020061318</v>
      </c>
      <c r="H53" s="17">
        <f>SUM(Jan!H53, Feb!H53, Mar!H53)</f>
        <v>69010.259999999995</v>
      </c>
      <c r="I53" s="17">
        <f>SUM(Jan!I53, Feb!I53, Mar!I53)</f>
        <v>-14711.322499999998</v>
      </c>
      <c r="J53" s="16">
        <f t="shared" si="8"/>
        <v>-0.21317587413813541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SUM(Jan!D54, Feb!D54, Mar!D54)</f>
        <v>43295.25</v>
      </c>
      <c r="E54" s="11">
        <f>SUM(Jan!E54, Feb!E54, Mar!E54)</f>
        <v>50082.418000000005</v>
      </c>
      <c r="F54" s="11">
        <f t="shared" si="6"/>
        <v>-6787.1680000000051</v>
      </c>
      <c r="G54" s="12">
        <f t="shared" si="7"/>
        <v>-0.1355199742951709</v>
      </c>
      <c r="H54" s="13">
        <f>SUM(Jan!H54, Feb!H54, Mar!H54)</f>
        <v>56292</v>
      </c>
      <c r="I54" s="13">
        <f>SUM(Jan!I54, Feb!I54, Mar!I54)</f>
        <v>-12996.75</v>
      </c>
      <c r="J54" s="14">
        <f t="shared" si="8"/>
        <v>-0.23088094222980174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SUM(Jan!D55, Feb!D55, Mar!D55)</f>
        <v>19268.65625</v>
      </c>
      <c r="E55" s="15">
        <f>SUM(Jan!E55, Feb!E55, Mar!E55)</f>
        <v>23192.663</v>
      </c>
      <c r="F55" s="15">
        <f t="shared" si="6"/>
        <v>-3924.0067500000005</v>
      </c>
      <c r="G55" s="16">
        <f t="shared" si="7"/>
        <v>-0.16919172886701284</v>
      </c>
      <c r="H55" s="17">
        <f>SUM(Jan!H55, Feb!H55, Mar!H55)</f>
        <v>28987.453000000001</v>
      </c>
      <c r="I55" s="17">
        <f>SUM(Jan!I55, Feb!I55, Mar!I55)</f>
        <v>-9718.7967500000013</v>
      </c>
      <c r="J55" s="16">
        <f t="shared" si="8"/>
        <v>-0.33527598130128927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SUM(Jan!D56, Feb!D56, Mar!D56)</f>
        <v>72790.125</v>
      </c>
      <c r="E56" s="11">
        <f>SUM(Jan!E56, Feb!E56, Mar!E56)</f>
        <v>97152.989999999991</v>
      </c>
      <c r="F56" s="11">
        <f t="shared" si="6"/>
        <v>-24362.864999999991</v>
      </c>
      <c r="G56" s="12">
        <f t="shared" si="7"/>
        <v>-0.2507680412100543</v>
      </c>
      <c r="H56" s="13">
        <f>SUM(Jan!H56, Feb!H56, Mar!H56)</f>
        <v>0</v>
      </c>
      <c r="I56" s="13">
        <f>SUM(Jan!I56, Feb!I56, Mar!I56)</f>
        <v>72790.125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SUM(Jan!D57, Feb!D57, Mar!D57)</f>
        <v>80429.75</v>
      </c>
      <c r="E57" s="15">
        <f>SUM(Jan!E57, Feb!E57, Mar!E57)</f>
        <v>98573.890000000014</v>
      </c>
      <c r="F57" s="15">
        <f t="shared" si="6"/>
        <v>-18144.140000000014</v>
      </c>
      <c r="G57" s="16">
        <f t="shared" si="7"/>
        <v>-0.18406638918277457</v>
      </c>
      <c r="H57" s="17">
        <f>SUM(Jan!H57, Feb!H57, Mar!H57)</f>
        <v>85134.39</v>
      </c>
      <c r="I57" s="17">
        <f>SUM(Jan!I57, Feb!I57, Mar!I57)</f>
        <v>-4704.6399999999994</v>
      </c>
      <c r="J57" s="16">
        <f t="shared" si="8"/>
        <v>-5.5261334461901936E-2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SUM(Jan!D58, Feb!D58, Mar!D58)</f>
        <v>0</v>
      </c>
      <c r="E58" s="11">
        <f>SUM(Jan!E58, Feb!E58, Mar!E58)</f>
        <v>0</v>
      </c>
      <c r="F58" s="11">
        <f t="shared" si="6"/>
        <v>0</v>
      </c>
      <c r="G58" s="12" t="str">
        <f t="shared" si="7"/>
        <v/>
      </c>
      <c r="H58" s="13">
        <f>SUM(Jan!H58, Feb!H58, Mar!H58)</f>
        <v>0</v>
      </c>
      <c r="I58" s="13">
        <f>SUM(Jan!I58, Feb!I58, Mar!I58)</f>
        <v>0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SUM(Jan!D59, Feb!D59, Mar!D59)</f>
        <v>89719.654335743195</v>
      </c>
      <c r="E59" s="15">
        <f>SUM(Jan!E59, Feb!E59, Mar!E59)</f>
        <v>79631.06</v>
      </c>
      <c r="F59" s="15">
        <f t="shared" si="6"/>
        <v>10088.594335743197</v>
      </c>
      <c r="G59" s="16">
        <f t="shared" si="7"/>
        <v>0.12669169964261681</v>
      </c>
      <c r="H59" s="17">
        <f>SUM(Jan!H59, Feb!H59, Mar!H59)</f>
        <v>103271.24</v>
      </c>
      <c r="I59" s="17">
        <f>SUM(Jan!I59, Feb!I59, Mar!I59)</f>
        <v>-13551.585664256803</v>
      </c>
      <c r="J59" s="16">
        <f t="shared" si="8"/>
        <v>-0.13122322985815607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SUM(Jan!D60, Feb!D60, Mar!D60)</f>
        <v>68728.660312500098</v>
      </c>
      <c r="E60" s="11">
        <f>SUM(Jan!E60, Feb!E60, Mar!E60)</f>
        <v>0</v>
      </c>
      <c r="F60" s="11">
        <f t="shared" si="6"/>
        <v>68728.660312500098</v>
      </c>
      <c r="G60" s="12" t="str">
        <f t="shared" si="7"/>
        <v/>
      </c>
      <c r="H60" s="13">
        <f>SUM(Jan!H60, Feb!H60, Mar!H60)</f>
        <v>91074.73</v>
      </c>
      <c r="I60" s="13">
        <f>SUM(Jan!I60, Feb!I60, Mar!I60)</f>
        <v>-22346.069687499898</v>
      </c>
      <c r="J60" s="14">
        <f t="shared" si="8"/>
        <v>-0.2453597138031581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SUM(Jan!D61, Feb!D61, Mar!D61)</f>
        <v>103122.625</v>
      </c>
      <c r="E61" s="15">
        <f>SUM(Jan!E61, Feb!E61, Mar!E61)</f>
        <v>126246.48000000001</v>
      </c>
      <c r="F61" s="15">
        <f t="shared" si="6"/>
        <v>-23123.85500000001</v>
      </c>
      <c r="G61" s="16">
        <f t="shared" si="7"/>
        <v>-0.18316435436457323</v>
      </c>
      <c r="H61" s="17">
        <f>SUM(Jan!H61, Feb!H61, Mar!H61)</f>
        <v>142146.81</v>
      </c>
      <c r="I61" s="17">
        <f>SUM(Jan!I61, Feb!I61, Mar!I61)</f>
        <v>-39024.184999999998</v>
      </c>
      <c r="J61" s="16">
        <f t="shared" si="8"/>
        <v>-0.27453437048640061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SUM(Jan!D62, Feb!D62, Mar!D62)</f>
        <v>9674.5999999999894</v>
      </c>
      <c r="E62" s="11">
        <f>SUM(Jan!E62, Feb!E62, Mar!E62)</f>
        <v>0</v>
      </c>
      <c r="F62" s="11">
        <f t="shared" si="6"/>
        <v>9674.5999999999894</v>
      </c>
      <c r="G62" s="12" t="str">
        <f t="shared" si="7"/>
        <v/>
      </c>
      <c r="H62" s="13">
        <f>SUM(Jan!H62, Feb!H62, Mar!H62)</f>
        <v>11837.222000000002</v>
      </c>
      <c r="I62" s="13">
        <f>SUM(Jan!I62, Feb!I62, Mar!I62)</f>
        <v>-2162.6220000000108</v>
      </c>
      <c r="J62" s="14">
        <f t="shared" si="8"/>
        <v>-0.18269675097755289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SUM(Jan!D63, Feb!D63, Mar!D63)</f>
        <v>38634.876000000004</v>
      </c>
      <c r="E63" s="15">
        <f>SUM(Jan!E63, Feb!E63, Mar!E63)</f>
        <v>0</v>
      </c>
      <c r="F63" s="15">
        <f t="shared" si="6"/>
        <v>38634.876000000004</v>
      </c>
      <c r="G63" s="16" t="str">
        <f t="shared" si="7"/>
        <v/>
      </c>
      <c r="H63" s="17">
        <f>SUM(Jan!H63, Feb!H63, Mar!H63)</f>
        <v>0</v>
      </c>
      <c r="I63" s="17">
        <f>SUM(Jan!I63, Feb!I63, Mar!I63)</f>
        <v>38634.876000000004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SUM(Jan!D64, Feb!D64, Mar!D64)</f>
        <v>30231.200000000037</v>
      </c>
      <c r="E64" s="11">
        <f>SUM(Jan!E64, Feb!E64, Mar!E64)</f>
        <v>41023.509999999995</v>
      </c>
      <c r="F64" s="11">
        <f t="shared" si="6"/>
        <v>-10792.309999999958</v>
      </c>
      <c r="G64" s="12">
        <f t="shared" si="7"/>
        <v>-0.26307622141547515</v>
      </c>
      <c r="H64" s="13">
        <f>SUM(Jan!H64, Feb!H64, Mar!H64)</f>
        <v>53576.53</v>
      </c>
      <c r="I64" s="13">
        <f>SUM(Jan!I64, Feb!I64, Mar!I64)</f>
        <v>-23345.329999999962</v>
      </c>
      <c r="J64" s="14">
        <f t="shared" si="8"/>
        <v>-0.43573799945610442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SUM(Jan!D65, Feb!D65, Mar!D65)</f>
        <v>30633.6484375</v>
      </c>
      <c r="E65" s="15">
        <f>SUM(Jan!E65, Feb!E65, Mar!E65)</f>
        <v>27558.474000000002</v>
      </c>
      <c r="F65" s="15">
        <f t="shared" si="6"/>
        <v>3075.174437499998</v>
      </c>
      <c r="G65" s="16">
        <f t="shared" si="7"/>
        <v>0.11158725397857652</v>
      </c>
      <c r="H65" s="17">
        <f>SUM(Jan!H65, Feb!H65, Mar!H65)</f>
        <v>35328</v>
      </c>
      <c r="I65" s="17">
        <f>SUM(Jan!I65, Feb!I65, Mar!I65)</f>
        <v>-4694.3515624999991</v>
      </c>
      <c r="J65" s="16">
        <f t="shared" si="8"/>
        <v>-0.13287906370301175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SUM(Jan!D66, Feb!D66, Mar!D66)</f>
        <v>23648.800000000039</v>
      </c>
      <c r="E66" s="11">
        <f>SUM(Jan!E66, Feb!E66, Mar!E66)</f>
        <v>35151.578999999998</v>
      </c>
      <c r="F66" s="11">
        <f t="shared" si="6"/>
        <v>-11502.778999999959</v>
      </c>
      <c r="G66" s="12">
        <f t="shared" si="7"/>
        <v>-0.32723363579200693</v>
      </c>
      <c r="H66" s="13">
        <f>SUM(Jan!H66, Feb!H66, Mar!H66)</f>
        <v>59162.86</v>
      </c>
      <c r="I66" s="13">
        <f>SUM(Jan!I66, Feb!I66, Mar!I66)</f>
        <v>-35514.059999999961</v>
      </c>
      <c r="J66" s="14">
        <f t="shared" si="8"/>
        <v>-0.60027625439338061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SUM(Jan!D67, Feb!D67, Mar!D67)</f>
        <v>47490.21875</v>
      </c>
      <c r="E67" s="15">
        <f>SUM(Jan!E67, Feb!E67, Mar!E67)</f>
        <v>60381.86</v>
      </c>
      <c r="F67" s="15">
        <f t="shared" si="6"/>
        <v>-12891.641250000001</v>
      </c>
      <c r="G67" s="16">
        <f t="shared" si="7"/>
        <v>-0.21350189030281611</v>
      </c>
      <c r="H67" s="17">
        <f>SUM(Jan!H67, Feb!H67, Mar!H67)</f>
        <v>43137.520000000004</v>
      </c>
      <c r="I67" s="17">
        <f>SUM(Jan!I67, Feb!I67, Mar!I67)</f>
        <v>4352.6987499999996</v>
      </c>
      <c r="J67" s="16">
        <f t="shared" si="8"/>
        <v>0.10090285092884337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SUM(Jan!D68, Feb!D68, Mar!D68)</f>
        <v>44627.34375</v>
      </c>
      <c r="E68" s="11">
        <f>SUM(Jan!E68, Feb!E68, Mar!E68)</f>
        <v>0</v>
      </c>
      <c r="F68" s="11">
        <f t="shared" si="6"/>
        <v>44627.34375</v>
      </c>
      <c r="G68" s="12" t="str">
        <f t="shared" si="7"/>
        <v/>
      </c>
      <c r="H68" s="13">
        <f>SUM(Jan!H68, Feb!H68, Mar!H68)</f>
        <v>0</v>
      </c>
      <c r="I68" s="13">
        <f>SUM(Jan!I68, Feb!I68, Mar!I68)</f>
        <v>44627.34375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SUM(Jan!D69, Feb!D69, Mar!D69)</f>
        <v>35026.578125</v>
      </c>
      <c r="E69" s="15">
        <f>SUM(Jan!E69, Feb!E69, Mar!E69)</f>
        <v>0</v>
      </c>
      <c r="F69" s="15">
        <f t="shared" si="6"/>
        <v>35026.578125</v>
      </c>
      <c r="G69" s="16" t="str">
        <f t="shared" si="7"/>
        <v/>
      </c>
      <c r="H69" s="17">
        <f>SUM(Jan!H69, Feb!H69, Mar!H69)</f>
        <v>0</v>
      </c>
      <c r="I69" s="17">
        <f>SUM(Jan!I69, Feb!I69, Mar!I69)</f>
        <v>35026.578125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SUM(Jan!D70, Feb!D70, Mar!D70)</f>
        <v>57659.340530185567</v>
      </c>
      <c r="E70" s="11">
        <f>SUM(Jan!E70, Feb!E70, Mar!E70)</f>
        <v>67980.320000000007</v>
      </c>
      <c r="F70" s="11">
        <f t="shared" si="6"/>
        <v>-10320.97946981444</v>
      </c>
      <c r="G70" s="12">
        <f t="shared" si="7"/>
        <v>-0.15182304922681208</v>
      </c>
      <c r="H70" s="13">
        <f>SUM(Jan!H70, Feb!H70, Mar!H70)</f>
        <v>84940</v>
      </c>
      <c r="I70" s="13">
        <f>SUM(Jan!I70, Feb!I70, Mar!I70)</f>
        <v>-27280.659469814433</v>
      </c>
      <c r="J70" s="14">
        <f t="shared" si="8"/>
        <v>-0.32117564716051838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SUM(Jan!D71, Feb!D71, Mar!D71)</f>
        <v>31019.277999999998</v>
      </c>
      <c r="E71" s="15">
        <f>SUM(Jan!E71, Feb!E71, Mar!E71)</f>
        <v>32980.657999999996</v>
      </c>
      <c r="F71" s="15">
        <f t="shared" si="6"/>
        <v>-1961.3799999999974</v>
      </c>
      <c r="G71" s="16">
        <f t="shared" si="7"/>
        <v>-5.9470614564451615E-2</v>
      </c>
      <c r="H71" s="17">
        <f>SUM(Jan!H71, Feb!H71, Mar!H71)</f>
        <v>36841.069000000003</v>
      </c>
      <c r="I71" s="17">
        <f>SUM(Jan!I71, Feb!I71, Mar!I71)</f>
        <v>-5821.7909999999993</v>
      </c>
      <c r="J71" s="16">
        <f t="shared" si="8"/>
        <v>-0.15802448620586984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SUM(Jan!D72, Feb!D72, Mar!D72)</f>
        <v>34205.999999999971</v>
      </c>
      <c r="E72" s="11">
        <f>SUM(Jan!E72, Feb!E72, Mar!E72)</f>
        <v>40811.385999999999</v>
      </c>
      <c r="F72" s="11">
        <f t="shared" si="6"/>
        <v>-6605.3860000000277</v>
      </c>
      <c r="G72" s="12">
        <f t="shared" si="7"/>
        <v>-0.16185154799692489</v>
      </c>
      <c r="H72" s="13">
        <f>SUM(Jan!H72, Feb!H72, Mar!H72)</f>
        <v>0</v>
      </c>
      <c r="I72" s="13">
        <f>SUM(Jan!I72, Feb!I72, Mar!I72)</f>
        <v>34205.999999999971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SUM(Jan!D73, Feb!D73, Mar!D73)</f>
        <v>1632440</v>
      </c>
      <c r="E73" s="15">
        <f>SUM(Jan!E73, Feb!E73, Mar!E73)</f>
        <v>1972653.5</v>
      </c>
      <c r="F73" s="15">
        <f t="shared" si="6"/>
        <v>-340213.5</v>
      </c>
      <c r="G73" s="16">
        <f t="shared" si="7"/>
        <v>-0.17246490577285875</v>
      </c>
      <c r="H73" s="17">
        <f>SUM(Jan!H73, Feb!H73, Mar!H73)</f>
        <v>2062650.4000000001</v>
      </c>
      <c r="I73" s="17">
        <f>SUM(Jan!I73, Feb!I73, Mar!I73)</f>
        <v>-430210.4</v>
      </c>
      <c r="J73" s="16">
        <f t="shared" si="8"/>
        <v>-0.20857165130843308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SUM(Jan!D74, Feb!D74, Mar!D74)</f>
        <v>1735594</v>
      </c>
      <c r="E74" s="11">
        <f>SUM(Jan!E74, Feb!E74, Mar!E74)</f>
        <v>2080164.3</v>
      </c>
      <c r="F74" s="11">
        <f t="shared" si="6"/>
        <v>-344570.30000000005</v>
      </c>
      <c r="G74" s="12">
        <f t="shared" si="7"/>
        <v>-0.16564571365829134</v>
      </c>
      <c r="H74" s="13">
        <f>SUM(Jan!H74, Feb!H74, Mar!H74)</f>
        <v>1957114.3</v>
      </c>
      <c r="I74" s="13">
        <f>SUM(Jan!I74, Feb!I74, Mar!I74)</f>
        <v>-221520.3</v>
      </c>
      <c r="J74" s="14">
        <f t="shared" si="8"/>
        <v>-0.11318720628631654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SUM(Jan!D75, Feb!D75, Mar!D75)</f>
        <v>494814</v>
      </c>
      <c r="E75" s="15">
        <f>SUM(Jan!E75, Feb!E75, Mar!E75)</f>
        <v>584293.79</v>
      </c>
      <c r="F75" s="15">
        <f t="shared" si="6"/>
        <v>-89479.790000000037</v>
      </c>
      <c r="G75" s="16">
        <f t="shared" si="7"/>
        <v>-0.15314177821400435</v>
      </c>
      <c r="H75" s="17">
        <f>SUM(Jan!H75, Feb!H75, Mar!H75)</f>
        <v>739603.56</v>
      </c>
      <c r="I75" s="17">
        <f>SUM(Jan!I75, Feb!I75, Mar!I75)</f>
        <v>-244789.56</v>
      </c>
      <c r="J75" s="16">
        <f t="shared" si="8"/>
        <v>-0.33097401532247894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SUM(Jan!D76, Feb!D76, Mar!D76)</f>
        <v>558467</v>
      </c>
      <c r="E76" s="11">
        <f>SUM(Jan!E76, Feb!E76, Mar!E76)</f>
        <v>575148.26</v>
      </c>
      <c r="F76" s="11">
        <f t="shared" si="6"/>
        <v>-16681.260000000009</v>
      </c>
      <c r="G76" s="12">
        <f t="shared" si="7"/>
        <v>-2.9003408616762587E-2</v>
      </c>
      <c r="H76" s="13">
        <f>SUM(Jan!H76, Feb!H76, Mar!H76)</f>
        <v>749376.96</v>
      </c>
      <c r="I76" s="13">
        <f>SUM(Jan!I76, Feb!I76, Mar!I76)</f>
        <v>-190909.96000000002</v>
      </c>
      <c r="J76" s="14">
        <f t="shared" si="8"/>
        <v>-0.25475824610353648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SUM(Jan!D77, Feb!D77, Mar!D77)</f>
        <v>486761</v>
      </c>
      <c r="E77" s="15">
        <f>SUM(Jan!E77, Feb!E77, Mar!E77)</f>
        <v>499911.67</v>
      </c>
      <c r="F77" s="15">
        <f t="shared" si="6"/>
        <v>-13150.669999999984</v>
      </c>
      <c r="G77" s="16">
        <f t="shared" si="7"/>
        <v>-2.6305987215701494E-2</v>
      </c>
      <c r="H77" s="17">
        <f>SUM(Jan!H77, Feb!H77, Mar!H77)</f>
        <v>645779.92999999993</v>
      </c>
      <c r="I77" s="17">
        <f>SUM(Jan!I77, Feb!I77, Mar!I77)</f>
        <v>-159018.93</v>
      </c>
      <c r="J77" s="16">
        <f t="shared" si="8"/>
        <v>-0.24624322096848072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SUM(Jan!D78, Feb!D78, Mar!D78)</f>
        <v>597618</v>
      </c>
      <c r="E78" s="11">
        <f>SUM(Jan!E78, Feb!E78, Mar!E78)</f>
        <v>597034.67000000004</v>
      </c>
      <c r="F78" s="11">
        <f t="shared" si="6"/>
        <v>583.32999999995809</v>
      </c>
      <c r="G78" s="12">
        <f t="shared" si="7"/>
        <v>9.77045436908979E-4</v>
      </c>
      <c r="H78" s="13">
        <f>SUM(Jan!H78, Feb!H78, Mar!H78)</f>
        <v>754908.37</v>
      </c>
      <c r="I78" s="13">
        <f>SUM(Jan!I78, Feb!I78, Mar!I78)</f>
        <v>-157290.37</v>
      </c>
      <c r="J78" s="14">
        <f t="shared" si="8"/>
        <v>-0.20835690297088638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SUM(Jan!D79, Feb!D79, Mar!D79)</f>
        <v>551570</v>
      </c>
      <c r="E79" s="15">
        <f>SUM(Jan!E79, Feb!E79, Mar!E79)</f>
        <v>563219.43999999994</v>
      </c>
      <c r="F79" s="15">
        <f t="shared" si="6"/>
        <v>-11649.439999999944</v>
      </c>
      <c r="G79" s="16">
        <f t="shared" si="7"/>
        <v>-2.0683661061130891E-2</v>
      </c>
      <c r="H79" s="17">
        <f>SUM(Jan!H79, Feb!H79, Mar!H79)</f>
        <v>548857.69999999995</v>
      </c>
      <c r="I79" s="17">
        <f>SUM(Jan!I79, Feb!I79, Mar!I79)</f>
        <v>2712.3000000000175</v>
      </c>
      <c r="J79" s="16">
        <f t="shared" si="8"/>
        <v>4.9417180445860878E-3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SUM(Jan!D80, Feb!D80, Mar!D80)</f>
        <v>487440</v>
      </c>
      <c r="E80" s="11">
        <f>SUM(Jan!E80, Feb!E80, Mar!E80)</f>
        <v>261798.13</v>
      </c>
      <c r="F80" s="11">
        <f t="shared" si="6"/>
        <v>225641.87</v>
      </c>
      <c r="G80" s="12">
        <f t="shared" si="7"/>
        <v>0.86189259640624627</v>
      </c>
      <c r="H80" s="13">
        <f>SUM(Jan!H80, Feb!H80, Mar!H80)</f>
        <v>502759.05000000005</v>
      </c>
      <c r="I80" s="13">
        <f>SUM(Jan!I80, Feb!I80, Mar!I80)</f>
        <v>-15319.049999999988</v>
      </c>
      <c r="J80" s="14">
        <f t="shared" si="8"/>
        <v>-3.0469963693343732E-2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SUM(Jan!D81, Feb!D81, Mar!D81)</f>
        <v>510400</v>
      </c>
      <c r="E81" s="15">
        <f>SUM(Jan!E81, Feb!E81, Mar!E81)</f>
        <v>611163.64</v>
      </c>
      <c r="F81" s="15">
        <f t="shared" si="6"/>
        <v>-100763.64000000001</v>
      </c>
      <c r="G81" s="16">
        <f t="shared" si="7"/>
        <v>-0.16487178458456725</v>
      </c>
      <c r="H81" s="17">
        <f>SUM(Jan!H81, Feb!H81, Mar!H81)</f>
        <v>487501.11</v>
      </c>
      <c r="I81" s="17">
        <f>SUM(Jan!I81, Feb!I81, Mar!I81)</f>
        <v>22898.889999999985</v>
      </c>
      <c r="J81" s="16">
        <f t="shared" si="8"/>
        <v>4.6971975099707949E-2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SUM(Jan!D82, Feb!D82, Mar!D82)</f>
        <v>540070</v>
      </c>
      <c r="E82" s="11">
        <f>SUM(Jan!E82, Feb!E82, Mar!E82)</f>
        <v>662416.75</v>
      </c>
      <c r="F82" s="11">
        <f t="shared" ref="F82:F145" si="9">IF(AND(ISNUMBER(D82),ISNUMBER(E82)), D82-E82, "")</f>
        <v>-122346.75</v>
      </c>
      <c r="G82" s="12">
        <f t="shared" ref="G82:G145" si="10">IFERROR(F82/E82, "")</f>
        <v>-0.18469754878631919</v>
      </c>
      <c r="H82" s="13">
        <f>SUM(Jan!H82, Feb!H82, Mar!H82)</f>
        <v>538915.94999999995</v>
      </c>
      <c r="I82" s="13">
        <f>SUM(Jan!I82, Feb!I82, Mar!I82)</f>
        <v>1154.0500000000029</v>
      </c>
      <c r="J82" s="14">
        <f t="shared" ref="J82:J145" si="11">IFERROR(I82/H82, "")</f>
        <v>2.1414285474386182E-3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SUM(Jan!D83, Feb!D83, Mar!D83)</f>
        <v>515380</v>
      </c>
      <c r="E83" s="15">
        <f>SUM(Jan!E83, Feb!E83, Mar!E83)</f>
        <v>672395.84</v>
      </c>
      <c r="F83" s="15">
        <f t="shared" si="9"/>
        <v>-157015.83999999997</v>
      </c>
      <c r="G83" s="16">
        <f t="shared" si="10"/>
        <v>-0.23351697119363496</v>
      </c>
      <c r="H83" s="17">
        <f>SUM(Jan!H83, Feb!H83, Mar!H83)</f>
        <v>656728.39</v>
      </c>
      <c r="I83" s="17">
        <f>SUM(Jan!I83, Feb!I83, Mar!I83)</f>
        <v>-141348.39000000001</v>
      </c>
      <c r="J83" s="16">
        <f t="shared" si="11"/>
        <v>-0.21523112469677153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SUM(Jan!D84, Feb!D84, Mar!D84)</f>
        <v>662420</v>
      </c>
      <c r="E84" s="11">
        <f>SUM(Jan!E84, Feb!E84, Mar!E84)</f>
        <v>0</v>
      </c>
      <c r="F84" s="11">
        <f t="shared" si="9"/>
        <v>662420</v>
      </c>
      <c r="G84" s="12" t="str">
        <f t="shared" si="10"/>
        <v/>
      </c>
      <c r="H84" s="13">
        <f>SUM(Jan!H84, Feb!H84, Mar!H84)</f>
        <v>658801.46</v>
      </c>
      <c r="I84" s="13">
        <f>SUM(Jan!I84, Feb!I84, Mar!I84)</f>
        <v>3618.5400000000081</v>
      </c>
      <c r="J84" s="14">
        <f t="shared" si="11"/>
        <v>5.49261077836714E-3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SUM(Jan!D85, Feb!D85, Mar!D85)</f>
        <v>473991</v>
      </c>
      <c r="E85" s="15">
        <f>SUM(Jan!E85, Feb!E85, Mar!E85)</f>
        <v>0</v>
      </c>
      <c r="F85" s="15">
        <f t="shared" si="9"/>
        <v>473991</v>
      </c>
      <c r="G85" s="16" t="str">
        <f t="shared" si="10"/>
        <v/>
      </c>
      <c r="H85" s="17">
        <f>SUM(Jan!H85, Feb!H85, Mar!H85)</f>
        <v>316787</v>
      </c>
      <c r="I85" s="17">
        <f>SUM(Jan!I85, Feb!I85, Mar!I85)</f>
        <v>157204</v>
      </c>
      <c r="J85" s="16">
        <f t="shared" si="11"/>
        <v>0.49624511106832037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SUM(Jan!D86, Feb!D86, Mar!D86)</f>
        <v>1516743</v>
      </c>
      <c r="E86" s="11">
        <f>SUM(Jan!E86, Feb!E86, Mar!E86)</f>
        <v>0</v>
      </c>
      <c r="F86" s="11">
        <f t="shared" si="9"/>
        <v>1516743</v>
      </c>
      <c r="G86" s="12" t="str">
        <f t="shared" si="10"/>
        <v/>
      </c>
      <c r="H86" s="13">
        <f>SUM(Jan!H86, Feb!H86, Mar!H86)</f>
        <v>898049</v>
      </c>
      <c r="I86" s="13">
        <f>SUM(Jan!I86, Feb!I86, Mar!I86)</f>
        <v>618694</v>
      </c>
      <c r="J86" s="14">
        <f t="shared" si="11"/>
        <v>0.68893122758335013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SUM(Jan!D87, Feb!D87, Mar!D87)</f>
        <v>1546079</v>
      </c>
      <c r="E87" s="15">
        <f>SUM(Jan!E87, Feb!E87, Mar!E87)</f>
        <v>0</v>
      </c>
      <c r="F87" s="15">
        <f t="shared" si="9"/>
        <v>1546079</v>
      </c>
      <c r="G87" s="16" t="str">
        <f t="shared" si="10"/>
        <v/>
      </c>
      <c r="H87" s="17">
        <f>SUM(Jan!H87, Feb!H87, Mar!H87)</f>
        <v>1107070</v>
      </c>
      <c r="I87" s="17">
        <f>SUM(Jan!I87, Feb!I87, Mar!I87)</f>
        <v>439009</v>
      </c>
      <c r="J87" s="16">
        <f t="shared" si="11"/>
        <v>0.39655035363617475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SUM(Jan!D88, Feb!D88, Mar!D88)</f>
        <v>628993</v>
      </c>
      <c r="E88" s="11">
        <f>SUM(Jan!E88, Feb!E88, Mar!E88)</f>
        <v>0</v>
      </c>
      <c r="F88" s="11">
        <f t="shared" si="9"/>
        <v>628993</v>
      </c>
      <c r="G88" s="12" t="str">
        <f t="shared" si="10"/>
        <v/>
      </c>
      <c r="H88" s="13">
        <f>SUM(Jan!H88, Feb!H88, Mar!H88)</f>
        <v>353431</v>
      </c>
      <c r="I88" s="13">
        <f>SUM(Jan!I88, Feb!I88, Mar!I88)</f>
        <v>275562</v>
      </c>
      <c r="J88" s="14">
        <f t="shared" si="11"/>
        <v>0.77967693835571861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SUM(Jan!D89, Feb!D89, Mar!D89)</f>
        <v>1355444</v>
      </c>
      <c r="E89" s="15">
        <f>SUM(Jan!E89, Feb!E89, Mar!E89)</f>
        <v>0</v>
      </c>
      <c r="F89" s="15">
        <f t="shared" si="9"/>
        <v>1355444</v>
      </c>
      <c r="G89" s="16" t="str">
        <f t="shared" si="10"/>
        <v/>
      </c>
      <c r="H89" s="17">
        <f>SUM(Jan!H89, Feb!H89, Mar!H89)</f>
        <v>680573</v>
      </c>
      <c r="I89" s="17">
        <f>SUM(Jan!I89, Feb!I89, Mar!I89)</f>
        <v>674871</v>
      </c>
      <c r="J89" s="16">
        <f t="shared" si="11"/>
        <v>0.9916217657767793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SUM(Jan!D90, Feb!D90, Mar!D90)</f>
        <v>1485125</v>
      </c>
      <c r="E90" s="11">
        <f>SUM(Jan!E90, Feb!E90, Mar!E90)</f>
        <v>0</v>
      </c>
      <c r="F90" s="11">
        <f t="shared" si="9"/>
        <v>1485125</v>
      </c>
      <c r="G90" s="12" t="str">
        <f t="shared" si="10"/>
        <v/>
      </c>
      <c r="H90" s="13">
        <f>SUM(Jan!H90, Feb!H90, Mar!H90)</f>
        <v>1087372</v>
      </c>
      <c r="I90" s="13">
        <f>SUM(Jan!I90, Feb!I90, Mar!I90)</f>
        <v>397753</v>
      </c>
      <c r="J90" s="14">
        <f t="shared" si="11"/>
        <v>0.36579293930687934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SUM(Jan!D91, Feb!D91, Mar!D91)</f>
        <v>1247680.8498402531</v>
      </c>
      <c r="E91" s="15">
        <f>SUM(Jan!E91, Feb!E91, Mar!E91)</f>
        <v>1326149.3</v>
      </c>
      <c r="F91" s="15">
        <f t="shared" si="9"/>
        <v>-78468.450159746921</v>
      </c>
      <c r="G91" s="16">
        <f t="shared" si="10"/>
        <v>-5.9170147855710453E-2</v>
      </c>
      <c r="H91" s="17">
        <f>SUM(Jan!H91, Feb!H91, Mar!H91)</f>
        <v>1569672</v>
      </c>
      <c r="I91" s="17">
        <f>SUM(Jan!I91, Feb!I91, Mar!I91)</f>
        <v>-321991.15015974699</v>
      </c>
      <c r="J91" s="16">
        <f t="shared" si="11"/>
        <v>-0.20513276032174046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SUM(Jan!D92, Feb!D92, Mar!D92)</f>
        <v>602093</v>
      </c>
      <c r="E92" s="11">
        <f>SUM(Jan!E92, Feb!E92, Mar!E92)</f>
        <v>0</v>
      </c>
      <c r="F92" s="11">
        <f t="shared" si="9"/>
        <v>602093</v>
      </c>
      <c r="G92" s="12" t="str">
        <f t="shared" si="10"/>
        <v/>
      </c>
      <c r="H92" s="13">
        <f>SUM(Jan!H92, Feb!H92, Mar!H92)</f>
        <v>344668</v>
      </c>
      <c r="I92" s="13">
        <f>SUM(Jan!I92, Feb!I92, Mar!I92)</f>
        <v>257425</v>
      </c>
      <c r="J92" s="14">
        <f t="shared" si="11"/>
        <v>0.74687815521023126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SUM(Jan!D93, Feb!D93, Mar!D93)</f>
        <v>1377802</v>
      </c>
      <c r="E93" s="15">
        <f>SUM(Jan!E93, Feb!E93, Mar!E93)</f>
        <v>0</v>
      </c>
      <c r="F93" s="15">
        <f t="shared" si="9"/>
        <v>1377802</v>
      </c>
      <c r="G93" s="16" t="str">
        <f t="shared" si="10"/>
        <v/>
      </c>
      <c r="H93" s="17">
        <f>SUM(Jan!H93, Feb!H93, Mar!H93)</f>
        <v>950364.16999999993</v>
      </c>
      <c r="I93" s="17">
        <f>SUM(Jan!I93, Feb!I93, Mar!I93)</f>
        <v>427437.83</v>
      </c>
      <c r="J93" s="16">
        <f t="shared" si="11"/>
        <v>0.44976214749341831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SUM(Jan!D94, Feb!D94, Mar!D94)</f>
        <v>1534328</v>
      </c>
      <c r="E94" s="11">
        <f>SUM(Jan!E94, Feb!E94, Mar!E94)</f>
        <v>0</v>
      </c>
      <c r="F94" s="11">
        <f t="shared" si="9"/>
        <v>1534328</v>
      </c>
      <c r="G94" s="12" t="str">
        <f t="shared" si="10"/>
        <v/>
      </c>
      <c r="H94" s="13">
        <f>SUM(Jan!H94, Feb!H94, Mar!H94)</f>
        <v>1020343</v>
      </c>
      <c r="I94" s="13">
        <f>SUM(Jan!I94, Feb!I94, Mar!I94)</f>
        <v>513985</v>
      </c>
      <c r="J94" s="14">
        <f t="shared" si="11"/>
        <v>0.50373746867474956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SUM(Jan!D95, Feb!D95, Mar!D95)</f>
        <v>1501233</v>
      </c>
      <c r="E95" s="15">
        <f>SUM(Jan!E95, Feb!E95, Mar!E95)</f>
        <v>0</v>
      </c>
      <c r="F95" s="15">
        <f t="shared" si="9"/>
        <v>1501233</v>
      </c>
      <c r="G95" s="16" t="str">
        <f t="shared" si="10"/>
        <v/>
      </c>
      <c r="H95" s="17">
        <f>SUM(Jan!H95, Feb!H95, Mar!H95)</f>
        <v>876014.45</v>
      </c>
      <c r="I95" s="17">
        <f>SUM(Jan!I95, Feb!I95, Mar!I95)</f>
        <v>625218.55000000005</v>
      </c>
      <c r="J95" s="16">
        <f t="shared" si="11"/>
        <v>0.71370803301246921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SUM(Jan!D96, Feb!D96, Mar!D96)</f>
        <v>1341726</v>
      </c>
      <c r="E96" s="11">
        <f>SUM(Jan!E96, Feb!E96, Mar!E96)</f>
        <v>0</v>
      </c>
      <c r="F96" s="11">
        <f t="shared" si="9"/>
        <v>1341726</v>
      </c>
      <c r="G96" s="12" t="str">
        <f t="shared" si="10"/>
        <v/>
      </c>
      <c r="H96" s="13">
        <f>SUM(Jan!H96, Feb!H96, Mar!H96)</f>
        <v>1194494.27</v>
      </c>
      <c r="I96" s="13">
        <f>SUM(Jan!I96, Feb!I96, Mar!I96)</f>
        <v>147231.72999999998</v>
      </c>
      <c r="J96" s="14">
        <f t="shared" si="11"/>
        <v>0.12325863229130432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SUM(Jan!D97, Feb!D97, Mar!D97)</f>
        <v>1313134</v>
      </c>
      <c r="E97" s="15">
        <f>SUM(Jan!E97, Feb!E97, Mar!E97)</f>
        <v>0</v>
      </c>
      <c r="F97" s="15">
        <f t="shared" si="9"/>
        <v>1313134</v>
      </c>
      <c r="G97" s="16" t="str">
        <f t="shared" si="10"/>
        <v/>
      </c>
      <c r="H97" s="17">
        <f>SUM(Jan!H97, Feb!H97, Mar!H97)</f>
        <v>754916</v>
      </c>
      <c r="I97" s="17">
        <f>SUM(Jan!I97, Feb!I97, Mar!I97)</f>
        <v>558218</v>
      </c>
      <c r="J97" s="16">
        <f t="shared" si="11"/>
        <v>0.73944385865447282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SUM(Jan!D98, Feb!D98, Mar!D98)</f>
        <v>592486</v>
      </c>
      <c r="E98" s="11">
        <f>SUM(Jan!E98, Feb!E98, Mar!E98)</f>
        <v>0</v>
      </c>
      <c r="F98" s="11">
        <f t="shared" si="9"/>
        <v>592486</v>
      </c>
      <c r="G98" s="12" t="str">
        <f t="shared" si="10"/>
        <v/>
      </c>
      <c r="H98" s="13">
        <f>SUM(Jan!H98, Feb!H98, Mar!H98)</f>
        <v>467346</v>
      </c>
      <c r="I98" s="13">
        <f>SUM(Jan!I98, Feb!I98, Mar!I98)</f>
        <v>125140</v>
      </c>
      <c r="J98" s="14">
        <f t="shared" si="11"/>
        <v>0.26776735010035391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SUM(Jan!D99, Feb!D99, Mar!D99)</f>
        <v>983099</v>
      </c>
      <c r="E99" s="15">
        <f>SUM(Jan!E99, Feb!E99, Mar!E99)</f>
        <v>0</v>
      </c>
      <c r="F99" s="15">
        <f t="shared" si="9"/>
        <v>983099</v>
      </c>
      <c r="G99" s="16" t="str">
        <f t="shared" si="10"/>
        <v/>
      </c>
      <c r="H99" s="17">
        <f>SUM(Jan!H99, Feb!H99, Mar!H99)</f>
        <v>738814.59</v>
      </c>
      <c r="I99" s="17">
        <f>SUM(Jan!I99, Feb!I99, Mar!I99)</f>
        <v>244284.41</v>
      </c>
      <c r="J99" s="16">
        <f t="shared" si="11"/>
        <v>0.33064372754198046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SUM(Jan!D100, Feb!D100, Mar!D100)</f>
        <v>525390</v>
      </c>
      <c r="E100" s="11">
        <f>SUM(Jan!E100, Feb!E100, Mar!E100)</f>
        <v>0</v>
      </c>
      <c r="F100" s="11">
        <f t="shared" si="9"/>
        <v>525390</v>
      </c>
      <c r="G100" s="12" t="str">
        <f t="shared" si="10"/>
        <v/>
      </c>
      <c r="H100" s="13">
        <f>SUM(Jan!H100, Feb!H100, Mar!H100)</f>
        <v>469509.12</v>
      </c>
      <c r="I100" s="13">
        <f>SUM(Jan!I100, Feb!I100, Mar!I100)</f>
        <v>55880.880000000005</v>
      </c>
      <c r="J100" s="14">
        <f t="shared" si="11"/>
        <v>0.11901979667615403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SUM(Jan!D101, Feb!D101, Mar!D101)</f>
        <v>1426883</v>
      </c>
      <c r="E101" s="15">
        <f>SUM(Jan!E101, Feb!E101, Mar!E101)</f>
        <v>0</v>
      </c>
      <c r="F101" s="15">
        <f t="shared" si="9"/>
        <v>1426883</v>
      </c>
      <c r="G101" s="16" t="str">
        <f t="shared" si="10"/>
        <v/>
      </c>
      <c r="H101" s="17">
        <f>SUM(Jan!H101, Feb!H101, Mar!H101)</f>
        <v>916860</v>
      </c>
      <c r="I101" s="17">
        <f>SUM(Jan!I101, Feb!I101, Mar!I101)</f>
        <v>510023</v>
      </c>
      <c r="J101" s="16">
        <f t="shared" si="11"/>
        <v>0.55627140457648927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SUM(Jan!D102, Feb!D102, Mar!D102)</f>
        <v>899081</v>
      </c>
      <c r="E102" s="11">
        <f>SUM(Jan!E102, Feb!E102, Mar!E102)</f>
        <v>0</v>
      </c>
      <c r="F102" s="11">
        <f t="shared" si="9"/>
        <v>899081</v>
      </c>
      <c r="G102" s="12" t="str">
        <f t="shared" si="10"/>
        <v/>
      </c>
      <c r="H102" s="13">
        <f>SUM(Jan!H102, Feb!H102, Mar!H102)</f>
        <v>632903</v>
      </c>
      <c r="I102" s="13">
        <f>SUM(Jan!I102, Feb!I102, Mar!I102)</f>
        <v>266178</v>
      </c>
      <c r="J102" s="14">
        <f t="shared" si="11"/>
        <v>0.42056681671598967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SUM(Jan!D103, Feb!D103, Mar!D103)</f>
        <v>599294</v>
      </c>
      <c r="E103" s="15">
        <f>SUM(Jan!E103, Feb!E103, Mar!E103)</f>
        <v>0</v>
      </c>
      <c r="F103" s="15">
        <f t="shared" si="9"/>
        <v>599294</v>
      </c>
      <c r="G103" s="16" t="str">
        <f t="shared" si="10"/>
        <v/>
      </c>
      <c r="H103" s="17">
        <f>SUM(Jan!H103, Feb!H103, Mar!H103)</f>
        <v>489983.11</v>
      </c>
      <c r="I103" s="17">
        <f>SUM(Jan!I103, Feb!I103, Mar!I103)</f>
        <v>109310.89000000001</v>
      </c>
      <c r="J103" s="16">
        <f t="shared" si="11"/>
        <v>0.22309113879455972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SUM(Jan!D104, Feb!D104, Mar!D104)</f>
        <v>1425120</v>
      </c>
      <c r="E104" s="11">
        <f>SUM(Jan!E104, Feb!E104, Mar!E104)</f>
        <v>0</v>
      </c>
      <c r="F104" s="11">
        <f t="shared" si="9"/>
        <v>1425120</v>
      </c>
      <c r="G104" s="12" t="str">
        <f t="shared" si="10"/>
        <v/>
      </c>
      <c r="H104" s="13">
        <f>SUM(Jan!H104, Feb!H104, Mar!H104)</f>
        <v>1060293</v>
      </c>
      <c r="I104" s="13">
        <f>SUM(Jan!I104, Feb!I104, Mar!I104)</f>
        <v>364827</v>
      </c>
      <c r="J104" s="14">
        <f t="shared" si="11"/>
        <v>0.34408130582772872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SUM(Jan!D105, Feb!D105, Mar!D105)</f>
        <v>491612</v>
      </c>
      <c r="E105" s="15">
        <f>SUM(Jan!E105, Feb!E105, Mar!E105)</f>
        <v>0</v>
      </c>
      <c r="F105" s="15">
        <f t="shared" si="9"/>
        <v>491612</v>
      </c>
      <c r="G105" s="16" t="str">
        <f t="shared" si="10"/>
        <v/>
      </c>
      <c r="H105" s="17">
        <f>SUM(Jan!H105, Feb!H105, Mar!H105)</f>
        <v>0</v>
      </c>
      <c r="I105" s="17">
        <f>SUM(Jan!I105, Feb!I105, Mar!I105)</f>
        <v>491612</v>
      </c>
      <c r="J105" s="16" t="str">
        <f t="shared" si="11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SUM(Jan!D106, Feb!D106, Mar!D106)</f>
        <v>470773</v>
      </c>
      <c r="E106" s="11">
        <f>SUM(Jan!E106, Feb!E106, Mar!E106)</f>
        <v>0</v>
      </c>
      <c r="F106" s="11">
        <f t="shared" si="9"/>
        <v>470773</v>
      </c>
      <c r="G106" s="12" t="str">
        <f t="shared" si="10"/>
        <v/>
      </c>
      <c r="H106" s="13">
        <f>SUM(Jan!H106, Feb!H106, Mar!H106)</f>
        <v>0</v>
      </c>
      <c r="I106" s="13">
        <f>SUM(Jan!I106, Feb!I106, Mar!I106)</f>
        <v>470773</v>
      </c>
      <c r="J106" s="14" t="str">
        <f t="shared" si="11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SUM(Jan!D107, Feb!D107, Mar!D107)</f>
        <v>331379</v>
      </c>
      <c r="E107" s="15">
        <f>SUM(Jan!E107, Feb!E107, Mar!E107)</f>
        <v>0</v>
      </c>
      <c r="F107" s="15">
        <f t="shared" si="9"/>
        <v>331379</v>
      </c>
      <c r="G107" s="16" t="str">
        <f t="shared" si="10"/>
        <v/>
      </c>
      <c r="H107" s="17">
        <f>SUM(Jan!H107, Feb!H107, Mar!H107)</f>
        <v>0</v>
      </c>
      <c r="I107" s="17">
        <f>SUM(Jan!I107, Feb!I107, Mar!I107)</f>
        <v>331379</v>
      </c>
      <c r="J107" s="16" t="str">
        <f t="shared" si="11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SUM(Jan!D108, Feb!D108, Mar!D108)</f>
        <v>1002137</v>
      </c>
      <c r="E108" s="11">
        <f>SUM(Jan!E108, Feb!E108, Mar!E108)</f>
        <v>0</v>
      </c>
      <c r="F108" s="11">
        <f t="shared" si="9"/>
        <v>1002137</v>
      </c>
      <c r="G108" s="12" t="str">
        <f t="shared" si="10"/>
        <v/>
      </c>
      <c r="H108" s="13">
        <f>SUM(Jan!H108, Feb!H108, Mar!H108)</f>
        <v>0</v>
      </c>
      <c r="I108" s="13">
        <f>SUM(Jan!I108, Feb!I108, Mar!I108)</f>
        <v>1002137</v>
      </c>
      <c r="J108" s="14" t="str">
        <f t="shared" si="11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SUM(Jan!D109, Feb!D109, Mar!D109)</f>
        <v>769772.39999999991</v>
      </c>
      <c r="E109" s="15">
        <f>SUM(Jan!E109, Feb!E109, Mar!E109)</f>
        <v>0</v>
      </c>
      <c r="F109" s="15">
        <f t="shared" si="9"/>
        <v>769772.39999999991</v>
      </c>
      <c r="G109" s="16" t="str">
        <f t="shared" si="10"/>
        <v/>
      </c>
      <c r="H109" s="17">
        <f>SUM(Jan!H109, Feb!H109, Mar!H109)</f>
        <v>0</v>
      </c>
      <c r="I109" s="17">
        <f>SUM(Jan!I109, Feb!I109, Mar!I109)</f>
        <v>769772.39999999991</v>
      </c>
      <c r="J109" s="16" t="str">
        <f t="shared" si="11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SUM(Jan!D110, Feb!D110, Mar!D110)</f>
        <v>1270162.99</v>
      </c>
      <c r="E110" s="11">
        <f>SUM(Jan!E110, Feb!E110, Mar!E110)</f>
        <v>0</v>
      </c>
      <c r="F110" s="11">
        <f t="shared" si="9"/>
        <v>1270162.99</v>
      </c>
      <c r="G110" s="12" t="str">
        <f t="shared" si="10"/>
        <v/>
      </c>
      <c r="H110" s="13">
        <f>SUM(Jan!H110, Feb!H110, Mar!H110)</f>
        <v>0</v>
      </c>
      <c r="I110" s="13">
        <f>SUM(Jan!I110, Feb!I110, Mar!I110)</f>
        <v>1270162.99</v>
      </c>
      <c r="J110" s="14" t="str">
        <f t="shared" si="11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SUM(Jan!D111, Feb!D111, Mar!D111)</f>
        <v>941588.15577889397</v>
      </c>
      <c r="E111" s="15">
        <f>SUM(Jan!E111, Feb!E111, Mar!E111)</f>
        <v>1249640.1000000001</v>
      </c>
      <c r="F111" s="15">
        <f t="shared" si="9"/>
        <v>-308051.94422110613</v>
      </c>
      <c r="G111" s="16">
        <f t="shared" si="10"/>
        <v>-0.24651253126488668</v>
      </c>
      <c r="H111" s="17">
        <f>SUM(Jan!H111, Feb!H111, Mar!H111)</f>
        <v>1376850.1</v>
      </c>
      <c r="I111" s="17">
        <f>SUM(Jan!I111, Feb!I111, Mar!I111)</f>
        <v>-435261.94422110595</v>
      </c>
      <c r="J111" s="16">
        <f t="shared" si="11"/>
        <v>-0.31612878135470662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SUM(Jan!D112, Feb!D112, Mar!D112)</f>
        <v>959263.48258706462</v>
      </c>
      <c r="E112" s="11">
        <f>SUM(Jan!E112, Feb!E112, Mar!E112)</f>
        <v>985279.19</v>
      </c>
      <c r="F112" s="11">
        <f t="shared" si="9"/>
        <v>-26015.707412935328</v>
      </c>
      <c r="G112" s="12">
        <f t="shared" si="10"/>
        <v>-2.6404401591933885E-2</v>
      </c>
      <c r="H112" s="13">
        <f>SUM(Jan!H112, Feb!H112, Mar!H112)</f>
        <v>1320455.3</v>
      </c>
      <c r="I112" s="13">
        <f>SUM(Jan!I112, Feb!I112, Mar!I112)</f>
        <v>-361191.81741293531</v>
      </c>
      <c r="J112" s="14">
        <f t="shared" si="11"/>
        <v>-0.27353581557280682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SUM(Jan!D113, Feb!D113, Mar!D113)</f>
        <v>6245</v>
      </c>
      <c r="E113" s="15">
        <f>SUM(Jan!E113, Feb!E113, Mar!E113)</f>
        <v>8634.9429999999993</v>
      </c>
      <c r="F113" s="15">
        <f t="shared" si="9"/>
        <v>-2389.9429999999993</v>
      </c>
      <c r="G113" s="16">
        <f t="shared" si="10"/>
        <v>-0.27677577026275674</v>
      </c>
      <c r="H113" s="17">
        <f>SUM(Jan!H113, Feb!H113, Mar!H113)</f>
        <v>8848.01</v>
      </c>
      <c r="I113" s="17">
        <f>SUM(Jan!I113, Feb!I113, Mar!I113)</f>
        <v>-2603.0100000000002</v>
      </c>
      <c r="J113" s="16">
        <f t="shared" si="11"/>
        <v>-0.29419157528076939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SUM(Jan!D114, Feb!D114, Mar!D114)</f>
        <v>17354.939999999937</v>
      </c>
      <c r="E114" s="11">
        <f>SUM(Jan!E114, Feb!E114, Mar!E114)</f>
        <v>24595.676999999996</v>
      </c>
      <c r="F114" s="11">
        <f t="shared" si="9"/>
        <v>-7240.7370000000592</v>
      </c>
      <c r="G114" s="12">
        <f t="shared" si="10"/>
        <v>-0.29439063620814587</v>
      </c>
      <c r="H114" s="13">
        <f>SUM(Jan!H114, Feb!H114, Mar!H114)</f>
        <v>21407.258999999998</v>
      </c>
      <c r="I114" s="13">
        <f>SUM(Jan!I114, Feb!I114, Mar!I114)</f>
        <v>-4052.3190000000614</v>
      </c>
      <c r="J114" s="14">
        <f t="shared" si="11"/>
        <v>-0.18929649050352787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SUM(Jan!D115, Feb!D115, Mar!D115)</f>
        <v>2696</v>
      </c>
      <c r="E115" s="15">
        <f>SUM(Jan!E115, Feb!E115, Mar!E115)</f>
        <v>2967.9681</v>
      </c>
      <c r="F115" s="15">
        <f t="shared" si="9"/>
        <v>-271.96810000000005</v>
      </c>
      <c r="G115" s="16">
        <f t="shared" si="10"/>
        <v>-9.1634441758319446E-2</v>
      </c>
      <c r="H115" s="17">
        <f>SUM(Jan!H115, Feb!H115, Mar!H115)</f>
        <v>3280.6661000000004</v>
      </c>
      <c r="I115" s="17">
        <f>SUM(Jan!I115, Feb!I115, Mar!I115)</f>
        <v>-584.66610000000003</v>
      </c>
      <c r="J115" s="16">
        <f t="shared" si="11"/>
        <v>-0.17821566784867254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SUM(Jan!D116, Feb!D116, Mar!D116)</f>
        <v>2697</v>
      </c>
      <c r="E116" s="11">
        <f>SUM(Jan!E116, Feb!E116, Mar!E116)</f>
        <v>2846.9925000000003</v>
      </c>
      <c r="F116" s="11">
        <f t="shared" si="9"/>
        <v>-149.99250000000029</v>
      </c>
      <c r="G116" s="12">
        <f t="shared" si="10"/>
        <v>-5.2684543426089206E-2</v>
      </c>
      <c r="H116" s="13">
        <f>SUM(Jan!H116, Feb!H116, Mar!H116)</f>
        <v>3415.7696999999998</v>
      </c>
      <c r="I116" s="13">
        <f>SUM(Jan!I116, Feb!I116, Mar!I116)</f>
        <v>-718.76970000000006</v>
      </c>
      <c r="J116" s="14">
        <f t="shared" si="11"/>
        <v>-0.21042686220912379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SUM(Jan!D117, Feb!D117, Mar!D117)</f>
        <v>3146</v>
      </c>
      <c r="E117" s="15">
        <f>SUM(Jan!E117, Feb!E117, Mar!E117)</f>
        <v>2951.1472999999996</v>
      </c>
      <c r="F117" s="15">
        <f t="shared" si="9"/>
        <v>194.85270000000037</v>
      </c>
      <c r="G117" s="16">
        <f t="shared" si="10"/>
        <v>6.6026084160556942E-2</v>
      </c>
      <c r="H117" s="17">
        <f>SUM(Jan!H117, Feb!H117, Mar!H117)</f>
        <v>3540</v>
      </c>
      <c r="I117" s="17">
        <f>SUM(Jan!I117, Feb!I117, Mar!I117)</f>
        <v>-394</v>
      </c>
      <c r="J117" s="16">
        <f t="shared" si="11"/>
        <v>-0.11129943502824859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SUM(Jan!D118, Feb!D118, Mar!D118)</f>
        <v>25105</v>
      </c>
      <c r="E118" s="11">
        <f>SUM(Jan!E118, Feb!E118, Mar!E118)</f>
        <v>36553.423999999999</v>
      </c>
      <c r="F118" s="11">
        <f t="shared" si="9"/>
        <v>-11448.423999999999</v>
      </c>
      <c r="G118" s="12">
        <f t="shared" si="10"/>
        <v>-0.3131970345650793</v>
      </c>
      <c r="H118" s="13">
        <f>SUM(Jan!H118, Feb!H118, Mar!H118)</f>
        <v>10039.31</v>
      </c>
      <c r="I118" s="13">
        <f>SUM(Jan!I118, Feb!I118, Mar!I118)</f>
        <v>15065.69</v>
      </c>
      <c r="J118" s="14">
        <f t="shared" si="11"/>
        <v>1.500669866753791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SUM(Jan!D119, Feb!D119, Mar!D119)</f>
        <v>106485</v>
      </c>
      <c r="E119" s="15">
        <f>SUM(Jan!E119, Feb!E119, Mar!E119)</f>
        <v>0</v>
      </c>
      <c r="F119" s="15">
        <f t="shared" si="9"/>
        <v>106485</v>
      </c>
      <c r="G119" s="16" t="str">
        <f t="shared" si="10"/>
        <v/>
      </c>
      <c r="H119" s="17">
        <f>SUM(Jan!H119, Feb!H119, Mar!H119)</f>
        <v>107061.084</v>
      </c>
      <c r="I119" s="17">
        <f>SUM(Jan!I119, Feb!I119, Mar!I119)</f>
        <v>-576.08400000000256</v>
      </c>
      <c r="J119" s="16">
        <f t="shared" si="11"/>
        <v>-5.3808907819390519E-3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SUM(Jan!D120, Feb!D120, Mar!D120)</f>
        <v>56880</v>
      </c>
      <c r="E120" s="11">
        <f>SUM(Jan!E120, Feb!E120, Mar!E120)</f>
        <v>58303.716</v>
      </c>
      <c r="F120" s="11">
        <f t="shared" si="9"/>
        <v>-1423.7160000000003</v>
      </c>
      <c r="G120" s="12">
        <f t="shared" si="10"/>
        <v>-2.4418958132960175E-2</v>
      </c>
      <c r="H120" s="13">
        <f>SUM(Jan!H120, Feb!H120, Mar!H120)</f>
        <v>69238.645000000004</v>
      </c>
      <c r="I120" s="13">
        <f>SUM(Jan!I120, Feb!I120, Mar!I120)</f>
        <v>-12358.645</v>
      </c>
      <c r="J120" s="14">
        <f t="shared" si="11"/>
        <v>-0.17849345549728768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SUM(Jan!D121, Feb!D121, Mar!D121)</f>
        <v>29758</v>
      </c>
      <c r="E121" s="15">
        <f>SUM(Jan!E121, Feb!E121, Mar!E121)</f>
        <v>28633.201000000001</v>
      </c>
      <c r="F121" s="15">
        <f t="shared" si="9"/>
        <v>1124.7989999999991</v>
      </c>
      <c r="G121" s="16">
        <f t="shared" si="10"/>
        <v>3.9283033706220938E-2</v>
      </c>
      <c r="H121" s="17">
        <f>SUM(Jan!H121, Feb!H121, Mar!H121)</f>
        <v>33916.923000000003</v>
      </c>
      <c r="I121" s="17">
        <f>SUM(Jan!I121, Feb!I121, Mar!I121)</f>
        <v>-4158.9230000000007</v>
      </c>
      <c r="J121" s="16">
        <f t="shared" si="11"/>
        <v>-0.12262088161712076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SUM(Jan!D122, Feb!D122, Mar!D122)</f>
        <v>30605</v>
      </c>
      <c r="E122" s="11">
        <f>SUM(Jan!E122, Feb!E122, Mar!E122)</f>
        <v>27019.078000000001</v>
      </c>
      <c r="F122" s="11">
        <f t="shared" si="9"/>
        <v>3585.9219999999987</v>
      </c>
      <c r="G122" s="12">
        <f t="shared" si="10"/>
        <v>0.13271814826545889</v>
      </c>
      <c r="H122" s="13">
        <f>SUM(Jan!H122, Feb!H122, Mar!H122)</f>
        <v>33916.923000000003</v>
      </c>
      <c r="I122" s="13">
        <f>SUM(Jan!I122, Feb!I122, Mar!I122)</f>
        <v>-3311.9230000000007</v>
      </c>
      <c r="J122" s="14">
        <f t="shared" si="11"/>
        <v>-9.7648097381947074E-2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SUM(Jan!D123, Feb!D123, Mar!D123)</f>
        <v>380425</v>
      </c>
      <c r="E123" s="15">
        <f>SUM(Jan!E123, Feb!E123, Mar!E123)</f>
        <v>393526.28</v>
      </c>
      <c r="F123" s="15">
        <f t="shared" si="9"/>
        <v>-13101.280000000028</v>
      </c>
      <c r="G123" s="16">
        <f t="shared" si="10"/>
        <v>-3.329200784252586E-2</v>
      </c>
      <c r="H123" s="17">
        <f>SUM(Jan!H123, Feb!H123, Mar!H123)</f>
        <v>417619</v>
      </c>
      <c r="I123" s="17">
        <f>SUM(Jan!I123, Feb!I123, Mar!I123)</f>
        <v>-37193.999999999985</v>
      </c>
      <c r="J123" s="16">
        <f t="shared" si="11"/>
        <v>-8.9062039801828904E-2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SUM(Jan!D124, Feb!D124, Mar!D124)</f>
        <v>397546</v>
      </c>
      <c r="E124" s="11">
        <f>SUM(Jan!E124, Feb!E124, Mar!E124)</f>
        <v>307184.92</v>
      </c>
      <c r="F124" s="11">
        <f t="shared" si="9"/>
        <v>90361.080000000016</v>
      </c>
      <c r="G124" s="12">
        <f t="shared" si="10"/>
        <v>0.29415858044073262</v>
      </c>
      <c r="H124" s="13">
        <f>SUM(Jan!H124, Feb!H124, Mar!H124)</f>
        <v>23223.040000000001</v>
      </c>
      <c r="I124" s="13">
        <f>SUM(Jan!I124, Feb!I124, Mar!I124)</f>
        <v>374322.95999999996</v>
      </c>
      <c r="J124" s="14">
        <f t="shared" si="11"/>
        <v>16.118602904701536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SUM(Jan!D125, Feb!D125, Mar!D125)</f>
        <v>53615</v>
      </c>
      <c r="E125" s="15">
        <f>SUM(Jan!E125, Feb!E125, Mar!E125)</f>
        <v>49146.22</v>
      </c>
      <c r="F125" s="15">
        <f t="shared" si="9"/>
        <v>4468.7799999999988</v>
      </c>
      <c r="G125" s="16">
        <f t="shared" si="10"/>
        <v>9.0928254502584308E-2</v>
      </c>
      <c r="H125" s="17">
        <f>SUM(Jan!H125, Feb!H125, Mar!H125)</f>
        <v>58462</v>
      </c>
      <c r="I125" s="17">
        <f>SUM(Jan!I125, Feb!I125, Mar!I125)</f>
        <v>-4847</v>
      </c>
      <c r="J125" s="16">
        <f t="shared" si="11"/>
        <v>-8.2908555985084328E-2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SUM(Jan!D126, Feb!D126, Mar!D126)</f>
        <v>170812</v>
      </c>
      <c r="E126" s="11">
        <f>SUM(Jan!E126, Feb!E126, Mar!E126)</f>
        <v>197474.13</v>
      </c>
      <c r="F126" s="11">
        <f t="shared" si="9"/>
        <v>-26662.130000000005</v>
      </c>
      <c r="G126" s="12">
        <f t="shared" si="10"/>
        <v>-0.13501581194458234</v>
      </c>
      <c r="H126" s="13">
        <f>SUM(Jan!H126, Feb!H126, Mar!H126)</f>
        <v>0</v>
      </c>
      <c r="I126" s="13">
        <f>SUM(Jan!I126, Feb!I126, Mar!I126)</f>
        <v>170812</v>
      </c>
      <c r="J126" s="14" t="str">
        <f t="shared" si="11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SUM(Jan!D127, Feb!D127, Mar!D127)</f>
        <v>47781.119999999901</v>
      </c>
      <c r="E127" s="15">
        <f>SUM(Jan!E127, Feb!E127, Mar!E127)</f>
        <v>123066.12</v>
      </c>
      <c r="F127" s="15">
        <f t="shared" si="9"/>
        <v>-75285.000000000087</v>
      </c>
      <c r="G127" s="16">
        <f t="shared" si="10"/>
        <v>-0.61174432085776398</v>
      </c>
      <c r="H127" s="17">
        <f>SUM(Jan!H127, Feb!H127, Mar!H127)</f>
        <v>78976</v>
      </c>
      <c r="I127" s="17">
        <f>SUM(Jan!I127, Feb!I127, Mar!I127)</f>
        <v>-31194.880000000099</v>
      </c>
      <c r="J127" s="16">
        <f t="shared" si="11"/>
        <v>-0.39499189627228648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SUM(Jan!D128, Feb!D128, Mar!D128)</f>
        <v>111279.5</v>
      </c>
      <c r="E128" s="11">
        <f>SUM(Jan!E128, Feb!E128, Mar!E128)</f>
        <v>101768.45000000001</v>
      </c>
      <c r="F128" s="11">
        <f t="shared" si="9"/>
        <v>9511.0499999999884</v>
      </c>
      <c r="G128" s="12">
        <f t="shared" si="10"/>
        <v>9.3457746482333057E-2</v>
      </c>
      <c r="H128" s="13">
        <f>SUM(Jan!H128, Feb!H128, Mar!H128)</f>
        <v>115470.66</v>
      </c>
      <c r="I128" s="13">
        <f>SUM(Jan!I128, Feb!I128, Mar!I128)</f>
        <v>-4191.1599999999962</v>
      </c>
      <c r="J128" s="14">
        <f t="shared" si="11"/>
        <v>-3.6296319775083956E-2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SUM(Jan!D129, Feb!D129, Mar!D129)</f>
        <v>247636</v>
      </c>
      <c r="E129" s="15">
        <f>SUM(Jan!E129, Feb!E129, Mar!E129)</f>
        <v>262632.73800000001</v>
      </c>
      <c r="F129" s="15">
        <f t="shared" si="9"/>
        <v>-14996.738000000012</v>
      </c>
      <c r="G129" s="16">
        <f t="shared" si="10"/>
        <v>-5.7101556013934608E-2</v>
      </c>
      <c r="H129" s="17">
        <f>SUM(Jan!H129, Feb!H129, Mar!H129)</f>
        <v>242031.261</v>
      </c>
      <c r="I129" s="17">
        <f>SUM(Jan!I129, Feb!I129, Mar!I129)</f>
        <v>5604.7390000000087</v>
      </c>
      <c r="J129" s="16">
        <f t="shared" si="11"/>
        <v>2.3157087133467476E-2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SUM(Jan!D130, Feb!D130, Mar!D130)</f>
        <v>529870</v>
      </c>
      <c r="E130" s="11">
        <f>SUM(Jan!E130, Feb!E130, Mar!E130)</f>
        <v>557299.4</v>
      </c>
      <c r="F130" s="11">
        <f t="shared" si="9"/>
        <v>-27429.400000000023</v>
      </c>
      <c r="G130" s="12">
        <f t="shared" si="10"/>
        <v>-4.9218427294197738E-2</v>
      </c>
      <c r="H130" s="13">
        <f>SUM(Jan!H130, Feb!H130, Mar!H130)</f>
        <v>568013.5</v>
      </c>
      <c r="I130" s="13">
        <f>SUM(Jan!I130, Feb!I130, Mar!I130)</f>
        <v>-38143.5</v>
      </c>
      <c r="J130" s="14">
        <f t="shared" si="11"/>
        <v>-6.7152453242748628E-2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SUM(Jan!D131, Feb!D131, Mar!D131)</f>
        <v>19595.816968769897</v>
      </c>
      <c r="E131" s="15">
        <f>SUM(Jan!E131, Feb!E131, Mar!E131)</f>
        <v>25198.262000000002</v>
      </c>
      <c r="F131" s="15">
        <f t="shared" si="9"/>
        <v>-5602.4450312301051</v>
      </c>
      <c r="G131" s="16">
        <f t="shared" si="10"/>
        <v>-0.22233458129890485</v>
      </c>
      <c r="H131" s="17">
        <f>SUM(Jan!H131, Feb!H131, Mar!H131)</f>
        <v>23232.199999999997</v>
      </c>
      <c r="I131" s="17">
        <f>SUM(Jan!I131, Feb!I131, Mar!I131)</f>
        <v>-3636.3830312301011</v>
      </c>
      <c r="J131" s="16">
        <f t="shared" si="11"/>
        <v>-0.1565234042075267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SUM(Jan!D132, Feb!D132, Mar!D132)</f>
        <v>15729.00031033286</v>
      </c>
      <c r="E132" s="11">
        <f>SUM(Jan!E132, Feb!E132, Mar!E132)</f>
        <v>25624.478999999999</v>
      </c>
      <c r="F132" s="11">
        <f t="shared" si="9"/>
        <v>-9895.4786896671394</v>
      </c>
      <c r="G132" s="12">
        <f t="shared" si="10"/>
        <v>-0.38617287358963043</v>
      </c>
      <c r="H132" s="13">
        <f>SUM(Jan!H132, Feb!H132, Mar!H132)</f>
        <v>17369.260000000002</v>
      </c>
      <c r="I132" s="13">
        <f>SUM(Jan!I132, Feb!I132, Mar!I132)</f>
        <v>-1640.2596896671405</v>
      </c>
      <c r="J132" s="14">
        <f t="shared" si="11"/>
        <v>-9.4434632774634056E-2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SUM(Jan!D133, Feb!D133, Mar!D133)</f>
        <v>12428.221</v>
      </c>
      <c r="E133" s="15">
        <f>SUM(Jan!E133, Feb!E133, Mar!E133)</f>
        <v>13688.41</v>
      </c>
      <c r="F133" s="15">
        <f t="shared" si="9"/>
        <v>-1260.1890000000003</v>
      </c>
      <c r="G133" s="16">
        <f t="shared" si="10"/>
        <v>-9.2062482055987535E-2</v>
      </c>
      <c r="H133" s="17">
        <f>SUM(Jan!H133, Feb!H133, Mar!H133)</f>
        <v>17765.41</v>
      </c>
      <c r="I133" s="17">
        <f>SUM(Jan!I133, Feb!I133, Mar!I133)</f>
        <v>-5337.1890000000003</v>
      </c>
      <c r="J133" s="16">
        <f t="shared" si="11"/>
        <v>-0.30042588378202362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SUM(Jan!D134, Feb!D134, Mar!D134)</f>
        <v>56740.25</v>
      </c>
      <c r="E134" s="11">
        <f>SUM(Jan!E134, Feb!E134, Mar!E134)</f>
        <v>62020.486999999994</v>
      </c>
      <c r="F134" s="11">
        <f t="shared" si="9"/>
        <v>-5280.2369999999937</v>
      </c>
      <c r="G134" s="12">
        <f t="shared" si="10"/>
        <v>-8.5136980623837968E-2</v>
      </c>
      <c r="H134" s="13">
        <f>SUM(Jan!H134, Feb!H134, Mar!H134)</f>
        <v>31508.546000000002</v>
      </c>
      <c r="I134" s="13">
        <f>SUM(Jan!I134, Feb!I134, Mar!I134)</f>
        <v>25231.703999999998</v>
      </c>
      <c r="J134" s="14">
        <f t="shared" si="11"/>
        <v>0.80078922080377801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SUM(Jan!D135, Feb!D135, Mar!D135)</f>
        <v>60077.75</v>
      </c>
      <c r="E135" s="15">
        <f>SUM(Jan!E135, Feb!E135, Mar!E135)</f>
        <v>73421.509999999995</v>
      </c>
      <c r="F135" s="15">
        <f t="shared" si="9"/>
        <v>-13343.759999999995</v>
      </c>
      <c r="G135" s="16">
        <f t="shared" si="10"/>
        <v>-0.18174183560103838</v>
      </c>
      <c r="H135" s="17">
        <f>SUM(Jan!H135, Feb!H135, Mar!H135)</f>
        <v>64735.020000000004</v>
      </c>
      <c r="I135" s="17">
        <f>SUM(Jan!I135, Feb!I135, Mar!I135)</f>
        <v>-4657.2700000000004</v>
      </c>
      <c r="J135" s="16">
        <f t="shared" si="11"/>
        <v>-7.1943594054655433E-2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SUM(Jan!D136, Feb!D136, Mar!D136)</f>
        <v>49282.502999999997</v>
      </c>
      <c r="E136" s="11">
        <f>SUM(Jan!E136, Feb!E136, Mar!E136)</f>
        <v>73398.569000000003</v>
      </c>
      <c r="F136" s="11">
        <f t="shared" si="9"/>
        <v>-24116.066000000006</v>
      </c>
      <c r="G136" s="12">
        <f t="shared" si="10"/>
        <v>-0.32856316313196793</v>
      </c>
      <c r="H136" s="13">
        <f>SUM(Jan!H136, Feb!H136, Mar!H136)</f>
        <v>54830.673999999999</v>
      </c>
      <c r="I136" s="13">
        <f>SUM(Jan!I136, Feb!I136, Mar!I136)</f>
        <v>-5548.1709999999985</v>
      </c>
      <c r="J136" s="14">
        <f t="shared" si="11"/>
        <v>-0.10118735728107224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SUM(Jan!D137, Feb!D137, Mar!D137)</f>
        <v>23504.9412206099</v>
      </c>
      <c r="E137" s="15">
        <f>SUM(Jan!E137, Feb!E137, Mar!E137)</f>
        <v>31063.828000000001</v>
      </c>
      <c r="F137" s="15">
        <f t="shared" si="9"/>
        <v>-7558.8867793901009</v>
      </c>
      <c r="G137" s="16">
        <f t="shared" si="10"/>
        <v>-0.24333404045985899</v>
      </c>
      <c r="H137" s="17">
        <f>SUM(Jan!H137, Feb!H137, Mar!H137)</f>
        <v>26381.794999999998</v>
      </c>
      <c r="I137" s="17">
        <f>SUM(Jan!I137, Feb!I137, Mar!I137)</f>
        <v>-2876.8537793900991</v>
      </c>
      <c r="J137" s="16">
        <f t="shared" si="11"/>
        <v>-0.10904693101398519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SUM(Jan!D138, Feb!D138, Mar!D138)</f>
        <v>330777</v>
      </c>
      <c r="E138" s="11">
        <f>SUM(Jan!E138, Feb!E138, Mar!E138)</f>
        <v>0</v>
      </c>
      <c r="F138" s="11">
        <f t="shared" si="9"/>
        <v>330777</v>
      </c>
      <c r="G138" s="12" t="str">
        <f t="shared" si="10"/>
        <v/>
      </c>
      <c r="H138" s="13">
        <f>SUM(Jan!H138, Feb!H138, Mar!H138)</f>
        <v>0</v>
      </c>
      <c r="I138" s="13">
        <f>SUM(Jan!I138, Feb!I138, Mar!I138)</f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SUM(Jan!D139, Feb!D139, Mar!D139)</f>
        <v>0</v>
      </c>
      <c r="E139" s="15">
        <f>SUM(Jan!E139, Feb!E139, Mar!E139)</f>
        <v>0</v>
      </c>
      <c r="F139" s="15">
        <f t="shared" si="9"/>
        <v>0</v>
      </c>
      <c r="G139" s="16" t="str">
        <f t="shared" si="10"/>
        <v/>
      </c>
      <c r="H139" s="17">
        <f>SUM(Jan!H139, Feb!H139, Mar!H139)</f>
        <v>0</v>
      </c>
      <c r="I139" s="17">
        <f>SUM(Jan!I139, Feb!I139, Mar!I139)</f>
        <v>0</v>
      </c>
      <c r="J139" s="16" t="str">
        <f t="shared" si="11"/>
        <v/>
      </c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SUM(Jan!D140, Feb!D140, Mar!D140)</f>
        <v>0</v>
      </c>
      <c r="E140" s="11">
        <f>SUM(Jan!E140, Feb!E140, Mar!E140)</f>
        <v>0</v>
      </c>
      <c r="F140" s="11">
        <f t="shared" si="9"/>
        <v>0</v>
      </c>
      <c r="G140" s="12" t="str">
        <f t="shared" si="10"/>
        <v/>
      </c>
      <c r="H140" s="13">
        <f>SUM(Jan!H140, Feb!H140, Mar!H140)</f>
        <v>0</v>
      </c>
      <c r="I140" s="13">
        <f>SUM(Jan!I140, Feb!I140, Mar!I140)</f>
        <v>0</v>
      </c>
      <c r="J140" s="14" t="str">
        <f t="shared" si="11"/>
        <v/>
      </c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SUM(Jan!D141, Feb!D141, Mar!D141)</f>
        <v>0</v>
      </c>
      <c r="E141" s="15">
        <f>SUM(Jan!E141, Feb!E141, Mar!E141)</f>
        <v>0</v>
      </c>
      <c r="F141" s="15">
        <f t="shared" si="9"/>
        <v>0</v>
      </c>
      <c r="G141" s="16" t="str">
        <f t="shared" si="10"/>
        <v/>
      </c>
      <c r="H141" s="17">
        <f>SUM(Jan!H141, Feb!H141, Mar!H141)</f>
        <v>0</v>
      </c>
      <c r="I141" s="17">
        <f>SUM(Jan!I141, Feb!I141, Mar!I141)</f>
        <v>0</v>
      </c>
      <c r="J141" s="16" t="str">
        <f t="shared" si="11"/>
        <v/>
      </c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SUM(Jan!D142, Feb!D142, Mar!D142)</f>
        <v>0</v>
      </c>
      <c r="E142" s="11">
        <f>SUM(Jan!E142, Feb!E142, Mar!E142)</f>
        <v>0</v>
      </c>
      <c r="F142" s="11">
        <f t="shared" si="9"/>
        <v>0</v>
      </c>
      <c r="G142" s="12" t="str">
        <f t="shared" si="10"/>
        <v/>
      </c>
      <c r="H142" s="13">
        <f>SUM(Jan!H142, Feb!H142, Mar!H142)</f>
        <v>0</v>
      </c>
      <c r="I142" s="13">
        <f>SUM(Jan!I142, Feb!I142, Mar!I142)</f>
        <v>0</v>
      </c>
      <c r="J142" s="14" t="str">
        <f t="shared" si="11"/>
        <v/>
      </c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SUM(Jan!D143, Feb!D143, Mar!D143)</f>
        <v>0</v>
      </c>
      <c r="E143" s="15">
        <f>SUM(Jan!E143, Feb!E143, Mar!E143)</f>
        <v>0</v>
      </c>
      <c r="F143" s="15">
        <f t="shared" si="9"/>
        <v>0</v>
      </c>
      <c r="G143" s="16" t="str">
        <f t="shared" si="10"/>
        <v/>
      </c>
      <c r="H143" s="17">
        <f>SUM(Jan!H143, Feb!H143, Mar!H143)</f>
        <v>0</v>
      </c>
      <c r="I143" s="17">
        <f>SUM(Jan!I143, Feb!I143, Mar!I143)</f>
        <v>0</v>
      </c>
      <c r="J143" s="16" t="str">
        <f t="shared" si="11"/>
        <v/>
      </c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SUM(Jan!D144, Feb!D144, Mar!D144)</f>
        <v>0</v>
      </c>
      <c r="E144" s="11">
        <f>SUM(Jan!E144, Feb!E144, Mar!E144)</f>
        <v>0</v>
      </c>
      <c r="F144" s="11">
        <f t="shared" si="9"/>
        <v>0</v>
      </c>
      <c r="G144" s="12" t="str">
        <f t="shared" si="10"/>
        <v/>
      </c>
      <c r="H144" s="13">
        <f>SUM(Jan!H144, Feb!H144, Mar!H144)</f>
        <v>0</v>
      </c>
      <c r="I144" s="13">
        <f>SUM(Jan!I144, Feb!I144, Mar!I144)</f>
        <v>0</v>
      </c>
      <c r="J144" s="14" t="str">
        <f t="shared" si="11"/>
        <v/>
      </c>
    </row>
    <row r="145" spans="1:10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SUM(Jan!D145, Feb!D145, Mar!D145)</f>
        <v>0</v>
      </c>
      <c r="E145" s="15">
        <f>SUM(Jan!E145, Feb!E145, Mar!E145)</f>
        <v>0</v>
      </c>
      <c r="F145" s="15">
        <f t="shared" si="9"/>
        <v>0</v>
      </c>
      <c r="G145" s="16" t="str">
        <f t="shared" si="10"/>
        <v/>
      </c>
      <c r="H145" s="17">
        <f>SUM(Jan!H145, Feb!H145, Mar!H145)</f>
        <v>0</v>
      </c>
      <c r="I145" s="17">
        <f>SUM(Jan!I145, Feb!I145, Mar!I145)</f>
        <v>0</v>
      </c>
      <c r="J145" s="16" t="str">
        <f t="shared" si="11"/>
        <v/>
      </c>
    </row>
    <row r="146" spans="1:10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SUM(Jan!D146, Feb!D146, Mar!D146)</f>
        <v>0</v>
      </c>
      <c r="E146" s="11">
        <f>SUM(Jan!E146, Feb!E146, Mar!E146)</f>
        <v>0</v>
      </c>
      <c r="F146" s="11">
        <f t="shared" ref="F146:F160" si="12">IF(AND(ISNUMBER(D146),ISNUMBER(E146)), D146-E146, "")</f>
        <v>0</v>
      </c>
      <c r="G146" s="12" t="str">
        <f t="shared" ref="G146:G160" si="13">IFERROR(F146/E146, "")</f>
        <v/>
      </c>
      <c r="H146" s="13">
        <f>SUM(Jan!H146, Feb!H146, Mar!H146)</f>
        <v>0</v>
      </c>
      <c r="I146" s="13">
        <f>SUM(Jan!I146, Feb!I146, Mar!I146)</f>
        <v>0</v>
      </c>
      <c r="J146" s="14" t="str">
        <f t="shared" ref="J146:J160" si="14">IFERROR(I146/H146, "")</f>
        <v/>
      </c>
    </row>
    <row r="147" spans="1:10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SUM(Jan!D147, Feb!D147, Mar!D147)</f>
        <v>0</v>
      </c>
      <c r="E147" s="15">
        <f>SUM(Jan!E147, Feb!E147, Mar!E147)</f>
        <v>0</v>
      </c>
      <c r="F147" s="15">
        <f t="shared" si="12"/>
        <v>0</v>
      </c>
      <c r="G147" s="16" t="str">
        <f t="shared" si="13"/>
        <v/>
      </c>
      <c r="H147" s="17">
        <f>SUM(Jan!H147, Feb!H147, Mar!H147)</f>
        <v>0</v>
      </c>
      <c r="I147" s="17">
        <f>SUM(Jan!I147, Feb!I147, Mar!I147)</f>
        <v>0</v>
      </c>
      <c r="J147" s="16" t="str">
        <f t="shared" si="14"/>
        <v/>
      </c>
    </row>
    <row r="148" spans="1:10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SUM(Jan!D148, Feb!D148, Mar!D148)</f>
        <v>0</v>
      </c>
      <c r="E148" s="11">
        <f>SUM(Jan!E148, Feb!E148, Mar!E148)</f>
        <v>0</v>
      </c>
      <c r="F148" s="11">
        <f t="shared" si="12"/>
        <v>0</v>
      </c>
      <c r="G148" s="12" t="str">
        <f t="shared" si="13"/>
        <v/>
      </c>
      <c r="H148" s="13">
        <f>SUM(Jan!H148, Feb!H148, Mar!H148)</f>
        <v>0</v>
      </c>
      <c r="I148" s="13">
        <f>SUM(Jan!I148, Feb!I148, Mar!I148)</f>
        <v>0</v>
      </c>
      <c r="J148" s="14" t="str">
        <f t="shared" si="14"/>
        <v/>
      </c>
    </row>
    <row r="149" spans="1:10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SUM(Jan!D149, Feb!D149, Mar!D149)</f>
        <v>0</v>
      </c>
      <c r="E149" s="15">
        <f>SUM(Jan!E149, Feb!E149, Mar!E149)</f>
        <v>0</v>
      </c>
      <c r="F149" s="15">
        <f t="shared" si="12"/>
        <v>0</v>
      </c>
      <c r="G149" s="16" t="str">
        <f t="shared" si="13"/>
        <v/>
      </c>
      <c r="H149" s="17">
        <f>SUM(Jan!H149, Feb!H149, Mar!H149)</f>
        <v>0</v>
      </c>
      <c r="I149" s="17">
        <f>SUM(Jan!I149, Feb!I149, Mar!I149)</f>
        <v>0</v>
      </c>
      <c r="J149" s="16" t="str">
        <f t="shared" si="14"/>
        <v/>
      </c>
    </row>
    <row r="150" spans="1:10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SUM(Jan!D150, Feb!D150, Mar!D150)</f>
        <v>0</v>
      </c>
      <c r="E150" s="11">
        <f>SUM(Jan!E150, Feb!E150, Mar!E150)</f>
        <v>0</v>
      </c>
      <c r="F150" s="11">
        <f t="shared" si="12"/>
        <v>0</v>
      </c>
      <c r="G150" s="12" t="str">
        <f t="shared" si="13"/>
        <v/>
      </c>
      <c r="H150" s="13">
        <f>SUM(Jan!H150, Feb!H150, Mar!H150)</f>
        <v>0</v>
      </c>
      <c r="I150" s="13">
        <f>SUM(Jan!I150, Feb!I150, Mar!I150)</f>
        <v>0</v>
      </c>
      <c r="J150" s="14" t="str">
        <f t="shared" si="14"/>
        <v/>
      </c>
    </row>
    <row r="151" spans="1:10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SUM(Jan!D151, Feb!D151, Mar!D151)</f>
        <v>0</v>
      </c>
      <c r="E151" s="15">
        <f>SUM(Jan!E151, Feb!E151, Mar!E151)</f>
        <v>0</v>
      </c>
      <c r="F151" s="15">
        <f t="shared" si="12"/>
        <v>0</v>
      </c>
      <c r="G151" s="16" t="str">
        <f t="shared" si="13"/>
        <v/>
      </c>
      <c r="H151" s="17">
        <f>SUM(Jan!H151, Feb!H151, Mar!H151)</f>
        <v>0</v>
      </c>
      <c r="I151" s="17">
        <f>SUM(Jan!I151, Feb!I151, Mar!I151)</f>
        <v>0</v>
      </c>
      <c r="J151" s="16" t="str">
        <f t="shared" si="14"/>
        <v/>
      </c>
    </row>
    <row r="152" spans="1:10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SUM(Jan!D152, Feb!D152, Mar!D152)</f>
        <v>0</v>
      </c>
      <c r="E152" s="11">
        <f>SUM(Jan!E152, Feb!E152, Mar!E152)</f>
        <v>0</v>
      </c>
      <c r="F152" s="11">
        <f t="shared" si="12"/>
        <v>0</v>
      </c>
      <c r="G152" s="12" t="str">
        <f t="shared" si="13"/>
        <v/>
      </c>
      <c r="H152" s="13">
        <f>SUM(Jan!H152, Feb!H152, Mar!H152)</f>
        <v>0</v>
      </c>
      <c r="I152" s="13">
        <f>SUM(Jan!I152, Feb!I152, Mar!I152)</f>
        <v>0</v>
      </c>
      <c r="J152" s="14" t="str">
        <f t="shared" si="14"/>
        <v/>
      </c>
    </row>
    <row r="153" spans="1:10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SUM(Jan!D153, Feb!D153, Mar!D153)</f>
        <v>0</v>
      </c>
      <c r="E153" s="15">
        <f>SUM(Jan!E153, Feb!E153, Mar!E153)</f>
        <v>0</v>
      </c>
      <c r="F153" s="15">
        <f t="shared" si="12"/>
        <v>0</v>
      </c>
      <c r="G153" s="16" t="str">
        <f t="shared" si="13"/>
        <v/>
      </c>
      <c r="H153" s="17">
        <f>SUM(Jan!H153, Feb!H153, Mar!H153)</f>
        <v>0</v>
      </c>
      <c r="I153" s="17">
        <f>SUM(Jan!I153, Feb!I153, Mar!I153)</f>
        <v>0</v>
      </c>
      <c r="J153" s="16" t="str">
        <f t="shared" si="14"/>
        <v/>
      </c>
    </row>
    <row r="154" spans="1:10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SUM(Jan!D154, Feb!D154, Mar!D154)</f>
        <v>0</v>
      </c>
      <c r="E154" s="11">
        <f>SUM(Jan!E154, Feb!E154, Mar!E154)</f>
        <v>0</v>
      </c>
      <c r="F154" s="11">
        <f t="shared" si="12"/>
        <v>0</v>
      </c>
      <c r="G154" s="12" t="str">
        <f t="shared" si="13"/>
        <v/>
      </c>
      <c r="H154" s="13">
        <f>SUM(Jan!H154, Feb!H154, Mar!H154)</f>
        <v>0</v>
      </c>
      <c r="I154" s="13">
        <f>SUM(Jan!I154, Feb!I154, Mar!I154)</f>
        <v>0</v>
      </c>
      <c r="J154" s="14" t="str">
        <f t="shared" si="14"/>
        <v/>
      </c>
    </row>
    <row r="155" spans="1:10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SUM(Jan!D155, Feb!D155, Mar!D155)</f>
        <v>0</v>
      </c>
      <c r="E155" s="15">
        <f>SUM(Jan!E155, Feb!E155, Mar!E155)</f>
        <v>0</v>
      </c>
      <c r="F155" s="15">
        <f t="shared" si="12"/>
        <v>0</v>
      </c>
      <c r="G155" s="16" t="str">
        <f t="shared" si="13"/>
        <v/>
      </c>
      <c r="H155" s="17">
        <f>SUM(Jan!H155, Feb!H155, Mar!H155)</f>
        <v>0</v>
      </c>
      <c r="I155" s="17">
        <f>SUM(Jan!I155, Feb!I155, Mar!I155)</f>
        <v>0</v>
      </c>
      <c r="J155" s="16" t="str">
        <f t="shared" si="14"/>
        <v/>
      </c>
    </row>
    <row r="156" spans="1:10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SUM(Jan!D156, Feb!D156, Mar!D156)</f>
        <v>0</v>
      </c>
      <c r="E156" s="11">
        <f>SUM(Jan!E156, Feb!E156, Mar!E156)</f>
        <v>0</v>
      </c>
      <c r="F156" s="11">
        <f t="shared" si="12"/>
        <v>0</v>
      </c>
      <c r="G156" s="12" t="str">
        <f t="shared" si="13"/>
        <v/>
      </c>
      <c r="H156" s="13">
        <f>SUM(Jan!H156, Feb!H156, Mar!H156)</f>
        <v>0</v>
      </c>
      <c r="I156" s="13">
        <f>SUM(Jan!I156, Feb!I156, Mar!I156)</f>
        <v>0</v>
      </c>
      <c r="J156" s="14" t="str">
        <f t="shared" si="14"/>
        <v/>
      </c>
    </row>
    <row r="157" spans="1:10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SUM(Jan!D157, Feb!D157, Mar!D157)</f>
        <v>0</v>
      </c>
      <c r="E157" s="15">
        <f>SUM(Jan!E157, Feb!E157, Mar!E157)</f>
        <v>0</v>
      </c>
      <c r="F157" s="15">
        <f t="shared" si="12"/>
        <v>0</v>
      </c>
      <c r="G157" s="16" t="str">
        <f t="shared" si="13"/>
        <v/>
      </c>
      <c r="H157" s="17">
        <f>SUM(Jan!H157, Feb!H157, Mar!H157)</f>
        <v>0</v>
      </c>
      <c r="I157" s="17">
        <f>SUM(Jan!I157, Feb!I157, Mar!I157)</f>
        <v>0</v>
      </c>
      <c r="J157" s="16" t="str">
        <f t="shared" si="14"/>
        <v/>
      </c>
    </row>
    <row r="158" spans="1:10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SUM(Jan!D158, Feb!D158, Mar!D158)</f>
        <v>0</v>
      </c>
      <c r="E158" s="11">
        <f>SUM(Jan!E158, Feb!E158, Mar!E158)</f>
        <v>0</v>
      </c>
      <c r="F158" s="11">
        <f t="shared" si="12"/>
        <v>0</v>
      </c>
      <c r="G158" s="12" t="str">
        <f t="shared" si="13"/>
        <v/>
      </c>
      <c r="H158" s="13">
        <f>SUM(Jan!H158, Feb!H158, Mar!H158)</f>
        <v>0</v>
      </c>
      <c r="I158" s="13">
        <f>SUM(Jan!I158, Feb!I158, Mar!I158)</f>
        <v>0</v>
      </c>
      <c r="J158" s="14" t="str">
        <f t="shared" si="14"/>
        <v/>
      </c>
    </row>
    <row r="159" spans="1:10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SUM(Jan!D159, Feb!D159, Mar!D159)</f>
        <v>0</v>
      </c>
      <c r="E159" s="15">
        <f>SUM(Jan!E159, Feb!E159, Mar!E159)</f>
        <v>0</v>
      </c>
      <c r="F159" s="15">
        <f t="shared" si="12"/>
        <v>0</v>
      </c>
      <c r="G159" s="16" t="str">
        <f t="shared" si="13"/>
        <v/>
      </c>
      <c r="H159" s="17">
        <f>SUM(Jan!H159, Feb!H159, Mar!H159)</f>
        <v>0</v>
      </c>
      <c r="I159" s="17">
        <f>SUM(Jan!I159, Feb!I159, Mar!I159)</f>
        <v>0</v>
      </c>
      <c r="J159" s="16" t="str">
        <f t="shared" si="14"/>
        <v/>
      </c>
    </row>
    <row r="160" spans="1:10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SUM(Jan!D160, Feb!D160, Mar!D160)</f>
        <v>0</v>
      </c>
      <c r="E160" s="11">
        <f>SUM(Jan!E160, Feb!E160, Mar!E160)</f>
        <v>0</v>
      </c>
      <c r="F160" s="11">
        <f t="shared" si="12"/>
        <v>0</v>
      </c>
      <c r="G160" s="12" t="str">
        <f t="shared" si="13"/>
        <v/>
      </c>
      <c r="H160" s="13">
        <f>SUM(Jan!H160, Feb!H160, Mar!H160)</f>
        <v>0</v>
      </c>
      <c r="I160" s="13">
        <f>SUM(Jan!I160, Feb!I160, Mar!I160)</f>
        <v>0</v>
      </c>
      <c r="J160" s="14" t="str">
        <f t="shared" si="14"/>
        <v/>
      </c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3">
    <sortCondition ref="A3"/>
  </sortState>
  <mergeCells count="4">
    <mergeCell ref="H1:J1"/>
    <mergeCell ref="A1:D1"/>
    <mergeCell ref="E1:G1"/>
    <mergeCell ref="A2:B2"/>
  </mergeCells>
  <conditionalFormatting sqref="G2 J2">
    <cfRule type="cellIs" dxfId="66" priority="7" stopIfTrue="1" operator="lessThanOrEqual">
      <formula>-0.1</formula>
    </cfRule>
    <cfRule type="expression" dxfId="65" priority="8">
      <formula>AND(ISNUMBER(G2), G2&gt;=0.1)</formula>
    </cfRule>
  </conditionalFormatting>
  <conditionalFormatting sqref="G4:G160 J4:J160">
    <cfRule type="cellIs" dxfId="64" priority="3" stopIfTrue="1" operator="lessThanOrEqual">
      <formula>-0.1</formula>
    </cfRule>
    <cfRule type="expression" dxfId="63" priority="4">
      <formula>AND(ISNUMBER(G4), G4&gt;=0.1)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L342"/>
  <sheetViews>
    <sheetView workbookViewId="0">
      <pane xSplit="2" ySplit="3" topLeftCell="D4" activePane="bottomRight" state="frozen"/>
      <selection pane="bottomRight" activeCell="N157" sqref="N157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13</v>
      </c>
      <c r="F1" s="97"/>
      <c r="G1" s="97"/>
      <c r="H1" s="95" t="s">
        <v>14</v>
      </c>
      <c r="I1" s="95"/>
      <c r="J1" s="95"/>
    </row>
    <row r="2" spans="1:12" ht="19.5" customHeight="1">
      <c r="A2" s="98" t="s">
        <v>2</v>
      </c>
      <c r="B2" s="98"/>
      <c r="C2" s="72"/>
      <c r="D2" s="6">
        <f>SUM(D4:D100)</f>
        <v>53004295.405571558</v>
      </c>
      <c r="E2" s="6">
        <f>SUM(E4:E100)</f>
        <v>23057192.655999996</v>
      </c>
      <c r="F2" s="6">
        <f>D2-E2</f>
        <v>29947102.749571562</v>
      </c>
      <c r="G2" s="7">
        <f>IFERROR(F2/E2, 0)</f>
        <v>1.2988182558199972</v>
      </c>
      <c r="H2" s="6">
        <f>SUM(H4:H100)</f>
        <v>36433862.527000003</v>
      </c>
      <c r="I2" s="8">
        <f>D2-H2</f>
        <v>16570432.878571555</v>
      </c>
      <c r="J2" s="7">
        <f>IFERROR(I2/H2, 0)</f>
        <v>0.45480856898693411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SUM(Apr!D4, May!D4, Jun!D4)</f>
        <v>43015.621250894204</v>
      </c>
      <c r="E4" s="11">
        <f>SUM(Apr!E4, May!E4, Jun!E4)</f>
        <v>25676.862999999998</v>
      </c>
      <c r="F4" s="11">
        <f>IF(AND(ISNUMBER(D4),ISNUMBER(E4)), D4-E4, "")</f>
        <v>17338.758250894207</v>
      </c>
      <c r="G4" s="12">
        <f>IFERROR(F4/E4, "")</f>
        <v>0.67526777904661517</v>
      </c>
      <c r="H4" s="13">
        <f>SUM(Apr!H4, May!H4, Jun!H4)</f>
        <v>43467.57</v>
      </c>
      <c r="I4" s="13">
        <f>SUM(Apr!I4, May!I4, Jun!I4)</f>
        <v>-451.94874910580074</v>
      </c>
      <c r="J4" s="14">
        <f>IFERROR(I4/H4, "")</f>
        <v>-1.0397377840670659E-2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SUM(Apr!D5, May!D5, Jun!D5)</f>
        <v>195784.25</v>
      </c>
      <c r="E5" s="15">
        <f>SUM(Apr!E5, May!E5, Jun!E5)</f>
        <v>148661.04</v>
      </c>
      <c r="F5" s="15">
        <f t="shared" ref="F5:F15" si="0">IF(AND(ISNUMBER(D5),ISNUMBER(E5)), D5-E5, "")</f>
        <v>47123.209999999992</v>
      </c>
      <c r="G5" s="16">
        <f>IFERROR(F5/E5, "")</f>
        <v>0.31698426164649451</v>
      </c>
      <c r="H5" s="17">
        <f>SUM(Apr!H5, May!H5, Jun!H5)</f>
        <v>236616.89</v>
      </c>
      <c r="I5" s="17">
        <f>SUM(Apr!I5, May!I5, Jun!I5)</f>
        <v>-40832.639999999999</v>
      </c>
      <c r="J5" s="16">
        <f>IFERROR(I5/H5, "")</f>
        <v>-0.17256857699380632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SUM(Apr!D6, May!D6, Jun!D6)</f>
        <v>66638.139817835603</v>
      </c>
      <c r="E6" s="11">
        <f>SUM(Apr!E6, May!E6, Jun!E6)</f>
        <v>0</v>
      </c>
      <c r="F6" s="11">
        <f t="shared" si="0"/>
        <v>66638.139817835603</v>
      </c>
      <c r="G6" s="12" t="str">
        <f t="shared" ref="G6:G15" si="1">IFERROR(F6/E6, "")</f>
        <v/>
      </c>
      <c r="H6" s="13">
        <f>SUM(Apr!H6, May!H6, Jun!H6)</f>
        <v>7250</v>
      </c>
      <c r="I6" s="13">
        <f>SUM(Apr!I6, May!I6, Jun!I6)</f>
        <v>59388.139817835603</v>
      </c>
      <c r="J6" s="14">
        <f t="shared" ref="J6:J15" si="2">IFERROR(I6/H6, "")</f>
        <v>8.1914675610807723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SUM(Apr!D7, May!D7, Jun!D7)</f>
        <v>28784.114828440041</v>
      </c>
      <c r="E7" s="15">
        <f>SUM(Apr!E7, May!E7, Jun!E7)</f>
        <v>43921.953999999998</v>
      </c>
      <c r="F7" s="15">
        <f t="shared" si="0"/>
        <v>-15137.839171559957</v>
      </c>
      <c r="G7" s="16">
        <f t="shared" si="1"/>
        <v>-0.34465313568608441</v>
      </c>
      <c r="H7" s="17">
        <f>SUM(Apr!H7, May!H7, Jun!H7)</f>
        <v>48804.72</v>
      </c>
      <c r="I7" s="17">
        <f>SUM(Apr!I7, May!I7, Jun!I7)</f>
        <v>-20020.605171559961</v>
      </c>
      <c r="J7" s="16">
        <f t="shared" si="2"/>
        <v>-0.41021862581242058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SUM(Apr!D8, May!D8, Jun!D8)</f>
        <v>91309.363835714292</v>
      </c>
      <c r="E8" s="11">
        <f>SUM(Apr!E8, May!E8, Jun!E8)</f>
        <v>96716.549999999988</v>
      </c>
      <c r="F8" s="11">
        <f t="shared" si="0"/>
        <v>-5407.1861642856966</v>
      </c>
      <c r="G8" s="12">
        <f t="shared" si="1"/>
        <v>-5.5907558368094162E-2</v>
      </c>
      <c r="H8" s="13">
        <f>SUM(Apr!H8, May!H8, Jun!H8)</f>
        <v>118637.00000000001</v>
      </c>
      <c r="I8" s="13">
        <f>SUM(Apr!I8, May!I8, Jun!I8)</f>
        <v>-27327.636164285708</v>
      </c>
      <c r="J8" s="14">
        <f t="shared" si="2"/>
        <v>-0.23034665546402644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SUM(Apr!D9, May!D9, Jun!D9)</f>
        <v>97023.823802050392</v>
      </c>
      <c r="E9" s="15">
        <f>SUM(Apr!E9, May!E9, Jun!E9)</f>
        <v>60112.319999999992</v>
      </c>
      <c r="F9" s="15">
        <f t="shared" si="0"/>
        <v>36911.5038020504</v>
      </c>
      <c r="G9" s="16">
        <f t="shared" si="1"/>
        <v>0.61404224295536092</v>
      </c>
      <c r="H9" s="17">
        <f>SUM(Apr!H9, May!H9, Jun!H9)</f>
        <v>104768.89</v>
      </c>
      <c r="I9" s="17">
        <f>SUM(Apr!I9, May!I9, Jun!I9)</f>
        <v>-7745.066197949589</v>
      </c>
      <c r="J9" s="16">
        <f t="shared" si="2"/>
        <v>-7.3925248210127914E-2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SUM(Apr!D10, May!D10, Jun!D10)</f>
        <v>43708.668732403996</v>
      </c>
      <c r="E10" s="11">
        <f>SUM(Apr!E10, May!E10, Jun!E10)</f>
        <v>24644.378000000004</v>
      </c>
      <c r="F10" s="11">
        <f t="shared" si="0"/>
        <v>19064.290732403992</v>
      </c>
      <c r="G10" s="12">
        <f t="shared" si="1"/>
        <v>0.77357565008960616</v>
      </c>
      <c r="H10" s="13">
        <f>SUM(Apr!H10, May!H10, Jun!H10)</f>
        <v>44962</v>
      </c>
      <c r="I10" s="13">
        <f>SUM(Apr!I10, May!I10, Jun!I10)</f>
        <v>-1253.3312675960005</v>
      </c>
      <c r="J10" s="14">
        <f t="shared" si="2"/>
        <v>-2.7875345126907179E-2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SUM(Apr!D11, May!D11, Jun!D11)</f>
        <v>30672.095396011391</v>
      </c>
      <c r="E11" s="15">
        <f>SUM(Apr!E11, May!E11, Jun!E11)</f>
        <v>0</v>
      </c>
      <c r="F11" s="15">
        <f t="shared" si="0"/>
        <v>30672.095396011391</v>
      </c>
      <c r="G11" s="16" t="str">
        <f t="shared" si="1"/>
        <v/>
      </c>
      <c r="H11" s="17">
        <f>SUM(Apr!H11, May!H11, Jun!H11)</f>
        <v>0</v>
      </c>
      <c r="I11" s="17">
        <f>SUM(Apr!I11, May!I11, Jun!I11)</f>
        <v>30672.095396011391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SUM(Apr!D12, May!D12, Jun!D12)</f>
        <v>252815</v>
      </c>
      <c r="E12" s="11">
        <f>SUM(Apr!E12, May!E12, Jun!E12)</f>
        <v>295661.99</v>
      </c>
      <c r="F12" s="11">
        <f t="shared" si="0"/>
        <v>-42846.989999999991</v>
      </c>
      <c r="G12" s="12">
        <f t="shared" si="1"/>
        <v>-0.1449188311287494</v>
      </c>
      <c r="H12" s="13">
        <f>SUM(Apr!H12, May!H12, Jun!H12)</f>
        <v>269722</v>
      </c>
      <c r="I12" s="13">
        <f>SUM(Apr!I12, May!I12, Jun!I12)</f>
        <v>-16907</v>
      </c>
      <c r="J12" s="14">
        <f t="shared" si="2"/>
        <v>-6.2683058853189574E-2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SUM(Apr!D13, May!D13, Jun!D13)</f>
        <v>309245.96875</v>
      </c>
      <c r="E13" s="15">
        <f>SUM(Apr!E13, May!E13, Jun!E13)</f>
        <v>379438.3</v>
      </c>
      <c r="F13" s="15">
        <f t="shared" si="0"/>
        <v>-70192.331249999988</v>
      </c>
      <c r="G13" s="16">
        <f t="shared" si="1"/>
        <v>-0.18499010576950189</v>
      </c>
      <c r="H13" s="17">
        <f>SUM(Apr!H13, May!H13, Jun!H13)</f>
        <v>393784</v>
      </c>
      <c r="I13" s="17">
        <f>SUM(Apr!I13, May!I13, Jun!I13)</f>
        <v>-84538.03125</v>
      </c>
      <c r="J13" s="16">
        <f t="shared" si="2"/>
        <v>-0.21468122435142109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SUM(Apr!D14, May!D14, Jun!D14)</f>
        <v>67831.5</v>
      </c>
      <c r="E14" s="11">
        <f>SUM(Apr!E14, May!E14, Jun!E14)</f>
        <v>0</v>
      </c>
      <c r="F14" s="11">
        <f t="shared" si="0"/>
        <v>67831.5</v>
      </c>
      <c r="G14" s="12" t="str">
        <f t="shared" si="1"/>
        <v/>
      </c>
      <c r="H14" s="13">
        <f>SUM(Apr!H14, May!H14, Jun!H14)</f>
        <v>95006</v>
      </c>
      <c r="I14" s="13">
        <f>SUM(Apr!I14, May!I14, Jun!I14)</f>
        <v>-27174.5</v>
      </c>
      <c r="J14" s="14">
        <f t="shared" si="2"/>
        <v>-0.28602930341241606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SUM(Apr!D15, May!D15, Jun!D15)</f>
        <v>55923.4287470212</v>
      </c>
      <c r="E15" s="15">
        <f>SUM(Apr!E15, May!E15, Jun!E15)</f>
        <v>24864.852000000003</v>
      </c>
      <c r="F15" s="15">
        <f t="shared" si="0"/>
        <v>31058.576747021198</v>
      </c>
      <c r="G15" s="16">
        <f t="shared" si="1"/>
        <v>1.2490955806622615</v>
      </c>
      <c r="H15" s="17">
        <f>SUM(Apr!H15, May!H15, Jun!H15)</f>
        <v>60212</v>
      </c>
      <c r="I15" s="17">
        <f>SUM(Apr!I15, May!I15, Jun!I15)</f>
        <v>-4288.5712529787997</v>
      </c>
      <c r="J15" s="16">
        <f t="shared" si="2"/>
        <v>-7.1224527552295219E-2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SUM(Apr!D16, May!D16, Jun!D16)</f>
        <v>41672.542706831089</v>
      </c>
      <c r="E16" s="11">
        <f>SUM(Apr!E16, May!E16, Jun!E16)</f>
        <v>10404.683999999999</v>
      </c>
      <c r="F16" s="11">
        <f t="shared" ref="F16:F17" si="3">IF(AND(ISNUMBER(D16),ISNUMBER(E16)), D16-E16, "")</f>
        <v>31267.858706831088</v>
      </c>
      <c r="G16" s="12">
        <f t="shared" ref="G16:G17" si="4">IFERROR(F16/E16, "")</f>
        <v>3.0051713926949719</v>
      </c>
      <c r="H16" s="13">
        <f>SUM(Apr!H16, May!H16, Jun!H16)</f>
        <v>48794</v>
      </c>
      <c r="I16" s="13">
        <f>SUM(Apr!I16, May!I16, Jun!I16)</f>
        <v>-7121.4572931689108</v>
      </c>
      <c r="J16" s="14">
        <f t="shared" ref="J16:J17" si="5">IFERROR(I16/H16, "")</f>
        <v>-0.14594944651327849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SUM(Apr!D17, May!D17, Jun!D17)</f>
        <v>261419.18000000008</v>
      </c>
      <c r="E17" s="15">
        <f>SUM(Apr!E17, May!E17, Jun!E17)</f>
        <v>77194.320000000007</v>
      </c>
      <c r="F17" s="15">
        <f t="shared" si="3"/>
        <v>184224.86000000007</v>
      </c>
      <c r="G17" s="16">
        <f t="shared" si="4"/>
        <v>2.3865079710527932</v>
      </c>
      <c r="H17" s="17">
        <f>SUM(Apr!H17, May!H17, Jun!H17)</f>
        <v>148087</v>
      </c>
      <c r="I17" s="17">
        <f>SUM(Apr!I17, May!I17, Jun!I17)</f>
        <v>113332.18000000009</v>
      </c>
      <c r="J17" s="16">
        <f t="shared" si="5"/>
        <v>0.76530809591659021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67">
        <f>SUM(Apr!D18, May!D18, Jun!D18)</f>
        <v>95910.889999999796</v>
      </c>
      <c r="E18" s="11">
        <f>SUM(Apr!E18, May!E18, Jun!E18)</f>
        <v>0</v>
      </c>
      <c r="F18" s="11">
        <f t="shared" ref="F18:F49" si="6">IF(AND(ISNUMBER(D18),ISNUMBER(E18)), D18-E18, "")</f>
        <v>95910.889999999796</v>
      </c>
      <c r="G18" s="68" t="str">
        <f t="shared" ref="G18:G49" si="7">IFERROR(F18/E18, "")</f>
        <v/>
      </c>
      <c r="H18" s="13">
        <f>SUM(Apr!H18, May!H18, Jun!H18)</f>
        <v>45550</v>
      </c>
      <c r="I18" s="13">
        <f>SUM(Apr!I18, May!I18, Jun!I18)</f>
        <v>50360.889999999796</v>
      </c>
      <c r="J18" s="14">
        <f t="shared" ref="J18:J81" si="8">IFERROR(I18/H18, "")</f>
        <v>1.1056177826564171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SUM(Apr!D19, May!D19, Jun!D19)</f>
        <v>411033.5</v>
      </c>
      <c r="E19" s="15">
        <f>SUM(Apr!E19, May!E19, Jun!E19)</f>
        <v>487327.4</v>
      </c>
      <c r="F19" s="15">
        <f t="shared" si="6"/>
        <v>-76293.900000000023</v>
      </c>
      <c r="G19" s="16">
        <f t="shared" si="7"/>
        <v>-0.15655573645151089</v>
      </c>
      <c r="H19" s="17">
        <f>SUM(Apr!H19, May!H19, Jun!H19)</f>
        <v>417551.9</v>
      </c>
      <c r="I19" s="17">
        <f>SUM(Apr!I19, May!I19, Jun!I19)</f>
        <v>-6518.4000000000087</v>
      </c>
      <c r="J19" s="16">
        <f t="shared" si="8"/>
        <v>-1.5610993507633442E-2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67">
        <f>SUM(Apr!D20, May!D20, Jun!D20)</f>
        <v>109436.125</v>
      </c>
      <c r="E20" s="11">
        <f>SUM(Apr!E20, May!E20, Jun!E20)</f>
        <v>110011.73999999999</v>
      </c>
      <c r="F20" s="11">
        <f t="shared" si="6"/>
        <v>-575.61499999999069</v>
      </c>
      <c r="G20" s="68">
        <f t="shared" si="7"/>
        <v>-5.2323052066987645E-3</v>
      </c>
      <c r="H20" s="13">
        <f>SUM(Apr!H20, May!H20, Jun!H20)</f>
        <v>110291.79000000001</v>
      </c>
      <c r="I20" s="13">
        <f>SUM(Apr!I20, May!I20, Jun!I20)</f>
        <v>-855.66500000000087</v>
      </c>
      <c r="J20" s="14">
        <f t="shared" si="8"/>
        <v>-7.7581930622397264E-3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SUM(Apr!D21, May!D21, Jun!D21)</f>
        <v>109333.6875</v>
      </c>
      <c r="E21" s="15">
        <f>SUM(Apr!E21, May!E21, Jun!E21)</f>
        <v>120612.22</v>
      </c>
      <c r="F21" s="15">
        <f t="shared" si="6"/>
        <v>-11278.532500000001</v>
      </c>
      <c r="G21" s="16">
        <f t="shared" si="7"/>
        <v>-9.3510694853307583E-2</v>
      </c>
      <c r="H21" s="17">
        <f>SUM(Apr!H21, May!H21, Jun!H21)</f>
        <v>125621.56</v>
      </c>
      <c r="I21" s="17">
        <f>SUM(Apr!I21, May!I21, Jun!I21)</f>
        <v>-16287.872499999998</v>
      </c>
      <c r="J21" s="16">
        <f t="shared" si="8"/>
        <v>-0.12965825691067678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67">
        <f>SUM(Apr!D22, May!D22, Jun!D22)</f>
        <v>76136.0625</v>
      </c>
      <c r="E22" s="11">
        <f>SUM(Apr!E22, May!E22, Jun!E22)</f>
        <v>0</v>
      </c>
      <c r="F22" s="11">
        <f t="shared" si="6"/>
        <v>76136.0625</v>
      </c>
      <c r="G22" s="68" t="str">
        <f t="shared" si="7"/>
        <v/>
      </c>
      <c r="H22" s="13">
        <f>SUM(Apr!H22, May!H22, Jun!H22)</f>
        <v>0</v>
      </c>
      <c r="I22" s="13">
        <f>SUM(Apr!I22, May!I22, Jun!I22)</f>
        <v>76136.0625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SUM(Apr!D23, May!D23, Jun!D23)</f>
        <v>102911.53125</v>
      </c>
      <c r="E23" s="15">
        <f>SUM(Apr!E23, May!E23, Jun!E23)</f>
        <v>107159.94</v>
      </c>
      <c r="F23" s="15">
        <f t="shared" si="6"/>
        <v>-4248.4087500000023</v>
      </c>
      <c r="G23" s="16">
        <f t="shared" si="7"/>
        <v>-3.9645493922449024E-2</v>
      </c>
      <c r="H23" s="17">
        <f>SUM(Apr!H23, May!H23, Jun!H23)</f>
        <v>113574</v>
      </c>
      <c r="I23" s="17">
        <f>SUM(Apr!I23, May!I23, Jun!I23)</f>
        <v>-10662.46875</v>
      </c>
      <c r="J23" s="16">
        <f t="shared" si="8"/>
        <v>-9.3881247028369169E-2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67">
        <f>SUM(Apr!D24, May!D24, Jun!D24)</f>
        <v>82610.3125</v>
      </c>
      <c r="E24" s="11">
        <f>SUM(Apr!E24, May!E24, Jun!E24)</f>
        <v>85719.52</v>
      </c>
      <c r="F24" s="11">
        <f t="shared" si="6"/>
        <v>-3109.2075000000041</v>
      </c>
      <c r="G24" s="68">
        <f t="shared" si="7"/>
        <v>-3.6271872497652853E-2</v>
      </c>
      <c r="H24" s="13">
        <f>SUM(Apr!H24, May!H24, Jun!H24)</f>
        <v>69558.69</v>
      </c>
      <c r="I24" s="13">
        <f>SUM(Apr!I24, May!I24, Jun!I24)</f>
        <v>13051.622499999998</v>
      </c>
      <c r="J24" s="14">
        <f t="shared" si="8"/>
        <v>0.1876346794340146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SUM(Apr!D25, May!D25, Jun!D25)</f>
        <v>22640.687499999989</v>
      </c>
      <c r="E25" s="15">
        <f>SUM(Apr!E25, May!E25, Jun!E25)</f>
        <v>35267.46</v>
      </c>
      <c r="F25" s="15">
        <f t="shared" si="6"/>
        <v>-12626.77250000001</v>
      </c>
      <c r="G25" s="16">
        <f t="shared" si="7"/>
        <v>-0.35802897345031398</v>
      </c>
      <c r="H25" s="17">
        <f>SUM(Apr!H25, May!H25, Jun!H25)</f>
        <v>25963.597999999998</v>
      </c>
      <c r="I25" s="17">
        <f>SUM(Apr!I25, May!I25, Jun!I25)</f>
        <v>-3322.9105000000118</v>
      </c>
      <c r="J25" s="16">
        <f t="shared" si="8"/>
        <v>-0.12798343665619888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67">
        <f>SUM(Apr!D26, May!D26, Jun!D26)</f>
        <v>31613.25</v>
      </c>
      <c r="E26" s="11">
        <f>SUM(Apr!E26, May!E26, Jun!E26)</f>
        <v>32716.2</v>
      </c>
      <c r="F26" s="11">
        <f t="shared" si="6"/>
        <v>-1102.9500000000007</v>
      </c>
      <c r="G26" s="68">
        <f t="shared" si="7"/>
        <v>-3.371265611531904E-2</v>
      </c>
      <c r="H26" s="13">
        <f>SUM(Apr!H26, May!H26, Jun!H26)</f>
        <v>5866</v>
      </c>
      <c r="I26" s="13">
        <f>SUM(Apr!I26, May!I26, Jun!I26)</f>
        <v>25747.25</v>
      </c>
      <c r="J26" s="14">
        <f t="shared" si="8"/>
        <v>4.3892345721104675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SUM(Apr!D27, May!D27, Jun!D27)</f>
        <v>115096.375</v>
      </c>
      <c r="E27" s="15">
        <f>SUM(Apr!E27, May!E27, Jun!E27)</f>
        <v>124528.3</v>
      </c>
      <c r="F27" s="15">
        <f t="shared" si="6"/>
        <v>-9431.9250000000029</v>
      </c>
      <c r="G27" s="16">
        <f t="shared" si="7"/>
        <v>-7.5741217056685128E-2</v>
      </c>
      <c r="H27" s="17">
        <f>SUM(Apr!H27, May!H27, Jun!H27)</f>
        <v>128950.44999999998</v>
      </c>
      <c r="I27" s="17">
        <f>SUM(Apr!I27, May!I27, Jun!I27)</f>
        <v>-13854.074999999997</v>
      </c>
      <c r="J27" s="16">
        <f t="shared" si="8"/>
        <v>-0.10743719777635517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67">
        <f>SUM(Apr!D28, May!D28, Jun!D28)</f>
        <v>68198.50390625</v>
      </c>
      <c r="E28" s="11">
        <f>SUM(Apr!E28, May!E28, Jun!E28)</f>
        <v>0</v>
      </c>
      <c r="F28" s="11">
        <f t="shared" si="6"/>
        <v>68198.50390625</v>
      </c>
      <c r="G28" s="68" t="str">
        <f t="shared" si="7"/>
        <v/>
      </c>
      <c r="H28" s="13">
        <f>SUM(Apr!H28, May!H28, Jun!H28)</f>
        <v>0</v>
      </c>
      <c r="I28" s="13">
        <f>SUM(Apr!I28, May!I28, Jun!I28)</f>
        <v>68198.50390625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SUM(Apr!D29, May!D29, Jun!D29)</f>
        <v>72811.875</v>
      </c>
      <c r="E29" s="15">
        <f>SUM(Apr!E29, May!E29, Jun!E29)</f>
        <v>76019.709999999992</v>
      </c>
      <c r="F29" s="15">
        <f t="shared" si="6"/>
        <v>-3207.8349999999919</v>
      </c>
      <c r="G29" s="16">
        <f t="shared" si="7"/>
        <v>-4.2197411697571491E-2</v>
      </c>
      <c r="H29" s="17">
        <f>SUM(Apr!H29, May!H29, Jun!H29)</f>
        <v>68630.350000000006</v>
      </c>
      <c r="I29" s="17">
        <f>SUM(Apr!I29, May!I29, Jun!I29)</f>
        <v>4181.5250000000015</v>
      </c>
      <c r="J29" s="16">
        <f t="shared" si="8"/>
        <v>6.0928219075088517E-2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67">
        <f>SUM(Apr!D30, May!D30, Jun!D30)</f>
        <v>68003.9375</v>
      </c>
      <c r="E30" s="11">
        <f>SUM(Apr!E30, May!E30, Jun!E30)</f>
        <v>6230.46</v>
      </c>
      <c r="F30" s="11">
        <f t="shared" si="6"/>
        <v>61773.477500000001</v>
      </c>
      <c r="G30" s="68">
        <f t="shared" si="7"/>
        <v>9.9147538865509137</v>
      </c>
      <c r="H30" s="13">
        <f>SUM(Apr!H30, May!H30, Jun!H30)</f>
        <v>75435.86</v>
      </c>
      <c r="I30" s="13">
        <f>SUM(Apr!I30, May!I30, Jun!I30)</f>
        <v>-7431.9225000000006</v>
      </c>
      <c r="J30" s="14">
        <f t="shared" si="8"/>
        <v>-9.8519755723604135E-2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SUM(Apr!D31, May!D31, Jun!D31)</f>
        <v>77233.1875</v>
      </c>
      <c r="E31" s="15">
        <f>SUM(Apr!E31, May!E31, Jun!E31)</f>
        <v>0</v>
      </c>
      <c r="F31" s="15">
        <f t="shared" si="6"/>
        <v>77233.1875</v>
      </c>
      <c r="G31" s="16" t="str">
        <f t="shared" si="7"/>
        <v/>
      </c>
      <c r="H31" s="17">
        <f>SUM(Apr!H31, May!H31, Jun!H31)</f>
        <v>84109</v>
      </c>
      <c r="I31" s="17">
        <f>SUM(Apr!I31, May!I31, Jun!I31)</f>
        <v>-6875.8125</v>
      </c>
      <c r="J31" s="16">
        <f t="shared" si="8"/>
        <v>-8.1748831872926794E-2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67">
        <f>SUM(Apr!D32, May!D32, Jun!D32)</f>
        <v>60814.359375</v>
      </c>
      <c r="E32" s="11">
        <f>SUM(Apr!E32, May!E32, Jun!E32)</f>
        <v>52314.31</v>
      </c>
      <c r="F32" s="11">
        <f t="shared" si="6"/>
        <v>8500.0493750000023</v>
      </c>
      <c r="G32" s="68">
        <f t="shared" si="7"/>
        <v>0.16248038777535254</v>
      </c>
      <c r="H32" s="13">
        <f>SUM(Apr!H32, May!H32, Jun!H32)</f>
        <v>57527</v>
      </c>
      <c r="I32" s="13">
        <f>SUM(Apr!I32, May!I32, Jun!I32)</f>
        <v>3287.359375</v>
      </c>
      <c r="J32" s="14">
        <f t="shared" si="8"/>
        <v>5.7144634258695919E-2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SUM(Apr!D33, May!D33, Jun!D33)</f>
        <v>66472.625</v>
      </c>
      <c r="E33" s="15">
        <f>SUM(Apr!E33, May!E33, Jun!E33)</f>
        <v>68176.13</v>
      </c>
      <c r="F33" s="15">
        <f t="shared" si="6"/>
        <v>-1703.5050000000047</v>
      </c>
      <c r="G33" s="16">
        <f t="shared" si="7"/>
        <v>-2.4986824567484318E-2</v>
      </c>
      <c r="H33" s="17">
        <f>SUM(Apr!H33, May!H33, Jun!H33)</f>
        <v>0</v>
      </c>
      <c r="I33" s="17">
        <f>SUM(Apr!I33, May!I33, Jun!I33)</f>
        <v>66472.625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67">
        <f>SUM(Apr!D34, May!D34, Jun!D34)</f>
        <v>66890.0625</v>
      </c>
      <c r="E34" s="11">
        <f>SUM(Apr!E34, May!E34, Jun!E34)</f>
        <v>75709.5</v>
      </c>
      <c r="F34" s="11">
        <f t="shared" si="6"/>
        <v>-8819.4375</v>
      </c>
      <c r="G34" s="68">
        <f t="shared" si="7"/>
        <v>-0.11649049987121828</v>
      </c>
      <c r="H34" s="13">
        <f>SUM(Apr!H34, May!H34, Jun!H34)</f>
        <v>79866</v>
      </c>
      <c r="I34" s="13">
        <f>SUM(Apr!I34, May!I34, Jun!I34)</f>
        <v>-12975.9375</v>
      </c>
      <c r="J34" s="14">
        <f t="shared" si="8"/>
        <v>-0.16247135827511081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SUM(Apr!D35, May!D35, Jun!D35)</f>
        <v>74964.9375</v>
      </c>
      <c r="E35" s="15">
        <f>SUM(Apr!E35, May!E35, Jun!E35)</f>
        <v>46889.86</v>
      </c>
      <c r="F35" s="15">
        <f t="shared" si="6"/>
        <v>28075.077499999999</v>
      </c>
      <c r="G35" s="16">
        <f t="shared" si="7"/>
        <v>0.59874517646245906</v>
      </c>
      <c r="H35" s="17">
        <f>SUM(Apr!H35, May!H35, Jun!H35)</f>
        <v>40404</v>
      </c>
      <c r="I35" s="17">
        <f>SUM(Apr!I35, May!I35, Jun!I35)</f>
        <v>34560.9375</v>
      </c>
      <c r="J35" s="16">
        <f t="shared" si="8"/>
        <v>0.85538405850905852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67">
        <f>SUM(Apr!D36, May!D36, Jun!D36)</f>
        <v>65127.4074160448</v>
      </c>
      <c r="E36" s="11">
        <f>SUM(Apr!E36, May!E36, Jun!E36)</f>
        <v>70607.78</v>
      </c>
      <c r="F36" s="11">
        <f t="shared" si="6"/>
        <v>-5480.3725839551989</v>
      </c>
      <c r="G36" s="68">
        <f t="shared" si="7"/>
        <v>-7.7617120718923599E-2</v>
      </c>
      <c r="H36" s="13">
        <f>SUM(Apr!H36, May!H36, Jun!H36)</f>
        <v>76086.03</v>
      </c>
      <c r="I36" s="13">
        <f>SUM(Apr!I36, May!I36, Jun!I36)</f>
        <v>-10958.622583955199</v>
      </c>
      <c r="J36" s="14">
        <f t="shared" si="8"/>
        <v>-0.14402936496956403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SUM(Apr!D37, May!D37, Jun!D37)</f>
        <v>267542.69281249988</v>
      </c>
      <c r="E37" s="15">
        <f>SUM(Apr!E37, May!E37, Jun!E37)</f>
        <v>0</v>
      </c>
      <c r="F37" s="15">
        <f t="shared" si="6"/>
        <v>267542.69281249988</v>
      </c>
      <c r="G37" s="16" t="str">
        <f t="shared" si="7"/>
        <v/>
      </c>
      <c r="H37" s="17">
        <f>SUM(Apr!H37, May!H37, Jun!H37)</f>
        <v>0</v>
      </c>
      <c r="I37" s="17">
        <f>SUM(Apr!I37, May!I37, Jun!I37)</f>
        <v>267542.69281249988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67">
        <f>SUM(Apr!D38, May!D38, Jun!D38)</f>
        <v>67086.15625</v>
      </c>
      <c r="E38" s="11">
        <f>SUM(Apr!E38, May!E38, Jun!E38)</f>
        <v>74526.650000000009</v>
      </c>
      <c r="F38" s="11">
        <f t="shared" si="6"/>
        <v>-7440.4937500000087</v>
      </c>
      <c r="G38" s="68">
        <f t="shared" si="7"/>
        <v>-9.9836685937178288E-2</v>
      </c>
      <c r="H38" s="13">
        <f>SUM(Apr!H38, May!H38, Jun!H38)</f>
        <v>0</v>
      </c>
      <c r="I38" s="13">
        <f>SUM(Apr!I38, May!I38, Jun!I38)</f>
        <v>67086.15625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SUM(Apr!D39, May!D39, Jun!D39)</f>
        <v>69440.90625</v>
      </c>
      <c r="E39" s="15">
        <f>SUM(Apr!E39, May!E39, Jun!E39)</f>
        <v>74901.209999999992</v>
      </c>
      <c r="F39" s="15">
        <f t="shared" si="6"/>
        <v>-5460.3037499999919</v>
      </c>
      <c r="G39" s="16">
        <f t="shared" si="7"/>
        <v>-7.2900073977442983E-2</v>
      </c>
      <c r="H39" s="17">
        <f>SUM(Apr!H39, May!H39, Jun!H39)</f>
        <v>80751.009999999995</v>
      </c>
      <c r="I39" s="17">
        <f>SUM(Apr!I39, May!I39, Jun!I39)</f>
        <v>-11310.103749999998</v>
      </c>
      <c r="J39" s="16">
        <f t="shared" si="8"/>
        <v>-0.14006145248214233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67">
        <f>SUM(Apr!D40, May!D40, Jun!D40)</f>
        <v>79815.75</v>
      </c>
      <c r="E40" s="11">
        <f>SUM(Apr!E40, May!E40, Jun!E40)</f>
        <v>93753.62</v>
      </c>
      <c r="F40" s="11">
        <f t="shared" si="6"/>
        <v>-13937.869999999995</v>
      </c>
      <c r="G40" s="68">
        <f t="shared" si="7"/>
        <v>-0.14866487288704155</v>
      </c>
      <c r="H40" s="13">
        <f>SUM(Apr!H40, May!H40, Jun!H40)</f>
        <v>85468.13</v>
      </c>
      <c r="I40" s="13">
        <f>SUM(Apr!I40, May!I40, Jun!I40)</f>
        <v>-5652.380000000001</v>
      </c>
      <c r="J40" s="14">
        <f t="shared" si="8"/>
        <v>-6.6134359088001582E-2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SUM(Apr!D41, May!D41, Jun!D41)</f>
        <v>112849.640625</v>
      </c>
      <c r="E41" s="15">
        <f>SUM(Apr!E41, May!E41, Jun!E41)</f>
        <v>0</v>
      </c>
      <c r="F41" s="15">
        <f t="shared" si="6"/>
        <v>112849.640625</v>
      </c>
      <c r="G41" s="16" t="str">
        <f t="shared" si="7"/>
        <v/>
      </c>
      <c r="H41" s="17">
        <f>SUM(Apr!H41, May!H41, Jun!H41)</f>
        <v>0</v>
      </c>
      <c r="I41" s="17">
        <f>SUM(Apr!I41, May!I41, Jun!I41)</f>
        <v>112849.640625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67">
        <f>SUM(Apr!D42, May!D42, Jun!D42)</f>
        <v>76420.71875</v>
      </c>
      <c r="E42" s="11">
        <f>SUM(Apr!E42, May!E42, Jun!E42)</f>
        <v>66180.710000000006</v>
      </c>
      <c r="F42" s="11">
        <f t="shared" si="6"/>
        <v>10240.008749999994</v>
      </c>
      <c r="G42" s="68">
        <f t="shared" si="7"/>
        <v>0.15472799778062207</v>
      </c>
      <c r="H42" s="13">
        <f>SUM(Apr!H42, May!H42, Jun!H42)</f>
        <v>67621.52</v>
      </c>
      <c r="I42" s="13">
        <f>SUM(Apr!I42, May!I42, Jun!I42)</f>
        <v>8799.1987499999996</v>
      </c>
      <c r="J42" s="14">
        <f t="shared" si="8"/>
        <v>0.13012423781660037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SUM(Apr!D43, May!D43, Jun!D43)</f>
        <v>61787.25</v>
      </c>
      <c r="E43" s="15">
        <f>SUM(Apr!E43, May!E43, Jun!E43)</f>
        <v>0</v>
      </c>
      <c r="F43" s="15">
        <f t="shared" si="6"/>
        <v>61787.25</v>
      </c>
      <c r="G43" s="16" t="str">
        <f t="shared" si="7"/>
        <v/>
      </c>
      <c r="H43" s="17">
        <f>SUM(Apr!H43, May!H43, Jun!H43)</f>
        <v>0</v>
      </c>
      <c r="I43" s="17">
        <f>SUM(Apr!I43, May!I43, Jun!I43)</f>
        <v>61787.25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67">
        <f>SUM(Apr!D44, May!D44, Jun!D44)</f>
        <v>22550.208061793339</v>
      </c>
      <c r="E44" s="11">
        <f>SUM(Apr!E44, May!E44, Jun!E44)</f>
        <v>23366.442000000003</v>
      </c>
      <c r="F44" s="11">
        <f t="shared" si="6"/>
        <v>-816.23393820666388</v>
      </c>
      <c r="G44" s="68">
        <f t="shared" si="7"/>
        <v>-3.493188814140654E-2</v>
      </c>
      <c r="H44" s="13">
        <f>SUM(Apr!H44, May!H44, Jun!H44)</f>
        <v>32696.786</v>
      </c>
      <c r="I44" s="13">
        <f>SUM(Apr!I44, May!I44, Jun!I44)</f>
        <v>-10146.577938206659</v>
      </c>
      <c r="J44" s="14">
        <f t="shared" si="8"/>
        <v>-0.31032340420880083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SUM(Apr!D45, May!D45, Jun!D45)</f>
        <v>95909.40625</v>
      </c>
      <c r="E45" s="15">
        <f>SUM(Apr!E45, May!E45, Jun!E45)</f>
        <v>96533.38</v>
      </c>
      <c r="F45" s="15">
        <f t="shared" si="6"/>
        <v>-623.97375000000466</v>
      </c>
      <c r="G45" s="16">
        <f t="shared" si="7"/>
        <v>-6.4638133462228782E-3</v>
      </c>
      <c r="H45" s="17">
        <f>SUM(Apr!H45, May!H45, Jun!H45)</f>
        <v>87289</v>
      </c>
      <c r="I45" s="17">
        <f>SUM(Apr!I45, May!I45, Jun!I45)</f>
        <v>8620.40625</v>
      </c>
      <c r="J45" s="16">
        <f t="shared" si="8"/>
        <v>9.875707420178946E-2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67">
        <f>SUM(Apr!D46, May!D46, Jun!D46)</f>
        <v>63471.625</v>
      </c>
      <c r="E46" s="11">
        <f>SUM(Apr!E46, May!E46, Jun!E46)</f>
        <v>62934.400000000001</v>
      </c>
      <c r="F46" s="11">
        <f t="shared" si="6"/>
        <v>537.22499999999854</v>
      </c>
      <c r="G46" s="68">
        <f t="shared" si="7"/>
        <v>8.5362695123811227E-3</v>
      </c>
      <c r="H46" s="13">
        <f>SUM(Apr!H46, May!H46, Jun!H46)</f>
        <v>68552.2</v>
      </c>
      <c r="I46" s="13">
        <f>SUM(Apr!I46, May!I46, Jun!I46)</f>
        <v>-5080.5750000000007</v>
      </c>
      <c r="J46" s="14">
        <f t="shared" si="8"/>
        <v>-7.4112501130525366E-2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SUM(Apr!D47, May!D47, Jun!D47)</f>
        <v>50552.875</v>
      </c>
      <c r="E47" s="15">
        <f>SUM(Apr!E47, May!E47, Jun!E47)</f>
        <v>49240.67</v>
      </c>
      <c r="F47" s="15">
        <f t="shared" si="6"/>
        <v>1312.2050000000017</v>
      </c>
      <c r="G47" s="16">
        <f t="shared" si="7"/>
        <v>2.6648804738034673E-2</v>
      </c>
      <c r="H47" s="17">
        <f>SUM(Apr!H47, May!H47, Jun!H47)</f>
        <v>24156.214</v>
      </c>
      <c r="I47" s="17">
        <f>SUM(Apr!I47, May!I47, Jun!I47)</f>
        <v>26396.661</v>
      </c>
      <c r="J47" s="16">
        <f t="shared" si="8"/>
        <v>1.0927482675886213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67">
        <f>SUM(Apr!D48, May!D48, Jun!D48)</f>
        <v>79732.5625</v>
      </c>
      <c r="E48" s="11">
        <f>SUM(Apr!E48, May!E48, Jun!E48)</f>
        <v>86484.65</v>
      </c>
      <c r="F48" s="11">
        <f t="shared" si="6"/>
        <v>-6752.0874999999942</v>
      </c>
      <c r="G48" s="68">
        <f t="shared" si="7"/>
        <v>-7.8072669543092263E-2</v>
      </c>
      <c r="H48" s="13">
        <f>SUM(Apr!H48, May!H48, Jun!H48)</f>
        <v>43488</v>
      </c>
      <c r="I48" s="13">
        <f>SUM(Apr!I48, May!I48, Jun!I48)</f>
        <v>36244.5625</v>
      </c>
      <c r="J48" s="14">
        <f t="shared" si="8"/>
        <v>0.83343824733259753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SUM(Apr!D49, May!D49, Jun!D49)</f>
        <v>56648.75</v>
      </c>
      <c r="E49" s="15">
        <f>SUM(Apr!E49, May!E49, Jun!E49)</f>
        <v>57711.78</v>
      </c>
      <c r="F49" s="15">
        <f t="shared" si="6"/>
        <v>-1063.0299999999988</v>
      </c>
      <c r="G49" s="16">
        <f t="shared" si="7"/>
        <v>-1.8419636337676622E-2</v>
      </c>
      <c r="H49" s="17">
        <f>SUM(Apr!H49, May!H49, Jun!H49)</f>
        <v>57835.140000000007</v>
      </c>
      <c r="I49" s="17">
        <f>SUM(Apr!I49, May!I49, Jun!I49)</f>
        <v>-1186.3900000000031</v>
      </c>
      <c r="J49" s="16">
        <f t="shared" si="8"/>
        <v>-2.0513307307633438E-2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67">
        <f>SUM(Apr!D50, May!D50, Jun!D50)</f>
        <v>72849.90625</v>
      </c>
      <c r="E50" s="11">
        <f>SUM(Apr!E50, May!E50, Jun!E50)</f>
        <v>77695.37</v>
      </c>
      <c r="F50" s="11">
        <f t="shared" ref="F50:F81" si="9">IF(AND(ISNUMBER(D50),ISNUMBER(E50)), D50-E50, "")</f>
        <v>-4845.4637499999953</v>
      </c>
      <c r="G50" s="68">
        <f t="shared" ref="G50:G81" si="10">IFERROR(F50/E50, "")</f>
        <v>-6.2364897033117879E-2</v>
      </c>
      <c r="H50" s="13">
        <f>SUM(Apr!H50, May!H50, Jun!H50)</f>
        <v>78831.820000000007</v>
      </c>
      <c r="I50" s="13">
        <f>SUM(Apr!I50, May!I50, Jun!I50)</f>
        <v>-5981.9137500000033</v>
      </c>
      <c r="J50" s="14">
        <f t="shared" si="8"/>
        <v>-7.5881969362118024E-2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SUM(Apr!D51, May!D51, Jun!D51)</f>
        <v>44516.1875</v>
      </c>
      <c r="E51" s="15">
        <f>SUM(Apr!E51, May!E51, Jun!E51)</f>
        <v>49302.42</v>
      </c>
      <c r="F51" s="15">
        <f t="shared" si="9"/>
        <v>-4786.2324999999983</v>
      </c>
      <c r="G51" s="16">
        <f t="shared" si="10"/>
        <v>-9.7079058188218714E-2</v>
      </c>
      <c r="H51" s="17">
        <f>SUM(Apr!H51, May!H51, Jun!H51)</f>
        <v>45283</v>
      </c>
      <c r="I51" s="17">
        <f>SUM(Apr!I51, May!I51, Jun!I51)</f>
        <v>-766.8125</v>
      </c>
      <c r="J51" s="16">
        <f t="shared" si="8"/>
        <v>-1.6933783097409623E-2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67">
        <f>SUM(Apr!D52, May!D52, Jun!D52)</f>
        <v>66563.875</v>
      </c>
      <c r="E52" s="11">
        <f>SUM(Apr!E52, May!E52, Jun!E52)</f>
        <v>80232.36</v>
      </c>
      <c r="F52" s="11">
        <f t="shared" si="9"/>
        <v>-13668.485000000001</v>
      </c>
      <c r="G52" s="68">
        <f t="shared" si="10"/>
        <v>-0.17036124825444496</v>
      </c>
      <c r="H52" s="13">
        <f>SUM(Apr!H52, May!H52, Jun!H52)</f>
        <v>86102.87</v>
      </c>
      <c r="I52" s="13">
        <f>SUM(Apr!I52, May!I52, Jun!I52)</f>
        <v>-19538.994999999999</v>
      </c>
      <c r="J52" s="14">
        <f t="shared" si="8"/>
        <v>-0.22692617563154399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SUM(Apr!D53, May!D53, Jun!D53)</f>
        <v>120692.125</v>
      </c>
      <c r="E53" s="15">
        <f>SUM(Apr!E53, May!E53, Jun!E53)</f>
        <v>132613.73000000001</v>
      </c>
      <c r="F53" s="15">
        <f t="shared" si="9"/>
        <v>-11921.60500000001</v>
      </c>
      <c r="G53" s="16">
        <f t="shared" si="10"/>
        <v>-8.989721501687653E-2</v>
      </c>
      <c r="H53" s="17">
        <f>SUM(Apr!H53, May!H53, Jun!H53)</f>
        <v>119353.60999999999</v>
      </c>
      <c r="I53" s="17">
        <f>SUM(Apr!I53, May!I53, Jun!I53)</f>
        <v>1338.5149999999994</v>
      </c>
      <c r="J53" s="16">
        <f t="shared" si="8"/>
        <v>1.1214700585931164E-2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67">
        <f>SUM(Apr!D54, May!D54, Jun!D54)</f>
        <v>97885</v>
      </c>
      <c r="E54" s="11">
        <f>SUM(Apr!E54, May!E54, Jun!E54)</f>
        <v>99606.69</v>
      </c>
      <c r="F54" s="11">
        <f t="shared" si="9"/>
        <v>-1721.6900000000023</v>
      </c>
      <c r="G54" s="68">
        <f t="shared" si="10"/>
        <v>-1.728488317401173E-2</v>
      </c>
      <c r="H54" s="13">
        <f>SUM(Apr!H54, May!H54, Jun!H54)</f>
        <v>86252</v>
      </c>
      <c r="I54" s="13">
        <f>SUM(Apr!I54, May!I54, Jun!I54)</f>
        <v>11633</v>
      </c>
      <c r="J54" s="14">
        <f t="shared" si="8"/>
        <v>0.1348722348467282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SUM(Apr!D55, May!D55, Jun!D55)</f>
        <v>44033.031250000102</v>
      </c>
      <c r="E55" s="15">
        <f>SUM(Apr!E55, May!E55, Jun!E55)</f>
        <v>48752.160000000003</v>
      </c>
      <c r="F55" s="15">
        <f t="shared" si="9"/>
        <v>-4719.1287499999016</v>
      </c>
      <c r="G55" s="16">
        <f t="shared" si="10"/>
        <v>-9.6798352114037645E-2</v>
      </c>
      <c r="H55" s="17">
        <f>SUM(Apr!H55, May!H55, Jun!H55)</f>
        <v>49004.39</v>
      </c>
      <c r="I55" s="17">
        <f>SUM(Apr!I55, May!I55, Jun!I55)</f>
        <v>-4971.3587499999012</v>
      </c>
      <c r="J55" s="16">
        <f t="shared" si="8"/>
        <v>-0.10144721217833548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67">
        <f>SUM(Apr!D56, May!D56, Jun!D56)</f>
        <v>162127.00000000012</v>
      </c>
      <c r="E56" s="11">
        <f>SUM(Apr!E56, May!E56, Jun!E56)</f>
        <v>168625.82</v>
      </c>
      <c r="F56" s="11">
        <f t="shared" si="9"/>
        <v>-6498.8199999998906</v>
      </c>
      <c r="G56" s="68">
        <f t="shared" si="10"/>
        <v>-3.8539886714857134E-2</v>
      </c>
      <c r="H56" s="13">
        <f>SUM(Apr!H56, May!H56, Jun!H56)</f>
        <v>0</v>
      </c>
      <c r="I56" s="13">
        <f>SUM(Apr!I56, May!I56, Jun!I56)</f>
        <v>162127.00000000012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SUM(Apr!D57, May!D57, Jun!D57)</f>
        <v>175627.875</v>
      </c>
      <c r="E57" s="15">
        <f>SUM(Apr!E57, May!E57, Jun!E57)</f>
        <v>187037.68</v>
      </c>
      <c r="F57" s="15">
        <f t="shared" si="9"/>
        <v>-11409.804999999993</v>
      </c>
      <c r="G57" s="16">
        <f t="shared" si="10"/>
        <v>-6.100270811742315E-2</v>
      </c>
      <c r="H57" s="17">
        <f>SUM(Apr!H57, May!H57, Jun!H57)</f>
        <v>140283.52000000002</v>
      </c>
      <c r="I57" s="17">
        <f>SUM(Apr!I57, May!I57, Jun!I57)</f>
        <v>35344.354999999996</v>
      </c>
      <c r="J57" s="16">
        <f t="shared" si="8"/>
        <v>0.25194944495262162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67">
        <f>SUM(Apr!D58, May!D58, Jun!D58)</f>
        <v>159207.796875</v>
      </c>
      <c r="E58" s="11">
        <f>SUM(Apr!E58, May!E58, Jun!E58)</f>
        <v>132489.75</v>
      </c>
      <c r="F58" s="11">
        <f t="shared" si="9"/>
        <v>26718.046875</v>
      </c>
      <c r="G58" s="68">
        <f t="shared" si="10"/>
        <v>0.20166123700135294</v>
      </c>
      <c r="H58" s="13">
        <f>SUM(Apr!H58, May!H58, Jun!H58)</f>
        <v>0</v>
      </c>
      <c r="I58" s="13">
        <f>SUM(Apr!I58, May!I58, Jun!I58)</f>
        <v>159207.796875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SUM(Apr!D59, May!D59, Jun!D59)</f>
        <v>188257.9296875</v>
      </c>
      <c r="E59" s="15">
        <f>SUM(Apr!E59, May!E59, Jun!E59)</f>
        <v>147021.25</v>
      </c>
      <c r="F59" s="15">
        <f t="shared" si="9"/>
        <v>41236.6796875</v>
      </c>
      <c r="G59" s="16">
        <f t="shared" si="10"/>
        <v>0.28048108479216438</v>
      </c>
      <c r="H59" s="17">
        <f>SUM(Apr!H59, May!H59, Jun!H59)</f>
        <v>153974.54</v>
      </c>
      <c r="I59" s="17">
        <f>SUM(Apr!I59, May!I59, Jun!I59)</f>
        <v>34283.389687499999</v>
      </c>
      <c r="J59" s="16">
        <f t="shared" si="8"/>
        <v>0.22265622412315697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67">
        <f>SUM(Apr!D60, May!D60, Jun!D60)</f>
        <v>152911.3125</v>
      </c>
      <c r="E60" s="11">
        <f>SUM(Apr!E60, May!E60, Jun!E60)</f>
        <v>0</v>
      </c>
      <c r="F60" s="11">
        <f t="shared" si="9"/>
        <v>152911.3125</v>
      </c>
      <c r="G60" s="68" t="str">
        <f t="shared" si="10"/>
        <v/>
      </c>
      <c r="H60" s="13">
        <f>SUM(Apr!H60, May!H60, Jun!H60)</f>
        <v>166249.69</v>
      </c>
      <c r="I60" s="13">
        <f>SUM(Apr!I60, May!I60, Jun!I60)</f>
        <v>-13338.377500000002</v>
      </c>
      <c r="J60" s="14">
        <f t="shared" si="8"/>
        <v>-8.0230991708916885E-2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SUM(Apr!D61, May!D61, Jun!D61)</f>
        <v>233653.125</v>
      </c>
      <c r="E61" s="15">
        <f>SUM(Apr!E61, May!E61, Jun!E61)</f>
        <v>238612.35</v>
      </c>
      <c r="F61" s="15">
        <f t="shared" si="9"/>
        <v>-4959.2250000000058</v>
      </c>
      <c r="G61" s="16">
        <f t="shared" si="10"/>
        <v>-2.0783605710266068E-2</v>
      </c>
      <c r="H61" s="17">
        <f>SUM(Apr!H61, May!H61, Jun!H61)</f>
        <v>248515.88</v>
      </c>
      <c r="I61" s="17">
        <f>SUM(Apr!I61, May!I61, Jun!I61)</f>
        <v>-14862.755000000005</v>
      </c>
      <c r="J61" s="16">
        <f t="shared" si="8"/>
        <v>-5.980605746401399E-2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67">
        <f>SUM(Apr!D62, May!D62, Jun!D62)</f>
        <v>19958.900000000001</v>
      </c>
      <c r="E62" s="11">
        <f>SUM(Apr!E62, May!E62, Jun!E62)</f>
        <v>0</v>
      </c>
      <c r="F62" s="11">
        <f t="shared" si="9"/>
        <v>19958.900000000001</v>
      </c>
      <c r="G62" s="68" t="str">
        <f t="shared" si="10"/>
        <v/>
      </c>
      <c r="H62" s="13">
        <f>SUM(Apr!H62, May!H62, Jun!H62)</f>
        <v>20839.485000000001</v>
      </c>
      <c r="I62" s="13">
        <f>SUM(Apr!I62, May!I62, Jun!I62)</f>
        <v>-880.58500000000095</v>
      </c>
      <c r="J62" s="14">
        <f t="shared" si="8"/>
        <v>-4.2255602765615415E-2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SUM(Apr!D63, May!D63, Jun!D63)</f>
        <v>89605.1484375</v>
      </c>
      <c r="E63" s="15">
        <f>SUM(Apr!E63, May!E63, Jun!E63)</f>
        <v>0</v>
      </c>
      <c r="F63" s="15">
        <f t="shared" si="9"/>
        <v>89605.1484375</v>
      </c>
      <c r="G63" s="16" t="str">
        <f t="shared" si="10"/>
        <v/>
      </c>
      <c r="H63" s="17">
        <f>SUM(Apr!H63, May!H63, Jun!H63)</f>
        <v>0</v>
      </c>
      <c r="I63" s="17">
        <f>SUM(Apr!I63, May!I63, Jun!I63)</f>
        <v>89605.1484375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67">
        <f>SUM(Apr!D64, May!D64, Jun!D64)</f>
        <v>79861.077000000005</v>
      </c>
      <c r="E64" s="11">
        <f>SUM(Apr!E64, May!E64, Jun!E64)</f>
        <v>73590.66</v>
      </c>
      <c r="F64" s="11">
        <f t="shared" si="9"/>
        <v>6270.4170000000013</v>
      </c>
      <c r="G64" s="68">
        <f t="shared" si="10"/>
        <v>8.5206696067136795E-2</v>
      </c>
      <c r="H64" s="13">
        <f>SUM(Apr!H64, May!H64, Jun!H64)</f>
        <v>71298.951000000001</v>
      </c>
      <c r="I64" s="13">
        <f>SUM(Apr!I64, May!I64, Jun!I64)</f>
        <v>8562.1260000000002</v>
      </c>
      <c r="J64" s="14">
        <f t="shared" si="8"/>
        <v>0.12008768544154318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SUM(Apr!D65, May!D65, Jun!D65)</f>
        <v>67564.07058</v>
      </c>
      <c r="E65" s="15">
        <f>SUM(Apr!E65, May!E65, Jun!E65)</f>
        <v>60046.816000000006</v>
      </c>
      <c r="F65" s="15">
        <f t="shared" si="9"/>
        <v>7517.2545799999934</v>
      </c>
      <c r="G65" s="16">
        <f t="shared" si="10"/>
        <v>0.12518989483139276</v>
      </c>
      <c r="H65" s="17">
        <f>SUM(Apr!H65, May!H65, Jun!H65)</f>
        <v>52507.17</v>
      </c>
      <c r="I65" s="17">
        <f>SUM(Apr!I65, May!I65, Jun!I65)</f>
        <v>15056.900580000001</v>
      </c>
      <c r="J65" s="16">
        <f t="shared" si="8"/>
        <v>0.28675894320718487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67">
        <f>SUM(Apr!D66, May!D66, Jun!D66)</f>
        <v>65977.167000000001</v>
      </c>
      <c r="E66" s="11">
        <f>SUM(Apr!E66, May!E66, Jun!E66)</f>
        <v>63107.827000000005</v>
      </c>
      <c r="F66" s="11">
        <f t="shared" si="9"/>
        <v>2869.3399999999965</v>
      </c>
      <c r="G66" s="68">
        <f t="shared" si="10"/>
        <v>4.5467260344742917E-2</v>
      </c>
      <c r="H66" s="13">
        <f>SUM(Apr!H66, May!H66, Jun!H66)</f>
        <v>71547.361999999994</v>
      </c>
      <c r="I66" s="13">
        <f>SUM(Apr!I66, May!I66, Jun!I66)</f>
        <v>-5570.1949999999997</v>
      </c>
      <c r="J66" s="14">
        <f t="shared" si="8"/>
        <v>-7.7853254743340511E-2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SUM(Apr!D67, May!D67, Jun!D67)</f>
        <v>100137.91125</v>
      </c>
      <c r="E67" s="15">
        <f>SUM(Apr!E67, May!E67, Jun!E67)</f>
        <v>105395.833</v>
      </c>
      <c r="F67" s="15">
        <f t="shared" si="9"/>
        <v>-5257.9217499999941</v>
      </c>
      <c r="G67" s="16">
        <f t="shared" si="10"/>
        <v>-4.9887377900414663E-2</v>
      </c>
      <c r="H67" s="17">
        <f>SUM(Apr!H67, May!H67, Jun!H67)</f>
        <v>71582.280999999988</v>
      </c>
      <c r="I67" s="17">
        <f>SUM(Apr!I67, May!I67, Jun!I67)</f>
        <v>28555.630249999998</v>
      </c>
      <c r="J67" s="16">
        <f t="shared" si="8"/>
        <v>0.39892037318564916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67">
        <f>SUM(Apr!D68, May!D68, Jun!D68)</f>
        <v>100290.82738</v>
      </c>
      <c r="E68" s="11">
        <f>SUM(Apr!E68, May!E68, Jun!E68)</f>
        <v>0</v>
      </c>
      <c r="F68" s="11">
        <f t="shared" si="9"/>
        <v>100290.82738</v>
      </c>
      <c r="G68" s="68" t="str">
        <f t="shared" si="10"/>
        <v/>
      </c>
      <c r="H68" s="13">
        <f>SUM(Apr!H68, May!H68, Jun!H68)</f>
        <v>0</v>
      </c>
      <c r="I68" s="13">
        <f>SUM(Apr!I68, May!I68, Jun!I68)</f>
        <v>100290.82738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SUM(Apr!D69, May!D69, Jun!D69)</f>
        <v>71601.75563</v>
      </c>
      <c r="E69" s="15">
        <f>SUM(Apr!E69, May!E69, Jun!E69)</f>
        <v>0</v>
      </c>
      <c r="F69" s="15">
        <f t="shared" si="9"/>
        <v>71601.75563</v>
      </c>
      <c r="G69" s="16" t="str">
        <f t="shared" si="10"/>
        <v/>
      </c>
      <c r="H69" s="17">
        <f>SUM(Apr!H69, May!H69, Jun!H69)</f>
        <v>0</v>
      </c>
      <c r="I69" s="17">
        <f>SUM(Apr!I69, May!I69, Jun!I69)</f>
        <v>71601.75563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67">
        <f>SUM(Apr!D70, May!D70, Jun!D70)</f>
        <v>127514.2439423631</v>
      </c>
      <c r="E70" s="11">
        <f>SUM(Apr!E70, May!E70, Jun!E70)</f>
        <v>136563.81</v>
      </c>
      <c r="F70" s="11">
        <f t="shared" si="9"/>
        <v>-9049.5660576368973</v>
      </c>
      <c r="G70" s="68">
        <f t="shared" si="10"/>
        <v>-6.6266209602946033E-2</v>
      </c>
      <c r="H70" s="13">
        <f>SUM(Apr!H70, May!H70, Jun!H70)</f>
        <v>125687</v>
      </c>
      <c r="I70" s="13">
        <f>SUM(Apr!I70, May!I70, Jun!I70)</f>
        <v>1827.2439423631004</v>
      </c>
      <c r="J70" s="14">
        <f t="shared" si="8"/>
        <v>1.453805041383039E-2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SUM(Apr!D71, May!D71, Jun!D71)</f>
        <v>71659.005859375</v>
      </c>
      <c r="E71" s="15">
        <f>SUM(Apr!E71, May!E71, Jun!E71)</f>
        <v>60532.45</v>
      </c>
      <c r="F71" s="15">
        <f t="shared" si="9"/>
        <v>11126.555859375003</v>
      </c>
      <c r="G71" s="16">
        <f t="shared" si="10"/>
        <v>0.18381142444052742</v>
      </c>
      <c r="H71" s="17">
        <f>SUM(Apr!H71, May!H71, Jun!H71)</f>
        <v>62432</v>
      </c>
      <c r="I71" s="17">
        <f>SUM(Apr!I71, May!I71, Jun!I71)</f>
        <v>9227.005859375</v>
      </c>
      <c r="J71" s="16">
        <f t="shared" si="8"/>
        <v>0.14779289241694965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67">
        <f>SUM(Apr!D72, May!D72, Jun!D72)</f>
        <v>74613.5</v>
      </c>
      <c r="E72" s="11">
        <f>SUM(Apr!E72, May!E72, Jun!E72)</f>
        <v>76570</v>
      </c>
      <c r="F72" s="11">
        <f t="shared" si="9"/>
        <v>-1956.5</v>
      </c>
      <c r="G72" s="68">
        <f t="shared" si="10"/>
        <v>-2.5551782682512732E-2</v>
      </c>
      <c r="H72" s="13">
        <f>SUM(Apr!H72, May!H72, Jun!H72)</f>
        <v>0</v>
      </c>
      <c r="I72" s="13">
        <f>SUM(Apr!I72, May!I72, Jun!I72)</f>
        <v>49606.5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SUM(Apr!D73, May!D73, Jun!D73)</f>
        <v>2001730</v>
      </c>
      <c r="E73" s="15">
        <f>SUM(Apr!E73, May!E73, Jun!E73)</f>
        <v>2143639.1</v>
      </c>
      <c r="F73" s="15">
        <f t="shared" si="9"/>
        <v>-141909.10000000009</v>
      </c>
      <c r="G73" s="16">
        <f t="shared" si="10"/>
        <v>-6.620008937138723E-2</v>
      </c>
      <c r="H73" s="17">
        <f>SUM(Apr!H73, May!H73, Jun!H73)</f>
        <v>2866121.6</v>
      </c>
      <c r="I73" s="17">
        <f>SUM(Apr!I73, May!I73, Jun!I73)</f>
        <v>-864391.60000000009</v>
      </c>
      <c r="J73" s="16">
        <f t="shared" si="8"/>
        <v>-0.30158929753713171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67">
        <f>SUM(Apr!D74, May!D74, Jun!D74)</f>
        <v>2631973.1</v>
      </c>
      <c r="E74" s="11">
        <f>SUM(Apr!E74, May!E74, Jun!E74)</f>
        <v>2866525.8</v>
      </c>
      <c r="F74" s="11">
        <f t="shared" si="9"/>
        <v>-234552.69999999972</v>
      </c>
      <c r="G74" s="68">
        <f t="shared" si="10"/>
        <v>-8.1824730131506138E-2</v>
      </c>
      <c r="H74" s="13">
        <f>SUM(Apr!H74, May!H74, Jun!H74)</f>
        <v>2971616.8000000003</v>
      </c>
      <c r="I74" s="13">
        <f>SUM(Apr!I74, May!I74, Jun!I74)</f>
        <v>-339643.70000000007</v>
      </c>
      <c r="J74" s="14">
        <f t="shared" si="8"/>
        <v>-0.11429592806178779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SUM(Apr!D75, May!D75, Jun!D75)</f>
        <v>1017727</v>
      </c>
      <c r="E75" s="15">
        <f>SUM(Apr!E75, May!E75, Jun!E75)</f>
        <v>273061.74800000002</v>
      </c>
      <c r="F75" s="15">
        <f t="shared" si="9"/>
        <v>744665.25199999998</v>
      </c>
      <c r="G75" s="16">
        <f t="shared" si="10"/>
        <v>2.7270947229122693</v>
      </c>
      <c r="H75" s="17">
        <f>SUM(Apr!H75, May!H75, Jun!H75)</f>
        <v>1087393.67</v>
      </c>
      <c r="I75" s="17">
        <f>SUM(Apr!I75, May!I75, Jun!I75)</f>
        <v>-69666.669999999984</v>
      </c>
      <c r="J75" s="16">
        <f t="shared" si="8"/>
        <v>-6.4067569935366636E-2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67">
        <f>SUM(Apr!D76, May!D76, Jun!D76)</f>
        <v>1026760</v>
      </c>
      <c r="E76" s="11">
        <f>SUM(Apr!E76, May!E76, Jun!E76)</f>
        <v>1064109.7949999999</v>
      </c>
      <c r="F76" s="11">
        <f t="shared" si="9"/>
        <v>-37349.794999999925</v>
      </c>
      <c r="G76" s="68">
        <f t="shared" si="10"/>
        <v>-3.5099568837255117E-2</v>
      </c>
      <c r="H76" s="13">
        <f>SUM(Apr!H76, May!H76, Jun!H76)</f>
        <v>1095092.1400000001</v>
      </c>
      <c r="I76" s="13">
        <f>SUM(Apr!I76, May!I76, Jun!I76)</f>
        <v>-68332.139999999956</v>
      </c>
      <c r="J76" s="14">
        <f t="shared" si="8"/>
        <v>-6.2398530227785166E-2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SUM(Apr!D77, May!D77, Jun!D77)</f>
        <v>982492</v>
      </c>
      <c r="E77" s="15">
        <f>SUM(Apr!E77, May!E77, Jun!E77)</f>
        <v>986827.11600000004</v>
      </c>
      <c r="F77" s="15">
        <f t="shared" si="9"/>
        <v>-4335.1160000000382</v>
      </c>
      <c r="G77" s="16">
        <f t="shared" si="10"/>
        <v>-4.3929842722319739E-3</v>
      </c>
      <c r="H77" s="17">
        <f>SUM(Apr!H77, May!H77, Jun!H77)</f>
        <v>1041448.98</v>
      </c>
      <c r="I77" s="17">
        <f>SUM(Apr!I77, May!I77, Jun!I77)</f>
        <v>-58956.98000000004</v>
      </c>
      <c r="J77" s="16">
        <f t="shared" si="8"/>
        <v>-5.661053122352671E-2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67">
        <f>SUM(Apr!D78, May!D78, Jun!D78)</f>
        <v>908087</v>
      </c>
      <c r="E78" s="11">
        <f>SUM(Apr!E78, May!E78, Jun!E78)</f>
        <v>947309.16399999999</v>
      </c>
      <c r="F78" s="11">
        <f t="shared" si="9"/>
        <v>-39222.16399999999</v>
      </c>
      <c r="G78" s="68">
        <f t="shared" si="10"/>
        <v>-4.1403762879675877E-2</v>
      </c>
      <c r="H78" s="13">
        <f>SUM(Apr!H78, May!H78, Jun!H78)</f>
        <v>1075568.22</v>
      </c>
      <c r="I78" s="13">
        <f>SUM(Apr!I78, May!I78, Jun!I78)</f>
        <v>-167481.21999999997</v>
      </c>
      <c r="J78" s="14">
        <f t="shared" si="8"/>
        <v>-0.1557141768283187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SUM(Apr!D79, May!D79, Jun!D79)</f>
        <v>1057810</v>
      </c>
      <c r="E79" s="15">
        <f>SUM(Apr!E79, May!E79, Jun!E79)</f>
        <v>394509.27500000002</v>
      </c>
      <c r="F79" s="15">
        <f t="shared" si="9"/>
        <v>663300.72499999998</v>
      </c>
      <c r="G79" s="16">
        <f t="shared" si="10"/>
        <v>1.6813311296673568</v>
      </c>
      <c r="H79" s="17">
        <f>SUM(Apr!H79, May!H79, Jun!H79)</f>
        <v>1126769.6100000001</v>
      </c>
      <c r="I79" s="17">
        <f>SUM(Apr!I79, May!I79, Jun!I79)</f>
        <v>-68959.609999999986</v>
      </c>
      <c r="J79" s="16">
        <f t="shared" si="8"/>
        <v>-6.1201162498516426E-2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67">
        <f>SUM(Apr!D80, May!D80, Jun!D80)</f>
        <v>881856</v>
      </c>
      <c r="E80" s="11">
        <f>SUM(Apr!E80, May!E80, Jun!E80)</f>
        <v>1235077.2</v>
      </c>
      <c r="F80" s="11">
        <f t="shared" si="9"/>
        <v>-353221.19999999995</v>
      </c>
      <c r="G80" s="68">
        <f t="shared" si="10"/>
        <v>-0.28599119148179558</v>
      </c>
      <c r="H80" s="13">
        <f>SUM(Apr!H80, May!H80, Jun!H80)</f>
        <v>1003286.5700000001</v>
      </c>
      <c r="I80" s="13">
        <f>SUM(Apr!I80, May!I80, Jun!I80)</f>
        <v>-121430.57</v>
      </c>
      <c r="J80" s="14">
        <f t="shared" si="8"/>
        <v>-0.12103278727233437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SUM(Apr!D81, May!D81, Jun!D81)</f>
        <v>886989</v>
      </c>
      <c r="E81" s="15">
        <f>SUM(Apr!E81, May!E81, Jun!E81)</f>
        <v>949960.36100000003</v>
      </c>
      <c r="F81" s="15">
        <f t="shared" si="9"/>
        <v>-62971.361000000034</v>
      </c>
      <c r="G81" s="16">
        <f t="shared" si="10"/>
        <v>-6.628840905920709E-2</v>
      </c>
      <c r="H81" s="17">
        <f>SUM(Apr!H81, May!H81, Jun!H81)</f>
        <v>973607.17999999993</v>
      </c>
      <c r="I81" s="17">
        <f>SUM(Apr!I81, May!I81, Jun!I81)</f>
        <v>-86618.18</v>
      </c>
      <c r="J81" s="16">
        <f t="shared" si="8"/>
        <v>-8.8966250228351848E-2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67">
        <f>SUM(Apr!D82, May!D82, Jun!D82)</f>
        <v>1046790</v>
      </c>
      <c r="E82" s="11">
        <f>SUM(Apr!E82, May!E82, Jun!E82)</f>
        <v>1114647.0260000001</v>
      </c>
      <c r="F82" s="11">
        <f t="shared" ref="F82:F113" si="11">IF(AND(ISNUMBER(D82),ISNUMBER(E82)), D82-E82, "")</f>
        <v>-67857.026000000071</v>
      </c>
      <c r="G82" s="68">
        <f t="shared" ref="G82:G113" si="12">IFERROR(F82/E82, "")</f>
        <v>-6.087759121693477E-2</v>
      </c>
      <c r="H82" s="13">
        <f>SUM(Apr!H82, May!H82, Jun!H82)</f>
        <v>1115031.8500000001</v>
      </c>
      <c r="I82" s="13">
        <f>SUM(Apr!I82, May!I82, Jun!I82)</f>
        <v>-68241.850000000035</v>
      </c>
      <c r="J82" s="14">
        <f t="shared" ref="J82:J145" si="13">IFERROR(I82/H82, "")</f>
        <v>-6.1201704686731619E-2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SUM(Apr!D83, May!D83, Jun!D83)</f>
        <v>1171679</v>
      </c>
      <c r="E83" s="15">
        <f>SUM(Apr!E83, May!E83, Jun!E83)</f>
        <v>938895.30200000003</v>
      </c>
      <c r="F83" s="15">
        <f t="shared" si="11"/>
        <v>232783.69799999997</v>
      </c>
      <c r="G83" s="16">
        <f t="shared" si="12"/>
        <v>0.24793360612640489</v>
      </c>
      <c r="H83" s="17">
        <f>SUM(Apr!H83, May!H83, Jun!H83)</f>
        <v>1360787.85</v>
      </c>
      <c r="I83" s="17">
        <f>SUM(Apr!I83, May!I83, Jun!I83)</f>
        <v>-189108.84999999998</v>
      </c>
      <c r="J83" s="16">
        <f t="shared" si="13"/>
        <v>-0.13897011940546056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67">
        <f>SUM(Apr!D84, May!D84, Jun!D84)</f>
        <v>1038920</v>
      </c>
      <c r="E84" s="11">
        <f>SUM(Apr!E84, May!E84, Jun!E84)</f>
        <v>0</v>
      </c>
      <c r="F84" s="11">
        <f t="shared" si="11"/>
        <v>1038920</v>
      </c>
      <c r="G84" s="68" t="str">
        <f t="shared" si="12"/>
        <v/>
      </c>
      <c r="H84" s="13">
        <f>SUM(Apr!H84, May!H84, Jun!H84)</f>
        <v>1363718.22</v>
      </c>
      <c r="I84" s="13">
        <f>SUM(Apr!I84, May!I84, Jun!I84)</f>
        <v>-324798.22000000003</v>
      </c>
      <c r="J84" s="14">
        <f t="shared" si="13"/>
        <v>-0.23817106440067951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SUM(Apr!D85, May!D85, Jun!D85)</f>
        <v>1022121</v>
      </c>
      <c r="E85" s="15">
        <f>SUM(Apr!E85, May!E85, Jun!E85)</f>
        <v>400672</v>
      </c>
      <c r="F85" s="15">
        <f t="shared" si="11"/>
        <v>621449</v>
      </c>
      <c r="G85" s="16">
        <f t="shared" si="12"/>
        <v>1.5510167917897932</v>
      </c>
      <c r="H85" s="17">
        <f>SUM(Apr!H85, May!H85, Jun!H85)</f>
        <v>316775.67</v>
      </c>
      <c r="I85" s="17">
        <f>SUM(Apr!I85, May!I85, Jun!I85)</f>
        <v>705345.33000000007</v>
      </c>
      <c r="J85" s="16">
        <f t="shared" si="13"/>
        <v>2.226639848950521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67">
        <f>SUM(Apr!D86, May!D86, Jun!D86)</f>
        <v>2635522</v>
      </c>
      <c r="E86" s="11">
        <f>SUM(Apr!E86, May!E86, Jun!E86)</f>
        <v>0</v>
      </c>
      <c r="F86" s="11">
        <f t="shared" si="11"/>
        <v>2635522</v>
      </c>
      <c r="G86" s="68" t="str">
        <f t="shared" si="12"/>
        <v/>
      </c>
      <c r="H86" s="13">
        <f>SUM(Apr!H86, May!H86, Jun!H86)</f>
        <v>898009.40999999992</v>
      </c>
      <c r="I86" s="13">
        <f>SUM(Apr!I86, May!I86, Jun!I86)</f>
        <v>1737512.59</v>
      </c>
      <c r="J86" s="14">
        <f t="shared" si="13"/>
        <v>1.9348489789210563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SUM(Apr!D87, May!D87, Jun!D87)</f>
        <v>2365747</v>
      </c>
      <c r="E87" s="15">
        <f>SUM(Apr!E87, May!E87, Jun!E87)</f>
        <v>0</v>
      </c>
      <c r="F87" s="15">
        <f t="shared" si="11"/>
        <v>2365747</v>
      </c>
      <c r="G87" s="16" t="str">
        <f t="shared" si="12"/>
        <v/>
      </c>
      <c r="H87" s="17">
        <f>SUM(Apr!H87, May!H87, Jun!H87)</f>
        <v>1106985</v>
      </c>
      <c r="I87" s="17">
        <f>SUM(Apr!I87, May!I87, Jun!I87)</f>
        <v>1258762</v>
      </c>
      <c r="J87" s="16">
        <f t="shared" si="13"/>
        <v>1.1371084522373835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67">
        <f>SUM(Apr!D88, May!D88, Jun!D88)</f>
        <v>911206</v>
      </c>
      <c r="E88" s="11">
        <f>SUM(Apr!E88, May!E88, Jun!E88)</f>
        <v>0</v>
      </c>
      <c r="F88" s="11">
        <f t="shared" si="11"/>
        <v>911206</v>
      </c>
      <c r="G88" s="68" t="str">
        <f t="shared" si="12"/>
        <v/>
      </c>
      <c r="H88" s="13">
        <f>SUM(Apr!H88, May!H88, Jun!H88)</f>
        <v>353417.29</v>
      </c>
      <c r="I88" s="13">
        <f>SUM(Apr!I88, May!I88, Jun!I88)</f>
        <v>674300</v>
      </c>
      <c r="J88" s="14">
        <f t="shared" si="13"/>
        <v>1.9079428739889892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SUM(Apr!D89, May!D89, Jun!D89)</f>
        <v>2561337</v>
      </c>
      <c r="E89" s="15">
        <f>SUM(Apr!E89, May!E89, Jun!E89)</f>
        <v>923077</v>
      </c>
      <c r="F89" s="15">
        <f t="shared" si="11"/>
        <v>1638260</v>
      </c>
      <c r="G89" s="16">
        <f t="shared" si="12"/>
        <v>1.7747815187682068</v>
      </c>
      <c r="H89" s="17">
        <f>SUM(Apr!H89, May!H89, Jun!H89)</f>
        <v>680547.45</v>
      </c>
      <c r="I89" s="17">
        <f>SUM(Apr!I89, May!I89, Jun!I89)</f>
        <v>1880789.55</v>
      </c>
      <c r="J89" s="16">
        <f t="shared" si="13"/>
        <v>2.7636420502347048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67">
        <f>SUM(Apr!D90, May!D90, Jun!D90)</f>
        <v>2782121</v>
      </c>
      <c r="E90" s="11">
        <f>SUM(Apr!E90, May!E90, Jun!E90)</f>
        <v>0</v>
      </c>
      <c r="F90" s="11">
        <f t="shared" si="11"/>
        <v>2782121</v>
      </c>
      <c r="G90" s="68" t="str">
        <f t="shared" si="12"/>
        <v/>
      </c>
      <c r="H90" s="13">
        <f>SUM(Apr!H90, May!H90, Jun!H90)</f>
        <v>1057730.97</v>
      </c>
      <c r="I90" s="13">
        <f>SUM(Apr!I90, May!I90, Jun!I90)</f>
        <v>1724390.03</v>
      </c>
      <c r="J90" s="14">
        <f t="shared" si="13"/>
        <v>1.6302727998973123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SUM(Apr!D91, May!D91, Jun!D91)</f>
        <v>2285846.978116028</v>
      </c>
      <c r="E91" s="15">
        <f>SUM(Apr!E91, May!E91, Jun!E91)</f>
        <v>2177247.5</v>
      </c>
      <c r="F91" s="15">
        <f t="shared" si="11"/>
        <v>108599.47811602801</v>
      </c>
      <c r="G91" s="16">
        <f t="shared" si="12"/>
        <v>4.9879252641708401E-2</v>
      </c>
      <c r="H91" s="17">
        <f>SUM(Apr!H91, May!H91, Jun!H91)</f>
        <v>2419248</v>
      </c>
      <c r="I91" s="17">
        <f>SUM(Apr!I91, May!I91, Jun!I91)</f>
        <v>-133401.02188397199</v>
      </c>
      <c r="J91" s="16">
        <f t="shared" si="13"/>
        <v>-5.5141524095079129E-2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67">
        <f>SUM(Apr!D92, May!D92, Jun!D92)</f>
        <v>1250352</v>
      </c>
      <c r="E92" s="11">
        <f>SUM(Apr!E92, May!E92, Jun!E92)</f>
        <v>482020</v>
      </c>
      <c r="F92" s="11">
        <f t="shared" si="11"/>
        <v>768332</v>
      </c>
      <c r="G92" s="68">
        <f t="shared" si="12"/>
        <v>1.593983652130617</v>
      </c>
      <c r="H92" s="13">
        <f>SUM(Apr!H92, May!H92, Jun!H92)</f>
        <v>344654.58</v>
      </c>
      <c r="I92" s="13">
        <f>SUM(Apr!I92, May!I92, Jun!I92)</f>
        <v>905697.41999999993</v>
      </c>
      <c r="J92" s="14">
        <f t="shared" si="13"/>
        <v>2.6278409531073108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SUM(Apr!D93, May!D93, Jun!D93)</f>
        <v>2050940</v>
      </c>
      <c r="E93" s="15">
        <f>SUM(Apr!E93, May!E93, Jun!E93)</f>
        <v>849596</v>
      </c>
      <c r="F93" s="15">
        <f t="shared" si="11"/>
        <v>1201344</v>
      </c>
      <c r="G93" s="16">
        <f t="shared" si="12"/>
        <v>1.4140179567700413</v>
      </c>
      <c r="H93" s="17">
        <f>SUM(Apr!H93, May!H93, Jun!H93)</f>
        <v>950327</v>
      </c>
      <c r="I93" s="17">
        <f>SUM(Apr!I93, May!I93, Jun!I93)</f>
        <v>1100613</v>
      </c>
      <c r="J93" s="16">
        <f t="shared" si="13"/>
        <v>1.1581413555544564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67">
        <f>SUM(Apr!D94, May!D94, Jun!D94)</f>
        <v>2572627</v>
      </c>
      <c r="E94" s="11">
        <f>SUM(Apr!E94, May!E94, Jun!E94)</f>
        <v>0</v>
      </c>
      <c r="F94" s="11">
        <f t="shared" si="11"/>
        <v>2572627</v>
      </c>
      <c r="G94" s="68" t="str">
        <f t="shared" si="12"/>
        <v/>
      </c>
      <c r="H94" s="13">
        <f>SUM(Apr!H94, May!H94, Jun!H94)</f>
        <v>1020302.9</v>
      </c>
      <c r="I94" s="13">
        <f>SUM(Apr!I94, May!I94, Jun!I94)</f>
        <v>1552324.1</v>
      </c>
      <c r="J94" s="14">
        <f t="shared" si="13"/>
        <v>1.5214345661469746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SUM(Apr!D95, May!D95, Jun!D95)</f>
        <v>2667177</v>
      </c>
      <c r="E95" s="15">
        <f>SUM(Apr!E95, May!E95, Jun!E95)</f>
        <v>0</v>
      </c>
      <c r="F95" s="15">
        <f t="shared" si="11"/>
        <v>2667177</v>
      </c>
      <c r="G95" s="16" t="str">
        <f t="shared" si="12"/>
        <v/>
      </c>
      <c r="H95" s="17">
        <f>SUM(Apr!H95, May!H95, Jun!H95)</f>
        <v>875981.2</v>
      </c>
      <c r="I95" s="17">
        <f>SUM(Apr!I95, May!I95, Jun!I95)</f>
        <v>1791195.8</v>
      </c>
      <c r="J95" s="16">
        <f t="shared" si="13"/>
        <v>2.0447879475038966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67">
        <f>SUM(Apr!D96, May!D96, Jun!D96)</f>
        <v>1785410</v>
      </c>
      <c r="E96" s="11">
        <f>SUM(Apr!E96, May!E96, Jun!E96)</f>
        <v>0</v>
      </c>
      <c r="F96" s="11">
        <f t="shared" si="11"/>
        <v>1785410</v>
      </c>
      <c r="G96" s="68" t="str">
        <f t="shared" si="12"/>
        <v/>
      </c>
      <c r="H96" s="13">
        <f>SUM(Apr!H96, May!H96, Jun!H96)</f>
        <v>1194448.3999999999</v>
      </c>
      <c r="I96" s="13">
        <f>SUM(Apr!I96, May!I96, Jun!I96)</f>
        <v>590961.6</v>
      </c>
      <c r="J96" s="14">
        <f t="shared" si="13"/>
        <v>0.49475691038641773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SUM(Apr!D97, May!D97, Jun!D97)</f>
        <v>2605117</v>
      </c>
      <c r="E97" s="15">
        <f>SUM(Apr!E97, May!E97, Jun!E97)</f>
        <v>0</v>
      </c>
      <c r="F97" s="15">
        <f t="shared" si="11"/>
        <v>2605117</v>
      </c>
      <c r="G97" s="16" t="str">
        <f t="shared" si="12"/>
        <v/>
      </c>
      <c r="H97" s="17">
        <f>SUM(Apr!H97, May!H97, Jun!H97)</f>
        <v>1144956</v>
      </c>
      <c r="I97" s="17">
        <f>SUM(Apr!I97, May!I97, Jun!I97)</f>
        <v>1460161</v>
      </c>
      <c r="J97" s="16">
        <f t="shared" si="13"/>
        <v>1.2752987887744158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67">
        <f>SUM(Apr!D98, May!D98, Jun!D98)</f>
        <v>1154221</v>
      </c>
      <c r="E98" s="11">
        <f>SUM(Apr!E98, May!E98, Jun!E98)</f>
        <v>0</v>
      </c>
      <c r="F98" s="11">
        <f t="shared" si="11"/>
        <v>1154221</v>
      </c>
      <c r="G98" s="68" t="str">
        <f t="shared" si="12"/>
        <v/>
      </c>
      <c r="H98" s="13">
        <f>SUM(Apr!H98, May!H98, Jun!H98)</f>
        <v>467328.5</v>
      </c>
      <c r="I98" s="13">
        <f>SUM(Apr!I98, May!I98, Jun!I98)</f>
        <v>686892.5</v>
      </c>
      <c r="J98" s="14">
        <f t="shared" si="13"/>
        <v>1.4698279689768545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SUM(Apr!D99, May!D99, Jun!D99)</f>
        <v>1808005</v>
      </c>
      <c r="E99" s="15">
        <f>SUM(Apr!E99, May!E99, Jun!E99)</f>
        <v>0</v>
      </c>
      <c r="F99" s="15">
        <f t="shared" si="11"/>
        <v>1808005</v>
      </c>
      <c r="G99" s="16" t="str">
        <f t="shared" si="12"/>
        <v/>
      </c>
      <c r="H99" s="17">
        <f>SUM(Apr!H99, May!H99, Jun!H99)</f>
        <v>776934</v>
      </c>
      <c r="I99" s="17">
        <f>SUM(Apr!I99, May!I99, Jun!I99)</f>
        <v>1031071</v>
      </c>
      <c r="J99" s="16">
        <f t="shared" si="13"/>
        <v>1.3271024308371111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67">
        <f>SUM(Apr!D100, May!D100, Jun!D100)</f>
        <v>1039732</v>
      </c>
      <c r="E100" s="11">
        <f>SUM(Apr!E100, May!E100, Jun!E100)</f>
        <v>0</v>
      </c>
      <c r="F100" s="11">
        <f t="shared" si="11"/>
        <v>1039732</v>
      </c>
      <c r="G100" s="68" t="str">
        <f t="shared" si="12"/>
        <v/>
      </c>
      <c r="H100" s="13">
        <f>SUM(Apr!H100, May!H100, Jun!H100)</f>
        <v>403071.6</v>
      </c>
      <c r="I100" s="13">
        <f>SUM(Apr!I100, May!I100, Jun!I100)</f>
        <v>636660.4</v>
      </c>
      <c r="J100" s="14">
        <f t="shared" si="13"/>
        <v>1.5795218517007898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SUM(Apr!D101, May!D101, Jun!D101)</f>
        <v>2583910</v>
      </c>
      <c r="E101" s="15">
        <f>SUM(Apr!E101, May!E101, Jun!E101)</f>
        <v>0</v>
      </c>
      <c r="F101" s="15">
        <f t="shared" si="11"/>
        <v>2583910</v>
      </c>
      <c r="G101" s="16" t="str">
        <f t="shared" si="12"/>
        <v/>
      </c>
      <c r="H101" s="17">
        <f>SUM(Apr!H101, May!H101, Jun!H101)</f>
        <v>916826.5</v>
      </c>
      <c r="I101" s="17">
        <f>SUM(Apr!I101, May!I101, Jun!I101)</f>
        <v>1667083.5</v>
      </c>
      <c r="J101" s="16">
        <f t="shared" si="13"/>
        <v>1.8183194966550378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67">
        <f>SUM(Apr!D102, May!D102, Jun!D102)</f>
        <v>2343294</v>
      </c>
      <c r="E102" s="11">
        <f>SUM(Apr!E102, May!E102, Jun!E102)</f>
        <v>0</v>
      </c>
      <c r="F102" s="11">
        <f t="shared" si="11"/>
        <v>2343294</v>
      </c>
      <c r="G102" s="68" t="str">
        <f t="shared" si="12"/>
        <v/>
      </c>
      <c r="H102" s="13">
        <f>SUM(Apr!H102, May!H102, Jun!H102)</f>
        <v>959903.6</v>
      </c>
      <c r="I102" s="13">
        <f>SUM(Apr!I102, May!I102, Jun!I102)</f>
        <v>1383390.4</v>
      </c>
      <c r="J102" s="14">
        <f t="shared" si="13"/>
        <v>1.4411763847953065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SUM(Apr!D103, May!D103, Jun!D103)</f>
        <v>1290644</v>
      </c>
      <c r="E103" s="15">
        <f>SUM(Apr!E103, May!E103, Jun!E103)</f>
        <v>0</v>
      </c>
      <c r="F103" s="15">
        <f t="shared" si="11"/>
        <v>1290644</v>
      </c>
      <c r="G103" s="16" t="str">
        <f t="shared" si="12"/>
        <v/>
      </c>
      <c r="H103" s="17">
        <f>SUM(Apr!H103, May!H103, Jun!H103)</f>
        <v>391388</v>
      </c>
      <c r="I103" s="17">
        <f>SUM(Apr!I103, May!I103, Jun!I103)</f>
        <v>899256</v>
      </c>
      <c r="J103" s="16">
        <f t="shared" si="13"/>
        <v>2.2976074892434108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67">
        <f>SUM(Apr!D104, May!D104, Jun!D104)</f>
        <v>3039592</v>
      </c>
      <c r="E104" s="11">
        <f>SUM(Apr!E104, May!E104, Jun!E104)</f>
        <v>0</v>
      </c>
      <c r="F104" s="11">
        <f t="shared" si="11"/>
        <v>3039592</v>
      </c>
      <c r="G104" s="68" t="str">
        <f t="shared" si="12"/>
        <v/>
      </c>
      <c r="H104" s="13">
        <f>SUM(Apr!H104, May!H104, Jun!H104)</f>
        <v>1060252.8</v>
      </c>
      <c r="I104" s="13">
        <f>SUM(Apr!I104, May!I104, Jun!I104)</f>
        <v>1979339.2</v>
      </c>
      <c r="J104" s="14">
        <f t="shared" si="13"/>
        <v>1.8668559045540836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SUM(Apr!D105, May!D105, Jun!D105)</f>
        <v>1106323</v>
      </c>
      <c r="E105" s="15">
        <f>SUM(Apr!E105, May!E105, Jun!E105)</f>
        <v>0</v>
      </c>
      <c r="F105" s="15">
        <f t="shared" si="11"/>
        <v>1106323</v>
      </c>
      <c r="G105" s="16" t="str">
        <f t="shared" si="12"/>
        <v/>
      </c>
      <c r="H105" s="17">
        <f>SUM(Apr!H105, May!H105, Jun!H105)</f>
        <v>0</v>
      </c>
      <c r="I105" s="17">
        <f>SUM(Apr!I105, May!I105, Jun!I105)</f>
        <v>1106323</v>
      </c>
      <c r="J105" s="16" t="str">
        <f t="shared" si="13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67">
        <f>SUM(Apr!D106, May!D106, Jun!D106)</f>
        <v>1113142</v>
      </c>
      <c r="E106" s="11">
        <f>SUM(Apr!E106, May!E106, Jun!E106)</f>
        <v>0</v>
      </c>
      <c r="F106" s="11">
        <f t="shared" si="11"/>
        <v>1113142</v>
      </c>
      <c r="G106" s="68" t="str">
        <f t="shared" si="12"/>
        <v/>
      </c>
      <c r="H106" s="13">
        <f>SUM(Apr!H106, May!H106, Jun!H106)</f>
        <v>0</v>
      </c>
      <c r="I106" s="13">
        <f>SUM(Apr!I106, May!I106, Jun!I106)</f>
        <v>1113142</v>
      </c>
      <c r="J106" s="14" t="str">
        <f t="shared" si="13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SUM(Apr!D107, May!D107, Jun!D107)</f>
        <v>1071391</v>
      </c>
      <c r="E107" s="15">
        <f>SUM(Apr!E107, May!E107, Jun!E107)</f>
        <v>0</v>
      </c>
      <c r="F107" s="15">
        <f t="shared" si="11"/>
        <v>1071391</v>
      </c>
      <c r="G107" s="16" t="str">
        <f t="shared" si="12"/>
        <v/>
      </c>
      <c r="H107" s="17">
        <f>SUM(Apr!H107, May!H107, Jun!H107)</f>
        <v>0</v>
      </c>
      <c r="I107" s="17">
        <f>SUM(Apr!I107, May!I107, Jun!I107)</f>
        <v>1071391</v>
      </c>
      <c r="J107" s="16" t="str">
        <f t="shared" si="13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67">
        <f>SUM(Apr!D108, May!D108, Jun!D108)</f>
        <v>2005552</v>
      </c>
      <c r="E108" s="11">
        <f>SUM(Apr!E108, May!E108, Jun!E108)</f>
        <v>0</v>
      </c>
      <c r="F108" s="11">
        <f t="shared" si="11"/>
        <v>2005552</v>
      </c>
      <c r="G108" s="68" t="str">
        <f t="shared" si="12"/>
        <v/>
      </c>
      <c r="H108" s="13">
        <f>SUM(Apr!H108, May!H108, Jun!H108)</f>
        <v>0</v>
      </c>
      <c r="I108" s="13">
        <f>SUM(Apr!I108, May!I108, Jun!I108)</f>
        <v>2005552</v>
      </c>
      <c r="J108" s="14" t="str">
        <f t="shared" si="13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SUM(Apr!D109, May!D109, Jun!D109)</f>
        <v>1420619</v>
      </c>
      <c r="E109" s="15">
        <f>SUM(Apr!E109, May!E109, Jun!E109)</f>
        <v>0</v>
      </c>
      <c r="F109" s="15">
        <f t="shared" si="11"/>
        <v>1420619</v>
      </c>
      <c r="G109" s="16" t="str">
        <f t="shared" si="12"/>
        <v/>
      </c>
      <c r="H109" s="17">
        <f>SUM(Apr!H109, May!H109, Jun!H109)</f>
        <v>0</v>
      </c>
      <c r="I109" s="17">
        <f>SUM(Apr!I109, May!I109, Jun!I109)</f>
        <v>1420619</v>
      </c>
      <c r="J109" s="16" t="str">
        <f t="shared" si="13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67">
        <f>SUM(Apr!D110, May!D110, Jun!D110)</f>
        <v>3309632.5</v>
      </c>
      <c r="E110" s="11">
        <f>SUM(Apr!E110, May!E110, Jun!E110)</f>
        <v>0</v>
      </c>
      <c r="F110" s="11">
        <f t="shared" si="11"/>
        <v>3309632.5</v>
      </c>
      <c r="G110" s="68" t="str">
        <f t="shared" si="12"/>
        <v/>
      </c>
      <c r="H110" s="13">
        <f>SUM(Apr!H110, May!H110, Jun!H110)</f>
        <v>0</v>
      </c>
      <c r="I110" s="13">
        <f>SUM(Apr!I110, May!I110, Jun!I110)</f>
        <v>3309632.5</v>
      </c>
      <c r="J110" s="14" t="str">
        <f t="shared" si="13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SUM(Apr!D111, May!D111, Jun!D111)</f>
        <v>2198503</v>
      </c>
      <c r="E111" s="15">
        <f>SUM(Apr!E111, May!E111, Jun!E111)</f>
        <v>2892930</v>
      </c>
      <c r="F111" s="15">
        <f t="shared" si="11"/>
        <v>-694427</v>
      </c>
      <c r="G111" s="16">
        <f t="shared" si="12"/>
        <v>-0.24004279398395398</v>
      </c>
      <c r="H111" s="17">
        <f>SUM(Apr!H111, May!H111, Jun!H111)</f>
        <v>2953821.1</v>
      </c>
      <c r="I111" s="17">
        <f>SUM(Apr!I111, May!I111, Jun!I111)</f>
        <v>-755318.1</v>
      </c>
      <c r="J111" s="16">
        <f t="shared" si="13"/>
        <v>-0.25570881730108841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67">
        <f>SUM(Apr!D112, May!D112, Jun!D112)</f>
        <v>2646472.81</v>
      </c>
      <c r="E112" s="11">
        <f>SUM(Apr!E112, May!E112, Jun!E112)</f>
        <v>2600835.2999999998</v>
      </c>
      <c r="F112" s="11">
        <f t="shared" si="11"/>
        <v>45637.510000000242</v>
      </c>
      <c r="G112" s="68">
        <f t="shared" si="12"/>
        <v>1.7547251069685285E-2</v>
      </c>
      <c r="H112" s="13">
        <f>SUM(Apr!H112, May!H112, Jun!H112)</f>
        <v>2834272.1</v>
      </c>
      <c r="I112" s="13">
        <f>SUM(Apr!I112, May!I112, Jun!I112)</f>
        <v>-187799.29000000004</v>
      </c>
      <c r="J112" s="14">
        <f t="shared" si="13"/>
        <v>-6.6260148416942763E-2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SUM(Apr!D113, May!D113, Jun!D113)</f>
        <v>12011</v>
      </c>
      <c r="E113" s="15">
        <f>SUM(Apr!E113, May!E113, Jun!E113)</f>
        <v>16851.010000000002</v>
      </c>
      <c r="F113" s="15">
        <f t="shared" si="11"/>
        <v>-4840.010000000002</v>
      </c>
      <c r="G113" s="16">
        <f t="shared" si="12"/>
        <v>-0.28722373317682448</v>
      </c>
      <c r="H113" s="17">
        <f>SUM(Apr!H113, May!H113, Jun!H113)</f>
        <v>15279.130999999998</v>
      </c>
      <c r="I113" s="17">
        <f>SUM(Apr!I113, May!I113, Jun!I113)</f>
        <v>-3268.1309999999994</v>
      </c>
      <c r="J113" s="16">
        <f t="shared" si="13"/>
        <v>-0.21389508343111921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67">
        <f>SUM(Apr!D114, May!D114, Jun!D114)</f>
        <v>30409.1899999999</v>
      </c>
      <c r="E114" s="11">
        <f>SUM(Apr!E114, May!E114, Jun!E114)</f>
        <v>41832.61</v>
      </c>
      <c r="F114" s="11">
        <f t="shared" ref="F114:F160" si="14">IF(AND(ISNUMBER(D114),ISNUMBER(E114)), D114-E114, "")</f>
        <v>-11423.4200000001</v>
      </c>
      <c r="G114" s="68">
        <f t="shared" ref="G114:G160" si="15">IFERROR(F114/E114, "")</f>
        <v>-0.27307452248377762</v>
      </c>
      <c r="H114" s="13">
        <f>SUM(Apr!H114, May!H114, Jun!H114)</f>
        <v>36941.79</v>
      </c>
      <c r="I114" s="13">
        <f>SUM(Apr!I114, May!I114, Jun!I114)</f>
        <v>-6532.6000000000986</v>
      </c>
      <c r="J114" s="14">
        <f t="shared" si="13"/>
        <v>-0.17683496116458078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SUM(Apr!D115, May!D115, Jun!D115)</f>
        <v>4929</v>
      </c>
      <c r="E115" s="15">
        <f>SUM(Apr!E115, May!E115, Jun!E115)</f>
        <v>5266.1530000000002</v>
      </c>
      <c r="F115" s="15">
        <f t="shared" si="14"/>
        <v>-337.15300000000025</v>
      </c>
      <c r="G115" s="16">
        <f t="shared" si="15"/>
        <v>-6.4022636638168359E-2</v>
      </c>
      <c r="H115" s="17">
        <f>SUM(Apr!H115, May!H115, Jun!H115)</f>
        <v>5445.1840000000002</v>
      </c>
      <c r="I115" s="17">
        <f>SUM(Apr!I115, May!I115, Jun!I115)</f>
        <v>-516.1840000000002</v>
      </c>
      <c r="J115" s="16">
        <f t="shared" si="13"/>
        <v>-9.4796429285034289E-2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67">
        <f>SUM(Apr!D116, May!D116, Jun!D116)</f>
        <v>4380</v>
      </c>
      <c r="E116" s="11">
        <f>SUM(Apr!E116, May!E116, Jun!E116)</f>
        <v>4650.558</v>
      </c>
      <c r="F116" s="11">
        <f t="shared" si="14"/>
        <v>-270.55799999999999</v>
      </c>
      <c r="G116" s="68">
        <f t="shared" si="15"/>
        <v>-5.8177534824853272E-2</v>
      </c>
      <c r="H116" s="13">
        <f>SUM(Apr!H116, May!H116, Jun!H116)</f>
        <v>5571.7119999999995</v>
      </c>
      <c r="I116" s="13">
        <f>SUM(Apr!I116, May!I116, Jun!I116)</f>
        <v>-1191.712</v>
      </c>
      <c r="J116" s="14">
        <f t="shared" si="13"/>
        <v>-0.21388614486893798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SUM(Apr!D117, May!D117, Jun!D117)</f>
        <v>5506</v>
      </c>
      <c r="E117" s="15">
        <f>SUM(Apr!E117, May!E117, Jun!E117)</f>
        <v>5402.9269999999997</v>
      </c>
      <c r="F117" s="15">
        <f t="shared" si="14"/>
        <v>103.07300000000032</v>
      </c>
      <c r="G117" s="16">
        <f t="shared" si="15"/>
        <v>1.9077252015435399E-2</v>
      </c>
      <c r="H117" s="17">
        <f>SUM(Apr!H117, May!H117, Jun!H117)</f>
        <v>5777</v>
      </c>
      <c r="I117" s="17">
        <f>SUM(Apr!I117, May!I117, Jun!I117)</f>
        <v>-271</v>
      </c>
      <c r="J117" s="16">
        <f t="shared" si="13"/>
        <v>-4.6910160983209277E-2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67">
        <f>SUM(Apr!D118, May!D118, Jun!D118)</f>
        <v>55501</v>
      </c>
      <c r="E118" s="11">
        <f>SUM(Apr!E118, May!E118, Jun!E118)</f>
        <v>68708.872999999992</v>
      </c>
      <c r="F118" s="11">
        <f t="shared" si="14"/>
        <v>-13207.872999999992</v>
      </c>
      <c r="G118" s="68">
        <f t="shared" si="15"/>
        <v>-0.19222951015365938</v>
      </c>
      <c r="H118" s="13">
        <f>SUM(Apr!H118, May!H118, Jun!H118)</f>
        <v>15096.870999999999</v>
      </c>
      <c r="I118" s="13">
        <f>SUM(Apr!I118, May!I118, Jun!I118)</f>
        <v>40404.129000000001</v>
      </c>
      <c r="J118" s="14">
        <f t="shared" si="13"/>
        <v>2.6763247165588155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SUM(Apr!D119, May!D119, Jun!D119)</f>
        <v>158538</v>
      </c>
      <c r="E119" s="15">
        <f>SUM(Apr!E119, May!E119, Jun!E119)</f>
        <v>0</v>
      </c>
      <c r="F119" s="15">
        <f t="shared" si="14"/>
        <v>158538</v>
      </c>
      <c r="G119" s="16" t="str">
        <f t="shared" si="15"/>
        <v/>
      </c>
      <c r="H119" s="17">
        <f>SUM(Apr!H119, May!H119, Jun!H119)</f>
        <v>153579.11199999999</v>
      </c>
      <c r="I119" s="17">
        <f>SUM(Apr!I119, May!I119, Jun!I119)</f>
        <v>4958.887999999999</v>
      </c>
      <c r="J119" s="16">
        <f t="shared" si="13"/>
        <v>3.2288818026243039E-2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f>SUM(Apr!D120, May!D120, Jun!D120)</f>
        <v>106086</v>
      </c>
      <c r="E120" s="11">
        <f>SUM(Apr!E120, May!E120, Jun!E120)</f>
        <v>105952.91500000001</v>
      </c>
      <c r="F120" s="11">
        <f t="shared" si="14"/>
        <v>133.08499999999185</v>
      </c>
      <c r="G120" s="68">
        <f t="shared" si="15"/>
        <v>1.2560768148756629E-3</v>
      </c>
      <c r="H120" s="13">
        <f>SUM(Apr!H120, May!H120, Jun!H120)</f>
        <v>113645.466</v>
      </c>
      <c r="I120" s="13">
        <f>SUM(Apr!I120, May!I120, Jun!I120)</f>
        <v>-7559.4660000000003</v>
      </c>
      <c r="J120" s="14">
        <f t="shared" si="13"/>
        <v>-6.6517972657175781E-2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SUM(Apr!D121, May!D121, Jun!D121)</f>
        <v>39523</v>
      </c>
      <c r="E121" s="15">
        <f>SUM(Apr!E121, May!E121, Jun!E121)</f>
        <v>34836.191999999995</v>
      </c>
      <c r="F121" s="15">
        <f t="shared" si="14"/>
        <v>4686.8080000000045</v>
      </c>
      <c r="G121" s="16">
        <f t="shared" si="15"/>
        <v>0.13453847079497108</v>
      </c>
      <c r="H121" s="17">
        <f>SUM(Apr!H121, May!H121, Jun!H121)</f>
        <v>40916.604999999996</v>
      </c>
      <c r="I121" s="17">
        <f>SUM(Apr!I121, May!I121, Jun!I121)</f>
        <v>-1393.6049999999996</v>
      </c>
      <c r="J121" s="16">
        <f t="shared" si="13"/>
        <v>-3.4059644000278118E-2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67">
        <f>SUM(Apr!D122, May!D122, Jun!D122)</f>
        <v>39888</v>
      </c>
      <c r="E122" s="11">
        <f>SUM(Apr!E122, May!E122, Jun!E122)</f>
        <v>32373.629999999997</v>
      </c>
      <c r="F122" s="11">
        <f t="shared" si="14"/>
        <v>7514.3700000000026</v>
      </c>
      <c r="G122" s="68">
        <f t="shared" si="15"/>
        <v>0.23211391493632327</v>
      </c>
      <c r="H122" s="13">
        <f>SUM(Apr!H122, May!H122, Jun!H122)</f>
        <v>40908.604999999996</v>
      </c>
      <c r="I122" s="13">
        <f>SUM(Apr!I122, May!I122, Jun!I122)</f>
        <v>-1020.6049999999996</v>
      </c>
      <c r="J122" s="14">
        <f t="shared" si="13"/>
        <v>-2.4948418553993705E-2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SUM(Apr!D123, May!D123, Jun!D123)</f>
        <v>475486</v>
      </c>
      <c r="E123" s="15">
        <f>SUM(Apr!E123, May!E123, Jun!E123)</f>
        <v>517562.80000000005</v>
      </c>
      <c r="F123" s="15">
        <f t="shared" si="14"/>
        <v>-42076.800000000047</v>
      </c>
      <c r="G123" s="16">
        <f t="shared" si="15"/>
        <v>-8.1297960363457419E-2</v>
      </c>
      <c r="H123" s="17">
        <f>SUM(Apr!H123, May!H123, Jun!H123)</f>
        <v>546736.6</v>
      </c>
      <c r="I123" s="17">
        <f>SUM(Apr!I123, May!I123, Jun!I123)</f>
        <v>-71250.600000000006</v>
      </c>
      <c r="J123" s="16">
        <f t="shared" si="13"/>
        <v>-0.13031979201685054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67">
        <f>SUM(Apr!D124, May!D124, Jun!D124)</f>
        <v>526782</v>
      </c>
      <c r="E124" s="11">
        <f>SUM(Apr!E124, May!E124, Jun!E124)</f>
        <v>534090.19999999995</v>
      </c>
      <c r="F124" s="11">
        <f t="shared" si="14"/>
        <v>-7308.1999999999534</v>
      </c>
      <c r="G124" s="68">
        <f t="shared" si="15"/>
        <v>-1.3683456464844241E-2</v>
      </c>
      <c r="H124" s="13">
        <f>SUM(Apr!H124, May!H124, Jun!H124)</f>
        <v>33134.32</v>
      </c>
      <c r="I124" s="13">
        <f>SUM(Apr!I124, May!I124, Jun!I124)</f>
        <v>493647.68000000005</v>
      </c>
      <c r="J124" s="14">
        <f t="shared" si="13"/>
        <v>14.89837968607776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SUM(Apr!D125, May!D125, Jun!D125)</f>
        <v>58443</v>
      </c>
      <c r="E125" s="15">
        <f>SUM(Apr!E125, May!E125, Jun!E125)</f>
        <v>53938.48</v>
      </c>
      <c r="F125" s="15">
        <f t="shared" si="14"/>
        <v>4504.5199999999968</v>
      </c>
      <c r="G125" s="16">
        <f t="shared" si="15"/>
        <v>8.3512179060292333E-2</v>
      </c>
      <c r="H125" s="17">
        <f>SUM(Apr!H125, May!H125, Jun!H125)</f>
        <v>66386</v>
      </c>
      <c r="I125" s="17">
        <f>SUM(Apr!I125, May!I125, Jun!I125)</f>
        <v>-7943</v>
      </c>
      <c r="J125" s="16">
        <f t="shared" si="13"/>
        <v>-0.11964872111589793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67">
        <f>SUM(Apr!D126, May!D126, Jun!D126)</f>
        <v>206287</v>
      </c>
      <c r="E126" s="11">
        <f>SUM(Apr!E126, May!E126, Jun!E126)</f>
        <v>223052.32</v>
      </c>
      <c r="F126" s="11">
        <f t="shared" si="14"/>
        <v>-16765.320000000007</v>
      </c>
      <c r="G126" s="68">
        <f t="shared" si="15"/>
        <v>-7.5163172478995094E-2</v>
      </c>
      <c r="H126" s="13">
        <f>SUM(Apr!H126, May!H126, Jun!H126)</f>
        <v>0</v>
      </c>
      <c r="I126" s="13">
        <f>SUM(Apr!I126, May!I126, Jun!I126)</f>
        <v>206287</v>
      </c>
      <c r="J126" s="14" t="str">
        <f t="shared" si="13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SUM(Apr!D127, May!D127, Jun!D127)</f>
        <v>65018.75</v>
      </c>
      <c r="E127" s="15">
        <f>SUM(Apr!E127, May!E127, Jun!E127)</f>
        <v>140211.66999999998</v>
      </c>
      <c r="F127" s="15">
        <f t="shared" si="14"/>
        <v>-75192.919999999984</v>
      </c>
      <c r="G127" s="16">
        <f t="shared" si="15"/>
        <v>-0.53628146644284314</v>
      </c>
      <c r="H127" s="17">
        <f>SUM(Apr!H127, May!H127, Jun!H127)</f>
        <v>98294</v>
      </c>
      <c r="I127" s="17">
        <f>SUM(Apr!I127, May!I127, Jun!I127)</f>
        <v>-33275.25</v>
      </c>
      <c r="J127" s="16">
        <f t="shared" si="13"/>
        <v>-0.33852778399495392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67">
        <f>SUM(Apr!D128, May!D128, Jun!D128)</f>
        <v>226110</v>
      </c>
      <c r="E128" s="11">
        <f>SUM(Apr!E128, May!E128, Jun!E128)</f>
        <v>210429.07</v>
      </c>
      <c r="F128" s="11">
        <f t="shared" si="14"/>
        <v>15680.929999999993</v>
      </c>
      <c r="G128" s="68">
        <f t="shared" si="15"/>
        <v>7.4518839055839545E-2</v>
      </c>
      <c r="H128" s="13">
        <f>SUM(Apr!H128, May!H128, Jun!H128)</f>
        <v>239587.29</v>
      </c>
      <c r="I128" s="13">
        <f>SUM(Apr!I128, May!I128, Jun!I128)</f>
        <v>-13477.290000000008</v>
      </c>
      <c r="J128" s="14">
        <f t="shared" si="13"/>
        <v>-5.6252107530412016E-2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SUM(Apr!D129, May!D129, Jun!D129)</f>
        <v>519857</v>
      </c>
      <c r="E129" s="15">
        <f>SUM(Apr!E129, May!E129, Jun!E129)</f>
        <v>514430.239</v>
      </c>
      <c r="F129" s="15">
        <f t="shared" si="14"/>
        <v>5426.7609999999986</v>
      </c>
      <c r="G129" s="16">
        <f t="shared" si="15"/>
        <v>1.0549070774978294E-2</v>
      </c>
      <c r="H129" s="17">
        <f>SUM(Apr!H129, May!H129, Jun!H129)</f>
        <v>526200.30900000001</v>
      </c>
      <c r="I129" s="17">
        <f>SUM(Apr!I129, May!I129, Jun!I129)</f>
        <v>-6343.3090000000084</v>
      </c>
      <c r="J129" s="16">
        <f t="shared" si="13"/>
        <v>-1.205493210761305E-2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67">
        <f>SUM(Apr!D130, May!D130, Jun!D130)</f>
        <v>1045364</v>
      </c>
      <c r="E130" s="11">
        <f>SUM(Apr!E130, May!E130, Jun!E130)</f>
        <v>1095418.2</v>
      </c>
      <c r="F130" s="11">
        <f t="shared" si="14"/>
        <v>-50054.199999999953</v>
      </c>
      <c r="G130" s="68">
        <f t="shared" si="15"/>
        <v>-4.5694146765134953E-2</v>
      </c>
      <c r="H130" s="13">
        <f>SUM(Apr!H130, May!H130, Jun!H130)</f>
        <v>1123582.1000000001</v>
      </c>
      <c r="I130" s="13">
        <f>SUM(Apr!I130, May!I130, Jun!I130)</f>
        <v>-78218.099999999977</v>
      </c>
      <c r="J130" s="14">
        <f t="shared" si="13"/>
        <v>-6.9614939575844054E-2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SUM(Apr!D131, May!D131, Jun!D131)</f>
        <v>66102.4724262737</v>
      </c>
      <c r="E131" s="15">
        <f>SUM(Apr!E131, May!E131, Jun!E131)</f>
        <v>66881.36</v>
      </c>
      <c r="F131" s="15">
        <f t="shared" si="14"/>
        <v>-778.88757372630062</v>
      </c>
      <c r="G131" s="16">
        <f t="shared" si="15"/>
        <v>-1.1645809441170165E-2</v>
      </c>
      <c r="H131" s="17">
        <f>SUM(Apr!H131, May!H131, Jun!H131)</f>
        <v>62091.26</v>
      </c>
      <c r="I131" s="17">
        <f>SUM(Apr!I131, May!I131, Jun!I131)</f>
        <v>4011.2124262736997</v>
      </c>
      <c r="J131" s="16">
        <f t="shared" si="13"/>
        <v>6.4601884810739862E-2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67">
        <f>SUM(Apr!D132, May!D132, Jun!D132)</f>
        <v>33962.623</v>
      </c>
      <c r="E132" s="11">
        <f>SUM(Apr!E132, May!E132, Jun!E132)</f>
        <v>36810</v>
      </c>
      <c r="F132" s="11">
        <f t="shared" si="14"/>
        <v>-2847.3770000000004</v>
      </c>
      <c r="G132" s="68">
        <f t="shared" si="15"/>
        <v>-7.7353355066558008E-2</v>
      </c>
      <c r="H132" s="13">
        <f>SUM(Apr!H132, May!H132, Jun!H132)</f>
        <v>32280.5</v>
      </c>
      <c r="I132" s="13">
        <f>SUM(Apr!I132, May!I132, Jun!I132)</f>
        <v>1682.1229999999996</v>
      </c>
      <c r="J132" s="14">
        <f t="shared" si="13"/>
        <v>5.2109570793513096E-2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SUM(Apr!D133, May!D133, Jun!D133)</f>
        <v>29447</v>
      </c>
      <c r="E133" s="15">
        <f>SUM(Apr!E133, May!E133, Jun!E133)</f>
        <v>21930</v>
      </c>
      <c r="F133" s="15">
        <f t="shared" si="14"/>
        <v>7517</v>
      </c>
      <c r="G133" s="16">
        <f t="shared" si="15"/>
        <v>0.34277245782033744</v>
      </c>
      <c r="H133" s="17">
        <f>SUM(Apr!H133, May!H133, Jun!H133)</f>
        <v>27182</v>
      </c>
      <c r="I133" s="17">
        <f>SUM(Apr!I133, May!I133, Jun!I133)</f>
        <v>2265</v>
      </c>
      <c r="J133" s="16">
        <f t="shared" si="13"/>
        <v>8.3327201824736963E-2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67">
        <f>SUM(Apr!D134, May!D134, Jun!D134)</f>
        <v>115297.625</v>
      </c>
      <c r="E134" s="11">
        <f>SUM(Apr!E134, May!E134, Jun!E134)</f>
        <v>103496.432</v>
      </c>
      <c r="F134" s="11">
        <f t="shared" si="14"/>
        <v>11801.192999999999</v>
      </c>
      <c r="G134" s="68">
        <f t="shared" si="15"/>
        <v>0.11402511924275804</v>
      </c>
      <c r="H134" s="13">
        <f>SUM(Apr!H134, May!H134, Jun!H134)</f>
        <v>49195.452000000005</v>
      </c>
      <c r="I134" s="13">
        <f>SUM(Apr!I134, May!I134, Jun!I134)</f>
        <v>66102.172999999995</v>
      </c>
      <c r="J134" s="14">
        <f t="shared" si="13"/>
        <v>1.3436643086438151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SUM(Apr!D135, May!D135, Jun!D135)</f>
        <v>101311</v>
      </c>
      <c r="E135" s="15">
        <f>SUM(Apr!E135, May!E135, Jun!E135)</f>
        <v>103817.2</v>
      </c>
      <c r="F135" s="15">
        <f t="shared" si="14"/>
        <v>-2506.1999999999971</v>
      </c>
      <c r="G135" s="16">
        <f t="shared" si="15"/>
        <v>-2.4140508509187274E-2</v>
      </c>
      <c r="H135" s="17">
        <f>SUM(Apr!H135, May!H135, Jun!H135)</f>
        <v>101804.29000000001</v>
      </c>
      <c r="I135" s="17">
        <f>SUM(Apr!I135, May!I135, Jun!I135)</f>
        <v>-493.29000000000087</v>
      </c>
      <c r="J135" s="16">
        <f t="shared" si="13"/>
        <v>-4.8454736043048955E-3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67">
        <f>SUM(Apr!D136, May!D136, Jun!D136)</f>
        <v>99769</v>
      </c>
      <c r="E136" s="11">
        <f>SUM(Apr!E136, May!E136, Jun!E136)</f>
        <v>105292</v>
      </c>
      <c r="F136" s="11">
        <f t="shared" si="14"/>
        <v>-5523</v>
      </c>
      <c r="G136" s="68">
        <f t="shared" si="15"/>
        <v>-5.2454127569046084E-2</v>
      </c>
      <c r="H136" s="13">
        <f>SUM(Apr!H136, May!H136, Jun!H136)</f>
        <v>99721</v>
      </c>
      <c r="I136" s="13">
        <f>SUM(Apr!I136, May!I136, Jun!I136)</f>
        <v>48</v>
      </c>
      <c r="J136" s="14">
        <f t="shared" si="13"/>
        <v>4.8134294682163233E-4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SUM(Apr!D137, May!D137, Jun!D137)</f>
        <v>51023.818402841302</v>
      </c>
      <c r="E137" s="15">
        <f>SUM(Apr!E137, May!E137, Jun!E137)</f>
        <v>44687.05</v>
      </c>
      <c r="F137" s="15">
        <f t="shared" si="14"/>
        <v>6336.7684028412987</v>
      </c>
      <c r="G137" s="16">
        <f t="shared" si="15"/>
        <v>0.14180323836192585</v>
      </c>
      <c r="H137" s="17">
        <f>SUM(Apr!H137, May!H137, Jun!H137)</f>
        <v>49348.91</v>
      </c>
      <c r="I137" s="17">
        <f>SUM(Apr!I137, May!I137, Jun!I137)</f>
        <v>1674.9084028412999</v>
      </c>
      <c r="J137" s="16">
        <f t="shared" si="13"/>
        <v>3.3940129636932201E-2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67">
        <f>SUM(Apr!D138, May!D138, Jun!D138)</f>
        <v>1676090.4</v>
      </c>
      <c r="E138" s="15">
        <f>SUM(Apr!E138, May!E138, Jun!E138)</f>
        <v>0</v>
      </c>
      <c r="F138" s="11">
        <f t="shared" si="14"/>
        <v>1676090.4</v>
      </c>
      <c r="G138" s="68" t="str">
        <f t="shared" si="15"/>
        <v/>
      </c>
      <c r="H138" s="13">
        <f>SUM(Apr!H138, May!H138, Jun!H138)</f>
        <v>0</v>
      </c>
      <c r="I138" s="13">
        <f>SUM(Apr!I138, May!I138, Jun!I138)</f>
        <v>1676090.4</v>
      </c>
      <c r="J138" s="14" t="str">
        <f t="shared" si="13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SUM(Apr!D139, May!D139, Jun!D139)</f>
        <v>3021643.4</v>
      </c>
      <c r="E139" s="11">
        <f>SUM(Apr!E139, May!E139, Jun!E139)</f>
        <v>0</v>
      </c>
      <c r="F139" s="15">
        <f t="shared" si="14"/>
        <v>3021643.4</v>
      </c>
      <c r="G139" s="16" t="str">
        <f t="shared" si="15"/>
        <v/>
      </c>
      <c r="H139" s="13">
        <f>SUM(Apr!H139, May!H139, Jun!H139)</f>
        <v>0</v>
      </c>
      <c r="I139" s="17">
        <f>SUM(Apr!I139, May!I139, Jun!I139)</f>
        <v>3021643.4</v>
      </c>
      <c r="J139" s="16" t="str">
        <f t="shared" si="13"/>
        <v/>
      </c>
      <c r="K139" s="39"/>
      <c r="L139" s="40"/>
    </row>
    <row r="140" spans="1:12" ht="15.75">
      <c r="A140" s="25" t="str">
        <v>Reisender</v>
      </c>
      <c r="B140" s="26" t="str">
        <v>NY</v>
      </c>
      <c r="C140" s="26"/>
      <c r="D140" s="67">
        <f>SUM(Apr!D140, May!D140, Jun!D140)</f>
        <v>391080</v>
      </c>
      <c r="E140" s="15">
        <f>SUM(Apr!E140, May!E140, Jun!E140)</f>
        <v>392206</v>
      </c>
      <c r="F140" s="11">
        <f t="shared" si="14"/>
        <v>-1126</v>
      </c>
      <c r="G140" s="68">
        <f t="shared" si="15"/>
        <v>-2.8709402711840208E-3</v>
      </c>
      <c r="H140" s="13">
        <f>SUM(Apr!H140, May!H140, Jun!H140)</f>
        <v>381489</v>
      </c>
      <c r="I140" s="13">
        <f>SUM(Apr!I140, May!I140, Jun!I140)</f>
        <v>9591</v>
      </c>
      <c r="J140" s="14">
        <f t="shared" si="13"/>
        <v>2.5140960814073274E-2</v>
      </c>
      <c r="K140" s="38"/>
      <c r="L140" s="38"/>
    </row>
    <row r="141" spans="1:12" ht="15.75">
      <c r="A141" s="27" t="str">
        <v>Finney</v>
      </c>
      <c r="B141" s="28" t="str">
        <v>NY</v>
      </c>
      <c r="C141" s="28"/>
      <c r="D141" s="10">
        <f>SUM(Apr!D141, May!D141, Jun!D141)</f>
        <v>316580</v>
      </c>
      <c r="E141" s="11">
        <f>SUM(Apr!E141, May!E141, Jun!E141)</f>
        <v>0</v>
      </c>
      <c r="F141" s="15">
        <f t="shared" si="14"/>
        <v>316580</v>
      </c>
      <c r="G141" s="16" t="str">
        <f t="shared" si="15"/>
        <v/>
      </c>
      <c r="H141" s="17">
        <f>SUM(Apr!H141, May!H141, Jun!H141)</f>
        <v>0</v>
      </c>
      <c r="I141" s="17">
        <f>SUM(Apr!I141, May!I141, Jun!I141)</f>
        <v>0</v>
      </c>
      <c r="J141" s="16" t="str">
        <f t="shared" si="13"/>
        <v/>
      </c>
      <c r="K141" s="39"/>
      <c r="L141" s="40"/>
    </row>
    <row r="142" spans="1:12" ht="15.75">
      <c r="A142" s="25" t="str">
        <v>Davis Solar</v>
      </c>
      <c r="B142" s="26" t="str">
        <v>NY</v>
      </c>
      <c r="C142" s="26"/>
      <c r="D142" s="67">
        <f>SUM(Apr!D142, May!D142, Jun!D142)</f>
        <v>379098</v>
      </c>
      <c r="E142" s="15">
        <f>SUM(Apr!E142, May!E142, Jun!E142)</f>
        <v>415825.2</v>
      </c>
      <c r="F142" s="11">
        <f t="shared" si="14"/>
        <v>-36727.200000000012</v>
      </c>
      <c r="G142" s="68">
        <f t="shared" si="15"/>
        <v>-8.8323651380435839E-2</v>
      </c>
      <c r="H142" s="13">
        <f>SUM(Apr!H142, May!H142, Jun!H142)</f>
        <v>235847</v>
      </c>
      <c r="I142" s="13">
        <f>SUM(Apr!I142, May!I142, Jun!I142)</f>
        <v>143251</v>
      </c>
      <c r="J142" s="14">
        <f t="shared" si="13"/>
        <v>0.60738953643675775</v>
      </c>
      <c r="K142" s="38"/>
      <c r="L142" s="38"/>
    </row>
    <row r="143" spans="1:12" ht="15.75">
      <c r="A143" s="27" t="str">
        <v>Genesee</v>
      </c>
      <c r="B143" s="28" t="str">
        <v>NY</v>
      </c>
      <c r="C143" s="28"/>
      <c r="D143" s="10">
        <f>SUM(Apr!D143, May!D143, Jun!D143)</f>
        <v>881988</v>
      </c>
      <c r="E143" s="11">
        <f>SUM(Apr!E143, May!E143, Jun!E143)</f>
        <v>0</v>
      </c>
      <c r="F143" s="15">
        <f t="shared" si="14"/>
        <v>881988</v>
      </c>
      <c r="G143" s="16" t="str">
        <f t="shared" si="15"/>
        <v/>
      </c>
      <c r="H143" s="17">
        <f>SUM(Apr!H143, May!H143, Jun!H143)</f>
        <v>0</v>
      </c>
      <c r="I143" s="17">
        <f>SUM(Apr!I143, May!I143, Jun!I143)</f>
        <v>881988</v>
      </c>
      <c r="J143" s="16" t="str">
        <f t="shared" si="13"/>
        <v/>
      </c>
      <c r="K143" s="39"/>
      <c r="L143" s="40"/>
    </row>
    <row r="144" spans="1:12" ht="15.75">
      <c r="A144" s="25" t="str">
        <v>Landau I</v>
      </c>
      <c r="B144" s="26" t="str">
        <v>NY</v>
      </c>
      <c r="C144" s="26"/>
      <c r="D144" s="67">
        <f>SUM(Apr!D144, May!D144, Jun!D144)</f>
        <v>404690</v>
      </c>
      <c r="E144" s="15">
        <f>SUM(Apr!E144, May!E144, Jun!E144)</f>
        <v>0</v>
      </c>
      <c r="F144" s="11">
        <f t="shared" si="14"/>
        <v>404690</v>
      </c>
      <c r="G144" s="68" t="str">
        <f t="shared" si="15"/>
        <v/>
      </c>
      <c r="H144" s="13">
        <f>SUM(Apr!H144, May!H144, Jun!H144)</f>
        <v>0</v>
      </c>
      <c r="I144" s="13">
        <f>SUM(Apr!I144, May!I144, Jun!I144)</f>
        <v>404690</v>
      </c>
      <c r="J144" s="14" t="str">
        <f t="shared" si="13"/>
        <v/>
      </c>
      <c r="K144" s="38"/>
      <c r="L144" s="38"/>
    </row>
    <row r="145" spans="1:12" ht="15.75">
      <c r="A145" s="27" t="str">
        <v>Landau II</v>
      </c>
      <c r="B145" s="28" t="str">
        <v>NY</v>
      </c>
      <c r="C145" s="28"/>
      <c r="D145" s="10">
        <f>SUM(Apr!D145, May!D145, Jun!D145)</f>
        <v>334690</v>
      </c>
      <c r="E145" s="11">
        <f>SUM(Apr!E145, May!E145, Jun!E145)</f>
        <v>0</v>
      </c>
      <c r="F145" s="15">
        <f t="shared" si="14"/>
        <v>334690</v>
      </c>
      <c r="G145" s="16" t="str">
        <f t="shared" si="15"/>
        <v/>
      </c>
      <c r="H145" s="17">
        <f>SUM(Apr!H145, May!H145, Jun!H145)</f>
        <v>0</v>
      </c>
      <c r="I145" s="17">
        <f>SUM(Apr!I145, May!I145, Jun!I145)</f>
        <v>334690</v>
      </c>
      <c r="J145" s="16" t="str">
        <f t="shared" si="13"/>
        <v/>
      </c>
      <c r="K145" s="39"/>
      <c r="L145" s="40"/>
    </row>
    <row r="146" spans="1:12" ht="15.75">
      <c r="A146" s="25" t="str">
        <v>New Beginnings</v>
      </c>
      <c r="B146" s="26" t="str">
        <v>NY</v>
      </c>
      <c r="C146" s="26"/>
      <c r="D146" s="67">
        <f>SUM(Apr!D146, May!D146, Jun!D146)</f>
        <v>401940</v>
      </c>
      <c r="E146" s="15">
        <f>SUM(Apr!E146, May!E146, Jun!E146)</f>
        <v>401968</v>
      </c>
      <c r="F146" s="11">
        <f t="shared" si="14"/>
        <v>-28</v>
      </c>
      <c r="G146" s="68">
        <f t="shared" si="15"/>
        <v>-6.9657286152131518E-5</v>
      </c>
      <c r="H146" s="13">
        <f>SUM(Apr!H146, May!H146, Jun!H146)</f>
        <v>398278</v>
      </c>
      <c r="I146" s="13">
        <f>SUM(Apr!I146, May!I146, Jun!I146)</f>
        <v>3662</v>
      </c>
      <c r="J146" s="14">
        <f t="shared" ref="J146:J160" si="16">IFERROR(I146/H146, "")</f>
        <v>9.1945826784306448E-3</v>
      </c>
      <c r="K146" s="38"/>
      <c r="L146" s="38"/>
    </row>
    <row r="147" spans="1:12" ht="15.75">
      <c r="A147" s="27" t="str">
        <v>Guilin Farm Solar</v>
      </c>
      <c r="B147" s="28" t="str">
        <v>NY</v>
      </c>
      <c r="C147" s="28"/>
      <c r="D147" s="10">
        <f>SUM(Apr!D147, May!D147, Jun!D147)</f>
        <v>673297</v>
      </c>
      <c r="E147" s="11">
        <f>SUM(Apr!E147, May!E147, Jun!E147)</f>
        <v>683546</v>
      </c>
      <c r="F147" s="15">
        <f t="shared" si="14"/>
        <v>-10249</v>
      </c>
      <c r="G147" s="16">
        <f t="shared" si="15"/>
        <v>-1.499387020039617E-2</v>
      </c>
      <c r="H147" s="17">
        <f>SUM(Apr!H147, May!H147, Jun!H147)</f>
        <v>1048743</v>
      </c>
      <c r="I147" s="17">
        <f>SUM(Apr!I147, May!I147, Jun!I147)</f>
        <v>-375446</v>
      </c>
      <c r="J147" s="16">
        <f t="shared" si="16"/>
        <v>-0.3579961916313148</v>
      </c>
      <c r="K147" s="39"/>
      <c r="L147" s="40"/>
    </row>
    <row r="148" spans="1:12" ht="15.75">
      <c r="A148" s="25" t="str">
        <v>Brodhead Solar</v>
      </c>
      <c r="B148" s="26" t="str">
        <v>NY</v>
      </c>
      <c r="C148" s="26"/>
      <c r="D148" s="67">
        <f>SUM(Apr!D148, May!D148, Jun!D148)</f>
        <v>486584</v>
      </c>
      <c r="E148" s="15">
        <f>SUM(Apr!E148, May!E148, Jun!E148)</f>
        <v>509888</v>
      </c>
      <c r="F148" s="11">
        <f t="shared" si="14"/>
        <v>-23304</v>
      </c>
      <c r="G148" s="68">
        <f t="shared" si="15"/>
        <v>-4.5704154637881259E-2</v>
      </c>
      <c r="H148" s="13">
        <f>SUM(Apr!H148, May!H148, Jun!H148)</f>
        <v>522919</v>
      </c>
      <c r="I148" s="13">
        <f>SUM(Apr!I148, May!I148, Jun!I148)</f>
        <v>-36335</v>
      </c>
      <c r="J148" s="14">
        <f t="shared" si="16"/>
        <v>-6.9484948911781752E-2</v>
      </c>
      <c r="K148" s="38"/>
      <c r="L148" s="38"/>
    </row>
    <row r="149" spans="1:12" ht="15.75">
      <c r="A149" s="27" t="str">
        <v>Svenski</v>
      </c>
      <c r="B149" s="28" t="str">
        <v>NY</v>
      </c>
      <c r="C149" s="28"/>
      <c r="D149" s="10">
        <f>SUM(Apr!D149, May!D149, Jun!D149)</f>
        <v>304918</v>
      </c>
      <c r="E149" s="11">
        <f>SUM(Apr!E149, May!E149, Jun!E149)</f>
        <v>0</v>
      </c>
      <c r="F149" s="15">
        <f t="shared" si="14"/>
        <v>304918</v>
      </c>
      <c r="G149" s="16" t="str">
        <f t="shared" si="15"/>
        <v/>
      </c>
      <c r="H149" s="17">
        <f>SUM(Apr!H149, May!H149, Jun!H149)</f>
        <v>0</v>
      </c>
      <c r="I149" s="17">
        <f>SUM(Apr!I149, May!I149, Jun!I149)</f>
        <v>304918</v>
      </c>
      <c r="J149" s="16" t="str">
        <f t="shared" si="16"/>
        <v/>
      </c>
      <c r="K149" s="39"/>
      <c r="L149" s="40"/>
    </row>
    <row r="150" spans="1:12" ht="15.75">
      <c r="A150" s="25" t="str">
        <v>Bantam</v>
      </c>
      <c r="B150" s="26" t="str">
        <v>NY</v>
      </c>
      <c r="C150" s="26"/>
      <c r="D150" s="67">
        <f>SUM(Apr!D150, May!D150, Jun!D150)</f>
        <v>30270</v>
      </c>
      <c r="E150" s="15">
        <f>SUM(Apr!E150, May!E150, Jun!E150)</f>
        <v>0</v>
      </c>
      <c r="F150" s="11">
        <f t="shared" si="14"/>
        <v>30270</v>
      </c>
      <c r="G150" s="68" t="str">
        <f t="shared" si="15"/>
        <v/>
      </c>
      <c r="H150" s="13">
        <f>SUM(Apr!H150, May!H150, Jun!H150)</f>
        <v>0</v>
      </c>
      <c r="I150" s="13">
        <f>SUM(Apr!I150, May!I150, Jun!I150)</f>
        <v>30270</v>
      </c>
      <c r="J150" s="14" t="str">
        <f t="shared" si="16"/>
        <v/>
      </c>
      <c r="K150" s="38"/>
      <c r="L150" s="38"/>
    </row>
    <row r="151" spans="1:12" ht="15.75">
      <c r="A151" s="27" t="str">
        <v>Bogart</v>
      </c>
      <c r="B151" s="28" t="str">
        <v>NY</v>
      </c>
      <c r="C151" s="28"/>
      <c r="D151" s="10">
        <f>SUM(Apr!D151, May!D151, Jun!D151)</f>
        <v>358420</v>
      </c>
      <c r="E151" s="11">
        <f>SUM(Apr!E151, May!E151, Jun!E151)</f>
        <v>382168</v>
      </c>
      <c r="F151" s="15">
        <f t="shared" si="14"/>
        <v>-23748</v>
      </c>
      <c r="G151" s="16">
        <f t="shared" si="15"/>
        <v>-6.2140210588013646E-2</v>
      </c>
      <c r="H151" s="17">
        <f>SUM(Apr!H151, May!H151, Jun!H151)</f>
        <v>391479</v>
      </c>
      <c r="I151" s="17">
        <f>SUM(Apr!I151, May!I151, Jun!I151)</f>
        <v>-33059</v>
      </c>
      <c r="J151" s="16">
        <f t="shared" si="16"/>
        <v>-8.4446419859047356E-2</v>
      </c>
      <c r="K151" s="39"/>
      <c r="L151" s="40"/>
    </row>
    <row r="152" spans="1:12" ht="15.75">
      <c r="A152" s="25" t="str">
        <v>Dubois</v>
      </c>
      <c r="B152" s="26" t="str">
        <v>NY</v>
      </c>
      <c r="C152" s="26"/>
      <c r="D152" s="67">
        <f>SUM(Apr!D152, May!D152, Jun!D152)</f>
        <v>359955</v>
      </c>
      <c r="E152" s="15">
        <f>SUM(Apr!E152, May!E152, Jun!E152)</f>
        <v>0</v>
      </c>
      <c r="F152" s="11">
        <f t="shared" si="14"/>
        <v>359955</v>
      </c>
      <c r="G152" s="68" t="str">
        <f t="shared" si="15"/>
        <v/>
      </c>
      <c r="H152" s="13">
        <f>SUM(Apr!H152, May!H152, Jun!H152)</f>
        <v>0</v>
      </c>
      <c r="I152" s="13">
        <f>SUM(Apr!I152, May!I152, Jun!I152)</f>
        <v>359955</v>
      </c>
      <c r="J152" s="14" t="str">
        <f t="shared" si="16"/>
        <v/>
      </c>
      <c r="K152" s="38"/>
      <c r="L152" s="38"/>
    </row>
    <row r="153" spans="1:12" ht="15.75">
      <c r="A153" s="27" t="str">
        <v>Salt Point</v>
      </c>
      <c r="B153" s="28" t="str">
        <v>NY</v>
      </c>
      <c r="C153" s="28"/>
      <c r="D153" s="10">
        <f>SUM(Apr!D153, May!D153, Jun!D153)</f>
        <v>418107</v>
      </c>
      <c r="E153" s="11">
        <f>SUM(Apr!E153, May!E153, Jun!E153)</f>
        <v>0</v>
      </c>
      <c r="F153" s="15">
        <f t="shared" si="14"/>
        <v>418107</v>
      </c>
      <c r="G153" s="16" t="str">
        <f t="shared" si="15"/>
        <v/>
      </c>
      <c r="H153" s="17">
        <f>SUM(Apr!H153, May!H153, Jun!H153)</f>
        <v>0</v>
      </c>
      <c r="I153" s="17">
        <f>SUM(Apr!I153, May!I153, Jun!I153)</f>
        <v>418107</v>
      </c>
      <c r="J153" s="16" t="str">
        <f t="shared" si="16"/>
        <v/>
      </c>
      <c r="K153" s="39"/>
      <c r="L153" s="40"/>
    </row>
    <row r="154" spans="1:12" ht="15.75">
      <c r="A154" s="25" t="str">
        <v>Wheatland 2A</v>
      </c>
      <c r="B154" s="26" t="str">
        <v>NY</v>
      </c>
      <c r="C154" s="26"/>
      <c r="D154" s="67">
        <f>SUM(Apr!D154, May!D154, Jun!D154)</f>
        <v>941330</v>
      </c>
      <c r="E154" s="15">
        <f>SUM(Apr!E154, May!E154, Jun!E154)</f>
        <v>0</v>
      </c>
      <c r="F154" s="11">
        <f t="shared" si="14"/>
        <v>941330</v>
      </c>
      <c r="G154" s="68" t="str">
        <f t="shared" si="15"/>
        <v/>
      </c>
      <c r="H154" s="13">
        <f>SUM(Apr!H154, May!H154, Jun!H154)</f>
        <v>0</v>
      </c>
      <c r="I154" s="13">
        <f>SUM(Apr!I154, May!I154, Jun!I154)</f>
        <v>941330</v>
      </c>
      <c r="J154" s="14" t="str">
        <f t="shared" si="16"/>
        <v/>
      </c>
      <c r="K154" s="38"/>
      <c r="L154" s="38"/>
    </row>
    <row r="155" spans="1:12" ht="15.75">
      <c r="A155" s="27" t="str">
        <v>Wheatland 2B</v>
      </c>
      <c r="B155" s="28" t="str">
        <v>NY</v>
      </c>
      <c r="C155" s="28"/>
      <c r="D155" s="10">
        <f>SUM(Apr!D155, May!D155, Jun!D155)</f>
        <v>949970</v>
      </c>
      <c r="E155" s="11">
        <f>SUM(Apr!E155, May!E155, Jun!E155)</f>
        <v>0</v>
      </c>
      <c r="F155" s="15">
        <f t="shared" si="14"/>
        <v>949970</v>
      </c>
      <c r="G155" s="16" t="str">
        <f t="shared" si="15"/>
        <v/>
      </c>
      <c r="H155" s="17">
        <f>SUM(Apr!H155, May!H155, Jun!H155)</f>
        <v>0</v>
      </c>
      <c r="I155" s="17">
        <f>SUM(Apr!I155, May!I155, Jun!I155)</f>
        <v>949970</v>
      </c>
      <c r="J155" s="16" t="str">
        <f t="shared" si="16"/>
        <v/>
      </c>
      <c r="K155" s="39"/>
      <c r="L155" s="40"/>
    </row>
    <row r="156" spans="1:12" ht="15.75">
      <c r="A156" s="25" t="str">
        <v>Brickchurch</v>
      </c>
      <c r="B156" s="26" t="str">
        <v>NY</v>
      </c>
      <c r="C156" s="26"/>
      <c r="D156" s="67">
        <f>SUM(Apr!D156, May!D156, Jun!D156)</f>
        <v>450560</v>
      </c>
      <c r="E156" s="15">
        <f>SUM(Apr!E156, May!E156, Jun!E156)</f>
        <v>486732</v>
      </c>
      <c r="F156" s="11">
        <f t="shared" si="14"/>
        <v>-36172</v>
      </c>
      <c r="G156" s="68">
        <f t="shared" si="15"/>
        <v>-7.4316050721957877E-2</v>
      </c>
      <c r="H156" s="13">
        <f>SUM(Apr!H156, May!H156, Jun!H156)</f>
        <v>496313</v>
      </c>
      <c r="I156" s="13">
        <f>SUM(Apr!I156, May!I156, Jun!I156)</f>
        <v>-45753</v>
      </c>
      <c r="J156" s="14">
        <f t="shared" si="16"/>
        <v>-9.2185777926429485E-2</v>
      </c>
      <c r="K156" s="38"/>
      <c r="L156" s="38"/>
    </row>
    <row r="157" spans="1:12" ht="15.75">
      <c r="A157" s="27" t="str">
        <v>McCarthy Solar</v>
      </c>
      <c r="B157" s="28" t="str">
        <v>NY</v>
      </c>
      <c r="C157" s="28"/>
      <c r="D157" s="10">
        <f>SUM(Apr!D157, May!D157, Jun!D157)</f>
        <v>429624</v>
      </c>
      <c r="E157" s="11">
        <f>SUM(Apr!E157, May!E157, Jun!E157)</f>
        <v>0</v>
      </c>
      <c r="F157" s="15">
        <f t="shared" si="14"/>
        <v>429624</v>
      </c>
      <c r="G157" s="16" t="str">
        <f t="shared" si="15"/>
        <v/>
      </c>
      <c r="H157" s="17">
        <f>SUM(Apr!H157, May!H157, Jun!H157)</f>
        <v>0</v>
      </c>
      <c r="I157" s="17">
        <f>SUM(Apr!I157, May!I157, Jun!I157)</f>
        <v>429624</v>
      </c>
      <c r="J157" s="16" t="str">
        <f t="shared" si="16"/>
        <v/>
      </c>
      <c r="K157" s="39"/>
      <c r="L157" s="40"/>
    </row>
    <row r="158" spans="1:12" ht="15.75">
      <c r="A158" s="25" t="str">
        <v>Costanza</v>
      </c>
      <c r="B158" s="26" t="str">
        <v>NY</v>
      </c>
      <c r="C158" s="26"/>
      <c r="D158" s="67">
        <f>SUM(Apr!D158, May!D158, Jun!D158)</f>
        <v>17824</v>
      </c>
      <c r="E158" s="15">
        <f>SUM(Apr!E158, May!E158, Jun!E158)</f>
        <v>0</v>
      </c>
      <c r="F158" s="11">
        <f t="shared" si="14"/>
        <v>17824</v>
      </c>
      <c r="G158" s="68" t="str">
        <f t="shared" si="15"/>
        <v/>
      </c>
      <c r="H158" s="13">
        <f>SUM(Apr!H158, May!H158, Jun!H158)</f>
        <v>0</v>
      </c>
      <c r="I158" s="13">
        <f>SUM(Apr!I158, May!I158, Jun!I158)</f>
        <v>17824</v>
      </c>
      <c r="J158" s="14" t="str">
        <f t="shared" si="16"/>
        <v/>
      </c>
      <c r="K158" s="38"/>
      <c r="L158" s="38"/>
    </row>
    <row r="159" spans="1:12" ht="15.75">
      <c r="A159" s="27" t="str">
        <v>Lockenhurst Pond</v>
      </c>
      <c r="B159" s="28" t="str">
        <v>NY</v>
      </c>
      <c r="C159" s="28"/>
      <c r="D159" s="10">
        <f>SUM(Apr!D159, May!D159, Jun!D159)</f>
        <v>523420.72888888902</v>
      </c>
      <c r="E159" s="11">
        <f>SUM(Apr!E159, May!E159, Jun!E159)</f>
        <v>553634.1</v>
      </c>
      <c r="F159" s="15">
        <f t="shared" si="14"/>
        <v>-30213.371111110959</v>
      </c>
      <c r="G159" s="16">
        <f t="shared" si="15"/>
        <v>-5.4572814628128866E-2</v>
      </c>
      <c r="H159" s="17">
        <f>SUM(Apr!H159, May!H159, Jun!H159)</f>
        <v>491101</v>
      </c>
      <c r="I159" s="17">
        <f>SUM(Apr!I159, May!I159, Jun!I159)</f>
        <v>32319.728888889018</v>
      </c>
      <c r="J159" s="16">
        <f t="shared" si="16"/>
        <v>6.5810757642295617E-2</v>
      </c>
      <c r="K159" s="39"/>
      <c r="L159" s="40"/>
    </row>
    <row r="160" spans="1:12" ht="15.75">
      <c r="A160" s="25" t="str">
        <v>Drinkwater</v>
      </c>
      <c r="B160" s="26" t="str">
        <v>NY</v>
      </c>
      <c r="C160" s="26"/>
      <c r="D160" s="67">
        <f>SUM(Apr!D160, May!D160, Jun!D160)</f>
        <v>410647</v>
      </c>
      <c r="E160" s="15">
        <f>SUM(Apr!E160, May!E160, Jun!E160)</f>
        <v>0</v>
      </c>
      <c r="F160" s="11">
        <f t="shared" si="14"/>
        <v>410647</v>
      </c>
      <c r="G160" s="68" t="str">
        <f t="shared" si="15"/>
        <v/>
      </c>
      <c r="H160" s="13">
        <f>SUM(Apr!H160, May!H160, Jun!H160)</f>
        <v>0</v>
      </c>
      <c r="I160" s="13">
        <f>SUM(Apr!I160, May!I160, Jun!I160)</f>
        <v>410647</v>
      </c>
      <c r="J160" s="14" t="str">
        <f t="shared" si="16"/>
        <v/>
      </c>
      <c r="K160" s="38"/>
      <c r="L160" s="38"/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4">
    <sortCondition ref="A3:A4"/>
  </sortState>
  <mergeCells count="4">
    <mergeCell ref="H1:J1"/>
    <mergeCell ref="A1:D1"/>
    <mergeCell ref="E1:G1"/>
    <mergeCell ref="A2:B2"/>
  </mergeCells>
  <conditionalFormatting sqref="G2 J2">
    <cfRule type="cellIs" dxfId="62" priority="3" stopIfTrue="1" operator="lessThanOrEqual">
      <formula>-0.1</formula>
    </cfRule>
    <cfRule type="expression" dxfId="61" priority="4">
      <formula>AND(ISNUMBER(G2), G2&gt;=0.1)</formula>
    </cfRule>
  </conditionalFormatting>
  <conditionalFormatting sqref="G4:G160 J4:J160">
    <cfRule type="cellIs" dxfId="60" priority="1" stopIfTrue="1" operator="lessThanOrEqual">
      <formula>-0.1</formula>
    </cfRule>
    <cfRule type="expression" dxfId="5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L342"/>
  <sheetViews>
    <sheetView workbookViewId="0">
      <pane xSplit="2" ySplit="3" topLeftCell="C18" activePane="bottomRight" state="frozen"/>
      <selection pane="bottomRight" activeCell="M152" sqref="M152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15</v>
      </c>
      <c r="F1" s="97"/>
      <c r="G1" s="97"/>
      <c r="H1" s="95" t="s">
        <v>16</v>
      </c>
      <c r="I1" s="95"/>
      <c r="J1" s="95"/>
    </row>
    <row r="2" spans="1:12" ht="19.5" customHeight="1">
      <c r="A2" s="98" t="s">
        <v>2</v>
      </c>
      <c r="B2" s="98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SUM(Jul!D4, Aug!D4, Sep!D4)</f>
        <v>0</v>
      </c>
      <c r="E4" s="11">
        <f>SUM(Jul!E4, Aug!E4, Sep!E4)</f>
        <v>0</v>
      </c>
      <c r="F4" s="11">
        <f>IF(AND(ISNUMBER(D4),ISNUMBER(E4)), D4-E4, "")</f>
        <v>0</v>
      </c>
      <c r="G4" s="12" t="str">
        <f>IFERROR(F4/E4, "")</f>
        <v/>
      </c>
      <c r="H4" s="13"/>
      <c r="I4" s="13">
        <f>SUM(Jul!I4, Aug!I4, Sep!I4)</f>
        <v>0</v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SUM(Jul!D5, Aug!D5, Sep!D5)</f>
        <v>0</v>
      </c>
      <c r="E5" s="15">
        <f>SUM(Jul!E5, Aug!E5, Sep!E5)</f>
        <v>0</v>
      </c>
      <c r="F5" s="15">
        <f t="shared" ref="F5:F15" si="0">IF(AND(ISNUMBER(D5),ISNUMBER(E5)), D5-E5, "")</f>
        <v>0</v>
      </c>
      <c r="G5" s="16" t="str">
        <f>IFERROR(F5/E5, "")</f>
        <v/>
      </c>
      <c r="H5" s="17"/>
      <c r="I5" s="17">
        <f>SUM(Jul!I5, Aug!I5, Sep!I5)</f>
        <v>0</v>
      </c>
      <c r="J5" s="16" t="str">
        <f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SUM(Jul!D6, Aug!D6, Sep!D6)</f>
        <v>0</v>
      </c>
      <c r="E6" s="11">
        <f>SUM(Jul!E6, Aug!E6, Sep!E6)</f>
        <v>0</v>
      </c>
      <c r="F6" s="11">
        <f t="shared" si="0"/>
        <v>0</v>
      </c>
      <c r="G6" s="12" t="str">
        <f t="shared" ref="G6:G15" si="1">IFERROR(F6/E6, "")</f>
        <v/>
      </c>
      <c r="H6" s="13"/>
      <c r="I6" s="13">
        <f>SUM(Jul!I6, Aug!I6, Sep!I6)</f>
        <v>0</v>
      </c>
      <c r="J6" s="14" t="str">
        <f t="shared" ref="J6:J15" si="2">IFERROR(I6/H6, "")</f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SUM(Jul!D7, Aug!D7, Sep!D7)</f>
        <v>0</v>
      </c>
      <c r="E7" s="15">
        <f>SUM(Jul!E7, Aug!E7, Sep!E7)</f>
        <v>0</v>
      </c>
      <c r="F7" s="15">
        <f t="shared" si="0"/>
        <v>0</v>
      </c>
      <c r="G7" s="16" t="str">
        <f t="shared" si="1"/>
        <v/>
      </c>
      <c r="H7" s="17"/>
      <c r="I7" s="17">
        <f>SUM(Jul!I7, Aug!I7, Sep!I7)</f>
        <v>0</v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SUM(Jul!D8, Aug!D8, Sep!D8)</f>
        <v>0</v>
      </c>
      <c r="E8" s="11">
        <f>SUM(Jul!E8, Aug!E8, Sep!E8)</f>
        <v>0</v>
      </c>
      <c r="F8" s="11">
        <f t="shared" si="0"/>
        <v>0</v>
      </c>
      <c r="G8" s="12" t="str">
        <f t="shared" si="1"/>
        <v/>
      </c>
      <c r="H8" s="13"/>
      <c r="I8" s="13">
        <f>SUM(Jul!I8, Aug!I8, Sep!I8)</f>
        <v>0</v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SUM(Jul!D9, Aug!D9, Sep!D9)</f>
        <v>0</v>
      </c>
      <c r="E9" s="15">
        <f>SUM(Jul!E9, Aug!E9, Sep!E9)</f>
        <v>0</v>
      </c>
      <c r="F9" s="15">
        <f t="shared" si="0"/>
        <v>0</v>
      </c>
      <c r="G9" s="16" t="str">
        <f t="shared" si="1"/>
        <v/>
      </c>
      <c r="H9" s="17"/>
      <c r="I9" s="17">
        <f>SUM(Jul!I9, Aug!I9, Sep!I9)</f>
        <v>0</v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SUM(Jul!D10, Aug!D10, Sep!D10)</f>
        <v>0</v>
      </c>
      <c r="E10" s="11">
        <f>SUM(Jul!E10, Aug!E10, Sep!E10)</f>
        <v>0</v>
      </c>
      <c r="F10" s="11">
        <f t="shared" si="0"/>
        <v>0</v>
      </c>
      <c r="G10" s="12" t="str">
        <f t="shared" si="1"/>
        <v/>
      </c>
      <c r="H10" s="13"/>
      <c r="I10" s="13">
        <f>SUM(Jul!I10, Aug!I10, Sep!I10)</f>
        <v>0</v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SUM(Jul!D11, Aug!D11, Sep!D11)</f>
        <v>0</v>
      </c>
      <c r="E11" s="15">
        <f>SUM(Jul!E11, Aug!E11, Sep!E11)</f>
        <v>0</v>
      </c>
      <c r="F11" s="15">
        <f t="shared" si="0"/>
        <v>0</v>
      </c>
      <c r="G11" s="16" t="str">
        <f t="shared" si="1"/>
        <v/>
      </c>
      <c r="H11" s="17"/>
      <c r="I11" s="17">
        <f>SUM(Jul!I11, Aug!I11, Sep!I11)</f>
        <v>0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SUM(Jul!D12, Aug!D12, Sep!D12)</f>
        <v>0</v>
      </c>
      <c r="E12" s="11">
        <f>SUM(Jul!E12, Aug!E12, Sep!E12)</f>
        <v>0</v>
      </c>
      <c r="F12" s="11">
        <f t="shared" si="0"/>
        <v>0</v>
      </c>
      <c r="G12" s="12" t="str">
        <f t="shared" si="1"/>
        <v/>
      </c>
      <c r="H12" s="13"/>
      <c r="I12" s="13">
        <f>SUM(Jul!I12, Aug!I12, Sep!I12)</f>
        <v>0</v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SUM(Jul!D13, Aug!D13, Sep!D13)</f>
        <v>0</v>
      </c>
      <c r="E13" s="15">
        <f>SUM(Jul!E13, Aug!E13, Sep!E13)</f>
        <v>0</v>
      </c>
      <c r="F13" s="15">
        <f t="shared" si="0"/>
        <v>0</v>
      </c>
      <c r="G13" s="16" t="str">
        <f t="shared" si="1"/>
        <v/>
      </c>
      <c r="H13" s="17"/>
      <c r="I13" s="17">
        <f>SUM(Jul!I13, Aug!I13, Sep!I13)</f>
        <v>0</v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SUM(Jul!D14, Aug!D14, Sep!D14)</f>
        <v>0</v>
      </c>
      <c r="E14" s="11">
        <f>SUM(Jul!E14, Aug!E14, Sep!E14)</f>
        <v>0</v>
      </c>
      <c r="F14" s="11">
        <f t="shared" si="0"/>
        <v>0</v>
      </c>
      <c r="G14" s="12" t="str">
        <f t="shared" si="1"/>
        <v/>
      </c>
      <c r="H14" s="13"/>
      <c r="I14" s="13">
        <f>SUM(Jul!I14, Aug!I14, Sep!I14)</f>
        <v>0</v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SUM(Jul!D15, Aug!D15, Sep!D15)</f>
        <v>0</v>
      </c>
      <c r="E15" s="15">
        <f>SUM(Jul!E15, Aug!E15, Sep!E15)</f>
        <v>0</v>
      </c>
      <c r="F15" s="15">
        <f t="shared" si="0"/>
        <v>0</v>
      </c>
      <c r="G15" s="16" t="str">
        <f t="shared" si="1"/>
        <v/>
      </c>
      <c r="H15" s="17"/>
      <c r="I15" s="17">
        <f>SUM(Jul!I15, Aug!I15, Sep!I15)</f>
        <v>0</v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SUM(Jul!D16, Aug!D16, Sep!D16)</f>
        <v>0</v>
      </c>
      <c r="E16" s="11">
        <f>SUM(Jul!E16, Aug!E16, Sep!E16)</f>
        <v>0</v>
      </c>
      <c r="F16" s="11">
        <f t="shared" ref="F16:F17" si="3">IF(AND(ISNUMBER(D16),ISNUMBER(E16)), D16-E16, "")</f>
        <v>0</v>
      </c>
      <c r="G16" s="12" t="str">
        <f t="shared" ref="G16:G17" si="4">IFERROR(F16/E16, "")</f>
        <v/>
      </c>
      <c r="H16" s="13"/>
      <c r="I16" s="13">
        <f>SUM(Jul!I16, Aug!I16, Sep!I16)</f>
        <v>0</v>
      </c>
      <c r="J16" s="14" t="str">
        <f t="shared" ref="J16:J17" si="5">IFERROR(I16/H16, "")</f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SUM(Jul!D17, Aug!D17, Sep!D17)</f>
        <v>0</v>
      </c>
      <c r="E17" s="15">
        <f>SUM(Jul!E17, Aug!E17, Sep!E17)</f>
        <v>0</v>
      </c>
      <c r="F17" s="15">
        <f t="shared" si="3"/>
        <v>0</v>
      </c>
      <c r="G17" s="16" t="str">
        <f t="shared" si="4"/>
        <v/>
      </c>
      <c r="H17" s="17"/>
      <c r="I17" s="17">
        <f>SUM(Jul!I17, Aug!I17, Sep!I17)</f>
        <v>0</v>
      </c>
      <c r="J17" s="16" t="str">
        <f t="shared" si="5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/>
      <c r="E140" s="11"/>
      <c r="F140" s="11"/>
      <c r="G140" s="12"/>
      <c r="H140" s="13"/>
      <c r="I140" s="13"/>
      <c r="J140" s="14"/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/>
      <c r="E141" s="15"/>
      <c r="F141" s="15"/>
      <c r="G141" s="16"/>
      <c r="H141" s="17"/>
      <c r="I141" s="17"/>
      <c r="J141" s="16"/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/>
      <c r="E142" s="11"/>
      <c r="F142" s="11"/>
      <c r="G142" s="12"/>
      <c r="H142" s="13"/>
      <c r="I142" s="13"/>
      <c r="J142" s="14"/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/>
      <c r="E143" s="15"/>
      <c r="F143" s="15"/>
      <c r="G143" s="16"/>
      <c r="H143" s="17"/>
      <c r="I143" s="17"/>
      <c r="J143" s="16"/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/>
      <c r="E144" s="11"/>
      <c r="F144" s="11"/>
      <c r="G144" s="12"/>
      <c r="H144" s="13"/>
      <c r="I144" s="13"/>
      <c r="J144" s="14"/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/>
      <c r="E145" s="15"/>
      <c r="F145" s="15"/>
      <c r="G145" s="16"/>
      <c r="H145" s="17"/>
      <c r="I145" s="17"/>
      <c r="J145" s="16"/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/>
      <c r="E146" s="11"/>
      <c r="F146" s="11"/>
      <c r="G146" s="12"/>
      <c r="H146" s="13"/>
      <c r="I146" s="13"/>
      <c r="J146" s="14"/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/>
      <c r="E147" s="15"/>
      <c r="F147" s="15"/>
      <c r="G147" s="16"/>
      <c r="H147" s="17"/>
      <c r="I147" s="17"/>
      <c r="J147" s="16"/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/>
      <c r="E148" s="11"/>
      <c r="F148" s="11"/>
      <c r="G148" s="12"/>
      <c r="H148" s="13"/>
      <c r="I148" s="13"/>
      <c r="J148" s="14"/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/>
      <c r="E149" s="15"/>
      <c r="F149" s="15"/>
      <c r="G149" s="16"/>
      <c r="H149" s="17"/>
      <c r="I149" s="17"/>
      <c r="J149" s="16"/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/>
      <c r="E150" s="11"/>
      <c r="F150" s="11"/>
      <c r="G150" s="12"/>
      <c r="H150" s="13"/>
      <c r="I150" s="13"/>
      <c r="J150" s="14"/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/>
      <c r="E151" s="15"/>
      <c r="F151" s="15"/>
      <c r="G151" s="16"/>
      <c r="H151" s="17"/>
      <c r="I151" s="17"/>
      <c r="J151" s="16"/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/>
      <c r="E152" s="11"/>
      <c r="F152" s="11"/>
      <c r="G152" s="12"/>
      <c r="H152" s="13"/>
      <c r="I152" s="13"/>
      <c r="J152" s="14"/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/>
      <c r="E153" s="15"/>
      <c r="F153" s="15"/>
      <c r="G153" s="16"/>
      <c r="H153" s="17"/>
      <c r="I153" s="17"/>
      <c r="J153" s="16"/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/>
      <c r="E154" s="11"/>
      <c r="F154" s="11"/>
      <c r="G154" s="12"/>
      <c r="H154" s="13"/>
      <c r="I154" s="13"/>
      <c r="J154" s="14"/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/>
      <c r="E155" s="15"/>
      <c r="F155" s="15"/>
      <c r="G155" s="16"/>
      <c r="H155" s="17"/>
      <c r="I155" s="17"/>
      <c r="J155" s="16"/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/>
      <c r="E156" s="11"/>
      <c r="F156" s="11"/>
      <c r="G156" s="12"/>
      <c r="H156" s="13"/>
      <c r="I156" s="13"/>
      <c r="J156" s="14"/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/>
      <c r="E157" s="15"/>
      <c r="F157" s="15"/>
      <c r="G157" s="16"/>
      <c r="H157" s="17"/>
      <c r="I157" s="17"/>
      <c r="J157" s="16"/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/>
      <c r="E158" s="11"/>
      <c r="F158" s="11"/>
      <c r="G158" s="12"/>
      <c r="H158" s="13"/>
      <c r="I158" s="13"/>
      <c r="J158" s="14"/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/>
      <c r="E159" s="15"/>
      <c r="F159" s="15"/>
      <c r="G159" s="16"/>
      <c r="H159" s="17"/>
      <c r="I159" s="17"/>
      <c r="J159" s="16"/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/>
      <c r="E160" s="11"/>
      <c r="F160" s="11"/>
      <c r="G160" s="12"/>
      <c r="H160" s="13"/>
      <c r="I160" s="13"/>
      <c r="J160" s="14"/>
      <c r="K160" s="38"/>
      <c r="L160" s="38"/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58" priority="3" stopIfTrue="1" operator="lessThanOrEqual">
      <formula>-0.1</formula>
    </cfRule>
    <cfRule type="expression" dxfId="57" priority="4">
      <formula>AND(ISNUMBER(G2), G2&gt;=0.1)</formula>
    </cfRule>
  </conditionalFormatting>
  <conditionalFormatting sqref="G4:G160 J4:J160">
    <cfRule type="cellIs" dxfId="56" priority="1" stopIfTrue="1" operator="lessThanOrEqual">
      <formula>-0.1</formula>
    </cfRule>
    <cfRule type="expression" dxfId="5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L342"/>
  <sheetViews>
    <sheetView workbookViewId="0">
      <pane xSplit="2" ySplit="3" topLeftCell="C165" activePane="bottomRight" state="frozen"/>
      <selection pane="bottomRight" activeCell="N145" sqref="N145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17</v>
      </c>
      <c r="F1" s="97"/>
      <c r="G1" s="97"/>
      <c r="H1" s="95" t="s">
        <v>18</v>
      </c>
      <c r="I1" s="95"/>
      <c r="J1" s="95"/>
    </row>
    <row r="2" spans="1:12" ht="19.5" customHeight="1">
      <c r="A2" s="98" t="s">
        <v>2</v>
      </c>
      <c r="B2" s="98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f>SUM(Oct!D4, Nov!D4, Dec!D4)</f>
        <v>0</v>
      </c>
      <c r="E4" s="11">
        <f>SUM(Oct!E4, Nov!E4, Dec!E4)</f>
        <v>0</v>
      </c>
      <c r="F4" s="11">
        <f>IF(AND(ISNUMBER(D4),ISNUMBER(E4)), D4-E4, "")</f>
        <v>0</v>
      </c>
      <c r="G4" s="12" t="str">
        <f>IFERROR(F4/E4, "")</f>
        <v/>
      </c>
      <c r="H4" s="13"/>
      <c r="I4" s="13">
        <f>SUM(Oct!I4, Nov!I4, Dec!I4)</f>
        <v>0</v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SUM(Oct!D5, Nov!D5, Dec!D5)</f>
        <v>0</v>
      </c>
      <c r="E5" s="15">
        <f>SUM(Oct!E5, Nov!E5, Dec!E5)</f>
        <v>0</v>
      </c>
      <c r="F5" s="15">
        <f t="shared" ref="F5:F15" si="0">IF(AND(ISNUMBER(D5),ISNUMBER(E5)), D5-E5, "")</f>
        <v>0</v>
      </c>
      <c r="G5" s="16" t="str">
        <f>IFERROR(F5/E5, "")</f>
        <v/>
      </c>
      <c r="H5" s="17"/>
      <c r="I5" s="17">
        <f>SUM(Oct!I5, Nov!I5, Dec!I5)</f>
        <v>0</v>
      </c>
      <c r="J5" s="16" t="str">
        <f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SUM(Oct!D6, Nov!D6, Dec!D6)</f>
        <v>0</v>
      </c>
      <c r="E6" s="11">
        <f>SUM(Oct!E6, Nov!E6, Dec!E6)</f>
        <v>0</v>
      </c>
      <c r="F6" s="11">
        <f t="shared" si="0"/>
        <v>0</v>
      </c>
      <c r="G6" s="12" t="str">
        <f t="shared" ref="G6:G15" si="1">IFERROR(F6/E6, "")</f>
        <v/>
      </c>
      <c r="H6" s="13"/>
      <c r="I6" s="13">
        <f>SUM(Oct!I6, Nov!I6, Dec!I6)</f>
        <v>0</v>
      </c>
      <c r="J6" s="14" t="str">
        <f t="shared" ref="J6:J15" si="2">IFERROR(I6/H6, "")</f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SUM(Oct!D7, Nov!D7, Dec!D7)</f>
        <v>0</v>
      </c>
      <c r="E7" s="15">
        <f>SUM(Oct!E7, Nov!E7, Dec!E7)</f>
        <v>0</v>
      </c>
      <c r="F7" s="15">
        <f t="shared" si="0"/>
        <v>0</v>
      </c>
      <c r="G7" s="16" t="str">
        <f t="shared" si="1"/>
        <v/>
      </c>
      <c r="H7" s="17"/>
      <c r="I7" s="17">
        <f>SUM(Oct!I7, Nov!I7, Dec!I7)</f>
        <v>0</v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SUM(Oct!D8, Nov!D8, Dec!D8)</f>
        <v>0</v>
      </c>
      <c r="E8" s="11">
        <f>SUM(Oct!E8, Nov!E8, Dec!E8)</f>
        <v>0</v>
      </c>
      <c r="F8" s="11">
        <f t="shared" si="0"/>
        <v>0</v>
      </c>
      <c r="G8" s="12" t="str">
        <f t="shared" si="1"/>
        <v/>
      </c>
      <c r="H8" s="13"/>
      <c r="I8" s="13">
        <f>SUM(Oct!I8, Nov!I8, Dec!I8)</f>
        <v>0</v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SUM(Oct!D9, Nov!D9, Dec!D9)</f>
        <v>0</v>
      </c>
      <c r="E9" s="15">
        <f>SUM(Oct!E9, Nov!E9, Dec!E9)</f>
        <v>0</v>
      </c>
      <c r="F9" s="15">
        <f t="shared" si="0"/>
        <v>0</v>
      </c>
      <c r="G9" s="16" t="str">
        <f t="shared" si="1"/>
        <v/>
      </c>
      <c r="H9" s="17"/>
      <c r="I9" s="17">
        <f>SUM(Oct!I9, Nov!I9, Dec!I9)</f>
        <v>0</v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SUM(Oct!D10, Nov!D10, Dec!D10)</f>
        <v>0</v>
      </c>
      <c r="E10" s="11">
        <f>SUM(Oct!E10, Nov!E10, Dec!E10)</f>
        <v>0</v>
      </c>
      <c r="F10" s="11">
        <f t="shared" si="0"/>
        <v>0</v>
      </c>
      <c r="G10" s="12" t="str">
        <f t="shared" si="1"/>
        <v/>
      </c>
      <c r="H10" s="13"/>
      <c r="I10" s="13">
        <f>SUM(Oct!I10, Nov!I10, Dec!I10)</f>
        <v>0</v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SUM(Oct!D11, Nov!D11, Dec!D11)</f>
        <v>0</v>
      </c>
      <c r="E11" s="15">
        <f>SUM(Oct!E11, Nov!E11, Dec!E11)</f>
        <v>0</v>
      </c>
      <c r="F11" s="15">
        <f t="shared" si="0"/>
        <v>0</v>
      </c>
      <c r="G11" s="16" t="str">
        <f t="shared" si="1"/>
        <v/>
      </c>
      <c r="H11" s="17"/>
      <c r="I11" s="17">
        <f>SUM(Oct!I11, Nov!I11, Dec!I11)</f>
        <v>0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SUM(Oct!D12, Nov!D12, Dec!D12)</f>
        <v>0</v>
      </c>
      <c r="E12" s="11">
        <f>SUM(Oct!E12, Nov!E12, Dec!E12)</f>
        <v>0</v>
      </c>
      <c r="F12" s="11">
        <f t="shared" si="0"/>
        <v>0</v>
      </c>
      <c r="G12" s="12" t="str">
        <f t="shared" si="1"/>
        <v/>
      </c>
      <c r="H12" s="13"/>
      <c r="I12" s="13">
        <f>SUM(Oct!I12, Nov!I12, Dec!I12)</f>
        <v>0</v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SUM(Oct!D13, Nov!D13, Dec!D13)</f>
        <v>0</v>
      </c>
      <c r="E13" s="15">
        <f>SUM(Oct!E13, Nov!E13, Dec!E13)</f>
        <v>0</v>
      </c>
      <c r="F13" s="15">
        <f t="shared" si="0"/>
        <v>0</v>
      </c>
      <c r="G13" s="16" t="str">
        <f t="shared" si="1"/>
        <v/>
      </c>
      <c r="H13" s="17"/>
      <c r="I13" s="17">
        <f>SUM(Oct!I13, Nov!I13, Dec!I13)</f>
        <v>0</v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SUM(Oct!D14, Nov!D14, Dec!D14)</f>
        <v>0</v>
      </c>
      <c r="E14" s="11">
        <f>SUM(Oct!E14, Nov!E14, Dec!E14)</f>
        <v>0</v>
      </c>
      <c r="F14" s="11">
        <f t="shared" si="0"/>
        <v>0</v>
      </c>
      <c r="G14" s="12" t="str">
        <f t="shared" si="1"/>
        <v/>
      </c>
      <c r="H14" s="13"/>
      <c r="I14" s="13">
        <f>SUM(Oct!I14, Nov!I14, Dec!I14)</f>
        <v>0</v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SUM(Oct!D15, Nov!D15, Dec!D15)</f>
        <v>0</v>
      </c>
      <c r="E15" s="15">
        <f>SUM(Oct!E15, Nov!E15, Dec!E15)</f>
        <v>0</v>
      </c>
      <c r="F15" s="15">
        <f t="shared" si="0"/>
        <v>0</v>
      </c>
      <c r="G15" s="16" t="str">
        <f t="shared" si="1"/>
        <v/>
      </c>
      <c r="H15" s="17"/>
      <c r="I15" s="17">
        <f>SUM(Oct!I15, Nov!I15, Dec!I15)</f>
        <v>0</v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SUM(Oct!D16, Nov!D16, Dec!D16)</f>
        <v>0</v>
      </c>
      <c r="E16" s="11">
        <f>SUM(Oct!E16, Nov!E16, Dec!E16)</f>
        <v>0</v>
      </c>
      <c r="F16" s="11">
        <f t="shared" ref="F16:F17" si="3">IF(AND(ISNUMBER(D16),ISNUMBER(E16)), D16-E16, "")</f>
        <v>0</v>
      </c>
      <c r="G16" s="12" t="str">
        <f t="shared" ref="G16:G17" si="4">IFERROR(F16/E16, "")</f>
        <v/>
      </c>
      <c r="H16" s="13"/>
      <c r="I16" s="13">
        <f>SUM(Oct!I16, Nov!I16, Dec!I16)</f>
        <v>0</v>
      </c>
      <c r="J16" s="14" t="str">
        <f t="shared" ref="J16:J17" si="5">IFERROR(I16/H16, "")</f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SUM(Oct!D17, Nov!D17, Dec!D17)</f>
        <v>0</v>
      </c>
      <c r="E17" s="15">
        <f>SUM(Oct!E17, Nov!E17, Dec!E17)</f>
        <v>0</v>
      </c>
      <c r="F17" s="15">
        <f t="shared" si="3"/>
        <v>0</v>
      </c>
      <c r="G17" s="16" t="str">
        <f t="shared" si="4"/>
        <v/>
      </c>
      <c r="H17" s="17"/>
      <c r="I17" s="17">
        <f>SUM(Oct!I17, Nov!I17, Dec!I17)</f>
        <v>0</v>
      </c>
      <c r="J17" s="16" t="str">
        <f t="shared" si="5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5">
        <f>SUM(Oct!E18, Nov!E18, Dec!E18)</f>
        <v>0</v>
      </c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>
        <f>SUM(Oct!E19, Nov!E19, Dec!E19)</f>
        <v>0</v>
      </c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/>
      <c r="E140" s="11"/>
      <c r="F140" s="11"/>
      <c r="G140" s="12"/>
      <c r="H140" s="13"/>
      <c r="I140" s="13"/>
      <c r="J140" s="14"/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/>
      <c r="E141" s="15"/>
      <c r="F141" s="15"/>
      <c r="G141" s="16"/>
      <c r="H141" s="17"/>
      <c r="I141" s="17"/>
      <c r="J141" s="16"/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/>
      <c r="E142" s="11"/>
      <c r="F142" s="11"/>
      <c r="G142" s="12"/>
      <c r="H142" s="13"/>
      <c r="I142" s="13"/>
      <c r="J142" s="14"/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/>
      <c r="E143" s="15"/>
      <c r="F143" s="15"/>
      <c r="G143" s="16"/>
      <c r="H143" s="17"/>
      <c r="I143" s="17"/>
      <c r="J143" s="16"/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/>
      <c r="E144" s="11"/>
      <c r="F144" s="11"/>
      <c r="G144" s="12"/>
      <c r="H144" s="13"/>
      <c r="I144" s="13"/>
      <c r="J144" s="14"/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/>
      <c r="E145" s="15"/>
      <c r="F145" s="15"/>
      <c r="G145" s="16"/>
      <c r="H145" s="17"/>
      <c r="I145" s="17"/>
      <c r="J145" s="16"/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/>
      <c r="E146" s="11"/>
      <c r="F146" s="11"/>
      <c r="G146" s="12"/>
      <c r="H146" s="13"/>
      <c r="I146" s="13"/>
      <c r="J146" s="14"/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/>
      <c r="E147" s="15"/>
      <c r="F147" s="15"/>
      <c r="G147" s="16"/>
      <c r="H147" s="17"/>
      <c r="I147" s="17"/>
      <c r="J147" s="16"/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/>
      <c r="E148" s="11"/>
      <c r="F148" s="11"/>
      <c r="G148" s="12"/>
      <c r="H148" s="13"/>
      <c r="I148" s="13"/>
      <c r="J148" s="14"/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/>
      <c r="E149" s="15"/>
      <c r="F149" s="15"/>
      <c r="G149" s="16"/>
      <c r="H149" s="17"/>
      <c r="I149" s="17"/>
      <c r="J149" s="16"/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/>
      <c r="E150" s="11"/>
      <c r="F150" s="11"/>
      <c r="G150" s="12"/>
      <c r="H150" s="13"/>
      <c r="I150" s="13"/>
      <c r="J150" s="14"/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/>
      <c r="E151" s="15"/>
      <c r="F151" s="15"/>
      <c r="G151" s="16"/>
      <c r="H151" s="17"/>
      <c r="I151" s="17"/>
      <c r="J151" s="16"/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/>
      <c r="E152" s="11"/>
      <c r="F152" s="11"/>
      <c r="G152" s="12"/>
      <c r="H152" s="13"/>
      <c r="I152" s="13"/>
      <c r="J152" s="14"/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/>
      <c r="E153" s="15"/>
      <c r="F153" s="15"/>
      <c r="G153" s="16"/>
      <c r="H153" s="17"/>
      <c r="I153" s="17"/>
      <c r="J153" s="16"/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/>
      <c r="E154" s="11"/>
      <c r="F154" s="11"/>
      <c r="G154" s="12"/>
      <c r="H154" s="13"/>
      <c r="I154" s="13"/>
      <c r="J154" s="14"/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/>
      <c r="E155" s="15"/>
      <c r="F155" s="15"/>
      <c r="G155" s="16"/>
      <c r="H155" s="17"/>
      <c r="I155" s="17"/>
      <c r="J155" s="16"/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/>
      <c r="E156" s="11"/>
      <c r="F156" s="11"/>
      <c r="G156" s="12"/>
      <c r="H156" s="13"/>
      <c r="I156" s="13"/>
      <c r="J156" s="14"/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/>
      <c r="E157" s="15"/>
      <c r="F157" s="15"/>
      <c r="G157" s="16"/>
      <c r="H157" s="17"/>
      <c r="I157" s="17"/>
      <c r="J157" s="16"/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/>
      <c r="E158" s="11"/>
      <c r="F158" s="11"/>
      <c r="G158" s="12"/>
      <c r="H158" s="13"/>
      <c r="I158" s="13"/>
      <c r="J158" s="14"/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/>
      <c r="E159" s="15"/>
      <c r="F159" s="15"/>
      <c r="G159" s="16"/>
      <c r="H159" s="17"/>
      <c r="I159" s="17"/>
      <c r="J159" s="16"/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/>
      <c r="E160" s="11"/>
      <c r="F160" s="11"/>
      <c r="G160" s="12"/>
      <c r="H160" s="13"/>
      <c r="I160" s="13"/>
      <c r="J160" s="14"/>
      <c r="K160" s="38"/>
      <c r="L160" s="38"/>
    </row>
    <row r="161" spans="1:10" ht="13.15">
      <c r="A161" s="18"/>
      <c r="B161" s="18"/>
      <c r="C161" s="18"/>
      <c r="D161" s="18"/>
      <c r="E161" s="18"/>
      <c r="F161" s="18"/>
      <c r="G161" s="19"/>
      <c r="H161" s="18"/>
      <c r="I161" s="18"/>
      <c r="J161" s="19"/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54" priority="3" stopIfTrue="1" operator="lessThanOrEqual">
      <formula>-0.1</formula>
    </cfRule>
    <cfRule type="expression" dxfId="53" priority="4">
      <formula>AND(ISNUMBER(G2), G2&gt;=0.1)</formula>
    </cfRule>
  </conditionalFormatting>
  <conditionalFormatting sqref="G4:G160 J4:J160">
    <cfRule type="cellIs" dxfId="52" priority="1" stopIfTrue="1" operator="lessThanOrEqual">
      <formula>-0.1</formula>
    </cfRule>
    <cfRule type="expression" dxfId="5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1"/>
  <sheetViews>
    <sheetView zoomScale="90" zoomScaleNormal="90" workbookViewId="0">
      <pane xSplit="2" ySplit="3" topLeftCell="C128" activePane="bottomRight" state="frozen"/>
      <selection pane="bottomRight" activeCell="H85" sqref="H85"/>
      <selection pane="bottomLeft" activeCell="C3" sqref="C3"/>
      <selection pane="topRight" activeCell="C3" sqref="C3"/>
    </sheetView>
  </sheetViews>
  <sheetFormatPr defaultRowHeight="13.5"/>
  <cols>
    <col min="1" max="1" width="35.85546875" bestFit="1" customWidth="1"/>
    <col min="2" max="2" width="8.42578125" style="31" customWidth="1"/>
    <col min="3" max="3" width="9.710937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19</v>
      </c>
      <c r="F1" s="97"/>
      <c r="G1" s="97"/>
      <c r="H1" s="95" t="s">
        <v>20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SUM(D4:D137)</f>
        <v>5231538.1062812647</v>
      </c>
      <c r="E2" s="6">
        <f>SUM(E4:E137)</f>
        <v>2888612.5548000005</v>
      </c>
      <c r="F2" s="6">
        <f>D2-E2</f>
        <v>2342925.5514812642</v>
      </c>
      <c r="G2" s="7">
        <f>IFERROR(F2/E2, 0)</f>
        <v>0.81109027501387487</v>
      </c>
      <c r="H2" s="6">
        <f>SUM(H4:H137)</f>
        <v>9202509.7462000009</v>
      </c>
      <c r="I2" s="8">
        <f>D2-H2</f>
        <v>-3970971.6399187362</v>
      </c>
      <c r="J2" s="7">
        <f>IFERROR(I2/H2, 0)</f>
        <v>-0.43150963698337536</v>
      </c>
      <c r="K2" s="23" t="str">
        <f ca="1">IF(AND(TODAY()&gt;DATE(2024, 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24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7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9019.8055667054105</v>
      </c>
      <c r="E4" s="11">
        <v>7182.884</v>
      </c>
      <c r="F4" s="11">
        <f>IF(AND(ISNUMBER(D4),ISNUMBER(E4)), D4-E4, "")</f>
        <v>1836.9215667054104</v>
      </c>
      <c r="G4" s="12">
        <f>IFERROR(F4/E4, "")</f>
        <v>0.25573593652708443</v>
      </c>
      <c r="H4" s="13">
        <v>9612.777</v>
      </c>
      <c r="I4" s="13">
        <f>IF(AND(ISNUMBER(D4),ISNUMBER(H4)), D4-H4, "")</f>
        <v>-592.97143329458959</v>
      </c>
      <c r="J4" s="14">
        <f>IFERROR(I4/H4, "")</f>
        <v>-6.1685757746652144E-2</v>
      </c>
      <c r="K4" s="38" t="s">
        <v>23</v>
      </c>
      <c r="L4" s="38" t="s">
        <v>23</v>
      </c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29434.75</v>
      </c>
      <c r="E5" s="15">
        <v>28981.22</v>
      </c>
      <c r="F5" s="15">
        <f t="shared" ref="F5:F15" si="0">IF(AND(ISNUMBER(D5),ISNUMBER(E5)), D5-E5, "")</f>
        <v>453.52999999999884</v>
      </c>
      <c r="G5" s="16">
        <f>IFERROR(F5/E5, "")</f>
        <v>1.5649099658330425E-2</v>
      </c>
      <c r="H5" s="17">
        <v>39673.79</v>
      </c>
      <c r="I5" s="17">
        <f t="shared" ref="I5:I6" si="1">IF(AND(ISNUMBER(D5),ISNUMBER(H5)), D5-H5, "")</f>
        <v>-10239.040000000001</v>
      </c>
      <c r="J5" s="16">
        <f t="shared" ref="J5:J6" si="2">IFERROR(I5/H5, "")</f>
        <v>-0.25808071273251182</v>
      </c>
      <c r="K5" s="39" t="s">
        <v>23</v>
      </c>
      <c r="L5" s="39" t="s">
        <v>23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15656.69</v>
      </c>
      <c r="E6" s="11">
        <v>0</v>
      </c>
      <c r="F6" s="11">
        <f t="shared" si="0"/>
        <v>15656.69</v>
      </c>
      <c r="G6" s="12" t="str">
        <f t="shared" ref="G6:G15" si="3">IFERROR(F6/E6, "")</f>
        <v/>
      </c>
      <c r="H6" s="13">
        <v>1973</v>
      </c>
      <c r="I6" s="13">
        <f t="shared" si="1"/>
        <v>13683.69</v>
      </c>
      <c r="J6" s="14">
        <f t="shared" si="2"/>
        <v>6.9354738976178414</v>
      </c>
      <c r="K6" s="38" t="s">
        <v>23</v>
      </c>
      <c r="L6" s="38" t="s">
        <v>23</v>
      </c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8806.2478459322592</v>
      </c>
      <c r="E7" s="15">
        <v>12098.42</v>
      </c>
      <c r="F7" s="15">
        <f t="shared" si="0"/>
        <v>-3292.1721540677408</v>
      </c>
      <c r="G7" s="16">
        <f t="shared" si="3"/>
        <v>-0.27211587579764474</v>
      </c>
      <c r="H7" s="17">
        <v>11218.66</v>
      </c>
      <c r="I7" s="17">
        <f t="shared" ref="I7:I15" si="4">IF(AND(ISNUMBER(D7),ISNUMBER(H7)), D7-H7, "")</f>
        <v>-2412.4121540677406</v>
      </c>
      <c r="J7" s="16">
        <f t="shared" ref="J7:J15" si="5">IFERROR(I7/H7, "")</f>
        <v>-0.21503567752902225</v>
      </c>
      <c r="K7" s="39" t="s">
        <v>23</v>
      </c>
      <c r="L7" s="40" t="s">
        <v>23</v>
      </c>
    </row>
    <row r="8" spans="1:12" ht="28.5">
      <c r="A8" s="25" t="str">
        <v>Parking 3</v>
      </c>
      <c r="B8" s="26" t="str">
        <v>AZ</v>
      </c>
      <c r="C8" s="26" t="str">
        <f>Sites[[#This Row],[SOL'#]]</f>
        <v>SOL-10751</v>
      </c>
      <c r="D8" s="21">
        <v>16586.8</v>
      </c>
      <c r="E8" s="11">
        <v>24366.89</v>
      </c>
      <c r="F8" s="11">
        <f t="shared" si="0"/>
        <v>-7780.09</v>
      </c>
      <c r="G8" s="12">
        <f t="shared" si="3"/>
        <v>-0.31928941280565554</v>
      </c>
      <c r="H8" s="13">
        <v>24201.63</v>
      </c>
      <c r="I8" s="13">
        <f t="shared" si="4"/>
        <v>-7614.8300000000017</v>
      </c>
      <c r="J8" s="14">
        <f t="shared" si="5"/>
        <v>-0.31464120391890965</v>
      </c>
      <c r="K8" s="38" t="s">
        <v>24</v>
      </c>
      <c r="L8" s="38" t="s">
        <v>25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20730.183365017401</v>
      </c>
      <c r="E9" s="15">
        <v>16836.22</v>
      </c>
      <c r="F9" s="15">
        <f t="shared" si="0"/>
        <v>3893.9633650174001</v>
      </c>
      <c r="G9" s="16">
        <f t="shared" si="3"/>
        <v>0.23128489441319963</v>
      </c>
      <c r="H9" s="17">
        <v>24326.73</v>
      </c>
      <c r="I9" s="17">
        <f t="shared" si="4"/>
        <v>-3596.5466349825983</v>
      </c>
      <c r="J9" s="16">
        <f t="shared" si="5"/>
        <v>-0.14784340661414824</v>
      </c>
      <c r="K9" s="39" t="s">
        <v>23</v>
      </c>
      <c r="L9" s="40" t="s">
        <v>23</v>
      </c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8912.9887629654295</v>
      </c>
      <c r="E10" s="11">
        <v>7118.6189999999997</v>
      </c>
      <c r="F10" s="11">
        <f t="shared" si="0"/>
        <v>1794.3697629654298</v>
      </c>
      <c r="G10" s="12">
        <f t="shared" si="3"/>
        <v>0.25206711624339356</v>
      </c>
      <c r="H10" s="13">
        <v>10705</v>
      </c>
      <c r="I10" s="13">
        <f t="shared" si="4"/>
        <v>-1792.0112370345705</v>
      </c>
      <c r="J10" s="14">
        <f t="shared" si="5"/>
        <v>-0.16739946165666236</v>
      </c>
      <c r="K10" s="38" t="s">
        <v>23</v>
      </c>
      <c r="L10" s="38" t="s">
        <v>23</v>
      </c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3747.203</v>
      </c>
      <c r="E11" s="15">
        <v>0</v>
      </c>
      <c r="F11" s="15">
        <f t="shared" si="0"/>
        <v>3747.203</v>
      </c>
      <c r="G11" s="16" t="str">
        <f t="shared" si="3"/>
        <v/>
      </c>
      <c r="H11" s="17">
        <v>0</v>
      </c>
      <c r="I11" s="17">
        <f t="shared" si="4"/>
        <v>3747.203</v>
      </c>
      <c r="J11" s="16" t="str">
        <f t="shared" si="5"/>
        <v/>
      </c>
      <c r="K11" s="39" t="s">
        <v>26</v>
      </c>
      <c r="L11" s="40" t="s">
        <v>27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52995</v>
      </c>
      <c r="E12" s="11">
        <v>74566.16</v>
      </c>
      <c r="F12" s="11">
        <f t="shared" si="0"/>
        <v>-21571.160000000003</v>
      </c>
      <c r="G12" s="12">
        <f t="shared" si="3"/>
        <v>-0.28928886776521684</v>
      </c>
      <c r="H12" s="13">
        <v>67067</v>
      </c>
      <c r="I12" s="13">
        <f t="shared" si="4"/>
        <v>-14072</v>
      </c>
      <c r="J12" s="14">
        <f t="shared" si="5"/>
        <v>-0.20982003071555311</v>
      </c>
      <c r="K12" s="38" t="s">
        <v>23</v>
      </c>
      <c r="L12" s="38" t="s">
        <v>23</v>
      </c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20047.7890625</v>
      </c>
      <c r="E13" s="15">
        <v>40688.25</v>
      </c>
      <c r="F13" s="15">
        <f t="shared" si="0"/>
        <v>-20640.4609375</v>
      </c>
      <c r="G13" s="16">
        <f t="shared" si="3"/>
        <v>-0.50728308387556609</v>
      </c>
      <c r="H13" s="17">
        <v>55531</v>
      </c>
      <c r="I13" s="17">
        <f t="shared" si="4"/>
        <v>-35483.2109375</v>
      </c>
      <c r="J13" s="16">
        <f t="shared" si="5"/>
        <v>-0.63898022613495165</v>
      </c>
      <c r="K13" s="39" t="s">
        <v>28</v>
      </c>
      <c r="L13" s="40" t="s">
        <v>29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6323.25</v>
      </c>
      <c r="E14" s="11">
        <v>0</v>
      </c>
      <c r="F14" s="11">
        <f t="shared" si="0"/>
        <v>6323.25</v>
      </c>
      <c r="G14" s="12" t="str">
        <f t="shared" si="3"/>
        <v/>
      </c>
      <c r="H14" s="13">
        <v>12400</v>
      </c>
      <c r="I14" s="13">
        <f t="shared" si="4"/>
        <v>-6076.75</v>
      </c>
      <c r="J14" s="14">
        <f t="shared" si="5"/>
        <v>-0.49006048387096773</v>
      </c>
      <c r="K14" s="38" t="s">
        <v>23</v>
      </c>
      <c r="L14" s="38" t="s">
        <v>30</v>
      </c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10382.7778156565</v>
      </c>
      <c r="E15" s="15">
        <v>0</v>
      </c>
      <c r="F15" s="15">
        <f t="shared" si="0"/>
        <v>10382.7778156565</v>
      </c>
      <c r="G15" s="16" t="str">
        <f t="shared" si="3"/>
        <v/>
      </c>
      <c r="H15" s="17">
        <v>11007</v>
      </c>
      <c r="I15" s="17">
        <f t="shared" si="4"/>
        <v>-624.22218434349998</v>
      </c>
      <c r="J15" s="16">
        <f t="shared" si="5"/>
        <v>-5.6711382242527482E-2</v>
      </c>
      <c r="K15" s="39" t="s">
        <v>23</v>
      </c>
      <c r="L15" s="40" t="s">
        <v>30</v>
      </c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6804.58081607043</v>
      </c>
      <c r="E16" s="11">
        <v>0</v>
      </c>
      <c r="F16" s="11">
        <f t="shared" ref="F16:F79" si="6">IF(AND(ISNUMBER(D16),ISNUMBER(E16)), D16-E16, "")</f>
        <v>6804.58081607043</v>
      </c>
      <c r="G16" s="12" t="str">
        <f t="shared" ref="G16:G79" si="7">IFERROR(F16/E16, "")</f>
        <v/>
      </c>
      <c r="H16" s="13">
        <v>8517</v>
      </c>
      <c r="I16" s="13">
        <f t="shared" ref="I16:I17" si="8">IF(AND(ISNUMBER(D16),ISNUMBER(H16)), D16-H16, "")</f>
        <v>-1712.41918392957</v>
      </c>
      <c r="J16" s="14">
        <f t="shared" ref="J16:J17" si="9">IFERROR(I16/H16, "")</f>
        <v>-0.20105896253722788</v>
      </c>
      <c r="K16" s="38" t="s">
        <v>23</v>
      </c>
      <c r="L16" s="38" t="s">
        <v>30</v>
      </c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51680.32</v>
      </c>
      <c r="E17" s="15">
        <v>0</v>
      </c>
      <c r="F17" s="15">
        <f t="shared" si="6"/>
        <v>51680.32</v>
      </c>
      <c r="G17" s="16" t="str">
        <f t="shared" si="7"/>
        <v/>
      </c>
      <c r="H17" s="17">
        <v>28849</v>
      </c>
      <c r="I17" s="17">
        <f t="shared" si="8"/>
        <v>22831.32</v>
      </c>
      <c r="J17" s="16">
        <f t="shared" si="9"/>
        <v>0.79140767444278826</v>
      </c>
      <c r="K17" s="39" t="s">
        <v>23</v>
      </c>
      <c r="L17" s="39" t="s">
        <v>30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20768</v>
      </c>
      <c r="E18" s="11">
        <v>0</v>
      </c>
      <c r="F18" s="11">
        <f t="shared" si="6"/>
        <v>20768</v>
      </c>
      <c r="G18" s="12" t="str">
        <f t="shared" si="7"/>
        <v/>
      </c>
      <c r="H18" s="13">
        <v>8180</v>
      </c>
      <c r="I18" s="13">
        <f t="shared" ref="I18:I81" si="10">IF(AND(ISNUMBER(D18),ISNUMBER(H18)), D18-H18, "")</f>
        <v>12588</v>
      </c>
      <c r="J18" s="14">
        <f t="shared" ref="J18:J81" si="11">IFERROR(I18/H18, "")</f>
        <v>1.5388753056234719</v>
      </c>
      <c r="K18" s="38" t="s">
        <v>23</v>
      </c>
      <c r="L18" s="38" t="s">
        <v>30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23135</v>
      </c>
      <c r="E19" s="15">
        <v>43481.120000000003</v>
      </c>
      <c r="F19" s="15">
        <f t="shared" si="6"/>
        <v>-20346.120000000003</v>
      </c>
      <c r="G19" s="16">
        <f t="shared" si="7"/>
        <v>-0.4679299889239284</v>
      </c>
      <c r="H19" s="17">
        <v>47410.87</v>
      </c>
      <c r="I19" s="17">
        <f t="shared" si="10"/>
        <v>-24275.870000000003</v>
      </c>
      <c r="J19" s="16">
        <f t="shared" si="11"/>
        <v>-0.51203173449464234</v>
      </c>
      <c r="K19" s="39" t="s">
        <v>23</v>
      </c>
      <c r="L19" s="40" t="s">
        <v>30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5510.625</v>
      </c>
      <c r="E20" s="11">
        <v>12146.73</v>
      </c>
      <c r="F20" s="11">
        <f t="shared" si="6"/>
        <v>-6636.1049999999996</v>
      </c>
      <c r="G20" s="12">
        <f t="shared" si="7"/>
        <v>-0.54632851804559746</v>
      </c>
      <c r="H20" s="13">
        <v>11789.76</v>
      </c>
      <c r="I20" s="13">
        <f t="shared" si="10"/>
        <v>-6279.1350000000002</v>
      </c>
      <c r="J20" s="14">
        <f t="shared" si="11"/>
        <v>-0.53259226650924196</v>
      </c>
      <c r="K20" s="38" t="s">
        <v>31</v>
      </c>
      <c r="L20" s="38" t="s">
        <v>32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7049.125</v>
      </c>
      <c r="E21" s="15">
        <v>12398.04</v>
      </c>
      <c r="F21" s="15">
        <f t="shared" si="6"/>
        <v>-5348.9150000000009</v>
      </c>
      <c r="G21" s="16">
        <f t="shared" si="7"/>
        <v>-0.43143230704208091</v>
      </c>
      <c r="H21" s="17">
        <v>18592.650000000001</v>
      </c>
      <c r="I21" s="17">
        <f t="shared" si="10"/>
        <v>-11543.525000000001</v>
      </c>
      <c r="J21" s="16">
        <f t="shared" si="11"/>
        <v>-0.62086496545678005</v>
      </c>
      <c r="K21" s="39" t="s">
        <v>23</v>
      </c>
      <c r="L21" s="40" t="s">
        <v>23</v>
      </c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2400.5965820312499</v>
      </c>
      <c r="E22" s="11">
        <v>0</v>
      </c>
      <c r="F22" s="11">
        <f t="shared" si="6"/>
        <v>2400.5965820312499</v>
      </c>
      <c r="G22" s="12" t="str">
        <f t="shared" si="7"/>
        <v/>
      </c>
      <c r="H22" s="13">
        <v>0</v>
      </c>
      <c r="I22" s="13">
        <f t="shared" si="10"/>
        <v>2400.5965820312499</v>
      </c>
      <c r="J22" s="14" t="str">
        <f t="shared" si="11"/>
        <v/>
      </c>
      <c r="K22" s="38" t="s">
        <v>33</v>
      </c>
      <c r="L22" s="38" t="s">
        <v>34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7037.328125</v>
      </c>
      <c r="E23" s="15">
        <v>10909.38</v>
      </c>
      <c r="F23" s="15">
        <f t="shared" si="6"/>
        <v>-3872.0518749999992</v>
      </c>
      <c r="G23" s="16">
        <f t="shared" si="7"/>
        <v>-0.35492868293156893</v>
      </c>
      <c r="H23" s="17">
        <v>20258</v>
      </c>
      <c r="I23" s="17">
        <f t="shared" si="10"/>
        <v>-13220.671875</v>
      </c>
      <c r="J23" s="16">
        <f t="shared" si="11"/>
        <v>-0.65261486202981533</v>
      </c>
      <c r="K23" s="39" t="s">
        <v>23</v>
      </c>
      <c r="L23" s="40" t="s">
        <v>30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5262.6875</v>
      </c>
      <c r="E24" s="11">
        <v>8705.5619999999999</v>
      </c>
      <c r="F24" s="11">
        <f t="shared" si="6"/>
        <v>-3442.8744999999999</v>
      </c>
      <c r="G24" s="12">
        <f t="shared" si="7"/>
        <v>-0.39547986677942215</v>
      </c>
      <c r="H24" s="13">
        <v>13134.4</v>
      </c>
      <c r="I24" s="13">
        <f t="shared" si="10"/>
        <v>-7871.7124999999996</v>
      </c>
      <c r="J24" s="14">
        <f t="shared" si="11"/>
        <v>-0.59932029632111095</v>
      </c>
      <c r="K24" s="38" t="s">
        <v>23</v>
      </c>
      <c r="L24" s="38" t="s">
        <v>30</v>
      </c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1496.6525963930401</v>
      </c>
      <c r="E25" s="15">
        <v>5139.6459999999997</v>
      </c>
      <c r="F25" s="15">
        <f t="shared" si="6"/>
        <v>-3642.9934036069599</v>
      </c>
      <c r="G25" s="16">
        <f t="shared" si="7"/>
        <v>-0.70880239682012347</v>
      </c>
      <c r="H25" s="17">
        <v>4549.33</v>
      </c>
      <c r="I25" s="17">
        <f t="shared" si="10"/>
        <v>-3052.6774036069601</v>
      </c>
      <c r="J25" s="16">
        <f t="shared" si="11"/>
        <v>-0.67101691976773725</v>
      </c>
      <c r="K25" s="39" t="s">
        <v>35</v>
      </c>
      <c r="L25" s="40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1927.1875</v>
      </c>
      <c r="E26" s="11">
        <v>3008.1570000000002</v>
      </c>
      <c r="F26" s="11">
        <f t="shared" si="6"/>
        <v>-1080.9695000000002</v>
      </c>
      <c r="G26" s="12">
        <f t="shared" si="7"/>
        <v>-0.3593461046082369</v>
      </c>
      <c r="H26" s="13">
        <v>798</v>
      </c>
      <c r="I26" s="13">
        <f t="shared" si="10"/>
        <v>1129.1875</v>
      </c>
      <c r="J26" s="14">
        <f t="shared" si="11"/>
        <v>1.4150219298245614</v>
      </c>
      <c r="K26" s="38" t="s">
        <v>23</v>
      </c>
      <c r="L26" s="38" t="s">
        <v>30</v>
      </c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7390.625</v>
      </c>
      <c r="E27" s="15">
        <v>11891.79</v>
      </c>
      <c r="F27" s="15">
        <f t="shared" si="6"/>
        <v>-4501.1650000000009</v>
      </c>
      <c r="G27" s="16">
        <f t="shared" si="7"/>
        <v>-0.37851029996325203</v>
      </c>
      <c r="H27" s="17">
        <v>18302.04</v>
      </c>
      <c r="I27" s="17">
        <f t="shared" si="10"/>
        <v>-10911.415000000001</v>
      </c>
      <c r="J27" s="16">
        <f t="shared" si="11"/>
        <v>-0.59618572574423401</v>
      </c>
      <c r="K27" s="39" t="s">
        <v>23</v>
      </c>
      <c r="L27" s="40" t="s">
        <v>30</v>
      </c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4600.7732192947096</v>
      </c>
      <c r="E28" s="11">
        <v>0</v>
      </c>
      <c r="F28" s="11">
        <f t="shared" si="6"/>
        <v>4600.7732192947096</v>
      </c>
      <c r="G28" s="12" t="str">
        <f t="shared" si="7"/>
        <v/>
      </c>
      <c r="H28" s="13">
        <v>0</v>
      </c>
      <c r="I28" s="13">
        <f t="shared" si="10"/>
        <v>4600.7732192947096</v>
      </c>
      <c r="J28" s="14" t="str">
        <f t="shared" si="11"/>
        <v/>
      </c>
      <c r="K28" s="38" t="s">
        <v>23</v>
      </c>
      <c r="L28" s="38" t="s">
        <v>30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4966.375</v>
      </c>
      <c r="E29" s="15">
        <v>7470.1769999999997</v>
      </c>
      <c r="F29" s="15">
        <f t="shared" si="6"/>
        <v>-2503.8019999999997</v>
      </c>
      <c r="G29" s="16">
        <f t="shared" si="7"/>
        <v>-0.33517304877782678</v>
      </c>
      <c r="H29" s="17">
        <v>9815.6869999999999</v>
      </c>
      <c r="I29" s="17">
        <f t="shared" si="10"/>
        <v>-4849.3119999999999</v>
      </c>
      <c r="J29" s="16">
        <f t="shared" si="11"/>
        <v>-0.49403694310953478</v>
      </c>
      <c r="K29" s="39" t="s">
        <v>23</v>
      </c>
      <c r="L29" s="39" t="s">
        <v>30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4328.3125</v>
      </c>
      <c r="E30" s="11">
        <v>0</v>
      </c>
      <c r="F30" s="11">
        <f t="shared" si="6"/>
        <v>4328.3125</v>
      </c>
      <c r="G30" s="12" t="str">
        <f t="shared" si="7"/>
        <v/>
      </c>
      <c r="H30" s="13">
        <v>10978.73</v>
      </c>
      <c r="I30" s="13">
        <f t="shared" si="10"/>
        <v>-6650.4174999999996</v>
      </c>
      <c r="J30" s="14">
        <f t="shared" si="11"/>
        <v>-0.60575471844193274</v>
      </c>
      <c r="K30" s="38" t="s">
        <v>23</v>
      </c>
      <c r="L30" s="38" t="s">
        <v>30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5062.03125</v>
      </c>
      <c r="E31" s="15">
        <v>0</v>
      </c>
      <c r="F31" s="15">
        <f t="shared" si="6"/>
        <v>5062.03125</v>
      </c>
      <c r="G31" s="16" t="str">
        <f t="shared" si="7"/>
        <v/>
      </c>
      <c r="H31" s="17">
        <v>11224</v>
      </c>
      <c r="I31" s="17">
        <f t="shared" si="10"/>
        <v>-6161.96875</v>
      </c>
      <c r="J31" s="16">
        <f t="shared" si="11"/>
        <v>-0.54899935406272271</v>
      </c>
      <c r="K31" s="39" t="s">
        <v>23</v>
      </c>
      <c r="L31" s="40" t="s">
        <v>30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3720.0499218750001</v>
      </c>
      <c r="E32" s="11">
        <v>5487.5860000000002</v>
      </c>
      <c r="F32" s="11">
        <f t="shared" si="6"/>
        <v>-1767.5360781250001</v>
      </c>
      <c r="G32" s="12">
        <f t="shared" si="7"/>
        <v>-0.32209719868171544</v>
      </c>
      <c r="H32" s="13">
        <v>0</v>
      </c>
      <c r="I32" s="13">
        <f t="shared" si="10"/>
        <v>3720.0499218750001</v>
      </c>
      <c r="J32" s="14" t="str">
        <f t="shared" si="11"/>
        <v/>
      </c>
      <c r="K32" s="38" t="s">
        <v>23</v>
      </c>
      <c r="L32" s="38" t="s">
        <v>30</v>
      </c>
    </row>
    <row r="33" spans="1:12" ht="44.25" customHeight="1">
      <c r="A33" s="27" t="str">
        <v>K298</v>
      </c>
      <c r="B33" s="28" t="str">
        <v>NY</v>
      </c>
      <c r="C33" s="28" t="str">
        <f>Sites[[#This Row],[SOL'#]]</f>
        <v>SOL-10368</v>
      </c>
      <c r="D33" s="10">
        <v>3421.078125</v>
      </c>
      <c r="E33" s="15">
        <v>7008.5879999999997</v>
      </c>
      <c r="F33" s="15">
        <f t="shared" si="6"/>
        <v>-3587.5098749999997</v>
      </c>
      <c r="G33" s="16">
        <f t="shared" si="7"/>
        <v>-0.51187341515865958</v>
      </c>
      <c r="H33" s="17">
        <v>0</v>
      </c>
      <c r="I33" s="17">
        <f t="shared" si="10"/>
        <v>3421.078125</v>
      </c>
      <c r="J33" s="16" t="str">
        <f t="shared" si="11"/>
        <v/>
      </c>
      <c r="K33" s="39" t="s">
        <v>37</v>
      </c>
      <c r="L33" s="40" t="s">
        <v>38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4100.5625</v>
      </c>
      <c r="E34" s="11">
        <v>7358.259</v>
      </c>
      <c r="F34" s="11">
        <f t="shared" si="6"/>
        <v>-3257.6965</v>
      </c>
      <c r="G34" s="12">
        <f t="shared" si="7"/>
        <v>-0.44272653354550306</v>
      </c>
      <c r="H34" s="13">
        <v>11610</v>
      </c>
      <c r="I34" s="13">
        <f t="shared" si="10"/>
        <v>-7509.4375</v>
      </c>
      <c r="J34" s="14">
        <f t="shared" si="11"/>
        <v>-0.64680770887166239</v>
      </c>
      <c r="K34" s="38" t="s">
        <v>23</v>
      </c>
      <c r="L34" s="38" t="s">
        <v>30</v>
      </c>
    </row>
    <row r="35" spans="1:12" ht="42.75">
      <c r="A35" s="27" t="str">
        <v>K345</v>
      </c>
      <c r="B35" s="28" t="str">
        <v>NY</v>
      </c>
      <c r="C35" s="28" t="str">
        <f>Sites[[#This Row],[SOL'#]]</f>
        <v>SOL-10920</v>
      </c>
      <c r="D35" s="10">
        <v>4561.296875</v>
      </c>
      <c r="E35" s="15">
        <v>0</v>
      </c>
      <c r="F35" s="15">
        <f t="shared" si="6"/>
        <v>4561.296875</v>
      </c>
      <c r="G35" s="16" t="str">
        <f t="shared" si="7"/>
        <v/>
      </c>
      <c r="H35" s="17">
        <v>0</v>
      </c>
      <c r="I35" s="17">
        <f t="shared" si="10"/>
        <v>4561.296875</v>
      </c>
      <c r="J35" s="16" t="str">
        <f t="shared" si="11"/>
        <v/>
      </c>
      <c r="K35" s="39" t="s">
        <v>39</v>
      </c>
      <c r="L35" s="40" t="s">
        <v>40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4488.8050683593801</v>
      </c>
      <c r="E36" s="11">
        <v>0</v>
      </c>
      <c r="F36" s="11">
        <f t="shared" si="6"/>
        <v>4488.8050683593801</v>
      </c>
      <c r="G36" s="12" t="str">
        <f t="shared" si="7"/>
        <v/>
      </c>
      <c r="H36" s="13">
        <v>0</v>
      </c>
      <c r="I36" s="13">
        <f t="shared" si="10"/>
        <v>4488.8050683593801</v>
      </c>
      <c r="J36" s="14" t="str">
        <f t="shared" si="11"/>
        <v/>
      </c>
      <c r="K36" s="38" t="s">
        <v>23</v>
      </c>
      <c r="L36" s="38" t="s">
        <v>30</v>
      </c>
    </row>
    <row r="37" spans="1:12" ht="42.75">
      <c r="A37" s="27" t="str">
        <v>K495</v>
      </c>
      <c r="B37" s="28" t="str">
        <v>NY</v>
      </c>
      <c r="C37" s="28" t="str">
        <f>Sites[[#This Row],[SOL'#]]</f>
        <v>SOL-10374</v>
      </c>
      <c r="D37" s="10">
        <v>20449.1875</v>
      </c>
      <c r="E37" s="15">
        <v>0</v>
      </c>
      <c r="F37" s="15">
        <f t="shared" si="6"/>
        <v>20449.1875</v>
      </c>
      <c r="G37" s="16" t="str">
        <f t="shared" si="7"/>
        <v/>
      </c>
      <c r="H37" s="17">
        <v>0</v>
      </c>
      <c r="I37" s="17">
        <f t="shared" si="10"/>
        <v>20449.1875</v>
      </c>
      <c r="J37" s="16" t="str">
        <f t="shared" si="11"/>
        <v/>
      </c>
      <c r="K37" s="39" t="s">
        <v>41</v>
      </c>
      <c r="L37" s="40" t="s">
        <v>42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4382.65625</v>
      </c>
      <c r="E38" s="11">
        <v>7052.3590000000004</v>
      </c>
      <c r="F38" s="11">
        <f t="shared" si="6"/>
        <v>-2669.7027500000004</v>
      </c>
      <c r="G38" s="12">
        <f t="shared" si="7"/>
        <v>-0.37855457301592277</v>
      </c>
      <c r="H38" s="13">
        <v>0</v>
      </c>
      <c r="I38" s="13">
        <f t="shared" si="10"/>
        <v>4382.65625</v>
      </c>
      <c r="J38" s="14" t="str">
        <f t="shared" si="11"/>
        <v/>
      </c>
      <c r="K38" s="38" t="s">
        <v>23</v>
      </c>
      <c r="L38" s="38" t="s">
        <v>30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4470.75</v>
      </c>
      <c r="E39" s="15">
        <v>7217.8190000000004</v>
      </c>
      <c r="F39" s="15">
        <f t="shared" si="6"/>
        <v>-2747.0690000000004</v>
      </c>
      <c r="G39" s="16">
        <f t="shared" si="7"/>
        <v>-0.38059544025695302</v>
      </c>
      <c r="H39" s="17">
        <v>11299.41</v>
      </c>
      <c r="I39" s="17">
        <f t="shared" si="10"/>
        <v>-6828.66</v>
      </c>
      <c r="J39" s="16">
        <f t="shared" si="11"/>
        <v>-0.60433774860811318</v>
      </c>
      <c r="K39" s="39" t="s">
        <v>23</v>
      </c>
      <c r="L39" s="40" t="s">
        <v>30</v>
      </c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4964.5</v>
      </c>
      <c r="E40" s="11">
        <v>7892.9740000000002</v>
      </c>
      <c r="F40" s="11">
        <f t="shared" si="6"/>
        <v>-2928.4740000000002</v>
      </c>
      <c r="G40" s="12">
        <f t="shared" si="7"/>
        <v>-0.37102288693716717</v>
      </c>
      <c r="H40" s="13">
        <v>15533.26</v>
      </c>
      <c r="I40" s="13">
        <f t="shared" si="10"/>
        <v>-10568.76</v>
      </c>
      <c r="J40" s="14">
        <f t="shared" si="11"/>
        <v>-0.6803954868456461</v>
      </c>
      <c r="K40" s="38" t="s">
        <v>23</v>
      </c>
      <c r="L40" s="38" t="s">
        <v>30</v>
      </c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7482.359375</v>
      </c>
      <c r="E41" s="15">
        <v>0</v>
      </c>
      <c r="F41" s="15">
        <f t="shared" si="6"/>
        <v>7482.359375</v>
      </c>
      <c r="G41" s="16" t="str">
        <f t="shared" si="7"/>
        <v/>
      </c>
      <c r="H41" s="17">
        <v>0</v>
      </c>
      <c r="I41" s="17">
        <f t="shared" si="10"/>
        <v>7482.359375</v>
      </c>
      <c r="J41" s="16" t="str">
        <f t="shared" si="11"/>
        <v/>
      </c>
      <c r="K41" s="39" t="s">
        <v>23</v>
      </c>
      <c r="L41" s="39" t="s">
        <v>30</v>
      </c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4434</v>
      </c>
      <c r="E42" s="11">
        <v>5657</v>
      </c>
      <c r="F42" s="11">
        <f t="shared" si="6"/>
        <v>-1223</v>
      </c>
      <c r="G42" s="12">
        <f t="shared" si="7"/>
        <v>-0.21619232808909317</v>
      </c>
      <c r="H42" s="13">
        <v>10982</v>
      </c>
      <c r="I42" s="13">
        <f t="shared" si="10"/>
        <v>-6548</v>
      </c>
      <c r="J42" s="14">
        <f t="shared" si="11"/>
        <v>-0.59624840648333632</v>
      </c>
      <c r="K42" s="38" t="s">
        <v>23</v>
      </c>
      <c r="L42" s="38" t="s">
        <v>30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3879.9296875</v>
      </c>
      <c r="E43" s="15">
        <v>0</v>
      </c>
      <c r="F43" s="15">
        <f t="shared" si="6"/>
        <v>3879.9296875</v>
      </c>
      <c r="G43" s="16" t="str">
        <f t="shared" si="7"/>
        <v/>
      </c>
      <c r="H43" s="17">
        <v>0</v>
      </c>
      <c r="I43" s="17">
        <f t="shared" si="10"/>
        <v>3879.9296875</v>
      </c>
      <c r="J43" s="16" t="str">
        <f t="shared" si="11"/>
        <v/>
      </c>
      <c r="K43" s="39" t="s">
        <v>23</v>
      </c>
      <c r="L43" s="40" t="s">
        <v>30</v>
      </c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911</v>
      </c>
      <c r="E44" s="11">
        <v>0</v>
      </c>
      <c r="F44" s="11">
        <f t="shared" si="6"/>
        <v>911</v>
      </c>
      <c r="G44" s="12" t="str">
        <f t="shared" si="7"/>
        <v/>
      </c>
      <c r="H44" s="13">
        <v>0</v>
      </c>
      <c r="I44" s="13">
        <f t="shared" si="10"/>
        <v>911</v>
      </c>
      <c r="J44" s="14" t="str">
        <f t="shared" si="11"/>
        <v/>
      </c>
      <c r="K44" s="38" t="s">
        <v>23</v>
      </c>
      <c r="L44" s="38" t="s">
        <v>30</v>
      </c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6839.03125</v>
      </c>
      <c r="E45" s="15">
        <v>9522.7690000000002</v>
      </c>
      <c r="F45" s="15">
        <f t="shared" si="6"/>
        <v>-2683.7377500000002</v>
      </c>
      <c r="G45" s="16">
        <f t="shared" si="7"/>
        <v>-0.281823254349654</v>
      </c>
      <c r="H45" s="17">
        <v>15253</v>
      </c>
      <c r="I45" s="17">
        <f t="shared" si="10"/>
        <v>-8413.96875</v>
      </c>
      <c r="J45" s="16">
        <f t="shared" si="11"/>
        <v>-0.55162713892349047</v>
      </c>
      <c r="K45" s="39" t="s">
        <v>23</v>
      </c>
      <c r="L45" s="40" t="s">
        <v>30</v>
      </c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4357.5</v>
      </c>
      <c r="E46" s="11">
        <v>5639.9430000000002</v>
      </c>
      <c r="F46" s="11">
        <f t="shared" si="6"/>
        <v>-1282.4430000000002</v>
      </c>
      <c r="G46" s="12">
        <f t="shared" si="7"/>
        <v>-0.2273858086863644</v>
      </c>
      <c r="H46" s="13">
        <v>9568.2369999999992</v>
      </c>
      <c r="I46" s="13">
        <f t="shared" si="10"/>
        <v>-5210.7369999999992</v>
      </c>
      <c r="J46" s="14">
        <f t="shared" si="11"/>
        <v>-0.54458694950804409</v>
      </c>
      <c r="K46" s="38" t="s">
        <v>23</v>
      </c>
      <c r="L46" s="38" t="s">
        <v>30</v>
      </c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3435.6875</v>
      </c>
      <c r="E47" s="15">
        <v>6008.808</v>
      </c>
      <c r="F47" s="15">
        <f t="shared" si="6"/>
        <v>-2573.1205</v>
      </c>
      <c r="G47" s="16">
        <f t="shared" si="7"/>
        <v>-0.42822478268568409</v>
      </c>
      <c r="H47" s="17">
        <v>4290.74</v>
      </c>
      <c r="I47" s="17">
        <f t="shared" si="10"/>
        <v>-855.05249999999978</v>
      </c>
      <c r="J47" s="16">
        <f t="shared" si="11"/>
        <v>-0.19927856267217306</v>
      </c>
      <c r="K47" s="39" t="s">
        <v>23</v>
      </c>
      <c r="L47" s="40" t="s">
        <v>30</v>
      </c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6042.5</v>
      </c>
      <c r="E48" s="11">
        <v>9148.84</v>
      </c>
      <c r="F48" s="11">
        <f t="shared" si="6"/>
        <v>-3106.34</v>
      </c>
      <c r="G48" s="12">
        <f t="shared" si="7"/>
        <v>-0.33953375509900707</v>
      </c>
      <c r="H48" s="13">
        <v>7767</v>
      </c>
      <c r="I48" s="13">
        <f t="shared" si="10"/>
        <v>-1724.5</v>
      </c>
      <c r="J48" s="14">
        <f t="shared" si="11"/>
        <v>-0.22202909746362817</v>
      </c>
      <c r="K48" s="38" t="s">
        <v>23</v>
      </c>
      <c r="L48" s="38" t="s">
        <v>30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3737.71875</v>
      </c>
      <c r="E49" s="15">
        <v>5120.8</v>
      </c>
      <c r="F49" s="15">
        <f t="shared" si="6"/>
        <v>-1383.0812500000002</v>
      </c>
      <c r="G49" s="16">
        <f t="shared" si="7"/>
        <v>-0.27009085494453994</v>
      </c>
      <c r="H49" s="17">
        <v>8043.3059999999996</v>
      </c>
      <c r="I49" s="17">
        <f t="shared" si="10"/>
        <v>-4305.5872499999996</v>
      </c>
      <c r="J49" s="16">
        <f t="shared" si="11"/>
        <v>-0.53530068979098888</v>
      </c>
      <c r="K49" s="39" t="s">
        <v>23</v>
      </c>
      <c r="L49" s="40" t="s">
        <v>30</v>
      </c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4955.0625</v>
      </c>
      <c r="E50" s="11">
        <v>8344.5239999999994</v>
      </c>
      <c r="F50" s="11">
        <f t="shared" si="6"/>
        <v>-3389.4614999999994</v>
      </c>
      <c r="G50" s="12">
        <f t="shared" si="7"/>
        <v>-0.40618991568602353</v>
      </c>
      <c r="H50" s="13">
        <v>11121.22</v>
      </c>
      <c r="I50" s="13">
        <f t="shared" si="10"/>
        <v>-6166.1574999999993</v>
      </c>
      <c r="J50" s="14">
        <f t="shared" si="11"/>
        <v>-0.55444973662961439</v>
      </c>
      <c r="K50" s="38" t="s">
        <v>23</v>
      </c>
      <c r="L50" s="38" t="s">
        <v>30</v>
      </c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2925.8125</v>
      </c>
      <c r="E51" s="15">
        <v>4425.3320000000003</v>
      </c>
      <c r="F51" s="15">
        <f t="shared" si="6"/>
        <v>-1499.5195000000003</v>
      </c>
      <c r="G51" s="16">
        <f t="shared" si="7"/>
        <v>-0.33884904002682742</v>
      </c>
      <c r="H51" s="17">
        <v>6324</v>
      </c>
      <c r="I51" s="17">
        <f t="shared" si="10"/>
        <v>-3398.1875</v>
      </c>
      <c r="J51" s="16">
        <f t="shared" si="11"/>
        <v>-0.53734780202403543</v>
      </c>
      <c r="K51" s="39" t="s">
        <v>23</v>
      </c>
      <c r="L51" s="40" t="s">
        <v>30</v>
      </c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4902.4375</v>
      </c>
      <c r="E52" s="11">
        <v>8720.9449999999997</v>
      </c>
      <c r="F52" s="11">
        <f t="shared" si="6"/>
        <v>-3818.5074999999997</v>
      </c>
      <c r="G52" s="12">
        <f t="shared" si="7"/>
        <v>-0.43785478523256366</v>
      </c>
      <c r="H52" s="13">
        <v>11481.79</v>
      </c>
      <c r="I52" s="13">
        <f t="shared" si="10"/>
        <v>-6579.3525000000009</v>
      </c>
      <c r="J52" s="14">
        <f t="shared" si="11"/>
        <v>-0.57302498129647039</v>
      </c>
      <c r="K52" s="38" t="s">
        <v>23</v>
      </c>
      <c r="L52" s="38" t="s">
        <v>30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8347.5</v>
      </c>
      <c r="E53" s="15">
        <v>13350</v>
      </c>
      <c r="F53" s="15">
        <f t="shared" si="6"/>
        <v>-5002.5</v>
      </c>
      <c r="G53" s="16">
        <f t="shared" si="7"/>
        <v>-0.37471910112359552</v>
      </c>
      <c r="H53" s="17">
        <v>16384.009999999998</v>
      </c>
      <c r="I53" s="17">
        <f t="shared" si="10"/>
        <v>-8036.5099999999984</v>
      </c>
      <c r="J53" s="16">
        <f t="shared" si="11"/>
        <v>-0.49050934417154279</v>
      </c>
      <c r="K53" s="39" t="s">
        <v>43</v>
      </c>
      <c r="L53" s="39" t="s">
        <v>44</v>
      </c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6315.875</v>
      </c>
      <c r="E54" s="11">
        <v>9204.3379999999997</v>
      </c>
      <c r="F54" s="11">
        <f t="shared" si="6"/>
        <v>-2888.4629999999997</v>
      </c>
      <c r="G54" s="12">
        <f t="shared" si="7"/>
        <v>-0.31381539878261749</v>
      </c>
      <c r="H54" s="13">
        <v>15624</v>
      </c>
      <c r="I54" s="13">
        <f t="shared" si="10"/>
        <v>-9308.125</v>
      </c>
      <c r="J54" s="14">
        <f t="shared" si="11"/>
        <v>-0.59575812852022525</v>
      </c>
      <c r="K54" s="38" t="s">
        <v>45</v>
      </c>
      <c r="L54" s="38" t="s">
        <v>46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2660.53125000006</v>
      </c>
      <c r="E55" s="15">
        <v>3950.5940000000001</v>
      </c>
      <c r="F55" s="15">
        <f t="shared" si="6"/>
        <v>-1290.06274999994</v>
      </c>
      <c r="G55" s="16">
        <f t="shared" si="7"/>
        <v>-0.32654905819224656</v>
      </c>
      <c r="H55" s="17">
        <v>7281.06</v>
      </c>
      <c r="I55" s="17">
        <f t="shared" si="10"/>
        <v>-4620.5287499999404</v>
      </c>
      <c r="J55" s="16">
        <f t="shared" si="11"/>
        <v>-0.63459561519887764</v>
      </c>
      <c r="K55" s="39" t="s">
        <v>23</v>
      </c>
      <c r="L55" s="40" t="s">
        <v>30</v>
      </c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11460.875</v>
      </c>
      <c r="E56" s="11">
        <v>21002.59</v>
      </c>
      <c r="F56" s="11">
        <f t="shared" si="6"/>
        <v>-9541.7150000000001</v>
      </c>
      <c r="G56" s="12">
        <f t="shared" si="7"/>
        <v>-0.4543113492193106</v>
      </c>
      <c r="H56" s="13">
        <v>0</v>
      </c>
      <c r="I56" s="13">
        <f t="shared" si="10"/>
        <v>11460.875</v>
      </c>
      <c r="J56" s="14" t="str">
        <f t="shared" si="11"/>
        <v/>
      </c>
      <c r="K56" s="38" t="s">
        <v>23</v>
      </c>
      <c r="L56" s="38" t="s">
        <v>23</v>
      </c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12294.25</v>
      </c>
      <c r="E57" s="15">
        <v>18722.73</v>
      </c>
      <c r="F57" s="15">
        <f t="shared" si="6"/>
        <v>-6428.48</v>
      </c>
      <c r="G57" s="16">
        <f t="shared" si="7"/>
        <v>-0.34335163728793822</v>
      </c>
      <c r="H57" s="17">
        <v>20486.32</v>
      </c>
      <c r="I57" s="17">
        <f t="shared" si="10"/>
        <v>-8192.07</v>
      </c>
      <c r="J57" s="16">
        <f t="shared" si="11"/>
        <v>-0.39988001749460128</v>
      </c>
      <c r="K57" s="39" t="s">
        <v>47</v>
      </c>
      <c r="L57" s="40" t="s">
        <v>48</v>
      </c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6"/>
        <v>0</v>
      </c>
      <c r="G58" s="12" t="str">
        <f t="shared" si="7"/>
        <v/>
      </c>
      <c r="H58" s="13">
        <v>0</v>
      </c>
      <c r="I58" s="13">
        <f t="shared" si="10"/>
        <v>0</v>
      </c>
      <c r="J58" s="14" t="str">
        <f t="shared" si="11"/>
        <v/>
      </c>
      <c r="K58" s="38" t="s">
        <v>49</v>
      </c>
      <c r="L58" s="38" t="s">
        <v>50</v>
      </c>
    </row>
    <row r="59" spans="1:12" ht="31.5">
      <c r="A59" s="27" t="str">
        <v>Q485</v>
      </c>
      <c r="B59" s="28" t="str">
        <v>NY</v>
      </c>
      <c r="C59" s="28" t="str">
        <f>Sites[[#This Row],[SOL'#]]</f>
        <v>SOL-10869</v>
      </c>
      <c r="D59" s="10">
        <v>12481.4388279307</v>
      </c>
      <c r="E59" s="15">
        <v>12754.8</v>
      </c>
      <c r="F59" s="15">
        <f t="shared" si="6"/>
        <v>-273.36117206929885</v>
      </c>
      <c r="G59" s="16">
        <f t="shared" si="7"/>
        <v>-2.1432023400547156E-2</v>
      </c>
      <c r="H59" s="17">
        <v>27674.85</v>
      </c>
      <c r="I59" s="17">
        <f t="shared" si="10"/>
        <v>-15193.411172069298</v>
      </c>
      <c r="J59" s="16">
        <f t="shared" si="11"/>
        <v>-0.5489970558853724</v>
      </c>
      <c r="K59" s="39" t="s">
        <v>51</v>
      </c>
      <c r="L59" s="40" t="s">
        <v>52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10238.1439808419</v>
      </c>
      <c r="E60" s="11">
        <v>0</v>
      </c>
      <c r="F60" s="11">
        <f t="shared" si="6"/>
        <v>10238.1439808419</v>
      </c>
      <c r="G60" s="12" t="str">
        <f t="shared" si="7"/>
        <v/>
      </c>
      <c r="H60" s="13">
        <v>21505.42</v>
      </c>
      <c r="I60" s="13">
        <f t="shared" si="10"/>
        <v>-11267.276019158098</v>
      </c>
      <c r="J60" s="14">
        <f t="shared" si="11"/>
        <v>-0.52392727131849082</v>
      </c>
      <c r="K60" s="38" t="s">
        <v>53</v>
      </c>
      <c r="L60" s="38" t="s">
        <v>54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15903</v>
      </c>
      <c r="E61" s="15">
        <v>23742.06</v>
      </c>
      <c r="F61" s="15">
        <f t="shared" si="6"/>
        <v>-7839.0600000000013</v>
      </c>
      <c r="G61" s="16">
        <f t="shared" si="7"/>
        <v>-0.33017606728312543</v>
      </c>
      <c r="H61" s="17">
        <v>34544.519999999997</v>
      </c>
      <c r="I61" s="17">
        <f t="shared" si="10"/>
        <v>-18641.519999999997</v>
      </c>
      <c r="J61" s="16">
        <f t="shared" si="11"/>
        <v>-0.53963754598413871</v>
      </c>
      <c r="K61" s="39" t="s">
        <v>23</v>
      </c>
      <c r="L61" s="40" t="s">
        <v>30</v>
      </c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1546.0999999999899</v>
      </c>
      <c r="E62" s="11">
        <v>0</v>
      </c>
      <c r="F62" s="11">
        <f t="shared" si="6"/>
        <v>1546.0999999999899</v>
      </c>
      <c r="G62" s="12" t="str">
        <f t="shared" si="7"/>
        <v/>
      </c>
      <c r="H62" s="13">
        <v>2946.8270000000002</v>
      </c>
      <c r="I62" s="13">
        <f t="shared" si="10"/>
        <v>-1400.7270000000103</v>
      </c>
      <c r="J62" s="14">
        <f t="shared" si="11"/>
        <v>-0.47533397786840226</v>
      </c>
      <c r="K62" s="38" t="s">
        <v>23</v>
      </c>
      <c r="L62" s="38" t="s">
        <v>30</v>
      </c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5421</v>
      </c>
      <c r="E63" s="15">
        <v>0</v>
      </c>
      <c r="F63" s="15">
        <f t="shared" si="6"/>
        <v>5421</v>
      </c>
      <c r="G63" s="16" t="str">
        <f t="shared" si="7"/>
        <v/>
      </c>
      <c r="H63" s="17">
        <v>0</v>
      </c>
      <c r="I63" s="17">
        <f t="shared" si="10"/>
        <v>5421</v>
      </c>
      <c r="J63" s="16" t="str">
        <f t="shared" si="11"/>
        <v/>
      </c>
      <c r="K63" s="39" t="s">
        <v>23</v>
      </c>
      <c r="L63" s="40" t="s">
        <v>30</v>
      </c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4766.8999999999696</v>
      </c>
      <c r="E64" s="11">
        <v>7713.94</v>
      </c>
      <c r="F64" s="11">
        <f t="shared" si="6"/>
        <v>-2947.04000000003</v>
      </c>
      <c r="G64" s="12">
        <f t="shared" si="7"/>
        <v>-0.38204082479252238</v>
      </c>
      <c r="H64" s="13">
        <v>14664.49</v>
      </c>
      <c r="I64" s="13">
        <f t="shared" si="10"/>
        <v>-9897.5900000000292</v>
      </c>
      <c r="J64" s="14">
        <f t="shared" si="11"/>
        <v>-0.67493584843387189</v>
      </c>
      <c r="K64" s="38" t="s">
        <v>23</v>
      </c>
      <c r="L64" s="38" t="s">
        <v>30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4671.94531250001</v>
      </c>
      <c r="E65" s="15">
        <v>4641.6970000000001</v>
      </c>
      <c r="F65" s="15">
        <f t="shared" si="6"/>
        <v>30.248312500009888</v>
      </c>
      <c r="G65" s="16">
        <f t="shared" si="7"/>
        <v>6.5166495141776573E-3</v>
      </c>
      <c r="H65" s="17">
        <v>9177</v>
      </c>
      <c r="I65" s="17">
        <f t="shared" si="10"/>
        <v>-4505.05468749999</v>
      </c>
      <c r="J65" s="16">
        <f t="shared" si="11"/>
        <v>-0.49090712514983004</v>
      </c>
      <c r="K65" s="39" t="s">
        <v>23</v>
      </c>
      <c r="L65" s="39" t="s">
        <v>30</v>
      </c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3429.2000000000098</v>
      </c>
      <c r="E66" s="11">
        <v>6689.2290000000003</v>
      </c>
      <c r="F66" s="11">
        <f t="shared" si="6"/>
        <v>-3260.0289999999904</v>
      </c>
      <c r="G66" s="12">
        <f t="shared" si="7"/>
        <v>-0.48735497020657992</v>
      </c>
      <c r="H66" s="13">
        <v>16899.22</v>
      </c>
      <c r="I66" s="13">
        <f t="shared" si="10"/>
        <v>-13470.019999999991</v>
      </c>
      <c r="J66" s="14">
        <f t="shared" si="11"/>
        <v>-0.79707939182991816</v>
      </c>
      <c r="K66" s="38" t="s">
        <v>23</v>
      </c>
      <c r="L66" s="38" t="s">
        <v>30</v>
      </c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7318.96875</v>
      </c>
      <c r="E67" s="15">
        <v>11623.7</v>
      </c>
      <c r="F67" s="15">
        <f t="shared" si="6"/>
        <v>-4304.7312500000007</v>
      </c>
      <c r="G67" s="16">
        <f t="shared" si="7"/>
        <v>-0.37034087682923683</v>
      </c>
      <c r="H67" s="17">
        <v>10537.29</v>
      </c>
      <c r="I67" s="17">
        <f t="shared" si="10"/>
        <v>-3218.3212500000009</v>
      </c>
      <c r="J67" s="16">
        <f t="shared" si="11"/>
        <v>-0.30542210093866645</v>
      </c>
      <c r="K67" s="39" t="s">
        <v>23</v>
      </c>
      <c r="L67" s="40" t="s">
        <v>30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6696.25</v>
      </c>
      <c r="E68" s="11">
        <v>0</v>
      </c>
      <c r="F68" s="11">
        <f t="shared" si="6"/>
        <v>6696.25</v>
      </c>
      <c r="G68" s="12" t="str">
        <f t="shared" si="7"/>
        <v/>
      </c>
      <c r="H68" s="13">
        <v>0</v>
      </c>
      <c r="I68" s="13">
        <f t="shared" si="10"/>
        <v>6696.25</v>
      </c>
      <c r="J68" s="14" t="str">
        <f t="shared" si="11"/>
        <v/>
      </c>
      <c r="K68" s="38" t="s">
        <v>23</v>
      </c>
      <c r="L68" s="38" t="s">
        <v>30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5327.84375</v>
      </c>
      <c r="E69" s="15">
        <v>0</v>
      </c>
      <c r="F69" s="15">
        <f t="shared" si="6"/>
        <v>5327.84375</v>
      </c>
      <c r="G69" s="16" t="str">
        <f t="shared" si="7"/>
        <v/>
      </c>
      <c r="H69" s="17">
        <v>0</v>
      </c>
      <c r="I69" s="17">
        <f t="shared" si="10"/>
        <v>5327.84375</v>
      </c>
      <c r="J69" s="16" t="str">
        <f t="shared" si="11"/>
        <v/>
      </c>
      <c r="K69" s="39" t="s">
        <v>23</v>
      </c>
      <c r="L69" s="40" t="s">
        <v>30</v>
      </c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8332.7036999624706</v>
      </c>
      <c r="E70" s="11">
        <v>11815.57</v>
      </c>
      <c r="F70" s="11">
        <f t="shared" si="6"/>
        <v>-3482.8663000375291</v>
      </c>
      <c r="G70" s="12">
        <f t="shared" si="7"/>
        <v>-0.29476921553827107</v>
      </c>
      <c r="H70" s="13">
        <v>22550</v>
      </c>
      <c r="I70" s="13">
        <f t="shared" si="10"/>
        <v>-14217.296300037529</v>
      </c>
      <c r="J70" s="14">
        <f t="shared" si="11"/>
        <v>-0.63047877162028954</v>
      </c>
      <c r="K70" s="38" t="s">
        <v>23</v>
      </c>
      <c r="L70" s="38" t="s">
        <v>30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3985</v>
      </c>
      <c r="E71" s="15">
        <v>5753</v>
      </c>
      <c r="F71" s="15">
        <f t="shared" si="6"/>
        <v>-1768</v>
      </c>
      <c r="G71" s="16">
        <f t="shared" si="7"/>
        <v>-0.3073179210846515</v>
      </c>
      <c r="H71" s="17">
        <v>9034</v>
      </c>
      <c r="I71" s="17">
        <f t="shared" si="10"/>
        <v>-5049</v>
      </c>
      <c r="J71" s="16">
        <f t="shared" si="11"/>
        <v>-0.55888864290458273</v>
      </c>
      <c r="K71" s="39" t="s">
        <v>23</v>
      </c>
      <c r="L71" s="40" t="s">
        <v>30</v>
      </c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5046.3999999999696</v>
      </c>
      <c r="E72" s="11">
        <v>7824.4260000000004</v>
      </c>
      <c r="F72" s="11">
        <f t="shared" si="6"/>
        <v>-2778.0260000000308</v>
      </c>
      <c r="G72" s="12">
        <f t="shared" si="7"/>
        <v>-0.35504534134517096</v>
      </c>
      <c r="H72" s="13">
        <v>0</v>
      </c>
      <c r="I72" s="13">
        <f t="shared" si="10"/>
        <v>5046.3999999999696</v>
      </c>
      <c r="J72" s="14" t="str">
        <f t="shared" si="11"/>
        <v/>
      </c>
      <c r="K72" s="38" t="s">
        <v>23</v>
      </c>
      <c r="L72" s="38" t="s">
        <v>30</v>
      </c>
    </row>
    <row r="73" spans="1:12" ht="47.25">
      <c r="A73" s="27" t="str">
        <v>Murphy</v>
      </c>
      <c r="B73" s="28" t="str">
        <v>MN</v>
      </c>
      <c r="C73" s="28" t="str">
        <f>Sites[[#This Row],[SOL'#]]</f>
        <v>SOL-10094</v>
      </c>
      <c r="D73" s="10">
        <v>286090</v>
      </c>
      <c r="E73" s="15">
        <v>414785.1</v>
      </c>
      <c r="F73" s="15">
        <f t="shared" si="6"/>
        <v>-128695.09999999998</v>
      </c>
      <c r="G73" s="16">
        <f t="shared" si="7"/>
        <v>-0.31026934188330291</v>
      </c>
      <c r="H73" s="17">
        <v>533246.5</v>
      </c>
      <c r="I73" s="17">
        <f t="shared" si="10"/>
        <v>-247156.5</v>
      </c>
      <c r="J73" s="16">
        <f t="shared" si="11"/>
        <v>-0.46349390010061015</v>
      </c>
      <c r="K73" s="39" t="s">
        <v>55</v>
      </c>
      <c r="L73" s="40" t="s">
        <v>56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283485</v>
      </c>
      <c r="E74" s="11">
        <v>410301.4</v>
      </c>
      <c r="F74" s="11">
        <f t="shared" si="6"/>
        <v>-126816.40000000002</v>
      </c>
      <c r="G74" s="12">
        <f t="shared" si="7"/>
        <v>-0.30908108039602111</v>
      </c>
      <c r="H74" s="13">
        <v>483171.2</v>
      </c>
      <c r="I74" s="13">
        <f t="shared" si="10"/>
        <v>-199686.2</v>
      </c>
      <c r="J74" s="14">
        <f t="shared" si="11"/>
        <v>-0.41328249697001812</v>
      </c>
      <c r="K74" s="38" t="s">
        <v>23</v>
      </c>
      <c r="L74" s="38" t="s">
        <v>30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33560</v>
      </c>
      <c r="E75" s="15">
        <v>0</v>
      </c>
      <c r="F75" s="15">
        <f t="shared" si="6"/>
        <v>33560</v>
      </c>
      <c r="G75" s="16" t="str">
        <f t="shared" si="7"/>
        <v/>
      </c>
      <c r="H75" s="17">
        <v>220064.68</v>
      </c>
      <c r="I75" s="17">
        <f t="shared" si="10"/>
        <v>-186504.68</v>
      </c>
      <c r="J75" s="16">
        <f t="shared" si="11"/>
        <v>-0.84749938063663832</v>
      </c>
      <c r="K75" s="39" t="s">
        <v>23</v>
      </c>
      <c r="L75" s="40" t="s">
        <v>30</v>
      </c>
    </row>
    <row r="76" spans="1:12" ht="28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39040</v>
      </c>
      <c r="E76" s="11">
        <v>0</v>
      </c>
      <c r="F76" s="11">
        <f t="shared" si="6"/>
        <v>39040</v>
      </c>
      <c r="G76" s="12" t="str">
        <f t="shared" si="7"/>
        <v/>
      </c>
      <c r="H76" s="13">
        <v>209445.59</v>
      </c>
      <c r="I76" s="13">
        <f t="shared" si="10"/>
        <v>-170405.59</v>
      </c>
      <c r="J76" s="14">
        <f t="shared" si="11"/>
        <v>-0.81360314151279101</v>
      </c>
      <c r="K76" s="38" t="s">
        <v>57</v>
      </c>
      <c r="L76" s="38" t="s">
        <v>58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35247</v>
      </c>
      <c r="E77" s="15">
        <v>0</v>
      </c>
      <c r="F77" s="15">
        <f t="shared" si="6"/>
        <v>35247</v>
      </c>
      <c r="G77" s="16" t="str">
        <f t="shared" si="7"/>
        <v/>
      </c>
      <c r="H77" s="17">
        <v>194874.12</v>
      </c>
      <c r="I77" s="17">
        <f t="shared" si="10"/>
        <v>-159627.12</v>
      </c>
      <c r="J77" s="16">
        <f t="shared" si="11"/>
        <v>-0.81912939491400905</v>
      </c>
      <c r="K77" s="39" t="s">
        <v>23</v>
      </c>
      <c r="L77" s="39" t="s">
        <v>30</v>
      </c>
    </row>
    <row r="78" spans="1:12" ht="28.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43312</v>
      </c>
      <c r="E78" s="11">
        <v>0</v>
      </c>
      <c r="F78" s="11">
        <f t="shared" si="6"/>
        <v>43312</v>
      </c>
      <c r="G78" s="12" t="str">
        <f t="shared" si="7"/>
        <v/>
      </c>
      <c r="H78" s="13">
        <v>223309.11</v>
      </c>
      <c r="I78" s="13">
        <f t="shared" si="10"/>
        <v>-179997.11</v>
      </c>
      <c r="J78" s="14">
        <f t="shared" si="11"/>
        <v>-0.80604463472179888</v>
      </c>
      <c r="K78" s="38" t="s">
        <v>59</v>
      </c>
      <c r="L78" s="38" t="s">
        <v>60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72810</v>
      </c>
      <c r="E79" s="15">
        <v>97923.36</v>
      </c>
      <c r="F79" s="15">
        <f t="shared" si="6"/>
        <v>-25113.360000000001</v>
      </c>
      <c r="G79" s="16">
        <f t="shared" si="7"/>
        <v>-0.25645933717960656</v>
      </c>
      <c r="H79" s="17">
        <v>111632.62</v>
      </c>
      <c r="I79" s="17">
        <f t="shared" si="10"/>
        <v>-38822.619999999995</v>
      </c>
      <c r="J79" s="16">
        <f t="shared" si="11"/>
        <v>-0.34777128763975973</v>
      </c>
      <c r="K79" s="39" t="s">
        <v>23</v>
      </c>
      <c r="L79" s="40" t="s">
        <v>30</v>
      </c>
    </row>
    <row r="80" spans="1:12" ht="28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8879</v>
      </c>
      <c r="E80" s="11">
        <v>74159.11</v>
      </c>
      <c r="F80" s="11">
        <f t="shared" ref="F80:F137" si="12">IF(AND(ISNUMBER(D80),ISNUMBER(E80)), D80-E80, "")</f>
        <v>-65280.11</v>
      </c>
      <c r="G80" s="12">
        <f t="shared" ref="G80:G137" si="13">IFERROR(F80/E80, "")</f>
        <v>-0.88027094715672827</v>
      </c>
      <c r="H80" s="13">
        <v>118883.5</v>
      </c>
      <c r="I80" s="13">
        <f t="shared" si="10"/>
        <v>-110004.5</v>
      </c>
      <c r="J80" s="14">
        <f t="shared" si="11"/>
        <v>-0.92531343710439207</v>
      </c>
      <c r="K80" s="38" t="s">
        <v>61</v>
      </c>
      <c r="L80" s="38" t="s">
        <v>62</v>
      </c>
    </row>
    <row r="81" spans="1:12" ht="42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67057</v>
      </c>
      <c r="E81" s="15">
        <v>110773.82</v>
      </c>
      <c r="F81" s="15">
        <f t="shared" si="12"/>
        <v>-43716.820000000007</v>
      </c>
      <c r="G81" s="16">
        <f t="shared" si="13"/>
        <v>-0.39464938556781742</v>
      </c>
      <c r="H81" s="17">
        <v>115878.35</v>
      </c>
      <c r="I81" s="17">
        <f t="shared" si="10"/>
        <v>-48821.350000000006</v>
      </c>
      <c r="J81" s="16">
        <f t="shared" si="11"/>
        <v>-0.42131554341255295</v>
      </c>
      <c r="K81" s="39" t="s">
        <v>63</v>
      </c>
      <c r="L81" s="40" t="s">
        <v>64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55740</v>
      </c>
      <c r="E82" s="11">
        <v>109395.46</v>
      </c>
      <c r="F82" s="11">
        <f t="shared" si="12"/>
        <v>-53655.460000000006</v>
      </c>
      <c r="G82" s="12">
        <f t="shared" si="13"/>
        <v>-0.49047245653521637</v>
      </c>
      <c r="H82" s="13">
        <v>107420.17</v>
      </c>
      <c r="I82" s="13">
        <f t="shared" ref="I82:I137" si="14">IF(AND(ISNUMBER(D82),ISNUMBER(H82)), D82-H82, "")</f>
        <v>-51680.17</v>
      </c>
      <c r="J82" s="14">
        <f t="shared" ref="J82:J137" si="15">IFERROR(I82/H82, "")</f>
        <v>-0.4811030367946727</v>
      </c>
      <c r="K82" s="38" t="s">
        <v>65</v>
      </c>
      <c r="L82" s="38" t="s">
        <v>66</v>
      </c>
    </row>
    <row r="83" spans="1:12" ht="71.2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48791</v>
      </c>
      <c r="E83" s="15">
        <v>117227.81</v>
      </c>
      <c r="F83" s="15">
        <f t="shared" si="12"/>
        <v>-68436.81</v>
      </c>
      <c r="G83" s="16">
        <f t="shared" si="13"/>
        <v>-0.58379329955920867</v>
      </c>
      <c r="H83" s="17">
        <v>130931.08</v>
      </c>
      <c r="I83" s="17">
        <f t="shared" si="14"/>
        <v>-82140.08</v>
      </c>
      <c r="J83" s="16">
        <f t="shared" si="15"/>
        <v>-0.6273535664717651</v>
      </c>
      <c r="K83" s="39" t="s">
        <v>67</v>
      </c>
      <c r="L83" s="40" t="s">
        <v>68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81604</v>
      </c>
      <c r="E84" s="11">
        <v>0</v>
      </c>
      <c r="F84" s="11">
        <f t="shared" si="12"/>
        <v>81604</v>
      </c>
      <c r="G84" s="12" t="str">
        <f t="shared" si="13"/>
        <v/>
      </c>
      <c r="H84" s="13">
        <v>131400.47</v>
      </c>
      <c r="I84" s="13">
        <f t="shared" si="14"/>
        <v>-49796.47</v>
      </c>
      <c r="J84" s="14">
        <f t="shared" si="15"/>
        <v>-0.37896721373979864</v>
      </c>
      <c r="K84" s="38" t="s">
        <v>69</v>
      </c>
      <c r="L84" s="38" t="s">
        <v>70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32655</v>
      </c>
      <c r="E85" s="15">
        <v>0</v>
      </c>
      <c r="F85" s="15">
        <f t="shared" si="12"/>
        <v>32655</v>
      </c>
      <c r="G85" s="16" t="str">
        <f t="shared" si="13"/>
        <v/>
      </c>
      <c r="H85" s="17">
        <v>107924</v>
      </c>
      <c r="I85" s="17">
        <f t="shared" si="14"/>
        <v>-75269</v>
      </c>
      <c r="J85" s="16">
        <f t="shared" si="15"/>
        <v>-0.69742596642081467</v>
      </c>
      <c r="K85" s="39" t="s">
        <v>23</v>
      </c>
      <c r="L85" s="40" t="s">
        <v>30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219933</v>
      </c>
      <c r="E86" s="11">
        <v>0</v>
      </c>
      <c r="F86" s="11">
        <f t="shared" si="12"/>
        <v>219933</v>
      </c>
      <c r="G86" s="12" t="str">
        <f t="shared" si="13"/>
        <v/>
      </c>
      <c r="H86" s="13">
        <v>305951</v>
      </c>
      <c r="I86" s="13">
        <f t="shared" si="14"/>
        <v>-86018</v>
      </c>
      <c r="J86" s="14">
        <f t="shared" si="15"/>
        <v>-0.2811495958503159</v>
      </c>
      <c r="K86" s="38" t="s">
        <v>71</v>
      </c>
      <c r="L86" s="38" t="s">
        <v>72</v>
      </c>
    </row>
    <row r="87" spans="1:12" ht="71.2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240973</v>
      </c>
      <c r="E87" s="15">
        <v>0</v>
      </c>
      <c r="F87" s="15">
        <f t="shared" si="12"/>
        <v>240973</v>
      </c>
      <c r="G87" s="16" t="str">
        <f t="shared" si="13"/>
        <v/>
      </c>
      <c r="H87" s="17">
        <v>377147</v>
      </c>
      <c r="I87" s="17">
        <f t="shared" si="14"/>
        <v>-136174</v>
      </c>
      <c r="J87" s="16">
        <f t="shared" si="15"/>
        <v>-0.36106345801504452</v>
      </c>
      <c r="K87" s="39" t="s">
        <v>73</v>
      </c>
      <c r="L87" s="40" t="s">
        <v>74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82618</v>
      </c>
      <c r="E88" s="11">
        <v>0</v>
      </c>
      <c r="F88" s="11">
        <f t="shared" si="12"/>
        <v>82618</v>
      </c>
      <c r="G88" s="12" t="str">
        <f t="shared" si="13"/>
        <v/>
      </c>
      <c r="H88" s="13">
        <v>120408</v>
      </c>
      <c r="I88" s="13">
        <f t="shared" si="14"/>
        <v>-37790</v>
      </c>
      <c r="J88" s="14">
        <f t="shared" si="15"/>
        <v>-0.31384957810112285</v>
      </c>
      <c r="K88" s="38" t="s">
        <v>75</v>
      </c>
      <c r="L88" s="38" t="s">
        <v>76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149508</v>
      </c>
      <c r="E89" s="15">
        <v>0</v>
      </c>
      <c r="F89" s="15">
        <f t="shared" si="12"/>
        <v>149508</v>
      </c>
      <c r="G89" s="16" t="str">
        <f t="shared" si="13"/>
        <v/>
      </c>
      <c r="H89" s="17">
        <v>231860</v>
      </c>
      <c r="I89" s="17">
        <f t="shared" si="14"/>
        <v>-82352</v>
      </c>
      <c r="J89" s="16">
        <f t="shared" si="15"/>
        <v>-0.35517984990942808</v>
      </c>
      <c r="K89" s="39" t="s">
        <v>77</v>
      </c>
      <c r="L89" s="39" t="s">
        <v>78</v>
      </c>
    </row>
    <row r="90" spans="1:12" ht="28.5">
      <c r="A90" s="25" t="str">
        <v>NY 70</v>
      </c>
      <c r="B90" s="26" t="str">
        <v>NY</v>
      </c>
      <c r="C90" s="26" t="str">
        <f>Sites[[#This Row],[SOL'#]]</f>
        <v>SOL-10970</v>
      </c>
      <c r="D90" s="21">
        <v>202299</v>
      </c>
      <c r="E90" s="11">
        <v>0</v>
      </c>
      <c r="F90" s="11">
        <f t="shared" si="12"/>
        <v>202299</v>
      </c>
      <c r="G90" s="12" t="str">
        <f t="shared" si="13"/>
        <v/>
      </c>
      <c r="H90" s="13">
        <v>360230</v>
      </c>
      <c r="I90" s="13">
        <f t="shared" si="14"/>
        <v>-157931</v>
      </c>
      <c r="J90" s="14">
        <f t="shared" si="15"/>
        <v>-0.43841712239402603</v>
      </c>
      <c r="K90" s="38" t="s">
        <v>79</v>
      </c>
      <c r="L90" s="38" t="s">
        <v>80</v>
      </c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v>161556.07105237199</v>
      </c>
      <c r="E91" s="15">
        <v>184058</v>
      </c>
      <c r="F91" s="15">
        <f t="shared" si="12"/>
        <v>-22501.92894762801</v>
      </c>
      <c r="G91" s="16">
        <f t="shared" si="13"/>
        <v>-0.12225455534466315</v>
      </c>
      <c r="H91" s="17">
        <v>380016</v>
      </c>
      <c r="I91" s="17">
        <f t="shared" si="14"/>
        <v>-218459.92894762801</v>
      </c>
      <c r="J91" s="16">
        <f t="shared" si="15"/>
        <v>-0.57487034479502974</v>
      </c>
      <c r="K91" s="39" t="s">
        <v>23</v>
      </c>
      <c r="L91" s="40" t="s">
        <v>30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76404</v>
      </c>
      <c r="E92" s="11">
        <v>0</v>
      </c>
      <c r="F92" s="11">
        <f t="shared" si="12"/>
        <v>76404</v>
      </c>
      <c r="G92" s="12" t="str">
        <f t="shared" si="13"/>
        <v/>
      </c>
      <c r="H92" s="13">
        <v>117423</v>
      </c>
      <c r="I92" s="13">
        <f t="shared" si="14"/>
        <v>-41019</v>
      </c>
      <c r="J92" s="14">
        <f t="shared" si="15"/>
        <v>-0.34932679287703433</v>
      </c>
      <c r="K92" s="38" t="s">
        <v>81</v>
      </c>
      <c r="L92" s="38" t="s">
        <v>82</v>
      </c>
    </row>
    <row r="93" spans="1:12" ht="31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175181</v>
      </c>
      <c r="E93" s="15">
        <v>0</v>
      </c>
      <c r="F93" s="15">
        <f t="shared" si="12"/>
        <v>175181</v>
      </c>
      <c r="G93" s="16" t="str">
        <f t="shared" si="13"/>
        <v/>
      </c>
      <c r="H93" s="17">
        <v>323774</v>
      </c>
      <c r="I93" s="17">
        <f t="shared" si="14"/>
        <v>-148593</v>
      </c>
      <c r="J93" s="16">
        <f t="shared" si="15"/>
        <v>-0.45894049553083321</v>
      </c>
      <c r="K93" s="39" t="s">
        <v>83</v>
      </c>
      <c r="L93" s="40" t="s">
        <v>84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251217</v>
      </c>
      <c r="E94" s="11">
        <v>0</v>
      </c>
      <c r="F94" s="11">
        <f t="shared" si="12"/>
        <v>251217</v>
      </c>
      <c r="G94" s="12" t="str">
        <f t="shared" si="13"/>
        <v/>
      </c>
      <c r="H94" s="13">
        <v>347615</v>
      </c>
      <c r="I94" s="13">
        <f t="shared" si="14"/>
        <v>-96398</v>
      </c>
      <c r="J94" s="14">
        <f t="shared" si="15"/>
        <v>-0.27731254405017047</v>
      </c>
      <c r="K94" s="38" t="s">
        <v>85</v>
      </c>
      <c r="L94" s="38" t="s">
        <v>86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204956</v>
      </c>
      <c r="E95" s="15">
        <v>0</v>
      </c>
      <c r="F95" s="15">
        <f t="shared" si="12"/>
        <v>204956</v>
      </c>
      <c r="G95" s="16" t="str">
        <f t="shared" si="13"/>
        <v/>
      </c>
      <c r="H95" s="17">
        <v>298444</v>
      </c>
      <c r="I95" s="17">
        <f t="shared" si="14"/>
        <v>-93488</v>
      </c>
      <c r="J95" s="16">
        <f t="shared" si="15"/>
        <v>-0.3132513972470547</v>
      </c>
      <c r="K95" s="39" t="s">
        <v>87</v>
      </c>
      <c r="L95" s="39" t="s">
        <v>88</v>
      </c>
    </row>
    <row r="96" spans="1:12" ht="42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222902</v>
      </c>
      <c r="E96" s="11">
        <v>0</v>
      </c>
      <c r="F96" s="11">
        <f t="shared" si="12"/>
        <v>222902</v>
      </c>
      <c r="G96" s="12" t="str">
        <f t="shared" si="13"/>
        <v/>
      </c>
      <c r="H96" s="13">
        <v>406945</v>
      </c>
      <c r="I96" s="13">
        <f t="shared" si="14"/>
        <v>-184043</v>
      </c>
      <c r="J96" s="14">
        <f t="shared" si="15"/>
        <v>-0.45225521876420649</v>
      </c>
      <c r="K96" s="38" t="s">
        <v>89</v>
      </c>
      <c r="L96" s="38" t="s">
        <v>90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90965</v>
      </c>
      <c r="E97" s="15">
        <v>0</v>
      </c>
      <c r="F97" s="15">
        <f t="shared" si="12"/>
        <v>90965</v>
      </c>
      <c r="G97" s="16" t="str">
        <f t="shared" si="13"/>
        <v/>
      </c>
      <c r="H97" s="17">
        <v>0</v>
      </c>
      <c r="I97" s="17">
        <f t="shared" si="14"/>
        <v>90965</v>
      </c>
      <c r="J97" s="16" t="str">
        <f t="shared" si="15"/>
        <v/>
      </c>
      <c r="K97" s="39" t="s">
        <v>23</v>
      </c>
      <c r="L97" s="40" t="s">
        <v>30</v>
      </c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39864</v>
      </c>
      <c r="E98" s="11">
        <v>0</v>
      </c>
      <c r="F98" s="11">
        <f t="shared" si="12"/>
        <v>39864</v>
      </c>
      <c r="G98" s="12" t="str">
        <f t="shared" si="13"/>
        <v/>
      </c>
      <c r="H98" s="13">
        <v>159217</v>
      </c>
      <c r="I98" s="13">
        <f t="shared" si="14"/>
        <v>-119353</v>
      </c>
      <c r="J98" s="14">
        <f t="shared" si="15"/>
        <v>-0.74962472600287655</v>
      </c>
      <c r="K98" s="38" t="s">
        <v>23</v>
      </c>
      <c r="L98" s="38" t="s">
        <v>30</v>
      </c>
    </row>
    <row r="99" spans="1:12" ht="31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54564</v>
      </c>
      <c r="E99" s="15">
        <v>0</v>
      </c>
      <c r="F99" s="15">
        <f t="shared" si="12"/>
        <v>54564</v>
      </c>
      <c r="G99" s="16" t="str">
        <f t="shared" si="13"/>
        <v/>
      </c>
      <c r="H99" s="17">
        <v>264699</v>
      </c>
      <c r="I99" s="17">
        <f t="shared" si="14"/>
        <v>-210135</v>
      </c>
      <c r="J99" s="16">
        <f t="shared" si="15"/>
        <v>-0.79386397379665208</v>
      </c>
      <c r="K99" s="39" t="s">
        <v>91</v>
      </c>
      <c r="L99" s="40" t="s">
        <v>92</v>
      </c>
    </row>
    <row r="100" spans="1:12" ht="28.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29393</v>
      </c>
      <c r="E100" s="11">
        <v>0</v>
      </c>
      <c r="F100" s="11">
        <f t="shared" si="12"/>
        <v>29393</v>
      </c>
      <c r="G100" s="12" t="str">
        <f t="shared" si="13"/>
        <v/>
      </c>
      <c r="H100" s="13">
        <v>137325</v>
      </c>
      <c r="I100" s="13">
        <f t="shared" si="14"/>
        <v>-107932</v>
      </c>
      <c r="J100" s="14">
        <f t="shared" si="15"/>
        <v>-0.78596031312579651</v>
      </c>
      <c r="K100" s="38" t="s">
        <v>91</v>
      </c>
      <c r="L100" s="38" t="s">
        <v>93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100252</v>
      </c>
      <c r="E101" s="15">
        <v>0</v>
      </c>
      <c r="F101" s="15">
        <f t="shared" si="12"/>
        <v>100252</v>
      </c>
      <c r="G101" s="16" t="str">
        <f t="shared" si="13"/>
        <v/>
      </c>
      <c r="H101" s="17">
        <v>312360</v>
      </c>
      <c r="I101" s="17">
        <f t="shared" si="14"/>
        <v>-212108</v>
      </c>
      <c r="J101" s="16">
        <f t="shared" si="15"/>
        <v>-0.67904981431681388</v>
      </c>
      <c r="K101" s="39" t="s">
        <v>23</v>
      </c>
      <c r="L101" s="39" t="s">
        <v>23</v>
      </c>
    </row>
    <row r="102" spans="1:12" ht="42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83950</v>
      </c>
      <c r="E102" s="11">
        <v>0</v>
      </c>
      <c r="F102" s="11">
        <f t="shared" si="12"/>
        <v>83950</v>
      </c>
      <c r="G102" s="12" t="str">
        <f t="shared" si="13"/>
        <v/>
      </c>
      <c r="H102" s="13">
        <v>0</v>
      </c>
      <c r="I102" s="13">
        <f t="shared" si="14"/>
        <v>83950</v>
      </c>
      <c r="J102" s="14" t="str">
        <f t="shared" si="15"/>
        <v/>
      </c>
      <c r="K102" s="38" t="s">
        <v>94</v>
      </c>
      <c r="L102" s="38" t="s">
        <v>95</v>
      </c>
    </row>
    <row r="103" spans="1:12" ht="31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29341</v>
      </c>
      <c r="E103" s="15">
        <v>0</v>
      </c>
      <c r="F103" s="15">
        <f t="shared" si="12"/>
        <v>29341</v>
      </c>
      <c r="G103" s="16" t="str">
        <f t="shared" si="13"/>
        <v/>
      </c>
      <c r="H103" s="17">
        <v>133344</v>
      </c>
      <c r="I103" s="17">
        <f t="shared" si="14"/>
        <v>-104003</v>
      </c>
      <c r="J103" s="16">
        <f t="shared" si="15"/>
        <v>-0.77996010319174469</v>
      </c>
      <c r="K103" s="39" t="s">
        <v>91</v>
      </c>
      <c r="L103" s="40" t="s">
        <v>96</v>
      </c>
    </row>
    <row r="104" spans="1:12" ht="28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66472</v>
      </c>
      <c r="E104" s="11">
        <v>0</v>
      </c>
      <c r="F104" s="11">
        <f t="shared" si="12"/>
        <v>66472</v>
      </c>
      <c r="G104" s="12" t="str">
        <f t="shared" si="13"/>
        <v/>
      </c>
      <c r="H104" s="13">
        <v>361225</v>
      </c>
      <c r="I104" s="13">
        <f t="shared" si="14"/>
        <v>-294753</v>
      </c>
      <c r="J104" s="14">
        <f t="shared" si="15"/>
        <v>-0.81598172883936604</v>
      </c>
      <c r="K104" s="38" t="s">
        <v>91</v>
      </c>
      <c r="L104" s="38" t="s">
        <v>97</v>
      </c>
    </row>
    <row r="105" spans="1:12" ht="31.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31915</v>
      </c>
      <c r="E105" s="15">
        <v>0</v>
      </c>
      <c r="F105" s="15">
        <f t="shared" si="12"/>
        <v>31915</v>
      </c>
      <c r="G105" s="16" t="str">
        <f t="shared" si="13"/>
        <v/>
      </c>
      <c r="H105" s="17">
        <v>0</v>
      </c>
      <c r="I105" s="17">
        <f t="shared" si="14"/>
        <v>31915</v>
      </c>
      <c r="J105" s="16" t="str">
        <f t="shared" si="15"/>
        <v/>
      </c>
      <c r="K105" s="39" t="s">
        <v>98</v>
      </c>
      <c r="L105" s="40" t="s">
        <v>99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31675</v>
      </c>
      <c r="E106" s="11">
        <v>0</v>
      </c>
      <c r="F106" s="11">
        <f t="shared" si="12"/>
        <v>31675</v>
      </c>
      <c r="G106" s="12" t="str">
        <f t="shared" si="13"/>
        <v/>
      </c>
      <c r="H106" s="13">
        <v>0</v>
      </c>
      <c r="I106" s="13">
        <f t="shared" si="14"/>
        <v>31675</v>
      </c>
      <c r="J106" s="14" t="str">
        <f t="shared" si="15"/>
        <v/>
      </c>
      <c r="K106" s="38" t="s">
        <v>98</v>
      </c>
      <c r="L106" s="38" t="s">
        <v>100</v>
      </c>
    </row>
    <row r="107" spans="1:12" ht="31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68145</v>
      </c>
      <c r="E107" s="15">
        <v>0</v>
      </c>
      <c r="F107" s="15">
        <f t="shared" si="12"/>
        <v>68145</v>
      </c>
      <c r="G107" s="16" t="str">
        <f t="shared" si="13"/>
        <v/>
      </c>
      <c r="H107" s="17">
        <v>0</v>
      </c>
      <c r="I107" s="17">
        <f t="shared" si="14"/>
        <v>68145</v>
      </c>
      <c r="J107" s="16" t="str">
        <f t="shared" si="15"/>
        <v/>
      </c>
      <c r="K107" s="39" t="s">
        <v>98</v>
      </c>
      <c r="L107" s="40" t="s">
        <v>101</v>
      </c>
    </row>
    <row r="108" spans="1:12" ht="42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186426</v>
      </c>
      <c r="E108" s="11">
        <v>0</v>
      </c>
      <c r="F108" s="11">
        <f t="shared" si="12"/>
        <v>186426</v>
      </c>
      <c r="G108" s="12" t="str">
        <f t="shared" si="13"/>
        <v/>
      </c>
      <c r="H108" s="13">
        <v>0</v>
      </c>
      <c r="I108" s="13">
        <f t="shared" si="14"/>
        <v>186426</v>
      </c>
      <c r="J108" s="14" t="str">
        <f t="shared" si="15"/>
        <v/>
      </c>
      <c r="K108" s="38" t="s">
        <v>102</v>
      </c>
      <c r="L108" s="38" t="s">
        <v>103</v>
      </c>
    </row>
    <row r="109" spans="1:12" ht="28.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108825</v>
      </c>
      <c r="E109" s="15">
        <v>0</v>
      </c>
      <c r="F109" s="15">
        <f t="shared" si="12"/>
        <v>108825</v>
      </c>
      <c r="G109" s="16" t="str">
        <f t="shared" si="13"/>
        <v/>
      </c>
      <c r="H109" s="17">
        <v>0</v>
      </c>
      <c r="I109" s="17">
        <f t="shared" si="14"/>
        <v>108825</v>
      </c>
      <c r="J109" s="16" t="str">
        <f t="shared" si="15"/>
        <v/>
      </c>
      <c r="K109" s="39" t="s">
        <v>104</v>
      </c>
      <c r="L109" s="40" t="s">
        <v>105</v>
      </c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0</v>
      </c>
      <c r="E110" s="11">
        <v>0</v>
      </c>
      <c r="F110" s="11">
        <f t="shared" si="12"/>
        <v>0</v>
      </c>
      <c r="G110" s="12" t="str">
        <f t="shared" si="13"/>
        <v/>
      </c>
      <c r="H110" s="13">
        <v>0</v>
      </c>
      <c r="I110" s="13">
        <f t="shared" si="14"/>
        <v>0</v>
      </c>
      <c r="J110" s="14" t="str">
        <f t="shared" si="15"/>
        <v/>
      </c>
      <c r="K110" s="38" t="s">
        <v>106</v>
      </c>
      <c r="L110" s="38" t="s">
        <v>23</v>
      </c>
    </row>
    <row r="111" spans="1:12" ht="28.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148695.250778894</v>
      </c>
      <c r="E111" s="15">
        <v>188962.4</v>
      </c>
      <c r="F111" s="15">
        <f t="shared" si="12"/>
        <v>-40267.149221105996</v>
      </c>
      <c r="G111" s="16">
        <f t="shared" si="13"/>
        <v>-0.21309609330272053</v>
      </c>
      <c r="H111" s="17">
        <v>269901.7</v>
      </c>
      <c r="I111" s="17">
        <f t="shared" si="14"/>
        <v>-121206.44922110601</v>
      </c>
      <c r="J111" s="16">
        <f t="shared" si="15"/>
        <v>-0.44907627192087346</v>
      </c>
      <c r="K111" s="39" t="s">
        <v>107</v>
      </c>
      <c r="L111" s="40" t="s">
        <v>108</v>
      </c>
    </row>
    <row r="112" spans="1:12" ht="71.2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28249.4825870647</v>
      </c>
      <c r="E112" s="11">
        <v>48018.29</v>
      </c>
      <c r="F112" s="11">
        <f t="shared" si="12"/>
        <v>-19768.807412935301</v>
      </c>
      <c r="G112" s="12">
        <f t="shared" si="13"/>
        <v>-0.41169328214176931</v>
      </c>
      <c r="H112" s="13">
        <v>258654.9</v>
      </c>
      <c r="I112" s="13">
        <f t="shared" si="14"/>
        <v>-230405.41741293529</v>
      </c>
      <c r="J112" s="14">
        <f t="shared" si="15"/>
        <v>-0.89078311453962522</v>
      </c>
      <c r="K112" s="38" t="s">
        <v>109</v>
      </c>
      <c r="L112" s="38" t="s">
        <v>110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870</v>
      </c>
      <c r="E113" s="15">
        <v>1507.5250000000001</v>
      </c>
      <c r="F113" s="15">
        <f t="shared" si="12"/>
        <v>-637.52500000000009</v>
      </c>
      <c r="G113" s="16">
        <f t="shared" si="13"/>
        <v>-0.42289514270078443</v>
      </c>
      <c r="H113" s="17">
        <v>2164.9670000000001</v>
      </c>
      <c r="I113" s="17">
        <f t="shared" si="14"/>
        <v>-1294.9670000000001</v>
      </c>
      <c r="J113" s="16">
        <f t="shared" si="15"/>
        <v>-0.59814629968955646</v>
      </c>
      <c r="K113" s="39" t="s">
        <v>23</v>
      </c>
      <c r="L113" s="39" t="s">
        <v>30</v>
      </c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2505.62</v>
      </c>
      <c r="E114" s="11">
        <v>4293.1019999999999</v>
      </c>
      <c r="F114" s="11">
        <f t="shared" si="12"/>
        <v>-1787.482</v>
      </c>
      <c r="G114" s="12">
        <f t="shared" si="13"/>
        <v>-0.41636140953557593</v>
      </c>
      <c r="H114" s="13">
        <v>5237.6580000000004</v>
      </c>
      <c r="I114" s="13">
        <f t="shared" si="14"/>
        <v>-2732.0380000000005</v>
      </c>
      <c r="J114" s="14">
        <f t="shared" si="15"/>
        <v>-0.52161443148827213</v>
      </c>
      <c r="K114" s="38" t="s">
        <v>23</v>
      </c>
      <c r="L114" s="38" t="s">
        <v>30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385</v>
      </c>
      <c r="E115" s="15">
        <v>590.59410000000003</v>
      </c>
      <c r="F115" s="15">
        <f t="shared" si="12"/>
        <v>-205.59410000000003</v>
      </c>
      <c r="G115" s="16">
        <f t="shared" si="13"/>
        <v>-0.34811404313046812</v>
      </c>
      <c r="H115" s="17">
        <v>808.99249999999995</v>
      </c>
      <c r="I115" s="17">
        <f t="shared" si="14"/>
        <v>-423.99249999999995</v>
      </c>
      <c r="J115" s="16">
        <f t="shared" si="15"/>
        <v>-0.52409941995753972</v>
      </c>
      <c r="K115" s="39" t="s">
        <v>23</v>
      </c>
      <c r="L115" s="40" t="s">
        <v>30</v>
      </c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398</v>
      </c>
      <c r="E116" s="11">
        <v>563.71370000000002</v>
      </c>
      <c r="F116" s="11">
        <f t="shared" si="12"/>
        <v>-165.71370000000002</v>
      </c>
      <c r="G116" s="12">
        <f t="shared" si="13"/>
        <v>-0.2939678421865568</v>
      </c>
      <c r="H116" s="13">
        <v>862.08870000000002</v>
      </c>
      <c r="I116" s="13">
        <f t="shared" si="14"/>
        <v>-464.08870000000002</v>
      </c>
      <c r="J116" s="14">
        <f t="shared" si="15"/>
        <v>-0.53833056853662509</v>
      </c>
      <c r="K116" s="38" t="s">
        <v>23</v>
      </c>
      <c r="L116" s="38" t="s">
        <v>30</v>
      </c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464</v>
      </c>
      <c r="E117" s="15">
        <v>551.17399999999998</v>
      </c>
      <c r="F117" s="15">
        <f t="shared" si="12"/>
        <v>-87.173999999999978</v>
      </c>
      <c r="G117" s="16">
        <f t="shared" si="13"/>
        <v>-0.15816058086919918</v>
      </c>
      <c r="H117" s="17">
        <v>893</v>
      </c>
      <c r="I117" s="17">
        <f t="shared" si="14"/>
        <v>-429</v>
      </c>
      <c r="J117" s="16">
        <f t="shared" si="15"/>
        <v>-0.48040313549832026</v>
      </c>
      <c r="K117" s="39" t="s">
        <v>23</v>
      </c>
      <c r="L117" s="40" t="s">
        <v>30</v>
      </c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3000</v>
      </c>
      <c r="E118" s="11">
        <v>5979.6080000000002</v>
      </c>
      <c r="F118" s="11">
        <f t="shared" si="12"/>
        <v>-2979.6080000000002</v>
      </c>
      <c r="G118" s="12">
        <f t="shared" si="13"/>
        <v>-0.4982948715032825</v>
      </c>
      <c r="H118" s="13">
        <v>2819</v>
      </c>
      <c r="I118" s="13">
        <f t="shared" si="14"/>
        <v>181</v>
      </c>
      <c r="J118" s="14">
        <f t="shared" si="15"/>
        <v>6.4207165661582119E-2</v>
      </c>
      <c r="K118" s="38" t="s">
        <v>23</v>
      </c>
      <c r="L118" s="38" t="s">
        <v>30</v>
      </c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17646</v>
      </c>
      <c r="E119" s="15">
        <v>0</v>
      </c>
      <c r="F119" s="15">
        <f t="shared" si="12"/>
        <v>17646</v>
      </c>
      <c r="G119" s="16" t="str">
        <f t="shared" si="13"/>
        <v/>
      </c>
      <c r="H119" s="17">
        <v>28692</v>
      </c>
      <c r="I119" s="17">
        <f t="shared" si="14"/>
        <v>-11046</v>
      </c>
      <c r="J119" s="16">
        <f t="shared" si="15"/>
        <v>-0.3849853617733166</v>
      </c>
      <c r="K119" s="39" t="s">
        <v>23</v>
      </c>
      <c r="L119" s="40" t="s">
        <v>30</v>
      </c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7263</v>
      </c>
      <c r="E120" s="11">
        <v>10662</v>
      </c>
      <c r="F120" s="11">
        <f t="shared" si="12"/>
        <v>-3399</v>
      </c>
      <c r="G120" s="12">
        <f t="shared" si="13"/>
        <v>-0.31879572312886889</v>
      </c>
      <c r="H120" s="13">
        <v>16720</v>
      </c>
      <c r="I120" s="13">
        <f t="shared" si="14"/>
        <v>-9457</v>
      </c>
      <c r="J120" s="14">
        <f t="shared" si="15"/>
        <v>-0.56561004784688995</v>
      </c>
      <c r="K120" s="38" t="s">
        <v>23</v>
      </c>
      <c r="L120" s="38" t="s">
        <v>30</v>
      </c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8344</v>
      </c>
      <c r="E121" s="15">
        <v>7977.7489999999998</v>
      </c>
      <c r="F121" s="15">
        <f t="shared" si="12"/>
        <v>366.2510000000002</v>
      </c>
      <c r="G121" s="16">
        <f t="shared" si="13"/>
        <v>4.5909065326572726E-2</v>
      </c>
      <c r="H121" s="17">
        <v>10288</v>
      </c>
      <c r="I121" s="17">
        <f t="shared" si="14"/>
        <v>-1944</v>
      </c>
      <c r="J121" s="16">
        <f t="shared" si="15"/>
        <v>-0.18895800933125972</v>
      </c>
      <c r="K121" s="39" t="s">
        <v>111</v>
      </c>
      <c r="L121" s="40" t="s">
        <v>112</v>
      </c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7031</v>
      </c>
      <c r="E122" s="11">
        <v>7601.15</v>
      </c>
      <c r="F122" s="11">
        <f t="shared" si="12"/>
        <v>-570.14999999999964</v>
      </c>
      <c r="G122" s="12">
        <f t="shared" si="13"/>
        <v>-7.5008386888825995E-2</v>
      </c>
      <c r="H122" s="13">
        <v>10288</v>
      </c>
      <c r="I122" s="13">
        <f t="shared" si="14"/>
        <v>-3257</v>
      </c>
      <c r="J122" s="14">
        <f t="shared" si="15"/>
        <v>-0.31658242612752724</v>
      </c>
      <c r="K122" s="38" t="s">
        <v>113</v>
      </c>
      <c r="L122" s="38" t="s">
        <v>114</v>
      </c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82202</v>
      </c>
      <c r="E123" s="15">
        <v>92318.48</v>
      </c>
      <c r="F123" s="15">
        <f t="shared" si="12"/>
        <v>-10116.479999999996</v>
      </c>
      <c r="G123" s="16">
        <f t="shared" si="13"/>
        <v>-0.10958239347094965</v>
      </c>
      <c r="H123" s="17">
        <v>127325.2</v>
      </c>
      <c r="I123" s="17">
        <f t="shared" si="14"/>
        <v>-45123.199999999997</v>
      </c>
      <c r="J123" s="16">
        <f t="shared" si="15"/>
        <v>-0.35439331726948003</v>
      </c>
      <c r="K123" s="39" t="s">
        <v>23</v>
      </c>
      <c r="L123" s="40" t="s">
        <v>30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86841</v>
      </c>
      <c r="E124" s="11">
        <v>66423.12</v>
      </c>
      <c r="F124" s="11">
        <f t="shared" si="12"/>
        <v>20417.880000000005</v>
      </c>
      <c r="G124" s="12">
        <f t="shared" si="13"/>
        <v>0.30739116139079292</v>
      </c>
      <c r="H124" s="13">
        <v>6278.299</v>
      </c>
      <c r="I124" s="13">
        <f t="shared" si="14"/>
        <v>80562.701000000001</v>
      </c>
      <c r="J124" s="14">
        <f t="shared" si="15"/>
        <v>12.831931228506321</v>
      </c>
      <c r="K124" s="38" t="s">
        <v>23</v>
      </c>
      <c r="L124" s="38" t="s">
        <v>30</v>
      </c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17577</v>
      </c>
      <c r="E125" s="15">
        <v>15476.68</v>
      </c>
      <c r="F125" s="15">
        <f t="shared" si="12"/>
        <v>2100.3199999999997</v>
      </c>
      <c r="G125" s="16">
        <f t="shared" si="13"/>
        <v>0.13570869204506392</v>
      </c>
      <c r="H125" s="17">
        <v>18224</v>
      </c>
      <c r="I125" s="17">
        <f t="shared" si="14"/>
        <v>-647</v>
      </c>
      <c r="J125" s="16">
        <f t="shared" si="15"/>
        <v>-3.5502633889376647E-2</v>
      </c>
      <c r="K125" s="39" t="s">
        <v>115</v>
      </c>
      <c r="L125" s="39" t="s">
        <v>116</v>
      </c>
    </row>
    <row r="126" spans="1:12" ht="57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52498</v>
      </c>
      <c r="E126" s="11">
        <v>58863.74</v>
      </c>
      <c r="F126" s="11">
        <f t="shared" si="12"/>
        <v>-6365.739999999998</v>
      </c>
      <c r="G126" s="12">
        <f t="shared" si="13"/>
        <v>-0.10814365516020556</v>
      </c>
      <c r="H126" s="13">
        <v>0</v>
      </c>
      <c r="I126" s="13">
        <f t="shared" si="14"/>
        <v>52498</v>
      </c>
      <c r="J126" s="14" t="str">
        <f t="shared" si="15"/>
        <v/>
      </c>
      <c r="K126" s="38" t="s">
        <v>117</v>
      </c>
      <c r="L126" s="38" t="s">
        <v>118</v>
      </c>
    </row>
    <row r="127" spans="1:12" ht="57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13494</v>
      </c>
      <c r="E127" s="15">
        <v>34760.43</v>
      </c>
      <c r="F127" s="15">
        <f t="shared" si="12"/>
        <v>-21266.43</v>
      </c>
      <c r="G127" s="16">
        <f t="shared" si="13"/>
        <v>-0.61179996910279877</v>
      </c>
      <c r="H127" s="17">
        <v>23239</v>
      </c>
      <c r="I127" s="17">
        <f t="shared" si="14"/>
        <v>-9745</v>
      </c>
      <c r="J127" s="16">
        <f t="shared" si="15"/>
        <v>-0.41933818150522828</v>
      </c>
      <c r="K127" s="39" t="s">
        <v>119</v>
      </c>
      <c r="L127" s="39" t="s">
        <v>120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15979.5</v>
      </c>
      <c r="E128" s="11">
        <v>16624.46</v>
      </c>
      <c r="F128" s="11">
        <f t="shared" si="12"/>
        <v>-644.95999999999913</v>
      </c>
      <c r="G128" s="12">
        <f t="shared" si="13"/>
        <v>-3.8795846601934691E-2</v>
      </c>
      <c r="H128" s="13">
        <v>23841.21</v>
      </c>
      <c r="I128" s="13">
        <f t="shared" si="14"/>
        <v>-7861.7099999999991</v>
      </c>
      <c r="J128" s="14">
        <f t="shared" si="15"/>
        <v>-0.32975297814162952</v>
      </c>
      <c r="K128" s="38" t="s">
        <v>121</v>
      </c>
      <c r="L128" s="38" t="s">
        <v>122</v>
      </c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32699.5</v>
      </c>
      <c r="E129" s="15">
        <v>50419.89</v>
      </c>
      <c r="F129" s="15">
        <f t="shared" si="12"/>
        <v>-17720.39</v>
      </c>
      <c r="G129" s="16">
        <f t="shared" si="13"/>
        <v>-0.35145633994838149</v>
      </c>
      <c r="H129" s="17">
        <v>52949.27</v>
      </c>
      <c r="I129" s="17">
        <f t="shared" si="14"/>
        <v>-20249.769999999997</v>
      </c>
      <c r="J129" s="16">
        <f t="shared" si="15"/>
        <v>-0.38243718940789928</v>
      </c>
      <c r="K129" s="39" t="s">
        <v>23</v>
      </c>
      <c r="L129" s="40" t="s">
        <v>30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74644</v>
      </c>
      <c r="E130" s="11">
        <v>104933.8</v>
      </c>
      <c r="F130" s="11">
        <f t="shared" si="12"/>
        <v>-30289.800000000003</v>
      </c>
      <c r="G130" s="12">
        <f t="shared" si="13"/>
        <v>-0.28865627662392862</v>
      </c>
      <c r="H130" s="13">
        <v>132017.60000000001</v>
      </c>
      <c r="I130" s="13">
        <f t="shared" si="14"/>
        <v>-57373.600000000006</v>
      </c>
      <c r="J130" s="14">
        <f t="shared" si="15"/>
        <v>-0.43459053944322579</v>
      </c>
      <c r="K130" s="38" t="s">
        <v>123</v>
      </c>
      <c r="L130" s="38" t="s">
        <v>124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1820.4686795321199</v>
      </c>
      <c r="E131" s="15">
        <v>4815.5290000000005</v>
      </c>
      <c r="F131" s="15">
        <f t="shared" si="12"/>
        <v>-2995.0603204678805</v>
      </c>
      <c r="G131" s="16">
        <f t="shared" si="13"/>
        <v>-0.62195873401818991</v>
      </c>
      <c r="H131" s="17">
        <v>4801.3860000000004</v>
      </c>
      <c r="I131" s="17">
        <f t="shared" si="14"/>
        <v>-2980.9173204678805</v>
      </c>
      <c r="J131" s="16">
        <f t="shared" si="15"/>
        <v>-0.62084517272051865</v>
      </c>
      <c r="K131" s="39" t="s">
        <v>23</v>
      </c>
      <c r="L131" s="40" t="s">
        <v>30</v>
      </c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1822.9083103328601</v>
      </c>
      <c r="E132" s="11">
        <v>5664.0169999999998</v>
      </c>
      <c r="F132" s="11">
        <f t="shared" si="12"/>
        <v>-3841.1086896671395</v>
      </c>
      <c r="G132" s="12">
        <f t="shared" si="13"/>
        <v>-0.67815980948982668</v>
      </c>
      <c r="H132" s="13">
        <v>3544.0749999999998</v>
      </c>
      <c r="I132" s="13">
        <f t="shared" si="14"/>
        <v>-1721.1666896671397</v>
      </c>
      <c r="J132" s="14">
        <f t="shared" si="15"/>
        <v>-0.48564623764089071</v>
      </c>
      <c r="K132" s="38" t="s">
        <v>23</v>
      </c>
      <c r="L132" s="38" t="s">
        <v>30</v>
      </c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1250</v>
      </c>
      <c r="E133" s="15">
        <v>2762</v>
      </c>
      <c r="F133" s="15">
        <f t="shared" si="12"/>
        <v>-1512</v>
      </c>
      <c r="G133" s="16">
        <f t="shared" si="13"/>
        <v>-0.54742939898624188</v>
      </c>
      <c r="H133" s="17">
        <v>4395</v>
      </c>
      <c r="I133" s="17">
        <f t="shared" si="14"/>
        <v>-3145</v>
      </c>
      <c r="J133" s="16">
        <f t="shared" si="15"/>
        <v>-0.71558589306029574</v>
      </c>
      <c r="K133" s="39" t="s">
        <v>23</v>
      </c>
      <c r="L133" s="40" t="s">
        <v>30</v>
      </c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6169.25</v>
      </c>
      <c r="E134" s="11">
        <v>11780.96</v>
      </c>
      <c r="F134" s="11">
        <f t="shared" si="12"/>
        <v>-5611.7099999999991</v>
      </c>
      <c r="G134" s="12">
        <f t="shared" si="13"/>
        <v>-0.47633724246580922</v>
      </c>
      <c r="H134" s="13">
        <v>7989.4369999999999</v>
      </c>
      <c r="I134" s="13">
        <f t="shared" si="14"/>
        <v>-1820.1869999999999</v>
      </c>
      <c r="J134" s="14">
        <f t="shared" si="15"/>
        <v>-0.2278241883627094</v>
      </c>
      <c r="K134" s="38" t="s">
        <v>23</v>
      </c>
      <c r="L134" s="38" t="s">
        <v>30</v>
      </c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7384.75</v>
      </c>
      <c r="E135" s="15">
        <v>15101.21</v>
      </c>
      <c r="F135" s="15">
        <f t="shared" si="12"/>
        <v>-7716.4599999999991</v>
      </c>
      <c r="G135" s="16">
        <f t="shared" si="13"/>
        <v>-0.51098289474816916</v>
      </c>
      <c r="H135" s="17">
        <v>14831.87</v>
      </c>
      <c r="I135" s="17">
        <f t="shared" si="14"/>
        <v>-7447.1200000000008</v>
      </c>
      <c r="J135" s="16">
        <f t="shared" si="15"/>
        <v>-0.50210256697233735</v>
      </c>
      <c r="K135" s="39" t="s">
        <v>23</v>
      </c>
      <c r="L135" s="40" t="s">
        <v>30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5444.625</v>
      </c>
      <c r="E136" s="11">
        <v>16420.68</v>
      </c>
      <c r="F136" s="11">
        <f t="shared" si="12"/>
        <v>-10976.055</v>
      </c>
      <c r="G136" s="12">
        <f t="shared" si="13"/>
        <v>-0.66842877396063993</v>
      </c>
      <c r="H136" s="13">
        <v>11432.38</v>
      </c>
      <c r="I136" s="13">
        <f t="shared" si="14"/>
        <v>-5987.7549999999992</v>
      </c>
      <c r="J136" s="14">
        <f t="shared" si="15"/>
        <v>-0.52375402147234429</v>
      </c>
      <c r="K136" s="38" t="s">
        <v>23</v>
      </c>
      <c r="L136" s="38" t="s">
        <v>30</v>
      </c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2486.1234915329801</v>
      </c>
      <c r="E137" s="15">
        <v>6531.7079999999996</v>
      </c>
      <c r="F137" s="15">
        <f t="shared" si="12"/>
        <v>-4045.5845084670195</v>
      </c>
      <c r="G137" s="16">
        <f t="shared" si="13"/>
        <v>-0.61937620427413775</v>
      </c>
      <c r="H137" s="17">
        <v>5447.299</v>
      </c>
      <c r="I137" s="17">
        <f t="shared" si="14"/>
        <v>-2961.1755084670199</v>
      </c>
      <c r="J137" s="16">
        <f t="shared" si="15"/>
        <v>-0.54360436400994694</v>
      </c>
      <c r="K137" s="39" t="s">
        <v>23</v>
      </c>
      <c r="L137" s="40" t="s">
        <v>30</v>
      </c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E1:G1"/>
    <mergeCell ref="A1:D1"/>
    <mergeCell ref="H1:J1"/>
    <mergeCell ref="A2:B2"/>
  </mergeCells>
  <conditionalFormatting sqref="G2 J2">
    <cfRule type="cellIs" dxfId="50" priority="12" stopIfTrue="1" operator="lessThanOrEqual">
      <formula>-0.1</formula>
    </cfRule>
    <cfRule type="expression" dxfId="49" priority="13">
      <formula>AND(ISNUMBER(G2), G2&gt;=0.1)</formula>
    </cfRule>
  </conditionalFormatting>
  <conditionalFormatting sqref="G4:G160 J4:J160">
    <cfRule type="cellIs" dxfId="48" priority="1" stopIfTrue="1" operator="lessThanOrEqual">
      <formula>-0.1</formula>
    </cfRule>
    <cfRule type="expression" dxfId="47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zoomScale="90" zoomScaleNormal="90" workbookViewId="0">
      <pane xSplit="2" ySplit="3" topLeftCell="C80" activePane="bottomRight" state="frozen"/>
      <selection pane="bottomRight" activeCell="H86" sqref="H86"/>
      <selection pane="bottomLeft" activeCell="K49" sqref="K49"/>
      <selection pane="topRight" activeCell="K49" sqref="K49"/>
    </sheetView>
  </sheetViews>
  <sheetFormatPr defaultRowHeight="14.25"/>
  <cols>
    <col min="1" max="1" width="22.85546875" customWidth="1"/>
    <col min="2" max="3" width="22.85546875" style="31" customWidth="1"/>
    <col min="4" max="6" width="22.85546875" customWidth="1"/>
    <col min="7" max="7" width="22.85546875" style="1" customWidth="1"/>
    <col min="8" max="9" width="22.85546875" customWidth="1"/>
    <col min="10" max="10" width="22.85546875" style="1" customWidth="1"/>
    <col min="11" max="11" width="34.42578125" style="55" customWidth="1"/>
    <col min="12" max="22" width="22.85546875" customWidth="1"/>
  </cols>
  <sheetData>
    <row r="1" spans="1:12" ht="15">
      <c r="A1" s="96" t="str" cm="1">
        <f t="array" ref="A1">portfolio</f>
        <v>Generate Capital</v>
      </c>
      <c r="B1" s="96"/>
      <c r="C1" s="96"/>
      <c r="D1" s="96"/>
      <c r="E1" s="97" t="s">
        <v>125</v>
      </c>
      <c r="F1" s="97"/>
      <c r="G1" s="97"/>
      <c r="H1" s="95" t="s">
        <v>126</v>
      </c>
      <c r="I1" s="95"/>
      <c r="J1" s="95"/>
      <c r="K1" s="51"/>
      <c r="L1" s="5"/>
    </row>
    <row r="2" spans="1:12" ht="15">
      <c r="A2" s="98" t="s">
        <v>2</v>
      </c>
      <c r="B2" s="98"/>
      <c r="C2" s="72"/>
      <c r="D2" s="6">
        <f>SUM(D4:D137)</f>
        <v>16791596.324729182</v>
      </c>
      <c r="E2" s="6">
        <f>SUM(E4:E137)</f>
        <v>6681816.9851000011</v>
      </c>
      <c r="F2" s="6">
        <f>D2-E2</f>
        <v>10109779.339629181</v>
      </c>
      <c r="G2" s="7">
        <f>IFERROR(F2/E2, 0)</f>
        <v>1.5130284714731492</v>
      </c>
      <c r="H2" s="6">
        <f>SUM(H4:H137)</f>
        <v>11065785.448600005</v>
      </c>
      <c r="I2" s="8">
        <f>D2-H2</f>
        <v>5725810.8761291765</v>
      </c>
      <c r="J2" s="7">
        <f>IFERROR(I2/H2, 0)</f>
        <v>0.51743375133426073</v>
      </c>
      <c r="K2" s="52" t="str">
        <f ca="1">IF(AND(TODAY()&gt;DATE(2024, 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53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10378.094243421099</v>
      </c>
      <c r="E4" s="11">
        <v>7847.527</v>
      </c>
      <c r="F4" s="11">
        <f>IF(AND(ISNUMBER(D4),ISNUMBER(E4)), D4-E4, "")</f>
        <v>2530.5672434210992</v>
      </c>
      <c r="G4" s="12">
        <f>IFERROR(F4/E4, "")</f>
        <v>0.32246684126363617</v>
      </c>
      <c r="H4" s="13">
        <v>10339.17</v>
      </c>
      <c r="I4" s="13">
        <f>IF(AND(ISNUMBER(D4),ISNUMBER(H4)), D4-H4, "")</f>
        <v>38.924243421099163</v>
      </c>
      <c r="J4" s="14">
        <f>IFERROR(I4/H4, "")</f>
        <v>3.7647357980475382E-3</v>
      </c>
      <c r="K4" s="54"/>
      <c r="L4" s="38"/>
    </row>
    <row r="5" spans="1:12" ht="57">
      <c r="A5" s="27" t="str">
        <v>Fulton</v>
      </c>
      <c r="B5" s="28" t="str">
        <v>AZ</v>
      </c>
      <c r="C5" s="28" t="str">
        <f>Sites[[#This Row],[SOL'#]]</f>
        <v>SOL-10749</v>
      </c>
      <c r="D5" s="10">
        <v>30613.5</v>
      </c>
      <c r="E5" s="15">
        <v>35548.239999999998</v>
      </c>
      <c r="F5" s="15">
        <f t="shared" ref="F5:F15" si="0">IF(AND(ISNUMBER(D5),ISNUMBER(E5)), D5-E5, "")</f>
        <v>-4934.739999999998</v>
      </c>
      <c r="G5" s="16">
        <f>IFERROR(F5/E5, "")</f>
        <v>-0.13881812432908067</v>
      </c>
      <c r="H5" s="17">
        <v>40290</v>
      </c>
      <c r="I5" s="17">
        <f t="shared" ref="I5:I15" si="1">IF(AND(ISNUMBER(D5),ISNUMBER(H5)), D5-H5, "")</f>
        <v>-9676.5</v>
      </c>
      <c r="J5" s="16">
        <f t="shared" ref="J5:J15" si="2">IFERROR(I5/H5, "")</f>
        <v>-0.24017125837676842</v>
      </c>
      <c r="K5" s="59" t="s">
        <v>127</v>
      </c>
      <c r="L5" s="59" t="s">
        <v>128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16543.18</v>
      </c>
      <c r="E6" s="11">
        <v>0</v>
      </c>
      <c r="F6" s="11">
        <f t="shared" si="0"/>
        <v>16543.18</v>
      </c>
      <c r="G6" s="12" t="str">
        <f t="shared" ref="G6:G15" si="3">IFERROR(F6/E6, "")</f>
        <v/>
      </c>
      <c r="H6" s="13">
        <v>1876</v>
      </c>
      <c r="I6" s="13">
        <f t="shared" si="1"/>
        <v>14667.18</v>
      </c>
      <c r="J6" s="14">
        <f t="shared" si="2"/>
        <v>7.8183262260127933</v>
      </c>
      <c r="K6" s="54"/>
      <c r="L6" s="57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9896.6511571287392</v>
      </c>
      <c r="E7" s="15">
        <v>13290.27</v>
      </c>
      <c r="F7" s="15">
        <f t="shared" si="0"/>
        <v>-3393.6188428712612</v>
      </c>
      <c r="G7" s="16">
        <f t="shared" si="3"/>
        <v>-0.25534611733781637</v>
      </c>
      <c r="H7" s="17">
        <v>10566.75</v>
      </c>
      <c r="I7" s="17">
        <f t="shared" si="1"/>
        <v>-670.09884287126079</v>
      </c>
      <c r="J7" s="16">
        <f t="shared" si="2"/>
        <v>-6.3415794153477728E-2</v>
      </c>
      <c r="K7" s="59"/>
      <c r="L7" s="60"/>
    </row>
    <row r="8" spans="1:12" ht="28.5">
      <c r="A8" s="25" t="str">
        <v>Parking 3</v>
      </c>
      <c r="B8" s="26" t="str">
        <v>AZ</v>
      </c>
      <c r="C8" s="26" t="str">
        <f>Sites[[#This Row],[SOL'#]]</f>
        <v>SOL-10751</v>
      </c>
      <c r="D8" s="21">
        <v>24635.19</v>
      </c>
      <c r="E8" s="11">
        <v>26794.79</v>
      </c>
      <c r="F8" s="11">
        <f t="shared" si="0"/>
        <v>-2159.6000000000022</v>
      </c>
      <c r="G8" s="12">
        <f t="shared" si="3"/>
        <v>-8.0597757996983821E-2</v>
      </c>
      <c r="H8" s="13">
        <v>25826.39</v>
      </c>
      <c r="I8" s="13">
        <f t="shared" si="1"/>
        <v>-1191.2000000000007</v>
      </c>
      <c r="J8" s="14">
        <f t="shared" si="2"/>
        <v>-4.6123364512035976E-2</v>
      </c>
      <c r="K8" s="54" t="s">
        <v>129</v>
      </c>
      <c r="L8" s="57" t="s">
        <v>130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23621.417332634799</v>
      </c>
      <c r="E9" s="15">
        <v>18394.21</v>
      </c>
      <c r="F9" s="15">
        <f t="shared" si="0"/>
        <v>5227.2073326348</v>
      </c>
      <c r="G9" s="16">
        <f t="shared" si="3"/>
        <v>0.28417677805324609</v>
      </c>
      <c r="H9" s="17">
        <v>24794.87</v>
      </c>
      <c r="I9" s="17">
        <f t="shared" si="1"/>
        <v>-1173.4526673651999</v>
      </c>
      <c r="J9" s="16">
        <f t="shared" si="2"/>
        <v>-4.7326429514056738E-2</v>
      </c>
      <c r="K9" s="59"/>
      <c r="L9" s="6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10153.304277221199</v>
      </c>
      <c r="E10" s="11">
        <v>7717.9830000000002</v>
      </c>
      <c r="F10" s="11">
        <f t="shared" si="0"/>
        <v>2435.3212772211991</v>
      </c>
      <c r="G10" s="12">
        <f t="shared" si="3"/>
        <v>0.31553856457330876</v>
      </c>
      <c r="H10" s="13">
        <v>10882</v>
      </c>
      <c r="I10" s="13">
        <f t="shared" si="1"/>
        <v>-728.6957227788007</v>
      </c>
      <c r="J10" s="14">
        <f t="shared" si="2"/>
        <v>-6.6963400365631379E-2</v>
      </c>
      <c r="K10" s="54"/>
      <c r="L10" s="57"/>
    </row>
    <row r="11" spans="1:12" s="50" customFormat="1" ht="28.5">
      <c r="A11" s="44" t="str">
        <v>Starshine</v>
      </c>
      <c r="B11" s="45" t="str">
        <v>AZ</v>
      </c>
      <c r="C11" s="45" t="str">
        <f>Sites[[#This Row],[SOL'#]]</f>
        <v>SOL-10757</v>
      </c>
      <c r="D11" s="46">
        <v>3146.5940000000001</v>
      </c>
      <c r="E11" s="47">
        <v>0</v>
      </c>
      <c r="F11" s="47">
        <f t="shared" si="0"/>
        <v>3146.5940000000001</v>
      </c>
      <c r="G11" s="48" t="str">
        <f t="shared" si="3"/>
        <v/>
      </c>
      <c r="H11" s="49">
        <v>0</v>
      </c>
      <c r="I11" s="49">
        <f t="shared" si="1"/>
        <v>3146.5940000000001</v>
      </c>
      <c r="J11" s="48" t="str">
        <f t="shared" si="2"/>
        <v/>
      </c>
      <c r="K11" s="63" t="s">
        <v>131</v>
      </c>
      <c r="L11" s="64" t="s">
        <v>132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64193</v>
      </c>
      <c r="E12" s="11">
        <v>78368.52</v>
      </c>
      <c r="F12" s="11">
        <f t="shared" si="0"/>
        <v>-14175.520000000004</v>
      </c>
      <c r="G12" s="12">
        <f t="shared" si="3"/>
        <v>-0.18088283407674413</v>
      </c>
      <c r="H12" s="13">
        <v>63360</v>
      </c>
      <c r="I12" s="13">
        <f t="shared" si="1"/>
        <v>833</v>
      </c>
      <c r="J12" s="14">
        <f t="shared" si="2"/>
        <v>1.3147095959595959E-2</v>
      </c>
      <c r="K12" s="54"/>
      <c r="L12" s="57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84185.890625</v>
      </c>
      <c r="E13" s="15">
        <v>115574.5</v>
      </c>
      <c r="F13" s="15">
        <f t="shared" si="0"/>
        <v>-31388.609375</v>
      </c>
      <c r="G13" s="16">
        <f t="shared" si="3"/>
        <v>-0.27158767180476662</v>
      </c>
      <c r="H13" s="17">
        <v>65827</v>
      </c>
      <c r="I13" s="17">
        <f t="shared" si="1"/>
        <v>18358.890625</v>
      </c>
      <c r="J13" s="16">
        <f t="shared" si="2"/>
        <v>0.27889605519011956</v>
      </c>
      <c r="K13" s="59"/>
      <c r="L13" s="6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16957.75</v>
      </c>
      <c r="E14" s="11">
        <v>0</v>
      </c>
      <c r="F14" s="11">
        <f t="shared" si="0"/>
        <v>16957.75</v>
      </c>
      <c r="G14" s="12" t="str">
        <f t="shared" si="3"/>
        <v/>
      </c>
      <c r="H14" s="13">
        <v>14218</v>
      </c>
      <c r="I14" s="13">
        <f t="shared" si="1"/>
        <v>2739.75</v>
      </c>
      <c r="J14" s="14">
        <f t="shared" si="2"/>
        <v>0.19269587846391897</v>
      </c>
      <c r="K14" s="54"/>
      <c r="L14" s="57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11714.4420394031</v>
      </c>
      <c r="E15" s="15">
        <v>0</v>
      </c>
      <c r="F15" s="15">
        <f t="shared" si="0"/>
        <v>11714.4420394031</v>
      </c>
      <c r="G15" s="16" t="str">
        <f t="shared" si="3"/>
        <v/>
      </c>
      <c r="H15" s="17">
        <v>10665</v>
      </c>
      <c r="I15" s="17">
        <f t="shared" si="1"/>
        <v>1049.4420394031004</v>
      </c>
      <c r="J15" s="16">
        <f t="shared" si="2"/>
        <v>9.8400566282522306E-2</v>
      </c>
      <c r="K15" s="59"/>
      <c r="L15" s="6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7699.9745473954799</v>
      </c>
      <c r="E16" s="11">
        <v>0</v>
      </c>
      <c r="F16" s="11">
        <f t="shared" ref="F16:F17" si="4">IF(AND(ISNUMBER(D16),ISNUMBER(E16)), D16-E16, "")</f>
        <v>7699.9745473954799</v>
      </c>
      <c r="G16" s="12" t="str">
        <f t="shared" ref="G16:G17" si="5">IFERROR(F16/E16, "")</f>
        <v/>
      </c>
      <c r="H16" s="13">
        <v>9141</v>
      </c>
      <c r="I16" s="13">
        <f t="shared" ref="I16:I17" si="6">IF(AND(ISNUMBER(D16),ISNUMBER(H16)), D16-H16, "")</f>
        <v>-1441.0254526045201</v>
      </c>
      <c r="J16" s="14">
        <f t="shared" ref="J16:J17" si="7">IFERROR(I16/H16, "")</f>
        <v>-0.15764418035275354</v>
      </c>
      <c r="K16" s="54"/>
      <c r="L16" s="57"/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56041.06</v>
      </c>
      <c r="E17" s="15">
        <v>0</v>
      </c>
      <c r="F17" s="15">
        <f t="shared" si="4"/>
        <v>56041.06</v>
      </c>
      <c r="G17" s="16" t="str">
        <f t="shared" si="5"/>
        <v/>
      </c>
      <c r="H17" s="17">
        <v>27038</v>
      </c>
      <c r="I17" s="17">
        <f t="shared" si="6"/>
        <v>29003.059999999998</v>
      </c>
      <c r="J17" s="16">
        <f t="shared" si="7"/>
        <v>1.0726777128485834</v>
      </c>
      <c r="K17" s="59" t="s">
        <v>133</v>
      </c>
      <c r="L17" s="60" t="s">
        <v>134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25607.37</v>
      </c>
      <c r="E18" s="11">
        <v>0</v>
      </c>
      <c r="F18" s="11">
        <f t="shared" ref="F18:F81" si="8">IF(AND(ISNUMBER(D18),ISNUMBER(E18)), D18-E18, "")</f>
        <v>25607.37</v>
      </c>
      <c r="G18" s="12" t="str">
        <f t="shared" ref="G18:G81" si="9">IFERROR(F18/E18, "")</f>
        <v/>
      </c>
      <c r="H18" s="13">
        <v>8900</v>
      </c>
      <c r="I18" s="13">
        <f t="shared" ref="I18:I81" si="10">IF(AND(ISNUMBER(D18),ISNUMBER(H18)), D18-H18, "")</f>
        <v>16707.37</v>
      </c>
      <c r="J18" s="14">
        <f t="shared" ref="J18:J81" si="11">IFERROR(I18/H18, "")</f>
        <v>1.8772325842696629</v>
      </c>
      <c r="K18" s="54"/>
      <c r="L18" s="57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63236</v>
      </c>
      <c r="E19" s="15">
        <v>78953.95</v>
      </c>
      <c r="F19" s="15">
        <f t="shared" si="8"/>
        <v>-15717.949999999997</v>
      </c>
      <c r="G19" s="16">
        <f t="shared" si="9"/>
        <v>-0.19907743691100949</v>
      </c>
      <c r="H19" s="17">
        <v>64151.06</v>
      </c>
      <c r="I19" s="17">
        <f t="shared" si="10"/>
        <v>-915.05999999999767</v>
      </c>
      <c r="J19" s="16">
        <f t="shared" si="11"/>
        <v>-1.4264144661054669E-2</v>
      </c>
      <c r="K19" s="59"/>
      <c r="L19" s="60"/>
    </row>
    <row r="20" spans="1:12" ht="114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11878.5</v>
      </c>
      <c r="E20" s="11">
        <v>25057.18</v>
      </c>
      <c r="F20" s="11">
        <f t="shared" si="8"/>
        <v>-13178.68</v>
      </c>
      <c r="G20" s="12">
        <f t="shared" si="9"/>
        <v>-0.52594426028786956</v>
      </c>
      <c r="H20" s="13">
        <v>16839.5</v>
      </c>
      <c r="I20" s="13">
        <f t="shared" si="10"/>
        <v>-4961</v>
      </c>
      <c r="J20" s="14">
        <f t="shared" si="11"/>
        <v>-0.29460494670269305</v>
      </c>
      <c r="K20" s="54" t="s">
        <v>135</v>
      </c>
      <c r="L20" s="57" t="s">
        <v>136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14883.333433014501</v>
      </c>
      <c r="E21" s="15">
        <v>23285.08</v>
      </c>
      <c r="F21" s="15">
        <f t="shared" si="8"/>
        <v>-8401.746566985501</v>
      </c>
      <c r="G21" s="16">
        <f t="shared" si="9"/>
        <v>-0.36082103076242383</v>
      </c>
      <c r="H21" s="17">
        <v>23184.85</v>
      </c>
      <c r="I21" s="17">
        <f t="shared" si="10"/>
        <v>-8301.5165669854978</v>
      </c>
      <c r="J21" s="16">
        <f t="shared" si="11"/>
        <v>-0.35805780787822644</v>
      </c>
      <c r="K21" s="59"/>
      <c r="L21" s="6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12699.726000000001</v>
      </c>
      <c r="E22" s="11">
        <v>0</v>
      </c>
      <c r="F22" s="11">
        <f t="shared" si="8"/>
        <v>12699.726000000001</v>
      </c>
      <c r="G22" s="12" t="str">
        <f t="shared" si="9"/>
        <v/>
      </c>
      <c r="H22" s="13">
        <v>0</v>
      </c>
      <c r="I22" s="13">
        <f t="shared" si="10"/>
        <v>12699.726000000001</v>
      </c>
      <c r="J22" s="14" t="str">
        <f t="shared" si="11"/>
        <v/>
      </c>
      <c r="K22" s="54"/>
      <c r="L22" s="57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13738.875</v>
      </c>
      <c r="E23" s="15">
        <v>19314.28</v>
      </c>
      <c r="F23" s="15">
        <f t="shared" si="8"/>
        <v>-5575.4049999999988</v>
      </c>
      <c r="G23" s="16">
        <f t="shared" si="9"/>
        <v>-0.28866750404364022</v>
      </c>
      <c r="H23" s="17">
        <v>24182</v>
      </c>
      <c r="I23" s="17">
        <f t="shared" si="10"/>
        <v>-10443.125</v>
      </c>
      <c r="J23" s="16">
        <f t="shared" si="11"/>
        <v>-0.43185530559920604</v>
      </c>
      <c r="K23" s="59"/>
      <c r="L23" s="6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11751.8125</v>
      </c>
      <c r="E24" s="11">
        <v>16058.48</v>
      </c>
      <c r="F24" s="11">
        <f t="shared" si="8"/>
        <v>-4306.6674999999996</v>
      </c>
      <c r="G24" s="12">
        <f t="shared" si="9"/>
        <v>-0.26818649710308817</v>
      </c>
      <c r="H24" s="13">
        <v>15926.33</v>
      </c>
      <c r="I24" s="13">
        <f t="shared" si="10"/>
        <v>-4174.5174999999999</v>
      </c>
      <c r="J24" s="14">
        <f t="shared" si="11"/>
        <v>-0.26211421589280143</v>
      </c>
      <c r="K24" s="54"/>
      <c r="L24" s="57"/>
    </row>
    <row r="25" spans="1:12" ht="42.75">
      <c r="A25" s="27" t="str">
        <v>K115</v>
      </c>
      <c r="B25" s="28" t="str">
        <v>NY</v>
      </c>
      <c r="C25" s="28" t="str">
        <f>Sites[[#This Row],[SOL'#]]</f>
        <v>SOL-10361</v>
      </c>
      <c r="D25" s="10">
        <v>2969.1286536069601</v>
      </c>
      <c r="E25" s="15">
        <v>8398.1460000000006</v>
      </c>
      <c r="F25" s="15">
        <f t="shared" si="8"/>
        <v>-5429.0173463930405</v>
      </c>
      <c r="G25" s="16">
        <f t="shared" si="9"/>
        <v>-0.64645427054888549</v>
      </c>
      <c r="H25" s="17">
        <v>5544.3429999999998</v>
      </c>
      <c r="I25" s="17">
        <f t="shared" si="10"/>
        <v>-2575.2143463930397</v>
      </c>
      <c r="J25" s="16">
        <f t="shared" si="11"/>
        <v>-0.46447601571422253</v>
      </c>
      <c r="K25" s="59" t="s">
        <v>35</v>
      </c>
      <c r="L25" s="60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4632.078125</v>
      </c>
      <c r="E26" s="11">
        <v>5853.1670000000004</v>
      </c>
      <c r="F26" s="11">
        <f t="shared" si="8"/>
        <v>-1221.0888750000004</v>
      </c>
      <c r="G26" s="12">
        <f t="shared" si="9"/>
        <v>-0.20862020082461347</v>
      </c>
      <c r="H26" s="13">
        <v>1081</v>
      </c>
      <c r="I26" s="13">
        <f t="shared" si="10"/>
        <v>3551.078125</v>
      </c>
      <c r="J26" s="14">
        <f t="shared" si="11"/>
        <v>3.2849936401480111</v>
      </c>
      <c r="K26" s="54"/>
      <c r="L26" s="57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16586.375</v>
      </c>
      <c r="E27" s="15">
        <v>22508.54</v>
      </c>
      <c r="F27" s="15">
        <f t="shared" si="8"/>
        <v>-5922.1650000000009</v>
      </c>
      <c r="G27" s="16">
        <f t="shared" si="9"/>
        <v>-0.26310746943160246</v>
      </c>
      <c r="H27" s="17">
        <v>23922.34</v>
      </c>
      <c r="I27" s="17">
        <f t="shared" si="10"/>
        <v>-7335.9650000000001</v>
      </c>
      <c r="J27" s="16">
        <f t="shared" si="11"/>
        <v>-0.30665750089665139</v>
      </c>
      <c r="K27" s="59"/>
      <c r="L27" s="6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9460.9240000000009</v>
      </c>
      <c r="E28" s="11">
        <v>0</v>
      </c>
      <c r="F28" s="11">
        <f t="shared" si="8"/>
        <v>9460.9240000000009</v>
      </c>
      <c r="G28" s="12" t="str">
        <f t="shared" si="9"/>
        <v/>
      </c>
      <c r="H28" s="13">
        <v>0</v>
      </c>
      <c r="I28" s="13">
        <f t="shared" si="10"/>
        <v>9460.9240000000009</v>
      </c>
      <c r="J28" s="14" t="str">
        <f t="shared" si="11"/>
        <v/>
      </c>
      <c r="K28" s="54"/>
      <c r="L28" s="57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10884.625</v>
      </c>
      <c r="E29" s="15">
        <v>14018.29</v>
      </c>
      <c r="F29" s="15">
        <f t="shared" si="8"/>
        <v>-3133.6650000000009</v>
      </c>
      <c r="G29" s="16">
        <f t="shared" si="9"/>
        <v>-0.22354117370948959</v>
      </c>
      <c r="H29" s="17">
        <v>12921.92</v>
      </c>
      <c r="I29" s="17">
        <f t="shared" si="10"/>
        <v>-2037.2950000000001</v>
      </c>
      <c r="J29" s="16">
        <f t="shared" si="11"/>
        <v>-0.15766194187860627</v>
      </c>
      <c r="K29" s="59"/>
      <c r="L29" s="60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9933.21875</v>
      </c>
      <c r="E30" s="11">
        <v>0</v>
      </c>
      <c r="F30" s="11">
        <f t="shared" si="8"/>
        <v>9933.21875</v>
      </c>
      <c r="G30" s="12" t="str">
        <f t="shared" si="9"/>
        <v/>
      </c>
      <c r="H30" s="13">
        <v>14500.27</v>
      </c>
      <c r="I30" s="13">
        <f t="shared" si="10"/>
        <v>-4567.0512500000004</v>
      </c>
      <c r="J30" s="14">
        <f t="shared" si="11"/>
        <v>-0.31496318689238201</v>
      </c>
      <c r="K30" s="54"/>
      <c r="L30" s="57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10966.5625</v>
      </c>
      <c r="E31" s="15">
        <v>0</v>
      </c>
      <c r="F31" s="15">
        <f t="shared" si="8"/>
        <v>10966.5625</v>
      </c>
      <c r="G31" s="16" t="str">
        <f t="shared" si="9"/>
        <v/>
      </c>
      <c r="H31" s="17">
        <v>14879</v>
      </c>
      <c r="I31" s="17">
        <f t="shared" si="10"/>
        <v>-3912.4375</v>
      </c>
      <c r="J31" s="16">
        <f t="shared" si="11"/>
        <v>-0.26295029907923917</v>
      </c>
      <c r="K31" s="59"/>
      <c r="L31" s="6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8921.2469531250008</v>
      </c>
      <c r="E32" s="11">
        <v>10128.11</v>
      </c>
      <c r="F32" s="11">
        <f t="shared" si="8"/>
        <v>-1206.8630468749998</v>
      </c>
      <c r="G32" s="12">
        <f t="shared" si="9"/>
        <v>-0.11915974914125139</v>
      </c>
      <c r="H32" s="13">
        <v>0</v>
      </c>
      <c r="I32" s="13">
        <f t="shared" si="10"/>
        <v>8921.2469531250008</v>
      </c>
      <c r="J32" s="14" t="str">
        <f t="shared" si="11"/>
        <v/>
      </c>
      <c r="K32" s="54"/>
      <c r="L32" s="57"/>
    </row>
    <row r="33" spans="1:12" ht="28.5">
      <c r="A33" s="27" t="str">
        <v>K298</v>
      </c>
      <c r="B33" s="28" t="str">
        <v>NY</v>
      </c>
      <c r="C33" s="28" t="str">
        <f>Sites[[#This Row],[SOL'#]]</f>
        <v>SOL-10368</v>
      </c>
      <c r="D33" s="10">
        <v>8100.8125</v>
      </c>
      <c r="E33" s="15">
        <v>13207.68</v>
      </c>
      <c r="F33" s="15">
        <f t="shared" si="8"/>
        <v>-5106.8675000000003</v>
      </c>
      <c r="G33" s="16">
        <f t="shared" si="9"/>
        <v>-0.38665893631584047</v>
      </c>
      <c r="H33" s="17">
        <v>0</v>
      </c>
      <c r="I33" s="17">
        <f t="shared" si="10"/>
        <v>8100.8125</v>
      </c>
      <c r="J33" s="16" t="str">
        <f t="shared" si="11"/>
        <v/>
      </c>
      <c r="K33" s="59" t="s">
        <v>137</v>
      </c>
      <c r="L33" s="60" t="s">
        <v>138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9156.96875</v>
      </c>
      <c r="E34" s="11">
        <v>13942.97</v>
      </c>
      <c r="F34" s="11">
        <f t="shared" si="8"/>
        <v>-4786.0012499999993</v>
      </c>
      <c r="G34" s="12">
        <f t="shared" si="9"/>
        <v>-0.34325550797283505</v>
      </c>
      <c r="H34" s="13">
        <v>14555</v>
      </c>
      <c r="I34" s="13">
        <f t="shared" si="10"/>
        <v>-5398.03125</v>
      </c>
      <c r="J34" s="14">
        <f t="shared" si="11"/>
        <v>-0.37087126417038818</v>
      </c>
      <c r="K34" s="54"/>
      <c r="L34" s="57"/>
    </row>
    <row r="35" spans="1:12" ht="71.25">
      <c r="A35" s="27" t="str">
        <v>K345</v>
      </c>
      <c r="B35" s="28" t="str">
        <v>NY</v>
      </c>
      <c r="C35" s="28" t="str">
        <f>Sites[[#This Row],[SOL'#]]</f>
        <v>SOL-10920</v>
      </c>
      <c r="D35" s="10">
        <v>9252.7980664062507</v>
      </c>
      <c r="E35" s="15">
        <v>9601.5740000000005</v>
      </c>
      <c r="F35" s="15">
        <f t="shared" si="8"/>
        <v>-348.77593359374987</v>
      </c>
      <c r="G35" s="16">
        <f t="shared" si="9"/>
        <v>-3.6324870650765159E-2</v>
      </c>
      <c r="H35" s="17">
        <v>7610</v>
      </c>
      <c r="I35" s="17">
        <f t="shared" si="10"/>
        <v>1642.7980664062507</v>
      </c>
      <c r="J35" s="16">
        <f t="shared" si="11"/>
        <v>0.21587359611120246</v>
      </c>
      <c r="K35" s="59" t="s">
        <v>139</v>
      </c>
      <c r="L35" s="60" t="s">
        <v>140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9518.3829999999998</v>
      </c>
      <c r="E36" s="11">
        <v>0</v>
      </c>
      <c r="F36" s="11">
        <f t="shared" si="8"/>
        <v>9518.3829999999998</v>
      </c>
      <c r="G36" s="12" t="str">
        <f t="shared" si="9"/>
        <v/>
      </c>
      <c r="H36" s="13">
        <v>0</v>
      </c>
      <c r="I36" s="13">
        <f t="shared" si="10"/>
        <v>9518.3829999999998</v>
      </c>
      <c r="J36" s="14" t="str">
        <f t="shared" si="11"/>
        <v/>
      </c>
      <c r="K36" s="54"/>
      <c r="L36" s="57"/>
    </row>
    <row r="37" spans="1:12" ht="28.5">
      <c r="A37" s="27" t="str">
        <v>K495</v>
      </c>
      <c r="B37" s="28" t="str">
        <v>NY</v>
      </c>
      <c r="C37" s="28" t="str">
        <f>Sites[[#This Row],[SOL'#]]</f>
        <v>SOL-10374</v>
      </c>
      <c r="D37" s="10">
        <v>41137.3125</v>
      </c>
      <c r="E37" s="15">
        <v>0</v>
      </c>
      <c r="F37" s="15">
        <f t="shared" si="8"/>
        <v>41137.3125</v>
      </c>
      <c r="G37" s="16" t="str">
        <f t="shared" si="9"/>
        <v/>
      </c>
      <c r="H37" s="17">
        <v>0</v>
      </c>
      <c r="I37" s="17">
        <f t="shared" si="10"/>
        <v>41137.3125</v>
      </c>
      <c r="J37" s="16" t="str">
        <f t="shared" si="11"/>
        <v/>
      </c>
      <c r="K37" s="59" t="s">
        <v>141</v>
      </c>
      <c r="L37" s="60" t="s">
        <v>142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9899.21875</v>
      </c>
      <c r="E38" s="11">
        <v>8106.8879999999999</v>
      </c>
      <c r="F38" s="11">
        <f t="shared" si="8"/>
        <v>1792.3307500000001</v>
      </c>
      <c r="G38" s="12">
        <f t="shared" si="9"/>
        <v>0.22108739506454267</v>
      </c>
      <c r="H38" s="13">
        <v>0</v>
      </c>
      <c r="I38" s="13">
        <f t="shared" si="10"/>
        <v>9899.21875</v>
      </c>
      <c r="J38" s="14" t="str">
        <f t="shared" si="11"/>
        <v/>
      </c>
      <c r="K38" s="54"/>
      <c r="L38" s="57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9074.4375</v>
      </c>
      <c r="E39" s="15">
        <v>13564.97</v>
      </c>
      <c r="F39" s="15">
        <f t="shared" si="8"/>
        <v>-4490.5324999999993</v>
      </c>
      <c r="G39" s="16">
        <f t="shared" si="9"/>
        <v>-0.33103888176678603</v>
      </c>
      <c r="H39" s="17">
        <v>14231.42</v>
      </c>
      <c r="I39" s="17">
        <f t="shared" si="10"/>
        <v>-5156.9825000000001</v>
      </c>
      <c r="J39" s="16">
        <f t="shared" si="11"/>
        <v>-0.36236598315558111</v>
      </c>
      <c r="K39" s="59"/>
      <c r="L39" s="6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9946.8125</v>
      </c>
      <c r="E40" s="11">
        <v>15822.48</v>
      </c>
      <c r="F40" s="11">
        <f t="shared" si="8"/>
        <v>-5875.6674999999996</v>
      </c>
      <c r="G40" s="12">
        <f t="shared" si="9"/>
        <v>-0.37134933967367945</v>
      </c>
      <c r="H40" s="13">
        <v>18573.72</v>
      </c>
      <c r="I40" s="13">
        <f t="shared" si="10"/>
        <v>-8626.9075000000012</v>
      </c>
      <c r="J40" s="14">
        <f t="shared" si="11"/>
        <v>-0.46446848019675113</v>
      </c>
      <c r="K40" s="54"/>
      <c r="L40" s="57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15594.5</v>
      </c>
      <c r="E41" s="15">
        <v>0</v>
      </c>
      <c r="F41" s="15">
        <f t="shared" si="8"/>
        <v>15594.5</v>
      </c>
      <c r="G41" s="16" t="str">
        <f t="shared" si="9"/>
        <v/>
      </c>
      <c r="H41" s="17">
        <v>0</v>
      </c>
      <c r="I41" s="17">
        <f t="shared" si="10"/>
        <v>15594.5</v>
      </c>
      <c r="J41" s="16" t="str">
        <f t="shared" si="11"/>
        <v/>
      </c>
      <c r="K41" s="59"/>
      <c r="L41" s="60"/>
    </row>
    <row r="42" spans="1:12" ht="57">
      <c r="A42" s="25" t="str">
        <v>M167</v>
      </c>
      <c r="B42" s="26" t="str">
        <v>NY</v>
      </c>
      <c r="C42" s="26" t="str">
        <f>Sites[[#This Row],[SOL'#]]</f>
        <v>SOL-10386</v>
      </c>
      <c r="D42" s="21">
        <v>10945.180405273401</v>
      </c>
      <c r="E42" s="11">
        <v>12895.85</v>
      </c>
      <c r="F42" s="11">
        <f t="shared" si="8"/>
        <v>-1950.6695947265998</v>
      </c>
      <c r="G42" s="12">
        <f t="shared" si="9"/>
        <v>-0.15126335950919093</v>
      </c>
      <c r="H42" s="13">
        <v>13415.56</v>
      </c>
      <c r="I42" s="13">
        <f t="shared" si="10"/>
        <v>-2470.379594726599</v>
      </c>
      <c r="J42" s="14">
        <f t="shared" si="11"/>
        <v>-0.18414286058327786</v>
      </c>
      <c r="K42" s="54" t="s">
        <v>143</v>
      </c>
      <c r="L42" s="57" t="s">
        <v>144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8728.4586718749797</v>
      </c>
      <c r="E43" s="15">
        <v>0</v>
      </c>
      <c r="F43" s="15">
        <f t="shared" si="8"/>
        <v>8728.4586718749797</v>
      </c>
      <c r="G43" s="16" t="str">
        <f t="shared" si="9"/>
        <v/>
      </c>
      <c r="H43" s="17">
        <v>0</v>
      </c>
      <c r="I43" s="17">
        <f t="shared" si="10"/>
        <v>8728.4586718749797</v>
      </c>
      <c r="J43" s="16" t="str">
        <f t="shared" si="11"/>
        <v/>
      </c>
      <c r="K43" s="59"/>
      <c r="L43" s="6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2373.40241699219</v>
      </c>
      <c r="E44" s="11">
        <v>0</v>
      </c>
      <c r="F44" s="11">
        <f t="shared" si="8"/>
        <v>2373.40241699219</v>
      </c>
      <c r="G44" s="12" t="str">
        <f t="shared" si="9"/>
        <v/>
      </c>
      <c r="H44" s="13">
        <v>0</v>
      </c>
      <c r="I44" s="13">
        <f t="shared" si="10"/>
        <v>2373.40241699219</v>
      </c>
      <c r="J44" s="14" t="str">
        <f t="shared" si="11"/>
        <v/>
      </c>
      <c r="K44" s="54"/>
      <c r="L44" s="57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14341.1171875</v>
      </c>
      <c r="E45" s="15">
        <v>17495.71</v>
      </c>
      <c r="F45" s="15">
        <f t="shared" si="8"/>
        <v>-3154.5928124999991</v>
      </c>
      <c r="G45" s="16">
        <f t="shared" si="9"/>
        <v>-0.18030664731525609</v>
      </c>
      <c r="H45" s="17">
        <v>18089</v>
      </c>
      <c r="I45" s="17">
        <f t="shared" si="10"/>
        <v>-3747.8828125</v>
      </c>
      <c r="J45" s="16">
        <f t="shared" si="11"/>
        <v>-0.20719126610094532</v>
      </c>
      <c r="K45" s="59"/>
      <c r="L45" s="6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8095.6875</v>
      </c>
      <c r="E46" s="11">
        <v>12613.08</v>
      </c>
      <c r="F46" s="11">
        <f t="shared" si="8"/>
        <v>-4517.3924999999999</v>
      </c>
      <c r="G46" s="12">
        <f t="shared" si="9"/>
        <v>-0.35815141900313008</v>
      </c>
      <c r="H46" s="13">
        <v>12784.81</v>
      </c>
      <c r="I46" s="13">
        <f t="shared" si="10"/>
        <v>-4689.1224999999995</v>
      </c>
      <c r="J46" s="14">
        <f t="shared" si="11"/>
        <v>-0.36677295165121732</v>
      </c>
      <c r="K46" s="54"/>
      <c r="L46" s="57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6658.71875</v>
      </c>
      <c r="E47" s="15">
        <v>10734.29</v>
      </c>
      <c r="F47" s="15">
        <f t="shared" si="8"/>
        <v>-4075.5712500000009</v>
      </c>
      <c r="G47" s="16">
        <f t="shared" si="9"/>
        <v>-0.37967776629846972</v>
      </c>
      <c r="H47" s="17">
        <v>5480.9939999999997</v>
      </c>
      <c r="I47" s="17">
        <f t="shared" si="10"/>
        <v>1177.7247500000003</v>
      </c>
      <c r="J47" s="16">
        <f t="shared" si="11"/>
        <v>0.21487430017256001</v>
      </c>
      <c r="K47" s="59"/>
      <c r="L47" s="6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10992.375</v>
      </c>
      <c r="E48" s="11">
        <v>16909.419999999998</v>
      </c>
      <c r="F48" s="11">
        <f t="shared" si="8"/>
        <v>-5917.0449999999983</v>
      </c>
      <c r="G48" s="12">
        <f t="shared" si="9"/>
        <v>-0.34992595843027136</v>
      </c>
      <c r="H48" s="13">
        <v>9540</v>
      </c>
      <c r="I48" s="13">
        <f t="shared" si="10"/>
        <v>1452.375</v>
      </c>
      <c r="J48" s="14">
        <f t="shared" si="11"/>
        <v>0.15224056603773584</v>
      </c>
      <c r="K48" s="54"/>
      <c r="L48" s="57"/>
    </row>
    <row r="49" spans="1:12" ht="42.75">
      <c r="A49" s="27" t="str">
        <v>Q074</v>
      </c>
      <c r="B49" s="28" t="str">
        <v>NY</v>
      </c>
      <c r="C49" s="28" t="str">
        <f>Sites[[#This Row],[SOL'#]]</f>
        <v>SOL-10402</v>
      </c>
      <c r="D49" s="10">
        <v>6577.59375</v>
      </c>
      <c r="E49" s="15">
        <v>10436.129999999999</v>
      </c>
      <c r="F49" s="15">
        <f t="shared" si="8"/>
        <v>-3858.5362499999992</v>
      </c>
      <c r="G49" s="16">
        <f t="shared" si="9"/>
        <v>-0.36972864941314448</v>
      </c>
      <c r="H49" s="17">
        <v>10440.209999999999</v>
      </c>
      <c r="I49" s="17">
        <f t="shared" si="10"/>
        <v>-3862.6162499999991</v>
      </c>
      <c r="J49" s="16">
        <f t="shared" si="11"/>
        <v>-0.36997495740028213</v>
      </c>
      <c r="K49" s="59" t="s">
        <v>145</v>
      </c>
      <c r="L49" s="59" t="s">
        <v>146</v>
      </c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9157.21875</v>
      </c>
      <c r="E50" s="11">
        <v>15076.37</v>
      </c>
      <c r="F50" s="11">
        <f t="shared" si="8"/>
        <v>-5919.1512500000008</v>
      </c>
      <c r="G50" s="12">
        <f t="shared" si="9"/>
        <v>-0.39261116900155679</v>
      </c>
      <c r="H50" s="13">
        <v>14141.7</v>
      </c>
      <c r="I50" s="13">
        <f t="shared" si="10"/>
        <v>-4984.4812500000007</v>
      </c>
      <c r="J50" s="14">
        <f t="shared" si="11"/>
        <v>-0.35246690638324957</v>
      </c>
      <c r="K50" s="54"/>
      <c r="L50" s="57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5878.21875</v>
      </c>
      <c r="E51" s="15">
        <v>8344.6959999999999</v>
      </c>
      <c r="F51" s="15">
        <f t="shared" si="8"/>
        <v>-2466.4772499999999</v>
      </c>
      <c r="G51" s="16">
        <f t="shared" si="9"/>
        <v>-0.29557424860054815</v>
      </c>
      <c r="H51" s="17">
        <v>8025</v>
      </c>
      <c r="I51" s="17">
        <f t="shared" si="10"/>
        <v>-2146.78125</v>
      </c>
      <c r="J51" s="16">
        <f t="shared" si="11"/>
        <v>-0.26751168224299066</v>
      </c>
      <c r="K51" s="59"/>
      <c r="L51" s="60"/>
    </row>
    <row r="52" spans="1:12" ht="42.75">
      <c r="A52" s="25" t="str">
        <v>Q157</v>
      </c>
      <c r="B52" s="26" t="str">
        <v>NY</v>
      </c>
      <c r="C52" s="26" t="str">
        <f>Sites[[#This Row],[SOL'#]]</f>
        <v>SOL-10404</v>
      </c>
      <c r="D52" s="21">
        <v>9228.1875</v>
      </c>
      <c r="E52" s="11">
        <v>16163.48</v>
      </c>
      <c r="F52" s="11">
        <f t="shared" si="8"/>
        <v>-6935.2924999999996</v>
      </c>
      <c r="G52" s="12">
        <f t="shared" si="9"/>
        <v>-0.42907174073899929</v>
      </c>
      <c r="H52" s="13">
        <v>15359.34</v>
      </c>
      <c r="I52" s="13">
        <f t="shared" si="10"/>
        <v>-6131.1525000000001</v>
      </c>
      <c r="J52" s="14">
        <f t="shared" si="11"/>
        <v>-0.3991807265155925</v>
      </c>
      <c r="K52" s="54" t="s">
        <v>147</v>
      </c>
      <c r="L52" s="57" t="s">
        <v>148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15802.6875</v>
      </c>
      <c r="E53" s="15">
        <v>24783.49</v>
      </c>
      <c r="F53" s="15">
        <f t="shared" si="8"/>
        <v>-8980.8025000000016</v>
      </c>
      <c r="G53" s="16">
        <f t="shared" si="9"/>
        <v>-0.36237037237289826</v>
      </c>
      <c r="H53" s="17">
        <v>21116.05</v>
      </c>
      <c r="I53" s="17">
        <f t="shared" si="10"/>
        <v>-5313.3624999999993</v>
      </c>
      <c r="J53" s="16">
        <f t="shared" si="11"/>
        <v>-0.25162672469519626</v>
      </c>
      <c r="K53" s="59"/>
      <c r="L53" s="60"/>
    </row>
    <row r="54" spans="1:12" ht="28.5">
      <c r="A54" s="25" t="str">
        <v>Q210</v>
      </c>
      <c r="B54" s="26" t="str">
        <v>NY</v>
      </c>
      <c r="C54" s="26" t="str">
        <f>Sites[[#This Row],[SOL'#]]</f>
        <v>SOL-10407</v>
      </c>
      <c r="D54" s="21">
        <v>12134.875</v>
      </c>
      <c r="E54" s="11">
        <v>17223.77</v>
      </c>
      <c r="F54" s="11">
        <f t="shared" si="8"/>
        <v>-5088.8950000000004</v>
      </c>
      <c r="G54" s="12">
        <f t="shared" si="9"/>
        <v>-0.29545767273947576</v>
      </c>
      <c r="H54" s="13">
        <v>18108</v>
      </c>
      <c r="I54" s="13">
        <f t="shared" si="10"/>
        <v>-5973.125</v>
      </c>
      <c r="J54" s="14">
        <f t="shared" si="11"/>
        <v>-0.3298611111111111</v>
      </c>
      <c r="K54" s="54" t="s">
        <v>149</v>
      </c>
      <c r="L54" s="57" t="s">
        <v>46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5675.18749999994</v>
      </c>
      <c r="E55" s="15">
        <v>8021.049</v>
      </c>
      <c r="F55" s="15">
        <f t="shared" si="8"/>
        <v>-2345.86150000006</v>
      </c>
      <c r="G55" s="16">
        <f t="shared" si="9"/>
        <v>-0.29246318031470198</v>
      </c>
      <c r="H55" s="17">
        <v>8779.7330000000002</v>
      </c>
      <c r="I55" s="17">
        <f t="shared" si="10"/>
        <v>-3104.5455000000602</v>
      </c>
      <c r="J55" s="16">
        <f t="shared" si="11"/>
        <v>-0.35360363464356603</v>
      </c>
      <c r="K55" s="59"/>
      <c r="L55" s="6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22856.1875</v>
      </c>
      <c r="E56" s="11">
        <v>35658.61</v>
      </c>
      <c r="F56" s="11">
        <f t="shared" si="8"/>
        <v>-12802.422500000001</v>
      </c>
      <c r="G56" s="12">
        <f t="shared" si="9"/>
        <v>-0.35902752518956854</v>
      </c>
      <c r="H56" s="13">
        <v>0</v>
      </c>
      <c r="I56" s="13">
        <f t="shared" si="10"/>
        <v>22856.1875</v>
      </c>
      <c r="J56" s="14" t="str">
        <f t="shared" si="11"/>
        <v/>
      </c>
      <c r="K56" s="54"/>
      <c r="L56" s="57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23173.875</v>
      </c>
      <c r="E57" s="15">
        <v>34907.18</v>
      </c>
      <c r="F57" s="15">
        <f t="shared" si="8"/>
        <v>-11733.305</v>
      </c>
      <c r="G57" s="16">
        <f t="shared" si="9"/>
        <v>-0.33612869902409764</v>
      </c>
      <c r="H57" s="17">
        <v>26531.72</v>
      </c>
      <c r="I57" s="17">
        <f t="shared" si="10"/>
        <v>-3357.8450000000012</v>
      </c>
      <c r="J57" s="16">
        <f t="shared" si="11"/>
        <v>-0.12655964257123176</v>
      </c>
      <c r="K57" s="59"/>
      <c r="L57" s="60"/>
    </row>
    <row r="58" spans="1:12" ht="28.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>
        <v>0</v>
      </c>
      <c r="F58" s="11" t="str">
        <f t="shared" si="8"/>
        <v/>
      </c>
      <c r="G58" s="12" t="str">
        <f t="shared" si="9"/>
        <v/>
      </c>
      <c r="H58" s="13">
        <v>0</v>
      </c>
      <c r="I58" s="13" t="str">
        <f t="shared" si="10"/>
        <v/>
      </c>
      <c r="J58" s="14" t="str">
        <f t="shared" si="11"/>
        <v/>
      </c>
      <c r="K58" s="54" t="s">
        <v>150</v>
      </c>
      <c r="L58" s="57" t="s">
        <v>50</v>
      </c>
    </row>
    <row r="59" spans="1:12" ht="142.5">
      <c r="A59" s="27" t="str">
        <v>Q485</v>
      </c>
      <c r="B59" s="28" t="str">
        <v>NY</v>
      </c>
      <c r="C59" s="28" t="str">
        <f>Sites[[#This Row],[SOL'#]]</f>
        <v>SOL-10869</v>
      </c>
      <c r="D59" s="10">
        <v>23492.947499999998</v>
      </c>
      <c r="E59" s="15">
        <v>26113.119999999999</v>
      </c>
      <c r="F59" s="15">
        <f t="shared" si="8"/>
        <v>-2620.1725000000006</v>
      </c>
      <c r="G59" s="16">
        <f t="shared" si="9"/>
        <v>-0.10033931219249177</v>
      </c>
      <c r="H59" s="17">
        <v>31669.23</v>
      </c>
      <c r="I59" s="17">
        <f t="shared" si="10"/>
        <v>-8176.2825000000012</v>
      </c>
      <c r="J59" s="16">
        <f t="shared" si="11"/>
        <v>-0.25817749594795963</v>
      </c>
      <c r="K59" s="59" t="s">
        <v>151</v>
      </c>
      <c r="L59" s="59" t="s">
        <v>152</v>
      </c>
    </row>
    <row r="60" spans="1:12" ht="71.25">
      <c r="A60" s="25" t="str">
        <v>Q490</v>
      </c>
      <c r="B60" s="26" t="str">
        <v>NY</v>
      </c>
      <c r="C60" s="26" t="str">
        <f>Sites[[#This Row],[SOL'#]]</f>
        <v>SOL-10411</v>
      </c>
      <c r="D60" s="21">
        <v>19705.7056880938</v>
      </c>
      <c r="E60" s="11">
        <v>0</v>
      </c>
      <c r="F60" s="11">
        <f t="shared" si="8"/>
        <v>19705.7056880938</v>
      </c>
      <c r="G60" s="12" t="str">
        <f t="shared" si="9"/>
        <v/>
      </c>
      <c r="H60" s="13">
        <v>28902.87</v>
      </c>
      <c r="I60" s="13">
        <f t="shared" si="10"/>
        <v>-9197.1643119061991</v>
      </c>
      <c r="J60" s="14">
        <f t="shared" si="11"/>
        <v>-0.3182093789269439</v>
      </c>
      <c r="K60" s="54" t="s">
        <v>153</v>
      </c>
      <c r="L60" s="57" t="s">
        <v>154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29063.125</v>
      </c>
      <c r="E61" s="15">
        <v>43869.760000000002</v>
      </c>
      <c r="F61" s="15">
        <f t="shared" si="8"/>
        <v>-14806.635000000002</v>
      </c>
      <c r="G61" s="16">
        <f t="shared" si="9"/>
        <v>-0.33751347169439727</v>
      </c>
      <c r="H61" s="17">
        <v>45011.46</v>
      </c>
      <c r="I61" s="17">
        <f t="shared" si="10"/>
        <v>-15948.334999999999</v>
      </c>
      <c r="J61" s="16">
        <f t="shared" si="11"/>
        <v>-0.35431721166120805</v>
      </c>
      <c r="K61" s="59"/>
      <c r="L61" s="6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3142</v>
      </c>
      <c r="E62" s="11">
        <v>0</v>
      </c>
      <c r="F62" s="11">
        <f t="shared" si="8"/>
        <v>3142</v>
      </c>
      <c r="G62" s="12" t="str">
        <f t="shared" si="9"/>
        <v/>
      </c>
      <c r="H62" s="13">
        <v>3731.7240000000002</v>
      </c>
      <c r="I62" s="13">
        <f t="shared" si="10"/>
        <v>-589.72400000000016</v>
      </c>
      <c r="J62" s="14">
        <f t="shared" si="11"/>
        <v>-0.15802990789243795</v>
      </c>
      <c r="K62" s="54"/>
      <c r="L62" s="57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10749.876</v>
      </c>
      <c r="E63" s="15">
        <v>0</v>
      </c>
      <c r="F63" s="15">
        <f t="shared" si="8"/>
        <v>10749.876</v>
      </c>
      <c r="G63" s="16" t="str">
        <f t="shared" si="9"/>
        <v/>
      </c>
      <c r="H63" s="17">
        <v>0</v>
      </c>
      <c r="I63" s="17">
        <f t="shared" si="10"/>
        <v>10749.876</v>
      </c>
      <c r="J63" s="16" t="str">
        <f t="shared" si="11"/>
        <v/>
      </c>
      <c r="K63" s="59"/>
      <c r="L63" s="60"/>
    </row>
    <row r="64" spans="1:12" ht="28.5">
      <c r="A64" s="25" t="str">
        <v>X026</v>
      </c>
      <c r="B64" s="26" t="str">
        <v>NY</v>
      </c>
      <c r="C64" s="26" t="str">
        <f>Sites[[#This Row],[SOL'#]]</f>
        <v>SOL-10420</v>
      </c>
      <c r="D64" s="21">
        <v>8054.2000000000698</v>
      </c>
      <c r="E64" s="11">
        <v>14614.25</v>
      </c>
      <c r="F64" s="11">
        <f t="shared" si="8"/>
        <v>-6560.0499999999302</v>
      </c>
      <c r="G64" s="12">
        <f t="shared" si="9"/>
        <v>-0.44888037360794636</v>
      </c>
      <c r="H64" s="13">
        <v>16730.150000000001</v>
      </c>
      <c r="I64" s="13">
        <f t="shared" si="10"/>
        <v>-8675.9499999999316</v>
      </c>
      <c r="J64" s="14">
        <f t="shared" si="11"/>
        <v>-0.5185817222200596</v>
      </c>
      <c r="K64" s="54" t="s">
        <v>155</v>
      </c>
      <c r="L64" s="57" t="s">
        <v>156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9045.1328124999909</v>
      </c>
      <c r="E65" s="15">
        <v>9690.9269999999997</v>
      </c>
      <c r="F65" s="15">
        <f t="shared" si="8"/>
        <v>-645.79418750000877</v>
      </c>
      <c r="G65" s="16">
        <f t="shared" si="9"/>
        <v>-6.6639051919389014E-2</v>
      </c>
      <c r="H65" s="17">
        <v>11057</v>
      </c>
      <c r="I65" s="17">
        <f t="shared" si="10"/>
        <v>-2011.8671875000091</v>
      </c>
      <c r="J65" s="16">
        <f t="shared" si="11"/>
        <v>-0.181954163651986</v>
      </c>
      <c r="K65" s="59"/>
      <c r="L65" s="60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6764.6000000000304</v>
      </c>
      <c r="E66" s="11">
        <v>12607.26</v>
      </c>
      <c r="F66" s="11">
        <f t="shared" si="8"/>
        <v>-5842.6599999999698</v>
      </c>
      <c r="G66" s="12">
        <f t="shared" si="9"/>
        <v>-0.46343614710888564</v>
      </c>
      <c r="H66" s="13">
        <v>18680.64</v>
      </c>
      <c r="I66" s="13">
        <f t="shared" si="10"/>
        <v>-11916.039999999968</v>
      </c>
      <c r="J66" s="14">
        <f t="shared" si="11"/>
        <v>-0.63788178563475173</v>
      </c>
      <c r="K66" s="54"/>
      <c r="L66" s="57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14000.8125</v>
      </c>
      <c r="E67" s="15">
        <v>21066.57</v>
      </c>
      <c r="F67" s="15">
        <f t="shared" si="8"/>
        <v>-7065.7574999999997</v>
      </c>
      <c r="G67" s="16">
        <f t="shared" si="9"/>
        <v>-0.33540142035461873</v>
      </c>
      <c r="H67" s="17">
        <v>13446.52</v>
      </c>
      <c r="I67" s="17">
        <f t="shared" si="10"/>
        <v>554.29249999999956</v>
      </c>
      <c r="J67" s="16">
        <f t="shared" si="11"/>
        <v>4.1222003908818007E-2</v>
      </c>
      <c r="K67" s="59"/>
      <c r="L67" s="6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12948.28125</v>
      </c>
      <c r="E68" s="11">
        <v>0</v>
      </c>
      <c r="F68" s="11">
        <f t="shared" si="8"/>
        <v>12948.28125</v>
      </c>
      <c r="G68" s="12" t="str">
        <f t="shared" si="9"/>
        <v/>
      </c>
      <c r="H68" s="13">
        <v>0</v>
      </c>
      <c r="I68" s="13">
        <f t="shared" si="10"/>
        <v>12948.28125</v>
      </c>
      <c r="J68" s="14" t="str">
        <f t="shared" si="11"/>
        <v/>
      </c>
      <c r="K68" s="54"/>
      <c r="L68" s="57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9774.890625</v>
      </c>
      <c r="E69" s="15">
        <v>0</v>
      </c>
      <c r="F69" s="15">
        <f t="shared" si="8"/>
        <v>9774.890625</v>
      </c>
      <c r="G69" s="16" t="str">
        <f t="shared" si="9"/>
        <v/>
      </c>
      <c r="H69" s="17">
        <v>0</v>
      </c>
      <c r="I69" s="17">
        <f t="shared" si="10"/>
        <v>9774.890625</v>
      </c>
      <c r="J69" s="16" t="str">
        <f t="shared" si="11"/>
        <v/>
      </c>
      <c r="K69" s="59"/>
      <c r="L69" s="6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17038.219891019799</v>
      </c>
      <c r="E70" s="11">
        <v>22535.35</v>
      </c>
      <c r="F70" s="11">
        <f t="shared" si="8"/>
        <v>-5497.1301089802</v>
      </c>
      <c r="G70" s="12">
        <f t="shared" si="9"/>
        <v>-0.24393364686948285</v>
      </c>
      <c r="H70" s="13">
        <v>28008</v>
      </c>
      <c r="I70" s="13">
        <f t="shared" si="10"/>
        <v>-10969.780108980201</v>
      </c>
      <c r="J70" s="14">
        <f t="shared" si="11"/>
        <v>-0.39166595647601404</v>
      </c>
      <c r="K70" s="54"/>
      <c r="L70" s="57"/>
    </row>
    <row r="71" spans="1:12" ht="42.75">
      <c r="A71" s="27" t="str">
        <v>X140</v>
      </c>
      <c r="B71" s="28" t="str">
        <v>NY</v>
      </c>
      <c r="C71" s="28" t="str">
        <f>Sites[[#This Row],[SOL'#]]</f>
        <v>SOL-10926</v>
      </c>
      <c r="D71" s="10">
        <v>9393.2780000000002</v>
      </c>
      <c r="E71" s="15">
        <v>11697.657999999999</v>
      </c>
      <c r="F71" s="15">
        <f t="shared" si="8"/>
        <v>-2304.3799999999992</v>
      </c>
      <c r="G71" s="16">
        <f t="shared" si="9"/>
        <v>-0.19699498822755798</v>
      </c>
      <c r="H71" s="17">
        <v>11811.069</v>
      </c>
      <c r="I71" s="17">
        <f t="shared" si="10"/>
        <v>-2417.7909999999993</v>
      </c>
      <c r="J71" s="16">
        <f t="shared" si="11"/>
        <v>-0.20470551818806573</v>
      </c>
      <c r="K71" s="59" t="s">
        <v>157</v>
      </c>
      <c r="L71" s="59" t="s">
        <v>158</v>
      </c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10298.799999999999</v>
      </c>
      <c r="E72" s="11">
        <v>14615.42</v>
      </c>
      <c r="F72" s="11">
        <f t="shared" si="8"/>
        <v>-4316.6200000000008</v>
      </c>
      <c r="G72" s="12">
        <f t="shared" si="9"/>
        <v>-0.29534696915996944</v>
      </c>
      <c r="H72" s="13">
        <v>0</v>
      </c>
      <c r="I72" s="13">
        <f t="shared" si="10"/>
        <v>10298.799999999999</v>
      </c>
      <c r="J72" s="14" t="str">
        <f t="shared" si="11"/>
        <v/>
      </c>
      <c r="K72" s="54"/>
      <c r="L72" s="57"/>
    </row>
    <row r="73" spans="1:12" ht="270.75">
      <c r="A73" s="27" t="str">
        <v>Murphy</v>
      </c>
      <c r="B73" s="28" t="str">
        <v>MN</v>
      </c>
      <c r="C73" s="28" t="str">
        <f>Sites[[#This Row],[SOL'#]]</f>
        <v>SOL-10094</v>
      </c>
      <c r="D73" s="10">
        <v>575720</v>
      </c>
      <c r="E73" s="15">
        <v>738454.1</v>
      </c>
      <c r="F73" s="15">
        <f t="shared" si="8"/>
        <v>-162734.09999999998</v>
      </c>
      <c r="G73" s="16">
        <f t="shared" si="9"/>
        <v>-0.22037131353187692</v>
      </c>
      <c r="H73" s="17">
        <v>691411.1</v>
      </c>
      <c r="I73" s="17">
        <f t="shared" si="10"/>
        <v>-115691.09999999998</v>
      </c>
      <c r="J73" s="16">
        <f t="shared" si="11"/>
        <v>-0.16732606693760049</v>
      </c>
      <c r="K73" s="59" t="s">
        <v>159</v>
      </c>
      <c r="L73" s="59" t="s">
        <v>160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579703</v>
      </c>
      <c r="E74" s="11">
        <v>721827.7</v>
      </c>
      <c r="F74" s="11">
        <f t="shared" si="8"/>
        <v>-142124.69999999995</v>
      </c>
      <c r="G74" s="12">
        <f t="shared" si="9"/>
        <v>-0.19689560264866526</v>
      </c>
      <c r="H74" s="13">
        <v>652717.9</v>
      </c>
      <c r="I74" s="13">
        <f t="shared" si="10"/>
        <v>-73014.900000000023</v>
      </c>
      <c r="J74" s="14">
        <f t="shared" si="11"/>
        <v>-0.11186287368555393</v>
      </c>
      <c r="K74" s="54"/>
      <c r="L74" s="57"/>
    </row>
    <row r="75" spans="1:12" ht="57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192892</v>
      </c>
      <c r="E75" s="15">
        <v>264045.63</v>
      </c>
      <c r="F75" s="15">
        <f t="shared" si="8"/>
        <v>-71153.63</v>
      </c>
      <c r="G75" s="16">
        <f t="shared" si="9"/>
        <v>-0.2694747494968957</v>
      </c>
      <c r="H75" s="17">
        <v>220064.68</v>
      </c>
      <c r="I75" s="17">
        <f t="shared" si="10"/>
        <v>-27172.679999999993</v>
      </c>
      <c r="J75" s="16">
        <f t="shared" si="11"/>
        <v>-0.1234758799094884</v>
      </c>
      <c r="K75" s="59" t="s">
        <v>161</v>
      </c>
      <c r="L75" s="59" t="s">
        <v>162</v>
      </c>
    </row>
    <row r="76" spans="1:12" ht="71.25" customHeight="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242237</v>
      </c>
      <c r="E76" s="11">
        <v>291693.36</v>
      </c>
      <c r="F76" s="11">
        <f t="shared" si="8"/>
        <v>-49456.359999999986</v>
      </c>
      <c r="G76" s="12">
        <f t="shared" si="9"/>
        <v>-0.16954914571932658</v>
      </c>
      <c r="H76" s="13">
        <v>209445.59</v>
      </c>
      <c r="I76" s="13">
        <f t="shared" si="10"/>
        <v>32791.410000000003</v>
      </c>
      <c r="J76" s="14">
        <f t="shared" si="11"/>
        <v>0.15656290495302386</v>
      </c>
      <c r="K76" s="54" t="s">
        <v>163</v>
      </c>
      <c r="L76" s="57" t="s">
        <v>164</v>
      </c>
    </row>
    <row r="77" spans="1:12" ht="28.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227358</v>
      </c>
      <c r="E77" s="15">
        <v>253637.61</v>
      </c>
      <c r="F77" s="15">
        <f t="shared" si="8"/>
        <v>-26279.609999999986</v>
      </c>
      <c r="G77" s="16">
        <f t="shared" si="9"/>
        <v>-0.1036108564498774</v>
      </c>
      <c r="H77" s="17">
        <v>194874.12</v>
      </c>
      <c r="I77" s="17">
        <f t="shared" si="10"/>
        <v>32483.880000000005</v>
      </c>
      <c r="J77" s="16">
        <f t="shared" si="11"/>
        <v>0.16669160584278717</v>
      </c>
      <c r="K77" s="59" t="s">
        <v>165</v>
      </c>
      <c r="L77" s="60" t="s">
        <v>166</v>
      </c>
    </row>
    <row r="78" spans="1:12" ht="28.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272809</v>
      </c>
      <c r="E78" s="11">
        <v>302531.58</v>
      </c>
      <c r="F78" s="11">
        <f t="shared" si="8"/>
        <v>-29722.580000000016</v>
      </c>
      <c r="G78" s="12">
        <f t="shared" si="9"/>
        <v>-9.8246206230767755E-2</v>
      </c>
      <c r="H78" s="13">
        <v>223309.11</v>
      </c>
      <c r="I78" s="13">
        <f t="shared" si="10"/>
        <v>49499.890000000014</v>
      </c>
      <c r="J78" s="14">
        <f t="shared" si="11"/>
        <v>0.22166534092585841</v>
      </c>
      <c r="K78" s="54" t="s">
        <v>167</v>
      </c>
      <c r="L78" s="57" t="s">
        <v>168</v>
      </c>
    </row>
    <row r="79" spans="1:12" ht="71.2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191650</v>
      </c>
      <c r="E79" s="15">
        <v>156033.66</v>
      </c>
      <c r="F79" s="15">
        <f t="shared" si="8"/>
        <v>35616.339999999997</v>
      </c>
      <c r="G79" s="16">
        <f t="shared" si="9"/>
        <v>0.22826062017644139</v>
      </c>
      <c r="H79" s="17">
        <v>175660.86</v>
      </c>
      <c r="I79" s="17">
        <f t="shared" si="10"/>
        <v>15989.140000000014</v>
      </c>
      <c r="J79" s="16">
        <f t="shared" si="11"/>
        <v>9.1022781056633875E-2</v>
      </c>
      <c r="K79" s="59" t="s">
        <v>169</v>
      </c>
      <c r="L79" s="59" t="s">
        <v>170</v>
      </c>
    </row>
    <row r="80" spans="1:12" ht="28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231364</v>
      </c>
      <c r="E80" s="11">
        <v>200.4</v>
      </c>
      <c r="F80" s="11">
        <f t="shared" si="8"/>
        <v>231163.6</v>
      </c>
      <c r="G80" s="12">
        <f t="shared" si="9"/>
        <v>1153.5109780439122</v>
      </c>
      <c r="H80" s="13">
        <v>154208.4</v>
      </c>
      <c r="I80" s="13">
        <f t="shared" si="10"/>
        <v>77155.600000000006</v>
      </c>
      <c r="J80" s="14">
        <f t="shared" si="11"/>
        <v>0.50033331517608648</v>
      </c>
      <c r="K80" s="54" t="s">
        <v>171</v>
      </c>
      <c r="L80" s="57"/>
    </row>
    <row r="81" spans="1:12" ht="33" customHeight="1">
      <c r="A81" s="27" t="str">
        <v>Villa Roma 2</v>
      </c>
      <c r="B81" s="28" t="str">
        <v>NY</v>
      </c>
      <c r="C81" s="28" t="str">
        <f>Sites[[#This Row],[SOL'#]]</f>
        <v>SOL-10915</v>
      </c>
      <c r="D81" s="56">
        <v>204180</v>
      </c>
      <c r="E81" s="15">
        <v>244833.94</v>
      </c>
      <c r="F81" s="15">
        <f t="shared" si="8"/>
        <v>-40653.94</v>
      </c>
      <c r="G81" s="16">
        <f t="shared" si="9"/>
        <v>-0.16604699495502953</v>
      </c>
      <c r="H81" s="17">
        <v>149312.26</v>
      </c>
      <c r="I81" s="17">
        <f t="shared" si="10"/>
        <v>54867.739999999991</v>
      </c>
      <c r="J81" s="16">
        <f t="shared" si="11"/>
        <v>0.36746975767428602</v>
      </c>
      <c r="K81" s="59" t="s">
        <v>172</v>
      </c>
      <c r="L81" s="60" t="s">
        <v>173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209440</v>
      </c>
      <c r="E82" s="11">
        <v>242548.32</v>
      </c>
      <c r="F82" s="11">
        <f t="shared" ref="F82:F137" si="12">IF(AND(ISNUMBER(D82),ISNUMBER(E82)), D82-E82, "")</f>
        <v>-33108.320000000007</v>
      </c>
      <c r="G82" s="12">
        <f t="shared" ref="G82:G137" si="13">IFERROR(F82/E82, "")</f>
        <v>-0.13650195556910064</v>
      </c>
      <c r="H82" s="13">
        <v>173775.12</v>
      </c>
      <c r="I82" s="13">
        <f t="shared" ref="I82:I137" si="14">IF(AND(ISNUMBER(D82),ISNUMBER(H82)), D82-H82, "")</f>
        <v>35664.880000000005</v>
      </c>
      <c r="J82" s="14">
        <f t="shared" ref="J82:J137" si="15">IFERROR(I82/H82, "")</f>
        <v>0.20523582432283749</v>
      </c>
      <c r="K82" s="54"/>
      <c r="L82" s="57"/>
    </row>
    <row r="83" spans="1:12" ht="185.2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188205</v>
      </c>
      <c r="E83" s="15">
        <v>225708.02</v>
      </c>
      <c r="F83" s="15">
        <f t="shared" si="12"/>
        <v>-37503.01999999999</v>
      </c>
      <c r="G83" s="16">
        <f t="shared" si="13"/>
        <v>-0.16615723269381386</v>
      </c>
      <c r="H83" s="17">
        <v>211399.74</v>
      </c>
      <c r="I83" s="17">
        <f t="shared" si="14"/>
        <v>-23194.739999999991</v>
      </c>
      <c r="J83" s="16">
        <f t="shared" si="15"/>
        <v>-0.10971981327886209</v>
      </c>
      <c r="K83" s="59" t="s">
        <v>174</v>
      </c>
      <c r="L83" s="60" t="s">
        <v>175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255677</v>
      </c>
      <c r="E84" s="11">
        <v>0</v>
      </c>
      <c r="F84" s="11">
        <f t="shared" si="12"/>
        <v>255677</v>
      </c>
      <c r="G84" s="12" t="str">
        <f t="shared" si="13"/>
        <v/>
      </c>
      <c r="H84" s="13">
        <v>212129.44</v>
      </c>
      <c r="I84" s="13">
        <f t="shared" si="14"/>
        <v>43547.56</v>
      </c>
      <c r="J84" s="14">
        <f t="shared" si="15"/>
        <v>0.20528767718427013</v>
      </c>
      <c r="K84" s="54"/>
      <c r="L84" s="57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205830</v>
      </c>
      <c r="E85" s="15">
        <v>0</v>
      </c>
      <c r="F85" s="15">
        <f t="shared" si="12"/>
        <v>205830</v>
      </c>
      <c r="G85" s="16" t="str">
        <f t="shared" si="13"/>
        <v/>
      </c>
      <c r="H85" s="17">
        <v>100951</v>
      </c>
      <c r="I85" s="17">
        <f t="shared" si="14"/>
        <v>104879</v>
      </c>
      <c r="J85" s="16">
        <f t="shared" si="15"/>
        <v>1.038909966221236</v>
      </c>
      <c r="K85" s="59"/>
      <c r="L85" s="59"/>
    </row>
    <row r="86" spans="1:12" ht="71.25">
      <c r="A86" s="25" t="str">
        <v>Canoga</v>
      </c>
      <c r="B86" s="26" t="str">
        <v>NY</v>
      </c>
      <c r="C86" s="26" t="str">
        <f>Sites[[#This Row],[SOL'#]]</f>
        <v>SOL-10965</v>
      </c>
      <c r="D86" s="21">
        <v>588710</v>
      </c>
      <c r="E86" s="11">
        <v>0</v>
      </c>
      <c r="F86" s="11">
        <f t="shared" si="12"/>
        <v>588710</v>
      </c>
      <c r="G86" s="12" t="str">
        <f t="shared" si="13"/>
        <v/>
      </c>
      <c r="H86" s="13">
        <v>286181</v>
      </c>
      <c r="I86" s="13">
        <f t="shared" si="14"/>
        <v>302529</v>
      </c>
      <c r="J86" s="14">
        <f t="shared" si="15"/>
        <v>1.0571246868240729</v>
      </c>
      <c r="K86" s="54" t="s">
        <v>176</v>
      </c>
      <c r="L86" s="54" t="s">
        <v>177</v>
      </c>
    </row>
    <row r="87" spans="1:12" ht="57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643919</v>
      </c>
      <c r="E87" s="15">
        <v>0</v>
      </c>
      <c r="F87" s="15">
        <f t="shared" si="12"/>
        <v>643919</v>
      </c>
      <c r="G87" s="16" t="str">
        <f t="shared" si="13"/>
        <v/>
      </c>
      <c r="H87" s="17">
        <v>352818</v>
      </c>
      <c r="I87" s="17">
        <f t="shared" si="14"/>
        <v>291101</v>
      </c>
      <c r="J87" s="16">
        <f t="shared" si="15"/>
        <v>0.82507411753368587</v>
      </c>
      <c r="K87" s="59" t="s">
        <v>178</v>
      </c>
      <c r="L87" s="59" t="s">
        <v>179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235734</v>
      </c>
      <c r="E88" s="11">
        <v>0</v>
      </c>
      <c r="F88" s="11">
        <f t="shared" si="12"/>
        <v>235734</v>
      </c>
      <c r="G88" s="12" t="str">
        <f t="shared" si="13"/>
        <v/>
      </c>
      <c r="H88" s="13">
        <v>112628</v>
      </c>
      <c r="I88" s="13">
        <f t="shared" si="14"/>
        <v>123106</v>
      </c>
      <c r="J88" s="14">
        <f t="shared" si="15"/>
        <v>1.093031928117342</v>
      </c>
      <c r="K88" s="54"/>
      <c r="L88" s="54"/>
    </row>
    <row r="89" spans="1:12" ht="71.25">
      <c r="A89" s="27" t="str">
        <v>Henrietta</v>
      </c>
      <c r="B89" s="28" t="str">
        <v>NY</v>
      </c>
      <c r="C89" s="28" t="str">
        <f>Sites[[#This Row],[SOL'#]]</f>
        <v>SOL-10972</v>
      </c>
      <c r="D89" s="56">
        <v>413041</v>
      </c>
      <c r="E89" s="15">
        <v>0</v>
      </c>
      <c r="F89" s="15">
        <f t="shared" si="12"/>
        <v>413041</v>
      </c>
      <c r="G89" s="16" t="str">
        <f t="shared" si="13"/>
        <v/>
      </c>
      <c r="H89" s="17">
        <v>216878</v>
      </c>
      <c r="I89" s="17">
        <f t="shared" si="14"/>
        <v>196163</v>
      </c>
      <c r="J89" s="16">
        <f t="shared" si="15"/>
        <v>0.90448547109434796</v>
      </c>
      <c r="K89" s="59" t="s">
        <v>180</v>
      </c>
      <c r="L89" s="59" t="s">
        <v>181</v>
      </c>
    </row>
    <row r="90" spans="1:12" ht="85.5">
      <c r="A90" s="25" t="str">
        <v>NY 70</v>
      </c>
      <c r="B90" s="26" t="str">
        <v>NY</v>
      </c>
      <c r="C90" s="26" t="str">
        <f>Sites[[#This Row],[SOL'#]]</f>
        <v>SOL-10970</v>
      </c>
      <c r="D90" s="21">
        <v>513047</v>
      </c>
      <c r="E90" s="11">
        <v>0</v>
      </c>
      <c r="F90" s="11">
        <f t="shared" si="12"/>
        <v>513047</v>
      </c>
      <c r="G90" s="12" t="str">
        <f t="shared" si="13"/>
        <v/>
      </c>
      <c r="H90" s="13">
        <v>336952</v>
      </c>
      <c r="I90" s="13">
        <f t="shared" si="14"/>
        <v>176095</v>
      </c>
      <c r="J90" s="14">
        <f t="shared" si="15"/>
        <v>0.52261152923858589</v>
      </c>
      <c r="K90" s="54" t="s">
        <v>182</v>
      </c>
      <c r="L90" s="54" t="s">
        <v>183</v>
      </c>
    </row>
    <row r="91" spans="1:12" ht="85.5">
      <c r="A91" s="27" t="str">
        <v>Reid</v>
      </c>
      <c r="B91" s="28" t="str">
        <v>NY</v>
      </c>
      <c r="C91" s="28" t="str">
        <f>Sites[[#This Row],[SOL'#]]</f>
        <v>SOL-10991</v>
      </c>
      <c r="D91" s="10">
        <v>532878.94852957898</v>
      </c>
      <c r="E91" s="15">
        <v>547634.5</v>
      </c>
      <c r="F91" s="15">
        <f t="shared" si="12"/>
        <v>-14755.551470421022</v>
      </c>
      <c r="G91" s="16">
        <f t="shared" si="13"/>
        <v>-2.6944159782521047E-2</v>
      </c>
      <c r="H91" s="17">
        <v>486135</v>
      </c>
      <c r="I91" s="17">
        <f t="shared" si="14"/>
        <v>46743.948529578978</v>
      </c>
      <c r="J91" s="16">
        <f t="shared" si="15"/>
        <v>9.6154254537482345E-2</v>
      </c>
      <c r="K91" s="59" t="s">
        <v>184</v>
      </c>
      <c r="L91" s="59" t="s">
        <v>185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232615</v>
      </c>
      <c r="E92" s="11">
        <v>0</v>
      </c>
      <c r="F92" s="11">
        <f t="shared" si="12"/>
        <v>232615</v>
      </c>
      <c r="G92" s="12" t="str">
        <f t="shared" si="13"/>
        <v/>
      </c>
      <c r="H92" s="13">
        <v>109835</v>
      </c>
      <c r="I92" s="13">
        <f t="shared" si="14"/>
        <v>122780</v>
      </c>
      <c r="J92" s="14">
        <f t="shared" si="15"/>
        <v>1.1178586060909546</v>
      </c>
      <c r="K92" s="54"/>
      <c r="L92" s="57"/>
    </row>
    <row r="93" spans="1:12" ht="85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573455</v>
      </c>
      <c r="E93" s="15">
        <v>0</v>
      </c>
      <c r="F93" s="15">
        <f t="shared" si="12"/>
        <v>573455</v>
      </c>
      <c r="G93" s="16" t="str">
        <f t="shared" si="13"/>
        <v/>
      </c>
      <c r="H93" s="17">
        <v>302852</v>
      </c>
      <c r="I93" s="17">
        <f t="shared" si="14"/>
        <v>270603</v>
      </c>
      <c r="J93" s="16">
        <f t="shared" si="15"/>
        <v>0.89351564460528576</v>
      </c>
      <c r="K93" s="59" t="s">
        <v>186</v>
      </c>
      <c r="L93" s="59" t="s">
        <v>187</v>
      </c>
    </row>
    <row r="94" spans="1:12" ht="42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556372</v>
      </c>
      <c r="E94" s="11">
        <v>0</v>
      </c>
      <c r="F94" s="11">
        <f t="shared" si="12"/>
        <v>556372</v>
      </c>
      <c r="G94" s="12" t="str">
        <f t="shared" si="13"/>
        <v/>
      </c>
      <c r="H94" s="13">
        <v>325152</v>
      </c>
      <c r="I94" s="13">
        <f t="shared" si="14"/>
        <v>231220</v>
      </c>
      <c r="J94" s="14">
        <f t="shared" si="15"/>
        <v>0.71111357149886822</v>
      </c>
      <c r="K94" s="54" t="s">
        <v>188</v>
      </c>
      <c r="L94" s="57" t="s">
        <v>189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644863</v>
      </c>
      <c r="E95" s="15">
        <v>0</v>
      </c>
      <c r="F95" s="15">
        <f t="shared" si="12"/>
        <v>644863</v>
      </c>
      <c r="G95" s="16" t="str">
        <f t="shared" si="13"/>
        <v/>
      </c>
      <c r="H95" s="17">
        <v>279159</v>
      </c>
      <c r="I95" s="17">
        <f t="shared" si="14"/>
        <v>365704</v>
      </c>
      <c r="J95" s="16">
        <f t="shared" si="15"/>
        <v>1.3100204542930731</v>
      </c>
      <c r="K95" s="59"/>
      <c r="L95" s="6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591798</v>
      </c>
      <c r="E96" s="11">
        <v>0</v>
      </c>
      <c r="F96" s="11">
        <f t="shared" si="12"/>
        <v>591798</v>
      </c>
      <c r="G96" s="12" t="str">
        <f t="shared" si="13"/>
        <v/>
      </c>
      <c r="H96" s="13">
        <v>380649</v>
      </c>
      <c r="I96" s="13">
        <f t="shared" si="14"/>
        <v>211149</v>
      </c>
      <c r="J96" s="14">
        <f t="shared" si="15"/>
        <v>0.55470788048832387</v>
      </c>
      <c r="K96" s="54"/>
      <c r="L96" s="57"/>
    </row>
    <row r="97" spans="1:13" ht="42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614649</v>
      </c>
      <c r="E97" s="15">
        <v>0</v>
      </c>
      <c r="F97" s="15">
        <f t="shared" si="12"/>
        <v>614649</v>
      </c>
      <c r="G97" s="16" t="str">
        <f t="shared" si="13"/>
        <v/>
      </c>
      <c r="H97" s="17">
        <v>364876</v>
      </c>
      <c r="I97" s="17">
        <f t="shared" si="14"/>
        <v>249773</v>
      </c>
      <c r="J97" s="16">
        <f t="shared" si="15"/>
        <v>0.68454214582488293</v>
      </c>
      <c r="K97" s="59" t="s">
        <v>190</v>
      </c>
      <c r="L97" s="60" t="s">
        <v>191</v>
      </c>
    </row>
    <row r="98" spans="1:13" ht="42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279832</v>
      </c>
      <c r="E98" s="11">
        <v>0</v>
      </c>
      <c r="F98" s="11">
        <f t="shared" si="12"/>
        <v>279832</v>
      </c>
      <c r="G98" s="12" t="str">
        <f t="shared" si="13"/>
        <v/>
      </c>
      <c r="H98" s="13">
        <v>148929</v>
      </c>
      <c r="I98" s="13">
        <f t="shared" si="14"/>
        <v>130903</v>
      </c>
      <c r="J98" s="14">
        <f t="shared" si="15"/>
        <v>0.87896245862122224</v>
      </c>
      <c r="K98" s="54" t="s">
        <v>192</v>
      </c>
      <c r="L98" s="57" t="s">
        <v>193</v>
      </c>
    </row>
    <row r="99" spans="1:13" ht="42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399000</v>
      </c>
      <c r="E99" s="15">
        <v>0</v>
      </c>
      <c r="F99" s="15">
        <f t="shared" si="12"/>
        <v>399000</v>
      </c>
      <c r="G99" s="16" t="str">
        <f t="shared" si="13"/>
        <v/>
      </c>
      <c r="H99" s="17">
        <v>209445.59</v>
      </c>
      <c r="I99" s="17">
        <f t="shared" si="14"/>
        <v>189554.41</v>
      </c>
      <c r="J99" s="16">
        <f t="shared" si="15"/>
        <v>0.90502936824785862</v>
      </c>
      <c r="K99" s="59" t="s">
        <v>194</v>
      </c>
      <c r="L99" s="60" t="s">
        <v>195</v>
      </c>
    </row>
    <row r="100" spans="1:13" ht="28.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213368</v>
      </c>
      <c r="E100" s="11">
        <v>0</v>
      </c>
      <c r="F100" s="11">
        <f t="shared" si="12"/>
        <v>213368</v>
      </c>
      <c r="G100" s="12" t="str">
        <f t="shared" si="13"/>
        <v/>
      </c>
      <c r="H100" s="13">
        <v>194874.12</v>
      </c>
      <c r="I100" s="13">
        <f t="shared" si="14"/>
        <v>18493.880000000005</v>
      </c>
      <c r="J100" s="14">
        <f t="shared" si="15"/>
        <v>9.4901672936355042E-2</v>
      </c>
      <c r="K100" s="54" t="s">
        <v>196</v>
      </c>
      <c r="L100" s="57" t="s">
        <v>197</v>
      </c>
      <c r="M100" s="31"/>
    </row>
    <row r="101" spans="1:13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661076</v>
      </c>
      <c r="E101" s="15">
        <v>0</v>
      </c>
      <c r="F101" s="15">
        <f t="shared" si="12"/>
        <v>661076</v>
      </c>
      <c r="G101" s="16" t="str">
        <f t="shared" si="13"/>
        <v/>
      </c>
      <c r="H101" s="17">
        <v>292175</v>
      </c>
      <c r="I101" s="17">
        <f t="shared" si="14"/>
        <v>368901</v>
      </c>
      <c r="J101" s="16">
        <f t="shared" si="15"/>
        <v>1.262602892102336</v>
      </c>
      <c r="K101" s="59"/>
      <c r="L101" s="60"/>
    </row>
    <row r="102" spans="1:13" ht="57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380284</v>
      </c>
      <c r="E102" s="11">
        <v>0</v>
      </c>
      <c r="F102" s="11">
        <f t="shared" si="12"/>
        <v>380284</v>
      </c>
      <c r="G102" s="12" t="str">
        <f t="shared" si="13"/>
        <v/>
      </c>
      <c r="H102" s="13">
        <v>305903</v>
      </c>
      <c r="I102" s="13">
        <f t="shared" si="14"/>
        <v>74381</v>
      </c>
      <c r="J102" s="14">
        <f t="shared" si="15"/>
        <v>0.24315224106988162</v>
      </c>
      <c r="K102" s="54" t="s">
        <v>198</v>
      </c>
      <c r="L102" s="57" t="s">
        <v>199</v>
      </c>
    </row>
    <row r="103" spans="1:13" ht="28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236607</v>
      </c>
      <c r="E103" s="15">
        <v>0</v>
      </c>
      <c r="F103" s="15">
        <f t="shared" si="12"/>
        <v>236607</v>
      </c>
      <c r="G103" s="16" t="str">
        <f t="shared" si="13"/>
        <v/>
      </c>
      <c r="H103" s="17">
        <v>223309.11</v>
      </c>
      <c r="I103" s="17">
        <f t="shared" si="14"/>
        <v>13297.890000000014</v>
      </c>
      <c r="J103" s="16">
        <f t="shared" si="15"/>
        <v>5.9549249916405179E-2</v>
      </c>
      <c r="K103" s="59" t="s">
        <v>200</v>
      </c>
      <c r="L103" s="60" t="s">
        <v>201</v>
      </c>
    </row>
    <row r="104" spans="1:13" ht="28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554800</v>
      </c>
      <c r="E104" s="11">
        <v>0</v>
      </c>
      <c r="F104" s="11">
        <f t="shared" si="12"/>
        <v>554800</v>
      </c>
      <c r="G104" s="12" t="str">
        <f t="shared" si="13"/>
        <v/>
      </c>
      <c r="H104" s="13">
        <v>337883</v>
      </c>
      <c r="I104" s="13">
        <f t="shared" si="14"/>
        <v>216917</v>
      </c>
      <c r="J104" s="14">
        <f t="shared" si="15"/>
        <v>0.64198849897745669</v>
      </c>
      <c r="K104" s="54" t="s">
        <v>202</v>
      </c>
      <c r="L104" s="57" t="s">
        <v>203</v>
      </c>
    </row>
    <row r="105" spans="1:13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231858</v>
      </c>
      <c r="E105" s="15">
        <v>0</v>
      </c>
      <c r="F105" s="15">
        <f t="shared" si="12"/>
        <v>231858</v>
      </c>
      <c r="G105" s="16" t="str">
        <f t="shared" si="13"/>
        <v/>
      </c>
      <c r="H105" s="17">
        <v>0</v>
      </c>
      <c r="I105" s="17">
        <f t="shared" si="14"/>
        <v>231858</v>
      </c>
      <c r="J105" s="16" t="str">
        <f t="shared" si="15"/>
        <v/>
      </c>
      <c r="K105" s="59"/>
      <c r="L105" s="59"/>
    </row>
    <row r="106" spans="1:13" ht="61.5" customHeight="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208657</v>
      </c>
      <c r="E106" s="11">
        <v>0</v>
      </c>
      <c r="F106" s="11">
        <f t="shared" si="12"/>
        <v>208657</v>
      </c>
      <c r="G106" s="12" t="str">
        <f t="shared" si="13"/>
        <v/>
      </c>
      <c r="H106" s="13">
        <v>0</v>
      </c>
      <c r="I106" s="13">
        <f t="shared" si="14"/>
        <v>208657</v>
      </c>
      <c r="J106" s="14" t="str">
        <f t="shared" si="15"/>
        <v/>
      </c>
      <c r="K106" s="54" t="s">
        <v>204</v>
      </c>
      <c r="L106" s="57" t="s">
        <v>205</v>
      </c>
    </row>
    <row r="107" spans="1:13" ht="28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42064</v>
      </c>
      <c r="E107" s="15">
        <v>0</v>
      </c>
      <c r="F107" s="15">
        <f t="shared" si="12"/>
        <v>42064</v>
      </c>
      <c r="G107" s="16" t="str">
        <f t="shared" si="13"/>
        <v/>
      </c>
      <c r="H107" s="17">
        <v>0</v>
      </c>
      <c r="I107" s="17">
        <f t="shared" si="14"/>
        <v>42064</v>
      </c>
      <c r="J107" s="16" t="str">
        <f t="shared" si="15"/>
        <v/>
      </c>
      <c r="K107" s="59" t="s">
        <v>206</v>
      </c>
      <c r="L107" s="60" t="s">
        <v>207</v>
      </c>
    </row>
    <row r="108" spans="1:13" ht="57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454121</v>
      </c>
      <c r="E108" s="11">
        <v>0</v>
      </c>
      <c r="F108" s="11">
        <f t="shared" si="12"/>
        <v>454121</v>
      </c>
      <c r="G108" s="12" t="str">
        <f t="shared" si="13"/>
        <v/>
      </c>
      <c r="H108" s="13">
        <v>0</v>
      </c>
      <c r="I108" s="13">
        <f t="shared" si="14"/>
        <v>454121</v>
      </c>
      <c r="J108" s="14" t="str">
        <f t="shared" si="15"/>
        <v/>
      </c>
      <c r="K108" s="54" t="s">
        <v>208</v>
      </c>
      <c r="L108" s="57" t="s">
        <v>209</v>
      </c>
    </row>
    <row r="109" spans="1:13" ht="85.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276167.8</v>
      </c>
      <c r="E109" s="15">
        <v>0</v>
      </c>
      <c r="F109" s="15">
        <f t="shared" si="12"/>
        <v>276167.8</v>
      </c>
      <c r="G109" s="16" t="str">
        <f t="shared" si="13"/>
        <v/>
      </c>
      <c r="H109" s="17">
        <v>0</v>
      </c>
      <c r="I109" s="17">
        <f t="shared" si="14"/>
        <v>276167.8</v>
      </c>
      <c r="J109" s="16" t="str">
        <f t="shared" si="15"/>
        <v/>
      </c>
      <c r="K109" s="59" t="s">
        <v>210</v>
      </c>
      <c r="L109" s="60" t="s">
        <v>211</v>
      </c>
    </row>
    <row r="110" spans="1:13" ht="78" customHeight="1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439556.49</v>
      </c>
      <c r="E110" s="11">
        <v>0</v>
      </c>
      <c r="F110" s="11">
        <f t="shared" si="12"/>
        <v>439556.49</v>
      </c>
      <c r="G110" s="12" t="str">
        <f t="shared" si="13"/>
        <v/>
      </c>
      <c r="H110" s="13">
        <v>0</v>
      </c>
      <c r="I110" s="13">
        <f t="shared" si="14"/>
        <v>439556.49</v>
      </c>
      <c r="J110" s="14" t="str">
        <f t="shared" si="15"/>
        <v/>
      </c>
      <c r="K110" s="57" t="s">
        <v>212</v>
      </c>
      <c r="L110" s="57" t="s">
        <v>213</v>
      </c>
    </row>
    <row r="111" spans="1:13" ht="71.849999999999994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356850.90500000003</v>
      </c>
      <c r="E111" s="15">
        <v>440280.9</v>
      </c>
      <c r="F111" s="15">
        <f t="shared" si="12"/>
        <v>-83429.994999999995</v>
      </c>
      <c r="G111" s="16">
        <f t="shared" si="13"/>
        <v>-0.18949265116883332</v>
      </c>
      <c r="H111" s="17">
        <v>418704.8</v>
      </c>
      <c r="I111" s="17">
        <f t="shared" si="14"/>
        <v>-61853.89499999996</v>
      </c>
      <c r="J111" s="16">
        <f t="shared" si="15"/>
        <v>-0.14772673969823122</v>
      </c>
      <c r="K111" s="59" t="s">
        <v>214</v>
      </c>
      <c r="L111" s="59" t="s">
        <v>215</v>
      </c>
    </row>
    <row r="112" spans="1:13" ht="84.75" customHeight="1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367054.47894736798</v>
      </c>
      <c r="E112" s="11">
        <v>374976.3</v>
      </c>
      <c r="F112" s="11">
        <f t="shared" si="12"/>
        <v>-7921.8210526320036</v>
      </c>
      <c r="G112" s="12">
        <f t="shared" si="13"/>
        <v>-2.112619131564316E-2</v>
      </c>
      <c r="H112" s="13">
        <v>401534</v>
      </c>
      <c r="I112" s="13">
        <f t="shared" si="14"/>
        <v>-34479.521052632015</v>
      </c>
      <c r="J112" s="14">
        <f t="shared" si="15"/>
        <v>-8.5869493125443966E-2</v>
      </c>
      <c r="K112" s="54" t="s">
        <v>216</v>
      </c>
      <c r="L112" s="57" t="s">
        <v>217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2236</v>
      </c>
      <c r="E113" s="15">
        <v>3005.7849999999999</v>
      </c>
      <c r="F113" s="15">
        <f t="shared" si="12"/>
        <v>-769.78499999999985</v>
      </c>
      <c r="G113" s="16">
        <f t="shared" si="13"/>
        <v>-0.25610115161264024</v>
      </c>
      <c r="H113" s="17">
        <v>2654.511</v>
      </c>
      <c r="I113" s="17">
        <f t="shared" si="14"/>
        <v>-418.51099999999997</v>
      </c>
      <c r="J113" s="16">
        <f t="shared" si="15"/>
        <v>-0.15766029976895932</v>
      </c>
      <c r="K113" s="59"/>
      <c r="L113" s="60"/>
    </row>
    <row r="114" spans="1:12" ht="28.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6407.6899999999396</v>
      </c>
      <c r="E114" s="11">
        <v>8966.9449999999997</v>
      </c>
      <c r="F114" s="11">
        <f t="shared" si="12"/>
        <v>-2559.2550000000601</v>
      </c>
      <c r="G114" s="12">
        <f t="shared" si="13"/>
        <v>-0.28540991385584058</v>
      </c>
      <c r="H114" s="13">
        <v>6422.192</v>
      </c>
      <c r="I114" s="13">
        <f t="shared" si="14"/>
        <v>-14.502000000060434</v>
      </c>
      <c r="J114" s="14">
        <f t="shared" si="15"/>
        <v>-2.2581075122108515E-3</v>
      </c>
      <c r="K114" s="54" t="s">
        <v>218</v>
      </c>
      <c r="L114" s="57" t="s">
        <v>219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990</v>
      </c>
      <c r="E115" s="15">
        <v>1021.15</v>
      </c>
      <c r="F115" s="15">
        <f t="shared" si="12"/>
        <v>-31.149999999999977</v>
      </c>
      <c r="G115" s="16">
        <f t="shared" si="13"/>
        <v>-3.050482299368357E-2</v>
      </c>
      <c r="H115" s="17">
        <v>989.09860000000003</v>
      </c>
      <c r="I115" s="17">
        <f t="shared" si="14"/>
        <v>0.90139999999996689</v>
      </c>
      <c r="J115" s="16">
        <f t="shared" si="15"/>
        <v>9.113348254663052E-4</v>
      </c>
      <c r="K115" s="59"/>
      <c r="L115" s="6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1015</v>
      </c>
      <c r="E116" s="11">
        <v>957.60879999999997</v>
      </c>
      <c r="F116" s="11">
        <f t="shared" si="12"/>
        <v>57.391200000000026</v>
      </c>
      <c r="G116" s="12">
        <f t="shared" si="13"/>
        <v>5.9931780075538184E-2</v>
      </c>
      <c r="H116" s="13">
        <v>1030.5930000000001</v>
      </c>
      <c r="I116" s="13">
        <f t="shared" si="14"/>
        <v>-15.593000000000075</v>
      </c>
      <c r="J116" s="14">
        <f t="shared" si="15"/>
        <v>-1.5130124113010736E-2</v>
      </c>
      <c r="K116" s="54"/>
      <c r="L116" s="57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1162</v>
      </c>
      <c r="E117" s="15">
        <v>999.51030000000003</v>
      </c>
      <c r="F117" s="15">
        <f t="shared" si="12"/>
        <v>162.48969999999997</v>
      </c>
      <c r="G117" s="16">
        <f t="shared" si="13"/>
        <v>0.16256931019120061</v>
      </c>
      <c r="H117" s="17">
        <v>1068</v>
      </c>
      <c r="I117" s="17">
        <f t="shared" si="14"/>
        <v>94</v>
      </c>
      <c r="J117" s="16">
        <f t="shared" si="15"/>
        <v>8.8014981273408247E-2</v>
      </c>
      <c r="K117" s="59"/>
      <c r="L117" s="60"/>
    </row>
    <row r="118" spans="1:12" ht="28.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8519</v>
      </c>
      <c r="E118" s="11">
        <v>13058.816000000001</v>
      </c>
      <c r="F118" s="11">
        <f t="shared" si="12"/>
        <v>-4539.8160000000007</v>
      </c>
      <c r="G118" s="12">
        <f t="shared" si="13"/>
        <v>-0.34764376801082125</v>
      </c>
      <c r="H118" s="13">
        <v>2769.31</v>
      </c>
      <c r="I118" s="13">
        <f t="shared" si="14"/>
        <v>5749.6900000000005</v>
      </c>
      <c r="J118" s="14">
        <f t="shared" si="15"/>
        <v>2.0762175415536723</v>
      </c>
      <c r="K118" s="54" t="s">
        <v>220</v>
      </c>
      <c r="L118" s="57" t="s">
        <v>221</v>
      </c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41381</v>
      </c>
      <c r="E119" s="15">
        <v>0</v>
      </c>
      <c r="F119" s="15">
        <f t="shared" si="12"/>
        <v>41381</v>
      </c>
      <c r="G119" s="16" t="str">
        <f t="shared" si="13"/>
        <v/>
      </c>
      <c r="H119" s="17">
        <v>34707.084000000003</v>
      </c>
      <c r="I119" s="17">
        <f t="shared" si="14"/>
        <v>6673.9159999999974</v>
      </c>
      <c r="J119" s="16">
        <f t="shared" si="15"/>
        <v>0.19229261668885803</v>
      </c>
      <c r="K119" s="59"/>
      <c r="L119" s="6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21132</v>
      </c>
      <c r="E120" s="11">
        <v>20852.716</v>
      </c>
      <c r="F120" s="11">
        <f t="shared" si="12"/>
        <v>279.28399999999965</v>
      </c>
      <c r="G120" s="12">
        <f t="shared" si="13"/>
        <v>1.3393171421890542E-2</v>
      </c>
      <c r="H120" s="13">
        <v>23225.645</v>
      </c>
      <c r="I120" s="13">
        <f t="shared" si="14"/>
        <v>-2093.6450000000004</v>
      </c>
      <c r="J120" s="14">
        <f t="shared" si="15"/>
        <v>-9.014367523485356E-2</v>
      </c>
      <c r="K120" s="54"/>
      <c r="L120" s="57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10185</v>
      </c>
      <c r="E121" s="15">
        <v>9559.4519999999993</v>
      </c>
      <c r="F121" s="15">
        <f t="shared" si="12"/>
        <v>625.54800000000068</v>
      </c>
      <c r="G121" s="16">
        <f t="shared" si="13"/>
        <v>6.5437642241417265E-2</v>
      </c>
      <c r="H121" s="17">
        <v>10774.923000000001</v>
      </c>
      <c r="I121" s="17">
        <f t="shared" si="14"/>
        <v>-589.92300000000068</v>
      </c>
      <c r="J121" s="16">
        <f t="shared" si="15"/>
        <v>-5.4749625588971784E-2</v>
      </c>
      <c r="K121" s="59"/>
      <c r="L121" s="6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11085</v>
      </c>
      <c r="E122" s="11">
        <v>9130.9279999999999</v>
      </c>
      <c r="F122" s="11">
        <f t="shared" si="12"/>
        <v>1954.0720000000001</v>
      </c>
      <c r="G122" s="12">
        <f t="shared" si="13"/>
        <v>0.21400584913165455</v>
      </c>
      <c r="H122" s="13">
        <v>10774.923000000001</v>
      </c>
      <c r="I122" s="13">
        <f t="shared" si="14"/>
        <v>310.07699999999932</v>
      </c>
      <c r="J122" s="14">
        <f t="shared" si="15"/>
        <v>2.8777653445876069E-2</v>
      </c>
      <c r="K122" s="54"/>
      <c r="L122" s="57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137720</v>
      </c>
      <c r="E123" s="15">
        <v>139927.70000000001</v>
      </c>
      <c r="F123" s="15">
        <f t="shared" si="12"/>
        <v>-2207.7000000000116</v>
      </c>
      <c r="G123" s="16">
        <f t="shared" si="13"/>
        <v>-1.5777433631797073E-2</v>
      </c>
      <c r="H123" s="17">
        <v>134561.5</v>
      </c>
      <c r="I123" s="17">
        <f t="shared" si="14"/>
        <v>3158.5</v>
      </c>
      <c r="J123" s="16">
        <f t="shared" si="15"/>
        <v>2.3472538579014057E-2</v>
      </c>
      <c r="K123" s="59"/>
      <c r="L123" s="6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145554</v>
      </c>
      <c r="E124" s="11">
        <v>100718.3</v>
      </c>
      <c r="F124" s="11">
        <f t="shared" si="12"/>
        <v>44835.7</v>
      </c>
      <c r="G124" s="12">
        <f t="shared" si="13"/>
        <v>0.44515941988695196</v>
      </c>
      <c r="H124" s="13">
        <v>7485.1170000000002</v>
      </c>
      <c r="I124" s="13">
        <f t="shared" si="14"/>
        <v>138068.883</v>
      </c>
      <c r="J124" s="14">
        <f t="shared" si="15"/>
        <v>18.445788222148032</v>
      </c>
      <c r="K124" s="54"/>
      <c r="L124" s="57"/>
    </row>
    <row r="125" spans="1:12" ht="28.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15313</v>
      </c>
      <c r="E125" s="15">
        <v>14685.7</v>
      </c>
      <c r="F125" s="15">
        <f t="shared" si="12"/>
        <v>627.29999999999927</v>
      </c>
      <c r="G125" s="16">
        <f t="shared" si="13"/>
        <v>4.2715022096324946E-2</v>
      </c>
      <c r="H125" s="17">
        <v>18246</v>
      </c>
      <c r="I125" s="17">
        <f t="shared" si="14"/>
        <v>-2933</v>
      </c>
      <c r="J125" s="16">
        <f t="shared" si="15"/>
        <v>-0.16074756110928423</v>
      </c>
      <c r="K125" s="59" t="s">
        <v>222</v>
      </c>
      <c r="L125" s="60" t="s">
        <v>223</v>
      </c>
    </row>
    <row r="126" spans="1:12" ht="114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46973</v>
      </c>
      <c r="E126" s="11">
        <v>57930.46</v>
      </c>
      <c r="F126" s="11">
        <f t="shared" si="12"/>
        <v>-10957.46</v>
      </c>
      <c r="G126" s="12">
        <f t="shared" si="13"/>
        <v>-0.18914850667507213</v>
      </c>
      <c r="H126" s="13">
        <v>0</v>
      </c>
      <c r="I126" s="13">
        <f t="shared" si="14"/>
        <v>46973</v>
      </c>
      <c r="J126" s="14" t="str">
        <f t="shared" si="15"/>
        <v/>
      </c>
      <c r="K126" s="54" t="s">
        <v>224</v>
      </c>
      <c r="L126" s="57" t="s">
        <v>225</v>
      </c>
    </row>
    <row r="127" spans="1:12" ht="85.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13954</v>
      </c>
      <c r="E127" s="15">
        <v>34576.160000000003</v>
      </c>
      <c r="F127" s="15">
        <f t="shared" si="12"/>
        <v>-20622.160000000003</v>
      </c>
      <c r="G127" s="16">
        <f t="shared" si="13"/>
        <v>-0.59642713360882182</v>
      </c>
      <c r="H127" s="17">
        <v>24282</v>
      </c>
      <c r="I127" s="17">
        <f t="shared" si="14"/>
        <v>-10328</v>
      </c>
      <c r="J127" s="16">
        <f t="shared" si="15"/>
        <v>-0.42533563956840459</v>
      </c>
      <c r="K127" s="59" t="s">
        <v>226</v>
      </c>
      <c r="L127" s="65" t="s">
        <v>227</v>
      </c>
    </row>
    <row r="128" spans="1:12" ht="28.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41241</v>
      </c>
      <c r="E128" s="11">
        <v>35120.870000000003</v>
      </c>
      <c r="F128" s="11">
        <f t="shared" si="12"/>
        <v>6120.1299999999974</v>
      </c>
      <c r="G128" s="12">
        <f t="shared" si="13"/>
        <v>0.1742590659058274</v>
      </c>
      <c r="H128" s="13">
        <v>35874.839999999997</v>
      </c>
      <c r="I128" s="13">
        <f t="shared" si="14"/>
        <v>5366.1600000000035</v>
      </c>
      <c r="J128" s="14">
        <f t="shared" si="15"/>
        <v>0.14958003993885419</v>
      </c>
      <c r="K128" s="54" t="s">
        <v>228</v>
      </c>
      <c r="L128" s="57" t="s">
        <v>229</v>
      </c>
    </row>
    <row r="129" spans="1:12" ht="42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94270.5</v>
      </c>
      <c r="E129" s="15">
        <v>92569.847999999998</v>
      </c>
      <c r="F129" s="15">
        <f t="shared" si="12"/>
        <v>1700.6520000000019</v>
      </c>
      <c r="G129" s="16">
        <f t="shared" si="13"/>
        <v>1.8371554418021751E-2</v>
      </c>
      <c r="H129" s="17">
        <v>73764.990999999995</v>
      </c>
      <c r="I129" s="17">
        <f t="shared" si="14"/>
        <v>20505.509000000005</v>
      </c>
      <c r="J129" s="16">
        <f t="shared" si="15"/>
        <v>0.27798429474491504</v>
      </c>
      <c r="K129" s="59" t="s">
        <v>230</v>
      </c>
      <c r="L129" s="60" t="s">
        <v>231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199486</v>
      </c>
      <c r="E130" s="11">
        <v>198743.2</v>
      </c>
      <c r="F130" s="11">
        <f t="shared" si="12"/>
        <v>742.79999999998836</v>
      </c>
      <c r="G130" s="12">
        <f t="shared" si="13"/>
        <v>3.7374863643132861E-3</v>
      </c>
      <c r="H130" s="13">
        <v>171694.9</v>
      </c>
      <c r="I130" s="13">
        <f t="shared" si="14"/>
        <v>27791.100000000006</v>
      </c>
      <c r="J130" s="14">
        <f t="shared" si="15"/>
        <v>0.16186328190295696</v>
      </c>
      <c r="K130" s="54"/>
      <c r="L130" s="57" t="s">
        <v>232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7683.0969245387796</v>
      </c>
      <c r="E131" s="15">
        <v>9051.2430000000004</v>
      </c>
      <c r="F131" s="15">
        <f t="shared" si="12"/>
        <v>-1368.1460754612208</v>
      </c>
      <c r="G131" s="16">
        <f t="shared" si="13"/>
        <v>-0.15115560099990916</v>
      </c>
      <c r="H131" s="17">
        <v>5578.1639999999998</v>
      </c>
      <c r="I131" s="17">
        <f t="shared" si="14"/>
        <v>2104.9329245387798</v>
      </c>
      <c r="J131" s="16">
        <f t="shared" si="15"/>
        <v>0.37735228375120916</v>
      </c>
      <c r="K131" s="59"/>
      <c r="L131" s="6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6756.0919999999996</v>
      </c>
      <c r="E132" s="11">
        <v>9837.4619999999995</v>
      </c>
      <c r="F132" s="11">
        <f t="shared" si="12"/>
        <v>-3081.37</v>
      </c>
      <c r="G132" s="12">
        <f t="shared" si="13"/>
        <v>-0.31322814766654244</v>
      </c>
      <c r="H132" s="13">
        <v>4705.1850000000004</v>
      </c>
      <c r="I132" s="13">
        <f t="shared" si="14"/>
        <v>2050.9069999999992</v>
      </c>
      <c r="J132" s="14">
        <f t="shared" si="15"/>
        <v>0.43588232981274894</v>
      </c>
      <c r="K132" s="54"/>
      <c r="L132" s="57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4841.2209999999995</v>
      </c>
      <c r="E133" s="15">
        <v>5080.41</v>
      </c>
      <c r="F133" s="15">
        <f t="shared" si="12"/>
        <v>-239.18900000000031</v>
      </c>
      <c r="G133" s="16">
        <f t="shared" si="13"/>
        <v>-4.7080649002738027E-2</v>
      </c>
      <c r="H133" s="17">
        <v>5616.41</v>
      </c>
      <c r="I133" s="17">
        <f t="shared" si="14"/>
        <v>-775.18900000000031</v>
      </c>
      <c r="J133" s="16">
        <f t="shared" si="15"/>
        <v>-0.1380221529411137</v>
      </c>
      <c r="K133" s="59"/>
      <c r="L133" s="6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23245</v>
      </c>
      <c r="E134" s="11">
        <v>23386.526999999998</v>
      </c>
      <c r="F134" s="11">
        <f t="shared" si="12"/>
        <v>-141.52699999999822</v>
      </c>
      <c r="G134" s="12">
        <f t="shared" si="13"/>
        <v>-6.0516467451536618E-3</v>
      </c>
      <c r="H134" s="13">
        <v>10031.109</v>
      </c>
      <c r="I134" s="13">
        <f t="shared" si="14"/>
        <v>13213.891</v>
      </c>
      <c r="J134" s="14">
        <f t="shared" si="15"/>
        <v>1.3172911389956983</v>
      </c>
      <c r="K134" s="54"/>
      <c r="L134" s="57"/>
    </row>
    <row r="135" spans="1:12" ht="28.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24756.5</v>
      </c>
      <c r="E135" s="15">
        <v>28681.8</v>
      </c>
      <c r="F135" s="15">
        <f t="shared" si="12"/>
        <v>-3925.2999999999993</v>
      </c>
      <c r="G135" s="16">
        <f t="shared" si="13"/>
        <v>-0.1368568220962422</v>
      </c>
      <c r="H135" s="17">
        <v>15500.15</v>
      </c>
      <c r="I135" s="17">
        <f t="shared" si="14"/>
        <v>9256.35</v>
      </c>
      <c r="J135" s="16">
        <f t="shared" si="15"/>
        <v>0.59717809182491788</v>
      </c>
      <c r="K135" s="59" t="s">
        <v>233</v>
      </c>
      <c r="L135" s="60" t="s">
        <v>234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20943.878000000001</v>
      </c>
      <c r="E136" s="11">
        <v>28162.888999999999</v>
      </c>
      <c r="F136" s="11">
        <f t="shared" si="12"/>
        <v>-7219.0109999999986</v>
      </c>
      <c r="G136" s="12">
        <f t="shared" si="13"/>
        <v>-0.25633062715973487</v>
      </c>
      <c r="H136" s="13">
        <v>14876.294</v>
      </c>
      <c r="I136" s="13">
        <f t="shared" si="14"/>
        <v>6067.5840000000007</v>
      </c>
      <c r="J136" s="14">
        <f t="shared" si="15"/>
        <v>0.40786932551884231</v>
      </c>
      <c r="K136" s="54"/>
      <c r="L136" s="57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9600.8161760828207</v>
      </c>
      <c r="E137" s="15">
        <v>11954.22</v>
      </c>
      <c r="F137" s="15">
        <f t="shared" si="12"/>
        <v>-2353.4038239171787</v>
      </c>
      <c r="G137" s="16">
        <f t="shared" si="13"/>
        <v>-0.19686803688715607</v>
      </c>
      <c r="H137" s="17">
        <v>6332.8559999999998</v>
      </c>
      <c r="I137" s="17">
        <f t="shared" si="14"/>
        <v>3267.9601760828209</v>
      </c>
      <c r="J137" s="16">
        <f t="shared" si="15"/>
        <v>0.51603260457569555</v>
      </c>
      <c r="K137" s="5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54"/>
      <c r="L138" s="57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5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L161" s="18"/>
    </row>
    <row r="162" spans="1:12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L162" s="18"/>
    </row>
    <row r="163" spans="1:12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L163" s="18"/>
    </row>
    <row r="164" spans="1:12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L164" s="18"/>
    </row>
    <row r="165" spans="1:12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L165" s="18"/>
    </row>
    <row r="166" spans="1:12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L166" s="18"/>
    </row>
    <row r="167" spans="1:12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L167" s="18"/>
    </row>
    <row r="168" spans="1:12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L168" s="18"/>
    </row>
    <row r="169" spans="1:12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L169" s="18"/>
    </row>
    <row r="170" spans="1:12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L170" s="18"/>
    </row>
    <row r="171" spans="1:12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L171" s="18"/>
    </row>
    <row r="172" spans="1:12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L172" s="18"/>
    </row>
    <row r="173" spans="1:12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L173" s="18"/>
    </row>
    <row r="174" spans="1:12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L174" s="18"/>
    </row>
    <row r="175" spans="1:12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L175" s="18"/>
    </row>
    <row r="176" spans="1:12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L176" s="18"/>
    </row>
    <row r="177" spans="1:12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L177" s="18"/>
    </row>
    <row r="178" spans="1:12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L178" s="18"/>
    </row>
    <row r="179" spans="1:12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L179" s="18"/>
    </row>
    <row r="180" spans="1:12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L180" s="18"/>
    </row>
    <row r="181" spans="1:12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L181" s="18"/>
    </row>
    <row r="182" spans="1:12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L182" s="18"/>
    </row>
    <row r="183" spans="1:12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L183" s="18"/>
    </row>
    <row r="184" spans="1:12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L184" s="18"/>
    </row>
    <row r="185" spans="1:12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L185" s="18"/>
    </row>
    <row r="186" spans="1:12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L186" s="18"/>
    </row>
    <row r="187" spans="1:12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L187" s="18"/>
    </row>
    <row r="188" spans="1:12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L188" s="18"/>
    </row>
    <row r="189" spans="1:12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L189" s="18"/>
    </row>
    <row r="190" spans="1:12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L190" s="18"/>
    </row>
    <row r="191" spans="1:12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L191" s="18"/>
    </row>
    <row r="192" spans="1:12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L192" s="18"/>
    </row>
    <row r="193" spans="1:12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L193" s="18"/>
    </row>
    <row r="194" spans="1:12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L194" s="18"/>
    </row>
    <row r="195" spans="1:12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L195" s="18"/>
    </row>
    <row r="196" spans="1:12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L196" s="18"/>
    </row>
    <row r="197" spans="1:12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L197" s="18"/>
    </row>
    <row r="198" spans="1:12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L198" s="18"/>
    </row>
    <row r="199" spans="1:12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L199" s="18"/>
    </row>
    <row r="200" spans="1:12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L200" s="18"/>
    </row>
    <row r="201" spans="1:12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L201" s="18"/>
    </row>
    <row r="202" spans="1:12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L202" s="18"/>
    </row>
    <row r="203" spans="1:12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L203" s="18"/>
    </row>
    <row r="204" spans="1:12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L204" s="18"/>
    </row>
    <row r="205" spans="1:12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L205" s="18"/>
    </row>
    <row r="206" spans="1:12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L206" s="18"/>
    </row>
    <row r="207" spans="1:12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L207" s="18"/>
    </row>
    <row r="208" spans="1:12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L208" s="18"/>
    </row>
    <row r="209" spans="1:12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L209" s="18"/>
    </row>
    <row r="210" spans="1:12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L210" s="18"/>
    </row>
    <row r="211" spans="1:12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L211" s="18"/>
    </row>
    <row r="212" spans="1:12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L212" s="18"/>
    </row>
    <row r="213" spans="1:12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L213" s="18"/>
    </row>
    <row r="214" spans="1:12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L214" s="18"/>
    </row>
    <row r="215" spans="1:12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L215" s="18"/>
    </row>
    <row r="216" spans="1:12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L216" s="18"/>
    </row>
    <row r="217" spans="1:12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L217" s="18"/>
    </row>
    <row r="218" spans="1:12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L218" s="18"/>
    </row>
    <row r="219" spans="1:12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L219" s="18"/>
    </row>
    <row r="220" spans="1:12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L220" s="18"/>
    </row>
    <row r="221" spans="1:12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L221" s="18"/>
    </row>
    <row r="222" spans="1:12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L222" s="18"/>
    </row>
    <row r="223" spans="1:12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L223" s="18"/>
    </row>
    <row r="224" spans="1:12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L224" s="18"/>
    </row>
    <row r="225" spans="1:12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L225" s="18"/>
    </row>
    <row r="226" spans="1:12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L226" s="18"/>
    </row>
    <row r="227" spans="1:12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L227" s="18"/>
    </row>
    <row r="228" spans="1:12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L228" s="18"/>
    </row>
    <row r="229" spans="1:12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L229" s="18"/>
    </row>
    <row r="230" spans="1:12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L230" s="18"/>
    </row>
    <row r="231" spans="1:12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L231" s="18"/>
    </row>
    <row r="232" spans="1:12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L232" s="18"/>
    </row>
    <row r="233" spans="1:12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L233" s="18"/>
    </row>
    <row r="234" spans="1:12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L234" s="18"/>
    </row>
    <row r="235" spans="1:12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L235" s="18"/>
    </row>
    <row r="236" spans="1:12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L236" s="18"/>
    </row>
    <row r="237" spans="1:12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L237" s="18"/>
    </row>
    <row r="238" spans="1:12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L238" s="18"/>
    </row>
    <row r="239" spans="1:12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L239" s="18"/>
    </row>
    <row r="240" spans="1:12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L240" s="18"/>
    </row>
    <row r="241" spans="1:12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L241" s="18"/>
    </row>
    <row r="242" spans="1:12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L242" s="18"/>
    </row>
    <row r="243" spans="1:12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L243" s="18"/>
    </row>
    <row r="244" spans="1:12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L244" s="18"/>
    </row>
    <row r="245" spans="1:12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L245" s="18"/>
    </row>
    <row r="246" spans="1:12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L246" s="18"/>
    </row>
    <row r="247" spans="1:12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L247" s="18"/>
    </row>
    <row r="248" spans="1:12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L248" s="18"/>
    </row>
    <row r="249" spans="1:12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L249" s="18"/>
    </row>
    <row r="250" spans="1:12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L250" s="18"/>
    </row>
    <row r="251" spans="1:12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L251" s="18"/>
    </row>
    <row r="252" spans="1:12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L252" s="18"/>
    </row>
    <row r="253" spans="1:12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L253" s="18"/>
    </row>
    <row r="254" spans="1:12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L254" s="18"/>
    </row>
    <row r="255" spans="1:12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L255" s="18"/>
    </row>
    <row r="256" spans="1:12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L256" s="18"/>
    </row>
    <row r="257" spans="1:12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L257" s="18"/>
    </row>
    <row r="258" spans="1:12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L258" s="18"/>
    </row>
    <row r="259" spans="1:12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L259" s="18"/>
    </row>
    <row r="260" spans="1:12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L260" s="18"/>
    </row>
    <row r="261" spans="1:12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L261" s="18"/>
    </row>
    <row r="262" spans="1:12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L262" s="18"/>
    </row>
    <row r="263" spans="1:12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L263" s="18"/>
    </row>
    <row r="264" spans="1:12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L264" s="18"/>
    </row>
    <row r="265" spans="1:12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L265" s="18"/>
    </row>
    <row r="266" spans="1:12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L266" s="18"/>
    </row>
    <row r="267" spans="1:12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L267" s="18"/>
    </row>
    <row r="268" spans="1:12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L268" s="18"/>
    </row>
    <row r="269" spans="1:12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L269" s="18"/>
    </row>
    <row r="270" spans="1:12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L270" s="18"/>
    </row>
    <row r="271" spans="1:12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L271" s="18"/>
    </row>
    <row r="272" spans="1:12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L272" s="18"/>
    </row>
    <row r="273" spans="1:12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L273" s="18"/>
    </row>
    <row r="274" spans="1:12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L274" s="18"/>
    </row>
    <row r="275" spans="1:12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L275" s="18"/>
    </row>
    <row r="276" spans="1:12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L276" s="18"/>
    </row>
    <row r="277" spans="1:12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L277" s="18"/>
    </row>
    <row r="278" spans="1:12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L278" s="18"/>
    </row>
    <row r="279" spans="1:12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L279" s="18"/>
    </row>
    <row r="280" spans="1:12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L280" s="18"/>
    </row>
    <row r="281" spans="1:12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L281" s="18"/>
    </row>
    <row r="282" spans="1:12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L282" s="18"/>
    </row>
    <row r="283" spans="1:12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L283" s="18"/>
    </row>
    <row r="284" spans="1:12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L284" s="18"/>
    </row>
    <row r="285" spans="1:12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L285" s="18"/>
    </row>
    <row r="286" spans="1:12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L286" s="18"/>
    </row>
    <row r="287" spans="1:12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L287" s="18"/>
    </row>
    <row r="288" spans="1:12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L288" s="18"/>
    </row>
    <row r="289" spans="1:12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L289" s="18"/>
    </row>
    <row r="290" spans="1:12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L290" s="18"/>
    </row>
    <row r="291" spans="1:12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L291" s="18"/>
    </row>
    <row r="292" spans="1:12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L292" s="18"/>
    </row>
    <row r="293" spans="1:12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L293" s="18"/>
    </row>
    <row r="294" spans="1:12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L294" s="18"/>
    </row>
    <row r="295" spans="1:12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L295" s="18"/>
    </row>
    <row r="296" spans="1:12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L296" s="18"/>
    </row>
    <row r="297" spans="1:12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L297" s="18"/>
    </row>
    <row r="298" spans="1:12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L298" s="18"/>
    </row>
    <row r="299" spans="1:12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L299" s="18"/>
    </row>
    <row r="300" spans="1:12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L300" s="18"/>
    </row>
    <row r="301" spans="1:12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L301" s="18"/>
    </row>
    <row r="302" spans="1:12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L302" s="18"/>
    </row>
    <row r="303" spans="1:12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L303" s="18"/>
    </row>
    <row r="304" spans="1:12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L304" s="18"/>
    </row>
    <row r="305" spans="1:12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L305" s="18"/>
    </row>
    <row r="306" spans="1:12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L306" s="18"/>
    </row>
    <row r="307" spans="1:12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L307" s="18"/>
    </row>
    <row r="308" spans="1:12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L308" s="18"/>
    </row>
    <row r="309" spans="1:12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L309" s="18"/>
    </row>
    <row r="310" spans="1:12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L310" s="18"/>
    </row>
    <row r="311" spans="1:12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L311" s="18"/>
    </row>
    <row r="312" spans="1:12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L312" s="18"/>
    </row>
    <row r="313" spans="1:12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L313" s="18"/>
    </row>
    <row r="314" spans="1:12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L314" s="18"/>
    </row>
    <row r="315" spans="1:12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L315" s="18"/>
    </row>
    <row r="316" spans="1:12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L316" s="18"/>
    </row>
    <row r="317" spans="1:12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L317" s="18"/>
    </row>
    <row r="318" spans="1:12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L318" s="18"/>
    </row>
    <row r="319" spans="1:12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L319" s="18"/>
    </row>
    <row r="320" spans="1:12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L320" s="18"/>
    </row>
    <row r="321" spans="1:12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L321" s="18"/>
    </row>
    <row r="322" spans="1:12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L322" s="18"/>
    </row>
    <row r="323" spans="1:12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L323" s="18"/>
    </row>
    <row r="324" spans="1:12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L324" s="18"/>
    </row>
    <row r="325" spans="1:12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L325" s="18"/>
    </row>
    <row r="326" spans="1:12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L326" s="18"/>
    </row>
    <row r="327" spans="1:12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L327" s="18"/>
    </row>
    <row r="328" spans="1:12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L328" s="18"/>
    </row>
    <row r="329" spans="1:12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L329" s="18"/>
    </row>
    <row r="330" spans="1:12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L330" s="18"/>
    </row>
    <row r="331" spans="1:12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L331" s="18"/>
    </row>
    <row r="332" spans="1:12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L332" s="18"/>
    </row>
    <row r="333" spans="1:12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L333" s="18"/>
    </row>
    <row r="334" spans="1:12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L334" s="18"/>
    </row>
    <row r="335" spans="1:12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L335" s="18"/>
    </row>
    <row r="336" spans="1:12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L336" s="18"/>
    </row>
    <row r="337" spans="1:12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L337" s="18"/>
    </row>
    <row r="338" spans="1:12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L338" s="18"/>
    </row>
    <row r="339" spans="1:12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L339" s="18"/>
    </row>
    <row r="340" spans="1:12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L340" s="18"/>
    </row>
    <row r="341" spans="1:12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L341" s="18"/>
    </row>
    <row r="342" spans="1:12">
      <c r="D342" s="18"/>
      <c r="E342" s="18"/>
      <c r="F342" s="18"/>
      <c r="G342" s="19"/>
      <c r="H342" s="18"/>
      <c r="I342" s="18"/>
      <c r="J342" s="19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46" priority="11" stopIfTrue="1" operator="lessThanOrEqual">
      <formula>-0.1</formula>
    </cfRule>
    <cfRule type="expression" dxfId="45" priority="12">
      <formula>AND(ISNUMBER(G2), G2&gt;=0.1)</formula>
    </cfRule>
  </conditionalFormatting>
  <conditionalFormatting sqref="G4:G160 J4:J160">
    <cfRule type="cellIs" dxfId="44" priority="1" stopIfTrue="1" operator="lessThanOrEqual">
      <formula>-0.1</formula>
    </cfRule>
    <cfRule type="expression" dxfId="43" priority="2">
      <formula>AND(ISNUMBER(G4), G4&gt;=0.1)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8"/>
  <sheetViews>
    <sheetView zoomScale="90" zoomScaleNormal="90" workbookViewId="0">
      <pane xSplit="2" ySplit="3" topLeftCell="E117" activePane="bottomRight" state="frozen"/>
      <selection pane="bottomRight" activeCell="K127" sqref="K127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5" customWidth="1"/>
    <col min="12" max="12" width="24.85546875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235</v>
      </c>
      <c r="F1" s="97"/>
      <c r="G1" s="97"/>
      <c r="H1" s="95" t="s">
        <v>236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SUM(D4:D138)</f>
        <v>21564422.222455598</v>
      </c>
      <c r="E2" s="6">
        <f>SUM(E4:E138)</f>
        <v>8493702.5550000016</v>
      </c>
      <c r="F2" s="6">
        <f>D2-E2</f>
        <v>13070719.667455597</v>
      </c>
      <c r="G2" s="7">
        <f>IFERROR(F2/E2, 0)</f>
        <v>1.5388718386142726</v>
      </c>
      <c r="H2" s="6">
        <f>SUM(H4:H138)</f>
        <v>13919916.714</v>
      </c>
      <c r="I2" s="8">
        <f>D2-H2</f>
        <v>7644505.5084555987</v>
      </c>
      <c r="J2" s="7">
        <f>IFERROR(I2/H2, 0)</f>
        <v>0.54917753213042675</v>
      </c>
      <c r="K2" s="23" t="str">
        <f ca="1">IF(AND(TODAY()&gt;DATE(2024, 3,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13308.393773474299</v>
      </c>
      <c r="E4" s="11">
        <v>9674.8619999999992</v>
      </c>
      <c r="F4" s="11">
        <f>IF(AND(ISNUMBER(D4),ISNUMBER(E4)), D4-E4, "")</f>
        <v>3633.5317734743003</v>
      </c>
      <c r="G4" s="12">
        <f>IFERROR(F4/E4, "")</f>
        <v>0.37556419652025019</v>
      </c>
      <c r="H4" s="13">
        <v>13365.37</v>
      </c>
      <c r="I4" s="13">
        <f>IF(AND(ISNUMBER(D4),ISNUMBER(H4)), D4-H4, "")</f>
        <v>-56.97622652570135</v>
      </c>
      <c r="J4" s="14">
        <f>IFERROR(I4/H4, "")</f>
        <v>-4.2629741283407305E-3</v>
      </c>
      <c r="K4" s="38"/>
      <c r="L4" s="38"/>
    </row>
    <row r="5" spans="1:12" ht="28.5">
      <c r="A5" s="27" t="str">
        <v>Fulton</v>
      </c>
      <c r="B5" s="28" t="str">
        <v>AZ</v>
      </c>
      <c r="C5" s="28" t="str">
        <f>Sites[[#This Row],[SOL'#]]</f>
        <v>SOL-10749</v>
      </c>
      <c r="D5" s="10">
        <v>47793.75</v>
      </c>
      <c r="E5" s="15">
        <v>47630.080000000002</v>
      </c>
      <c r="F5" s="15">
        <f t="shared" ref="F5:F13" si="0">IF(AND(ISNUMBER(D5),ISNUMBER(E5)), D5-E5, "")</f>
        <v>163.66999999999825</v>
      </c>
      <c r="G5" s="16">
        <f>IFERROR(F5/E5, "")</f>
        <v>3.4362738840665028E-3</v>
      </c>
      <c r="H5" s="17">
        <v>59035.29</v>
      </c>
      <c r="I5" s="17">
        <f t="shared" ref="I5:I17" si="1">IF(AND(ISNUMBER(D5),ISNUMBER(H5)), D5-H5, "")</f>
        <v>-11241.54</v>
      </c>
      <c r="J5" s="16">
        <f t="shared" ref="J5:J17" si="2">IFERROR(I5/H5, "")</f>
        <v>-0.19042067888545988</v>
      </c>
      <c r="K5" s="39" t="s">
        <v>237</v>
      </c>
      <c r="L5" s="39" t="s">
        <v>238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19927</v>
      </c>
      <c r="E6" s="11">
        <v>0</v>
      </c>
      <c r="F6" s="11">
        <f t="shared" si="0"/>
        <v>19927</v>
      </c>
      <c r="G6" s="12" t="str">
        <f t="shared" ref="G6:G13" si="3">IFERROR(F6/E6, "")</f>
        <v/>
      </c>
      <c r="H6" s="13">
        <v>2277</v>
      </c>
      <c r="I6" s="13">
        <f t="shared" si="1"/>
        <v>17650</v>
      </c>
      <c r="J6" s="14">
        <f t="shared" si="2"/>
        <v>7.7514273166447083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12445.343023461901</v>
      </c>
      <c r="E7" s="15">
        <v>16497.39</v>
      </c>
      <c r="F7" s="15">
        <f t="shared" si="0"/>
        <v>-4052.0469765380985</v>
      </c>
      <c r="G7" s="16">
        <f t="shared" si="3"/>
        <v>-0.24561745685457509</v>
      </c>
      <c r="H7" s="17">
        <v>14907.2</v>
      </c>
      <c r="I7" s="17">
        <f t="shared" si="1"/>
        <v>-2461.8569765380998</v>
      </c>
      <c r="J7" s="16">
        <f t="shared" si="2"/>
        <v>-0.16514549858713237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31608.79</v>
      </c>
      <c r="E8" s="11">
        <v>33379.620000000003</v>
      </c>
      <c r="F8" s="11">
        <f t="shared" si="0"/>
        <v>-1770.8300000000017</v>
      </c>
      <c r="G8" s="12">
        <f t="shared" si="3"/>
        <v>-5.3051233057776023E-2</v>
      </c>
      <c r="H8" s="13">
        <v>34093.980000000003</v>
      </c>
      <c r="I8" s="13">
        <f t="shared" si="1"/>
        <v>-2485.1900000000023</v>
      </c>
      <c r="J8" s="14">
        <f t="shared" si="2"/>
        <v>-7.2892340524632268E-2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29990.231515660002</v>
      </c>
      <c r="E9" s="15">
        <v>22677.51</v>
      </c>
      <c r="F9" s="15">
        <f t="shared" si="0"/>
        <v>7312.7215156600032</v>
      </c>
      <c r="G9" s="16">
        <f t="shared" si="3"/>
        <v>0.32246580491685389</v>
      </c>
      <c r="H9" s="17">
        <v>31562.71</v>
      </c>
      <c r="I9" s="17">
        <f t="shared" si="1"/>
        <v>-1572.4784843399975</v>
      </c>
      <c r="J9" s="16">
        <f t="shared" si="2"/>
        <v>-4.9820769013180347E-2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13032.2579350591</v>
      </c>
      <c r="E10" s="11">
        <v>9418.3690000000006</v>
      </c>
      <c r="F10" s="11">
        <f t="shared" si="0"/>
        <v>3613.8889350590998</v>
      </c>
      <c r="G10" s="12">
        <f t="shared" si="3"/>
        <v>0.38370645013580373</v>
      </c>
      <c r="H10" s="13">
        <v>12913</v>
      </c>
      <c r="I10" s="13">
        <f t="shared" si="1"/>
        <v>119.25793505910042</v>
      </c>
      <c r="J10" s="14">
        <f t="shared" si="2"/>
        <v>9.2354940803144447E-3</v>
      </c>
      <c r="K10" s="38"/>
      <c r="L10" s="38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7256.8</v>
      </c>
      <c r="E11" s="15">
        <v>0</v>
      </c>
      <c r="F11" s="15">
        <f t="shared" si="0"/>
        <v>7256.8</v>
      </c>
      <c r="G11" s="16" t="str">
        <f t="shared" si="3"/>
        <v/>
      </c>
      <c r="H11" s="17">
        <v>0</v>
      </c>
      <c r="I11" s="17">
        <f t="shared" si="1"/>
        <v>7256.8</v>
      </c>
      <c r="J11" s="16" t="str">
        <f t="shared" si="2"/>
        <v/>
      </c>
      <c r="K11" s="39" t="s">
        <v>239</v>
      </c>
      <c r="L11" s="58" t="s">
        <v>240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80804</v>
      </c>
      <c r="E12" s="11">
        <v>98396.27</v>
      </c>
      <c r="F12" s="11">
        <f t="shared" si="0"/>
        <v>-17592.270000000004</v>
      </c>
      <c r="G12" s="12">
        <f t="shared" si="3"/>
        <v>-0.17879000901152048</v>
      </c>
      <c r="H12" s="13">
        <v>90210</v>
      </c>
      <c r="I12" s="13">
        <f t="shared" si="1"/>
        <v>-9406</v>
      </c>
      <c r="J12" s="14">
        <f t="shared" si="2"/>
        <v>-0.10426781953220264</v>
      </c>
      <c r="K12" s="38" t="s">
        <v>241</v>
      </c>
      <c r="L12" s="38" t="s">
        <v>242</v>
      </c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88565.4296875</v>
      </c>
      <c r="E13" s="15">
        <v>122677.1</v>
      </c>
      <c r="F13" s="15">
        <f t="shared" si="0"/>
        <v>-34111.670312500006</v>
      </c>
      <c r="G13" s="16">
        <f t="shared" si="3"/>
        <v>-0.27806061858733216</v>
      </c>
      <c r="H13" s="17">
        <v>96046</v>
      </c>
      <c r="I13" s="17">
        <f t="shared" si="1"/>
        <v>-7480.5703125</v>
      </c>
      <c r="J13" s="16">
        <f t="shared" si="2"/>
        <v>-7.7885287388334751E-2</v>
      </c>
      <c r="K13" s="39" t="s">
        <v>243</v>
      </c>
      <c r="L13" s="40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18579.5</v>
      </c>
      <c r="E14" s="11">
        <v>0</v>
      </c>
      <c r="F14" s="11">
        <f t="shared" ref="F14:F77" si="4">IF(AND(ISNUMBER(D14),ISNUMBER(E14)), D14-E14, "")</f>
        <v>18579.5</v>
      </c>
      <c r="G14" s="12" t="str">
        <f t="shared" ref="G14:G77" si="5">IFERROR(F14/E14, "")</f>
        <v/>
      </c>
      <c r="H14" s="13">
        <v>22628</v>
      </c>
      <c r="I14" s="13">
        <f t="shared" si="1"/>
        <v>-4048.5</v>
      </c>
      <c r="J14" s="14">
        <f t="shared" si="2"/>
        <v>-0.17891550291674033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15507.2588129833</v>
      </c>
      <c r="E15" s="15">
        <v>0</v>
      </c>
      <c r="F15" s="15">
        <f t="shared" si="4"/>
        <v>15507.2588129833</v>
      </c>
      <c r="G15" s="16" t="str">
        <f t="shared" si="5"/>
        <v/>
      </c>
      <c r="H15" s="17">
        <v>16233</v>
      </c>
      <c r="I15" s="17">
        <f t="shared" si="1"/>
        <v>-725.74118701669977</v>
      </c>
      <c r="J15" s="16">
        <f t="shared" si="2"/>
        <v>-4.4707767326846531E-2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10729.978462409499</v>
      </c>
      <c r="E16" s="11">
        <v>0</v>
      </c>
      <c r="F16" s="11">
        <f t="shared" si="4"/>
        <v>10729.978462409499</v>
      </c>
      <c r="G16" s="12" t="str">
        <f t="shared" si="5"/>
        <v/>
      </c>
      <c r="H16" s="13">
        <v>12721</v>
      </c>
      <c r="I16" s="13">
        <f t="shared" si="1"/>
        <v>-1991.0215375905009</v>
      </c>
      <c r="J16" s="14">
        <f t="shared" si="2"/>
        <v>-0.15651454583684465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73238.5</v>
      </c>
      <c r="E17" s="15">
        <v>0</v>
      </c>
      <c r="F17" s="15">
        <f t="shared" si="4"/>
        <v>73238.5</v>
      </c>
      <c r="G17" s="16" t="str">
        <f t="shared" si="5"/>
        <v/>
      </c>
      <c r="H17" s="17">
        <v>41460</v>
      </c>
      <c r="I17" s="17">
        <f t="shared" si="1"/>
        <v>31778.5</v>
      </c>
      <c r="J17" s="16">
        <f t="shared" si="2"/>
        <v>0.76648576941630486</v>
      </c>
      <c r="K17" s="59" t="s">
        <v>133</v>
      </c>
      <c r="L17" s="60" t="s">
        <v>134</v>
      </c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35577.629999999997</v>
      </c>
      <c r="E18" s="11">
        <v>0</v>
      </c>
      <c r="F18" s="11">
        <f t="shared" si="4"/>
        <v>35577.629999999997</v>
      </c>
      <c r="G18" s="12" t="str">
        <f t="shared" si="5"/>
        <v/>
      </c>
      <c r="H18" s="13">
        <v>11830</v>
      </c>
      <c r="I18" s="13">
        <f t="shared" ref="I18:I81" si="6">IF(AND(ISNUMBER(D18),ISNUMBER(H18)), D18-H18, "")</f>
        <v>23747.629999999997</v>
      </c>
      <c r="J18" s="14">
        <f t="shared" ref="J18:J81" si="7">IFERROR(I18/H18, "")</f>
        <v>2.0074074387151306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91724</v>
      </c>
      <c r="E19" s="15">
        <v>104793.2</v>
      </c>
      <c r="F19" s="15">
        <f t="shared" si="4"/>
        <v>-13069.199999999997</v>
      </c>
      <c r="G19" s="16">
        <f t="shared" si="5"/>
        <v>-0.12471419901291303</v>
      </c>
      <c r="H19" s="17">
        <v>97751.63</v>
      </c>
      <c r="I19" s="17">
        <f t="shared" si="6"/>
        <v>-6027.6300000000047</v>
      </c>
      <c r="J19" s="16">
        <f t="shared" si="7"/>
        <v>-6.1662705777898584E-2</v>
      </c>
      <c r="K19" s="39" t="s">
        <v>245</v>
      </c>
      <c r="L19" s="40" t="s">
        <v>246</v>
      </c>
    </row>
    <row r="20" spans="1:12" ht="28.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23580</v>
      </c>
      <c r="E20" s="11">
        <v>28965.39</v>
      </c>
      <c r="F20" s="11">
        <f t="shared" si="4"/>
        <v>-5385.3899999999994</v>
      </c>
      <c r="G20" s="12">
        <f t="shared" si="5"/>
        <v>-0.18592499531337225</v>
      </c>
      <c r="H20" s="13">
        <v>27277.07</v>
      </c>
      <c r="I20" s="13">
        <f t="shared" si="6"/>
        <v>-3697.0699999999997</v>
      </c>
      <c r="J20" s="14">
        <f t="shared" si="7"/>
        <v>-0.13553765122133718</v>
      </c>
      <c r="K20" s="38" t="s">
        <v>247</v>
      </c>
      <c r="L20" s="38" t="s">
        <v>248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28425.479066985499</v>
      </c>
      <c r="E21" s="15">
        <v>30650.36</v>
      </c>
      <c r="F21" s="15">
        <f t="shared" si="4"/>
        <v>-2224.8809330145014</v>
      </c>
      <c r="G21" s="16">
        <f t="shared" si="5"/>
        <v>-7.2589063652580305E-2</v>
      </c>
      <c r="H21" s="17">
        <v>33455.97</v>
      </c>
      <c r="I21" s="17">
        <f t="shared" si="6"/>
        <v>-5030.4909330145019</v>
      </c>
      <c r="J21" s="16">
        <f t="shared" si="7"/>
        <v>-0.15036153287483525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21206.447851562501</v>
      </c>
      <c r="E22" s="11">
        <v>0</v>
      </c>
      <c r="F22" s="11">
        <f t="shared" si="4"/>
        <v>21206.447851562501</v>
      </c>
      <c r="G22" s="12" t="str">
        <f t="shared" si="5"/>
        <v/>
      </c>
      <c r="H22" s="13">
        <v>0</v>
      </c>
      <c r="I22" s="13">
        <f t="shared" si="6"/>
        <v>21206.447851562501</v>
      </c>
      <c r="J22" s="14" t="str">
        <f t="shared" si="7"/>
        <v/>
      </c>
      <c r="K22" s="38" t="s">
        <v>249</v>
      </c>
      <c r="L22" s="38" t="s">
        <v>250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24755.875</v>
      </c>
      <c r="E23" s="15">
        <v>26350.82</v>
      </c>
      <c r="F23" s="15">
        <f t="shared" si="4"/>
        <v>-1594.9449999999997</v>
      </c>
      <c r="G23" s="16">
        <f t="shared" si="5"/>
        <v>-6.0527338428177938E-2</v>
      </c>
      <c r="H23" s="17">
        <v>31320</v>
      </c>
      <c r="I23" s="17">
        <f t="shared" si="6"/>
        <v>-6564.125</v>
      </c>
      <c r="J23" s="16">
        <f t="shared" si="7"/>
        <v>-0.20958253512132821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20851.625</v>
      </c>
      <c r="E24" s="11">
        <v>21154.39</v>
      </c>
      <c r="F24" s="11">
        <f t="shared" si="4"/>
        <v>-302.76499999999942</v>
      </c>
      <c r="G24" s="12">
        <f t="shared" si="5"/>
        <v>-1.4312159320122178E-2</v>
      </c>
      <c r="H24" s="13">
        <v>20987.87</v>
      </c>
      <c r="I24" s="13">
        <f t="shared" si="6"/>
        <v>-136.24499999999898</v>
      </c>
      <c r="J24" s="14">
        <f t="shared" si="7"/>
        <v>-6.4916068186051746E-3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v>5488.1328125</v>
      </c>
      <c r="E25" s="15">
        <v>9789.2029999999995</v>
      </c>
      <c r="F25" s="15">
        <f t="shared" si="4"/>
        <v>-4301.0701874999995</v>
      </c>
      <c r="G25" s="16">
        <f t="shared" si="5"/>
        <v>-0.43936878083946157</v>
      </c>
      <c r="H25" s="17">
        <v>6974.866</v>
      </c>
      <c r="I25" s="17">
        <f t="shared" si="6"/>
        <v>-1486.7331875</v>
      </c>
      <c r="J25" s="16">
        <f t="shared" si="7"/>
        <v>-0.21315580650581675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8147.359375</v>
      </c>
      <c r="E26" s="11">
        <v>8137.5910000000003</v>
      </c>
      <c r="F26" s="11">
        <f t="shared" si="4"/>
        <v>9.7683749999996508</v>
      </c>
      <c r="G26" s="12">
        <f t="shared" si="5"/>
        <v>1.2004013227009873E-3</v>
      </c>
      <c r="H26" s="13">
        <v>1533</v>
      </c>
      <c r="I26" s="13">
        <f t="shared" si="6"/>
        <v>6614.359375</v>
      </c>
      <c r="J26" s="14">
        <f t="shared" si="7"/>
        <v>4.3146506033920415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28664.125</v>
      </c>
      <c r="E27" s="15">
        <v>30585.97</v>
      </c>
      <c r="F27" s="15">
        <f t="shared" si="4"/>
        <v>-1921.8450000000012</v>
      </c>
      <c r="G27" s="16">
        <f t="shared" si="5"/>
        <v>-6.2834201432879225E-2</v>
      </c>
      <c r="H27" s="17">
        <v>32101.71</v>
      </c>
      <c r="I27" s="17">
        <f t="shared" si="6"/>
        <v>-3437.5849999999991</v>
      </c>
      <c r="J27" s="16">
        <f t="shared" si="7"/>
        <v>-0.1070841709055374</v>
      </c>
      <c r="K27" s="39"/>
      <c r="L27" s="40"/>
    </row>
    <row r="28" spans="1:12" ht="28.5">
      <c r="A28" s="25" t="str">
        <v>K206</v>
      </c>
      <c r="B28" s="26" t="str">
        <v>NY</v>
      </c>
      <c r="C28" s="26" t="str">
        <f>Sites[[#This Row],[SOL'#]]</f>
        <v>SOL-10927</v>
      </c>
      <c r="D28" s="21">
        <v>12626.635224609399</v>
      </c>
      <c r="E28" s="11">
        <v>0</v>
      </c>
      <c r="F28" s="11">
        <f t="shared" si="4"/>
        <v>12626.635224609399</v>
      </c>
      <c r="G28" s="12" t="str">
        <f t="shared" si="5"/>
        <v/>
      </c>
      <c r="H28" s="13">
        <v>0</v>
      </c>
      <c r="I28" s="13">
        <f t="shared" si="6"/>
        <v>12626.635224609399</v>
      </c>
      <c r="J28" s="14" t="str">
        <f t="shared" si="7"/>
        <v/>
      </c>
      <c r="K28" s="38" t="s">
        <v>251</v>
      </c>
      <c r="L28" s="38" t="s">
        <v>252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14358.09375</v>
      </c>
      <c r="E29" s="15">
        <v>18723.29</v>
      </c>
      <c r="F29" s="15">
        <f t="shared" si="4"/>
        <v>-4365.1962500000009</v>
      </c>
      <c r="G29" s="16">
        <f t="shared" si="5"/>
        <v>-0.23314258605191721</v>
      </c>
      <c r="H29" s="17">
        <v>18132.59</v>
      </c>
      <c r="I29" s="17">
        <f t="shared" si="6"/>
        <v>-3774.4962500000001</v>
      </c>
      <c r="J29" s="16">
        <f t="shared" si="7"/>
        <v>-0.20816089979423791</v>
      </c>
      <c r="K29" s="39" t="s">
        <v>253</v>
      </c>
      <c r="L29" s="39" t="s">
        <v>254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17329.84375</v>
      </c>
      <c r="E30" s="11">
        <v>0</v>
      </c>
      <c r="F30" s="11">
        <f t="shared" si="4"/>
        <v>17329.84375</v>
      </c>
      <c r="G30" s="12" t="str">
        <f t="shared" si="5"/>
        <v/>
      </c>
      <c r="H30" s="13">
        <v>20269.12</v>
      </c>
      <c r="I30" s="13">
        <f t="shared" si="6"/>
        <v>-2939.276249999999</v>
      </c>
      <c r="J30" s="14">
        <f t="shared" si="7"/>
        <v>-0.14501252397736059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19692.9375</v>
      </c>
      <c r="E31" s="15">
        <v>0</v>
      </c>
      <c r="F31" s="15">
        <f t="shared" si="4"/>
        <v>19692.9375</v>
      </c>
      <c r="G31" s="16" t="str">
        <f t="shared" si="5"/>
        <v/>
      </c>
      <c r="H31" s="17">
        <v>20381</v>
      </c>
      <c r="I31" s="17">
        <f t="shared" si="6"/>
        <v>-688.0625</v>
      </c>
      <c r="J31" s="16">
        <f t="shared" si="7"/>
        <v>-3.3759997056081646E-2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15267.03125</v>
      </c>
      <c r="E32" s="11">
        <v>12956.46</v>
      </c>
      <c r="F32" s="11">
        <f t="shared" si="4"/>
        <v>2310.5712500000009</v>
      </c>
      <c r="G32" s="12">
        <f t="shared" si="5"/>
        <v>0.17833353014635178</v>
      </c>
      <c r="H32" s="13">
        <v>0</v>
      </c>
      <c r="I32" s="13">
        <f t="shared" si="6"/>
        <v>15267.03125</v>
      </c>
      <c r="J32" s="14" t="str">
        <f t="shared" si="7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16562.984375</v>
      </c>
      <c r="E33" s="15">
        <v>17371.77</v>
      </c>
      <c r="F33" s="15">
        <f t="shared" si="4"/>
        <v>-808.78562500000044</v>
      </c>
      <c r="G33" s="16">
        <f t="shared" si="5"/>
        <v>-4.6557467949437534E-2</v>
      </c>
      <c r="H33" s="17">
        <v>0</v>
      </c>
      <c r="I33" s="17">
        <f t="shared" si="6"/>
        <v>16562.984375</v>
      </c>
      <c r="J33" s="16" t="str">
        <f t="shared" si="7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15979.40625</v>
      </c>
      <c r="E34" s="11">
        <v>18687.03</v>
      </c>
      <c r="F34" s="11">
        <f t="shared" si="4"/>
        <v>-2707.6237499999988</v>
      </c>
      <c r="G34" s="12">
        <f t="shared" si="5"/>
        <v>-0.14489320935429542</v>
      </c>
      <c r="H34" s="13">
        <v>21169</v>
      </c>
      <c r="I34" s="13">
        <f t="shared" si="6"/>
        <v>-5189.59375</v>
      </c>
      <c r="J34" s="14">
        <f t="shared" si="7"/>
        <v>-0.2451506330010865</v>
      </c>
      <c r="K34" s="38" t="s">
        <v>255</v>
      </c>
      <c r="L34" s="38" t="s">
        <v>256</v>
      </c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18286.3622460937</v>
      </c>
      <c r="E35" s="15">
        <v>12310.74</v>
      </c>
      <c r="F35" s="15">
        <f t="shared" si="4"/>
        <v>5975.6222460937006</v>
      </c>
      <c r="G35" s="16">
        <f t="shared" si="5"/>
        <v>0.48539911054036561</v>
      </c>
      <c r="H35" s="17">
        <v>10903</v>
      </c>
      <c r="I35" s="17">
        <f t="shared" si="6"/>
        <v>7383.3622460937004</v>
      </c>
      <c r="J35" s="16">
        <f t="shared" si="7"/>
        <v>0.67718630157696968</v>
      </c>
      <c r="K35" s="39" t="s">
        <v>257</v>
      </c>
      <c r="L35" s="40" t="s">
        <v>258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16171.765625</v>
      </c>
      <c r="E36" s="11">
        <v>17957.29</v>
      </c>
      <c r="F36" s="11">
        <f t="shared" si="4"/>
        <v>-1785.5243750000009</v>
      </c>
      <c r="G36" s="12">
        <f t="shared" si="5"/>
        <v>-9.9431728005729192E-2</v>
      </c>
      <c r="H36" s="13">
        <v>20544.73</v>
      </c>
      <c r="I36" s="13">
        <f t="shared" si="6"/>
        <v>-4372.9643749999996</v>
      </c>
      <c r="J36" s="14">
        <f t="shared" si="7"/>
        <v>-0.21285090507395327</v>
      </c>
      <c r="K36" s="38"/>
      <c r="L36" s="38"/>
    </row>
    <row r="37" spans="1:12" ht="42.75">
      <c r="A37" s="27" t="str">
        <v>K495</v>
      </c>
      <c r="B37" s="28" t="str">
        <v>NY</v>
      </c>
      <c r="C37" s="28" t="str">
        <f>Sites[[#This Row],[SOL'#]]</f>
        <v>SOL-10374</v>
      </c>
      <c r="D37" s="10">
        <v>60571.1875</v>
      </c>
      <c r="E37" s="15">
        <v>0</v>
      </c>
      <c r="F37" s="15">
        <f t="shared" si="4"/>
        <v>60571.1875</v>
      </c>
      <c r="G37" s="16" t="str">
        <f t="shared" si="5"/>
        <v/>
      </c>
      <c r="H37" s="17">
        <v>0</v>
      </c>
      <c r="I37" s="17">
        <f t="shared" si="6"/>
        <v>60571.1875</v>
      </c>
      <c r="J37" s="16" t="str">
        <f t="shared" si="7"/>
        <v/>
      </c>
      <c r="K37" s="61" t="s">
        <v>259</v>
      </c>
      <c r="L37" s="62" t="s">
        <v>260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16848.0625</v>
      </c>
      <c r="E38" s="11">
        <v>15388.65</v>
      </c>
      <c r="F38" s="11">
        <f t="shared" si="4"/>
        <v>1459.4125000000004</v>
      </c>
      <c r="G38" s="12">
        <f t="shared" si="5"/>
        <v>9.4836941512088477E-2</v>
      </c>
      <c r="H38" s="13">
        <v>0</v>
      </c>
      <c r="I38" s="13">
        <f t="shared" si="6"/>
        <v>16848.0625</v>
      </c>
      <c r="J38" s="14" t="str">
        <f t="shared" si="7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16658.0625</v>
      </c>
      <c r="E39" s="15">
        <v>18158.13</v>
      </c>
      <c r="F39" s="15">
        <f t="shared" si="4"/>
        <v>-1500.067500000001</v>
      </c>
      <c r="G39" s="16">
        <f t="shared" si="5"/>
        <v>-8.2611342687820874E-2</v>
      </c>
      <c r="H39" s="17">
        <v>19908.93</v>
      </c>
      <c r="I39" s="17">
        <f t="shared" si="6"/>
        <v>-3250.8675000000003</v>
      </c>
      <c r="J39" s="16">
        <f t="shared" si="7"/>
        <v>-0.16328690190783735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20092.34375</v>
      </c>
      <c r="E40" s="11">
        <v>22283.18</v>
      </c>
      <c r="F40" s="11">
        <f t="shared" si="4"/>
        <v>-2190.8362500000003</v>
      </c>
      <c r="G40" s="12">
        <f t="shared" si="5"/>
        <v>-9.8317935321619282E-2</v>
      </c>
      <c r="H40" s="13">
        <v>24549.07</v>
      </c>
      <c r="I40" s="13">
        <f t="shared" si="6"/>
        <v>-4456.7262499999997</v>
      </c>
      <c r="J40" s="14">
        <f t="shared" si="7"/>
        <v>-0.18154358800557413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27745.046875</v>
      </c>
      <c r="E41" s="15">
        <v>0</v>
      </c>
      <c r="F41" s="15">
        <f t="shared" si="4"/>
        <v>27745.046875</v>
      </c>
      <c r="G41" s="16" t="str">
        <f t="shared" si="5"/>
        <v/>
      </c>
      <c r="H41" s="17">
        <v>0</v>
      </c>
      <c r="I41" s="17">
        <f t="shared" si="6"/>
        <v>27745.046875</v>
      </c>
      <c r="J41" s="16" t="str">
        <f t="shared" si="7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21029.287109375</v>
      </c>
      <c r="E42" s="11">
        <v>15675.65</v>
      </c>
      <c r="F42" s="11">
        <f t="shared" si="4"/>
        <v>5353.6371093750004</v>
      </c>
      <c r="G42" s="12">
        <f t="shared" si="5"/>
        <v>0.34152568533840705</v>
      </c>
      <c r="H42" s="13">
        <v>19330.91</v>
      </c>
      <c r="I42" s="13">
        <f t="shared" si="6"/>
        <v>1698.3771093750001</v>
      </c>
      <c r="J42" s="14">
        <f t="shared" si="7"/>
        <v>8.7858104423175126E-2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15230.658515625</v>
      </c>
      <c r="E43" s="15">
        <v>0</v>
      </c>
      <c r="F43" s="15">
        <f t="shared" si="4"/>
        <v>15230.658515625</v>
      </c>
      <c r="G43" s="16" t="str">
        <f t="shared" si="5"/>
        <v/>
      </c>
      <c r="H43" s="17">
        <v>0</v>
      </c>
      <c r="I43" s="17">
        <f t="shared" si="6"/>
        <v>15230.658515625</v>
      </c>
      <c r="J43" s="16" t="str">
        <f t="shared" si="7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4392.8269115846497</v>
      </c>
      <c r="E44" s="11">
        <v>0</v>
      </c>
      <c r="F44" s="11">
        <f t="shared" si="4"/>
        <v>4392.8269115846497</v>
      </c>
      <c r="G44" s="12" t="str">
        <f t="shared" si="5"/>
        <v/>
      </c>
      <c r="H44" s="13">
        <v>0</v>
      </c>
      <c r="I44" s="13">
        <f t="shared" si="6"/>
        <v>4392.8269115846497</v>
      </c>
      <c r="J44" s="14" t="str">
        <f t="shared" si="7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24188.484375</v>
      </c>
      <c r="E45" s="15">
        <v>23582.52</v>
      </c>
      <c r="F45" s="15">
        <f t="shared" si="4"/>
        <v>605.96437499999956</v>
      </c>
      <c r="G45" s="16">
        <f t="shared" si="5"/>
        <v>2.5695488650067912E-2</v>
      </c>
      <c r="H45" s="17">
        <v>25030</v>
      </c>
      <c r="I45" s="17">
        <f t="shared" si="6"/>
        <v>-841.515625</v>
      </c>
      <c r="J45" s="16">
        <f t="shared" si="7"/>
        <v>-3.3620280663204154E-2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16216.9375</v>
      </c>
      <c r="E46" s="11">
        <v>14933.98</v>
      </c>
      <c r="F46" s="11">
        <f t="shared" si="4"/>
        <v>1282.9575000000004</v>
      </c>
      <c r="G46" s="12">
        <f t="shared" si="5"/>
        <v>8.5908612439550641E-2</v>
      </c>
      <c r="H46" s="13">
        <v>18170.75</v>
      </c>
      <c r="I46" s="13">
        <f t="shared" si="6"/>
        <v>-1953.8125</v>
      </c>
      <c r="J46" s="14">
        <f t="shared" si="7"/>
        <v>-0.10752514343106366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12773.5</v>
      </c>
      <c r="E47" s="15">
        <v>13011.63</v>
      </c>
      <c r="F47" s="15">
        <f t="shared" si="4"/>
        <v>-238.1299999999992</v>
      </c>
      <c r="G47" s="16">
        <f t="shared" si="5"/>
        <v>-1.8301319665560672E-2</v>
      </c>
      <c r="H47" s="17">
        <v>7333.4089999999997</v>
      </c>
      <c r="I47" s="17">
        <f t="shared" si="6"/>
        <v>5440.0910000000003</v>
      </c>
      <c r="J47" s="16">
        <f t="shared" si="7"/>
        <v>0.74182293664515375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21273.6875</v>
      </c>
      <c r="E48" s="11">
        <v>21733.1</v>
      </c>
      <c r="F48" s="11">
        <f t="shared" si="4"/>
        <v>-459.41249999999854</v>
      </c>
      <c r="G48" s="12">
        <f t="shared" si="5"/>
        <v>-2.1138838913914656E-2</v>
      </c>
      <c r="H48" s="13">
        <v>12738</v>
      </c>
      <c r="I48" s="13">
        <f t="shared" si="6"/>
        <v>8535.6875</v>
      </c>
      <c r="J48" s="14">
        <f t="shared" si="7"/>
        <v>0.67009636520646887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14048.15625</v>
      </c>
      <c r="E49" s="15">
        <v>13983.17</v>
      </c>
      <c r="F49" s="15">
        <f t="shared" si="4"/>
        <v>64.986249999999927</v>
      </c>
      <c r="G49" s="16">
        <f t="shared" si="5"/>
        <v>4.6474619131427232E-3</v>
      </c>
      <c r="H49" s="17">
        <v>14504.74</v>
      </c>
      <c r="I49" s="17">
        <f t="shared" si="6"/>
        <v>-456.58374999999978</v>
      </c>
      <c r="J49" s="16">
        <f t="shared" si="7"/>
        <v>-3.1478244353225208E-2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18469.8125</v>
      </c>
      <c r="E50" s="11">
        <v>19575.12</v>
      </c>
      <c r="F50" s="11">
        <f t="shared" si="4"/>
        <v>-1105.307499999999</v>
      </c>
      <c r="G50" s="12">
        <f t="shared" si="5"/>
        <v>-5.6464915668460729E-2</v>
      </c>
      <c r="H50" s="13">
        <v>20694.830000000002</v>
      </c>
      <c r="I50" s="13">
        <f t="shared" si="6"/>
        <v>-2225.0175000000017</v>
      </c>
      <c r="J50" s="14">
        <f t="shared" si="7"/>
        <v>-0.10751562105124814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10877.1875</v>
      </c>
      <c r="E51" s="15">
        <v>10845.05</v>
      </c>
      <c r="F51" s="15">
        <f t="shared" si="4"/>
        <v>32.137500000000728</v>
      </c>
      <c r="G51" s="16">
        <f t="shared" si="5"/>
        <v>2.9633335023813382E-3</v>
      </c>
      <c r="H51" s="17">
        <v>11147</v>
      </c>
      <c r="I51" s="17">
        <f t="shared" si="6"/>
        <v>-269.8125</v>
      </c>
      <c r="J51" s="16">
        <f t="shared" si="7"/>
        <v>-2.4204943034000181E-2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18581.125</v>
      </c>
      <c r="E52" s="11">
        <v>20964.98</v>
      </c>
      <c r="F52" s="11">
        <f t="shared" si="4"/>
        <v>-2383.8549999999996</v>
      </c>
      <c r="G52" s="12">
        <f t="shared" si="5"/>
        <v>-0.11370652392704403</v>
      </c>
      <c r="H52" s="13">
        <v>21438.27</v>
      </c>
      <c r="I52" s="13">
        <f t="shared" si="6"/>
        <v>-2857.1450000000004</v>
      </c>
      <c r="J52" s="14">
        <f t="shared" si="7"/>
        <v>-0.13327311392197227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30148.75</v>
      </c>
      <c r="E53" s="15">
        <v>32400.26</v>
      </c>
      <c r="F53" s="15">
        <f t="shared" si="4"/>
        <v>-2251.5099999999984</v>
      </c>
      <c r="G53" s="16">
        <f t="shared" si="5"/>
        <v>-6.9490491742967453E-2</v>
      </c>
      <c r="H53" s="17">
        <v>31510.2</v>
      </c>
      <c r="I53" s="17">
        <f t="shared" si="6"/>
        <v>-1361.4500000000007</v>
      </c>
      <c r="J53" s="16">
        <f t="shared" si="7"/>
        <v>-4.3206644197751859E-2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24844.5</v>
      </c>
      <c r="E54" s="11">
        <v>23654.31</v>
      </c>
      <c r="F54" s="11">
        <f t="shared" si="4"/>
        <v>1190.1899999999987</v>
      </c>
      <c r="G54" s="12">
        <f t="shared" si="5"/>
        <v>5.0315988925485403E-2</v>
      </c>
      <c r="H54" s="13">
        <v>22560</v>
      </c>
      <c r="I54" s="13">
        <f t="shared" si="6"/>
        <v>2284.5</v>
      </c>
      <c r="J54" s="14">
        <f t="shared" si="7"/>
        <v>0.10126329787234042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10932.9375</v>
      </c>
      <c r="E55" s="15">
        <v>11221.02</v>
      </c>
      <c r="F55" s="15">
        <f t="shared" si="4"/>
        <v>-288.08250000000044</v>
      </c>
      <c r="G55" s="16">
        <f t="shared" si="5"/>
        <v>-2.5673468187384071E-2</v>
      </c>
      <c r="H55" s="17">
        <v>12926.66</v>
      </c>
      <c r="I55" s="17">
        <f t="shared" si="6"/>
        <v>-1993.7224999999999</v>
      </c>
      <c r="J55" s="16">
        <f t="shared" si="7"/>
        <v>-0.15423338279184259</v>
      </c>
      <c r="K55" s="39"/>
      <c r="L55" s="40"/>
    </row>
    <row r="56" spans="1:12" ht="28.5">
      <c r="A56" s="25" t="str">
        <v>Q231</v>
      </c>
      <c r="B56" s="26" t="str">
        <v>NY</v>
      </c>
      <c r="C56" s="26" t="str">
        <f>Sites[[#This Row],[SOL'#]]</f>
        <v>SOL-10870</v>
      </c>
      <c r="D56" s="21">
        <v>38473.0625</v>
      </c>
      <c r="E56" s="11">
        <v>40491.79</v>
      </c>
      <c r="F56" s="11">
        <f t="shared" si="4"/>
        <v>-2018.7275000000009</v>
      </c>
      <c r="G56" s="12">
        <f t="shared" si="5"/>
        <v>-4.985522991203898E-2</v>
      </c>
      <c r="H56" s="13">
        <v>0</v>
      </c>
      <c r="I56" s="13">
        <f t="shared" si="6"/>
        <v>38473.0625</v>
      </c>
      <c r="J56" s="14" t="str">
        <f t="shared" si="7"/>
        <v/>
      </c>
      <c r="K56" s="38" t="s">
        <v>261</v>
      </c>
      <c r="L56" s="38" t="s">
        <v>262</v>
      </c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44961.625</v>
      </c>
      <c r="E57" s="15">
        <v>44943.98</v>
      </c>
      <c r="F57" s="15">
        <f t="shared" si="4"/>
        <v>17.644999999996799</v>
      </c>
      <c r="G57" s="16">
        <f t="shared" si="5"/>
        <v>3.9259985430744666E-4</v>
      </c>
      <c r="H57" s="17">
        <v>38116.35</v>
      </c>
      <c r="I57" s="17">
        <f t="shared" si="6"/>
        <v>6845.2750000000015</v>
      </c>
      <c r="J57" s="16">
        <f t="shared" si="7"/>
        <v>0.17958894280276055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4"/>
        <v>0</v>
      </c>
      <c r="G58" s="12" t="str">
        <f t="shared" si="5"/>
        <v/>
      </c>
      <c r="H58" s="13">
        <v>0</v>
      </c>
      <c r="I58" s="13">
        <f t="shared" si="6"/>
        <v>0</v>
      </c>
      <c r="J58" s="14" t="str">
        <f t="shared" si="7"/>
        <v/>
      </c>
      <c r="K58" s="66" t="s">
        <v>263</v>
      </c>
      <c r="L58" s="66" t="s">
        <v>264</v>
      </c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v>53745.268007812498</v>
      </c>
      <c r="E59" s="15">
        <v>40763.14</v>
      </c>
      <c r="F59" s="15">
        <f t="shared" si="4"/>
        <v>12982.128007812498</v>
      </c>
      <c r="G59" s="16">
        <f t="shared" si="5"/>
        <v>0.31847713419065604</v>
      </c>
      <c r="H59" s="17">
        <v>43927.16</v>
      </c>
      <c r="I59" s="17">
        <f t="shared" si="6"/>
        <v>9818.1080078124942</v>
      </c>
      <c r="J59" s="16">
        <f t="shared" si="7"/>
        <v>0.22350882706308564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38784.8106435644</v>
      </c>
      <c r="E60" s="11" t="s">
        <v>23</v>
      </c>
      <c r="F60" s="11" t="str">
        <f t="shared" si="4"/>
        <v/>
      </c>
      <c r="G60" s="12" t="str">
        <f t="shared" si="5"/>
        <v/>
      </c>
      <c r="H60" s="13">
        <v>40666.44</v>
      </c>
      <c r="I60" s="13">
        <f t="shared" si="6"/>
        <v>-1881.6293564356019</v>
      </c>
      <c r="J60" s="14">
        <f t="shared" si="7"/>
        <v>-4.6269832236005948E-2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58156.5</v>
      </c>
      <c r="E61" s="15">
        <v>58634.66</v>
      </c>
      <c r="F61" s="15">
        <f t="shared" si="4"/>
        <v>-478.16000000000349</v>
      </c>
      <c r="G61" s="16">
        <f t="shared" si="5"/>
        <v>-8.1549036013853146E-3</v>
      </c>
      <c r="H61" s="17">
        <v>62590.83</v>
      </c>
      <c r="I61" s="17">
        <f t="shared" si="6"/>
        <v>-4434.3300000000017</v>
      </c>
      <c r="J61" s="16">
        <f t="shared" si="7"/>
        <v>-7.0846320459402784E-2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4986.5</v>
      </c>
      <c r="E62" s="11" t="s">
        <v>23</v>
      </c>
      <c r="F62" s="11" t="str">
        <f t="shared" si="4"/>
        <v/>
      </c>
      <c r="G62" s="12" t="str">
        <f t="shared" si="5"/>
        <v/>
      </c>
      <c r="H62" s="13">
        <v>5158.6710000000003</v>
      </c>
      <c r="I62" s="13">
        <f t="shared" si="6"/>
        <v>-172.17100000000028</v>
      </c>
      <c r="J62" s="14">
        <f t="shared" si="7"/>
        <v>-3.3375068888866974E-2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22464</v>
      </c>
      <c r="E63" s="15">
        <v>0</v>
      </c>
      <c r="F63" s="15">
        <f t="shared" si="4"/>
        <v>22464</v>
      </c>
      <c r="G63" s="16" t="str">
        <f t="shared" si="5"/>
        <v/>
      </c>
      <c r="H63" s="17">
        <v>0</v>
      </c>
      <c r="I63" s="17">
        <f t="shared" si="6"/>
        <v>22464</v>
      </c>
      <c r="J63" s="16" t="str">
        <f t="shared" si="7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17410.099999999999</v>
      </c>
      <c r="E64" s="11">
        <v>18695.32</v>
      </c>
      <c r="F64" s="11">
        <f t="shared" si="4"/>
        <v>-1285.2200000000012</v>
      </c>
      <c r="G64" s="12">
        <f t="shared" si="5"/>
        <v>-6.8745547013905145E-2</v>
      </c>
      <c r="H64" s="13">
        <v>22181.89</v>
      </c>
      <c r="I64" s="13">
        <f t="shared" si="6"/>
        <v>-4771.7900000000009</v>
      </c>
      <c r="J64" s="14">
        <f t="shared" si="7"/>
        <v>-0.21512098382960157</v>
      </c>
      <c r="K64" s="66" t="s">
        <v>265</v>
      </c>
      <c r="L64" s="66" t="s">
        <v>266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16916.5703125</v>
      </c>
      <c r="E65" s="15">
        <v>13225.85</v>
      </c>
      <c r="F65" s="15">
        <f t="shared" si="4"/>
        <v>3690.7203124999996</v>
      </c>
      <c r="G65" s="16">
        <f t="shared" si="5"/>
        <v>0.27905354381759961</v>
      </c>
      <c r="H65" s="17">
        <v>15094</v>
      </c>
      <c r="I65" s="17">
        <f t="shared" si="6"/>
        <v>1822.5703125</v>
      </c>
      <c r="J65" s="16">
        <f t="shared" si="7"/>
        <v>0.12074800003312575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13455</v>
      </c>
      <c r="E66" s="11">
        <v>15855.09</v>
      </c>
      <c r="F66" s="11">
        <f t="shared" si="4"/>
        <v>-2400.09</v>
      </c>
      <c r="G66" s="12">
        <f t="shared" si="5"/>
        <v>-0.15137662416296596</v>
      </c>
      <c r="H66" s="13">
        <v>23583</v>
      </c>
      <c r="I66" s="13">
        <f t="shared" si="6"/>
        <v>-10128</v>
      </c>
      <c r="J66" s="14">
        <f t="shared" si="7"/>
        <v>-0.42946190052156213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26170.4375</v>
      </c>
      <c r="E67" s="15">
        <v>27691.59</v>
      </c>
      <c r="F67" s="15">
        <f t="shared" si="4"/>
        <v>-1521.1525000000001</v>
      </c>
      <c r="G67" s="16">
        <f t="shared" si="5"/>
        <v>-5.4931930596979088E-2</v>
      </c>
      <c r="H67" s="17">
        <v>19153.71</v>
      </c>
      <c r="I67" s="17">
        <f t="shared" si="6"/>
        <v>7016.7275000000009</v>
      </c>
      <c r="J67" s="16">
        <f t="shared" si="7"/>
        <v>0.36633777477052754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24982.8125</v>
      </c>
      <c r="E68" s="11">
        <v>0</v>
      </c>
      <c r="F68" s="11">
        <f>IF(AND(ISNUMBER(D68),ISNUMBER(E68)), D68-E68, "")</f>
        <v>24982.8125</v>
      </c>
      <c r="G68" s="12" t="str">
        <f>IFERROR(F68/E68, "")</f>
        <v/>
      </c>
      <c r="H68" s="13">
        <v>0</v>
      </c>
      <c r="I68" s="13">
        <f>IF(AND(ISNUMBER(D68),ISNUMBER(H68)), D68-H68, "")</f>
        <v>24982.8125</v>
      </c>
      <c r="J68" s="14" t="str">
        <f>IFERROR(I68/H68, "")</f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19923.84375</v>
      </c>
      <c r="E69" s="15">
        <v>0</v>
      </c>
      <c r="F69" s="15">
        <f t="shared" si="4"/>
        <v>19923.84375</v>
      </c>
      <c r="G69" s="16" t="str">
        <f t="shared" si="5"/>
        <v/>
      </c>
      <c r="H69" s="17">
        <v>0</v>
      </c>
      <c r="I69" s="17">
        <f t="shared" si="6"/>
        <v>19923.84375</v>
      </c>
      <c r="J69" s="16" t="str">
        <f t="shared" si="7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32288.4169392033</v>
      </c>
      <c r="E70" s="11">
        <v>33629.4</v>
      </c>
      <c r="F70" s="11">
        <f t="shared" si="4"/>
        <v>-1340.9830607967015</v>
      </c>
      <c r="G70" s="12">
        <f t="shared" si="5"/>
        <v>-3.9875319238425348E-2</v>
      </c>
      <c r="H70" s="13">
        <v>34382</v>
      </c>
      <c r="I70" s="13">
        <f t="shared" si="6"/>
        <v>-2093.5830607967</v>
      </c>
      <c r="J70" s="14">
        <f t="shared" si="7"/>
        <v>-6.0891834704109707E-2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17641</v>
      </c>
      <c r="E71" s="15">
        <v>15530</v>
      </c>
      <c r="F71" s="15">
        <f t="shared" si="4"/>
        <v>2111</v>
      </c>
      <c r="G71" s="16">
        <f t="shared" si="5"/>
        <v>0.1359304571796523</v>
      </c>
      <c r="H71" s="17">
        <v>15996</v>
      </c>
      <c r="I71" s="17">
        <f t="shared" si="6"/>
        <v>1645</v>
      </c>
      <c r="J71" s="16">
        <f t="shared" si="7"/>
        <v>0.10283820955238809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18860.8</v>
      </c>
      <c r="E72" s="11">
        <v>18371.54</v>
      </c>
      <c r="F72" s="11">
        <f t="shared" si="4"/>
        <v>489.2599999999984</v>
      </c>
      <c r="G72" s="12">
        <f t="shared" si="5"/>
        <v>2.663140923406521E-2</v>
      </c>
      <c r="H72" s="13">
        <v>0</v>
      </c>
      <c r="I72" s="13">
        <f t="shared" si="6"/>
        <v>18860.8</v>
      </c>
      <c r="J72" s="14" t="str">
        <f t="shared" si="7"/>
        <v/>
      </c>
      <c r="K72" s="38"/>
      <c r="L72" s="38"/>
    </row>
    <row r="73" spans="1:12" ht="53.25" customHeight="1">
      <c r="A73" s="27" t="str">
        <v>Murphy</v>
      </c>
      <c r="B73" s="28" t="str">
        <v>MN</v>
      </c>
      <c r="C73" s="28" t="str">
        <f>Sites[[#This Row],[SOL'#]]</f>
        <v>SOL-10094</v>
      </c>
      <c r="D73" s="10">
        <v>770630</v>
      </c>
      <c r="E73" s="15">
        <v>819414.3</v>
      </c>
      <c r="F73" s="15">
        <f t="shared" si="4"/>
        <v>-48784.300000000047</v>
      </c>
      <c r="G73" s="16">
        <f t="shared" si="5"/>
        <v>-5.9535573152677518E-2</v>
      </c>
      <c r="H73" s="17">
        <v>837992.8</v>
      </c>
      <c r="I73" s="17">
        <f t="shared" si="6"/>
        <v>-67362.800000000047</v>
      </c>
      <c r="J73" s="16">
        <f t="shared" si="7"/>
        <v>-8.0385893530350194E-2</v>
      </c>
      <c r="K73" s="39" t="s">
        <v>267</v>
      </c>
      <c r="L73" s="40" t="s">
        <v>268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872406</v>
      </c>
      <c r="E74" s="11">
        <v>948035.2</v>
      </c>
      <c r="F74" s="11">
        <f t="shared" si="4"/>
        <v>-75629.199999999953</v>
      </c>
      <c r="G74" s="12">
        <f t="shared" si="5"/>
        <v>-7.9774675033163281E-2</v>
      </c>
      <c r="H74" s="13">
        <v>821225.2</v>
      </c>
      <c r="I74" s="13">
        <f t="shared" si="6"/>
        <v>51180.800000000047</v>
      </c>
      <c r="J74" s="14">
        <f t="shared" si="7"/>
        <v>6.2322490834426474E-2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86">
        <v>268362</v>
      </c>
      <c r="E75" s="87">
        <v>320248.15999999997</v>
      </c>
      <c r="F75" s="15">
        <f t="shared" si="4"/>
        <v>-51886.159999999974</v>
      </c>
      <c r="G75" s="16">
        <f t="shared" si="5"/>
        <v>-0.16201860457215422</v>
      </c>
      <c r="H75" s="86">
        <v>299474.2</v>
      </c>
      <c r="I75" s="17">
        <f t="shared" si="6"/>
        <v>-31112.200000000012</v>
      </c>
      <c r="J75" s="16">
        <f t="shared" si="7"/>
        <v>-0.10388941685126803</v>
      </c>
      <c r="K75" s="39" t="s">
        <v>269</v>
      </c>
      <c r="L75" s="40" t="s">
        <v>162</v>
      </c>
    </row>
    <row r="76" spans="1:12" ht="57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277190</v>
      </c>
      <c r="E76" s="11">
        <v>283454.90000000002</v>
      </c>
      <c r="F76" s="11">
        <f t="shared" si="4"/>
        <v>-6264.9000000000233</v>
      </c>
      <c r="G76" s="12">
        <f t="shared" si="5"/>
        <v>-2.2101928737164264E-2</v>
      </c>
      <c r="H76" s="13">
        <v>330485.78000000003</v>
      </c>
      <c r="I76" s="13">
        <f t="shared" si="6"/>
        <v>-53295.780000000028</v>
      </c>
      <c r="J76" s="14">
        <f t="shared" si="7"/>
        <v>-0.16126497182420382</v>
      </c>
      <c r="K76" s="38" t="s">
        <v>270</v>
      </c>
      <c r="L76" s="38" t="s">
        <v>271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88">
        <v>224156</v>
      </c>
      <c r="E77" s="87">
        <v>246274.06</v>
      </c>
      <c r="F77" s="15">
        <f t="shared" si="4"/>
        <v>-22118.059999999998</v>
      </c>
      <c r="G77" s="16">
        <f t="shared" si="5"/>
        <v>-8.9810757982387579E-2</v>
      </c>
      <c r="H77" s="88">
        <v>256031.69</v>
      </c>
      <c r="I77" s="17">
        <f t="shared" si="6"/>
        <v>-31875.690000000002</v>
      </c>
      <c r="J77" s="16">
        <f t="shared" si="7"/>
        <v>-0.12449900244770482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281497</v>
      </c>
      <c r="E78" s="11">
        <v>294503.09000000003</v>
      </c>
      <c r="F78" s="11">
        <f t="shared" ref="F78:F139" si="8">IF(AND(ISNUMBER(D78),ISNUMBER(E78)), D78-E78, "")</f>
        <v>-13006.090000000026</v>
      </c>
      <c r="G78" s="12">
        <f t="shared" ref="G78:G138" si="9">IFERROR(F78/E78, "")</f>
        <v>-4.4162830345854859E-2</v>
      </c>
      <c r="H78" s="13">
        <v>308290.15000000002</v>
      </c>
      <c r="I78" s="13">
        <f t="shared" si="6"/>
        <v>-26793.150000000023</v>
      </c>
      <c r="J78" s="14">
        <f t="shared" si="7"/>
        <v>-8.690887464292979E-2</v>
      </c>
      <c r="K78" s="38" t="s">
        <v>272</v>
      </c>
      <c r="L78" s="38" t="s">
        <v>273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287110</v>
      </c>
      <c r="E79" s="15">
        <v>309262.42</v>
      </c>
      <c r="F79" s="15">
        <f t="shared" si="8"/>
        <v>-22152.419999999984</v>
      </c>
      <c r="G79" s="16">
        <f t="shared" si="9"/>
        <v>-7.1629847557941204E-2</v>
      </c>
      <c r="H79" s="17">
        <v>261564.22</v>
      </c>
      <c r="I79" s="17">
        <f t="shared" si="6"/>
        <v>25545.78</v>
      </c>
      <c r="J79" s="16">
        <f t="shared" si="7"/>
        <v>9.7665422281380837E-2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247197</v>
      </c>
      <c r="E80" s="11">
        <v>187438.62</v>
      </c>
      <c r="F80" s="11">
        <f t="shared" si="8"/>
        <v>59758.380000000005</v>
      </c>
      <c r="G80" s="12">
        <f t="shared" si="9"/>
        <v>0.31881572751655984</v>
      </c>
      <c r="H80" s="13">
        <v>229667.15</v>
      </c>
      <c r="I80" s="13">
        <f t="shared" si="6"/>
        <v>17529.850000000006</v>
      </c>
      <c r="J80" s="14">
        <f t="shared" si="7"/>
        <v>7.6327197860033558E-2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239163</v>
      </c>
      <c r="E81" s="15">
        <v>255555.88</v>
      </c>
      <c r="F81" s="15">
        <f t="shared" si="8"/>
        <v>-16392.880000000005</v>
      </c>
      <c r="G81" s="16">
        <f t="shared" si="9"/>
        <v>-6.4145970736419783E-2</v>
      </c>
      <c r="H81" s="17">
        <v>222310.5</v>
      </c>
      <c r="I81" s="17">
        <f t="shared" si="6"/>
        <v>16852.5</v>
      </c>
      <c r="J81" s="16">
        <f t="shared" si="7"/>
        <v>7.580613601246905E-2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274890</v>
      </c>
      <c r="E82" s="11">
        <v>310472.96999999997</v>
      </c>
      <c r="F82" s="11">
        <f t="shared" si="8"/>
        <v>-35582.969999999972</v>
      </c>
      <c r="G82" s="12">
        <f t="shared" si="9"/>
        <v>-0.11460891426393729</v>
      </c>
      <c r="H82" s="13">
        <v>257720.66</v>
      </c>
      <c r="I82" s="13">
        <f t="shared" ref="I82:I138" si="10">IF(AND(ISNUMBER(D82),ISNUMBER(H82)), D82-H82, "")</f>
        <v>17169.339999999997</v>
      </c>
      <c r="J82" s="14">
        <f t="shared" ref="J82:J138" si="11">IFERROR(I82/H82, "")</f>
        <v>6.6619959765740144E-2</v>
      </c>
      <c r="K82" s="38"/>
      <c r="L82" s="38"/>
    </row>
    <row r="83" spans="1:12" ht="42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278384</v>
      </c>
      <c r="E83" s="15">
        <v>329460.01</v>
      </c>
      <c r="F83" s="15">
        <f t="shared" si="8"/>
        <v>-51076.010000000009</v>
      </c>
      <c r="G83" s="16">
        <f t="shared" si="9"/>
        <v>-0.15502946776453994</v>
      </c>
      <c r="H83" s="17">
        <v>314397.57</v>
      </c>
      <c r="I83" s="17">
        <f t="shared" si="10"/>
        <v>-36013.570000000007</v>
      </c>
      <c r="J83" s="16">
        <f t="shared" si="11"/>
        <v>-0.11454786371281434</v>
      </c>
      <c r="K83" s="58" t="s">
        <v>274</v>
      </c>
      <c r="L83" s="58" t="s">
        <v>275</v>
      </c>
    </row>
    <row r="84" spans="1:12" ht="28.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325139</v>
      </c>
      <c r="E84" s="11">
        <v>0</v>
      </c>
      <c r="F84" s="11">
        <f t="shared" si="8"/>
        <v>325139</v>
      </c>
      <c r="G84" s="12" t="str">
        <f>IFERROR(F84/E84, "")</f>
        <v/>
      </c>
      <c r="H84" s="13">
        <v>315271.55</v>
      </c>
      <c r="I84" s="13">
        <f t="shared" si="10"/>
        <v>9867.4500000000116</v>
      </c>
      <c r="J84" s="14">
        <f t="shared" si="11"/>
        <v>3.1298257010504156E-2</v>
      </c>
      <c r="K84" s="38" t="s">
        <v>276</v>
      </c>
      <c r="L84" s="38" t="s">
        <v>277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235506</v>
      </c>
      <c r="E85" s="15">
        <v>0</v>
      </c>
      <c r="F85" s="15">
        <f t="shared" si="8"/>
        <v>235506</v>
      </c>
      <c r="G85" s="16" t="str">
        <f t="shared" si="9"/>
        <v/>
      </c>
      <c r="H85" s="17">
        <v>107912</v>
      </c>
      <c r="I85" s="17">
        <f t="shared" si="10"/>
        <v>127594</v>
      </c>
      <c r="J85" s="16">
        <f t="shared" si="11"/>
        <v>1.1823893542886796</v>
      </c>
      <c r="K85" s="58"/>
      <c r="L85" s="58"/>
    </row>
    <row r="86" spans="1:12" ht="28.5">
      <c r="A86" s="25" t="str">
        <v>Canoga</v>
      </c>
      <c r="B86" s="26" t="str">
        <v>NY</v>
      </c>
      <c r="C86" s="26" t="str">
        <f>Sites[[#This Row],[SOL'#]]</f>
        <v>SOL-10965</v>
      </c>
      <c r="D86" s="21">
        <v>708100</v>
      </c>
      <c r="E86" s="11">
        <v>0</v>
      </c>
      <c r="F86" s="11">
        <f t="shared" si="8"/>
        <v>708100</v>
      </c>
      <c r="G86" s="12" t="str">
        <f t="shared" si="9"/>
        <v/>
      </c>
      <c r="H86" s="13">
        <v>305917</v>
      </c>
      <c r="I86" s="13">
        <f t="shared" si="10"/>
        <v>402183</v>
      </c>
      <c r="J86" s="14">
        <f t="shared" si="11"/>
        <v>1.314680125654998</v>
      </c>
      <c r="K86" s="38" t="s">
        <v>278</v>
      </c>
      <c r="L86" s="38" t="s">
        <v>279</v>
      </c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661187</v>
      </c>
      <c r="E87" s="15">
        <v>0</v>
      </c>
      <c r="F87" s="15">
        <f t="shared" si="8"/>
        <v>661187</v>
      </c>
      <c r="G87" s="16" t="str">
        <f t="shared" si="9"/>
        <v/>
      </c>
      <c r="H87" s="17">
        <v>377105</v>
      </c>
      <c r="I87" s="17">
        <f t="shared" si="10"/>
        <v>284082</v>
      </c>
      <c r="J87" s="16">
        <f t="shared" si="11"/>
        <v>0.75332334495697484</v>
      </c>
      <c r="K87" s="58" t="s">
        <v>280</v>
      </c>
      <c r="L87" s="58" t="s">
        <v>281</v>
      </c>
    </row>
    <row r="88" spans="1:12" ht="28.5">
      <c r="A88" s="25" t="str">
        <v>Donati</v>
      </c>
      <c r="B88" s="26" t="str">
        <v>NY</v>
      </c>
      <c r="C88" s="26" t="str">
        <f>Sites[[#This Row],[SOL'#]]</f>
        <v>SOL-10968</v>
      </c>
      <c r="D88" s="21">
        <v>310641</v>
      </c>
      <c r="E88" s="11">
        <v>0</v>
      </c>
      <c r="F88" s="11">
        <f t="shared" si="8"/>
        <v>310641</v>
      </c>
      <c r="G88" s="12" t="str">
        <f t="shared" si="9"/>
        <v/>
      </c>
      <c r="H88" s="13">
        <v>120395</v>
      </c>
      <c r="I88" s="13">
        <f t="shared" si="10"/>
        <v>190246</v>
      </c>
      <c r="J88" s="14">
        <f t="shared" si="11"/>
        <v>1.580181901241746</v>
      </c>
      <c r="K88" s="38" t="s">
        <v>282</v>
      </c>
      <c r="L88" s="38" t="s">
        <v>283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792895</v>
      </c>
      <c r="E89" s="15">
        <v>0</v>
      </c>
      <c r="F89" s="15">
        <f t="shared" si="8"/>
        <v>792895</v>
      </c>
      <c r="G89" s="16" t="str">
        <f t="shared" si="9"/>
        <v/>
      </c>
      <c r="H89" s="17">
        <v>231835</v>
      </c>
      <c r="I89" s="17">
        <f t="shared" si="10"/>
        <v>561060</v>
      </c>
      <c r="J89" s="16">
        <f t="shared" si="11"/>
        <v>2.4200832488623374</v>
      </c>
      <c r="K89" s="58"/>
      <c r="L89" s="58"/>
    </row>
    <row r="90" spans="1:12" ht="28.5">
      <c r="A90" s="25" t="str">
        <v>NY 70</v>
      </c>
      <c r="B90" s="26" t="str">
        <v>NY</v>
      </c>
      <c r="C90" s="26" t="str">
        <f>Sites[[#This Row],[SOL'#]]</f>
        <v>SOL-10970</v>
      </c>
      <c r="D90" s="21">
        <v>769779</v>
      </c>
      <c r="E90" s="11">
        <v>0</v>
      </c>
      <c r="F90" s="11">
        <f t="shared" si="8"/>
        <v>769779</v>
      </c>
      <c r="G90" s="12" t="str">
        <f t="shared" si="9"/>
        <v/>
      </c>
      <c r="H90" s="13">
        <v>390190</v>
      </c>
      <c r="I90" s="13">
        <f t="shared" si="10"/>
        <v>379589</v>
      </c>
      <c r="J90" s="14">
        <f t="shared" si="11"/>
        <v>0.97283118480740149</v>
      </c>
      <c r="K90" s="38" t="s">
        <v>284</v>
      </c>
      <c r="L90" s="38" t="s">
        <v>285</v>
      </c>
    </row>
    <row r="91" spans="1:12" ht="65.2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553245.83025830204</v>
      </c>
      <c r="E91" s="15">
        <v>594456.80000000005</v>
      </c>
      <c r="F91" s="15">
        <f t="shared" si="8"/>
        <v>-41210.969741698005</v>
      </c>
      <c r="G91" s="16">
        <f t="shared" si="9"/>
        <v>-6.9325424053855556E-2</v>
      </c>
      <c r="H91" s="17">
        <v>703521</v>
      </c>
      <c r="I91" s="17">
        <f t="shared" si="10"/>
        <v>-150275.16974169796</v>
      </c>
      <c r="J91" s="16">
        <f t="shared" si="11"/>
        <v>-0.21360438386586605</v>
      </c>
      <c r="K91" s="61" t="s">
        <v>286</v>
      </c>
      <c r="L91" s="62" t="s">
        <v>287</v>
      </c>
    </row>
    <row r="92" spans="1:12" ht="42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293074</v>
      </c>
      <c r="E92" s="11">
        <v>0</v>
      </c>
      <c r="F92" s="11">
        <f t="shared" si="8"/>
        <v>293074</v>
      </c>
      <c r="G92" s="12" t="str">
        <f t="shared" si="9"/>
        <v/>
      </c>
      <c r="H92" s="13">
        <v>117410</v>
      </c>
      <c r="I92" s="13">
        <f t="shared" si="10"/>
        <v>175664</v>
      </c>
      <c r="J92" s="14">
        <f t="shared" si="11"/>
        <v>1.496158759901201</v>
      </c>
      <c r="K92" s="38" t="s">
        <v>288</v>
      </c>
      <c r="L92" s="38" t="s">
        <v>289</v>
      </c>
    </row>
    <row r="93" spans="1:12" ht="57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629166</v>
      </c>
      <c r="E93" s="15">
        <v>0</v>
      </c>
      <c r="F93" s="15">
        <f t="shared" si="8"/>
        <v>629166</v>
      </c>
      <c r="G93" s="16" t="str">
        <f t="shared" si="9"/>
        <v/>
      </c>
      <c r="H93" s="17">
        <v>323738.17</v>
      </c>
      <c r="I93" s="17">
        <f t="shared" si="10"/>
        <v>305427.83</v>
      </c>
      <c r="J93" s="16">
        <f t="shared" si="11"/>
        <v>0.94344089855082591</v>
      </c>
      <c r="K93" s="61" t="s">
        <v>290</v>
      </c>
      <c r="L93" s="62" t="s">
        <v>291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726739</v>
      </c>
      <c r="E94" s="11">
        <v>0</v>
      </c>
      <c r="F94" s="11">
        <f>IF(AND(ISNUMBER(D94),ISNUMBER(E94)), D94-E94, "")</f>
        <v>726739</v>
      </c>
      <c r="G94" s="12" t="str">
        <f>IFERROR(F94/E94, "")</f>
        <v/>
      </c>
      <c r="H94" s="13">
        <v>347576</v>
      </c>
      <c r="I94" s="13">
        <f>IF(AND(ISNUMBER(D94),ISNUMBER(H94)), D94-H94, "")</f>
        <v>379163</v>
      </c>
      <c r="J94" s="14">
        <f>IFERROR(I94/H94, "")</f>
        <v>1.0908779662577393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651414</v>
      </c>
      <c r="E95" s="15">
        <v>0</v>
      </c>
      <c r="F95" s="15">
        <f t="shared" si="8"/>
        <v>651414</v>
      </c>
      <c r="G95" s="16" t="str">
        <f t="shared" si="9"/>
        <v/>
      </c>
      <c r="H95" s="17">
        <v>298411.45</v>
      </c>
      <c r="I95" s="17">
        <f t="shared" si="10"/>
        <v>353002.55</v>
      </c>
      <c r="J95" s="16">
        <f t="shared" si="11"/>
        <v>1.1829390259656591</v>
      </c>
      <c r="K95" s="61"/>
      <c r="L95" s="62"/>
    </row>
    <row r="96" spans="1:12" ht="28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527026</v>
      </c>
      <c r="E96" s="11">
        <v>0</v>
      </c>
      <c r="F96" s="11">
        <f t="shared" si="8"/>
        <v>527026</v>
      </c>
      <c r="G96" s="12" t="str">
        <f t="shared" si="9"/>
        <v/>
      </c>
      <c r="H96" s="13">
        <v>406900.27</v>
      </c>
      <c r="I96" s="13">
        <f t="shared" si="10"/>
        <v>120125.72999999998</v>
      </c>
      <c r="J96" s="14">
        <f t="shared" si="11"/>
        <v>0.29522155392032545</v>
      </c>
      <c r="K96" s="70" t="s">
        <v>292</v>
      </c>
      <c r="L96" s="70" t="s">
        <v>293</v>
      </c>
    </row>
    <row r="97" spans="1:12" ht="57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607520</v>
      </c>
      <c r="E97" s="15">
        <v>0</v>
      </c>
      <c r="F97" s="15">
        <f t="shared" si="8"/>
        <v>607520</v>
      </c>
      <c r="G97" s="16" t="str">
        <f t="shared" si="9"/>
        <v/>
      </c>
      <c r="H97" s="17">
        <v>390040</v>
      </c>
      <c r="I97" s="17">
        <f t="shared" si="10"/>
        <v>217480</v>
      </c>
      <c r="J97" s="16">
        <f t="shared" si="11"/>
        <v>0.55758383755512253</v>
      </c>
      <c r="K97" s="58" t="s">
        <v>294</v>
      </c>
      <c r="L97" s="58" t="s">
        <v>295</v>
      </c>
    </row>
    <row r="98" spans="1:12" ht="57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272790</v>
      </c>
      <c r="E98" s="11">
        <v>0</v>
      </c>
      <c r="F98" s="11">
        <f t="shared" si="8"/>
        <v>272790</v>
      </c>
      <c r="G98" s="12" t="str">
        <f t="shared" si="9"/>
        <v/>
      </c>
      <c r="H98" s="13">
        <v>159200</v>
      </c>
      <c r="I98" s="13">
        <f t="shared" si="10"/>
        <v>113590</v>
      </c>
      <c r="J98" s="14">
        <f t="shared" si="11"/>
        <v>0.71350502512562819</v>
      </c>
      <c r="K98" s="38" t="s">
        <v>296</v>
      </c>
      <c r="L98" s="38" t="s">
        <v>297</v>
      </c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529535</v>
      </c>
      <c r="E99" s="15">
        <v>0</v>
      </c>
      <c r="F99" s="15">
        <f t="shared" si="8"/>
        <v>529535</v>
      </c>
      <c r="G99" s="16" t="str">
        <f t="shared" si="9"/>
        <v/>
      </c>
      <c r="H99" s="17">
        <v>264670</v>
      </c>
      <c r="I99" s="17">
        <f t="shared" si="10"/>
        <v>264865</v>
      </c>
      <c r="J99" s="16">
        <f t="shared" si="11"/>
        <v>1.0007367665394642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282629</v>
      </c>
      <c r="E100" s="11">
        <v>0</v>
      </c>
      <c r="F100" s="11">
        <f t="shared" si="8"/>
        <v>282629</v>
      </c>
      <c r="G100" s="12" t="str">
        <f t="shared" si="9"/>
        <v/>
      </c>
      <c r="H100" s="13">
        <v>137310</v>
      </c>
      <c r="I100" s="13">
        <f t="shared" si="10"/>
        <v>145319</v>
      </c>
      <c r="J100" s="14">
        <f t="shared" si="11"/>
        <v>1.0583278712402593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665555</v>
      </c>
      <c r="E101" s="15">
        <v>0</v>
      </c>
      <c r="F101" s="15">
        <f t="shared" si="8"/>
        <v>665555</v>
      </c>
      <c r="G101" s="16" t="str">
        <f t="shared" si="9"/>
        <v/>
      </c>
      <c r="H101" s="17">
        <v>312325</v>
      </c>
      <c r="I101" s="17">
        <f t="shared" si="10"/>
        <v>353230</v>
      </c>
      <c r="J101" s="16">
        <f t="shared" si="11"/>
        <v>1.1309693428319858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434847</v>
      </c>
      <c r="E102" s="11">
        <v>0</v>
      </c>
      <c r="F102" s="11">
        <f t="shared" si="8"/>
        <v>434847</v>
      </c>
      <c r="G102" s="12" t="str">
        <f t="shared" si="9"/>
        <v/>
      </c>
      <c r="H102" s="13">
        <v>327000</v>
      </c>
      <c r="I102" s="13">
        <f t="shared" si="10"/>
        <v>107847</v>
      </c>
      <c r="J102" s="14">
        <f t="shared" si="11"/>
        <v>0.32980733944954127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333346</v>
      </c>
      <c r="E103" s="15">
        <v>0</v>
      </c>
      <c r="F103" s="15">
        <f t="shared" si="8"/>
        <v>333346</v>
      </c>
      <c r="G103" s="16" t="str">
        <f t="shared" si="9"/>
        <v/>
      </c>
      <c r="H103" s="17">
        <v>133330</v>
      </c>
      <c r="I103" s="17">
        <f t="shared" si="10"/>
        <v>200016</v>
      </c>
      <c r="J103" s="16">
        <f t="shared" si="11"/>
        <v>1.5001575039375985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803848</v>
      </c>
      <c r="E104" s="11">
        <v>0</v>
      </c>
      <c r="F104" s="11">
        <f t="shared" si="8"/>
        <v>803848</v>
      </c>
      <c r="G104" s="12" t="str">
        <f t="shared" si="9"/>
        <v/>
      </c>
      <c r="H104" s="13">
        <v>361185</v>
      </c>
      <c r="I104" s="13">
        <f t="shared" si="10"/>
        <v>442663</v>
      </c>
      <c r="J104" s="14">
        <f t="shared" si="11"/>
        <v>1.2255852264075198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227839</v>
      </c>
      <c r="E105" s="15">
        <v>0</v>
      </c>
      <c r="F105" s="15">
        <f t="shared" si="8"/>
        <v>227839</v>
      </c>
      <c r="G105" s="16" t="str">
        <f t="shared" si="9"/>
        <v/>
      </c>
      <c r="H105" s="17">
        <v>0</v>
      </c>
      <c r="I105" s="17">
        <f t="shared" si="10"/>
        <v>227839</v>
      </c>
      <c r="J105" s="16" t="str">
        <f t="shared" si="11"/>
        <v/>
      </c>
      <c r="K105" s="58" t="s">
        <v>298</v>
      </c>
      <c r="L105" s="58" t="s">
        <v>299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230441</v>
      </c>
      <c r="E106" s="11">
        <v>0</v>
      </c>
      <c r="F106" s="11">
        <f t="shared" si="8"/>
        <v>230441</v>
      </c>
      <c r="G106" s="12" t="str">
        <f t="shared" si="9"/>
        <v/>
      </c>
      <c r="H106" s="13">
        <v>0</v>
      </c>
      <c r="I106" s="13">
        <f t="shared" si="10"/>
        <v>230441</v>
      </c>
      <c r="J106" s="14" t="str">
        <f t="shared" si="11"/>
        <v/>
      </c>
      <c r="K106" s="38" t="s">
        <v>300</v>
      </c>
      <c r="L106" s="38" t="s">
        <v>301</v>
      </c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221170</v>
      </c>
      <c r="E107" s="15">
        <v>0</v>
      </c>
      <c r="F107" s="15">
        <f t="shared" si="8"/>
        <v>221170</v>
      </c>
      <c r="G107" s="16" t="str">
        <f t="shared" si="9"/>
        <v/>
      </c>
      <c r="H107" s="17">
        <v>0</v>
      </c>
      <c r="I107" s="17">
        <f t="shared" si="10"/>
        <v>221170</v>
      </c>
      <c r="J107" s="16" t="str">
        <f t="shared" si="11"/>
        <v/>
      </c>
      <c r="K107" s="58" t="s">
        <v>298</v>
      </c>
      <c r="L107" s="58" t="s">
        <v>302</v>
      </c>
    </row>
    <row r="108" spans="1:12" ht="114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361590</v>
      </c>
      <c r="E108" s="11">
        <v>0</v>
      </c>
      <c r="F108" s="11">
        <f t="shared" si="8"/>
        <v>361590</v>
      </c>
      <c r="G108" s="12" t="str">
        <f t="shared" si="9"/>
        <v/>
      </c>
      <c r="H108" s="13">
        <v>0</v>
      </c>
      <c r="I108" s="13">
        <f t="shared" si="10"/>
        <v>361590</v>
      </c>
      <c r="J108" s="14" t="str">
        <f t="shared" si="11"/>
        <v/>
      </c>
      <c r="K108" s="70" t="s">
        <v>303</v>
      </c>
      <c r="L108" s="70" t="s">
        <v>304</v>
      </c>
    </row>
    <row r="109" spans="1:12" ht="42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384779.6</v>
      </c>
      <c r="E109" s="15">
        <v>0</v>
      </c>
      <c r="F109" s="15">
        <f t="shared" si="8"/>
        <v>384779.6</v>
      </c>
      <c r="G109" s="16" t="str">
        <f t="shared" si="9"/>
        <v/>
      </c>
      <c r="H109" s="17">
        <v>0</v>
      </c>
      <c r="I109" s="17">
        <f t="shared" si="10"/>
        <v>384779.6</v>
      </c>
      <c r="J109" s="16" t="str">
        <f t="shared" si="11"/>
        <v/>
      </c>
      <c r="K109" s="58" t="s">
        <v>305</v>
      </c>
      <c r="L109" s="58" t="s">
        <v>306</v>
      </c>
    </row>
    <row r="110" spans="1:12" ht="28.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830606.5</v>
      </c>
      <c r="E110" s="11">
        <v>0</v>
      </c>
      <c r="F110" s="11">
        <f t="shared" si="8"/>
        <v>830606.5</v>
      </c>
      <c r="G110" s="12" t="str">
        <f t="shared" si="9"/>
        <v/>
      </c>
      <c r="H110" s="13">
        <v>0</v>
      </c>
      <c r="I110" s="13">
        <f t="shared" si="10"/>
        <v>830606.5</v>
      </c>
      <c r="J110" s="14" t="str">
        <f t="shared" si="11"/>
        <v/>
      </c>
      <c r="K110" s="70" t="s">
        <v>307</v>
      </c>
      <c r="L110" s="70" t="s">
        <v>308</v>
      </c>
    </row>
    <row r="111" spans="1:12" ht="42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436042</v>
      </c>
      <c r="E111" s="15">
        <v>620396.80000000005</v>
      </c>
      <c r="F111" s="15">
        <f t="shared" si="8"/>
        <v>-184354.80000000005</v>
      </c>
      <c r="G111" s="16">
        <f t="shared" si="9"/>
        <v>-0.29715627159907987</v>
      </c>
      <c r="H111" s="17">
        <v>688243.6</v>
      </c>
      <c r="I111" s="17">
        <f t="shared" si="10"/>
        <v>-252201.59999999998</v>
      </c>
      <c r="J111" s="16">
        <f t="shared" si="11"/>
        <v>-0.36644234686671984</v>
      </c>
      <c r="K111" s="39" t="s">
        <v>309</v>
      </c>
      <c r="L111" s="40" t="s">
        <v>310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563959.52105263202</v>
      </c>
      <c r="E112" s="11">
        <v>562284.6</v>
      </c>
      <c r="F112" s="11">
        <f t="shared" si="8"/>
        <v>1674.9210526320385</v>
      </c>
      <c r="G112" s="12">
        <f t="shared" si="9"/>
        <v>2.9787781003286209E-3</v>
      </c>
      <c r="H112" s="13">
        <v>660266.4</v>
      </c>
      <c r="I112" s="13">
        <f t="shared" si="10"/>
        <v>-96306.878947368008</v>
      </c>
      <c r="J112" s="14">
        <f t="shared" si="11"/>
        <v>-0.14586063889873543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3139</v>
      </c>
      <c r="E113" s="15">
        <v>4121.6329999999998</v>
      </c>
      <c r="F113" s="15">
        <f t="shared" si="8"/>
        <v>-982.63299999999981</v>
      </c>
      <c r="G113" s="16">
        <f t="shared" si="9"/>
        <v>-0.23840865986855206</v>
      </c>
      <c r="H113" s="17">
        <v>4028.5320000000002</v>
      </c>
      <c r="I113" s="17">
        <f t="shared" si="10"/>
        <v>-889.53200000000015</v>
      </c>
      <c r="J113" s="16">
        <f t="shared" si="11"/>
        <v>-0.22080797670218336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8441.6299999999992</v>
      </c>
      <c r="E114" s="11">
        <v>11335.63</v>
      </c>
      <c r="F114" s="11">
        <f t="shared" si="8"/>
        <v>-2894</v>
      </c>
      <c r="G114" s="12">
        <f t="shared" si="9"/>
        <v>-0.25530120513813526</v>
      </c>
      <c r="H114" s="13">
        <v>9747.4089999999997</v>
      </c>
      <c r="I114" s="13">
        <f t="shared" si="10"/>
        <v>-1305.7790000000005</v>
      </c>
      <c r="J114" s="14">
        <f t="shared" si="11"/>
        <v>-0.13396165073200483</v>
      </c>
      <c r="K114" s="38" t="s">
        <v>311</v>
      </c>
      <c r="L114" s="38" t="s">
        <v>312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1321</v>
      </c>
      <c r="E115" s="15">
        <v>1356.2239999999999</v>
      </c>
      <c r="F115" s="15">
        <f t="shared" si="8"/>
        <v>-35.223999999999933</v>
      </c>
      <c r="G115" s="16">
        <f t="shared" si="9"/>
        <v>-2.5972110801755415E-2</v>
      </c>
      <c r="H115" s="17">
        <v>1482.575</v>
      </c>
      <c r="I115" s="17">
        <f t="shared" si="10"/>
        <v>-161.57500000000005</v>
      </c>
      <c r="J115" s="16">
        <f t="shared" si="11"/>
        <v>-0.10898268215773235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1284</v>
      </c>
      <c r="E116" s="11">
        <v>1325.67</v>
      </c>
      <c r="F116" s="11">
        <f t="shared" si="8"/>
        <v>-41.670000000000073</v>
      </c>
      <c r="G116" s="12">
        <f t="shared" si="9"/>
        <v>-3.1433162099165003E-2</v>
      </c>
      <c r="H116" s="13">
        <v>1523.088</v>
      </c>
      <c r="I116" s="13">
        <f t="shared" si="10"/>
        <v>-239.08799999999997</v>
      </c>
      <c r="J116" s="14">
        <f t="shared" si="11"/>
        <v>-0.15697582805458382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1520</v>
      </c>
      <c r="E117" s="15">
        <v>1400.463</v>
      </c>
      <c r="F117" s="15">
        <f t="shared" si="8"/>
        <v>119.53700000000003</v>
      </c>
      <c r="G117" s="16">
        <f t="shared" si="9"/>
        <v>8.5355343197214092E-2</v>
      </c>
      <c r="H117" s="17">
        <v>1579</v>
      </c>
      <c r="I117" s="17">
        <f t="shared" si="10"/>
        <v>-59</v>
      </c>
      <c r="J117" s="16">
        <f t="shared" si="11"/>
        <v>-3.7365421152628246E-2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13586</v>
      </c>
      <c r="E118" s="11">
        <v>17515</v>
      </c>
      <c r="F118" s="11">
        <f t="shared" si="8"/>
        <v>-3929</v>
      </c>
      <c r="G118" s="12">
        <f t="shared" si="9"/>
        <v>-0.2243220097059663</v>
      </c>
      <c r="H118" s="13">
        <v>4451</v>
      </c>
      <c r="I118" s="13">
        <f t="shared" si="10"/>
        <v>9135</v>
      </c>
      <c r="J118" s="14">
        <f t="shared" si="11"/>
        <v>2.052347787014154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47458</v>
      </c>
      <c r="E119" s="15">
        <v>0</v>
      </c>
      <c r="F119" s="15">
        <f t="shared" si="8"/>
        <v>47458</v>
      </c>
      <c r="G119" s="16" t="str">
        <f t="shared" si="9"/>
        <v/>
      </c>
      <c r="H119" s="17">
        <v>43662</v>
      </c>
      <c r="I119" s="17">
        <f t="shared" si="10"/>
        <v>3796</v>
      </c>
      <c r="J119" s="16">
        <f t="shared" si="11"/>
        <v>8.6940589070587701E-2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28485</v>
      </c>
      <c r="E120" s="11">
        <v>26789</v>
      </c>
      <c r="F120" s="11">
        <f t="shared" si="8"/>
        <v>1696</v>
      </c>
      <c r="G120" s="12">
        <f t="shared" si="9"/>
        <v>6.3309567359737209E-2</v>
      </c>
      <c r="H120" s="13">
        <v>29293</v>
      </c>
      <c r="I120" s="13">
        <f t="shared" si="10"/>
        <v>-808</v>
      </c>
      <c r="J120" s="14">
        <f t="shared" si="11"/>
        <v>-2.7583381695285562E-2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11229</v>
      </c>
      <c r="E121" s="15">
        <v>11096</v>
      </c>
      <c r="F121" s="15">
        <f t="shared" si="8"/>
        <v>133</v>
      </c>
      <c r="G121" s="16">
        <f t="shared" si="9"/>
        <v>1.1986301369863013E-2</v>
      </c>
      <c r="H121" s="17">
        <v>12854</v>
      </c>
      <c r="I121" s="17">
        <f t="shared" si="10"/>
        <v>-1625</v>
      </c>
      <c r="J121" s="16">
        <f t="shared" si="11"/>
        <v>-0.12641979150459001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12489</v>
      </c>
      <c r="E122" s="11">
        <v>10287</v>
      </c>
      <c r="F122" s="11">
        <f t="shared" si="8"/>
        <v>2202</v>
      </c>
      <c r="G122" s="12">
        <f t="shared" si="9"/>
        <v>0.21405657626130067</v>
      </c>
      <c r="H122" s="13">
        <v>12854</v>
      </c>
      <c r="I122" s="13">
        <f t="shared" si="10"/>
        <v>-365</v>
      </c>
      <c r="J122" s="14">
        <f t="shared" si="11"/>
        <v>-2.8395830091800217E-2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160503</v>
      </c>
      <c r="E123" s="15">
        <v>161280.1</v>
      </c>
      <c r="F123" s="15">
        <f t="shared" si="8"/>
        <v>-777.10000000000582</v>
      </c>
      <c r="G123" s="16">
        <f t="shared" si="9"/>
        <v>-4.8183253854629663E-3</v>
      </c>
      <c r="H123" s="17">
        <v>155732.29999999999</v>
      </c>
      <c r="I123" s="17">
        <f t="shared" si="10"/>
        <v>4770.7000000000116</v>
      </c>
      <c r="J123" s="16">
        <f t="shared" si="11"/>
        <v>3.0633978949774786E-2</v>
      </c>
      <c r="K123" s="61" t="s">
        <v>313</v>
      </c>
      <c r="L123" s="62" t="s">
        <v>314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165151</v>
      </c>
      <c r="E124" s="11">
        <v>140043.5</v>
      </c>
      <c r="F124" s="11">
        <f t="shared" si="8"/>
        <v>25107.5</v>
      </c>
      <c r="G124" s="12">
        <f t="shared" si="9"/>
        <v>0.179283579744865</v>
      </c>
      <c r="H124" s="13">
        <v>9459.6239999999998</v>
      </c>
      <c r="I124" s="13">
        <f t="shared" si="10"/>
        <v>155691.37599999999</v>
      </c>
      <c r="J124" s="14">
        <f t="shared" si="11"/>
        <v>16.458516321578955</v>
      </c>
      <c r="K124" s="66"/>
      <c r="L124" s="66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20725</v>
      </c>
      <c r="E125" s="15">
        <v>18983.84</v>
      </c>
      <c r="F125" s="15">
        <f t="shared" si="8"/>
        <v>1741.1599999999999</v>
      </c>
      <c r="G125" s="16">
        <f t="shared" si="9"/>
        <v>9.1718008579929025E-2</v>
      </c>
      <c r="H125" s="17">
        <v>21992</v>
      </c>
      <c r="I125" s="17">
        <f t="shared" si="10"/>
        <v>-1267</v>
      </c>
      <c r="J125" s="16">
        <f t="shared" si="11"/>
        <v>-5.7611858857766464E-2</v>
      </c>
      <c r="K125" s="61" t="s">
        <v>315</v>
      </c>
      <c r="L125" s="61" t="s">
        <v>316</v>
      </c>
    </row>
    <row r="126" spans="1:12" ht="105.7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71341</v>
      </c>
      <c r="E126" s="11">
        <v>80679.929999999993</v>
      </c>
      <c r="F126" s="11">
        <f t="shared" si="8"/>
        <v>-9338.929999999993</v>
      </c>
      <c r="G126" s="12">
        <f t="shared" si="9"/>
        <v>-0.11575282725208108</v>
      </c>
      <c r="H126" s="13">
        <v>0</v>
      </c>
      <c r="I126" s="13">
        <f t="shared" si="10"/>
        <v>71341</v>
      </c>
      <c r="J126" s="14" t="str">
        <f t="shared" si="11"/>
        <v/>
      </c>
      <c r="K126" s="66" t="s">
        <v>317</v>
      </c>
      <c r="L126" s="66" t="s">
        <v>318</v>
      </c>
    </row>
    <row r="127" spans="1:12" ht="63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20333.119999999901</v>
      </c>
      <c r="E127" s="15">
        <v>53729.53</v>
      </c>
      <c r="F127" s="15">
        <f t="shared" si="8"/>
        <v>-33396.410000000098</v>
      </c>
      <c r="G127" s="16">
        <f t="shared" si="9"/>
        <v>-0.62156527332362854</v>
      </c>
      <c r="H127" s="17">
        <v>31455</v>
      </c>
      <c r="I127" s="17">
        <f t="shared" si="10"/>
        <v>-11121.880000000099</v>
      </c>
      <c r="J127" s="16">
        <f t="shared" si="11"/>
        <v>-0.35358067079955807</v>
      </c>
      <c r="K127" s="69" t="s">
        <v>319</v>
      </c>
      <c r="L127" s="62" t="s">
        <v>320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54059</v>
      </c>
      <c r="E128" s="11">
        <v>50023.12</v>
      </c>
      <c r="F128" s="11">
        <f t="shared" si="8"/>
        <v>4035.8799999999974</v>
      </c>
      <c r="G128" s="12">
        <f t="shared" si="9"/>
        <v>8.0680293432316835E-2</v>
      </c>
      <c r="H128" s="13">
        <v>55754.61</v>
      </c>
      <c r="I128" s="13">
        <f t="shared" si="10"/>
        <v>-1695.6100000000006</v>
      </c>
      <c r="J128" s="14">
        <f t="shared" si="11"/>
        <v>-3.0412014360785604E-2</v>
      </c>
      <c r="K128" s="66"/>
      <c r="L128" s="66"/>
    </row>
    <row r="129" spans="1:12" ht="49.5" customHeight="1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120666</v>
      </c>
      <c r="E129" s="15">
        <v>119643</v>
      </c>
      <c r="F129" s="15">
        <f t="shared" si="8"/>
        <v>1023</v>
      </c>
      <c r="G129" s="16">
        <f t="shared" si="9"/>
        <v>8.5504375517163559E-3</v>
      </c>
      <c r="H129" s="17">
        <v>115317</v>
      </c>
      <c r="I129" s="17">
        <f t="shared" si="10"/>
        <v>5349</v>
      </c>
      <c r="J129" s="16">
        <f t="shared" si="11"/>
        <v>4.6385181716485861E-2</v>
      </c>
      <c r="K129" s="61" t="s">
        <v>321</v>
      </c>
      <c r="L129" s="61" t="s">
        <v>322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255740</v>
      </c>
      <c r="E130" s="11">
        <v>253622.39999999999</v>
      </c>
      <c r="F130" s="11">
        <f t="shared" si="8"/>
        <v>2117.6000000000058</v>
      </c>
      <c r="G130" s="12">
        <f t="shared" si="9"/>
        <v>8.3494202404835131E-3</v>
      </c>
      <c r="H130" s="13">
        <v>264301</v>
      </c>
      <c r="I130" s="13">
        <f t="shared" si="10"/>
        <v>-8561</v>
      </c>
      <c r="J130" s="14">
        <f t="shared" si="11"/>
        <v>-3.2391099541810284E-2</v>
      </c>
      <c r="K130" s="66" t="s">
        <v>323</v>
      </c>
      <c r="L130" s="66" t="s">
        <v>232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10092.251364698999</v>
      </c>
      <c r="E131" s="15">
        <v>11331.49</v>
      </c>
      <c r="F131" s="15">
        <f t="shared" si="8"/>
        <v>-1239.2386353010006</v>
      </c>
      <c r="G131" s="16">
        <f t="shared" si="9"/>
        <v>-0.10936237293603936</v>
      </c>
      <c r="H131" s="17">
        <v>12852.65</v>
      </c>
      <c r="I131" s="17">
        <f t="shared" si="10"/>
        <v>-2760.3986353010005</v>
      </c>
      <c r="J131" s="16">
        <f t="shared" si="11"/>
        <v>-0.2147727227693122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7150</v>
      </c>
      <c r="E132" s="11">
        <v>10123</v>
      </c>
      <c r="F132" s="11">
        <f t="shared" si="8"/>
        <v>-2973</v>
      </c>
      <c r="G132" s="12">
        <f t="shared" si="9"/>
        <v>-0.29368764200335867</v>
      </c>
      <c r="H132" s="13">
        <v>9120</v>
      </c>
      <c r="I132" s="13">
        <f t="shared" si="10"/>
        <v>-1970</v>
      </c>
      <c r="J132" s="14">
        <f t="shared" si="11"/>
        <v>-0.21600877192982457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6337</v>
      </c>
      <c r="E133" s="15">
        <v>5846</v>
      </c>
      <c r="F133" s="15">
        <f t="shared" si="8"/>
        <v>491</v>
      </c>
      <c r="G133" s="16">
        <f t="shared" si="9"/>
        <v>8.3989052343482723E-2</v>
      </c>
      <c r="H133" s="17">
        <v>7754</v>
      </c>
      <c r="I133" s="17">
        <f t="shared" si="10"/>
        <v>-1417</v>
      </c>
      <c r="J133" s="16">
        <f t="shared" si="11"/>
        <v>-0.18274438999226206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27326</v>
      </c>
      <c r="E134" s="11">
        <v>26853</v>
      </c>
      <c r="F134" s="11">
        <f t="shared" si="8"/>
        <v>473</v>
      </c>
      <c r="G134" s="12">
        <f t="shared" si="9"/>
        <v>1.7614419245521915E-2</v>
      </c>
      <c r="H134" s="13">
        <v>13488</v>
      </c>
      <c r="I134" s="13">
        <f t="shared" si="10"/>
        <v>13838</v>
      </c>
      <c r="J134" s="14">
        <f t="shared" si="11"/>
        <v>1.0259489916963227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27936.5</v>
      </c>
      <c r="E135" s="15">
        <v>29638.5</v>
      </c>
      <c r="F135" s="15">
        <f t="shared" si="8"/>
        <v>-1702</v>
      </c>
      <c r="G135" s="16">
        <f t="shared" si="9"/>
        <v>-5.742530829832819E-2</v>
      </c>
      <c r="H135" s="17">
        <v>34403</v>
      </c>
      <c r="I135" s="17">
        <f t="shared" si="10"/>
        <v>-6466.5</v>
      </c>
      <c r="J135" s="16">
        <f t="shared" si="11"/>
        <v>-0.1879632590181089</v>
      </c>
      <c r="K135" s="71" t="s">
        <v>324</v>
      </c>
      <c r="L135" s="71" t="s">
        <v>325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22894</v>
      </c>
      <c r="E136" s="11">
        <v>28815</v>
      </c>
      <c r="F136" s="11">
        <f t="shared" si="8"/>
        <v>-5921</v>
      </c>
      <c r="G136" s="12">
        <f t="shared" si="9"/>
        <v>-0.20548325524900227</v>
      </c>
      <c r="H136" s="13">
        <v>28522</v>
      </c>
      <c r="I136" s="13">
        <f t="shared" si="10"/>
        <v>-5628</v>
      </c>
      <c r="J136" s="14">
        <f t="shared" si="11"/>
        <v>-0.1973213659631162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11418.001552994099</v>
      </c>
      <c r="E137" s="15">
        <v>12577.9</v>
      </c>
      <c r="F137" s="15">
        <f t="shared" si="8"/>
        <v>-1159.8984470059004</v>
      </c>
      <c r="G137" s="16">
        <f t="shared" si="9"/>
        <v>-9.2217178305273567E-2</v>
      </c>
      <c r="H137" s="17">
        <v>14601.64</v>
      </c>
      <c r="I137" s="17">
        <f t="shared" si="10"/>
        <v>-3183.6384470059002</v>
      </c>
      <c r="J137" s="16">
        <f t="shared" si="11"/>
        <v>-0.21803293650616645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330777</v>
      </c>
      <c r="E138" s="11">
        <v>0</v>
      </c>
      <c r="F138" s="11">
        <f t="shared" si="8"/>
        <v>330777</v>
      </c>
      <c r="G138" s="12" t="str">
        <f t="shared" si="9"/>
        <v/>
      </c>
      <c r="H138" s="13">
        <v>0</v>
      </c>
      <c r="I138" s="13">
        <f t="shared" si="10"/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82"/>
      <c r="E139" s="15"/>
      <c r="F139" s="15" t="str">
        <f t="shared" si="8"/>
        <v/>
      </c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3.9">
      <c r="D328" s="18"/>
      <c r="E328" s="18"/>
      <c r="F328" s="18"/>
      <c r="G328" s="19"/>
      <c r="H328" s="18"/>
      <c r="I328" s="18"/>
      <c r="J328" s="19"/>
      <c r="K328" s="18"/>
      <c r="L328" s="18"/>
    </row>
  </sheetData>
  <mergeCells count="4">
    <mergeCell ref="H1:J1"/>
    <mergeCell ref="A1:D1"/>
    <mergeCell ref="E1:G1"/>
    <mergeCell ref="A2:B2"/>
  </mergeCells>
  <conditionalFormatting sqref="G2 J2 G4:G161 J4:J161">
    <cfRule type="cellIs" dxfId="42" priority="7" stopIfTrue="1" operator="lessThanOrEqual">
      <formula>-0.1</formula>
    </cfRule>
    <cfRule type="expression" dxfId="41" priority="8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2"/>
  <sheetViews>
    <sheetView zoomScale="90" zoomScaleNormal="90" workbookViewId="0">
      <pane xSplit="2" ySplit="3" topLeftCell="E29" activePane="bottomRight" state="frozen"/>
      <selection pane="bottomRight" activeCell="K127" sqref="K127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326</v>
      </c>
      <c r="F1" s="97"/>
      <c r="G1" s="97"/>
      <c r="H1" s="95" t="s">
        <v>327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SUM(D4:D160)</f>
        <v>23499964.442760956</v>
      </c>
      <c r="E2" s="6">
        <f>SUM(E4:E160)</f>
        <v>8684902.1839999985</v>
      </c>
      <c r="F2" s="6">
        <f>D2-E2</f>
        <v>14815062.258760957</v>
      </c>
      <c r="G2" s="7">
        <f>IFERROR(F2/E2, 0)</f>
        <v>1.705841003719583</v>
      </c>
      <c r="H2" s="6">
        <f>SUM(H4:H160)</f>
        <v>15257214.217999997</v>
      </c>
      <c r="I2" s="8">
        <f>D2-H2</f>
        <v>8242750.2247609589</v>
      </c>
      <c r="J2" s="7">
        <f>IFERROR(I2/H2, 0)</f>
        <v>0.54025263766935994</v>
      </c>
      <c r="K2" s="23" t="str">
        <f ca="1">IF(AND(TODAY()&gt;DATE(2024, 4,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15124.774689284501</v>
      </c>
      <c r="E4" s="11">
        <v>10511.74</v>
      </c>
      <c r="F4" s="11">
        <f>IF(AND(ISNUMBER(D4),ISNUMBER(E4)), D4-E4, "")</f>
        <v>4613.0346892845009</v>
      </c>
      <c r="G4" s="12">
        <f>IFERROR(F4/E4, "")</f>
        <v>0.43884596549044219</v>
      </c>
      <c r="H4" s="13">
        <v>13597.36</v>
      </c>
      <c r="I4" s="13">
        <f>IF(AND(ISNUMBER(D4),ISNUMBER(H4)), D4-H4, "")</f>
        <v>1527.4146892845001</v>
      </c>
      <c r="J4" s="14">
        <f>IFERROR(I4/H4, "")</f>
        <v>0.11233170919093854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63763.5</v>
      </c>
      <c r="E5" s="15">
        <v>56728.68</v>
      </c>
      <c r="F5" s="15">
        <f t="shared" ref="F5:F68" si="0">IF(AND(ISNUMBER(D5),ISNUMBER(E5)), D5-E5, "")</f>
        <v>7034.82</v>
      </c>
      <c r="G5" s="16">
        <f>IFERROR(F5/E5, "")</f>
        <v>0.12400817364338461</v>
      </c>
      <c r="H5" s="17">
        <v>73887.64</v>
      </c>
      <c r="I5" s="17">
        <f t="shared" ref="I5:I68" si="1">IF(AND(ISNUMBER(D5),ISNUMBER(H5)), D5-H5, "")</f>
        <v>-10124.14</v>
      </c>
      <c r="J5" s="16">
        <f t="shared" ref="J5:J68" si="2">IFERROR(I5/H5, "")</f>
        <v>-0.13702075205000458</v>
      </c>
      <c r="K5" s="74" t="s">
        <v>328</v>
      </c>
      <c r="L5" s="74" t="s">
        <v>329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23044.27</v>
      </c>
      <c r="E6" s="11">
        <v>0</v>
      </c>
      <c r="F6" s="11">
        <f t="shared" si="0"/>
        <v>23044.27</v>
      </c>
      <c r="G6" s="12" t="str">
        <f t="shared" ref="G6:G69" si="3">IFERROR(F6/E6, "")</f>
        <v/>
      </c>
      <c r="H6" s="13">
        <v>2470</v>
      </c>
      <c r="I6" s="13">
        <f t="shared" si="1"/>
        <v>20574.27</v>
      </c>
      <c r="J6" s="14">
        <f t="shared" si="2"/>
        <v>8.3296639676113369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10664.460844641</v>
      </c>
      <c r="E7" s="15">
        <v>17985.099999999999</v>
      </c>
      <c r="F7" s="15">
        <f t="shared" si="0"/>
        <v>-7320.6391553589983</v>
      </c>
      <c r="G7" s="16">
        <f t="shared" si="3"/>
        <v>-0.40703911323034059</v>
      </c>
      <c r="H7" s="17">
        <v>15364.06</v>
      </c>
      <c r="I7" s="17">
        <f t="shared" si="1"/>
        <v>-4699.5991553589993</v>
      </c>
      <c r="J7" s="16">
        <f t="shared" si="2"/>
        <v>-0.30588263488680723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35808.68</v>
      </c>
      <c r="E8" s="11">
        <v>37712.31</v>
      </c>
      <c r="F8" s="11">
        <f t="shared" si="0"/>
        <v>-1903.6299999999974</v>
      </c>
      <c r="G8" s="12">
        <f t="shared" si="3"/>
        <v>-5.0477682221004162E-2</v>
      </c>
      <c r="H8" s="13">
        <v>38246.620000000003</v>
      </c>
      <c r="I8" s="13">
        <f t="shared" si="1"/>
        <v>-2437.9400000000023</v>
      </c>
      <c r="J8" s="14">
        <f t="shared" si="2"/>
        <v>-6.3742626145787573E-2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33595.783503043</v>
      </c>
      <c r="E9" s="15">
        <v>24639.17</v>
      </c>
      <c r="F9" s="15">
        <f t="shared" si="0"/>
        <v>8956.6135030430014</v>
      </c>
      <c r="G9" s="16">
        <f t="shared" si="3"/>
        <v>0.36351116953383583</v>
      </c>
      <c r="H9" s="17">
        <v>34562.199999999997</v>
      </c>
      <c r="I9" s="17">
        <f t="shared" si="1"/>
        <v>-966.41649695699743</v>
      </c>
      <c r="J9" s="16">
        <f t="shared" si="2"/>
        <v>-2.7961660338664714E-2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14821.10833107</v>
      </c>
      <c r="E10" s="11">
        <v>10130.120000000001</v>
      </c>
      <c r="F10" s="11">
        <f t="shared" si="0"/>
        <v>4690.9883310699988</v>
      </c>
      <c r="G10" s="12">
        <f t="shared" si="3"/>
        <v>0.46307332302776261</v>
      </c>
      <c r="H10" s="13">
        <v>15051</v>
      </c>
      <c r="I10" s="13">
        <f t="shared" si="1"/>
        <v>-229.89166893000038</v>
      </c>
      <c r="J10" s="14">
        <f t="shared" si="2"/>
        <v>-1.5274179053219081E-2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10117.5</v>
      </c>
      <c r="E11" s="15">
        <v>0</v>
      </c>
      <c r="F11" s="15">
        <f t="shared" si="0"/>
        <v>10117.5</v>
      </c>
      <c r="G11" s="16" t="str">
        <f t="shared" si="3"/>
        <v/>
      </c>
      <c r="H11" s="17">
        <v>0</v>
      </c>
      <c r="I11" s="17">
        <f t="shared" si="1"/>
        <v>10117.5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87359</v>
      </c>
      <c r="E12" s="11">
        <v>101063.7</v>
      </c>
      <c r="F12" s="11">
        <f t="shared" si="0"/>
        <v>-13704.699999999997</v>
      </c>
      <c r="G12" s="12">
        <f t="shared" si="3"/>
        <v>-0.13560457414482152</v>
      </c>
      <c r="H12" s="13">
        <v>93817</v>
      </c>
      <c r="I12" s="13">
        <f t="shared" si="1"/>
        <v>-6458</v>
      </c>
      <c r="J12" s="14">
        <f t="shared" si="2"/>
        <v>-6.8836138439728412E-2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110222.78125</v>
      </c>
      <c r="E13" s="15">
        <v>109623.5</v>
      </c>
      <c r="F13" s="15">
        <f t="shared" si="0"/>
        <v>599.28125</v>
      </c>
      <c r="G13" s="16">
        <f t="shared" si="3"/>
        <v>5.4667224637053183E-3</v>
      </c>
      <c r="H13" s="17">
        <v>116744</v>
      </c>
      <c r="I13" s="17">
        <f t="shared" si="1"/>
        <v>-6521.21875</v>
      </c>
      <c r="J13" s="16">
        <f t="shared" si="2"/>
        <v>-5.5859134088261493E-2</v>
      </c>
      <c r="K13" s="74" t="s">
        <v>330</v>
      </c>
      <c r="L13" s="75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21835</v>
      </c>
      <c r="E14" s="11">
        <v>0</v>
      </c>
      <c r="F14" s="11">
        <f t="shared" si="0"/>
        <v>21835</v>
      </c>
      <c r="G14" s="12" t="str">
        <f t="shared" si="3"/>
        <v/>
      </c>
      <c r="H14" s="13">
        <v>27488</v>
      </c>
      <c r="I14" s="13">
        <f t="shared" si="1"/>
        <v>-5653</v>
      </c>
      <c r="J14" s="14">
        <f t="shared" si="2"/>
        <v>-0.20565337601862632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18491.07</v>
      </c>
      <c r="E15" s="15">
        <v>11328</v>
      </c>
      <c r="F15" s="15">
        <f t="shared" si="0"/>
        <v>7163.07</v>
      </c>
      <c r="G15" s="16">
        <f t="shared" si="3"/>
        <v>0.63233315677966095</v>
      </c>
      <c r="H15" s="17">
        <v>19010</v>
      </c>
      <c r="I15" s="17">
        <f t="shared" si="1"/>
        <v>-518.93000000000029</v>
      </c>
      <c r="J15" s="16">
        <f t="shared" si="2"/>
        <v>-2.729773803261443E-2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15285.367555385699</v>
      </c>
      <c r="E16" s="11">
        <v>0</v>
      </c>
      <c r="F16" s="11">
        <f t="shared" si="0"/>
        <v>15285.367555385699</v>
      </c>
      <c r="G16" s="12" t="str">
        <f t="shared" si="3"/>
        <v/>
      </c>
      <c r="H16" s="13">
        <v>14996</v>
      </c>
      <c r="I16" s="13">
        <f t="shared" si="1"/>
        <v>289.36755538569923</v>
      </c>
      <c r="J16" s="14">
        <f t="shared" si="2"/>
        <v>1.9296316043324834E-2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90171.06</v>
      </c>
      <c r="E17" s="15">
        <v>0</v>
      </c>
      <c r="F17" s="15">
        <f t="shared" si="0"/>
        <v>90171.06</v>
      </c>
      <c r="G17" s="16" t="str">
        <f t="shared" si="3"/>
        <v/>
      </c>
      <c r="H17" s="17">
        <v>47321</v>
      </c>
      <c r="I17" s="17">
        <f t="shared" si="1"/>
        <v>42850.06</v>
      </c>
      <c r="J17" s="16">
        <f t="shared" si="2"/>
        <v>0.90551890281270464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41126.44</v>
      </c>
      <c r="E18" s="11">
        <v>0</v>
      </c>
      <c r="F18" s="11">
        <f t="shared" si="0"/>
        <v>41126.44</v>
      </c>
      <c r="G18" s="12" t="str">
        <f t="shared" si="3"/>
        <v/>
      </c>
      <c r="H18" s="13">
        <v>14750</v>
      </c>
      <c r="I18" s="13">
        <f t="shared" si="1"/>
        <v>26376.440000000002</v>
      </c>
      <c r="J18" s="80">
        <f t="shared" si="2"/>
        <v>1.7882332203389832</v>
      </c>
      <c r="K18" s="38"/>
      <c r="L18" s="38"/>
    </row>
    <row r="19" spans="1:12" ht="31.5">
      <c r="A19" s="27" t="str">
        <v>RCAB</v>
      </c>
      <c r="B19" s="28" t="str">
        <v>MA</v>
      </c>
      <c r="C19" s="28" t="str">
        <f>Sites[[#This Row],[SOL'#]]</f>
        <v>SOL-10838</v>
      </c>
      <c r="D19" s="10">
        <v>117019</v>
      </c>
      <c r="E19" s="15">
        <v>132815.6</v>
      </c>
      <c r="F19" s="15">
        <f t="shared" si="0"/>
        <v>-15796.600000000006</v>
      </c>
      <c r="G19" s="16">
        <f t="shared" si="3"/>
        <v>-0.11893632976849108</v>
      </c>
      <c r="H19" s="17">
        <v>128367.8</v>
      </c>
      <c r="I19" s="17">
        <f t="shared" si="1"/>
        <v>-11348.800000000003</v>
      </c>
      <c r="J19" s="16">
        <f t="shared" si="2"/>
        <v>-8.8408463804785953E-2</v>
      </c>
      <c r="K19" s="74" t="s">
        <v>331</v>
      </c>
      <c r="L19" s="77" t="s">
        <v>332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30947.625</v>
      </c>
      <c r="E20" s="11">
        <v>32366.720000000001</v>
      </c>
      <c r="F20" s="11">
        <f t="shared" si="0"/>
        <v>-1419.0950000000012</v>
      </c>
      <c r="G20" s="12">
        <f t="shared" si="3"/>
        <v>-4.3844263490400048E-2</v>
      </c>
      <c r="H20" s="13">
        <v>34638.18</v>
      </c>
      <c r="I20" s="13">
        <f t="shared" si="1"/>
        <v>-3690.5550000000003</v>
      </c>
      <c r="J20" s="80">
        <f t="shared" si="2"/>
        <v>-0.10654586932685263</v>
      </c>
      <c r="K20" s="73" t="s">
        <v>333</v>
      </c>
      <c r="L20" s="73" t="s">
        <v>334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32171.25</v>
      </c>
      <c r="E21" s="15">
        <v>34586.76</v>
      </c>
      <c r="F21" s="15">
        <f t="shared" si="0"/>
        <v>-2415.510000000002</v>
      </c>
      <c r="G21" s="16">
        <f t="shared" si="3"/>
        <v>-6.9839152323027717E-2</v>
      </c>
      <c r="H21" s="17">
        <v>37399.879999999997</v>
      </c>
      <c r="I21" s="17">
        <f t="shared" si="1"/>
        <v>-5228.6299999999974</v>
      </c>
      <c r="J21" s="16">
        <f t="shared" si="2"/>
        <v>-0.13980338974349643</v>
      </c>
      <c r="K21" s="39"/>
      <c r="L21" s="40"/>
    </row>
    <row r="22" spans="1:12" ht="28.5">
      <c r="A22" s="25" t="str">
        <v>K041</v>
      </c>
      <c r="B22" s="26" t="str">
        <v>NY</v>
      </c>
      <c r="C22" s="26" t="str">
        <f>Sites[[#This Row],[SOL'#]]</f>
        <v>SOL-10357</v>
      </c>
      <c r="D22" s="21">
        <v>20243.9296875</v>
      </c>
      <c r="E22" s="11">
        <v>0</v>
      </c>
      <c r="F22" s="11">
        <f t="shared" si="0"/>
        <v>20243.9296875</v>
      </c>
      <c r="G22" s="12" t="str">
        <f t="shared" si="3"/>
        <v/>
      </c>
      <c r="H22" s="13">
        <v>0</v>
      </c>
      <c r="I22" s="13">
        <f t="shared" si="1"/>
        <v>20243.9296875</v>
      </c>
      <c r="J22" s="80" t="str">
        <f t="shared" si="2"/>
        <v/>
      </c>
      <c r="K22" s="73" t="s">
        <v>335</v>
      </c>
      <c r="L22" s="73" t="s">
        <v>336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28735.9375</v>
      </c>
      <c r="E23" s="15">
        <v>30006.39</v>
      </c>
      <c r="F23" s="15">
        <f t="shared" si="0"/>
        <v>-1270.4524999999994</v>
      </c>
      <c r="G23" s="16">
        <f t="shared" si="3"/>
        <v>-4.2339398374812813E-2</v>
      </c>
      <c r="H23" s="17">
        <v>36644</v>
      </c>
      <c r="I23" s="17">
        <f t="shared" si="1"/>
        <v>-7908.0625</v>
      </c>
      <c r="J23" s="16">
        <f t="shared" si="2"/>
        <v>-0.21580784030127714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23873.125</v>
      </c>
      <c r="E24" s="11">
        <v>24535.03</v>
      </c>
      <c r="F24" s="11">
        <f t="shared" si="0"/>
        <v>-661.90499999999884</v>
      </c>
      <c r="G24" s="12">
        <f t="shared" si="3"/>
        <v>-2.6977957638527398E-2</v>
      </c>
      <c r="H24" s="13">
        <v>22239.45</v>
      </c>
      <c r="I24" s="13">
        <f t="shared" si="1"/>
        <v>1633.6749999999993</v>
      </c>
      <c r="J24" s="80">
        <f t="shared" si="2"/>
        <v>7.345842635496827E-2</v>
      </c>
      <c r="K24" s="38"/>
      <c r="L24" s="38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6370.2584374999997</v>
      </c>
      <c r="E25" s="15">
        <v>10410.89</v>
      </c>
      <c r="F25" s="15">
        <f t="shared" si="0"/>
        <v>-4040.6315624999997</v>
      </c>
      <c r="G25" s="16">
        <f t="shared" si="3"/>
        <v>-0.38811586353328104</v>
      </c>
      <c r="H25" s="17">
        <v>7923.335</v>
      </c>
      <c r="I25" s="17">
        <f t="shared" si="1"/>
        <v>-1553.0765625000004</v>
      </c>
      <c r="J25" s="16">
        <f t="shared" si="2"/>
        <v>-0.1960129872711428</v>
      </c>
      <c r="K25" s="76" t="s">
        <v>337</v>
      </c>
      <c r="L25" s="74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9140.75</v>
      </c>
      <c r="E26" s="11">
        <v>9247.51</v>
      </c>
      <c r="F26" s="11">
        <f t="shared" si="0"/>
        <v>-106.76000000000022</v>
      </c>
      <c r="G26" s="12">
        <f t="shared" si="3"/>
        <v>-1.1544729337951537E-2</v>
      </c>
      <c r="H26" s="13">
        <v>1747</v>
      </c>
      <c r="I26" s="13">
        <f t="shared" si="1"/>
        <v>7393.75</v>
      </c>
      <c r="J26" s="80">
        <f t="shared" si="2"/>
        <v>4.2322552947910701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33466.375</v>
      </c>
      <c r="E27" s="15">
        <v>35415.769999999997</v>
      </c>
      <c r="F27" s="15">
        <f t="shared" si="0"/>
        <v>-1949.3949999999968</v>
      </c>
      <c r="G27" s="16">
        <f t="shared" si="3"/>
        <v>-5.5043134739128842E-2</v>
      </c>
      <c r="H27" s="17">
        <v>38408.519999999997</v>
      </c>
      <c r="I27" s="17">
        <f t="shared" si="1"/>
        <v>-4942.1449999999968</v>
      </c>
      <c r="J27" s="16">
        <f t="shared" si="2"/>
        <v>-0.12867314335465144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18668.4213671875</v>
      </c>
      <c r="E28" s="11">
        <v>0</v>
      </c>
      <c r="F28" s="11">
        <f t="shared" si="0"/>
        <v>18668.4213671875</v>
      </c>
      <c r="G28" s="12" t="str">
        <f t="shared" si="3"/>
        <v/>
      </c>
      <c r="H28" s="13">
        <v>0</v>
      </c>
      <c r="I28" s="13">
        <f t="shared" si="1"/>
        <v>18668.4213671875</v>
      </c>
      <c r="J28" s="80" t="str">
        <f t="shared" si="2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20644.03125</v>
      </c>
      <c r="E29" s="15">
        <v>21406.02</v>
      </c>
      <c r="F29" s="15">
        <f t="shared" si="0"/>
        <v>-761.98875000000044</v>
      </c>
      <c r="G29" s="16">
        <f t="shared" si="3"/>
        <v>-3.5596937216726902E-2</v>
      </c>
      <c r="H29" s="17">
        <v>20494.689999999999</v>
      </c>
      <c r="I29" s="17">
        <f t="shared" si="1"/>
        <v>149.34125000000131</v>
      </c>
      <c r="J29" s="16">
        <f t="shared" si="2"/>
        <v>7.2868264901787402E-3</v>
      </c>
      <c r="K29" s="74" t="s">
        <v>338</v>
      </c>
      <c r="L29" s="74" t="s">
        <v>254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19510.0625</v>
      </c>
      <c r="E30" s="11">
        <v>0</v>
      </c>
      <c r="F30" s="11">
        <f t="shared" si="0"/>
        <v>19510.0625</v>
      </c>
      <c r="G30" s="12" t="str">
        <f t="shared" si="3"/>
        <v/>
      </c>
      <c r="H30" s="13">
        <v>22665.81</v>
      </c>
      <c r="I30" s="13">
        <f t="shared" si="1"/>
        <v>-3155.7475000000013</v>
      </c>
      <c r="J30" s="80">
        <f t="shared" si="2"/>
        <v>-0.13922941646471054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22697.5</v>
      </c>
      <c r="E31" s="15">
        <v>0</v>
      </c>
      <c r="F31" s="15">
        <f t="shared" si="0"/>
        <v>22697.5</v>
      </c>
      <c r="G31" s="16" t="str">
        <f t="shared" si="3"/>
        <v/>
      </c>
      <c r="H31" s="17">
        <v>25882</v>
      </c>
      <c r="I31" s="17">
        <f t="shared" si="1"/>
        <v>-3184.5</v>
      </c>
      <c r="J31" s="16">
        <f t="shared" si="2"/>
        <v>-0.1230391778069701</v>
      </c>
      <c r="K31" s="74" t="s">
        <v>339</v>
      </c>
      <c r="L31" s="75" t="s">
        <v>340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17370.375</v>
      </c>
      <c r="E32" s="11">
        <v>15168.98</v>
      </c>
      <c r="F32" s="11">
        <f t="shared" si="0"/>
        <v>2201.3950000000004</v>
      </c>
      <c r="G32" s="12">
        <f t="shared" si="3"/>
        <v>0.14512478755987551</v>
      </c>
      <c r="H32" s="13">
        <v>18262</v>
      </c>
      <c r="I32" s="13">
        <f t="shared" si="1"/>
        <v>-891.625</v>
      </c>
      <c r="J32" s="80">
        <f t="shared" si="2"/>
        <v>-4.8824060891468624E-2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19067.9375</v>
      </c>
      <c r="E33" s="15">
        <v>19600.169999999998</v>
      </c>
      <c r="F33" s="15">
        <f t="shared" si="0"/>
        <v>-532.23249999999825</v>
      </c>
      <c r="G33" s="16">
        <f t="shared" si="3"/>
        <v>-2.7154483864170478E-2</v>
      </c>
      <c r="H33" s="17">
        <v>0</v>
      </c>
      <c r="I33" s="17">
        <f t="shared" si="1"/>
        <v>19067.9375</v>
      </c>
      <c r="J33" s="16" t="str">
        <f t="shared" si="2"/>
        <v/>
      </c>
      <c r="K33" s="39"/>
      <c r="L33" s="40"/>
    </row>
    <row r="34" spans="1:12" ht="28.5">
      <c r="A34" s="25" t="str">
        <v>K335</v>
      </c>
      <c r="B34" s="26" t="str">
        <v>NY</v>
      </c>
      <c r="C34" s="26" t="str">
        <f>Sites[[#This Row],[SOL'#]]</f>
        <v>SOL-10370</v>
      </c>
      <c r="D34" s="21">
        <v>18871.375</v>
      </c>
      <c r="E34" s="11">
        <v>21253.01</v>
      </c>
      <c r="F34" s="11">
        <f t="shared" si="0"/>
        <v>-2381.6349999999984</v>
      </c>
      <c r="G34" s="12">
        <f t="shared" si="3"/>
        <v>-0.1120610680557718</v>
      </c>
      <c r="H34" s="13">
        <v>23703</v>
      </c>
      <c r="I34" s="13">
        <f t="shared" si="1"/>
        <v>-4831.625</v>
      </c>
      <c r="J34" s="80">
        <f t="shared" si="2"/>
        <v>-0.20384023119436359</v>
      </c>
      <c r="K34" s="73" t="s">
        <v>341</v>
      </c>
      <c r="L34" s="73" t="s">
        <v>256</v>
      </c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20820.3359375</v>
      </c>
      <c r="E35" s="15">
        <v>13629.56</v>
      </c>
      <c r="F35" s="15">
        <f t="shared" si="0"/>
        <v>7190.7759375000005</v>
      </c>
      <c r="G35" s="16">
        <f t="shared" si="3"/>
        <v>0.52758679939044262</v>
      </c>
      <c r="H35" s="17">
        <v>12110</v>
      </c>
      <c r="I35" s="17">
        <f t="shared" si="1"/>
        <v>8710.3359375</v>
      </c>
      <c r="J35" s="16">
        <f t="shared" si="2"/>
        <v>0.7192680377786953</v>
      </c>
      <c r="K35" s="74" t="s">
        <v>342</v>
      </c>
      <c r="L35" s="75" t="s">
        <v>258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18595.015625</v>
      </c>
      <c r="E36" s="11">
        <v>20119.12</v>
      </c>
      <c r="F36" s="11">
        <f t="shared" si="0"/>
        <v>-1524.104374999999</v>
      </c>
      <c r="G36" s="12">
        <f t="shared" si="3"/>
        <v>-7.5754027760657483E-2</v>
      </c>
      <c r="H36" s="13">
        <v>23218.89</v>
      </c>
      <c r="I36" s="13">
        <f t="shared" si="1"/>
        <v>-4623.8743749999994</v>
      </c>
      <c r="J36" s="80">
        <f t="shared" si="2"/>
        <v>-0.199142783096005</v>
      </c>
      <c r="K36" s="38"/>
      <c r="L36" s="38"/>
    </row>
    <row r="37" spans="1:12" ht="31.5">
      <c r="A37" s="27" t="str">
        <v>K495</v>
      </c>
      <c r="B37" s="28" t="str">
        <v>NY</v>
      </c>
      <c r="C37" s="28" t="str">
        <f>Sites[[#This Row],[SOL'#]]</f>
        <v>SOL-10374</v>
      </c>
      <c r="D37" s="10">
        <v>68781.755312499896</v>
      </c>
      <c r="E37" s="15">
        <v>0</v>
      </c>
      <c r="F37" s="15">
        <f t="shared" si="0"/>
        <v>68781.755312499896</v>
      </c>
      <c r="G37" s="16" t="str">
        <f t="shared" si="3"/>
        <v/>
      </c>
      <c r="H37" s="17">
        <v>0</v>
      </c>
      <c r="I37" s="17">
        <f t="shared" si="1"/>
        <v>68781.755312499896</v>
      </c>
      <c r="J37" s="16" t="str">
        <f t="shared" si="2"/>
        <v/>
      </c>
      <c r="K37" s="39" t="s">
        <v>343</v>
      </c>
      <c r="L37" s="40" t="s">
        <v>344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18813.484375</v>
      </c>
      <c r="E38" s="11">
        <v>21531.99</v>
      </c>
      <c r="F38" s="11">
        <f t="shared" si="0"/>
        <v>-2718.5056250000016</v>
      </c>
      <c r="G38" s="12">
        <f t="shared" si="3"/>
        <v>-0.12625426748758481</v>
      </c>
      <c r="H38" s="13">
        <v>0</v>
      </c>
      <c r="I38" s="13">
        <f t="shared" si="1"/>
        <v>18813.484375</v>
      </c>
      <c r="J38" s="80" t="str">
        <f t="shared" si="2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19299.125</v>
      </c>
      <c r="E39" s="15">
        <v>20876.509999999998</v>
      </c>
      <c r="F39" s="15">
        <f t="shared" si="0"/>
        <v>-1577.3849999999984</v>
      </c>
      <c r="G39" s="16">
        <f t="shared" si="3"/>
        <v>-7.5557887788715569E-2</v>
      </c>
      <c r="H39" s="17">
        <v>24023.46</v>
      </c>
      <c r="I39" s="17">
        <f t="shared" si="1"/>
        <v>-4724.3349999999991</v>
      </c>
      <c r="J39" s="16">
        <f t="shared" si="2"/>
        <v>-0.19665506134420269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22629.53125</v>
      </c>
      <c r="E40" s="11">
        <v>26223.48</v>
      </c>
      <c r="F40" s="11">
        <f t="shared" si="0"/>
        <v>-3593.9487499999996</v>
      </c>
      <c r="G40" s="12">
        <f t="shared" si="3"/>
        <v>-0.13705079379243335</v>
      </c>
      <c r="H40" s="13">
        <v>27372.3</v>
      </c>
      <c r="I40" s="13">
        <f t="shared" si="1"/>
        <v>-4742.7687499999993</v>
      </c>
      <c r="J40" s="80">
        <f t="shared" si="2"/>
        <v>-0.17326891602094086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31957.328125</v>
      </c>
      <c r="E41" s="15">
        <v>0</v>
      </c>
      <c r="F41" s="15">
        <f t="shared" si="0"/>
        <v>31957.328125</v>
      </c>
      <c r="G41" s="16" t="str">
        <f t="shared" si="3"/>
        <v/>
      </c>
      <c r="H41" s="17">
        <v>0</v>
      </c>
      <c r="I41" s="17">
        <f t="shared" si="1"/>
        <v>31957.328125</v>
      </c>
      <c r="J41" s="16" t="str">
        <f t="shared" si="2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21756.6875</v>
      </c>
      <c r="E42" s="11">
        <v>18528.39</v>
      </c>
      <c r="F42" s="11">
        <f t="shared" si="0"/>
        <v>3228.2975000000006</v>
      </c>
      <c r="G42" s="12">
        <f t="shared" si="3"/>
        <v>0.17423518719111594</v>
      </c>
      <c r="H42" s="13">
        <v>20833.27</v>
      </c>
      <c r="I42" s="13">
        <f t="shared" si="1"/>
        <v>923.41749999999956</v>
      </c>
      <c r="J42" s="80">
        <f t="shared" si="2"/>
        <v>4.4324174745491204E-2</v>
      </c>
      <c r="K42" s="73" t="s">
        <v>345</v>
      </c>
      <c r="L42" s="73" t="s">
        <v>346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17732.078125</v>
      </c>
      <c r="E43" s="15">
        <v>0</v>
      </c>
      <c r="F43" s="15">
        <f t="shared" si="0"/>
        <v>17732.078125</v>
      </c>
      <c r="G43" s="16" t="str">
        <f t="shared" si="3"/>
        <v/>
      </c>
      <c r="H43" s="17">
        <v>0</v>
      </c>
      <c r="I43" s="17">
        <f t="shared" si="1"/>
        <v>17732.078125</v>
      </c>
      <c r="J43" s="16" t="str">
        <f t="shared" si="2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4030.6416555433402</v>
      </c>
      <c r="E44" s="11">
        <v>6144.5990000000002</v>
      </c>
      <c r="F44" s="11">
        <f t="shared" si="0"/>
        <v>-2113.9573444566599</v>
      </c>
      <c r="G44" s="12">
        <f t="shared" si="3"/>
        <v>-0.34403503702302785</v>
      </c>
      <c r="H44" s="13">
        <v>8799.6059999999998</v>
      </c>
      <c r="I44" s="13">
        <f t="shared" si="1"/>
        <v>-4768.9643444566591</v>
      </c>
      <c r="J44" s="80">
        <f t="shared" si="2"/>
        <v>-0.5419520310860122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28350.0625</v>
      </c>
      <c r="E45" s="15">
        <v>27821.040000000001</v>
      </c>
      <c r="F45" s="15">
        <f t="shared" si="0"/>
        <v>529.02249999999913</v>
      </c>
      <c r="G45" s="16">
        <f t="shared" si="3"/>
        <v>1.9015194974738511E-2</v>
      </c>
      <c r="H45" s="17">
        <v>27040</v>
      </c>
      <c r="I45" s="17">
        <f t="shared" si="1"/>
        <v>1310.0625</v>
      </c>
      <c r="J45" s="16">
        <f t="shared" si="2"/>
        <v>4.8449056952662724E-2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18827.0625</v>
      </c>
      <c r="E46" s="11">
        <v>17172.93</v>
      </c>
      <c r="F46" s="11">
        <f t="shared" si="0"/>
        <v>1654.1324999999997</v>
      </c>
      <c r="G46" s="12">
        <f t="shared" si="3"/>
        <v>9.6322089474539269E-2</v>
      </c>
      <c r="H46" s="13">
        <v>20669.810000000001</v>
      </c>
      <c r="I46" s="13">
        <f t="shared" si="1"/>
        <v>-1842.7475000000013</v>
      </c>
      <c r="J46" s="80">
        <f t="shared" si="2"/>
        <v>-8.91516419357508E-2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14707.6875</v>
      </c>
      <c r="E47" s="15">
        <v>14156.51</v>
      </c>
      <c r="F47" s="15">
        <f t="shared" si="0"/>
        <v>551.17749999999978</v>
      </c>
      <c r="G47" s="16">
        <f t="shared" si="3"/>
        <v>3.8934560848683734E-2</v>
      </c>
      <c r="H47" s="17">
        <v>7589.0519999999997</v>
      </c>
      <c r="I47" s="17">
        <f t="shared" si="1"/>
        <v>7118.6355000000003</v>
      </c>
      <c r="J47" s="16">
        <f t="shared" si="2"/>
        <v>0.93801379935201401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22860.625</v>
      </c>
      <c r="E48" s="11">
        <v>24951.81</v>
      </c>
      <c r="F48" s="11">
        <f t="shared" si="0"/>
        <v>-2091.1850000000013</v>
      </c>
      <c r="G48" s="12">
        <f t="shared" si="3"/>
        <v>-8.3808950132275017E-2</v>
      </c>
      <c r="H48" s="13">
        <v>13314</v>
      </c>
      <c r="I48" s="13">
        <f t="shared" si="1"/>
        <v>9546.625</v>
      </c>
      <c r="J48" s="80">
        <f t="shared" si="2"/>
        <v>0.71703657803815535</v>
      </c>
      <c r="K48" s="73" t="s">
        <v>347</v>
      </c>
      <c r="L48" s="73" t="s">
        <v>348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16561.71875</v>
      </c>
      <c r="E49" s="15">
        <v>16457.669999999998</v>
      </c>
      <c r="F49" s="15">
        <f t="shared" si="0"/>
        <v>104.04875000000175</v>
      </c>
      <c r="G49" s="16">
        <f t="shared" si="3"/>
        <v>6.3222041759253746E-3</v>
      </c>
      <c r="H49" s="17">
        <v>17263.27</v>
      </c>
      <c r="I49" s="17">
        <f t="shared" si="1"/>
        <v>-701.55125000000044</v>
      </c>
      <c r="J49" s="16">
        <f t="shared" si="2"/>
        <v>-4.0638375580061045E-2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21347.125</v>
      </c>
      <c r="E50" s="11">
        <v>22358.55</v>
      </c>
      <c r="F50" s="11">
        <f t="shared" si="0"/>
        <v>-1011.4249999999993</v>
      </c>
      <c r="G50" s="12">
        <f t="shared" si="3"/>
        <v>-4.5236609708590197E-2</v>
      </c>
      <c r="H50" s="13">
        <v>24087.95</v>
      </c>
      <c r="I50" s="13">
        <f t="shared" si="1"/>
        <v>-2740.8250000000007</v>
      </c>
      <c r="J50" s="80">
        <f t="shared" si="2"/>
        <v>-0.11378407045846578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12824.5625</v>
      </c>
      <c r="E51" s="15">
        <v>13770.59</v>
      </c>
      <c r="F51" s="15">
        <f t="shared" si="0"/>
        <v>-946.02750000000015</v>
      </c>
      <c r="G51" s="16">
        <f t="shared" si="3"/>
        <v>-6.8699126181231168E-2</v>
      </c>
      <c r="H51" s="17">
        <v>13772</v>
      </c>
      <c r="I51" s="17">
        <f t="shared" si="1"/>
        <v>-947.4375</v>
      </c>
      <c r="J51" s="16">
        <f t="shared" si="2"/>
        <v>-6.8794474295672384E-2</v>
      </c>
      <c r="K51" s="39"/>
      <c r="L51" s="40"/>
    </row>
    <row r="52" spans="1:12" ht="42.75">
      <c r="A52" s="25" t="str">
        <v>Q157</v>
      </c>
      <c r="B52" s="26" t="str">
        <v>NY</v>
      </c>
      <c r="C52" s="26" t="str">
        <f>Sites[[#This Row],[SOL'#]]</f>
        <v>SOL-10404</v>
      </c>
      <c r="D52" s="21">
        <v>19896.4375</v>
      </c>
      <c r="E52" s="11">
        <v>24392.17</v>
      </c>
      <c r="F52" s="11">
        <f t="shared" si="0"/>
        <v>-4495.7324999999983</v>
      </c>
      <c r="G52" s="12">
        <f t="shared" si="3"/>
        <v>-0.18431047750159163</v>
      </c>
      <c r="H52" s="13">
        <v>26050.57</v>
      </c>
      <c r="I52" s="13">
        <f t="shared" si="1"/>
        <v>-6154.1324999999997</v>
      </c>
      <c r="J52" s="80">
        <f t="shared" si="2"/>
        <v>-0.23623792108963451</v>
      </c>
      <c r="K52" s="38" t="s">
        <v>349</v>
      </c>
      <c r="L52" s="38" t="s">
        <v>350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35318</v>
      </c>
      <c r="E53" s="15">
        <v>38028.449999999997</v>
      </c>
      <c r="F53" s="15">
        <f t="shared" si="0"/>
        <v>-2710.4499999999971</v>
      </c>
      <c r="G53" s="16">
        <f t="shared" si="3"/>
        <v>-7.1274269658637077E-2</v>
      </c>
      <c r="H53" s="17">
        <v>35584.730000000003</v>
      </c>
      <c r="I53" s="17">
        <f t="shared" si="1"/>
        <v>-266.7300000000032</v>
      </c>
      <c r="J53" s="16">
        <f t="shared" si="2"/>
        <v>-7.4956308506486683E-3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28573.125</v>
      </c>
      <c r="E54" s="11">
        <v>28335.040000000001</v>
      </c>
      <c r="F54" s="11">
        <f t="shared" si="0"/>
        <v>238.08499999999913</v>
      </c>
      <c r="G54" s="12">
        <f t="shared" si="3"/>
        <v>8.4024938733101885E-3</v>
      </c>
      <c r="H54" s="13">
        <v>26314</v>
      </c>
      <c r="I54" s="13">
        <f t="shared" si="1"/>
        <v>2259.125</v>
      </c>
      <c r="J54" s="80">
        <f t="shared" si="2"/>
        <v>8.5852587975982372E-2</v>
      </c>
      <c r="K54" s="73" t="s">
        <v>351</v>
      </c>
      <c r="L54" s="73" t="s">
        <v>352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12812.90625</v>
      </c>
      <c r="E55" s="15">
        <v>13781.93</v>
      </c>
      <c r="F55" s="15">
        <f t="shared" si="0"/>
        <v>-969.02375000000029</v>
      </c>
      <c r="G55" s="16">
        <f t="shared" si="3"/>
        <v>-7.0311179203493293E-2</v>
      </c>
      <c r="H55" s="17">
        <v>14716.48</v>
      </c>
      <c r="I55" s="17">
        <f t="shared" si="1"/>
        <v>-1903.5737499999996</v>
      </c>
      <c r="J55" s="16">
        <f t="shared" si="2"/>
        <v>-0.12934980035986865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46914.4375</v>
      </c>
      <c r="E56" s="11">
        <v>48254.57</v>
      </c>
      <c r="F56" s="11">
        <f t="shared" si="0"/>
        <v>-1340.1324999999997</v>
      </c>
      <c r="G56" s="12">
        <f t="shared" si="3"/>
        <v>-2.777213640075955E-2</v>
      </c>
      <c r="H56" s="13">
        <v>0</v>
      </c>
      <c r="I56" s="13">
        <f t="shared" si="1"/>
        <v>46914.4375</v>
      </c>
      <c r="J56" s="80" t="str">
        <f t="shared" si="2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50714.625</v>
      </c>
      <c r="E57" s="15">
        <v>53806.32</v>
      </c>
      <c r="F57" s="15">
        <f t="shared" si="0"/>
        <v>-3091.6949999999997</v>
      </c>
      <c r="G57" s="16">
        <f t="shared" si="3"/>
        <v>-5.7459699901424216E-2</v>
      </c>
      <c r="H57" s="17">
        <v>41785.1</v>
      </c>
      <c r="I57" s="17">
        <f t="shared" si="1"/>
        <v>8929.5250000000015</v>
      </c>
      <c r="J57" s="16">
        <f t="shared" si="2"/>
        <v>0.21370117577796874</v>
      </c>
      <c r="K57" s="74" t="s">
        <v>353</v>
      </c>
      <c r="L57" s="75" t="s">
        <v>354</v>
      </c>
    </row>
    <row r="58" spans="1:12" ht="71.25">
      <c r="A58" s="25" t="str">
        <v>Q435</v>
      </c>
      <c r="B58" s="26" t="str">
        <v>NY</v>
      </c>
      <c r="C58" s="26" t="str">
        <f>Sites[[#This Row],[SOL'#]]</f>
        <v>SOL-10923</v>
      </c>
      <c r="D58" s="21">
        <v>11142.8125</v>
      </c>
      <c r="E58" s="11">
        <v>10856.08</v>
      </c>
      <c r="F58" s="11">
        <f t="shared" si="0"/>
        <v>286.73250000000007</v>
      </c>
      <c r="G58" s="12">
        <f t="shared" si="3"/>
        <v>2.6412157979675912E-2</v>
      </c>
      <c r="H58" s="13">
        <v>0</v>
      </c>
      <c r="I58" s="13">
        <f t="shared" si="1"/>
        <v>11142.8125</v>
      </c>
      <c r="J58" s="80" t="str">
        <f t="shared" si="2"/>
        <v/>
      </c>
      <c r="K58" s="38" t="s">
        <v>355</v>
      </c>
      <c r="L58" s="38" t="s">
        <v>356</v>
      </c>
    </row>
    <row r="59" spans="1:12" ht="31.5">
      <c r="A59" s="27" t="str">
        <v>Q485</v>
      </c>
      <c r="B59" s="28" t="str">
        <v>NY</v>
      </c>
      <c r="C59" s="28" t="str">
        <f>Sites[[#This Row],[SOL'#]]</f>
        <v>SOL-10869</v>
      </c>
      <c r="D59" s="10">
        <v>63297.0546875</v>
      </c>
      <c r="E59" s="15">
        <v>48417.72</v>
      </c>
      <c r="F59" s="15">
        <f t="shared" si="0"/>
        <v>14879.334687499999</v>
      </c>
      <c r="G59" s="16">
        <f t="shared" si="3"/>
        <v>0.30731175874246036</v>
      </c>
      <c r="H59" s="17">
        <v>47482.09</v>
      </c>
      <c r="I59" s="17">
        <f t="shared" si="1"/>
        <v>15814.964687500003</v>
      </c>
      <c r="J59" s="16">
        <f t="shared" si="2"/>
        <v>0.33307221075357057</v>
      </c>
      <c r="K59" s="74" t="s">
        <v>357</v>
      </c>
      <c r="L59" s="40" t="s">
        <v>358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45662.1875</v>
      </c>
      <c r="E60" s="11"/>
      <c r="F60" s="11" t="str">
        <f t="shared" si="0"/>
        <v/>
      </c>
      <c r="G60" s="12" t="str">
        <f t="shared" si="3"/>
        <v/>
      </c>
      <c r="H60" s="13">
        <v>49901.71</v>
      </c>
      <c r="I60" s="13">
        <f t="shared" si="1"/>
        <v>-4239.5224999999991</v>
      </c>
      <c r="J60" s="80">
        <f t="shared" si="2"/>
        <v>-8.4957459373636676E-2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68204.5</v>
      </c>
      <c r="E61" s="15">
        <v>68635.75</v>
      </c>
      <c r="F61" s="15">
        <f t="shared" si="0"/>
        <v>-431.25</v>
      </c>
      <c r="G61" s="16">
        <f t="shared" si="3"/>
        <v>-6.2831687568067661E-3</v>
      </c>
      <c r="H61" s="17">
        <v>74239.320000000007</v>
      </c>
      <c r="I61" s="17">
        <f t="shared" si="1"/>
        <v>-6034.820000000007</v>
      </c>
      <c r="J61" s="16">
        <f t="shared" si="2"/>
        <v>-8.1288729476509294E-2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5745</v>
      </c>
      <c r="E62" s="11"/>
      <c r="F62" s="11" t="str">
        <f t="shared" si="0"/>
        <v/>
      </c>
      <c r="G62" s="12" t="str">
        <f t="shared" si="3"/>
        <v/>
      </c>
      <c r="H62" s="13">
        <v>6339.7030000000004</v>
      </c>
      <c r="I62" s="13">
        <f t="shared" si="1"/>
        <v>-594.70300000000043</v>
      </c>
      <c r="J62" s="80">
        <f t="shared" si="2"/>
        <v>-9.3806129403853841E-2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25442.5546875</v>
      </c>
      <c r="E63" s="15">
        <v>0</v>
      </c>
      <c r="F63" s="15">
        <f t="shared" si="0"/>
        <v>25442.5546875</v>
      </c>
      <c r="G63" s="16" t="str">
        <f t="shared" si="3"/>
        <v/>
      </c>
      <c r="H63" s="17">
        <v>0</v>
      </c>
      <c r="I63" s="17">
        <f t="shared" si="1"/>
        <v>25442.5546875</v>
      </c>
      <c r="J63" s="16" t="str">
        <f t="shared" si="2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22186</v>
      </c>
      <c r="E64" s="11">
        <v>20783</v>
      </c>
      <c r="F64" s="11">
        <f t="shared" si="0"/>
        <v>1403</v>
      </c>
      <c r="G64" s="12">
        <f t="shared" si="3"/>
        <v>6.7507097146706441E-2</v>
      </c>
      <c r="H64" s="13">
        <v>23221</v>
      </c>
      <c r="I64" s="13">
        <f t="shared" si="1"/>
        <v>-1035</v>
      </c>
      <c r="J64" s="80">
        <f t="shared" si="2"/>
        <v>-4.4571723870634343E-2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19040</v>
      </c>
      <c r="E65" s="15">
        <v>16832</v>
      </c>
      <c r="F65" s="15">
        <f t="shared" si="0"/>
        <v>2208</v>
      </c>
      <c r="G65" s="16">
        <f t="shared" si="3"/>
        <v>0.13117870722433461</v>
      </c>
      <c r="H65" s="17">
        <v>16450</v>
      </c>
      <c r="I65" s="17">
        <f t="shared" si="1"/>
        <v>2590</v>
      </c>
      <c r="J65" s="16">
        <f t="shared" si="2"/>
        <v>0.1574468085106383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15809</v>
      </c>
      <c r="E66" s="11">
        <v>17762</v>
      </c>
      <c r="F66" s="11">
        <f t="shared" si="0"/>
        <v>-1953</v>
      </c>
      <c r="G66" s="12">
        <f t="shared" si="3"/>
        <v>-0.10995383402769958</v>
      </c>
      <c r="H66" s="13">
        <v>23816</v>
      </c>
      <c r="I66" s="13">
        <f t="shared" si="1"/>
        <v>-8007</v>
      </c>
      <c r="J66" s="80">
        <f t="shared" si="2"/>
        <v>-0.33620255290560969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26460</v>
      </c>
      <c r="E67" s="15">
        <v>27391</v>
      </c>
      <c r="F67" s="15">
        <f t="shared" si="0"/>
        <v>-931</v>
      </c>
      <c r="G67" s="16">
        <f t="shared" si="3"/>
        <v>-3.3989266547406083E-2</v>
      </c>
      <c r="H67" s="17">
        <v>21727</v>
      </c>
      <c r="I67" s="17">
        <f t="shared" si="1"/>
        <v>4733</v>
      </c>
      <c r="J67" s="16">
        <f t="shared" si="2"/>
        <v>0.21783955447139502</v>
      </c>
      <c r="K67" s="74" t="s">
        <v>359</v>
      </c>
      <c r="L67" s="75" t="s">
        <v>360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28802</v>
      </c>
      <c r="E68" s="11">
        <v>0</v>
      </c>
      <c r="F68" s="11">
        <f t="shared" si="0"/>
        <v>28802</v>
      </c>
      <c r="G68" s="12" t="str">
        <f t="shared" si="3"/>
        <v/>
      </c>
      <c r="H68" s="13">
        <v>0</v>
      </c>
      <c r="I68" s="13">
        <f t="shared" si="1"/>
        <v>28802</v>
      </c>
      <c r="J68" s="80" t="str">
        <f t="shared" si="2"/>
        <v/>
      </c>
      <c r="K68" s="73" t="s">
        <v>361</v>
      </c>
      <c r="L68" s="78" t="s">
        <v>362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20295</v>
      </c>
      <c r="E69" s="15">
        <v>0</v>
      </c>
      <c r="F69" s="15">
        <f t="shared" ref="F69:F132" si="4">IF(AND(ISNUMBER(D69),ISNUMBER(E69)), D69-E69, "")</f>
        <v>20295</v>
      </c>
      <c r="G69" s="16" t="str">
        <f t="shared" si="3"/>
        <v/>
      </c>
      <c r="H69" s="17">
        <v>0</v>
      </c>
      <c r="I69" s="17">
        <f t="shared" ref="I69:I132" si="5">IF(AND(ISNUMBER(D69),ISNUMBER(H69)), D69-H69, "")</f>
        <v>20295</v>
      </c>
      <c r="J69" s="16" t="str">
        <f t="shared" ref="J69:J132" si="6">IFERROR(I69/H69, "")</f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37109.823772356998</v>
      </c>
      <c r="E70" s="11">
        <v>39019.199999999997</v>
      </c>
      <c r="F70" s="11">
        <f t="shared" si="4"/>
        <v>-1909.3762276429989</v>
      </c>
      <c r="G70" s="12">
        <f t="shared" ref="G70:G133" si="7">IFERROR(F70/E70, "")</f>
        <v>-4.8934274091806063E-2</v>
      </c>
      <c r="H70" s="13">
        <v>39643</v>
      </c>
      <c r="I70" s="13">
        <f t="shared" si="5"/>
        <v>-2533.1762276430018</v>
      </c>
      <c r="J70" s="80">
        <f t="shared" si="6"/>
        <v>-6.389971060825371E-2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20116.103515625</v>
      </c>
      <c r="E71" s="15">
        <v>16915.45</v>
      </c>
      <c r="F71" s="15">
        <f t="shared" si="4"/>
        <v>3200.6535156249993</v>
      </c>
      <c r="G71" s="16">
        <f t="shared" si="7"/>
        <v>0.18921480159410475</v>
      </c>
      <c r="H71" s="17">
        <v>19212</v>
      </c>
      <c r="I71" s="17">
        <f t="shared" si="5"/>
        <v>904.103515625</v>
      </c>
      <c r="J71" s="16">
        <f t="shared" si="6"/>
        <v>4.7059312701696859E-2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21260</v>
      </c>
      <c r="E72" s="11">
        <v>21616</v>
      </c>
      <c r="F72" s="11">
        <f t="shared" si="4"/>
        <v>-356</v>
      </c>
      <c r="G72" s="12">
        <f t="shared" si="7"/>
        <v>-1.6469282013323466E-2</v>
      </c>
      <c r="H72" s="13">
        <v>0</v>
      </c>
      <c r="I72" s="13">
        <f t="shared" si="5"/>
        <v>21260</v>
      </c>
      <c r="J72" s="80" t="str">
        <f t="shared" si="6"/>
        <v/>
      </c>
      <c r="K72" s="38"/>
      <c r="L72" s="38"/>
    </row>
    <row r="73" spans="1:12" ht="42.75">
      <c r="A73" s="27" t="str">
        <v>Murphy</v>
      </c>
      <c r="B73" s="28" t="str">
        <v>MN</v>
      </c>
      <c r="C73" s="28" t="str">
        <f>Sites[[#This Row],[SOL'#]]</f>
        <v>SOL-10094</v>
      </c>
      <c r="D73" s="10">
        <v>444960</v>
      </c>
      <c r="E73" s="15">
        <v>500145.7</v>
      </c>
      <c r="F73" s="15">
        <f t="shared" si="4"/>
        <v>-55185.700000000012</v>
      </c>
      <c r="G73" s="16">
        <f t="shared" si="7"/>
        <v>-0.11033924714338243</v>
      </c>
      <c r="H73" s="17">
        <v>913614.8</v>
      </c>
      <c r="I73" s="17">
        <f t="shared" si="5"/>
        <v>-468654.80000000005</v>
      </c>
      <c r="J73" s="16">
        <f t="shared" si="6"/>
        <v>-0.51296760954397846</v>
      </c>
      <c r="K73" s="39" t="s">
        <v>363</v>
      </c>
      <c r="L73" s="75" t="s">
        <v>364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821786.1</v>
      </c>
      <c r="E74" s="11">
        <v>846962.6</v>
      </c>
      <c r="F74" s="11">
        <f t="shared" si="4"/>
        <v>-25176.5</v>
      </c>
      <c r="G74" s="12">
        <f t="shared" si="7"/>
        <v>-2.9725633693860862E-2</v>
      </c>
      <c r="H74" s="13">
        <v>997489.8</v>
      </c>
      <c r="I74" s="13">
        <f t="shared" si="5"/>
        <v>-175703.70000000007</v>
      </c>
      <c r="J74" s="80">
        <f t="shared" si="6"/>
        <v>-0.17614586134113858</v>
      </c>
      <c r="K74" s="38"/>
      <c r="L74" s="38"/>
    </row>
    <row r="75" spans="1:12" ht="31.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292497</v>
      </c>
      <c r="E75" s="15">
        <v>273061.74800000002</v>
      </c>
      <c r="F75" s="15">
        <f t="shared" si="4"/>
        <v>19435.251999999979</v>
      </c>
      <c r="G75" s="16">
        <f t="shared" si="7"/>
        <v>7.117530061369115E-2</v>
      </c>
      <c r="H75" s="17">
        <v>329945.36</v>
      </c>
      <c r="I75" s="17">
        <f t="shared" si="5"/>
        <v>-37448.359999999986</v>
      </c>
      <c r="J75" s="16">
        <f t="shared" si="6"/>
        <v>-0.11349867141638235</v>
      </c>
      <c r="K75" s="39" t="s">
        <v>365</v>
      </c>
      <c r="L75" s="75" t="s">
        <v>366</v>
      </c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289774</v>
      </c>
      <c r="E76" s="11">
        <v>300576.22499999998</v>
      </c>
      <c r="F76" s="11">
        <f t="shared" si="4"/>
        <v>-10802.224999999977</v>
      </c>
      <c r="G76" s="12">
        <f t="shared" si="7"/>
        <v>-3.5938388007900418E-2</v>
      </c>
      <c r="H76" s="13">
        <v>342418.23</v>
      </c>
      <c r="I76" s="13">
        <f t="shared" si="5"/>
        <v>-52644.229999999981</v>
      </c>
      <c r="J76" s="80">
        <f t="shared" si="6"/>
        <v>-0.15374248619882178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273008</v>
      </c>
      <c r="E77" s="15">
        <v>282340.15100000001</v>
      </c>
      <c r="F77" s="15">
        <f t="shared" si="4"/>
        <v>-9332.1510000000126</v>
      </c>
      <c r="G77" s="16">
        <f t="shared" si="7"/>
        <v>-3.305286537159928E-2</v>
      </c>
      <c r="H77" s="17">
        <v>313821.77</v>
      </c>
      <c r="I77" s="17">
        <f t="shared" si="5"/>
        <v>-40813.770000000019</v>
      </c>
      <c r="J77" s="16">
        <f t="shared" si="6"/>
        <v>-0.13005397936542137</v>
      </c>
      <c r="K77" s="39"/>
      <c r="L77" s="39"/>
    </row>
    <row r="78" spans="1:12" ht="35.2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270987</v>
      </c>
      <c r="E78" s="11">
        <v>295022.05</v>
      </c>
      <c r="F78" s="11">
        <f t="shared" si="4"/>
        <v>-24035.049999999988</v>
      </c>
      <c r="G78" s="12">
        <f t="shared" si="7"/>
        <v>-8.1468656325857647E-2</v>
      </c>
      <c r="H78" s="13">
        <v>335262.09999999998</v>
      </c>
      <c r="I78" s="13">
        <f t="shared" si="5"/>
        <v>-64275.099999999977</v>
      </c>
      <c r="J78" s="80">
        <f t="shared" si="6"/>
        <v>-0.19171597386045122</v>
      </c>
      <c r="K78" s="38" t="s">
        <v>367</v>
      </c>
      <c r="L78" s="38" t="s">
        <v>368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274470</v>
      </c>
      <c r="E79" s="15">
        <v>283953.72200000001</v>
      </c>
      <c r="F79" s="15">
        <f t="shared" si="4"/>
        <v>-9483.7220000000088</v>
      </c>
      <c r="G79" s="16">
        <f t="shared" si="7"/>
        <v>-3.3398829686761451E-2</v>
      </c>
      <c r="H79" s="17">
        <v>328579.65000000002</v>
      </c>
      <c r="I79" s="17">
        <f t="shared" si="5"/>
        <v>-54109.650000000023</v>
      </c>
      <c r="J79" s="16">
        <f t="shared" si="6"/>
        <v>-0.16467742296274288</v>
      </c>
      <c r="K79" s="39"/>
      <c r="L79" s="40"/>
    </row>
    <row r="80" spans="1:12" ht="42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219228</v>
      </c>
      <c r="E80" s="11">
        <v>271396.103</v>
      </c>
      <c r="F80" s="11">
        <f t="shared" si="4"/>
        <v>-52168.103000000003</v>
      </c>
      <c r="G80" s="12">
        <f t="shared" si="7"/>
        <v>-0.19222126781975202</v>
      </c>
      <c r="H80" s="13">
        <v>297572.26</v>
      </c>
      <c r="I80" s="13">
        <f t="shared" si="5"/>
        <v>-78344.260000000009</v>
      </c>
      <c r="J80" s="80">
        <f t="shared" si="6"/>
        <v>-0.26327810260270901</v>
      </c>
      <c r="K80" s="38" t="s">
        <v>369</v>
      </c>
      <c r="L80" s="38" t="s">
        <v>370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249002</v>
      </c>
      <c r="E81" s="15">
        <v>266834.21000000002</v>
      </c>
      <c r="F81" s="15">
        <f t="shared" si="4"/>
        <v>-17832.210000000021</v>
      </c>
      <c r="G81" s="16">
        <f t="shared" si="7"/>
        <v>-6.6828799800445454E-2</v>
      </c>
      <c r="H81" s="17">
        <v>288971.61</v>
      </c>
      <c r="I81" s="17">
        <f t="shared" si="5"/>
        <v>-39969.609999999986</v>
      </c>
      <c r="J81" s="16">
        <f t="shared" si="6"/>
        <v>-0.13831673637420641</v>
      </c>
      <c r="K81" s="79"/>
      <c r="L81" s="40"/>
    </row>
    <row r="82" spans="1:12" ht="28.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266090</v>
      </c>
      <c r="E82" s="11">
        <v>291602.038</v>
      </c>
      <c r="F82" s="11">
        <f t="shared" si="4"/>
        <v>-25512.038</v>
      </c>
      <c r="G82" s="12">
        <f t="shared" si="7"/>
        <v>-8.7489230785142869E-2</v>
      </c>
      <c r="H82" s="13">
        <v>324993.59000000003</v>
      </c>
      <c r="I82" s="13">
        <f t="shared" si="5"/>
        <v>-58903.590000000026</v>
      </c>
      <c r="J82" s="80">
        <f t="shared" si="6"/>
        <v>-0.18124539010138638</v>
      </c>
      <c r="K82" s="38" t="s">
        <v>371</v>
      </c>
      <c r="L82" s="38" t="s">
        <v>372</v>
      </c>
    </row>
    <row r="83" spans="1:12" ht="31.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295797</v>
      </c>
      <c r="E83" s="15">
        <v>303787.723</v>
      </c>
      <c r="F83" s="15">
        <f t="shared" si="4"/>
        <v>-7990.7229999999981</v>
      </c>
      <c r="G83" s="16">
        <f t="shared" si="7"/>
        <v>-2.6303640321896742E-2</v>
      </c>
      <c r="H83" s="17">
        <v>396869.73</v>
      </c>
      <c r="I83" s="17">
        <f t="shared" si="5"/>
        <v>-101072.72999999998</v>
      </c>
      <c r="J83" s="16">
        <f t="shared" si="6"/>
        <v>-0.25467482743014941</v>
      </c>
      <c r="K83" s="39" t="s">
        <v>373</v>
      </c>
      <c r="L83" s="40" t="s">
        <v>374</v>
      </c>
    </row>
    <row r="84" spans="1:12" ht="57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295694</v>
      </c>
      <c r="E84" s="11">
        <v>0</v>
      </c>
      <c r="F84" s="11">
        <f t="shared" si="4"/>
        <v>295694</v>
      </c>
      <c r="G84" s="12" t="str">
        <f t="shared" si="7"/>
        <v/>
      </c>
      <c r="H84" s="13">
        <v>397692.63</v>
      </c>
      <c r="I84" s="13">
        <f t="shared" si="5"/>
        <v>-101998.63</v>
      </c>
      <c r="J84" s="80">
        <f t="shared" si="6"/>
        <v>-0.25647603778827888</v>
      </c>
      <c r="K84" s="38" t="s">
        <v>375</v>
      </c>
      <c r="L84" s="38" t="s">
        <v>376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271297</v>
      </c>
      <c r="E85" s="15">
        <v>0</v>
      </c>
      <c r="F85" s="15">
        <f t="shared" si="4"/>
        <v>271297</v>
      </c>
      <c r="G85" s="16" t="str">
        <f t="shared" si="7"/>
        <v/>
      </c>
      <c r="H85" s="17">
        <v>104431.67</v>
      </c>
      <c r="I85" s="17">
        <f t="shared" si="5"/>
        <v>166865.33000000002</v>
      </c>
      <c r="J85" s="16">
        <f t="shared" si="6"/>
        <v>1.5978422062962319</v>
      </c>
      <c r="K85" s="74" t="s">
        <v>377</v>
      </c>
      <c r="L85" s="75" t="s">
        <v>378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678060</v>
      </c>
      <c r="E86" s="11">
        <v>0</v>
      </c>
      <c r="F86" s="11">
        <f t="shared" si="4"/>
        <v>678060</v>
      </c>
      <c r="G86" s="12" t="str">
        <f t="shared" si="7"/>
        <v/>
      </c>
      <c r="H86" s="13">
        <v>296049.40999999997</v>
      </c>
      <c r="I86" s="13">
        <f t="shared" si="5"/>
        <v>382010.59</v>
      </c>
      <c r="J86" s="80">
        <f t="shared" si="6"/>
        <v>1.2903609231985973</v>
      </c>
      <c r="K86" s="38" t="s">
        <v>379</v>
      </c>
      <c r="L86" s="38" t="s">
        <v>380</v>
      </c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718680</v>
      </c>
      <c r="E87" s="15">
        <v>0</v>
      </c>
      <c r="F87" s="15">
        <f t="shared" si="4"/>
        <v>718680</v>
      </c>
      <c r="G87" s="16" t="str">
        <f t="shared" si="7"/>
        <v/>
      </c>
      <c r="H87" s="17">
        <v>364940</v>
      </c>
      <c r="I87" s="17">
        <f t="shared" si="5"/>
        <v>353740</v>
      </c>
      <c r="J87" s="16">
        <f t="shared" si="6"/>
        <v>0.96931002356551765</v>
      </c>
      <c r="K87" s="74" t="s">
        <v>381</v>
      </c>
      <c r="L87" s="75" t="s">
        <v>382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>
        <v>0</v>
      </c>
      <c r="F88" s="11" t="str">
        <f t="shared" si="4"/>
        <v/>
      </c>
      <c r="G88" s="12" t="str">
        <f t="shared" si="7"/>
        <v/>
      </c>
      <c r="H88" s="13">
        <v>116511.29</v>
      </c>
      <c r="I88" s="13" t="str">
        <f t="shared" si="5"/>
        <v/>
      </c>
      <c r="J88" s="80" t="str">
        <f t="shared" si="6"/>
        <v/>
      </c>
      <c r="K88" s="73" t="s">
        <v>383</v>
      </c>
      <c r="L88" s="73" t="s">
        <v>384</v>
      </c>
    </row>
    <row r="89" spans="1:12" ht="28.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652231</v>
      </c>
      <c r="E89" s="15">
        <v>0</v>
      </c>
      <c r="F89" s="15">
        <f t="shared" si="4"/>
        <v>652231</v>
      </c>
      <c r="G89" s="16" t="str">
        <f t="shared" si="7"/>
        <v/>
      </c>
      <c r="H89" s="17">
        <v>224356.45</v>
      </c>
      <c r="I89" s="17">
        <f t="shared" si="5"/>
        <v>427874.55</v>
      </c>
      <c r="J89" s="16">
        <f t="shared" si="6"/>
        <v>1.9071194521040067</v>
      </c>
      <c r="K89" s="39" t="s">
        <v>385</v>
      </c>
      <c r="L89" s="39" t="s">
        <v>386</v>
      </c>
    </row>
    <row r="90" spans="1:12" ht="71.25">
      <c r="A90" s="25" t="str">
        <v>NY 70</v>
      </c>
      <c r="B90" s="26" t="str">
        <v>NY</v>
      </c>
      <c r="C90" s="26" t="str">
        <f>Sites[[#This Row],[SOL'#]]</f>
        <v>SOL-10970</v>
      </c>
      <c r="D90" s="21">
        <v>729676</v>
      </c>
      <c r="E90" s="11">
        <v>0</v>
      </c>
      <c r="F90" s="11">
        <f t="shared" si="4"/>
        <v>729676</v>
      </c>
      <c r="G90" s="12" t="str">
        <f t="shared" si="7"/>
        <v/>
      </c>
      <c r="H90" s="13">
        <v>348570.97</v>
      </c>
      <c r="I90" s="13">
        <f t="shared" si="5"/>
        <v>381105.03</v>
      </c>
      <c r="J90" s="80">
        <f t="shared" si="6"/>
        <v>1.0933355408225764</v>
      </c>
      <c r="K90" s="38" t="s">
        <v>387</v>
      </c>
      <c r="L90" s="38" t="s">
        <v>388</v>
      </c>
    </row>
    <row r="91" spans="1:12" ht="94.5">
      <c r="A91" s="27" t="str">
        <v>Reid</v>
      </c>
      <c r="B91" s="28" t="str">
        <v>NY</v>
      </c>
      <c r="C91" s="28" t="str">
        <f>Sites[[#This Row],[SOL'#]]</f>
        <v>SOL-10991</v>
      </c>
      <c r="D91" s="10">
        <v>615948.978116035</v>
      </c>
      <c r="E91" s="15">
        <v>584005.4</v>
      </c>
      <c r="F91" s="15">
        <f t="shared" si="4"/>
        <v>31943.578116034972</v>
      </c>
      <c r="G91" s="16">
        <f t="shared" si="7"/>
        <v>5.4697401969288247E-2</v>
      </c>
      <c r="H91" s="17">
        <v>732849</v>
      </c>
      <c r="I91" s="17">
        <f t="shared" si="5"/>
        <v>-116900.021883965</v>
      </c>
      <c r="J91" s="16">
        <f t="shared" si="6"/>
        <v>-0.15951447280949418</v>
      </c>
      <c r="K91" s="39" t="s">
        <v>389</v>
      </c>
      <c r="L91" s="40" t="s">
        <v>390</v>
      </c>
    </row>
    <row r="92" spans="1:12" ht="42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311949</v>
      </c>
      <c r="E92" s="11">
        <v>0</v>
      </c>
      <c r="F92" s="11">
        <f t="shared" si="4"/>
        <v>311949</v>
      </c>
      <c r="G92" s="12" t="str">
        <f t="shared" si="7"/>
        <v/>
      </c>
      <c r="H92" s="13">
        <v>113622.58</v>
      </c>
      <c r="I92" s="13">
        <f t="shared" si="5"/>
        <v>198326.41999999998</v>
      </c>
      <c r="J92" s="80">
        <f t="shared" si="6"/>
        <v>1.7454842162534945</v>
      </c>
      <c r="K92" s="38" t="s">
        <v>391</v>
      </c>
      <c r="L92" s="38" t="s">
        <v>392</v>
      </c>
    </row>
    <row r="93" spans="1:12" ht="114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424400</v>
      </c>
      <c r="E93" s="15">
        <v>0</v>
      </c>
      <c r="F93" s="15">
        <f t="shared" si="4"/>
        <v>424400</v>
      </c>
      <c r="G93" s="16" t="str">
        <f t="shared" si="7"/>
        <v/>
      </c>
      <c r="H93" s="17">
        <v>313295</v>
      </c>
      <c r="I93" s="17">
        <f t="shared" si="5"/>
        <v>111105</v>
      </c>
      <c r="J93" s="16">
        <f t="shared" si="6"/>
        <v>0.35463381158333201</v>
      </c>
      <c r="K93" s="39" t="s">
        <v>393</v>
      </c>
      <c r="L93" s="40" t="s">
        <v>394</v>
      </c>
    </row>
    <row r="94" spans="1:12" ht="28.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704633</v>
      </c>
      <c r="E94" s="11">
        <v>0</v>
      </c>
      <c r="F94" s="11">
        <f t="shared" si="4"/>
        <v>704633</v>
      </c>
      <c r="G94" s="12" t="str">
        <f t="shared" si="7"/>
        <v/>
      </c>
      <c r="H94" s="13">
        <v>336363.9</v>
      </c>
      <c r="I94" s="13">
        <f t="shared" si="5"/>
        <v>368269.1</v>
      </c>
      <c r="J94" s="80">
        <f t="shared" si="6"/>
        <v>1.0948532229528791</v>
      </c>
      <c r="K94" s="73" t="s">
        <v>395</v>
      </c>
      <c r="L94" s="73" t="s">
        <v>396</v>
      </c>
    </row>
    <row r="95" spans="1:12" ht="28.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705698</v>
      </c>
      <c r="E95" s="15">
        <v>0</v>
      </c>
      <c r="F95" s="15">
        <f t="shared" si="4"/>
        <v>705698</v>
      </c>
      <c r="G95" s="16" t="str">
        <f t="shared" si="7"/>
        <v/>
      </c>
      <c r="H95" s="17">
        <v>288785.2</v>
      </c>
      <c r="I95" s="17">
        <f t="shared" si="5"/>
        <v>416912.8</v>
      </c>
      <c r="J95" s="16">
        <f t="shared" si="6"/>
        <v>1.4436778616078663</v>
      </c>
      <c r="K95" s="76" t="s">
        <v>397</v>
      </c>
      <c r="L95" s="77" t="s">
        <v>398</v>
      </c>
    </row>
    <row r="96" spans="1:12" ht="85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657309</v>
      </c>
      <c r="E96" s="11">
        <v>0</v>
      </c>
      <c r="F96" s="11">
        <f t="shared" si="4"/>
        <v>657309</v>
      </c>
      <c r="G96" s="12" t="str">
        <f t="shared" si="7"/>
        <v/>
      </c>
      <c r="H96" s="13">
        <v>393774.4</v>
      </c>
      <c r="I96" s="13">
        <f t="shared" si="5"/>
        <v>263534.59999999998</v>
      </c>
      <c r="J96" s="80">
        <f t="shared" si="6"/>
        <v>0.66925274979785365</v>
      </c>
      <c r="K96" s="38" t="s">
        <v>399</v>
      </c>
      <c r="L96" s="38" t="s">
        <v>400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721316</v>
      </c>
      <c r="E97" s="15">
        <v>0</v>
      </c>
      <c r="F97" s="15">
        <f t="shared" si="4"/>
        <v>721316</v>
      </c>
      <c r="G97" s="16" t="str">
        <f t="shared" si="7"/>
        <v/>
      </c>
      <c r="H97" s="17">
        <v>377458</v>
      </c>
      <c r="I97" s="17">
        <f t="shared" si="5"/>
        <v>343858</v>
      </c>
      <c r="J97" s="16">
        <f t="shared" si="6"/>
        <v>0.91098347365799637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316463</v>
      </c>
      <c r="E98" s="11">
        <v>0</v>
      </c>
      <c r="F98" s="11">
        <f t="shared" si="4"/>
        <v>316463</v>
      </c>
      <c r="G98" s="12" t="str">
        <f t="shared" si="7"/>
        <v/>
      </c>
      <c r="H98" s="13">
        <v>154064.5</v>
      </c>
      <c r="I98" s="13">
        <f t="shared" si="5"/>
        <v>162398.5</v>
      </c>
      <c r="J98" s="80">
        <f t="shared" si="6"/>
        <v>1.0540942267686586</v>
      </c>
      <c r="K98" s="38"/>
      <c r="L98" s="38"/>
    </row>
    <row r="99" spans="1:12" ht="42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514538</v>
      </c>
      <c r="E99" s="15">
        <v>0</v>
      </c>
      <c r="F99" s="15">
        <f t="shared" si="4"/>
        <v>514538</v>
      </c>
      <c r="G99" s="16" t="str">
        <f t="shared" si="7"/>
        <v/>
      </c>
      <c r="H99" s="17">
        <v>256132</v>
      </c>
      <c r="I99" s="17">
        <f t="shared" si="5"/>
        <v>258406</v>
      </c>
      <c r="J99" s="16">
        <f t="shared" si="6"/>
        <v>1.0088782346602534</v>
      </c>
      <c r="K99" s="39" t="s">
        <v>401</v>
      </c>
      <c r="L99" s="40" t="s">
        <v>402</v>
      </c>
    </row>
    <row r="100" spans="1:12" ht="57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276370</v>
      </c>
      <c r="E100" s="11">
        <v>0</v>
      </c>
      <c r="F100" s="11">
        <f t="shared" si="4"/>
        <v>276370</v>
      </c>
      <c r="G100" s="12" t="str">
        <f t="shared" si="7"/>
        <v/>
      </c>
      <c r="H100" s="13">
        <v>132880.6</v>
      </c>
      <c r="I100" s="13">
        <f t="shared" si="5"/>
        <v>143489.4</v>
      </c>
      <c r="J100" s="80">
        <f t="shared" si="6"/>
        <v>1.0798370868283256</v>
      </c>
      <c r="K100" s="38" t="s">
        <v>403</v>
      </c>
      <c r="L100" s="38" t="s">
        <v>404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700116</v>
      </c>
      <c r="E101" s="15">
        <v>0</v>
      </c>
      <c r="F101" s="15">
        <f t="shared" si="4"/>
        <v>700116</v>
      </c>
      <c r="G101" s="16" t="str">
        <f t="shared" si="7"/>
        <v/>
      </c>
      <c r="H101" s="17">
        <v>302250.5</v>
      </c>
      <c r="I101" s="17">
        <f t="shared" si="5"/>
        <v>397865.5</v>
      </c>
      <c r="J101" s="16">
        <f t="shared" si="6"/>
        <v>1.3163435627070923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769394</v>
      </c>
      <c r="E102" s="11">
        <v>0</v>
      </c>
      <c r="F102" s="11">
        <f t="shared" si="4"/>
        <v>769394</v>
      </c>
      <c r="G102" s="12" t="str">
        <f t="shared" si="7"/>
        <v/>
      </c>
      <c r="H102" s="13">
        <v>316451.59999999998</v>
      </c>
      <c r="I102" s="13">
        <f t="shared" si="5"/>
        <v>452942.4</v>
      </c>
      <c r="J102" s="80">
        <f t="shared" si="6"/>
        <v>1.4313165109609181</v>
      </c>
      <c r="K102" s="73" t="s">
        <v>405</v>
      </c>
      <c r="L102" s="73" t="s">
        <v>406</v>
      </c>
    </row>
    <row r="103" spans="1:12" ht="28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334791</v>
      </c>
      <c r="E103" s="15">
        <v>0</v>
      </c>
      <c r="F103" s="15">
        <f t="shared" si="4"/>
        <v>334791</v>
      </c>
      <c r="G103" s="16" t="str">
        <f t="shared" si="7"/>
        <v/>
      </c>
      <c r="H103" s="17">
        <v>129029</v>
      </c>
      <c r="I103" s="17">
        <f t="shared" si="5"/>
        <v>205762</v>
      </c>
      <c r="J103" s="16">
        <f t="shared" si="6"/>
        <v>1.5946957660680932</v>
      </c>
      <c r="K103" s="76" t="s">
        <v>407</v>
      </c>
      <c r="L103" s="77" t="s">
        <v>408</v>
      </c>
    </row>
    <row r="104" spans="1:12" ht="42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793038</v>
      </c>
      <c r="E104" s="11">
        <v>0</v>
      </c>
      <c r="F104" s="11">
        <f t="shared" si="4"/>
        <v>793038</v>
      </c>
      <c r="G104" s="12" t="str">
        <f t="shared" si="7"/>
        <v/>
      </c>
      <c r="H104" s="13">
        <v>349533.8</v>
      </c>
      <c r="I104" s="13">
        <f t="shared" si="5"/>
        <v>443504.2</v>
      </c>
      <c r="J104" s="80">
        <f t="shared" si="6"/>
        <v>1.2688449586277495</v>
      </c>
      <c r="K104" s="38" t="s">
        <v>409</v>
      </c>
      <c r="L104" s="38" t="s">
        <v>410</v>
      </c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292754</v>
      </c>
      <c r="E105" s="15">
        <v>0</v>
      </c>
      <c r="F105" s="15">
        <f t="shared" si="4"/>
        <v>292754</v>
      </c>
      <c r="G105" s="16" t="str">
        <f t="shared" si="7"/>
        <v/>
      </c>
      <c r="H105" s="17">
        <v>0</v>
      </c>
      <c r="I105" s="17">
        <f t="shared" si="5"/>
        <v>292754</v>
      </c>
      <c r="J105" s="16" t="str">
        <f t="shared" si="6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295204</v>
      </c>
      <c r="E106" s="11">
        <v>0</v>
      </c>
      <c r="F106" s="11">
        <f t="shared" si="4"/>
        <v>295204</v>
      </c>
      <c r="G106" s="12" t="str">
        <f t="shared" si="7"/>
        <v/>
      </c>
      <c r="H106" s="13">
        <v>0</v>
      </c>
      <c r="I106" s="13">
        <f t="shared" si="5"/>
        <v>295204</v>
      </c>
      <c r="J106" s="80" t="str">
        <f t="shared" si="6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285946</v>
      </c>
      <c r="E107" s="15">
        <v>0</v>
      </c>
      <c r="F107" s="15">
        <f t="shared" si="4"/>
        <v>285946</v>
      </c>
      <c r="G107" s="16" t="str">
        <f t="shared" si="7"/>
        <v/>
      </c>
      <c r="H107" s="17">
        <v>0</v>
      </c>
      <c r="I107" s="17">
        <f t="shared" si="5"/>
        <v>285946</v>
      </c>
      <c r="J107" s="16" t="str">
        <f t="shared" si="6"/>
        <v/>
      </c>
      <c r="K107" s="39"/>
      <c r="L107" s="40"/>
    </row>
    <row r="108" spans="1:12" ht="28.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535066</v>
      </c>
      <c r="E108" s="11">
        <v>0</v>
      </c>
      <c r="F108" s="11">
        <f t="shared" si="4"/>
        <v>535066</v>
      </c>
      <c r="G108" s="12" t="str">
        <f t="shared" si="7"/>
        <v/>
      </c>
      <c r="H108" s="13">
        <v>0</v>
      </c>
      <c r="I108" s="13">
        <f t="shared" si="5"/>
        <v>535066</v>
      </c>
      <c r="J108" s="80" t="str">
        <f t="shared" si="6"/>
        <v/>
      </c>
      <c r="K108" s="38" t="s">
        <v>411</v>
      </c>
      <c r="L108" s="38" t="s">
        <v>412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368483</v>
      </c>
      <c r="E109" s="15">
        <v>0</v>
      </c>
      <c r="F109" s="15">
        <f t="shared" si="4"/>
        <v>368483</v>
      </c>
      <c r="G109" s="16" t="str">
        <f t="shared" si="7"/>
        <v/>
      </c>
      <c r="H109" s="17">
        <v>0</v>
      </c>
      <c r="I109" s="17">
        <f t="shared" si="5"/>
        <v>368483</v>
      </c>
      <c r="J109" s="16" t="str">
        <f t="shared" si="6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829392.5</v>
      </c>
      <c r="E110" s="11">
        <v>0</v>
      </c>
      <c r="F110" s="11">
        <f t="shared" si="4"/>
        <v>829392.5</v>
      </c>
      <c r="G110" s="12" t="str">
        <f t="shared" si="7"/>
        <v/>
      </c>
      <c r="H110" s="13">
        <v>0</v>
      </c>
      <c r="I110" s="13">
        <f t="shared" si="5"/>
        <v>829392.5</v>
      </c>
      <c r="J110" s="80" t="str">
        <f t="shared" si="6"/>
        <v/>
      </c>
      <c r="K110" s="38"/>
      <c r="L110" s="38"/>
    </row>
    <row r="111" spans="1:12" ht="42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716894</v>
      </c>
      <c r="E111" s="15">
        <v>752430</v>
      </c>
      <c r="F111" s="15">
        <f t="shared" si="4"/>
        <v>-35536</v>
      </c>
      <c r="G111" s="16">
        <f t="shared" si="7"/>
        <v>-4.7228313597278151E-2</v>
      </c>
      <c r="H111" s="17">
        <v>844376.1</v>
      </c>
      <c r="I111" s="17">
        <f t="shared" si="5"/>
        <v>-127482.09999999998</v>
      </c>
      <c r="J111" s="16">
        <f t="shared" si="6"/>
        <v>-0.15097786401107277</v>
      </c>
      <c r="K111" s="39" t="s">
        <v>413</v>
      </c>
      <c r="L111" s="40" t="s">
        <v>414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702046.11499999999</v>
      </c>
      <c r="E112" s="11">
        <v>705298.2</v>
      </c>
      <c r="F112" s="11">
        <f t="shared" si="4"/>
        <v>-3252.0849999999627</v>
      </c>
      <c r="G112" s="12">
        <f t="shared" si="7"/>
        <v>-4.6109361969163725E-3</v>
      </c>
      <c r="H112" s="13">
        <v>810158.1</v>
      </c>
      <c r="I112" s="13">
        <f t="shared" si="5"/>
        <v>-108111.98499999999</v>
      </c>
      <c r="J112" s="80">
        <f t="shared" si="6"/>
        <v>-0.13344553982734975</v>
      </c>
      <c r="K112" s="73" t="s">
        <v>415</v>
      </c>
      <c r="L112" s="73" t="s">
        <v>416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3350</v>
      </c>
      <c r="E113" s="15">
        <v>4573.8140000000003</v>
      </c>
      <c r="F113" s="15">
        <f t="shared" si="4"/>
        <v>-1223.8140000000003</v>
      </c>
      <c r="G113" s="16">
        <f t="shared" si="7"/>
        <v>-0.26756969129046354</v>
      </c>
      <c r="H113" s="17">
        <v>5035.9399999999996</v>
      </c>
      <c r="I113" s="17">
        <f t="shared" si="5"/>
        <v>-1685.9399999999996</v>
      </c>
      <c r="J113" s="16">
        <f t="shared" si="6"/>
        <v>-0.33478158993157181</v>
      </c>
      <c r="K113" s="74" t="s">
        <v>417</v>
      </c>
      <c r="L113" s="74" t="s">
        <v>418</v>
      </c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9065.9399999999405</v>
      </c>
      <c r="E114" s="11">
        <v>12374.39</v>
      </c>
      <c r="F114" s="11">
        <f t="shared" si="4"/>
        <v>-3308.4500000000589</v>
      </c>
      <c r="G114" s="12">
        <f t="shared" si="7"/>
        <v>-0.26736267403888669</v>
      </c>
      <c r="H114" s="13">
        <v>12183.17</v>
      </c>
      <c r="I114" s="13">
        <f t="shared" si="5"/>
        <v>-3117.2300000000596</v>
      </c>
      <c r="J114" s="80">
        <f t="shared" si="6"/>
        <v>-0.25586362170108923</v>
      </c>
      <c r="K114" s="73" t="s">
        <v>419</v>
      </c>
      <c r="L114" s="73" t="s">
        <v>312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1447</v>
      </c>
      <c r="E115" s="15">
        <v>1517.306</v>
      </c>
      <c r="F115" s="15">
        <f t="shared" si="4"/>
        <v>-70.30600000000004</v>
      </c>
      <c r="G115" s="16">
        <f t="shared" si="7"/>
        <v>-4.6336071959117042E-2</v>
      </c>
      <c r="H115" s="17">
        <v>1827.1210000000001</v>
      </c>
      <c r="I115" s="17">
        <f t="shared" si="5"/>
        <v>-380.12100000000009</v>
      </c>
      <c r="J115" s="16">
        <f t="shared" si="6"/>
        <v>-0.20804369278225146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1298</v>
      </c>
      <c r="E116" s="11">
        <v>1392.21</v>
      </c>
      <c r="F116" s="11">
        <f t="shared" si="4"/>
        <v>-94.210000000000036</v>
      </c>
      <c r="G116" s="12">
        <f t="shared" si="7"/>
        <v>-6.7669388957125751E-2</v>
      </c>
      <c r="H116" s="13">
        <v>1857.011</v>
      </c>
      <c r="I116" s="13">
        <f t="shared" si="5"/>
        <v>-559.01099999999997</v>
      </c>
      <c r="J116" s="80">
        <f t="shared" si="6"/>
        <v>-0.3010272960149401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1636</v>
      </c>
      <c r="E117" s="15">
        <v>1601.9649999999999</v>
      </c>
      <c r="F117" s="15">
        <f t="shared" si="4"/>
        <v>34.035000000000082</v>
      </c>
      <c r="G117" s="16">
        <f t="shared" si="7"/>
        <v>2.1245782523338579E-2</v>
      </c>
      <c r="H117" s="17">
        <v>1926</v>
      </c>
      <c r="I117" s="17">
        <f t="shared" si="5"/>
        <v>-290</v>
      </c>
      <c r="J117" s="16">
        <f t="shared" si="6"/>
        <v>-0.1505711318795431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13377</v>
      </c>
      <c r="E118" s="11">
        <v>19597</v>
      </c>
      <c r="F118" s="11">
        <f t="shared" si="4"/>
        <v>-6220</v>
      </c>
      <c r="G118" s="12">
        <f t="shared" si="7"/>
        <v>-0.31739551972240648</v>
      </c>
      <c r="H118" s="13">
        <v>4704</v>
      </c>
      <c r="I118" s="13">
        <f t="shared" si="5"/>
        <v>8673</v>
      </c>
      <c r="J118" s="80">
        <f t="shared" si="6"/>
        <v>1.84375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48451</v>
      </c>
      <c r="E119" s="15">
        <v>0</v>
      </c>
      <c r="F119" s="15">
        <f t="shared" si="4"/>
        <v>48451</v>
      </c>
      <c r="G119" s="16" t="str">
        <f t="shared" si="7"/>
        <v/>
      </c>
      <c r="H119" s="17">
        <v>47464</v>
      </c>
      <c r="I119" s="17">
        <f t="shared" si="5"/>
        <v>987</v>
      </c>
      <c r="J119" s="16">
        <f t="shared" si="6"/>
        <v>2.0794707567840891E-2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v>32245</v>
      </c>
      <c r="E120" s="11">
        <v>30396</v>
      </c>
      <c r="F120" s="11">
        <f t="shared" si="4"/>
        <v>1849</v>
      </c>
      <c r="G120" s="12">
        <f t="shared" si="7"/>
        <v>6.0830372417423346E-2</v>
      </c>
      <c r="H120" s="13">
        <v>33943</v>
      </c>
      <c r="I120" s="13">
        <f t="shared" si="5"/>
        <v>-1698</v>
      </c>
      <c r="J120" s="80">
        <f t="shared" si="6"/>
        <v>-5.0025041982146537E-2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12564</v>
      </c>
      <c r="E121" s="15">
        <v>10823</v>
      </c>
      <c r="F121" s="15">
        <f t="shared" si="4"/>
        <v>1741</v>
      </c>
      <c r="G121" s="16">
        <f t="shared" si="7"/>
        <v>0.16086112907696573</v>
      </c>
      <c r="H121" s="17">
        <v>12929</v>
      </c>
      <c r="I121" s="17">
        <f t="shared" si="5"/>
        <v>-365</v>
      </c>
      <c r="J121" s="16">
        <f t="shared" si="6"/>
        <v>-2.8231108361048807E-2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12713</v>
      </c>
      <c r="E122" s="11">
        <v>10404</v>
      </c>
      <c r="F122" s="11">
        <f t="shared" si="4"/>
        <v>2309</v>
      </c>
      <c r="G122" s="12">
        <f t="shared" si="7"/>
        <v>0.22193387158785083</v>
      </c>
      <c r="H122" s="13">
        <v>12929</v>
      </c>
      <c r="I122" s="13">
        <f t="shared" si="5"/>
        <v>-216</v>
      </c>
      <c r="J122" s="80">
        <f t="shared" si="6"/>
        <v>-1.6706628509552169E-2</v>
      </c>
      <c r="K122" s="38"/>
      <c r="L122" s="38"/>
    </row>
    <row r="123" spans="1:12" ht="71.2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148198</v>
      </c>
      <c r="E123" s="15">
        <v>159331.1</v>
      </c>
      <c r="F123" s="15">
        <f t="shared" si="4"/>
        <v>-11133.100000000006</v>
      </c>
      <c r="G123" s="16">
        <f t="shared" si="7"/>
        <v>-6.987399195762789E-2</v>
      </c>
      <c r="H123" s="17">
        <v>166705.20000000001</v>
      </c>
      <c r="I123" s="17">
        <f t="shared" si="5"/>
        <v>-18507.200000000012</v>
      </c>
      <c r="J123" s="16">
        <f t="shared" si="6"/>
        <v>-0.11101753274642909</v>
      </c>
      <c r="K123" s="39" t="s">
        <v>420</v>
      </c>
      <c r="L123" s="62" t="s">
        <v>421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161667</v>
      </c>
      <c r="E124" s="11">
        <v>154759.79999999999</v>
      </c>
      <c r="F124" s="11">
        <f t="shared" si="4"/>
        <v>6907.2000000000116</v>
      </c>
      <c r="G124" s="12">
        <f t="shared" si="7"/>
        <v>4.4631745453276701E-2</v>
      </c>
      <c r="H124" s="13">
        <v>10312.799999999999</v>
      </c>
      <c r="I124" s="13">
        <f t="shared" si="5"/>
        <v>151354.20000000001</v>
      </c>
      <c r="J124" s="80">
        <f t="shared" si="6"/>
        <v>14.676343960902958</v>
      </c>
      <c r="K124" s="38"/>
      <c r="L124" s="38"/>
    </row>
    <row r="125" spans="1:12" ht="99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17247</v>
      </c>
      <c r="E125" s="15">
        <v>18247.400000000001</v>
      </c>
      <c r="F125" s="15">
        <f t="shared" si="4"/>
        <v>-1000.4000000000015</v>
      </c>
      <c r="G125" s="16">
        <f t="shared" si="7"/>
        <v>-5.4824248934094794E-2</v>
      </c>
      <c r="H125" s="17">
        <v>22721</v>
      </c>
      <c r="I125" s="17">
        <f t="shared" si="5"/>
        <v>-5474</v>
      </c>
      <c r="J125" s="16">
        <f t="shared" si="6"/>
        <v>-0.24092249460851195</v>
      </c>
      <c r="K125" s="39" t="s">
        <v>422</v>
      </c>
      <c r="L125" s="61" t="s">
        <v>423</v>
      </c>
    </row>
    <row r="126" spans="1:12" ht="71.2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64262</v>
      </c>
      <c r="E126" s="11">
        <v>71453.52</v>
      </c>
      <c r="F126" s="11">
        <f t="shared" si="4"/>
        <v>-7191.5200000000041</v>
      </c>
      <c r="G126" s="12">
        <f t="shared" si="7"/>
        <v>-0.10064612632099865</v>
      </c>
      <c r="H126" s="13">
        <v>0</v>
      </c>
      <c r="I126" s="13">
        <f t="shared" si="5"/>
        <v>64262</v>
      </c>
      <c r="J126" s="80" t="str">
        <f t="shared" si="6"/>
        <v/>
      </c>
      <c r="K126" s="38" t="s">
        <v>424</v>
      </c>
      <c r="L126" s="38" t="s">
        <v>425</v>
      </c>
    </row>
    <row r="127" spans="1:12" ht="234.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16654.5</v>
      </c>
      <c r="E127" s="15">
        <v>52221.36</v>
      </c>
      <c r="F127" s="15">
        <f t="shared" si="4"/>
        <v>-35566.86</v>
      </c>
      <c r="G127" s="16">
        <f t="shared" si="7"/>
        <v>-0.68107877696023233</v>
      </c>
      <c r="H127" s="17">
        <v>32364</v>
      </c>
      <c r="I127" s="17">
        <f t="shared" si="5"/>
        <v>-15709.5</v>
      </c>
      <c r="J127" s="16">
        <f t="shared" si="6"/>
        <v>-0.4854004449388209</v>
      </c>
      <c r="K127" s="39" t="s">
        <v>426</v>
      </c>
      <c r="L127" s="62" t="s">
        <v>427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63480</v>
      </c>
      <c r="E128" s="11">
        <v>56649.55</v>
      </c>
      <c r="F128" s="11">
        <f t="shared" si="4"/>
        <v>6830.4499999999971</v>
      </c>
      <c r="G128" s="12">
        <f t="shared" si="7"/>
        <v>0.12057377331329193</v>
      </c>
      <c r="H128" s="13">
        <v>68389.41</v>
      </c>
      <c r="I128" s="13">
        <f t="shared" si="5"/>
        <v>-4909.4100000000035</v>
      </c>
      <c r="J128" s="80">
        <f t="shared" si="6"/>
        <v>-7.1786114253654235E-2</v>
      </c>
      <c r="K128" s="38"/>
      <c r="L128" s="38"/>
    </row>
    <row r="129" spans="1:12" ht="71.2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148209</v>
      </c>
      <c r="E129" s="15">
        <v>145119</v>
      </c>
      <c r="F129" s="15">
        <f t="shared" si="4"/>
        <v>3090</v>
      </c>
      <c r="G129" s="16">
        <f t="shared" si="7"/>
        <v>2.1292869989456929E-2</v>
      </c>
      <c r="H129" s="17">
        <v>150126</v>
      </c>
      <c r="I129" s="17">
        <f t="shared" si="5"/>
        <v>-1917</v>
      </c>
      <c r="J129" s="16">
        <f t="shared" si="6"/>
        <v>-1.27692738099996E-2</v>
      </c>
      <c r="K129" s="39" t="s">
        <v>428</v>
      </c>
      <c r="L129" s="62" t="s">
        <v>429</v>
      </c>
    </row>
    <row r="130" spans="1:12" ht="181.5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306534</v>
      </c>
      <c r="E130" s="11">
        <v>307604.09999999998</v>
      </c>
      <c r="F130" s="11">
        <f t="shared" si="4"/>
        <v>-1070.0999999999767</v>
      </c>
      <c r="G130" s="12">
        <f t="shared" si="7"/>
        <v>-3.4788222913803061E-3</v>
      </c>
      <c r="H130" s="13">
        <v>322242.5</v>
      </c>
      <c r="I130" s="13">
        <f t="shared" si="5"/>
        <v>-15708.5</v>
      </c>
      <c r="J130" s="80">
        <f t="shared" si="6"/>
        <v>-4.8747449513953003E-2</v>
      </c>
      <c r="K130" s="38" t="s">
        <v>430</v>
      </c>
      <c r="L130" s="38" t="s">
        <v>431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13439.8478234824</v>
      </c>
      <c r="E131" s="15">
        <v>13909.84</v>
      </c>
      <c r="F131" s="15">
        <f t="shared" si="4"/>
        <v>-469.99217651760046</v>
      </c>
      <c r="G131" s="16">
        <f t="shared" si="7"/>
        <v>-3.3788467481840223E-2</v>
      </c>
      <c r="H131" s="17">
        <v>12995.68</v>
      </c>
      <c r="I131" s="17">
        <f t="shared" si="5"/>
        <v>444.1678234823994</v>
      </c>
      <c r="J131" s="16">
        <f t="shared" si="6"/>
        <v>3.4178113302451227E-2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9930</v>
      </c>
      <c r="E132" s="11">
        <v>11533</v>
      </c>
      <c r="F132" s="11">
        <f t="shared" si="4"/>
        <v>-1603</v>
      </c>
      <c r="G132" s="12">
        <f t="shared" si="7"/>
        <v>-0.13899245642937658</v>
      </c>
      <c r="H132" s="13">
        <v>9946</v>
      </c>
      <c r="I132" s="13">
        <f t="shared" si="5"/>
        <v>-16</v>
      </c>
      <c r="J132" s="80">
        <f t="shared" si="6"/>
        <v>-1.6086869093102755E-3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8143</v>
      </c>
      <c r="E133" s="15">
        <v>6765</v>
      </c>
      <c r="F133" s="15">
        <f t="shared" ref="F133:F139" si="8">IF(AND(ISNUMBER(D133),ISNUMBER(E133)), D133-E133, "")</f>
        <v>1378</v>
      </c>
      <c r="G133" s="16">
        <f t="shared" si="7"/>
        <v>0.20369549150036956</v>
      </c>
      <c r="H133" s="17">
        <v>8514</v>
      </c>
      <c r="I133" s="17">
        <f t="shared" ref="I133:I139" si="9">IF(AND(ISNUMBER(D133),ISNUMBER(H133)), D133-H133, "")</f>
        <v>-371</v>
      </c>
      <c r="J133" s="16">
        <f t="shared" ref="J133:J139" si="10">IFERROR(I133/H133, "")</f>
        <v>-4.3575287761334271E-2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34036</v>
      </c>
      <c r="E134" s="11">
        <v>32079</v>
      </c>
      <c r="F134" s="11">
        <f t="shared" si="8"/>
        <v>1957</v>
      </c>
      <c r="G134" s="12">
        <f t="shared" ref="G134:G139" si="11">IFERROR(F134/E134, "")</f>
        <v>6.1005642320521213E-2</v>
      </c>
      <c r="H134" s="13">
        <v>15116</v>
      </c>
      <c r="I134" s="13">
        <f t="shared" si="9"/>
        <v>18920</v>
      </c>
      <c r="J134" s="80">
        <f t="shared" si="10"/>
        <v>1.2516538766869543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32939.75</v>
      </c>
      <c r="E135" s="15">
        <v>33160.29</v>
      </c>
      <c r="F135" s="15">
        <f t="shared" si="8"/>
        <v>-220.54000000000087</v>
      </c>
      <c r="G135" s="16">
        <f t="shared" si="11"/>
        <v>-6.650725913434438E-3</v>
      </c>
      <c r="H135" s="17">
        <v>32014.29</v>
      </c>
      <c r="I135" s="17">
        <f t="shared" si="9"/>
        <v>925.45999999999913</v>
      </c>
      <c r="J135" s="16">
        <f t="shared" si="10"/>
        <v>2.8907715898119218E-2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29290</v>
      </c>
      <c r="E136" s="11">
        <v>32796</v>
      </c>
      <c r="F136" s="11">
        <f t="shared" si="8"/>
        <v>-3506</v>
      </c>
      <c r="G136" s="12">
        <f t="shared" si="11"/>
        <v>-0.10690328088791316</v>
      </c>
      <c r="H136" s="13">
        <v>30791</v>
      </c>
      <c r="I136" s="13">
        <f t="shared" si="9"/>
        <v>-1501</v>
      </c>
      <c r="J136" s="80">
        <f t="shared" si="10"/>
        <v>-4.8748010782371475E-2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14662.5678373016</v>
      </c>
      <c r="E137" s="15">
        <v>14073.07</v>
      </c>
      <c r="F137" s="15">
        <f t="shared" si="8"/>
        <v>589.49783730160016</v>
      </c>
      <c r="G137" s="16">
        <f t="shared" si="11"/>
        <v>4.1888361054240486E-2</v>
      </c>
      <c r="H137" s="17">
        <v>14805.64</v>
      </c>
      <c r="I137" s="17">
        <f t="shared" si="9"/>
        <v>-143.07216269839955</v>
      </c>
      <c r="J137" s="16">
        <f t="shared" si="10"/>
        <v>-9.6633554982020059E-3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438037</v>
      </c>
      <c r="E138" s="11">
        <v>0</v>
      </c>
      <c r="F138" s="11">
        <f t="shared" si="8"/>
        <v>438037</v>
      </c>
      <c r="G138" s="12" t="str">
        <f t="shared" si="11"/>
        <v/>
      </c>
      <c r="H138" s="13">
        <v>0</v>
      </c>
      <c r="I138" s="13">
        <f t="shared" si="9"/>
        <v>438037</v>
      </c>
      <c r="J138" s="80" t="str">
        <f t="shared" si="10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907176</v>
      </c>
      <c r="E139" s="15">
        <v>0</v>
      </c>
      <c r="F139" s="15">
        <f t="shared" si="8"/>
        <v>907176</v>
      </c>
      <c r="G139" s="16" t="str">
        <f t="shared" si="11"/>
        <v/>
      </c>
      <c r="H139" s="17">
        <v>0</v>
      </c>
      <c r="I139" s="17">
        <f t="shared" si="9"/>
        <v>907176</v>
      </c>
      <c r="J139" s="16" t="str">
        <f t="shared" si="10"/>
        <v/>
      </c>
      <c r="K139" s="39" t="s">
        <v>432</v>
      </c>
      <c r="L139" s="40" t="s">
        <v>433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40" priority="9" stopIfTrue="1" operator="lessThanOrEqual">
      <formula>-0.1</formula>
    </cfRule>
    <cfRule type="expression" dxfId="39" priority="10">
      <formula>AND(ISNUMBER(G2), G2&gt;=0.1)</formula>
    </cfRule>
  </conditionalFormatting>
  <conditionalFormatting sqref="G4:G160 J4:J160">
    <cfRule type="cellIs" dxfId="38" priority="1" stopIfTrue="1" operator="lessThanOrEqual">
      <formula>-0.1</formula>
    </cfRule>
    <cfRule type="expression" dxfId="37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101" activePane="bottomRight" state="frozen"/>
      <selection pane="bottomRight" activeCell="L123" sqref="L123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5">
      <c r="A1" s="96" t="str" cm="1">
        <f t="array" ref="A1">portfolio</f>
        <v>Generate Capital</v>
      </c>
      <c r="B1" s="96"/>
      <c r="C1" s="96"/>
      <c r="D1" s="96"/>
      <c r="E1" s="97" t="s">
        <v>434</v>
      </c>
      <c r="F1" s="97"/>
      <c r="G1" s="97"/>
      <c r="H1" s="95" t="s">
        <v>435</v>
      </c>
      <c r="I1" s="95"/>
      <c r="J1" s="95"/>
      <c r="K1" s="5"/>
      <c r="L1" s="5"/>
    </row>
    <row r="2" spans="1:12" ht="15">
      <c r="A2" s="98" t="s">
        <v>2</v>
      </c>
      <c r="B2" s="98"/>
      <c r="C2" s="72"/>
      <c r="D2" s="6">
        <f>SUM(D4:D160)</f>
        <v>32035969.536606003</v>
      </c>
      <c r="E2" s="6">
        <f>SUM(E4:E160)</f>
        <v>10958092.783999998</v>
      </c>
      <c r="F2" s="6">
        <f>D2-E2</f>
        <v>21077876.752606004</v>
      </c>
      <c r="G2" s="7">
        <f>IFERROR(F2/E2, 0)</f>
        <v>1.9234986569361765</v>
      </c>
      <c r="H2" s="6">
        <f>SUM(H4:H160)</f>
        <v>16931803.296999998</v>
      </c>
      <c r="I2" s="8">
        <f>D2-H2</f>
        <v>15104166.239606004</v>
      </c>
      <c r="J2" s="7">
        <f>IFERROR(I2/H2, 0)</f>
        <v>0.89205892453771785</v>
      </c>
      <c r="K2" s="23" t="str">
        <f ca="1">IF(AND(TODAY()&gt;DATE(2024, 5,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14557.700241516301</v>
      </c>
      <c r="E4" s="11">
        <v>10545.46</v>
      </c>
      <c r="F4" s="11">
        <f>IF(AND(ISNUMBER(D4),ISNUMBER(E4)), D4-E4, "")</f>
        <v>4012.2402415163015</v>
      </c>
      <c r="G4" s="12">
        <f>IFERROR(F4/E4, "")</f>
        <v>0.38047086058989382</v>
      </c>
      <c r="H4" s="13">
        <v>15226.78</v>
      </c>
      <c r="I4" s="13">
        <f>IF(AND(ISNUMBER(D4),ISNUMBER(H4)), D4-H4, "")</f>
        <v>-669.07975848370006</v>
      </c>
      <c r="J4" s="14">
        <f>IFERROR(I4/H4, "")</f>
        <v>-4.394098808045431E-2</v>
      </c>
      <c r="K4" s="66" t="s">
        <v>436</v>
      </c>
      <c r="L4" s="66" t="s">
        <v>437</v>
      </c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71260</v>
      </c>
      <c r="E5" s="15">
        <v>59060.800000000003</v>
      </c>
      <c r="F5" s="15">
        <f t="shared" ref="F5:F17" si="0">IF(AND(ISNUMBER(D5),ISNUMBER(E5)), D5-E5, "")</f>
        <v>12199.199999999997</v>
      </c>
      <c r="G5" s="16">
        <f>IFERROR(F5/E5, "")</f>
        <v>0.20655324682361223</v>
      </c>
      <c r="H5" s="17">
        <v>82195.990000000005</v>
      </c>
      <c r="I5" s="17">
        <f t="shared" ref="I5:I17" si="1">IF(AND(ISNUMBER(D5),ISNUMBER(H5)), D5-H5, "")</f>
        <v>-10935.990000000005</v>
      </c>
      <c r="J5" s="16">
        <f t="shared" ref="J5:J17" si="2">IFERROR(I5/H5, "")</f>
        <v>-0.13304773140392864</v>
      </c>
      <c r="K5" s="61"/>
      <c r="L5" s="61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23569.985646785801</v>
      </c>
      <c r="E6" s="11">
        <v>0</v>
      </c>
      <c r="F6" s="11">
        <f t="shared" si="0"/>
        <v>23569.985646785801</v>
      </c>
      <c r="G6" s="12" t="str">
        <f t="shared" ref="G6:G17" si="3">IFERROR(F6/E6, "")</f>
        <v/>
      </c>
      <c r="H6" s="13">
        <v>2455</v>
      </c>
      <c r="I6" s="13">
        <f t="shared" si="1"/>
        <v>21114.985646785801</v>
      </c>
      <c r="J6" s="14">
        <f t="shared" si="2"/>
        <v>8.6008088174280246</v>
      </c>
      <c r="K6" s="66"/>
      <c r="L6" s="66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9853.3812981966203</v>
      </c>
      <c r="E7" s="15">
        <v>18073.259999999998</v>
      </c>
      <c r="F7" s="15">
        <f t="shared" si="0"/>
        <v>-8219.8787018033781</v>
      </c>
      <c r="G7" s="16">
        <f t="shared" si="3"/>
        <v>-0.4548088558347182</v>
      </c>
      <c r="H7" s="17">
        <v>16982.46</v>
      </c>
      <c r="I7" s="17">
        <f t="shared" si="1"/>
        <v>-7129.0787018033789</v>
      </c>
      <c r="J7" s="16">
        <f t="shared" si="2"/>
        <v>-0.41979069591822266</v>
      </c>
      <c r="K7" s="61"/>
      <c r="L7" s="62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36794.761686708</v>
      </c>
      <c r="E8" s="11">
        <v>39125.949999999997</v>
      </c>
      <c r="F8" s="11">
        <f t="shared" si="0"/>
        <v>-2331.1883132919975</v>
      </c>
      <c r="G8" s="12">
        <f t="shared" si="3"/>
        <v>-5.9581641168891683E-2</v>
      </c>
      <c r="H8" s="13">
        <v>40769.800000000003</v>
      </c>
      <c r="I8" s="13">
        <f t="shared" si="1"/>
        <v>-3975.0383132920033</v>
      </c>
      <c r="J8" s="14">
        <f t="shared" si="2"/>
        <v>-9.7499578445123664E-2</v>
      </c>
      <c r="K8" s="66"/>
      <c r="L8" s="66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33926.135213435402</v>
      </c>
      <c r="E9" s="15">
        <v>24718.2</v>
      </c>
      <c r="F9" s="15">
        <f t="shared" si="0"/>
        <v>9207.9352134354012</v>
      </c>
      <c r="G9" s="16">
        <f t="shared" si="3"/>
        <v>0.37251641355096249</v>
      </c>
      <c r="H9" s="17">
        <v>35797.99</v>
      </c>
      <c r="I9" s="17">
        <f t="shared" si="1"/>
        <v>-1871.854786564596</v>
      </c>
      <c r="J9" s="16">
        <f t="shared" si="2"/>
        <v>-5.2289382352601249E-2</v>
      </c>
      <c r="K9" s="61"/>
      <c r="L9" s="62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15366.2630003018</v>
      </c>
      <c r="E10" s="11">
        <v>10086.36</v>
      </c>
      <c r="F10" s="11">
        <f t="shared" si="0"/>
        <v>5279.9030003017997</v>
      </c>
      <c r="G10" s="12">
        <f t="shared" si="3"/>
        <v>0.52346961642275303</v>
      </c>
      <c r="H10" s="13">
        <v>15051</v>
      </c>
      <c r="I10" s="13">
        <f t="shared" si="1"/>
        <v>315.26300030180028</v>
      </c>
      <c r="J10" s="14">
        <f t="shared" si="2"/>
        <v>2.0946315879463176E-2</v>
      </c>
      <c r="K10" s="66"/>
      <c r="L10" s="66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10924.195396011401</v>
      </c>
      <c r="E11" s="15">
        <v>0</v>
      </c>
      <c r="F11" s="15">
        <f t="shared" si="0"/>
        <v>10924.195396011401</v>
      </c>
      <c r="G11" s="16" t="str">
        <f t="shared" si="3"/>
        <v/>
      </c>
      <c r="H11" s="17">
        <v>0</v>
      </c>
      <c r="I11" s="17">
        <f t="shared" si="1"/>
        <v>10924.195396011401</v>
      </c>
      <c r="J11" s="16" t="str">
        <f t="shared" si="2"/>
        <v/>
      </c>
      <c r="K11" s="61" t="s">
        <v>438</v>
      </c>
      <c r="L11" s="62" t="s">
        <v>439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87310</v>
      </c>
      <c r="E12" s="11">
        <v>101966.2</v>
      </c>
      <c r="F12" s="11">
        <f t="shared" si="0"/>
        <v>-14656.199999999997</v>
      </c>
      <c r="G12" s="12">
        <f t="shared" si="3"/>
        <v>-0.14373586541422548</v>
      </c>
      <c r="H12" s="13">
        <v>94676</v>
      </c>
      <c r="I12" s="13">
        <f t="shared" si="1"/>
        <v>-7366</v>
      </c>
      <c r="J12" s="14">
        <f t="shared" si="2"/>
        <v>-7.7802188516625126E-2</v>
      </c>
      <c r="K12" s="66"/>
      <c r="L12" s="66"/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108967.6640625</v>
      </c>
      <c r="E13" s="15">
        <v>141168.6</v>
      </c>
      <c r="F13" s="15">
        <f t="shared" si="0"/>
        <v>-32200.935937500006</v>
      </c>
      <c r="G13" s="16">
        <f t="shared" si="3"/>
        <v>-0.22810267961501357</v>
      </c>
      <c r="H13" s="17">
        <v>134445</v>
      </c>
      <c r="I13" s="17">
        <f t="shared" si="1"/>
        <v>-25477.3359375</v>
      </c>
      <c r="J13" s="16">
        <f t="shared" si="2"/>
        <v>-0.18950006275800513</v>
      </c>
      <c r="K13" s="61" t="s">
        <v>440</v>
      </c>
      <c r="L13" s="62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23066.75</v>
      </c>
      <c r="E14" s="11">
        <v>0</v>
      </c>
      <c r="F14" s="11">
        <f t="shared" si="0"/>
        <v>23066.75</v>
      </c>
      <c r="G14" s="12" t="str">
        <f t="shared" si="3"/>
        <v/>
      </c>
      <c r="H14" s="13">
        <v>32942</v>
      </c>
      <c r="I14" s="13">
        <f t="shared" si="1"/>
        <v>-9875.25</v>
      </c>
      <c r="J14" s="14">
        <f t="shared" si="2"/>
        <v>-0.29977688057798557</v>
      </c>
      <c r="K14" s="66"/>
      <c r="L14" s="66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20160.982966622199</v>
      </c>
      <c r="E15" s="15">
        <v>10041.120000000001</v>
      </c>
      <c r="F15" s="15">
        <f t="shared" si="0"/>
        <v>10119.862966622199</v>
      </c>
      <c r="G15" s="16">
        <f t="shared" si="3"/>
        <v>1.0078420501519947</v>
      </c>
      <c r="H15" s="17">
        <v>20743</v>
      </c>
      <c r="I15" s="17">
        <f t="shared" si="1"/>
        <v>-582.01703337780054</v>
      </c>
      <c r="J15" s="16">
        <f t="shared" si="2"/>
        <v>-2.8058479167806034E-2</v>
      </c>
      <c r="K15" s="61"/>
      <c r="L15" s="62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16612.9838883874</v>
      </c>
      <c r="E16" s="11">
        <v>7710.9229999999998</v>
      </c>
      <c r="F16" s="11">
        <f t="shared" si="0"/>
        <v>8902.0608883874011</v>
      </c>
      <c r="G16" s="12">
        <f t="shared" si="3"/>
        <v>1.1544740997137959</v>
      </c>
      <c r="H16" s="13">
        <v>16801</v>
      </c>
      <c r="I16" s="13">
        <f t="shared" si="1"/>
        <v>-188.01611161260007</v>
      </c>
      <c r="J16" s="14">
        <f t="shared" si="2"/>
        <v>-1.1190769097827515E-2</v>
      </c>
      <c r="K16" s="66"/>
      <c r="L16" s="66"/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94463.9399999999</v>
      </c>
      <c r="E17" s="15">
        <v>57121.14</v>
      </c>
      <c r="F17" s="15">
        <f t="shared" si="0"/>
        <v>37342.799999999901</v>
      </c>
      <c r="G17" s="16">
        <f t="shared" si="3"/>
        <v>0.65374745672092505</v>
      </c>
      <c r="H17" s="17">
        <v>49564</v>
      </c>
      <c r="I17" s="17">
        <f t="shared" si="1"/>
        <v>44899.9399999999</v>
      </c>
      <c r="J17" s="16">
        <f t="shared" si="2"/>
        <v>0.90589823258816682</v>
      </c>
      <c r="K17" s="61" t="s">
        <v>441</v>
      </c>
      <c r="L17" s="61" t="s">
        <v>442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29680.5799999997</v>
      </c>
      <c r="E18" s="11">
        <v>0</v>
      </c>
      <c r="F18" s="11">
        <f t="shared" ref="F18:F81" si="4">IF(AND(ISNUMBER(D18),ISNUMBER(E18)), D18-E18, "")</f>
        <v>29680.5799999997</v>
      </c>
      <c r="G18" s="12" t="str">
        <f t="shared" ref="G18:G81" si="5">IFERROR(F18/E18, "")</f>
        <v/>
      </c>
      <c r="H18" s="13">
        <v>15670</v>
      </c>
      <c r="I18" s="13">
        <f t="shared" ref="I18:I81" si="6">IF(AND(ISNUMBER(D18),ISNUMBER(H18)), D18-H18, "")</f>
        <v>14010.5799999997</v>
      </c>
      <c r="J18" s="16">
        <f t="shared" ref="J18:J81" si="7">IFERROR(I18/H18, "")</f>
        <v>0.89410210593488826</v>
      </c>
      <c r="K18" s="66"/>
      <c r="L18" s="66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141113.5</v>
      </c>
      <c r="E19" s="15">
        <v>166233.4</v>
      </c>
      <c r="F19" s="15">
        <f t="shared" si="4"/>
        <v>-25119.899999999994</v>
      </c>
      <c r="G19" s="16">
        <f t="shared" si="5"/>
        <v>-0.15111223135663468</v>
      </c>
      <c r="H19" s="17">
        <v>147100.6</v>
      </c>
      <c r="I19" s="17">
        <f t="shared" si="6"/>
        <v>-5987.1000000000058</v>
      </c>
      <c r="J19" s="16">
        <f t="shared" si="7"/>
        <v>-4.0700717740104427E-2</v>
      </c>
      <c r="K19" s="61" t="s">
        <v>443</v>
      </c>
      <c r="L19" s="62" t="s">
        <v>444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36844.875</v>
      </c>
      <c r="E20" s="11">
        <v>36681.949999999997</v>
      </c>
      <c r="F20" s="11">
        <f t="shared" si="4"/>
        <v>162.92500000000291</v>
      </c>
      <c r="G20" s="12">
        <f t="shared" si="5"/>
        <v>4.4415577688755072E-3</v>
      </c>
      <c r="H20" s="13">
        <v>37825.18</v>
      </c>
      <c r="I20" s="13">
        <f t="shared" si="6"/>
        <v>-980.30500000000029</v>
      </c>
      <c r="J20" s="16">
        <f t="shared" si="7"/>
        <v>-2.5916730601149823E-2</v>
      </c>
      <c r="K20" s="66" t="s">
        <v>445</v>
      </c>
      <c r="L20" s="66" t="s">
        <v>446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36501.500000000102</v>
      </c>
      <c r="E21" s="15">
        <v>40166.720000000001</v>
      </c>
      <c r="F21" s="15">
        <f t="shared" si="4"/>
        <v>-3665.2199999998993</v>
      </c>
      <c r="G21" s="16">
        <f t="shared" si="5"/>
        <v>-9.1250169294378514E-2</v>
      </c>
      <c r="H21" s="17">
        <v>44752.11</v>
      </c>
      <c r="I21" s="17">
        <f t="shared" si="6"/>
        <v>-8250.6099999998987</v>
      </c>
      <c r="J21" s="16">
        <f t="shared" si="7"/>
        <v>-0.18436248033891359</v>
      </c>
      <c r="K21" s="61"/>
      <c r="L21" s="62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27141.796875</v>
      </c>
      <c r="E22" s="11">
        <v>0</v>
      </c>
      <c r="F22" s="11">
        <f t="shared" si="4"/>
        <v>27141.796875</v>
      </c>
      <c r="G22" s="12" t="str">
        <f t="shared" si="5"/>
        <v/>
      </c>
      <c r="H22" s="13">
        <v>0</v>
      </c>
      <c r="I22" s="13">
        <f t="shared" si="6"/>
        <v>27141.796875</v>
      </c>
      <c r="J22" s="16" t="str">
        <f t="shared" si="7"/>
        <v/>
      </c>
      <c r="K22" s="66" t="s">
        <v>447</v>
      </c>
      <c r="L22" s="66" t="s">
        <v>448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34375.8125</v>
      </c>
      <c r="E23" s="15">
        <v>35628.89</v>
      </c>
      <c r="F23" s="15">
        <f t="shared" si="4"/>
        <v>-1253.0774999999994</v>
      </c>
      <c r="G23" s="16">
        <f t="shared" si="5"/>
        <v>-3.5170264917037813E-2</v>
      </c>
      <c r="H23" s="17">
        <v>36910</v>
      </c>
      <c r="I23" s="17">
        <f t="shared" si="6"/>
        <v>-2534.1875</v>
      </c>
      <c r="J23" s="16">
        <f t="shared" si="7"/>
        <v>-6.8658561365483609E-2</v>
      </c>
      <c r="K23" s="61" t="s">
        <v>449</v>
      </c>
      <c r="L23" s="62" t="s">
        <v>450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27339</v>
      </c>
      <c r="E24" s="11">
        <v>28433.58</v>
      </c>
      <c r="F24" s="11">
        <f t="shared" si="4"/>
        <v>-1094.5800000000017</v>
      </c>
      <c r="G24" s="12">
        <f t="shared" si="5"/>
        <v>-3.8496031804647945E-2</v>
      </c>
      <c r="H24" s="13">
        <v>23000.29</v>
      </c>
      <c r="I24" s="13">
        <f t="shared" si="6"/>
        <v>4338.7099999999991</v>
      </c>
      <c r="J24" s="16">
        <f t="shared" si="7"/>
        <v>0.18863718674851487</v>
      </c>
      <c r="K24" s="66"/>
      <c r="L24" s="66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7510.3029687499902</v>
      </c>
      <c r="E25" s="15">
        <v>11683.45</v>
      </c>
      <c r="F25" s="15">
        <f t="shared" si="4"/>
        <v>-4173.1470312500105</v>
      </c>
      <c r="G25" s="16">
        <f t="shared" si="5"/>
        <v>-0.35718448157436461</v>
      </c>
      <c r="H25" s="17">
        <v>9189.7870000000003</v>
      </c>
      <c r="I25" s="17">
        <f t="shared" si="6"/>
        <v>-1679.48403125001</v>
      </c>
      <c r="J25" s="16">
        <f t="shared" si="7"/>
        <v>-0.18275549055163193</v>
      </c>
      <c r="K25" s="76" t="s">
        <v>337</v>
      </c>
      <c r="L25" s="76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10384.03125</v>
      </c>
      <c r="E26" s="11">
        <v>10885.33</v>
      </c>
      <c r="F26" s="11">
        <f t="shared" si="4"/>
        <v>-501.29874999999993</v>
      </c>
      <c r="G26" s="12">
        <f t="shared" si="5"/>
        <v>-4.605269201760534E-2</v>
      </c>
      <c r="H26" s="13">
        <v>2041</v>
      </c>
      <c r="I26" s="13">
        <f t="shared" si="6"/>
        <v>8343.03125</v>
      </c>
      <c r="J26" s="16">
        <f t="shared" si="7"/>
        <v>4.0877174179323861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38089.375</v>
      </c>
      <c r="E27" s="15">
        <v>41603.08</v>
      </c>
      <c r="F27" s="15">
        <f t="shared" si="4"/>
        <v>-3513.7050000000017</v>
      </c>
      <c r="G27" s="16">
        <f t="shared" si="5"/>
        <v>-8.4457809373729098E-2</v>
      </c>
      <c r="H27" s="17">
        <v>45806.97</v>
      </c>
      <c r="I27" s="17">
        <f t="shared" si="6"/>
        <v>-7717.5950000000012</v>
      </c>
      <c r="J27" s="16">
        <f t="shared" si="7"/>
        <v>-0.16848080106586402</v>
      </c>
      <c r="K27" s="61"/>
      <c r="L27" s="62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22742.546632350699</v>
      </c>
      <c r="E28" s="11">
        <v>0</v>
      </c>
      <c r="F28" s="11">
        <f t="shared" si="4"/>
        <v>22742.546632350699</v>
      </c>
      <c r="G28" s="12" t="str">
        <f t="shared" si="5"/>
        <v/>
      </c>
      <c r="H28" s="13">
        <v>0</v>
      </c>
      <c r="I28" s="13">
        <f t="shared" si="6"/>
        <v>22742.546632350699</v>
      </c>
      <c r="J28" s="16" t="str">
        <f t="shared" si="7"/>
        <v/>
      </c>
      <c r="K28" s="66"/>
      <c r="L28" s="66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24232.84375</v>
      </c>
      <c r="E29" s="15">
        <v>25177.65</v>
      </c>
      <c r="F29" s="15">
        <f t="shared" si="4"/>
        <v>-944.80625000000146</v>
      </c>
      <c r="G29" s="16">
        <f t="shared" si="5"/>
        <v>-3.7525593135181459E-2</v>
      </c>
      <c r="H29" s="17">
        <v>23853.84</v>
      </c>
      <c r="I29" s="17">
        <f t="shared" si="6"/>
        <v>379.00374999999985</v>
      </c>
      <c r="J29" s="16">
        <f t="shared" si="7"/>
        <v>1.5888584395636084E-2</v>
      </c>
      <c r="K29" s="61"/>
      <c r="L29" s="61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22552.09375</v>
      </c>
      <c r="E30" s="11">
        <v>0</v>
      </c>
      <c r="F30" s="11">
        <f t="shared" si="4"/>
        <v>22552.09375</v>
      </c>
      <c r="G30" s="12" t="str">
        <f t="shared" si="5"/>
        <v/>
      </c>
      <c r="H30" s="13">
        <v>26284.25</v>
      </c>
      <c r="I30" s="13">
        <f t="shared" si="6"/>
        <v>-3732.15625</v>
      </c>
      <c r="J30" s="16">
        <f t="shared" si="7"/>
        <v>-0.14199211504988729</v>
      </c>
      <c r="K30" s="66" t="s">
        <v>339</v>
      </c>
      <c r="L30" s="66" t="s">
        <v>340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25558.625</v>
      </c>
      <c r="E31" s="15">
        <v>0</v>
      </c>
      <c r="F31" s="15">
        <f t="shared" si="4"/>
        <v>25558.625</v>
      </c>
      <c r="G31" s="16" t="str">
        <f t="shared" si="5"/>
        <v/>
      </c>
      <c r="H31" s="17">
        <v>28850</v>
      </c>
      <c r="I31" s="17">
        <f t="shared" si="6"/>
        <v>-3291.375</v>
      </c>
      <c r="J31" s="16">
        <f t="shared" si="7"/>
        <v>-0.11408578856152513</v>
      </c>
      <c r="K31" s="76"/>
      <c r="L31" s="77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20130.515625</v>
      </c>
      <c r="E32" s="11">
        <v>17304.29</v>
      </c>
      <c r="F32" s="11">
        <f t="shared" si="4"/>
        <v>2826.2256249999991</v>
      </c>
      <c r="G32" s="12">
        <f t="shared" si="5"/>
        <v>0.16332514220462088</v>
      </c>
      <c r="H32" s="13">
        <v>19009</v>
      </c>
      <c r="I32" s="13">
        <f t="shared" si="6"/>
        <v>1121.515625</v>
      </c>
      <c r="J32" s="16">
        <f t="shared" si="7"/>
        <v>5.8999191172602453E-2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22042.03125</v>
      </c>
      <c r="E33" s="15">
        <v>22742.22</v>
      </c>
      <c r="F33" s="15">
        <f t="shared" si="4"/>
        <v>-700.18875000000116</v>
      </c>
      <c r="G33" s="16">
        <f t="shared" si="5"/>
        <v>-3.0788056311125349E-2</v>
      </c>
      <c r="H33" s="17">
        <v>0</v>
      </c>
      <c r="I33" s="17">
        <f t="shared" si="6"/>
        <v>22042.03125</v>
      </c>
      <c r="J33" s="16" t="str">
        <f t="shared" si="7"/>
        <v/>
      </c>
      <c r="K33" s="61" t="s">
        <v>451</v>
      </c>
      <c r="L33" s="62" t="s">
        <v>256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22235.0625</v>
      </c>
      <c r="E34" s="11">
        <v>25329.46</v>
      </c>
      <c r="F34" s="11">
        <f t="shared" si="4"/>
        <v>-3094.3974999999991</v>
      </c>
      <c r="G34" s="12">
        <f t="shared" si="5"/>
        <v>-0.12216594826735348</v>
      </c>
      <c r="H34" s="13">
        <v>28408</v>
      </c>
      <c r="I34" s="13">
        <f t="shared" si="6"/>
        <v>-6172.9375</v>
      </c>
      <c r="J34" s="16">
        <f t="shared" si="7"/>
        <v>-0.2172957441565756</v>
      </c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24136.0390625</v>
      </c>
      <c r="E35" s="15">
        <v>15601.08</v>
      </c>
      <c r="F35" s="15">
        <f t="shared" si="4"/>
        <v>8534.9590625000001</v>
      </c>
      <c r="G35" s="16">
        <f t="shared" si="5"/>
        <v>0.54707488600148191</v>
      </c>
      <c r="H35" s="17">
        <v>14358</v>
      </c>
      <c r="I35" s="17">
        <f t="shared" si="6"/>
        <v>9778.0390625</v>
      </c>
      <c r="J35" s="16">
        <f t="shared" si="7"/>
        <v>0.68101678942053212</v>
      </c>
      <c r="K35" s="61"/>
      <c r="L35" s="62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21682.21875</v>
      </c>
      <c r="E36" s="11">
        <v>23396.34</v>
      </c>
      <c r="F36" s="11">
        <f t="shared" si="4"/>
        <v>-1714.1212500000001</v>
      </c>
      <c r="G36" s="12">
        <f t="shared" si="5"/>
        <v>-7.3264504191681262E-2</v>
      </c>
      <c r="H36" s="13">
        <v>26742.25</v>
      </c>
      <c r="I36" s="13">
        <f t="shared" si="6"/>
        <v>-5060.03125</v>
      </c>
      <c r="J36" s="16">
        <f t="shared" si="7"/>
        <v>-0.18921486598921183</v>
      </c>
      <c r="K36" s="66"/>
      <c r="L36" s="66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v>91898.0625</v>
      </c>
      <c r="E37" s="15">
        <v>0</v>
      </c>
      <c r="F37" s="15">
        <f t="shared" si="4"/>
        <v>91898.0625</v>
      </c>
      <c r="G37" s="16" t="str">
        <f t="shared" si="5"/>
        <v/>
      </c>
      <c r="H37" s="17">
        <v>0</v>
      </c>
      <c r="I37" s="17">
        <f t="shared" si="6"/>
        <v>91898.0625</v>
      </c>
      <c r="J37" s="16" t="str">
        <f t="shared" si="7"/>
        <v/>
      </c>
      <c r="K37" s="61"/>
      <c r="L37" s="62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22695.390625</v>
      </c>
      <c r="E38" s="11">
        <v>24973.03</v>
      </c>
      <c r="F38" s="11">
        <f t="shared" si="4"/>
        <v>-2277.6393749999988</v>
      </c>
      <c r="G38" s="12">
        <f t="shared" si="5"/>
        <v>-9.1203965838346363E-2</v>
      </c>
      <c r="H38" s="13">
        <v>0</v>
      </c>
      <c r="I38" s="13">
        <f t="shared" si="6"/>
        <v>22695.390625</v>
      </c>
      <c r="J38" s="16" t="str">
        <f t="shared" si="7"/>
        <v/>
      </c>
      <c r="K38" s="66"/>
      <c r="L38" s="66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23010.625</v>
      </c>
      <c r="E39" s="15">
        <v>24969.87</v>
      </c>
      <c r="F39" s="15">
        <f t="shared" si="4"/>
        <v>-1959.244999999999</v>
      </c>
      <c r="G39" s="16">
        <f t="shared" si="5"/>
        <v>-7.8464365253002877E-2</v>
      </c>
      <c r="H39" s="17">
        <v>28291.18</v>
      </c>
      <c r="I39" s="17">
        <f t="shared" si="6"/>
        <v>-5280.5550000000003</v>
      </c>
      <c r="J39" s="16">
        <f t="shared" si="7"/>
        <v>-0.18665022102294779</v>
      </c>
      <c r="K39" s="61"/>
      <c r="L39" s="62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26263.625</v>
      </c>
      <c r="E40" s="11">
        <v>31033.39</v>
      </c>
      <c r="F40" s="11">
        <f t="shared" si="4"/>
        <v>-4769.7649999999994</v>
      </c>
      <c r="G40" s="12">
        <f t="shared" si="5"/>
        <v>-0.15369783964948719</v>
      </c>
      <c r="H40" s="13">
        <v>27650.02</v>
      </c>
      <c r="I40" s="13">
        <f t="shared" si="6"/>
        <v>-1386.3950000000004</v>
      </c>
      <c r="J40" s="16">
        <f t="shared" si="7"/>
        <v>-5.0140831724534027E-2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37317.0625</v>
      </c>
      <c r="E41" s="15">
        <v>0</v>
      </c>
      <c r="F41" s="15">
        <f t="shared" si="4"/>
        <v>37317.0625</v>
      </c>
      <c r="G41" s="16" t="str">
        <f t="shared" si="5"/>
        <v/>
      </c>
      <c r="H41" s="17">
        <v>0</v>
      </c>
      <c r="I41" s="17">
        <f t="shared" si="6"/>
        <v>37317.0625</v>
      </c>
      <c r="J41" s="16" t="str">
        <f t="shared" si="7"/>
        <v/>
      </c>
      <c r="K41" s="61"/>
      <c r="L41" s="61"/>
    </row>
    <row r="42" spans="1:12" ht="42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24714.5078125</v>
      </c>
      <c r="E42" s="11">
        <v>22049.8</v>
      </c>
      <c r="F42" s="11">
        <f t="shared" si="4"/>
        <v>2664.7078125000007</v>
      </c>
      <c r="G42" s="12">
        <f t="shared" si="5"/>
        <v>0.12084952301154663</v>
      </c>
      <c r="H42" s="13">
        <v>22190.7</v>
      </c>
      <c r="I42" s="13">
        <f t="shared" si="6"/>
        <v>2523.8078124999993</v>
      </c>
      <c r="J42" s="16">
        <f t="shared" si="7"/>
        <v>0.11373268137102477</v>
      </c>
      <c r="K42" s="66" t="s">
        <v>452</v>
      </c>
      <c r="L42" s="66" t="s">
        <v>453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20482.1875</v>
      </c>
      <c r="E43" s="15">
        <v>0</v>
      </c>
      <c r="F43" s="15">
        <f t="shared" si="4"/>
        <v>20482.1875</v>
      </c>
      <c r="G43" s="16" t="str">
        <f t="shared" si="5"/>
        <v/>
      </c>
      <c r="H43" s="17">
        <v>0</v>
      </c>
      <c r="I43" s="17">
        <f t="shared" si="6"/>
        <v>20482.1875</v>
      </c>
      <c r="J43" s="16" t="str">
        <f t="shared" si="7"/>
        <v/>
      </c>
      <c r="K43" s="61"/>
      <c r="L43" s="62"/>
    </row>
    <row r="44" spans="1:12" ht="71.25">
      <c r="A44" s="25" t="str">
        <v>EMHC</v>
      </c>
      <c r="B44" s="26" t="str">
        <v>NY</v>
      </c>
      <c r="C44" s="26" t="str">
        <f>Sites[[#This Row],[SOL'#]]</f>
        <v>SOL-10351</v>
      </c>
      <c r="D44" s="21">
        <v>7207.59765625</v>
      </c>
      <c r="E44" s="11">
        <v>9126.9770000000008</v>
      </c>
      <c r="F44" s="11">
        <f t="shared" si="4"/>
        <v>-1919.3793437500008</v>
      </c>
      <c r="G44" s="12">
        <f t="shared" si="5"/>
        <v>-0.210297379269171</v>
      </c>
      <c r="H44" s="13">
        <v>11596.2</v>
      </c>
      <c r="I44" s="13">
        <f t="shared" si="6"/>
        <v>-4388.6023437500007</v>
      </c>
      <c r="J44" s="16">
        <f t="shared" si="7"/>
        <v>-0.37845176383211748</v>
      </c>
      <c r="K44" s="66" t="s">
        <v>454</v>
      </c>
      <c r="L44" s="66" t="s">
        <v>455</v>
      </c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31970.546875</v>
      </c>
      <c r="E45" s="15">
        <v>32574.49</v>
      </c>
      <c r="F45" s="15">
        <f t="shared" si="4"/>
        <v>-603.9431250000016</v>
      </c>
      <c r="G45" s="16">
        <f t="shared" si="5"/>
        <v>-1.8540370854616652E-2</v>
      </c>
      <c r="H45" s="17">
        <v>29425</v>
      </c>
      <c r="I45" s="17">
        <f t="shared" si="6"/>
        <v>2545.546875</v>
      </c>
      <c r="J45" s="16">
        <f t="shared" si="7"/>
        <v>8.6509664401019537E-2</v>
      </c>
      <c r="K45" s="61"/>
      <c r="L45" s="62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20977.875</v>
      </c>
      <c r="E46" s="11">
        <v>20294.47</v>
      </c>
      <c r="F46" s="11">
        <f t="shared" si="4"/>
        <v>683.40499999999884</v>
      </c>
      <c r="G46" s="12">
        <f t="shared" si="5"/>
        <v>3.3674444319068138E-2</v>
      </c>
      <c r="H46" s="13">
        <v>23731.5</v>
      </c>
      <c r="I46" s="13">
        <f t="shared" si="6"/>
        <v>-2753.625</v>
      </c>
      <c r="J46" s="16">
        <f t="shared" si="7"/>
        <v>-0.11603248846469882</v>
      </c>
      <c r="K46" s="66"/>
      <c r="L46" s="66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16699.90625</v>
      </c>
      <c r="E47" s="15">
        <v>16530.39</v>
      </c>
      <c r="F47" s="15">
        <f t="shared" si="4"/>
        <v>169.51625000000058</v>
      </c>
      <c r="G47" s="16">
        <f t="shared" si="5"/>
        <v>1.0254824598814704E-2</v>
      </c>
      <c r="H47" s="17">
        <v>8086.4570000000003</v>
      </c>
      <c r="I47" s="17">
        <f t="shared" si="6"/>
        <v>8613.4492499999997</v>
      </c>
      <c r="J47" s="16">
        <f t="shared" si="7"/>
        <v>1.0651697337907071</v>
      </c>
      <c r="K47" s="61"/>
      <c r="L47" s="62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24369.75</v>
      </c>
      <c r="E48" s="11">
        <v>28714.66</v>
      </c>
      <c r="F48" s="11">
        <f t="shared" si="4"/>
        <v>-4344.91</v>
      </c>
      <c r="G48" s="12">
        <f t="shared" si="5"/>
        <v>-0.15131330128930656</v>
      </c>
      <c r="H48" s="13">
        <v>15072</v>
      </c>
      <c r="I48" s="13">
        <f t="shared" si="6"/>
        <v>9297.75</v>
      </c>
      <c r="J48" s="16">
        <f t="shared" si="7"/>
        <v>0.61688893312101911</v>
      </c>
      <c r="K48" s="66" t="s">
        <v>456</v>
      </c>
      <c r="L48" s="66" t="s">
        <v>457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18731.1875</v>
      </c>
      <c r="E49" s="15">
        <v>19257.63</v>
      </c>
      <c r="F49" s="15">
        <f t="shared" si="4"/>
        <v>-526.44250000000102</v>
      </c>
      <c r="G49" s="16">
        <f t="shared" si="5"/>
        <v>-2.7336827013500674E-2</v>
      </c>
      <c r="H49" s="17">
        <v>20421.080000000002</v>
      </c>
      <c r="I49" s="17">
        <f t="shared" si="6"/>
        <v>-1689.8925000000017</v>
      </c>
      <c r="J49" s="16">
        <f t="shared" si="7"/>
        <v>-8.275235687828468E-2</v>
      </c>
      <c r="K49" s="61"/>
      <c r="L49" s="62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24172.625</v>
      </c>
      <c r="E50" s="11">
        <v>25786.31</v>
      </c>
      <c r="F50" s="11">
        <f t="shared" si="4"/>
        <v>-1613.6850000000013</v>
      </c>
      <c r="G50" s="12">
        <f t="shared" si="5"/>
        <v>-6.2579135983395887E-2</v>
      </c>
      <c r="H50" s="13">
        <v>26852.74</v>
      </c>
      <c r="I50" s="13">
        <f t="shared" si="6"/>
        <v>-2680.1150000000016</v>
      </c>
      <c r="J50" s="16">
        <f t="shared" si="7"/>
        <v>-9.9807878078736159E-2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14846.65625</v>
      </c>
      <c r="E51" s="15">
        <v>16666.53</v>
      </c>
      <c r="F51" s="15">
        <f t="shared" si="4"/>
        <v>-1819.8737499999988</v>
      </c>
      <c r="G51" s="16">
        <f t="shared" si="5"/>
        <v>-0.1091933203852271</v>
      </c>
      <c r="H51" s="17">
        <v>15300</v>
      </c>
      <c r="I51" s="17">
        <f t="shared" si="6"/>
        <v>-453.34375</v>
      </c>
      <c r="J51" s="16">
        <f t="shared" si="7"/>
        <v>-2.9630310457516341E-2</v>
      </c>
      <c r="K51" s="61"/>
      <c r="L51" s="62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24042.8125</v>
      </c>
      <c r="E52" s="11">
        <v>28236.240000000002</v>
      </c>
      <c r="F52" s="11">
        <f t="shared" si="4"/>
        <v>-4193.4275000000016</v>
      </c>
      <c r="G52" s="12">
        <f t="shared" si="5"/>
        <v>-0.14851224879799865</v>
      </c>
      <c r="H52" s="13">
        <v>29247.55</v>
      </c>
      <c r="I52" s="13">
        <f t="shared" si="6"/>
        <v>-5204.7374999999993</v>
      </c>
      <c r="J52" s="16">
        <f t="shared" si="7"/>
        <v>-0.17795464919283835</v>
      </c>
      <c r="K52" s="66" t="s">
        <v>458</v>
      </c>
      <c r="L52" s="66" t="s">
        <v>459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40202.5</v>
      </c>
      <c r="E53" s="15">
        <v>44409.02</v>
      </c>
      <c r="F53" s="15">
        <f t="shared" si="4"/>
        <v>-4206.5199999999968</v>
      </c>
      <c r="G53" s="16">
        <f t="shared" si="5"/>
        <v>-9.4722198328177409E-2</v>
      </c>
      <c r="H53" s="17">
        <v>41491.699999999997</v>
      </c>
      <c r="I53" s="17">
        <f t="shared" si="6"/>
        <v>-1289.1999999999971</v>
      </c>
      <c r="J53" s="16">
        <f t="shared" si="7"/>
        <v>-3.1071274495862961E-2</v>
      </c>
      <c r="K53" s="61"/>
      <c r="L53" s="61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32066.125</v>
      </c>
      <c r="E54" s="11">
        <v>33092.01</v>
      </c>
      <c r="F54" s="11">
        <f t="shared" si="4"/>
        <v>-1025.885000000002</v>
      </c>
      <c r="G54" s="12">
        <f t="shared" si="5"/>
        <v>-3.1000987851750376E-2</v>
      </c>
      <c r="H54" s="13">
        <v>30546</v>
      </c>
      <c r="I54" s="13">
        <f t="shared" si="6"/>
        <v>1520.125</v>
      </c>
      <c r="J54" s="16">
        <f t="shared" si="7"/>
        <v>4.9765108361160215E-2</v>
      </c>
      <c r="K54" s="66"/>
      <c r="L54" s="66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14718.09375</v>
      </c>
      <c r="E55" s="15">
        <v>16352.9</v>
      </c>
      <c r="F55" s="15">
        <f t="shared" si="4"/>
        <v>-1634.8062499999996</v>
      </c>
      <c r="G55" s="16">
        <f t="shared" si="5"/>
        <v>-9.9970418090980784E-2</v>
      </c>
      <c r="H55" s="17">
        <v>17436.29</v>
      </c>
      <c r="I55" s="17">
        <f t="shared" si="6"/>
        <v>-2718.1962500000009</v>
      </c>
      <c r="J55" s="16">
        <f t="shared" si="7"/>
        <v>-0.155893039746414</v>
      </c>
      <c r="K55" s="61"/>
      <c r="L55" s="62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54035.875</v>
      </c>
      <c r="E56" s="11">
        <v>56972.36</v>
      </c>
      <c r="F56" s="11">
        <f t="shared" si="4"/>
        <v>-2936.4850000000006</v>
      </c>
      <c r="G56" s="12">
        <f t="shared" si="5"/>
        <v>-5.1542274183481264E-2</v>
      </c>
      <c r="H56" s="13">
        <v>0</v>
      </c>
      <c r="I56" s="13">
        <f t="shared" si="6"/>
        <v>54035.875</v>
      </c>
      <c r="J56" s="16" t="str">
        <f t="shared" si="7"/>
        <v/>
      </c>
      <c r="K56" s="66"/>
      <c r="L56" s="66"/>
    </row>
    <row r="57" spans="1:12" ht="28.5">
      <c r="A57" s="27" t="str">
        <v>Q405</v>
      </c>
      <c r="B57" s="28" t="str">
        <v>NY</v>
      </c>
      <c r="C57" s="28" t="str">
        <f>Sites[[#This Row],[SOL'#]]</f>
        <v>SOL-10409</v>
      </c>
      <c r="D57" s="10">
        <v>60094.75</v>
      </c>
      <c r="E57" s="15">
        <v>62190.46</v>
      </c>
      <c r="F57" s="15">
        <f t="shared" si="4"/>
        <v>-2095.7099999999991</v>
      </c>
      <c r="G57" s="16">
        <f t="shared" si="5"/>
        <v>-3.3698255327264004E-2</v>
      </c>
      <c r="H57" s="17">
        <v>48744.19</v>
      </c>
      <c r="I57" s="17">
        <f t="shared" si="6"/>
        <v>11350.559999999998</v>
      </c>
      <c r="J57" s="16">
        <f t="shared" si="7"/>
        <v>0.23285975210584064</v>
      </c>
      <c r="K57" s="61" t="s">
        <v>460</v>
      </c>
      <c r="L57" s="62" t="s">
        <v>461</v>
      </c>
    </row>
    <row r="58" spans="1:12" ht="28.5">
      <c r="A58" s="25" t="str">
        <v>Q435</v>
      </c>
      <c r="B58" s="26" t="str">
        <v>NY</v>
      </c>
      <c r="C58" s="26" t="str">
        <f>Sites[[#This Row],[SOL'#]]</f>
        <v>SOL-10923</v>
      </c>
      <c r="D58" s="21">
        <v>71093.265625000102</v>
      </c>
      <c r="E58" s="11">
        <v>57936.14</v>
      </c>
      <c r="F58" s="11">
        <f t="shared" si="4"/>
        <v>13157.125625000102</v>
      </c>
      <c r="G58" s="12">
        <f t="shared" si="5"/>
        <v>0.22709703520117328</v>
      </c>
      <c r="H58" s="13">
        <v>0</v>
      </c>
      <c r="I58" s="13">
        <f t="shared" si="6"/>
        <v>71093.265625000102</v>
      </c>
      <c r="J58" s="16" t="str">
        <f t="shared" si="7"/>
        <v/>
      </c>
      <c r="K58" s="66" t="s">
        <v>462</v>
      </c>
      <c r="L58" s="66" t="s">
        <v>463</v>
      </c>
    </row>
    <row r="59" spans="1:12" ht="57">
      <c r="A59" s="27" t="str">
        <v>Q485</v>
      </c>
      <c r="B59" s="28" t="str">
        <v>NY</v>
      </c>
      <c r="C59" s="28" t="str">
        <f>Sites[[#This Row],[SOL'#]]</f>
        <v>SOL-10869</v>
      </c>
      <c r="D59" s="10">
        <v>42622.765625</v>
      </c>
      <c r="E59" s="15">
        <v>33709.18</v>
      </c>
      <c r="F59" s="15">
        <f t="shared" si="4"/>
        <v>8913.5856249999997</v>
      </c>
      <c r="G59" s="16">
        <f t="shared" si="5"/>
        <v>0.26442605916251893</v>
      </c>
      <c r="H59" s="17">
        <v>54600.91</v>
      </c>
      <c r="I59" s="17">
        <f t="shared" si="6"/>
        <v>-11978.144375000003</v>
      </c>
      <c r="J59" s="16">
        <f t="shared" si="7"/>
        <v>-0.2193762773367697</v>
      </c>
      <c r="K59" s="61" t="s">
        <v>464</v>
      </c>
      <c r="L59" s="62" t="s">
        <v>465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51552.8632425744</v>
      </c>
      <c r="E60" s="11"/>
      <c r="F60" s="11" t="str">
        <f t="shared" si="4"/>
        <v/>
      </c>
      <c r="G60" s="12" t="str">
        <f t="shared" si="5"/>
        <v/>
      </c>
      <c r="H60" s="13">
        <v>56387.54</v>
      </c>
      <c r="I60" s="13">
        <f t="shared" si="6"/>
        <v>-4834.676757425601</v>
      </c>
      <c r="J60" s="80">
        <f t="shared" si="7"/>
        <v>-8.5740160989920836E-2</v>
      </c>
      <c r="K60" s="66"/>
      <c r="L60" s="66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77398.75</v>
      </c>
      <c r="E61" s="15">
        <v>80027.13</v>
      </c>
      <c r="F61" s="15">
        <f t="shared" si="4"/>
        <v>-2628.3800000000047</v>
      </c>
      <c r="G61" s="16">
        <f t="shared" si="5"/>
        <v>-3.2843611910111037E-2</v>
      </c>
      <c r="H61" s="17">
        <v>87311.93</v>
      </c>
      <c r="I61" s="17">
        <f t="shared" si="6"/>
        <v>-9913.179999999993</v>
      </c>
      <c r="J61" s="16">
        <f t="shared" si="7"/>
        <v>-0.11353752001587863</v>
      </c>
      <c r="K61" s="61"/>
      <c r="L61" s="62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6670.7</v>
      </c>
      <c r="E62" s="11">
        <v>0</v>
      </c>
      <c r="F62" s="11">
        <f t="shared" si="4"/>
        <v>6670.7</v>
      </c>
      <c r="G62" s="12" t="str">
        <f t="shared" si="5"/>
        <v/>
      </c>
      <c r="H62" s="13">
        <v>7032.8220000000001</v>
      </c>
      <c r="I62" s="13">
        <f t="shared" si="6"/>
        <v>-362.1220000000003</v>
      </c>
      <c r="J62" s="80">
        <f t="shared" si="7"/>
        <v>-5.1490283701194239E-2</v>
      </c>
      <c r="K62" s="66"/>
      <c r="L62" s="66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29825.9140625</v>
      </c>
      <c r="E63" s="15">
        <v>0</v>
      </c>
      <c r="F63" s="15">
        <f t="shared" si="4"/>
        <v>29825.9140625</v>
      </c>
      <c r="G63" s="16" t="str">
        <f t="shared" si="5"/>
        <v/>
      </c>
      <c r="H63" s="17">
        <v>0</v>
      </c>
      <c r="I63" s="17">
        <f t="shared" si="6"/>
        <v>29825.9140625</v>
      </c>
      <c r="J63" s="16" t="str">
        <f t="shared" si="7"/>
        <v/>
      </c>
      <c r="K63" s="61"/>
      <c r="L63" s="62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26509.377</v>
      </c>
      <c r="E64" s="11">
        <v>24343.08</v>
      </c>
      <c r="F64" s="11">
        <f t="shared" si="4"/>
        <v>2166.2969999999987</v>
      </c>
      <c r="G64" s="12">
        <f t="shared" si="5"/>
        <v>8.8990259244105446E-2</v>
      </c>
      <c r="H64" s="13">
        <v>23975.381000000001</v>
      </c>
      <c r="I64" s="13">
        <f t="shared" si="6"/>
        <v>2533.9959999999992</v>
      </c>
      <c r="J64" s="80">
        <f t="shared" si="7"/>
        <v>0.1056915842129891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22518.713</v>
      </c>
      <c r="E65" s="15">
        <v>20074.326000000001</v>
      </c>
      <c r="F65" s="15">
        <f t="shared" si="4"/>
        <v>2444.3869999999988</v>
      </c>
      <c r="G65" s="16">
        <f t="shared" si="5"/>
        <v>0.12176682793733641</v>
      </c>
      <c r="H65" s="17">
        <v>17525.5</v>
      </c>
      <c r="I65" s="17">
        <f t="shared" si="6"/>
        <v>4993.2129999999997</v>
      </c>
      <c r="J65" s="16">
        <f t="shared" si="7"/>
        <v>0.28491130067615761</v>
      </c>
      <c r="K65" s="61"/>
      <c r="L65" s="61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28266.866999999998</v>
      </c>
      <c r="E66" s="11">
        <v>20905.937000000002</v>
      </c>
      <c r="F66" s="11">
        <f t="shared" si="4"/>
        <v>7360.9299999999967</v>
      </c>
      <c r="G66" s="12">
        <f t="shared" si="5"/>
        <v>0.352097588354925</v>
      </c>
      <c r="H66" s="13">
        <v>23956.351999999999</v>
      </c>
      <c r="I66" s="13">
        <f t="shared" si="6"/>
        <v>4310.5149999999994</v>
      </c>
      <c r="J66" s="80">
        <f t="shared" si="7"/>
        <v>0.17993202804834391</v>
      </c>
      <c r="K66" s="66"/>
      <c r="L66" s="66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35606.754999999997</v>
      </c>
      <c r="E67" s="15">
        <v>36764.752999999997</v>
      </c>
      <c r="F67" s="15">
        <f>IF(AND(ISNUMBER(D67),ISNUMBER(E67)), D67-E67, "")</f>
        <v>-1157.9979999999996</v>
      </c>
      <c r="G67" s="16">
        <f>IFERROR(F67/E67, "")</f>
        <v>-3.1497505232797283E-2</v>
      </c>
      <c r="H67" s="17">
        <v>24280.710999999999</v>
      </c>
      <c r="I67" s="17">
        <f>IF(AND(ISNUMBER(D67),ISNUMBER(H67)), D67-H67, "")</f>
        <v>11326.043999999998</v>
      </c>
      <c r="J67" s="16">
        <f t="shared" si="7"/>
        <v>0.46646261717789067</v>
      </c>
      <c r="K67" s="61"/>
      <c r="L67" s="62"/>
    </row>
    <row r="68" spans="1:12" ht="28.5">
      <c r="A68" s="25" t="str">
        <v>X134</v>
      </c>
      <c r="B68" s="26" t="str">
        <v>NY</v>
      </c>
      <c r="C68" s="26" t="str">
        <f>Sites[[#This Row],[SOL'#]]</f>
        <v>SOL-10424</v>
      </c>
      <c r="D68" s="21">
        <v>32142.093000000001</v>
      </c>
      <c r="E68" s="11">
        <v>0</v>
      </c>
      <c r="F68" s="11">
        <f t="shared" si="4"/>
        <v>32142.093000000001</v>
      </c>
      <c r="G68" s="12" t="str">
        <f t="shared" si="5"/>
        <v/>
      </c>
      <c r="H68" s="13">
        <v>0</v>
      </c>
      <c r="I68" s="13">
        <f t="shared" si="6"/>
        <v>32142.093000000001</v>
      </c>
      <c r="J68" s="80" t="str">
        <f t="shared" si="7"/>
        <v/>
      </c>
      <c r="K68" s="66" t="s">
        <v>466</v>
      </c>
      <c r="L68" s="66" t="s">
        <v>467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23922.99</v>
      </c>
      <c r="E69" s="15">
        <v>0</v>
      </c>
      <c r="F69" s="15">
        <f t="shared" si="4"/>
        <v>23922.99</v>
      </c>
      <c r="G69" s="16" t="str">
        <f t="shared" si="5"/>
        <v/>
      </c>
      <c r="H69" s="17">
        <v>0</v>
      </c>
      <c r="I69" s="17">
        <f t="shared" si="6"/>
        <v>23922.99</v>
      </c>
      <c r="J69" s="16" t="str">
        <f t="shared" si="7"/>
        <v/>
      </c>
      <c r="K69" s="61"/>
      <c r="L69" s="62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40385.799045902</v>
      </c>
      <c r="E70" s="11">
        <v>45193.71</v>
      </c>
      <c r="F70" s="11">
        <f t="shared" si="4"/>
        <v>-4807.9109540979989</v>
      </c>
      <c r="G70" s="12">
        <f t="shared" si="5"/>
        <v>-0.10638451576774731</v>
      </c>
      <c r="H70" s="13">
        <v>41409</v>
      </c>
      <c r="I70" s="13">
        <f t="shared" si="6"/>
        <v>-1023.2009540979998</v>
      </c>
      <c r="J70" s="80">
        <f t="shared" si="7"/>
        <v>-2.4709627233161866E-2</v>
      </c>
      <c r="K70" s="66" t="s">
        <v>468</v>
      </c>
      <c r="L70" s="66" t="s">
        <v>469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23885.3915772699</v>
      </c>
      <c r="E71" s="15">
        <v>20173.580000000002</v>
      </c>
      <c r="F71" s="15">
        <f t="shared" si="4"/>
        <v>3711.8115772698984</v>
      </c>
      <c r="G71" s="16">
        <f t="shared" si="5"/>
        <v>0.18399369756235126</v>
      </c>
      <c r="H71" s="17">
        <v>20709</v>
      </c>
      <c r="I71" s="17">
        <f t="shared" si="6"/>
        <v>3176.3915772699002</v>
      </c>
      <c r="J71" s="16">
        <f t="shared" si="7"/>
        <v>0.15338218056255251</v>
      </c>
      <c r="K71" s="61"/>
      <c r="L71" s="62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25007</v>
      </c>
      <c r="E72" s="11">
        <v>25773</v>
      </c>
      <c r="F72" s="11">
        <f t="shared" si="4"/>
        <v>-766</v>
      </c>
      <c r="G72" s="12">
        <f t="shared" si="5"/>
        <v>-2.9721025879796685E-2</v>
      </c>
      <c r="H72" s="13"/>
      <c r="I72" s="13" t="str">
        <f t="shared" si="6"/>
        <v/>
      </c>
      <c r="J72" s="80" t="str">
        <f t="shared" si="7"/>
        <v/>
      </c>
      <c r="K72" s="66"/>
      <c r="L72" s="66"/>
    </row>
    <row r="73" spans="1:12" ht="31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1017210</v>
      </c>
      <c r="E73" s="15">
        <v>1040578</v>
      </c>
      <c r="F73" s="15">
        <f t="shared" si="4"/>
        <v>-23368</v>
      </c>
      <c r="G73" s="16">
        <f t="shared" si="5"/>
        <v>-2.2456749998558494E-2</v>
      </c>
      <c r="H73" s="17">
        <v>975718.3</v>
      </c>
      <c r="I73" s="17">
        <f t="shared" si="6"/>
        <v>41491.699999999953</v>
      </c>
      <c r="J73" s="16">
        <f t="shared" si="7"/>
        <v>4.2524261356992027E-2</v>
      </c>
      <c r="K73" s="61" t="s">
        <v>470</v>
      </c>
      <c r="L73" s="62" t="s">
        <v>471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999312.42</v>
      </c>
      <c r="E74" s="11">
        <v>1055778</v>
      </c>
      <c r="F74" s="11">
        <f t="shared" si="4"/>
        <v>-56465.579999999958</v>
      </c>
      <c r="G74" s="12">
        <f t="shared" si="5"/>
        <v>-5.3482436648613588E-2</v>
      </c>
      <c r="H74" s="13">
        <v>977471.9</v>
      </c>
      <c r="I74" s="13">
        <f t="shared" si="6"/>
        <v>21840.520000000019</v>
      </c>
      <c r="J74" s="80">
        <f t="shared" si="7"/>
        <v>2.2343885282021938E-2</v>
      </c>
      <c r="K74" s="66" t="s">
        <v>472</v>
      </c>
      <c r="L74" s="66" t="s">
        <v>473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369982</v>
      </c>
      <c r="E75" s="15">
        <v>0</v>
      </c>
      <c r="F75" s="15">
        <f t="shared" si="4"/>
        <v>369982</v>
      </c>
      <c r="G75" s="16" t="str">
        <f t="shared" si="5"/>
        <v/>
      </c>
      <c r="H75" s="17">
        <v>378292.3</v>
      </c>
      <c r="I75" s="17">
        <f t="shared" si="6"/>
        <v>-8310.2999999999884</v>
      </c>
      <c r="J75" s="16">
        <f t="shared" si="7"/>
        <v>-2.1967933262189022E-2</v>
      </c>
      <c r="K75" s="61" t="s">
        <v>474</v>
      </c>
      <c r="L75" s="62" t="s">
        <v>475</v>
      </c>
    </row>
    <row r="76" spans="1:12" ht="42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361303</v>
      </c>
      <c r="E76" s="11">
        <v>373532.57</v>
      </c>
      <c r="F76" s="11">
        <f t="shared" si="4"/>
        <v>-12229.570000000007</v>
      </c>
      <c r="G76" s="12">
        <f t="shared" si="5"/>
        <v>-3.2740304279222573E-2</v>
      </c>
      <c r="H76" s="13">
        <v>378881.56</v>
      </c>
      <c r="I76" s="13">
        <f t="shared" si="6"/>
        <v>-17578.559999999998</v>
      </c>
      <c r="J76" s="80">
        <f t="shared" si="7"/>
        <v>-4.6395923834350761E-2</v>
      </c>
      <c r="K76" s="66" t="s">
        <v>476</v>
      </c>
      <c r="L76" s="66" t="s">
        <v>477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358748</v>
      </c>
      <c r="E77" s="15">
        <v>348311.96500000003</v>
      </c>
      <c r="F77" s="15">
        <f t="shared" si="4"/>
        <v>10436.034999999974</v>
      </c>
      <c r="G77" s="16">
        <f t="shared" si="5"/>
        <v>2.9961747079231039E-2</v>
      </c>
      <c r="H77" s="17">
        <v>370511.95</v>
      </c>
      <c r="I77" s="17">
        <f t="shared" si="6"/>
        <v>-11763.950000000012</v>
      </c>
      <c r="J77" s="16">
        <f t="shared" si="7"/>
        <v>-3.1750527884458278E-2</v>
      </c>
      <c r="K77" s="61"/>
      <c r="L77" s="61"/>
    </row>
    <row r="78" spans="1:12" ht="61.3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263169</v>
      </c>
      <c r="E78" s="11">
        <v>272103.114</v>
      </c>
      <c r="F78" s="11">
        <f t="shared" si="4"/>
        <v>-8934.1140000000014</v>
      </c>
      <c r="G78" s="12">
        <f t="shared" si="5"/>
        <v>-3.2833560295087258E-2</v>
      </c>
      <c r="H78" s="13">
        <v>375319.79</v>
      </c>
      <c r="I78" s="13">
        <f t="shared" si="6"/>
        <v>-112150.78999999998</v>
      </c>
      <c r="J78" s="80">
        <f t="shared" si="7"/>
        <v>-0.29881395276278927</v>
      </c>
      <c r="K78" s="66" t="s">
        <v>478</v>
      </c>
      <c r="L78" s="66" t="s">
        <v>479</v>
      </c>
    </row>
    <row r="79" spans="1:12" ht="47.65" customHeight="1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408000</v>
      </c>
      <c r="E79" s="15">
        <v>110555.553</v>
      </c>
      <c r="F79" s="15">
        <f t="shared" si="4"/>
        <v>297444.44699999999</v>
      </c>
      <c r="G79" s="16">
        <f t="shared" si="5"/>
        <v>2.6904523466134713</v>
      </c>
      <c r="H79" s="17">
        <v>386390.66</v>
      </c>
      <c r="I79" s="17">
        <f t="shared" si="6"/>
        <v>21609.340000000026</v>
      </c>
      <c r="J79" s="16">
        <f t="shared" si="7"/>
        <v>5.5926144798634697E-2</v>
      </c>
      <c r="K79" s="61" t="s">
        <v>480</v>
      </c>
      <c r="L79" s="62" t="s">
        <v>481</v>
      </c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177799</v>
      </c>
      <c r="E80" s="11">
        <v>424760.09700000001</v>
      </c>
      <c r="F80" s="11">
        <f t="shared" si="4"/>
        <v>-246961.09700000001</v>
      </c>
      <c r="G80" s="12">
        <f t="shared" si="5"/>
        <v>-0.58141312883257956</v>
      </c>
      <c r="H80" s="13">
        <v>359705.31</v>
      </c>
      <c r="I80" s="13">
        <f t="shared" si="6"/>
        <v>-181906.31</v>
      </c>
      <c r="J80" s="80">
        <f t="shared" si="7"/>
        <v>-0.50570927073609229</v>
      </c>
      <c r="K80" s="66" t="s">
        <v>482</v>
      </c>
      <c r="L80" s="66" t="s">
        <v>483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312788</v>
      </c>
      <c r="E81" s="15">
        <v>336170.15100000001</v>
      </c>
      <c r="F81" s="15">
        <f t="shared" si="4"/>
        <v>-23382.151000000013</v>
      </c>
      <c r="G81" s="16">
        <f t="shared" si="5"/>
        <v>-6.9554512589667758E-2</v>
      </c>
      <c r="H81" s="17">
        <v>349137.57</v>
      </c>
      <c r="I81" s="17">
        <f t="shared" si="6"/>
        <v>-36349.570000000007</v>
      </c>
      <c r="J81" s="16">
        <f t="shared" si="7"/>
        <v>-0.10411245630196718</v>
      </c>
      <c r="K81" s="61"/>
      <c r="L81" s="62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404640</v>
      </c>
      <c r="E82" s="11">
        <v>429074.98800000001</v>
      </c>
      <c r="F82" s="11">
        <f t="shared" ref="F82:F145" si="8">IF(AND(ISNUMBER(D82),ISNUMBER(E82)), D82-E82, "")</f>
        <v>-24434.988000000012</v>
      </c>
      <c r="G82" s="12">
        <f t="shared" ref="G82:G145" si="9">IFERROR(F82/E82, "")</f>
        <v>-5.6948059624486923E-2</v>
      </c>
      <c r="H82" s="13">
        <v>382495.26</v>
      </c>
      <c r="I82" s="13">
        <f t="shared" ref="I82:I145" si="10">IF(AND(ISNUMBER(D82),ISNUMBER(H82)), D82-H82, "")</f>
        <v>22144.739999999991</v>
      </c>
      <c r="J82" s="80">
        <f t="shared" ref="J82:J145" si="11">IFERROR(I82/H82, "")</f>
        <v>5.7895462547692719E-2</v>
      </c>
      <c r="K82" s="66"/>
      <c r="L82" s="66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495581</v>
      </c>
      <c r="E83" s="15">
        <v>504525.57900000003</v>
      </c>
      <c r="F83" s="15">
        <f t="shared" si="8"/>
        <v>-8944.579000000027</v>
      </c>
      <c r="G83" s="16">
        <f t="shared" si="9"/>
        <v>-1.7728692800330795E-2</v>
      </c>
      <c r="H83" s="17">
        <v>467103.12</v>
      </c>
      <c r="I83" s="17">
        <f t="shared" si="10"/>
        <v>28477.880000000005</v>
      </c>
      <c r="J83" s="16">
        <f t="shared" si="11"/>
        <v>6.0967008741024904E-2</v>
      </c>
      <c r="K83" s="61"/>
      <c r="L83" s="62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497994</v>
      </c>
      <c r="E84" s="11">
        <v>0</v>
      </c>
      <c r="F84" s="11">
        <f t="shared" si="8"/>
        <v>497994</v>
      </c>
      <c r="G84" s="11" t="str">
        <f t="shared" si="9"/>
        <v/>
      </c>
      <c r="H84" s="13">
        <v>468088.59</v>
      </c>
      <c r="I84" s="13">
        <f t="shared" si="10"/>
        <v>29905.409999999974</v>
      </c>
      <c r="J84" s="80">
        <f t="shared" si="11"/>
        <v>6.3888354979983533E-2</v>
      </c>
      <c r="K84" s="66"/>
      <c r="L84" s="66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404497</v>
      </c>
      <c r="E85" s="15">
        <v>0</v>
      </c>
      <c r="F85" s="15">
        <f t="shared" si="8"/>
        <v>404497</v>
      </c>
      <c r="G85" s="47" t="str">
        <f t="shared" si="9"/>
        <v/>
      </c>
      <c r="H85" s="47">
        <v>107913</v>
      </c>
      <c r="I85" s="47">
        <f t="shared" si="10"/>
        <v>296584</v>
      </c>
      <c r="J85" s="16">
        <f t="shared" si="11"/>
        <v>2.7483621065117272</v>
      </c>
      <c r="K85" s="61"/>
      <c r="L85" s="62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1042806</v>
      </c>
      <c r="E86" s="11">
        <v>0</v>
      </c>
      <c r="F86" s="11">
        <f t="shared" si="8"/>
        <v>1042806</v>
      </c>
      <c r="G86" s="11" t="str">
        <f t="shared" si="9"/>
        <v/>
      </c>
      <c r="H86" s="13">
        <v>305918</v>
      </c>
      <c r="I86" s="13">
        <f t="shared" si="10"/>
        <v>736888</v>
      </c>
      <c r="J86" s="80">
        <f t="shared" si="11"/>
        <v>2.4087762080034518</v>
      </c>
      <c r="K86" s="66"/>
      <c r="L86" s="66"/>
    </row>
    <row r="87" spans="1:12" ht="28.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911018</v>
      </c>
      <c r="E87" s="15">
        <v>0</v>
      </c>
      <c r="F87" s="47">
        <f t="shared" si="8"/>
        <v>911018</v>
      </c>
      <c r="G87" s="47" t="str">
        <f t="shared" si="9"/>
        <v/>
      </c>
      <c r="H87" s="17">
        <v>377105</v>
      </c>
      <c r="I87" s="17">
        <f t="shared" si="10"/>
        <v>533913</v>
      </c>
      <c r="J87" s="16">
        <f t="shared" si="11"/>
        <v>1.4158205274393074</v>
      </c>
      <c r="K87" s="61" t="s">
        <v>484</v>
      </c>
      <c r="L87" s="62" t="s">
        <v>485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454874</v>
      </c>
      <c r="E88" s="11">
        <v>0</v>
      </c>
      <c r="F88" s="11">
        <f t="shared" si="8"/>
        <v>454874</v>
      </c>
      <c r="G88" s="11" t="str">
        <f t="shared" si="9"/>
        <v/>
      </c>
      <c r="H88" s="13">
        <v>120395</v>
      </c>
      <c r="I88" s="13">
        <f t="shared" si="10"/>
        <v>334479</v>
      </c>
      <c r="J88" s="80">
        <f t="shared" si="11"/>
        <v>2.7781801569832636</v>
      </c>
      <c r="K88" s="66"/>
      <c r="L88" s="66"/>
    </row>
    <row r="89" spans="1:12" ht="71.2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958338</v>
      </c>
      <c r="E89" s="15">
        <v>0</v>
      </c>
      <c r="F89" s="15">
        <f t="shared" si="8"/>
        <v>958338</v>
      </c>
      <c r="G89" s="15" t="str">
        <f t="shared" si="9"/>
        <v/>
      </c>
      <c r="H89" s="15">
        <v>231835</v>
      </c>
      <c r="I89" s="15">
        <f t="shared" si="10"/>
        <v>726503</v>
      </c>
      <c r="J89" s="16">
        <f t="shared" si="11"/>
        <v>3.1337071624215498</v>
      </c>
      <c r="K89" s="61" t="s">
        <v>486</v>
      </c>
      <c r="L89" s="61" t="s">
        <v>487</v>
      </c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v>1102872</v>
      </c>
      <c r="E90" s="11">
        <v>0</v>
      </c>
      <c r="F90" s="11">
        <f t="shared" si="8"/>
        <v>1102872</v>
      </c>
      <c r="G90" s="12" t="str">
        <f t="shared" si="9"/>
        <v/>
      </c>
      <c r="H90" s="13">
        <v>360190</v>
      </c>
      <c r="I90" s="13">
        <f t="shared" si="10"/>
        <v>742682</v>
      </c>
      <c r="J90" s="80">
        <f t="shared" si="11"/>
        <v>2.0619173214136985</v>
      </c>
      <c r="K90" s="66"/>
      <c r="L90" s="66"/>
    </row>
    <row r="91" spans="1:12" ht="161.6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870047.13422661298</v>
      </c>
      <c r="E91" s="15">
        <v>827216.7</v>
      </c>
      <c r="F91" s="15">
        <f t="shared" si="8"/>
        <v>42830.434226613026</v>
      </c>
      <c r="G91" s="16">
        <f t="shared" si="9"/>
        <v>5.1776558943518701E-2</v>
      </c>
      <c r="H91" s="17">
        <v>852696</v>
      </c>
      <c r="I91" s="17">
        <f t="shared" si="10"/>
        <v>17351.13422661298</v>
      </c>
      <c r="J91" s="16">
        <f t="shared" si="11"/>
        <v>2.0348558251255991E-2</v>
      </c>
      <c r="K91" s="61" t="s">
        <v>488</v>
      </c>
      <c r="L91" s="62" t="s">
        <v>489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468022</v>
      </c>
      <c r="E92" s="11">
        <v>0</v>
      </c>
      <c r="F92" s="11">
        <f t="shared" si="8"/>
        <v>468022</v>
      </c>
      <c r="G92" s="12" t="str">
        <f t="shared" si="9"/>
        <v/>
      </c>
      <c r="H92" s="13">
        <v>117410</v>
      </c>
      <c r="I92" s="13">
        <f t="shared" si="10"/>
        <v>350612</v>
      </c>
      <c r="J92" s="80">
        <f t="shared" si="11"/>
        <v>2.9862192317519805</v>
      </c>
      <c r="K92" s="66" t="s">
        <v>490</v>
      </c>
      <c r="L92" s="66" t="s">
        <v>491</v>
      </c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827270</v>
      </c>
      <c r="E93" s="15">
        <v>0</v>
      </c>
      <c r="F93" s="15">
        <f t="shared" si="8"/>
        <v>827270</v>
      </c>
      <c r="G93" s="16" t="str">
        <f t="shared" si="9"/>
        <v/>
      </c>
      <c r="H93" s="17">
        <v>323738</v>
      </c>
      <c r="I93" s="17">
        <f t="shared" si="10"/>
        <v>503532</v>
      </c>
      <c r="J93" s="16">
        <f t="shared" si="11"/>
        <v>1.5553688476484071</v>
      </c>
      <c r="K93" s="61"/>
      <c r="L93" s="62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994535</v>
      </c>
      <c r="E94" s="11">
        <v>0</v>
      </c>
      <c r="F94" s="11">
        <f t="shared" si="8"/>
        <v>994535</v>
      </c>
      <c r="G94" s="12" t="str">
        <f t="shared" si="9"/>
        <v/>
      </c>
      <c r="H94" s="13">
        <v>347576</v>
      </c>
      <c r="I94" s="13">
        <f t="shared" si="10"/>
        <v>646959</v>
      </c>
      <c r="J94" s="80">
        <f t="shared" si="11"/>
        <v>1.8613454323658711</v>
      </c>
      <c r="K94" s="66"/>
      <c r="L94" s="66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967569</v>
      </c>
      <c r="E95" s="15">
        <v>0</v>
      </c>
      <c r="F95" s="15">
        <f t="shared" si="8"/>
        <v>967569</v>
      </c>
      <c r="G95" s="16" t="str">
        <f t="shared" si="9"/>
        <v/>
      </c>
      <c r="H95" s="17">
        <v>298411</v>
      </c>
      <c r="I95" s="17">
        <f t="shared" si="10"/>
        <v>669158</v>
      </c>
      <c r="J95" s="16">
        <f t="shared" si="11"/>
        <v>2.2424039328308942</v>
      </c>
      <c r="K95" s="61"/>
      <c r="L95" s="62"/>
    </row>
    <row r="96" spans="1:12" ht="71.2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958915</v>
      </c>
      <c r="E96" s="11">
        <v>0</v>
      </c>
      <c r="F96" s="11">
        <f t="shared" si="8"/>
        <v>958915</v>
      </c>
      <c r="G96" s="12" t="str">
        <f t="shared" si="9"/>
        <v/>
      </c>
      <c r="H96" s="13">
        <v>406900</v>
      </c>
      <c r="I96" s="13">
        <f t="shared" si="10"/>
        <v>552015</v>
      </c>
      <c r="J96" s="80">
        <f t="shared" si="11"/>
        <v>1.3566355369869747</v>
      </c>
      <c r="K96" s="66" t="s">
        <v>492</v>
      </c>
      <c r="L96" s="66" t="s">
        <v>493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943327</v>
      </c>
      <c r="E97" s="15">
        <v>0</v>
      </c>
      <c r="F97" s="15">
        <f t="shared" si="8"/>
        <v>943327</v>
      </c>
      <c r="G97" s="16" t="str">
        <f t="shared" si="9"/>
        <v/>
      </c>
      <c r="H97" s="17">
        <v>390040</v>
      </c>
      <c r="I97" s="17">
        <f t="shared" si="10"/>
        <v>553287</v>
      </c>
      <c r="J97" s="16">
        <f t="shared" si="11"/>
        <v>1.4185391241923906</v>
      </c>
      <c r="K97" s="61"/>
      <c r="L97" s="62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410828</v>
      </c>
      <c r="E98" s="11">
        <v>0</v>
      </c>
      <c r="F98" s="11">
        <f t="shared" si="8"/>
        <v>410828</v>
      </c>
      <c r="G98" s="12" t="str">
        <f t="shared" si="9"/>
        <v/>
      </c>
      <c r="H98" s="13">
        <v>159200</v>
      </c>
      <c r="I98" s="13">
        <f t="shared" si="10"/>
        <v>251628</v>
      </c>
      <c r="J98" s="80">
        <f t="shared" si="11"/>
        <v>1.5805778894472362</v>
      </c>
      <c r="K98" s="66"/>
      <c r="L98" s="66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731731</v>
      </c>
      <c r="E99" s="15">
        <v>0</v>
      </c>
      <c r="F99" s="15">
        <f t="shared" si="8"/>
        <v>731731</v>
      </c>
      <c r="G99" s="16" t="str">
        <f t="shared" si="9"/>
        <v/>
      </c>
      <c r="H99" s="17">
        <v>264670</v>
      </c>
      <c r="I99" s="17">
        <f t="shared" si="10"/>
        <v>467061</v>
      </c>
      <c r="J99" s="16">
        <f t="shared" si="11"/>
        <v>1.7646918804549061</v>
      </c>
      <c r="K99" s="61" t="s">
        <v>494</v>
      </c>
      <c r="L99" s="62" t="s">
        <v>495</v>
      </c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390254</v>
      </c>
      <c r="E100" s="11">
        <v>0</v>
      </c>
      <c r="F100" s="11">
        <f t="shared" si="8"/>
        <v>390254</v>
      </c>
      <c r="G100" s="12" t="str">
        <f t="shared" si="9"/>
        <v/>
      </c>
      <c r="H100" s="13">
        <v>137310</v>
      </c>
      <c r="I100" s="13">
        <f t="shared" si="10"/>
        <v>252944</v>
      </c>
      <c r="J100" s="80">
        <f t="shared" si="11"/>
        <v>1.8421382273687277</v>
      </c>
      <c r="K100" s="89" t="s">
        <v>496</v>
      </c>
      <c r="L100" s="90" t="s">
        <v>497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907122</v>
      </c>
      <c r="E101" s="15">
        <v>0</v>
      </c>
      <c r="F101" s="15">
        <f t="shared" si="8"/>
        <v>907122</v>
      </c>
      <c r="G101" s="16" t="str">
        <f t="shared" si="9"/>
        <v/>
      </c>
      <c r="H101" s="17">
        <v>312326</v>
      </c>
      <c r="I101" s="17">
        <f t="shared" si="10"/>
        <v>594796</v>
      </c>
      <c r="J101" s="16">
        <f t="shared" si="11"/>
        <v>1.9044075741372797</v>
      </c>
      <c r="K101" s="61"/>
      <c r="L101" s="61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464580</v>
      </c>
      <c r="E102" s="11">
        <v>0</v>
      </c>
      <c r="F102" s="11">
        <f t="shared" si="8"/>
        <v>464580</v>
      </c>
      <c r="G102" s="12" t="str">
        <f t="shared" si="9"/>
        <v/>
      </c>
      <c r="H102" s="13">
        <v>327000</v>
      </c>
      <c r="I102" s="13">
        <f t="shared" si="10"/>
        <v>137580</v>
      </c>
      <c r="J102" s="80">
        <f t="shared" si="11"/>
        <v>0.42073394495412841</v>
      </c>
      <c r="K102" s="66" t="s">
        <v>498</v>
      </c>
      <c r="L102" s="66" t="s">
        <v>499</v>
      </c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487673</v>
      </c>
      <c r="E103" s="15">
        <v>0</v>
      </c>
      <c r="F103" s="15">
        <f t="shared" si="8"/>
        <v>487673</v>
      </c>
      <c r="G103" s="16" t="str">
        <f t="shared" si="9"/>
        <v/>
      </c>
      <c r="H103" s="17">
        <v>133330</v>
      </c>
      <c r="I103" s="17">
        <f t="shared" si="10"/>
        <v>354343</v>
      </c>
      <c r="J103" s="16">
        <f t="shared" si="11"/>
        <v>2.6576389409735244</v>
      </c>
      <c r="K103" s="61"/>
      <c r="L103" s="62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1171633</v>
      </c>
      <c r="E104" s="11">
        <v>0</v>
      </c>
      <c r="F104" s="11">
        <f t="shared" si="8"/>
        <v>1171633</v>
      </c>
      <c r="G104" s="12" t="str">
        <f t="shared" si="9"/>
        <v/>
      </c>
      <c r="H104" s="13">
        <v>361185</v>
      </c>
      <c r="I104" s="13">
        <f t="shared" si="10"/>
        <v>810448</v>
      </c>
      <c r="J104" s="80">
        <f t="shared" si="11"/>
        <v>2.2438584105098496</v>
      </c>
      <c r="K104" s="66"/>
      <c r="L104" s="66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410943</v>
      </c>
      <c r="E105" s="15">
        <v>0</v>
      </c>
      <c r="F105" s="15">
        <f t="shared" si="8"/>
        <v>410943</v>
      </c>
      <c r="G105" s="16" t="str">
        <f t="shared" si="9"/>
        <v/>
      </c>
      <c r="H105" s="17">
        <v>0</v>
      </c>
      <c r="I105" s="17">
        <f t="shared" si="10"/>
        <v>410943</v>
      </c>
      <c r="J105" s="16" t="str">
        <f t="shared" si="11"/>
        <v/>
      </c>
      <c r="K105" s="61" t="s">
        <v>500</v>
      </c>
      <c r="L105" s="61" t="s">
        <v>501</v>
      </c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412467</v>
      </c>
      <c r="E106" s="11">
        <v>0</v>
      </c>
      <c r="F106" s="11">
        <f t="shared" si="8"/>
        <v>412467</v>
      </c>
      <c r="G106" s="12" t="str">
        <f t="shared" si="9"/>
        <v/>
      </c>
      <c r="H106" s="13">
        <v>0</v>
      </c>
      <c r="I106" s="13">
        <f t="shared" si="10"/>
        <v>412467</v>
      </c>
      <c r="J106" s="80" t="str">
        <f t="shared" si="11"/>
        <v/>
      </c>
      <c r="K106" s="66" t="s">
        <v>500</v>
      </c>
      <c r="L106" s="66" t="s">
        <v>502</v>
      </c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397786</v>
      </c>
      <c r="E107" s="15">
        <v>0</v>
      </c>
      <c r="F107" s="15">
        <f t="shared" si="8"/>
        <v>397786</v>
      </c>
      <c r="G107" s="16" t="str">
        <f t="shared" si="9"/>
        <v/>
      </c>
      <c r="H107" s="17">
        <v>0</v>
      </c>
      <c r="I107" s="17">
        <f t="shared" si="10"/>
        <v>397786</v>
      </c>
      <c r="J107" s="16" t="str">
        <f t="shared" si="11"/>
        <v/>
      </c>
      <c r="K107" s="61" t="s">
        <v>500</v>
      </c>
      <c r="L107" s="61" t="s">
        <v>503</v>
      </c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720542</v>
      </c>
      <c r="E108" s="11">
        <v>0</v>
      </c>
      <c r="F108" s="11">
        <f t="shared" si="8"/>
        <v>720542</v>
      </c>
      <c r="G108" s="12" t="str">
        <f t="shared" si="9"/>
        <v/>
      </c>
      <c r="H108" s="13">
        <v>0</v>
      </c>
      <c r="I108" s="13">
        <f t="shared" si="10"/>
        <v>720542</v>
      </c>
      <c r="J108" s="80" t="str">
        <f t="shared" si="11"/>
        <v/>
      </c>
      <c r="K108" s="66" t="s">
        <v>504</v>
      </c>
      <c r="L108" s="66" t="s">
        <v>505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558701</v>
      </c>
      <c r="E109" s="15">
        <v>0</v>
      </c>
      <c r="F109" s="15">
        <f t="shared" si="8"/>
        <v>558701</v>
      </c>
      <c r="G109" s="16" t="str">
        <f t="shared" si="9"/>
        <v/>
      </c>
      <c r="H109" s="17">
        <v>0</v>
      </c>
      <c r="I109" s="17">
        <f t="shared" si="10"/>
        <v>558701</v>
      </c>
      <c r="J109" s="16" t="str">
        <f t="shared" si="11"/>
        <v/>
      </c>
      <c r="K109" s="61"/>
      <c r="L109" s="62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1252209</v>
      </c>
      <c r="E110" s="11">
        <v>0</v>
      </c>
      <c r="F110" s="11">
        <f t="shared" si="8"/>
        <v>1252209</v>
      </c>
      <c r="G110" s="12" t="str">
        <f t="shared" si="9"/>
        <v/>
      </c>
      <c r="H110" s="13">
        <v>0</v>
      </c>
      <c r="I110" s="13">
        <f t="shared" si="10"/>
        <v>1252209</v>
      </c>
      <c r="J110" s="80" t="str">
        <f t="shared" si="11"/>
        <v/>
      </c>
      <c r="K110" s="66"/>
      <c r="L110" s="66"/>
    </row>
    <row r="111" spans="1:12" ht="57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681740</v>
      </c>
      <c r="E111" s="15">
        <v>1092688</v>
      </c>
      <c r="F111" s="15">
        <f t="shared" si="8"/>
        <v>-410948</v>
      </c>
      <c r="G111" s="16">
        <f t="shared" si="9"/>
        <v>-0.37608905744366189</v>
      </c>
      <c r="H111" s="17">
        <v>1053763</v>
      </c>
      <c r="I111" s="17">
        <f t="shared" si="10"/>
        <v>-372023</v>
      </c>
      <c r="J111" s="16">
        <f t="shared" si="11"/>
        <v>-0.35304238239528241</v>
      </c>
      <c r="K111" s="61" t="s">
        <v>506</v>
      </c>
      <c r="L111" s="62" t="s">
        <v>507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986307</v>
      </c>
      <c r="E112" s="11">
        <v>963929.4</v>
      </c>
      <c r="F112" s="11">
        <f t="shared" si="8"/>
        <v>22377.599999999977</v>
      </c>
      <c r="G112" s="12">
        <f t="shared" si="9"/>
        <v>2.3214978192386264E-2</v>
      </c>
      <c r="H112" s="13">
        <v>1011154</v>
      </c>
      <c r="I112" s="13">
        <f t="shared" si="10"/>
        <v>-24847</v>
      </c>
      <c r="J112" s="80">
        <f t="shared" si="11"/>
        <v>-2.457291372036307E-2</v>
      </c>
      <c r="K112" s="66"/>
      <c r="L112" s="66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3802</v>
      </c>
      <c r="E113" s="15">
        <v>5305.6030000000001</v>
      </c>
      <c r="F113" s="15">
        <f t="shared" si="8"/>
        <v>-1503.6030000000001</v>
      </c>
      <c r="G113" s="16">
        <f t="shared" si="9"/>
        <v>-0.28339907829515326</v>
      </c>
      <c r="H113" s="17">
        <v>4783.6229999999996</v>
      </c>
      <c r="I113" s="17">
        <f t="shared" si="10"/>
        <v>-981.62299999999959</v>
      </c>
      <c r="J113" s="16">
        <f t="shared" si="11"/>
        <v>-0.20520492522090467</v>
      </c>
      <c r="K113" s="61"/>
      <c r="L113" s="61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9352.0600000000595</v>
      </c>
      <c r="E114" s="11">
        <v>12952.48</v>
      </c>
      <c r="F114" s="11">
        <f t="shared" si="8"/>
        <v>-3600.41999999994</v>
      </c>
      <c r="G114" s="12">
        <f t="shared" si="9"/>
        <v>-0.27797147727693383</v>
      </c>
      <c r="H114" s="13">
        <v>11563.38</v>
      </c>
      <c r="I114" s="13">
        <f t="shared" si="10"/>
        <v>-2211.3199999999397</v>
      </c>
      <c r="J114" s="80">
        <f t="shared" si="11"/>
        <v>-0.19123474278281435</v>
      </c>
      <c r="K114" s="66"/>
      <c r="L114" s="66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1520</v>
      </c>
      <c r="E115" s="15">
        <v>1635.847</v>
      </c>
      <c r="F115" s="15">
        <f t="shared" si="8"/>
        <v>-115.84699999999998</v>
      </c>
      <c r="G115" s="16">
        <f t="shared" si="9"/>
        <v>-7.081774762554198E-2</v>
      </c>
      <c r="H115" s="17">
        <v>1728.0630000000001</v>
      </c>
      <c r="I115" s="17">
        <f t="shared" si="10"/>
        <v>-208.0630000000001</v>
      </c>
      <c r="J115" s="16">
        <f t="shared" si="11"/>
        <v>-0.1204024390314474</v>
      </c>
      <c r="K115" s="61"/>
      <c r="L115" s="62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1352</v>
      </c>
      <c r="E116" s="11">
        <v>1425.348</v>
      </c>
      <c r="F116" s="11">
        <f t="shared" si="8"/>
        <v>-73.347999999999956</v>
      </c>
      <c r="G116" s="12">
        <f t="shared" si="9"/>
        <v>-5.1459713697988109E-2</v>
      </c>
      <c r="H116" s="13">
        <v>1737.701</v>
      </c>
      <c r="I116" s="13">
        <f t="shared" si="10"/>
        <v>-385.70100000000002</v>
      </c>
      <c r="J116" s="80">
        <f t="shared" si="11"/>
        <v>-0.22196050989209307</v>
      </c>
      <c r="K116" s="66"/>
      <c r="L116" s="66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1699</v>
      </c>
      <c r="E117" s="15">
        <v>1665.962</v>
      </c>
      <c r="F117" s="15">
        <f t="shared" si="8"/>
        <v>33.038000000000011</v>
      </c>
      <c r="G117" s="16">
        <f t="shared" si="9"/>
        <v>1.9831184624859399E-2</v>
      </c>
      <c r="H117" s="17">
        <v>1803</v>
      </c>
      <c r="I117" s="17">
        <f t="shared" si="10"/>
        <v>-104</v>
      </c>
      <c r="J117" s="16">
        <f t="shared" si="11"/>
        <v>-5.7681641708264002E-2</v>
      </c>
      <c r="K117" s="61"/>
      <c r="L117" s="62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17076</v>
      </c>
      <c r="E118" s="11">
        <v>20989.873</v>
      </c>
      <c r="F118" s="11">
        <f t="shared" si="8"/>
        <v>-3913.8729999999996</v>
      </c>
      <c r="G118" s="12">
        <f t="shared" si="9"/>
        <v>-0.18646482520404004</v>
      </c>
      <c r="H118" s="13">
        <v>4958.8710000000001</v>
      </c>
      <c r="I118" s="13">
        <f t="shared" si="10"/>
        <v>12117.129000000001</v>
      </c>
      <c r="J118" s="80">
        <f t="shared" si="11"/>
        <v>2.4435257541484745</v>
      </c>
      <c r="K118" s="66"/>
      <c r="L118" s="66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48426</v>
      </c>
      <c r="E119" s="15">
        <v>0</v>
      </c>
      <c r="F119" s="15">
        <f t="shared" si="8"/>
        <v>48426</v>
      </c>
      <c r="G119" s="16" t="str">
        <f t="shared" si="9"/>
        <v/>
      </c>
      <c r="H119" s="17">
        <v>51900.112000000001</v>
      </c>
      <c r="I119" s="17">
        <f t="shared" si="10"/>
        <v>-3474.112000000001</v>
      </c>
      <c r="J119" s="16">
        <f t="shared" si="11"/>
        <v>-6.6938429728244153E-2</v>
      </c>
      <c r="K119" s="61"/>
      <c r="L119" s="62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31870</v>
      </c>
      <c r="E120" s="11">
        <v>32578.915000000001</v>
      </c>
      <c r="F120" s="11">
        <f t="shared" si="8"/>
        <v>-708.91500000000087</v>
      </c>
      <c r="G120" s="12">
        <f t="shared" si="9"/>
        <v>-2.175993276633064E-2</v>
      </c>
      <c r="H120" s="13">
        <v>38931.466</v>
      </c>
      <c r="I120" s="13">
        <f t="shared" si="10"/>
        <v>-7061.4660000000003</v>
      </c>
      <c r="J120" s="80">
        <f t="shared" si="11"/>
        <v>-0.18138197004962517</v>
      </c>
      <c r="K120" s="66"/>
      <c r="L120" s="66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12666</v>
      </c>
      <c r="E121" s="15">
        <v>11161.191999999999</v>
      </c>
      <c r="F121" s="15">
        <f>IF(AND(ISNUMBER(D121),ISNUMBER(E121)), D121-E121, "")</f>
        <v>1504.8080000000009</v>
      </c>
      <c r="G121" s="16">
        <f>IFERROR(F121/E121, "")</f>
        <v>0.13482502585745332</v>
      </c>
      <c r="H121" s="17">
        <v>14146.605</v>
      </c>
      <c r="I121" s="17">
        <f>IF(AND(ISNUMBER(D121),ISNUMBER(H121)), D121-H121, "")</f>
        <v>-1480.6049999999996</v>
      </c>
      <c r="J121" s="16">
        <f t="shared" si="11"/>
        <v>-0.10466150712485431</v>
      </c>
      <c r="K121" s="61"/>
      <c r="L121" s="62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12751</v>
      </c>
      <c r="E122" s="11">
        <v>10348.629999999999</v>
      </c>
      <c r="F122" s="11">
        <f t="shared" si="8"/>
        <v>2402.3700000000008</v>
      </c>
      <c r="G122" s="12">
        <f t="shared" si="9"/>
        <v>0.23214377168765343</v>
      </c>
      <c r="H122" s="13">
        <v>14146.605</v>
      </c>
      <c r="I122" s="13">
        <f t="shared" si="10"/>
        <v>-1395.6049999999996</v>
      </c>
      <c r="J122" s="80">
        <f t="shared" si="11"/>
        <v>-9.8652998369573447E-2</v>
      </c>
      <c r="K122" s="66"/>
      <c r="L122" s="66"/>
    </row>
    <row r="123" spans="1:12" ht="42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137569</v>
      </c>
      <c r="E123" s="15">
        <v>155394.70000000001</v>
      </c>
      <c r="F123" s="15">
        <f t="shared" si="8"/>
        <v>-17825.700000000012</v>
      </c>
      <c r="G123" s="16">
        <f t="shared" si="9"/>
        <v>-0.11471240653638773</v>
      </c>
      <c r="H123" s="17">
        <v>188275.4</v>
      </c>
      <c r="I123" s="17">
        <f t="shared" si="10"/>
        <v>-50706.399999999994</v>
      </c>
      <c r="J123" s="16">
        <f t="shared" si="11"/>
        <v>-0.26932036792910807</v>
      </c>
      <c r="K123" s="61" t="s">
        <v>508</v>
      </c>
      <c r="L123" s="62" t="s">
        <v>509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158036</v>
      </c>
      <c r="E124" s="11">
        <v>160520.4</v>
      </c>
      <c r="F124" s="11">
        <f t="shared" si="8"/>
        <v>-2484.3999999999942</v>
      </c>
      <c r="G124" s="12">
        <f t="shared" si="9"/>
        <v>-1.5477160535358711E-2</v>
      </c>
      <c r="H124" s="13">
        <v>11204.52</v>
      </c>
      <c r="I124" s="13">
        <f t="shared" si="10"/>
        <v>146831.48000000001</v>
      </c>
      <c r="J124" s="80">
        <f t="shared" si="11"/>
        <v>13.104664903092681</v>
      </c>
      <c r="K124" s="66"/>
      <c r="L124" s="66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19972</v>
      </c>
      <c r="E125" s="15">
        <v>17604.080000000002</v>
      </c>
      <c r="F125" s="15">
        <f t="shared" si="8"/>
        <v>2367.9199999999983</v>
      </c>
      <c r="G125" s="16">
        <f t="shared" si="9"/>
        <v>0.13450972729049163</v>
      </c>
      <c r="H125" s="17">
        <v>20678</v>
      </c>
      <c r="I125" s="17">
        <f t="shared" si="10"/>
        <v>-706</v>
      </c>
      <c r="J125" s="16">
        <f t="shared" si="11"/>
        <v>-3.4142566979398395E-2</v>
      </c>
      <c r="K125" s="61" t="s">
        <v>510</v>
      </c>
      <c r="L125" s="61" t="s">
        <v>511</v>
      </c>
    </row>
    <row r="126" spans="1:12" ht="106.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69466</v>
      </c>
      <c r="E126" s="11">
        <v>76549.8</v>
      </c>
      <c r="F126" s="11">
        <f t="shared" si="8"/>
        <v>-7083.8000000000029</v>
      </c>
      <c r="G126" s="12">
        <f t="shared" si="9"/>
        <v>-9.2538452092624707E-2</v>
      </c>
      <c r="H126" s="13">
        <v>0</v>
      </c>
      <c r="I126" s="13">
        <f t="shared" si="10"/>
        <v>69466</v>
      </c>
      <c r="J126" s="80" t="str">
        <f t="shared" si="11"/>
        <v/>
      </c>
      <c r="K126" s="66" t="s">
        <v>512</v>
      </c>
      <c r="L126" s="66" t="s">
        <v>513</v>
      </c>
    </row>
    <row r="127" spans="1:12" ht="122.2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21740.25</v>
      </c>
      <c r="E127" s="15">
        <v>42330.31</v>
      </c>
      <c r="F127" s="15">
        <f t="shared" si="8"/>
        <v>-20590.059999999998</v>
      </c>
      <c r="G127" s="16">
        <f t="shared" si="9"/>
        <v>-0.48641410847215621</v>
      </c>
      <c r="H127" s="17">
        <v>32568</v>
      </c>
      <c r="I127" s="17">
        <f t="shared" si="10"/>
        <v>-10827.75</v>
      </c>
      <c r="J127" s="16">
        <f t="shared" si="11"/>
        <v>-0.33246591746499632</v>
      </c>
      <c r="K127" s="61" t="s">
        <v>514</v>
      </c>
      <c r="L127" s="61" t="s">
        <v>515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77608</v>
      </c>
      <c r="E128" s="11">
        <v>71581.52</v>
      </c>
      <c r="F128" s="11">
        <f t="shared" si="8"/>
        <v>6026.4799999999959</v>
      </c>
      <c r="G128" s="12">
        <f t="shared" si="9"/>
        <v>8.4190444684605681E-2</v>
      </c>
      <c r="H128" s="13">
        <v>86121.88</v>
      </c>
      <c r="I128" s="13">
        <f t="shared" si="10"/>
        <v>-8513.8800000000047</v>
      </c>
      <c r="J128" s="80">
        <f t="shared" si="11"/>
        <v>-9.8858501463275114E-2</v>
      </c>
      <c r="K128" s="66"/>
      <c r="L128" s="66"/>
    </row>
    <row r="129" spans="1:12" ht="57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177501</v>
      </c>
      <c r="E129" s="15">
        <v>175264.239</v>
      </c>
      <c r="F129" s="15">
        <f t="shared" si="8"/>
        <v>2236.7609999999986</v>
      </c>
      <c r="G129" s="16">
        <f t="shared" si="9"/>
        <v>1.2762221276640459E-2</v>
      </c>
      <c r="H129" s="17">
        <v>188331.30900000001</v>
      </c>
      <c r="I129" s="17">
        <f t="shared" si="10"/>
        <v>-10830.309000000008</v>
      </c>
      <c r="J129" s="16">
        <f t="shared" si="11"/>
        <v>-5.7506683607238179E-2</v>
      </c>
      <c r="K129" s="61" t="s">
        <v>516</v>
      </c>
      <c r="L129" s="76" t="s">
        <v>517</v>
      </c>
    </row>
    <row r="130" spans="1:12" ht="78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354654</v>
      </c>
      <c r="E130" s="11">
        <v>373857.1</v>
      </c>
      <c r="F130" s="11">
        <f t="shared" si="8"/>
        <v>-19203.099999999977</v>
      </c>
      <c r="G130" s="12">
        <f t="shared" si="9"/>
        <v>-5.1364812919160764E-2</v>
      </c>
      <c r="H130" s="13">
        <v>404085.6</v>
      </c>
      <c r="I130" s="13">
        <f t="shared" si="10"/>
        <v>-49431.599999999977</v>
      </c>
      <c r="J130" s="80">
        <f t="shared" si="11"/>
        <v>-0.12232952621919707</v>
      </c>
      <c r="K130" s="66" t="s">
        <v>518</v>
      </c>
      <c r="L130" s="66" t="s">
        <v>519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15995.6246027913</v>
      </c>
      <c r="E131" s="15">
        <v>15437.52</v>
      </c>
      <c r="F131" s="15">
        <f t="shared" si="8"/>
        <v>558.10460279129984</v>
      </c>
      <c r="G131" s="16">
        <f t="shared" si="9"/>
        <v>3.6152478039950704E-2</v>
      </c>
      <c r="H131" s="17">
        <v>16026.58</v>
      </c>
      <c r="I131" s="17">
        <f t="shared" si="10"/>
        <v>-30.955397208699651</v>
      </c>
      <c r="J131" s="16">
        <f t="shared" si="11"/>
        <v>-1.9315036151630386E-3</v>
      </c>
      <c r="K131" s="61"/>
      <c r="L131" s="62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11630.623</v>
      </c>
      <c r="E132" s="11">
        <v>12158</v>
      </c>
      <c r="F132" s="11">
        <f t="shared" si="8"/>
        <v>-527.37700000000041</v>
      </c>
      <c r="G132" s="12">
        <f t="shared" si="9"/>
        <v>-4.3376953446290542E-2</v>
      </c>
      <c r="H132" s="13">
        <v>11615.5</v>
      </c>
      <c r="I132" s="13">
        <f t="shared" si="10"/>
        <v>15.122999999999593</v>
      </c>
      <c r="J132" s="80">
        <f t="shared" si="11"/>
        <v>1.3019671990012994E-3</v>
      </c>
      <c r="K132" s="66"/>
      <c r="L132" s="66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10241</v>
      </c>
      <c r="E133" s="15">
        <v>7336</v>
      </c>
      <c r="F133" s="15">
        <f t="shared" si="8"/>
        <v>2905</v>
      </c>
      <c r="G133" s="16">
        <f t="shared" si="9"/>
        <v>0.39599236641221375</v>
      </c>
      <c r="H133" s="17">
        <v>9329</v>
      </c>
      <c r="I133" s="17">
        <f t="shared" si="10"/>
        <v>912</v>
      </c>
      <c r="J133" s="16">
        <f t="shared" si="11"/>
        <v>9.775967413441955E-2</v>
      </c>
      <c r="K133" s="61"/>
      <c r="L133" s="62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39866.625</v>
      </c>
      <c r="E134" s="11">
        <v>32276.432000000001</v>
      </c>
      <c r="F134" s="11">
        <f t="shared" si="8"/>
        <v>7590.1929999999993</v>
      </c>
      <c r="G134" s="12">
        <f t="shared" si="9"/>
        <v>0.23516208359089999</v>
      </c>
      <c r="H134" s="13">
        <v>17085.452000000001</v>
      </c>
      <c r="I134" s="13">
        <f t="shared" si="10"/>
        <v>22781.172999999999</v>
      </c>
      <c r="J134" s="80">
        <f t="shared" si="11"/>
        <v>1.3333667145592636</v>
      </c>
      <c r="K134" s="66"/>
      <c r="L134" s="66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31903.25</v>
      </c>
      <c r="E135" s="15">
        <v>32056.91</v>
      </c>
      <c r="F135" s="15">
        <f t="shared" si="8"/>
        <v>-153.65999999999985</v>
      </c>
      <c r="G135" s="16">
        <f t="shared" si="9"/>
        <v>-4.7933503260295472E-3</v>
      </c>
      <c r="H135" s="17">
        <v>36748</v>
      </c>
      <c r="I135" s="17">
        <f t="shared" si="10"/>
        <v>-4844.75</v>
      </c>
      <c r="J135" s="16">
        <f t="shared" si="11"/>
        <v>-0.13183710678132143</v>
      </c>
      <c r="K135" s="61"/>
      <c r="L135" s="62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33812</v>
      </c>
      <c r="E136" s="11">
        <v>34962</v>
      </c>
      <c r="F136" s="11">
        <f t="shared" si="8"/>
        <v>-1150</v>
      </c>
      <c r="G136" s="12">
        <f t="shared" si="9"/>
        <v>-3.2892855099822663E-2</v>
      </c>
      <c r="H136" s="13">
        <v>35880</v>
      </c>
      <c r="I136" s="13">
        <f t="shared" si="10"/>
        <v>-2068</v>
      </c>
      <c r="J136" s="80">
        <f t="shared" si="11"/>
        <v>-5.7636566332218503E-2</v>
      </c>
      <c r="K136" s="66"/>
      <c r="L136" s="66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17266.2505655397</v>
      </c>
      <c r="E137" s="15">
        <v>14858.98</v>
      </c>
      <c r="F137" s="15">
        <f t="shared" si="8"/>
        <v>2407.2705655397003</v>
      </c>
      <c r="G137" s="16">
        <f t="shared" si="9"/>
        <v>0.16200779363992013</v>
      </c>
      <c r="H137" s="17">
        <v>18250.27</v>
      </c>
      <c r="I137" s="17">
        <f t="shared" si="10"/>
        <v>-984.01943446030054</v>
      </c>
      <c r="J137" s="16">
        <f t="shared" si="11"/>
        <v>-5.3918075429037517E-2</v>
      </c>
      <c r="K137" s="61"/>
      <c r="L137" s="62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640777.4</v>
      </c>
      <c r="E138" s="11">
        <v>0</v>
      </c>
      <c r="F138" s="11">
        <f t="shared" si="8"/>
        <v>640777.4</v>
      </c>
      <c r="G138" s="12" t="str">
        <f t="shared" si="9"/>
        <v/>
      </c>
      <c r="H138" s="13">
        <v>0</v>
      </c>
      <c r="I138" s="13">
        <f t="shared" si="10"/>
        <v>640777.4</v>
      </c>
      <c r="J138" s="80" t="str">
        <f t="shared" si="11"/>
        <v/>
      </c>
      <c r="K138" s="66"/>
      <c r="L138" s="66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1193229.3999999999</v>
      </c>
      <c r="E139" s="15">
        <v>0</v>
      </c>
      <c r="F139" s="15">
        <f t="shared" si="8"/>
        <v>1193229.3999999999</v>
      </c>
      <c r="G139" s="16" t="str">
        <f t="shared" si="9"/>
        <v/>
      </c>
      <c r="H139" s="17">
        <v>0</v>
      </c>
      <c r="I139" s="17">
        <f t="shared" si="10"/>
        <v>1193229.3999999999</v>
      </c>
      <c r="J139" s="16" t="str">
        <f t="shared" si="11"/>
        <v/>
      </c>
      <c r="K139" s="61" t="s">
        <v>520</v>
      </c>
      <c r="L139" s="62" t="s">
        <v>521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 t="str">
        <f t="shared" si="8"/>
        <v/>
      </c>
      <c r="G140" s="68" t="str">
        <f t="shared" si="9"/>
        <v/>
      </c>
      <c r="H140" s="83"/>
      <c r="I140" s="83" t="str">
        <f t="shared" si="10"/>
        <v/>
      </c>
      <c r="J140" s="80" t="str">
        <f t="shared" si="11"/>
        <v/>
      </c>
      <c r="K140" s="89"/>
      <c r="L140" s="66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 t="str">
        <f t="shared" si="8"/>
        <v/>
      </c>
      <c r="G141" s="84" t="str">
        <f t="shared" si="9"/>
        <v/>
      </c>
      <c r="H141" s="85"/>
      <c r="I141" s="85" t="str">
        <f t="shared" si="10"/>
        <v/>
      </c>
      <c r="J141" s="84" t="str">
        <f t="shared" si="11"/>
        <v/>
      </c>
      <c r="K141" s="61"/>
      <c r="L141" s="91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 t="str">
        <f t="shared" si="8"/>
        <v/>
      </c>
      <c r="G142" s="68" t="str">
        <f t="shared" si="9"/>
        <v/>
      </c>
      <c r="H142" s="83"/>
      <c r="I142" s="83" t="str">
        <f t="shared" si="10"/>
        <v/>
      </c>
      <c r="J142" s="80" t="str">
        <f t="shared" si="11"/>
        <v/>
      </c>
      <c r="K142" s="89"/>
      <c r="L142" s="66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 t="str">
        <f t="shared" si="8"/>
        <v/>
      </c>
      <c r="G143" s="84" t="str">
        <f t="shared" si="9"/>
        <v/>
      </c>
      <c r="H143" s="85"/>
      <c r="I143" s="85" t="str">
        <f t="shared" si="10"/>
        <v/>
      </c>
      <c r="J143" s="84" t="str">
        <f t="shared" si="11"/>
        <v/>
      </c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 t="str">
        <f t="shared" si="8"/>
        <v/>
      </c>
      <c r="G144" s="68" t="str">
        <f t="shared" si="9"/>
        <v/>
      </c>
      <c r="H144" s="83"/>
      <c r="I144" s="83" t="str">
        <f t="shared" si="10"/>
        <v/>
      </c>
      <c r="J144" s="80" t="str">
        <f t="shared" si="11"/>
        <v/>
      </c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 t="str">
        <f t="shared" si="8"/>
        <v/>
      </c>
      <c r="G145" s="84" t="str">
        <f t="shared" si="9"/>
        <v/>
      </c>
      <c r="H145" s="85"/>
      <c r="I145" s="85" t="str">
        <f t="shared" si="10"/>
        <v/>
      </c>
      <c r="J145" s="84" t="str">
        <f t="shared" si="11"/>
        <v/>
      </c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 t="str">
        <f t="shared" ref="F146:F160" si="12">IF(AND(ISNUMBER(D146),ISNUMBER(E146)), D146-E146, "")</f>
        <v/>
      </c>
      <c r="G146" s="68" t="str">
        <f t="shared" ref="G146:G160" si="13">IFERROR(F146/E146, "")</f>
        <v/>
      </c>
      <c r="H146" s="83"/>
      <c r="I146" s="83" t="str">
        <f t="shared" ref="I146:I160" si="14">IF(AND(ISNUMBER(D146),ISNUMBER(H146)), D146-H146, "")</f>
        <v/>
      </c>
      <c r="J146" s="80" t="str">
        <f t="shared" ref="J146:J160" si="15">IFERROR(I146/H146, "")</f>
        <v/>
      </c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 t="str">
        <f t="shared" si="12"/>
        <v/>
      </c>
      <c r="G147" s="84" t="str">
        <f t="shared" si="13"/>
        <v/>
      </c>
      <c r="H147" s="85"/>
      <c r="I147" s="85" t="str">
        <f t="shared" si="14"/>
        <v/>
      </c>
      <c r="J147" s="84" t="str">
        <f t="shared" si="15"/>
        <v/>
      </c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 t="str">
        <f t="shared" si="12"/>
        <v/>
      </c>
      <c r="G148" s="68" t="str">
        <f t="shared" si="13"/>
        <v/>
      </c>
      <c r="H148" s="83"/>
      <c r="I148" s="83" t="str">
        <f t="shared" si="14"/>
        <v/>
      </c>
      <c r="J148" s="80" t="str">
        <f t="shared" si="15"/>
        <v/>
      </c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 t="str">
        <f t="shared" si="12"/>
        <v/>
      </c>
      <c r="G149" s="84" t="str">
        <f t="shared" si="13"/>
        <v/>
      </c>
      <c r="H149" s="85"/>
      <c r="I149" s="85" t="str">
        <f t="shared" si="14"/>
        <v/>
      </c>
      <c r="J149" s="84" t="str">
        <f t="shared" si="15"/>
        <v/>
      </c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 t="str">
        <f t="shared" si="12"/>
        <v/>
      </c>
      <c r="G150" s="68" t="str">
        <f t="shared" si="13"/>
        <v/>
      </c>
      <c r="H150" s="83"/>
      <c r="I150" s="83" t="str">
        <f t="shared" si="14"/>
        <v/>
      </c>
      <c r="J150" s="80" t="str">
        <f t="shared" si="15"/>
        <v/>
      </c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 t="str">
        <f t="shared" si="12"/>
        <v/>
      </c>
      <c r="G151" s="84" t="str">
        <f t="shared" si="13"/>
        <v/>
      </c>
      <c r="H151" s="85"/>
      <c r="I151" s="85" t="str">
        <f t="shared" si="14"/>
        <v/>
      </c>
      <c r="J151" s="84" t="str">
        <f t="shared" si="15"/>
        <v/>
      </c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 t="str">
        <f t="shared" si="12"/>
        <v/>
      </c>
      <c r="G152" s="68" t="str">
        <f t="shared" si="13"/>
        <v/>
      </c>
      <c r="H152" s="83"/>
      <c r="I152" s="83" t="str">
        <f t="shared" si="14"/>
        <v/>
      </c>
      <c r="J152" s="80" t="str">
        <f t="shared" si="15"/>
        <v/>
      </c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 t="str">
        <f t="shared" si="12"/>
        <v/>
      </c>
      <c r="G153" s="84" t="str">
        <f t="shared" si="13"/>
        <v/>
      </c>
      <c r="H153" s="85"/>
      <c r="I153" s="85" t="str">
        <f t="shared" si="14"/>
        <v/>
      </c>
      <c r="J153" s="84" t="str">
        <f t="shared" si="15"/>
        <v/>
      </c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 t="str">
        <f t="shared" si="12"/>
        <v/>
      </c>
      <c r="G154" s="68" t="str">
        <f t="shared" si="13"/>
        <v/>
      </c>
      <c r="H154" s="83"/>
      <c r="I154" s="83" t="str">
        <f t="shared" si="14"/>
        <v/>
      </c>
      <c r="J154" s="80" t="str">
        <f t="shared" si="15"/>
        <v/>
      </c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 t="str">
        <f t="shared" si="12"/>
        <v/>
      </c>
      <c r="G155" s="84" t="str">
        <f t="shared" si="13"/>
        <v/>
      </c>
      <c r="H155" s="85"/>
      <c r="I155" s="85" t="str">
        <f t="shared" si="14"/>
        <v/>
      </c>
      <c r="J155" s="84" t="str">
        <f t="shared" si="15"/>
        <v/>
      </c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 t="str">
        <f t="shared" si="12"/>
        <v/>
      </c>
      <c r="G156" s="68" t="str">
        <f t="shared" si="13"/>
        <v/>
      </c>
      <c r="H156" s="83"/>
      <c r="I156" s="83" t="str">
        <f t="shared" si="14"/>
        <v/>
      </c>
      <c r="J156" s="80" t="str">
        <f t="shared" si="15"/>
        <v/>
      </c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 t="str">
        <f t="shared" si="12"/>
        <v/>
      </c>
      <c r="G157" s="84" t="str">
        <f t="shared" si="13"/>
        <v/>
      </c>
      <c r="H157" s="85"/>
      <c r="I157" s="85" t="str">
        <f t="shared" si="14"/>
        <v/>
      </c>
      <c r="J157" s="84" t="str">
        <f t="shared" si="15"/>
        <v/>
      </c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 t="str">
        <f t="shared" si="12"/>
        <v/>
      </c>
      <c r="G158" s="68" t="str">
        <f t="shared" si="13"/>
        <v/>
      </c>
      <c r="H158" s="83"/>
      <c r="I158" s="83" t="str">
        <f t="shared" si="14"/>
        <v/>
      </c>
      <c r="J158" s="80" t="str">
        <f t="shared" si="15"/>
        <v/>
      </c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 t="str">
        <f t="shared" si="12"/>
        <v/>
      </c>
      <c r="G159" s="84" t="str">
        <f t="shared" si="13"/>
        <v/>
      </c>
      <c r="H159" s="85"/>
      <c r="I159" s="85" t="str">
        <f t="shared" si="14"/>
        <v/>
      </c>
      <c r="J159" s="84" t="str">
        <f t="shared" si="15"/>
        <v/>
      </c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 t="str">
        <f t="shared" si="12"/>
        <v/>
      </c>
      <c r="G160" s="68" t="str">
        <f t="shared" si="13"/>
        <v/>
      </c>
      <c r="H160" s="83"/>
      <c r="I160" s="83" t="str">
        <f t="shared" si="14"/>
        <v/>
      </c>
      <c r="J160" s="80" t="str">
        <f t="shared" si="15"/>
        <v/>
      </c>
      <c r="K160" s="70"/>
      <c r="L160" s="38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3.9">
      <c r="D340" s="18"/>
      <c r="E340" s="18"/>
      <c r="F340" s="18"/>
      <c r="G340" s="19"/>
      <c r="H340" s="18"/>
      <c r="I340" s="18"/>
      <c r="J340" s="19"/>
      <c r="K340" s="18"/>
      <c r="L340" s="18"/>
    </row>
  </sheetData>
  <mergeCells count="4">
    <mergeCell ref="H1:J1"/>
    <mergeCell ref="A1:D1"/>
    <mergeCell ref="E1:G1"/>
    <mergeCell ref="A2:B2"/>
  </mergeCells>
  <conditionalFormatting sqref="G2 J2">
    <cfRule type="cellIs" dxfId="36" priority="15" stopIfTrue="1" operator="lessThanOrEqual">
      <formula>-0.1</formula>
    </cfRule>
    <cfRule type="expression" dxfId="35" priority="16">
      <formula>AND(ISNUMBER(G2), G2&gt;=0.1)</formula>
    </cfRule>
  </conditionalFormatting>
  <conditionalFormatting sqref="G4:G83 G90:G160">
    <cfRule type="cellIs" dxfId="34" priority="3" stopIfTrue="1" operator="lessThanOrEqual">
      <formula>-0.1</formula>
    </cfRule>
    <cfRule type="expression" dxfId="33" priority="4">
      <formula>AND(ISNUMBER(G4), G4&gt;=0.1)</formula>
    </cfRule>
  </conditionalFormatting>
  <conditionalFormatting sqref="J4:J160">
    <cfRule type="cellIs" dxfId="32" priority="1" stopIfTrue="1" operator="lessThanOrEqual">
      <formula>-0.1</formula>
    </cfRule>
    <cfRule type="expression" dxfId="31" priority="2">
      <formula>AND(ISNUMBER(J4), J4&gt;=0.1)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C86" activePane="bottomRight" state="frozen"/>
      <selection pane="bottomRight" activeCell="N96" sqref="N96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64.285156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522</v>
      </c>
      <c r="F1" s="97"/>
      <c r="G1" s="97"/>
      <c r="H1" s="95" t="s">
        <v>523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SUM(D4:D200)</f>
        <v>39837195.743922599</v>
      </c>
      <c r="E2" s="6">
        <f>SUM(E4:E200)</f>
        <v>16821852.177000001</v>
      </c>
      <c r="F2" s="6">
        <f>D2-E2</f>
        <v>23015343.566922598</v>
      </c>
      <c r="G2" s="7">
        <f>IFERROR(F2/E2, 0)</f>
        <v>1.3681812992264173</v>
      </c>
      <c r="H2" s="6">
        <f>SUM(H4:H200)</f>
        <v>20816183.619000003</v>
      </c>
      <c r="I2" s="8">
        <f>D2-H2</f>
        <v>19021012.124922596</v>
      </c>
      <c r="J2" s="7">
        <f>IFERROR(I2/H2, 0)</f>
        <v>0.91376077733870198</v>
      </c>
      <c r="K2" s="23" t="str">
        <f ca="1">IF(AND(TODAY()&gt;DATE(2024, 6, 1), COUNTA(Sites[Site])&lt;&gt;(COUNT(D:D)-1)), "Some sites are missing actual data; if new sites were added, make sure they are aligned correctly (including prior months!)", "")</f>
        <v/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28.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>
        <v>13333.146320093399</v>
      </c>
      <c r="E4" s="11">
        <v>4619.6629999999996</v>
      </c>
      <c r="F4" s="11">
        <f>IF(AND(ISNUMBER(D4),ISNUMBER(E4)), D4-E4, "")</f>
        <v>8713.4833200934008</v>
      </c>
      <c r="G4" s="12">
        <f>IFERROR(F4/E4, "")</f>
        <v>1.8861729351455727</v>
      </c>
      <c r="H4" s="13">
        <v>14643.43</v>
      </c>
      <c r="I4" s="13">
        <f>IF(AND(ISNUMBER(D4),ISNUMBER(H4)), D4-H4, "")</f>
        <v>-1310.2836799066008</v>
      </c>
      <c r="J4" s="14">
        <f>IFERROR(I4/H4, "")</f>
        <v>-8.9479287291747964E-2</v>
      </c>
      <c r="K4" s="66" t="s">
        <v>524</v>
      </c>
      <c r="L4" s="66" t="s">
        <v>525</v>
      </c>
    </row>
    <row r="5" spans="1:12" ht="28.5">
      <c r="A5" s="27" t="str">
        <v>Fulton</v>
      </c>
      <c r="B5" s="28" t="str">
        <v>AZ</v>
      </c>
      <c r="C5" s="28" t="str">
        <f>Sites[[#This Row],[SOL'#]]</f>
        <v>SOL-10749</v>
      </c>
      <c r="D5" s="10">
        <v>60760.75</v>
      </c>
      <c r="E5" s="15">
        <v>32871.56</v>
      </c>
      <c r="F5" s="15">
        <f t="shared" ref="F5:F68" si="0">IF(AND(ISNUMBER(D5),ISNUMBER(E5)), D5-E5, "")</f>
        <v>27889.190000000002</v>
      </c>
      <c r="G5" s="16">
        <f>IFERROR(F5/E5, "")</f>
        <v>0.84842915882300696</v>
      </c>
      <c r="H5" s="17">
        <v>80533.259999999995</v>
      </c>
      <c r="I5" s="17">
        <f t="shared" ref="I5:I17" si="1">IF(AND(ISNUMBER(D5),ISNUMBER(H5)), D5-H5, "")</f>
        <v>-19772.509999999995</v>
      </c>
      <c r="J5" s="16">
        <f t="shared" ref="J5:J17" si="2">IFERROR(I5/H5, "")</f>
        <v>-0.24551980138392504</v>
      </c>
      <c r="K5" s="61" t="s">
        <v>524</v>
      </c>
      <c r="L5" s="61" t="s">
        <v>526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20023.884171049802</v>
      </c>
      <c r="E6" s="11"/>
      <c r="F6" s="11" t="str">
        <f t="shared" si="0"/>
        <v/>
      </c>
      <c r="G6" s="12" t="str">
        <f t="shared" ref="G6:G69" si="3">IFERROR(F6/E6, "")</f>
        <v/>
      </c>
      <c r="H6" s="13">
        <v>2325</v>
      </c>
      <c r="I6" s="13">
        <f t="shared" si="1"/>
        <v>17698.884171049802</v>
      </c>
      <c r="J6" s="14">
        <f t="shared" si="2"/>
        <v>7.6124232993762586</v>
      </c>
      <c r="K6" s="66"/>
      <c r="L6" s="66"/>
    </row>
    <row r="7" spans="1:12" ht="28.5">
      <c r="A7" s="27" t="str">
        <v>Noble</v>
      </c>
      <c r="B7" s="28" t="str">
        <v>AZ</v>
      </c>
      <c r="C7" s="28" t="str">
        <f>Sites[[#This Row],[SOL'#]]</f>
        <v>SOL-10750</v>
      </c>
      <c r="D7" s="10">
        <v>8266.2726856024201</v>
      </c>
      <c r="E7" s="15">
        <v>7863.5940000000001</v>
      </c>
      <c r="F7" s="15">
        <f t="shared" si="0"/>
        <v>402.67868560242005</v>
      </c>
      <c r="G7" s="16">
        <f t="shared" si="3"/>
        <v>5.1207969994689455E-2</v>
      </c>
      <c r="H7" s="17">
        <v>16458.2</v>
      </c>
      <c r="I7" s="17">
        <f t="shared" si="1"/>
        <v>-8191.9273143975806</v>
      </c>
      <c r="J7" s="16">
        <f t="shared" si="2"/>
        <v>-0.49774138814679492</v>
      </c>
      <c r="K7" s="61" t="s">
        <v>527</v>
      </c>
      <c r="L7" s="61" t="s">
        <v>528</v>
      </c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18705.922149006299</v>
      </c>
      <c r="E8" s="11">
        <v>19878.29</v>
      </c>
      <c r="F8" s="11">
        <f t="shared" si="0"/>
        <v>-1172.3678509937017</v>
      </c>
      <c r="G8" s="12">
        <f t="shared" si="3"/>
        <v>-5.8977298902154141E-2</v>
      </c>
      <c r="H8" s="13">
        <v>39620.58</v>
      </c>
      <c r="I8" s="13">
        <f t="shared" si="1"/>
        <v>-20914.657850993703</v>
      </c>
      <c r="J8" s="14">
        <f t="shared" si="2"/>
        <v>-0.52787359122440158</v>
      </c>
      <c r="K8" s="66" t="s">
        <v>529</v>
      </c>
      <c r="L8" s="66" t="s">
        <v>530</v>
      </c>
    </row>
    <row r="9" spans="1:12" ht="28.5">
      <c r="A9" s="27" t="str">
        <v>PE East</v>
      </c>
      <c r="B9" s="28" t="str">
        <v>AZ</v>
      </c>
      <c r="C9" s="28" t="str">
        <f>Sites[[#This Row],[SOL'#]]</f>
        <v>SOL-10752</v>
      </c>
      <c r="D9" s="10">
        <v>29501.905085572002</v>
      </c>
      <c r="E9" s="15">
        <v>10754.95</v>
      </c>
      <c r="F9" s="15">
        <f t="shared" si="0"/>
        <v>18746.955085572001</v>
      </c>
      <c r="G9" s="16">
        <f t="shared" si="3"/>
        <v>1.7431001618391531</v>
      </c>
      <c r="H9" s="17">
        <v>34408.699999999997</v>
      </c>
      <c r="I9" s="17">
        <f t="shared" si="1"/>
        <v>-4906.7949144279955</v>
      </c>
      <c r="J9" s="16">
        <f t="shared" si="2"/>
        <v>-0.14260332167236764</v>
      </c>
      <c r="K9" s="61" t="s">
        <v>531</v>
      </c>
      <c r="L9" s="61" t="s">
        <v>532</v>
      </c>
    </row>
    <row r="10" spans="1:12" ht="28.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13521.2974010322</v>
      </c>
      <c r="E10" s="11">
        <v>4427.8980000000001</v>
      </c>
      <c r="F10" s="11">
        <f t="shared" si="0"/>
        <v>9093.3994010321985</v>
      </c>
      <c r="G10" s="12">
        <f t="shared" si="3"/>
        <v>2.0536605407424013</v>
      </c>
      <c r="H10" s="13">
        <v>14860</v>
      </c>
      <c r="I10" s="13">
        <f t="shared" si="1"/>
        <v>-1338.7025989678004</v>
      </c>
      <c r="J10" s="14">
        <f t="shared" si="2"/>
        <v>-9.0087658073203264E-2</v>
      </c>
      <c r="K10" s="66" t="s">
        <v>531</v>
      </c>
      <c r="L10" s="66" t="s">
        <v>533</v>
      </c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9630.3999999999905</v>
      </c>
      <c r="E11" s="15">
        <v>0</v>
      </c>
      <c r="F11" s="15">
        <f t="shared" si="0"/>
        <v>9630.3999999999905</v>
      </c>
      <c r="G11" s="16" t="str">
        <f t="shared" si="3"/>
        <v/>
      </c>
      <c r="H11" s="17">
        <v>0</v>
      </c>
      <c r="I11" s="17">
        <f t="shared" si="1"/>
        <v>9630.3999999999905</v>
      </c>
      <c r="J11" s="16" t="str">
        <f t="shared" si="2"/>
        <v/>
      </c>
      <c r="K11" s="61"/>
      <c r="L11" s="61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78146</v>
      </c>
      <c r="E12" s="11">
        <v>92632.09</v>
      </c>
      <c r="F12" s="11">
        <f t="shared" si="0"/>
        <v>-14486.089999999997</v>
      </c>
      <c r="G12" s="12">
        <f t="shared" si="3"/>
        <v>-0.15638306336389471</v>
      </c>
      <c r="H12" s="13">
        <v>81229</v>
      </c>
      <c r="I12" s="13">
        <f t="shared" si="1"/>
        <v>-3083</v>
      </c>
      <c r="J12" s="14">
        <f t="shared" si="2"/>
        <v>-3.7954425143729459E-2</v>
      </c>
      <c r="K12" s="66"/>
      <c r="L12" s="66"/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90055.5234375</v>
      </c>
      <c r="E13" s="15">
        <v>128646.2</v>
      </c>
      <c r="F13" s="15">
        <f t="shared" si="0"/>
        <v>-38590.676562499997</v>
      </c>
      <c r="G13" s="16">
        <f t="shared" si="3"/>
        <v>-0.29997525432154232</v>
      </c>
      <c r="H13" s="17">
        <v>142595</v>
      </c>
      <c r="I13" s="17">
        <f t="shared" si="1"/>
        <v>-52539.4765625</v>
      </c>
      <c r="J13" s="16">
        <f t="shared" si="2"/>
        <v>-0.36845244617623341</v>
      </c>
      <c r="K13" s="61" t="s">
        <v>440</v>
      </c>
      <c r="L13" s="61" t="s">
        <v>244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22929.75</v>
      </c>
      <c r="E14" s="11">
        <v>0</v>
      </c>
      <c r="F14" s="11">
        <f t="shared" si="0"/>
        <v>22929.75</v>
      </c>
      <c r="G14" s="12" t="str">
        <f t="shared" si="3"/>
        <v/>
      </c>
      <c r="H14" s="13">
        <v>34576</v>
      </c>
      <c r="I14" s="13">
        <f t="shared" si="1"/>
        <v>-11646.25</v>
      </c>
      <c r="J14" s="14">
        <f t="shared" si="2"/>
        <v>-0.33683046043498382</v>
      </c>
      <c r="K14" s="66" t="s">
        <v>534</v>
      </c>
      <c r="L14" s="66"/>
    </row>
    <row r="15" spans="1:12" ht="28.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17271.375780399001</v>
      </c>
      <c r="E15" s="15">
        <v>3495.732</v>
      </c>
      <c r="F15" s="15">
        <f t="shared" si="0"/>
        <v>13775.643780399001</v>
      </c>
      <c r="G15" s="16">
        <f t="shared" si="3"/>
        <v>3.9407036295685716</v>
      </c>
      <c r="H15" s="17">
        <v>20459</v>
      </c>
      <c r="I15" s="17">
        <f t="shared" si="1"/>
        <v>-3187.6242196009989</v>
      </c>
      <c r="J15" s="16">
        <f t="shared" si="2"/>
        <v>-0.15580547532142328</v>
      </c>
      <c r="K15" s="61" t="s">
        <v>531</v>
      </c>
      <c r="L15" s="61" t="s">
        <v>535</v>
      </c>
    </row>
    <row r="16" spans="1:12" ht="42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9774.19126305799</v>
      </c>
      <c r="E16" s="11">
        <v>2693.761</v>
      </c>
      <c r="F16" s="11">
        <f t="shared" si="0"/>
        <v>7080.4302630579896</v>
      </c>
      <c r="G16" s="12">
        <f t="shared" si="3"/>
        <v>2.628455257559223</v>
      </c>
      <c r="H16" s="13">
        <v>16997</v>
      </c>
      <c r="I16" s="13">
        <f t="shared" si="1"/>
        <v>-7222.80873694201</v>
      </c>
      <c r="J16" s="14">
        <f t="shared" si="2"/>
        <v>-0.42494609265999939</v>
      </c>
      <c r="K16" s="66" t="s">
        <v>536</v>
      </c>
      <c r="L16" s="66" t="s">
        <v>537</v>
      </c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76784.180000000197</v>
      </c>
      <c r="E17" s="15">
        <v>20073.18</v>
      </c>
      <c r="F17" s="15">
        <f t="shared" si="0"/>
        <v>56711.000000000196</v>
      </c>
      <c r="G17" s="16">
        <f t="shared" si="3"/>
        <v>2.8252125472894778</v>
      </c>
      <c r="H17" s="17">
        <v>51202</v>
      </c>
      <c r="I17" s="17">
        <f t="shared" si="1"/>
        <v>25582.180000000197</v>
      </c>
      <c r="J17" s="16">
        <f t="shared" si="2"/>
        <v>0.49963243623296349</v>
      </c>
      <c r="K17" s="61" t="s">
        <v>538</v>
      </c>
      <c r="L17" s="61" t="s">
        <v>539</v>
      </c>
    </row>
    <row r="18" spans="1:12" ht="4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25103.870000000101</v>
      </c>
      <c r="E18" s="11">
        <v>0</v>
      </c>
      <c r="F18" s="11">
        <f t="shared" si="0"/>
        <v>25103.870000000101</v>
      </c>
      <c r="G18" s="12" t="str">
        <f t="shared" si="3"/>
        <v/>
      </c>
      <c r="H18" s="13">
        <v>15130</v>
      </c>
      <c r="I18" s="13">
        <f t="shared" ref="I18:I81" si="4">IF(AND(ISNUMBER(D18),ISNUMBER(H18)), D18-H18, "")</f>
        <v>9973.8700000001008</v>
      </c>
      <c r="J18" s="14">
        <f t="shared" ref="J18:J81" si="5">IFERROR(I18/H18, "")</f>
        <v>0.65921150033047593</v>
      </c>
      <c r="K18" s="66" t="s">
        <v>540</v>
      </c>
      <c r="L18" s="66" t="s">
        <v>541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152901</v>
      </c>
      <c r="E19" s="15">
        <v>188278.39999999999</v>
      </c>
      <c r="F19" s="15">
        <f t="shared" si="0"/>
        <v>-35377.399999999994</v>
      </c>
      <c r="G19" s="16">
        <f t="shared" si="3"/>
        <v>-0.18789940853544534</v>
      </c>
      <c r="H19" s="17">
        <v>142083.5</v>
      </c>
      <c r="I19" s="17">
        <f t="shared" si="4"/>
        <v>10817.5</v>
      </c>
      <c r="J19" s="16">
        <f t="shared" si="5"/>
        <v>7.613480805301108E-2</v>
      </c>
      <c r="K19" s="61"/>
      <c r="L19" s="62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41643.625</v>
      </c>
      <c r="E20" s="11">
        <v>40963.07</v>
      </c>
      <c r="F20" s="11">
        <f t="shared" si="0"/>
        <v>680.55500000000029</v>
      </c>
      <c r="G20" s="12">
        <f t="shared" si="3"/>
        <v>1.6613867075880796E-2</v>
      </c>
      <c r="H20" s="13">
        <v>37828.43</v>
      </c>
      <c r="I20" s="13">
        <f t="shared" si="4"/>
        <v>3815.1949999999997</v>
      </c>
      <c r="J20" s="14">
        <f t="shared" si="5"/>
        <v>0.10085522978352524</v>
      </c>
      <c r="K20" s="66"/>
      <c r="L20" s="66"/>
    </row>
    <row r="21" spans="1:12" ht="24" customHeight="1">
      <c r="A21" s="27" t="str">
        <v>K026</v>
      </c>
      <c r="B21" s="28" t="str">
        <v>NY</v>
      </c>
      <c r="C21" s="28" t="str">
        <f>Sites[[#This Row],[SOL'#]]</f>
        <v>SOL-10356</v>
      </c>
      <c r="D21" s="10">
        <v>40660.937499999898</v>
      </c>
      <c r="E21" s="15">
        <v>45858.74</v>
      </c>
      <c r="F21" s="15">
        <f t="shared" si="0"/>
        <v>-5197.8025000000998</v>
      </c>
      <c r="G21" s="16">
        <f t="shared" si="3"/>
        <v>-0.11334377045684421</v>
      </c>
      <c r="H21" s="17">
        <v>43469.57</v>
      </c>
      <c r="I21" s="17">
        <f t="shared" si="4"/>
        <v>-2808.6325000001016</v>
      </c>
      <c r="J21" s="16">
        <f t="shared" si="5"/>
        <v>-6.4611462685278495E-2</v>
      </c>
      <c r="K21" s="61" t="s">
        <v>542</v>
      </c>
      <c r="L21" s="61" t="s">
        <v>543</v>
      </c>
    </row>
    <row r="22" spans="1:12" ht="28.5">
      <c r="A22" s="25" t="str">
        <v>K041</v>
      </c>
      <c r="B22" s="26" t="str">
        <v>NY</v>
      </c>
      <c r="C22" s="26" t="str">
        <f>Sites[[#This Row],[SOL'#]]</f>
        <v>SOL-10357</v>
      </c>
      <c r="D22" s="21">
        <v>28750.3359375</v>
      </c>
      <c r="E22" s="11">
        <v>0</v>
      </c>
      <c r="F22" s="11">
        <f t="shared" si="0"/>
        <v>28750.3359375</v>
      </c>
      <c r="G22" s="12" t="str">
        <f t="shared" si="3"/>
        <v/>
      </c>
      <c r="H22" s="13">
        <v>0</v>
      </c>
      <c r="I22" s="13">
        <f t="shared" si="4"/>
        <v>28750.3359375</v>
      </c>
      <c r="J22" s="14" t="str">
        <f t="shared" si="5"/>
        <v/>
      </c>
      <c r="K22" s="66" t="s">
        <v>544</v>
      </c>
      <c r="L22" s="66" t="s">
        <v>545</v>
      </c>
    </row>
    <row r="23" spans="1:12" ht="28.5">
      <c r="A23" s="27" t="str">
        <v>K043</v>
      </c>
      <c r="B23" s="28" t="str">
        <v>NY</v>
      </c>
      <c r="C23" s="28" t="str">
        <f>Sites[[#This Row],[SOL'#]]</f>
        <v>SOL-10358</v>
      </c>
      <c r="D23" s="10">
        <v>39799.78125</v>
      </c>
      <c r="E23" s="15">
        <v>41524.660000000003</v>
      </c>
      <c r="F23" s="15">
        <f t="shared" si="0"/>
        <v>-1724.8787500000035</v>
      </c>
      <c r="G23" s="16">
        <f t="shared" si="3"/>
        <v>-4.1538660400831783E-2</v>
      </c>
      <c r="H23" s="17">
        <v>40020</v>
      </c>
      <c r="I23" s="17">
        <f t="shared" si="4"/>
        <v>-220.21875</v>
      </c>
      <c r="J23" s="16">
        <f t="shared" si="5"/>
        <v>-5.5027173913043482E-3</v>
      </c>
      <c r="K23" s="61" t="s">
        <v>546</v>
      </c>
      <c r="L23" s="61" t="s">
        <v>547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31398.1875</v>
      </c>
      <c r="E24" s="11">
        <v>32750.91</v>
      </c>
      <c r="F24" s="11">
        <f t="shared" si="0"/>
        <v>-1352.7224999999999</v>
      </c>
      <c r="G24" s="12">
        <f t="shared" si="3"/>
        <v>-4.1303356151019918E-2</v>
      </c>
      <c r="H24" s="13">
        <v>24318.95</v>
      </c>
      <c r="I24" s="13">
        <f t="shared" si="4"/>
        <v>7079.2374999999993</v>
      </c>
      <c r="J24" s="14">
        <f t="shared" si="5"/>
        <v>0.29109963629186292</v>
      </c>
      <c r="K24" s="66"/>
      <c r="L24" s="66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8760.1260937499992</v>
      </c>
      <c r="E25" s="15">
        <v>13173.12</v>
      </c>
      <c r="F25" s="15">
        <f t="shared" si="0"/>
        <v>-4412.9939062500016</v>
      </c>
      <c r="G25" s="16">
        <f t="shared" si="3"/>
        <v>-0.33499990178864242</v>
      </c>
      <c r="H25" s="17">
        <v>8850.4760000000006</v>
      </c>
      <c r="I25" s="17">
        <f t="shared" si="4"/>
        <v>-90.349906250001368</v>
      </c>
      <c r="J25" s="16">
        <f t="shared" si="5"/>
        <v>-1.0208479888539483E-2</v>
      </c>
      <c r="K25" s="76" t="s">
        <v>337</v>
      </c>
      <c r="L25" s="76" t="s">
        <v>36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12088.46875</v>
      </c>
      <c r="E26" s="11">
        <v>12583.36</v>
      </c>
      <c r="F26" s="11">
        <f t="shared" si="0"/>
        <v>-494.89125000000058</v>
      </c>
      <c r="G26" s="12">
        <f t="shared" si="3"/>
        <v>-3.9329022613991856E-2</v>
      </c>
      <c r="H26" s="13">
        <v>2078</v>
      </c>
      <c r="I26" s="13">
        <f t="shared" si="4"/>
        <v>10010.46875</v>
      </c>
      <c r="J26" s="14">
        <f t="shared" si="5"/>
        <v>4.8173574350336859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43540.625</v>
      </c>
      <c r="E27" s="15">
        <v>47509.45</v>
      </c>
      <c r="F27" s="15">
        <f t="shared" si="0"/>
        <v>-3968.8249999999971</v>
      </c>
      <c r="G27" s="16">
        <f t="shared" si="3"/>
        <v>-8.3537590942433501E-2</v>
      </c>
      <c r="H27" s="17">
        <v>44734.96</v>
      </c>
      <c r="I27" s="17">
        <f t="shared" si="4"/>
        <v>-1194.3349999999991</v>
      </c>
      <c r="J27" s="16">
        <f t="shared" si="5"/>
        <v>-2.6698023201540789E-2</v>
      </c>
      <c r="K27" s="61"/>
      <c r="L27" s="62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26787.535906711801</v>
      </c>
      <c r="E28" s="11">
        <v>0</v>
      </c>
      <c r="F28" s="11">
        <f t="shared" si="0"/>
        <v>26787.535906711801</v>
      </c>
      <c r="G28" s="12" t="str">
        <f t="shared" si="3"/>
        <v/>
      </c>
      <c r="H28" s="13">
        <v>0</v>
      </c>
      <c r="I28" s="13">
        <f t="shared" si="4"/>
        <v>26787.535906711801</v>
      </c>
      <c r="J28" s="14" t="str">
        <f t="shared" si="5"/>
        <v/>
      </c>
      <c r="K28" s="66"/>
      <c r="L28" s="66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27935</v>
      </c>
      <c r="E29" s="15">
        <v>29436.04</v>
      </c>
      <c r="F29" s="15">
        <f t="shared" si="0"/>
        <v>-1501.0400000000009</v>
      </c>
      <c r="G29" s="16">
        <f t="shared" si="3"/>
        <v>-5.0993272192862926E-2</v>
      </c>
      <c r="H29" s="17">
        <v>24281.82</v>
      </c>
      <c r="I29" s="17">
        <f t="shared" si="4"/>
        <v>3653.1800000000003</v>
      </c>
      <c r="J29" s="16">
        <f t="shared" si="5"/>
        <v>0.15044918379264818</v>
      </c>
      <c r="K29" s="61"/>
      <c r="L29" s="61"/>
    </row>
    <row r="30" spans="1:12" ht="46.5" customHeight="1">
      <c r="A30" s="25" t="str">
        <v>K269</v>
      </c>
      <c r="B30" s="26" t="str">
        <v>NY</v>
      </c>
      <c r="C30" s="26" t="str">
        <f>Sites[[#This Row],[SOL'#]]</f>
        <v>SOL-10366</v>
      </c>
      <c r="D30" s="21">
        <v>25941.78125</v>
      </c>
      <c r="E30" s="11">
        <v>6230.46</v>
      </c>
      <c r="F30" s="11">
        <f t="shared" si="0"/>
        <v>19711.321250000001</v>
      </c>
      <c r="G30" s="12">
        <f t="shared" si="3"/>
        <v>3.1637023991807989</v>
      </c>
      <c r="H30" s="13">
        <v>26485.8</v>
      </c>
      <c r="I30" s="13">
        <f t="shared" si="4"/>
        <v>-544.01874999999927</v>
      </c>
      <c r="J30" s="14">
        <f t="shared" si="5"/>
        <v>-2.0540015782041669E-2</v>
      </c>
      <c r="K30" s="66" t="s">
        <v>548</v>
      </c>
      <c r="L30" s="66" t="s">
        <v>549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28977.0625</v>
      </c>
      <c r="E31" s="15">
        <v>0</v>
      </c>
      <c r="F31" s="15">
        <f t="shared" si="0"/>
        <v>28977.0625</v>
      </c>
      <c r="G31" s="16" t="str">
        <f t="shared" si="3"/>
        <v/>
      </c>
      <c r="H31" s="17">
        <v>29377</v>
      </c>
      <c r="I31" s="17">
        <f t="shared" si="4"/>
        <v>-399.9375</v>
      </c>
      <c r="J31" s="16">
        <f t="shared" si="5"/>
        <v>-1.3613966708649623E-2</v>
      </c>
      <c r="K31" s="61" t="s">
        <v>550</v>
      </c>
      <c r="L31" s="61" t="s">
        <v>551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23313.46875</v>
      </c>
      <c r="E32" s="11">
        <v>19841.04</v>
      </c>
      <c r="F32" s="11">
        <f t="shared" si="0"/>
        <v>3472.4287499999991</v>
      </c>
      <c r="G32" s="12">
        <f t="shared" si="3"/>
        <v>0.17501243634406255</v>
      </c>
      <c r="H32" s="13">
        <v>20256</v>
      </c>
      <c r="I32" s="13">
        <f t="shared" si="4"/>
        <v>3057.46875</v>
      </c>
      <c r="J32" s="14">
        <f t="shared" si="5"/>
        <v>0.15094138773696683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25362.65625</v>
      </c>
      <c r="E33" s="15">
        <v>25833.74</v>
      </c>
      <c r="F33" s="15">
        <f t="shared" si="0"/>
        <v>-471.0837500000016</v>
      </c>
      <c r="G33" s="16">
        <f t="shared" si="3"/>
        <v>-1.8235212942454386E-2</v>
      </c>
      <c r="H33" s="17">
        <v>0</v>
      </c>
      <c r="I33" s="17">
        <f t="shared" si="4"/>
        <v>25362.65625</v>
      </c>
      <c r="J33" s="16" t="str">
        <f t="shared" si="5"/>
        <v/>
      </c>
      <c r="K33" s="61"/>
      <c r="L33" s="62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25783.625</v>
      </c>
      <c r="E34" s="11">
        <v>29127.03</v>
      </c>
      <c r="F34" s="11">
        <f t="shared" si="0"/>
        <v>-3343.4049999999988</v>
      </c>
      <c r="G34" s="12">
        <f t="shared" si="3"/>
        <v>-0.11478702085313879</v>
      </c>
      <c r="H34" s="13">
        <v>27755</v>
      </c>
      <c r="I34" s="13">
        <f t="shared" si="4"/>
        <v>-1971.375</v>
      </c>
      <c r="J34" s="14">
        <f t="shared" si="5"/>
        <v>-7.1027742749054226E-2</v>
      </c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30008.5625</v>
      </c>
      <c r="E35" s="15">
        <v>17659.22</v>
      </c>
      <c r="F35" s="15">
        <f t="shared" si="0"/>
        <v>12349.342499999999</v>
      </c>
      <c r="G35" s="16">
        <f t="shared" si="3"/>
        <v>0.69931415430579591</v>
      </c>
      <c r="H35" s="17">
        <v>13936</v>
      </c>
      <c r="I35" s="17">
        <f t="shared" si="4"/>
        <v>16072.5625</v>
      </c>
      <c r="J35" s="16">
        <f t="shared" si="5"/>
        <v>1.1533124641216992</v>
      </c>
      <c r="K35" s="61"/>
      <c r="L35" s="62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24850.1730410448</v>
      </c>
      <c r="E36" s="11">
        <v>27092.32</v>
      </c>
      <c r="F36" s="11">
        <f t="shared" si="0"/>
        <v>-2242.1469589551998</v>
      </c>
      <c r="G36" s="12">
        <f t="shared" si="3"/>
        <v>-8.2759503761774544E-2</v>
      </c>
      <c r="H36" s="13">
        <v>26124.89</v>
      </c>
      <c r="I36" s="13">
        <f t="shared" si="4"/>
        <v>-1274.7169589551995</v>
      </c>
      <c r="J36" s="14">
        <f t="shared" si="5"/>
        <v>-4.8793199089266964E-2</v>
      </c>
      <c r="K36" s="66" t="s">
        <v>552</v>
      </c>
      <c r="L36" s="66" t="s">
        <v>553</v>
      </c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v>106862.875</v>
      </c>
      <c r="E37" s="15">
        <v>0</v>
      </c>
      <c r="F37" s="15">
        <f t="shared" si="0"/>
        <v>106862.875</v>
      </c>
      <c r="G37" s="16" t="str">
        <f t="shared" si="3"/>
        <v/>
      </c>
      <c r="H37" s="17">
        <v>0</v>
      </c>
      <c r="I37" s="17">
        <f t="shared" si="4"/>
        <v>106862.875</v>
      </c>
      <c r="J37" s="16" t="str">
        <f t="shared" si="5"/>
        <v/>
      </c>
      <c r="K37" s="61"/>
      <c r="L37" s="62"/>
    </row>
    <row r="38" spans="1:12" ht="71.25">
      <c r="A38" s="25" t="str">
        <v>M020</v>
      </c>
      <c r="B38" s="26" t="str">
        <v>NY</v>
      </c>
      <c r="C38" s="26" t="str">
        <f>Sites[[#This Row],[SOL'#]]</f>
        <v>SOL-10380</v>
      </c>
      <c r="D38" s="21">
        <v>25577.28125</v>
      </c>
      <c r="E38" s="11">
        <v>28021.63</v>
      </c>
      <c r="F38" s="11">
        <f t="shared" si="0"/>
        <v>-2444.348750000001</v>
      </c>
      <c r="G38" s="12">
        <f t="shared" si="3"/>
        <v>-8.7230783862323524E-2</v>
      </c>
      <c r="H38" s="13">
        <v>0</v>
      </c>
      <c r="I38" s="13">
        <f t="shared" si="4"/>
        <v>25577.28125</v>
      </c>
      <c r="J38" s="14" t="str">
        <f t="shared" si="5"/>
        <v/>
      </c>
      <c r="K38" s="66" t="s">
        <v>554</v>
      </c>
      <c r="L38" s="66" t="s">
        <v>555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27131.15625</v>
      </c>
      <c r="E39" s="15">
        <v>29054.83</v>
      </c>
      <c r="F39" s="15">
        <f t="shared" si="0"/>
        <v>-1923.6737500000017</v>
      </c>
      <c r="G39" s="16">
        <f t="shared" si="3"/>
        <v>-6.6208398052922751E-2</v>
      </c>
      <c r="H39" s="17">
        <v>28436.37</v>
      </c>
      <c r="I39" s="17">
        <f t="shared" si="4"/>
        <v>-1305.213749999999</v>
      </c>
      <c r="J39" s="16">
        <f t="shared" si="5"/>
        <v>-4.5899450246286673E-2</v>
      </c>
      <c r="K39" s="61"/>
      <c r="L39" s="62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30922.59375</v>
      </c>
      <c r="E40" s="11">
        <v>36496.75</v>
      </c>
      <c r="F40" s="11">
        <f t="shared" si="0"/>
        <v>-5574.15625</v>
      </c>
      <c r="G40" s="12">
        <f t="shared" si="3"/>
        <v>-0.15273020885421304</v>
      </c>
      <c r="H40" s="13">
        <v>30445.81</v>
      </c>
      <c r="I40" s="13">
        <f t="shared" si="4"/>
        <v>476.78374999999869</v>
      </c>
      <c r="J40" s="14">
        <f t="shared" si="5"/>
        <v>1.566007769213559E-2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43575.25</v>
      </c>
      <c r="E41" s="15">
        <v>0</v>
      </c>
      <c r="F41" s="15">
        <f t="shared" si="0"/>
        <v>43575.25</v>
      </c>
      <c r="G41" s="16" t="str">
        <f t="shared" si="3"/>
        <v/>
      </c>
      <c r="H41" s="17">
        <v>0</v>
      </c>
      <c r="I41" s="17">
        <f t="shared" si="4"/>
        <v>43575.25</v>
      </c>
      <c r="J41" s="16" t="str">
        <f t="shared" si="5"/>
        <v/>
      </c>
      <c r="K41" s="61"/>
      <c r="L41" s="61"/>
    </row>
    <row r="42" spans="1:12" ht="28.5">
      <c r="A42" s="25" t="str">
        <v>M167</v>
      </c>
      <c r="B42" s="26" t="str">
        <v>NY</v>
      </c>
      <c r="C42" s="26" t="str">
        <f>Sites[[#This Row],[SOL'#]]</f>
        <v>SOL-10386</v>
      </c>
      <c r="D42" s="21">
        <v>29949.5234375</v>
      </c>
      <c r="E42" s="11">
        <v>25602.52</v>
      </c>
      <c r="F42" s="11">
        <f t="shared" si="0"/>
        <v>4347.0034374999996</v>
      </c>
      <c r="G42" s="12">
        <f t="shared" si="3"/>
        <v>0.16978810826043683</v>
      </c>
      <c r="H42" s="13">
        <v>24597.55</v>
      </c>
      <c r="I42" s="13">
        <f t="shared" si="4"/>
        <v>5351.9734375000007</v>
      </c>
      <c r="J42" s="14">
        <f t="shared" si="5"/>
        <v>0.21758156554209671</v>
      </c>
      <c r="K42" s="66" t="s">
        <v>556</v>
      </c>
      <c r="L42" s="66" t="s">
        <v>557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23572.984375</v>
      </c>
      <c r="E43" s="15">
        <v>0</v>
      </c>
      <c r="F43" s="15">
        <f t="shared" si="0"/>
        <v>23572.984375</v>
      </c>
      <c r="G43" s="16" t="str">
        <f t="shared" si="3"/>
        <v/>
      </c>
      <c r="H43" s="17">
        <v>0</v>
      </c>
      <c r="I43" s="17">
        <f t="shared" si="4"/>
        <v>23572.984375</v>
      </c>
      <c r="J43" s="16" t="str">
        <f t="shared" si="5"/>
        <v/>
      </c>
      <c r="K43" s="61"/>
      <c r="L43" s="62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11311.96875</v>
      </c>
      <c r="E44" s="11">
        <v>8094.866</v>
      </c>
      <c r="F44" s="11">
        <f t="shared" si="0"/>
        <v>3217.10275</v>
      </c>
      <c r="G44" s="12">
        <f t="shared" si="3"/>
        <v>0.39742507782092995</v>
      </c>
      <c r="H44" s="13">
        <v>12300.98</v>
      </c>
      <c r="I44" s="13">
        <f t="shared" si="4"/>
        <v>-989.01124999999956</v>
      </c>
      <c r="J44" s="14">
        <f t="shared" si="5"/>
        <v>-8.0401012764836591E-2</v>
      </c>
      <c r="K44" s="66"/>
      <c r="L44" s="66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35588.796875</v>
      </c>
      <c r="E45" s="15">
        <v>36137.85</v>
      </c>
      <c r="F45" s="15">
        <f t="shared" si="0"/>
        <v>-549.05312499999854</v>
      </c>
      <c r="G45" s="16">
        <f t="shared" si="3"/>
        <v>-1.5193298024093813E-2</v>
      </c>
      <c r="H45" s="17">
        <v>30824</v>
      </c>
      <c r="I45" s="17">
        <f t="shared" si="4"/>
        <v>4764.796875</v>
      </c>
      <c r="J45" s="16">
        <f t="shared" si="5"/>
        <v>0.1545807447119128</v>
      </c>
      <c r="K45" s="61"/>
      <c r="L45" s="62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23666.6875</v>
      </c>
      <c r="E46" s="11">
        <v>25467</v>
      </c>
      <c r="F46" s="11">
        <f t="shared" si="0"/>
        <v>-1800.3125</v>
      </c>
      <c r="G46" s="12">
        <f t="shared" si="3"/>
        <v>-7.0691973927042837E-2</v>
      </c>
      <c r="H46" s="13">
        <v>24150.89</v>
      </c>
      <c r="I46" s="13">
        <f t="shared" si="4"/>
        <v>-484.20249999999942</v>
      </c>
      <c r="J46" s="14">
        <f t="shared" si="5"/>
        <v>-2.0049054092830511E-2</v>
      </c>
      <c r="K46" s="66" t="s">
        <v>534</v>
      </c>
      <c r="L46" s="66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19145.28125</v>
      </c>
      <c r="E47" s="15">
        <v>18553.77</v>
      </c>
      <c r="F47" s="15">
        <f t="shared" si="0"/>
        <v>591.51124999999956</v>
      </c>
      <c r="G47" s="16">
        <f t="shared" si="3"/>
        <v>3.1880919619031577E-2</v>
      </c>
      <c r="H47" s="17">
        <v>8480.7049999999999</v>
      </c>
      <c r="I47" s="17">
        <f t="shared" si="4"/>
        <v>10664.57625</v>
      </c>
      <c r="J47" s="16">
        <f t="shared" si="5"/>
        <v>1.2575105784247891</v>
      </c>
      <c r="K47" s="61"/>
      <c r="L47" s="62"/>
    </row>
    <row r="48" spans="1:12" ht="57">
      <c r="A48" s="25" t="str">
        <v>Q025</v>
      </c>
      <c r="B48" s="26" t="str">
        <v>NY</v>
      </c>
      <c r="C48" s="26" t="str">
        <f>Sites[[#This Row],[SOL'#]]</f>
        <v>SOL-10400</v>
      </c>
      <c r="D48" s="21">
        <v>32502.1875</v>
      </c>
      <c r="E48" s="11">
        <v>32818.18</v>
      </c>
      <c r="F48" s="11">
        <f t="shared" si="0"/>
        <v>-315.99250000000029</v>
      </c>
      <c r="G48" s="12">
        <f t="shared" si="3"/>
        <v>-9.6285808658493639E-3</v>
      </c>
      <c r="H48" s="13">
        <v>15102</v>
      </c>
      <c r="I48" s="13">
        <f t="shared" si="4"/>
        <v>17400.1875</v>
      </c>
      <c r="J48" s="14">
        <f t="shared" si="5"/>
        <v>1.1521776916964641</v>
      </c>
      <c r="K48" s="66" t="s">
        <v>558</v>
      </c>
      <c r="L48" s="66" t="s">
        <v>348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21355.84375</v>
      </c>
      <c r="E49" s="15">
        <v>21996.48</v>
      </c>
      <c r="F49" s="15">
        <f t="shared" si="0"/>
        <v>-640.63624999999956</v>
      </c>
      <c r="G49" s="16">
        <f t="shared" si="3"/>
        <v>-2.9124489463768728E-2</v>
      </c>
      <c r="H49" s="17">
        <v>20150.79</v>
      </c>
      <c r="I49" s="17">
        <f t="shared" si="4"/>
        <v>1205.0537499999991</v>
      </c>
      <c r="J49" s="16">
        <f t="shared" si="5"/>
        <v>5.9801811740383334E-2</v>
      </c>
      <c r="K49" s="61"/>
      <c r="L49" s="62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27330.15625</v>
      </c>
      <c r="E50" s="11">
        <v>29550.51</v>
      </c>
      <c r="F50" s="11">
        <f t="shared" si="0"/>
        <v>-2220.3537499999984</v>
      </c>
      <c r="G50" s="12">
        <f t="shared" si="3"/>
        <v>-7.5137577997807778E-2</v>
      </c>
      <c r="H50" s="13">
        <v>27891.13</v>
      </c>
      <c r="I50" s="13">
        <f t="shared" si="4"/>
        <v>-560.97375000000102</v>
      </c>
      <c r="J50" s="14">
        <f t="shared" si="5"/>
        <v>-2.011298036329116E-2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16844.96875</v>
      </c>
      <c r="E51" s="15">
        <v>18865.3</v>
      </c>
      <c r="F51" s="15">
        <f t="shared" si="0"/>
        <v>-2020.3312499999993</v>
      </c>
      <c r="G51" s="16">
        <f t="shared" si="3"/>
        <v>-0.10709245281018587</v>
      </c>
      <c r="H51" s="17">
        <v>16211</v>
      </c>
      <c r="I51" s="17">
        <f t="shared" si="4"/>
        <v>633.96875</v>
      </c>
      <c r="J51" s="16">
        <f t="shared" si="5"/>
        <v>3.9107319104311887E-2</v>
      </c>
      <c r="K51" s="61"/>
      <c r="L51" s="62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22624.625</v>
      </c>
      <c r="E52" s="11">
        <v>27603.95</v>
      </c>
      <c r="F52" s="11">
        <f t="shared" si="0"/>
        <v>-4979.3250000000007</v>
      </c>
      <c r="G52" s="12">
        <f t="shared" si="3"/>
        <v>-0.18038451018785356</v>
      </c>
      <c r="H52" s="13">
        <v>30804.75</v>
      </c>
      <c r="I52" s="13">
        <f t="shared" si="4"/>
        <v>-8180.125</v>
      </c>
      <c r="J52" s="14">
        <f t="shared" si="5"/>
        <v>-0.26554752108035284</v>
      </c>
      <c r="K52" s="66" t="s">
        <v>559</v>
      </c>
      <c r="L52" s="66" t="s">
        <v>560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45171.625</v>
      </c>
      <c r="E53" s="15">
        <v>50176.26</v>
      </c>
      <c r="F53" s="15">
        <f t="shared" si="0"/>
        <v>-5004.635000000002</v>
      </c>
      <c r="G53" s="16">
        <f t="shared" si="3"/>
        <v>-9.9741092700013953E-2</v>
      </c>
      <c r="H53" s="17">
        <v>42277.18</v>
      </c>
      <c r="I53" s="17">
        <f t="shared" si="4"/>
        <v>2894.4449999999997</v>
      </c>
      <c r="J53" s="16">
        <f t="shared" si="5"/>
        <v>6.8463530443610476E-2</v>
      </c>
      <c r="K53" s="61"/>
      <c r="L53" s="61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37245.75</v>
      </c>
      <c r="E54" s="11">
        <v>38179.64</v>
      </c>
      <c r="F54" s="11">
        <f t="shared" si="0"/>
        <v>-933.88999999999942</v>
      </c>
      <c r="G54" s="12">
        <f t="shared" si="3"/>
        <v>-2.44604192182011E-2</v>
      </c>
      <c r="H54" s="13">
        <v>29392</v>
      </c>
      <c r="I54" s="13">
        <f t="shared" si="4"/>
        <v>7853.75</v>
      </c>
      <c r="J54" s="14">
        <f t="shared" si="5"/>
        <v>0.26720706314643439</v>
      </c>
      <c r="K54" s="66"/>
      <c r="L54" s="66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16502.031250000098</v>
      </c>
      <c r="E55" s="15">
        <v>18617.330000000002</v>
      </c>
      <c r="F55" s="15">
        <f t="shared" si="0"/>
        <v>-2115.2987499999035</v>
      </c>
      <c r="G55" s="16">
        <f t="shared" si="3"/>
        <v>-0.1136198772863726</v>
      </c>
      <c r="H55" s="17">
        <v>16851.62</v>
      </c>
      <c r="I55" s="17">
        <f t="shared" si="4"/>
        <v>-349.58874999990076</v>
      </c>
      <c r="J55" s="16">
        <f t="shared" si="5"/>
        <v>-2.0745112339341901E-2</v>
      </c>
      <c r="K55" s="61" t="s">
        <v>561</v>
      </c>
      <c r="L55" s="61" t="s">
        <v>562</v>
      </c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61176.687500000102</v>
      </c>
      <c r="E56" s="11">
        <v>63398.89</v>
      </c>
      <c r="F56" s="11">
        <f t="shared" si="0"/>
        <v>-2222.2024999998976</v>
      </c>
      <c r="G56" s="12">
        <f t="shared" si="3"/>
        <v>-3.5051126289433424E-2</v>
      </c>
      <c r="H56" s="13">
        <v>0</v>
      </c>
      <c r="I56" s="13">
        <f t="shared" si="4"/>
        <v>61176.687500000102</v>
      </c>
      <c r="J56" s="14" t="str">
        <f t="shared" si="5"/>
        <v/>
      </c>
      <c r="K56" s="66"/>
      <c r="L56" s="66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64818.5</v>
      </c>
      <c r="E57" s="15">
        <v>71040.899999999994</v>
      </c>
      <c r="F57" s="15">
        <f t="shared" si="0"/>
        <v>-6222.3999999999942</v>
      </c>
      <c r="G57" s="16">
        <f t="shared" si="3"/>
        <v>-8.7588980432398725E-2</v>
      </c>
      <c r="H57" s="17">
        <v>49754.23</v>
      </c>
      <c r="I57" s="17">
        <f t="shared" si="4"/>
        <v>15064.269999999997</v>
      </c>
      <c r="J57" s="16">
        <f t="shared" si="5"/>
        <v>0.30277365361698888</v>
      </c>
      <c r="K57" s="61" t="s">
        <v>563</v>
      </c>
      <c r="L57" s="62" t="s">
        <v>564</v>
      </c>
    </row>
    <row r="58" spans="1:12" ht="42.75">
      <c r="A58" s="25" t="str">
        <v>Q435</v>
      </c>
      <c r="B58" s="26" t="str">
        <v>NY</v>
      </c>
      <c r="C58" s="26" t="str">
        <f>Sites[[#This Row],[SOL'#]]</f>
        <v>SOL-10923</v>
      </c>
      <c r="D58" s="21">
        <v>76971.718749999898</v>
      </c>
      <c r="E58" s="11">
        <v>63697.53</v>
      </c>
      <c r="F58" s="11">
        <f t="shared" si="0"/>
        <v>13274.188749999899</v>
      </c>
      <c r="G58" s="12">
        <f t="shared" si="3"/>
        <v>0.20839408922135441</v>
      </c>
      <c r="H58" s="13">
        <v>0</v>
      </c>
      <c r="I58" s="13">
        <f t="shared" si="4"/>
        <v>76971.718749999898</v>
      </c>
      <c r="J58" s="14" t="str">
        <f t="shared" si="5"/>
        <v/>
      </c>
      <c r="K58" s="66" t="s">
        <v>565</v>
      </c>
      <c r="L58" s="66" t="s">
        <v>566</v>
      </c>
    </row>
    <row r="59" spans="1:12" ht="63" customHeight="1">
      <c r="A59" s="27" t="str">
        <v>Q485</v>
      </c>
      <c r="B59" s="28" t="str">
        <v>NY</v>
      </c>
      <c r="C59" s="28" t="str">
        <f>Sites[[#This Row],[SOL'#]]</f>
        <v>SOL-10869</v>
      </c>
      <c r="D59" s="10">
        <v>82338.109375</v>
      </c>
      <c r="E59" s="15">
        <v>64894.35</v>
      </c>
      <c r="F59" s="15">
        <f t="shared" si="0"/>
        <v>17443.759375000001</v>
      </c>
      <c r="G59" s="16">
        <f t="shared" si="3"/>
        <v>0.26880243619051586</v>
      </c>
      <c r="H59" s="17">
        <v>51891.54</v>
      </c>
      <c r="I59" s="17">
        <f t="shared" si="4"/>
        <v>30446.569374999999</v>
      </c>
      <c r="J59" s="16">
        <f t="shared" si="5"/>
        <v>0.58673474279237037</v>
      </c>
      <c r="K59" s="61" t="s">
        <v>567</v>
      </c>
      <c r="L59" s="62" t="s">
        <v>568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55696.2617574256</v>
      </c>
      <c r="E60" s="11">
        <v>0</v>
      </c>
      <c r="F60" s="11">
        <f t="shared" si="0"/>
        <v>55696.2617574256</v>
      </c>
      <c r="G60" s="12" t="str">
        <f t="shared" si="3"/>
        <v/>
      </c>
      <c r="H60" s="13">
        <v>59960.44</v>
      </c>
      <c r="I60" s="13">
        <f t="shared" si="4"/>
        <v>-4264.1782425744022</v>
      </c>
      <c r="J60" s="14">
        <f t="shared" si="5"/>
        <v>-7.1116526872958274E-2</v>
      </c>
      <c r="K60" s="66" t="s">
        <v>569</v>
      </c>
      <c r="L60" s="66" t="s">
        <v>570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88049.875</v>
      </c>
      <c r="E61" s="15">
        <v>89949.47</v>
      </c>
      <c r="F61" s="15">
        <f t="shared" si="0"/>
        <v>-1899.5950000000012</v>
      </c>
      <c r="G61" s="16">
        <f t="shared" si="3"/>
        <v>-2.1118467957621109E-2</v>
      </c>
      <c r="H61" s="17">
        <v>86964.63</v>
      </c>
      <c r="I61" s="17">
        <f t="shared" si="4"/>
        <v>1085.2449999999953</v>
      </c>
      <c r="J61" s="16">
        <f t="shared" si="5"/>
        <v>1.2479153881296284E-2</v>
      </c>
      <c r="K61" s="61"/>
      <c r="L61" s="62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7543.2</v>
      </c>
      <c r="E62" s="11">
        <v>0</v>
      </c>
      <c r="F62" s="11">
        <f t="shared" si="0"/>
        <v>7543.2</v>
      </c>
      <c r="G62" s="12" t="str">
        <f t="shared" si="3"/>
        <v/>
      </c>
      <c r="H62" s="13">
        <v>7466.96</v>
      </c>
      <c r="I62" s="13">
        <f t="shared" si="4"/>
        <v>76.239999999999782</v>
      </c>
      <c r="J62" s="14">
        <f t="shared" si="5"/>
        <v>1.0210313166268439E-2</v>
      </c>
      <c r="K62" s="66"/>
      <c r="L62" s="66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34336.6796875</v>
      </c>
      <c r="E63" s="15">
        <v>0</v>
      </c>
      <c r="F63" s="15">
        <f t="shared" si="0"/>
        <v>34336.6796875</v>
      </c>
      <c r="G63" s="16" t="str">
        <f t="shared" si="3"/>
        <v/>
      </c>
      <c r="H63" s="17">
        <v>0</v>
      </c>
      <c r="I63" s="17">
        <f t="shared" si="4"/>
        <v>34336.6796875</v>
      </c>
      <c r="J63" s="16" t="str">
        <f t="shared" si="5"/>
        <v/>
      </c>
      <c r="K63" s="61"/>
      <c r="L63" s="62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31165.7</v>
      </c>
      <c r="E64" s="11">
        <v>28464.58</v>
      </c>
      <c r="F64" s="11">
        <f t="shared" si="0"/>
        <v>2701.119999999999</v>
      </c>
      <c r="G64" s="12">
        <f t="shared" si="3"/>
        <v>9.4894075373674891E-2</v>
      </c>
      <c r="H64" s="13">
        <v>24102.57</v>
      </c>
      <c r="I64" s="13">
        <f t="shared" si="4"/>
        <v>7063.130000000001</v>
      </c>
      <c r="J64" s="14">
        <f t="shared" si="5"/>
        <v>0.29304468361672642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26005.35758</v>
      </c>
      <c r="E65" s="15">
        <v>23140.49</v>
      </c>
      <c r="F65" s="15">
        <f t="shared" si="0"/>
        <v>2864.8675799999983</v>
      </c>
      <c r="G65" s="16">
        <f t="shared" si="3"/>
        <v>0.123803237528678</v>
      </c>
      <c r="H65" s="17">
        <v>18531.669999999998</v>
      </c>
      <c r="I65" s="17">
        <f t="shared" si="4"/>
        <v>7473.6875800000016</v>
      </c>
      <c r="J65" s="16">
        <f t="shared" si="5"/>
        <v>0.40329271889689394</v>
      </c>
      <c r="K65" s="61"/>
      <c r="L65" s="61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21901.3</v>
      </c>
      <c r="E66" s="11">
        <v>24439.89</v>
      </c>
      <c r="F66" s="11">
        <f t="shared" si="0"/>
        <v>-2538.59</v>
      </c>
      <c r="G66" s="12">
        <f t="shared" si="3"/>
        <v>-0.1038707621024481</v>
      </c>
      <c r="H66" s="13">
        <v>23775.01</v>
      </c>
      <c r="I66" s="13">
        <f t="shared" si="4"/>
        <v>-1873.7099999999991</v>
      </c>
      <c r="J66" s="14">
        <f t="shared" si="5"/>
        <v>-7.8810061488933103E-2</v>
      </c>
      <c r="K66" s="66"/>
      <c r="L66" s="66"/>
    </row>
    <row r="67" spans="1:12" ht="60" customHeight="1">
      <c r="A67" s="27" t="str">
        <v>X125</v>
      </c>
      <c r="B67" s="28" t="str">
        <v>NY</v>
      </c>
      <c r="C67" s="28" t="str">
        <f>Sites[[#This Row],[SOL'#]]</f>
        <v>SOL-10423</v>
      </c>
      <c r="D67" s="10">
        <v>38071.15625</v>
      </c>
      <c r="E67" s="15">
        <v>41240.080000000002</v>
      </c>
      <c r="F67" s="15">
        <f t="shared" si="0"/>
        <v>-3168.9237500000017</v>
      </c>
      <c r="G67" s="16">
        <f t="shared" si="3"/>
        <v>-7.6840873005096053E-2</v>
      </c>
      <c r="H67" s="17">
        <v>25574.57</v>
      </c>
      <c r="I67" s="17">
        <f t="shared" si="4"/>
        <v>12496.58625</v>
      </c>
      <c r="J67" s="16">
        <f t="shared" si="5"/>
        <v>0.48863328884904028</v>
      </c>
      <c r="K67" s="61" t="s">
        <v>571</v>
      </c>
      <c r="L67" s="61" t="s">
        <v>572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39346.734380000002</v>
      </c>
      <c r="E68" s="11">
        <v>0</v>
      </c>
      <c r="F68" s="11">
        <f t="shared" si="0"/>
        <v>39346.734380000002</v>
      </c>
      <c r="G68" s="12" t="str">
        <f t="shared" si="3"/>
        <v/>
      </c>
      <c r="H68" s="13">
        <v>0</v>
      </c>
      <c r="I68" s="13">
        <f t="shared" si="4"/>
        <v>39346.734380000002</v>
      </c>
      <c r="J68" s="14" t="str">
        <f t="shared" si="5"/>
        <v/>
      </c>
      <c r="K68" s="66"/>
      <c r="L68" s="66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27383.765630000002</v>
      </c>
      <c r="E69" s="15">
        <v>0</v>
      </c>
      <c r="F69" s="15">
        <f t="shared" ref="F69:F132" si="6">IF(AND(ISNUMBER(D69),ISNUMBER(E69)), D69-E69, "")</f>
        <v>27383.765630000002</v>
      </c>
      <c r="G69" s="16" t="str">
        <f t="shared" si="3"/>
        <v/>
      </c>
      <c r="H69" s="17">
        <v>0</v>
      </c>
      <c r="I69" s="17">
        <f t="shared" si="4"/>
        <v>27383.765630000002</v>
      </c>
      <c r="J69" s="16" t="str">
        <f t="shared" si="5"/>
        <v/>
      </c>
      <c r="K69" s="61"/>
      <c r="L69" s="62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50018.621124104102</v>
      </c>
      <c r="E70" s="11">
        <v>52350.9</v>
      </c>
      <c r="F70" s="11">
        <f t="shared" si="6"/>
        <v>-2332.2788758958995</v>
      </c>
      <c r="G70" s="12">
        <f t="shared" ref="G70:G133" si="7">IFERROR(F70/E70, "")</f>
        <v>-4.4550884051580766E-2</v>
      </c>
      <c r="H70" s="13">
        <v>44635</v>
      </c>
      <c r="I70" s="13">
        <f t="shared" si="4"/>
        <v>5383.6211241041019</v>
      </c>
      <c r="J70" s="14">
        <f t="shared" si="5"/>
        <v>0.12061434130400139</v>
      </c>
      <c r="K70" s="66" t="s">
        <v>573</v>
      </c>
      <c r="L70" s="66" t="s">
        <v>469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27657.5107664801</v>
      </c>
      <c r="E71" s="15">
        <v>23443.42</v>
      </c>
      <c r="F71" s="15">
        <f t="shared" si="6"/>
        <v>4214.0907664801016</v>
      </c>
      <c r="G71" s="16">
        <f t="shared" si="7"/>
        <v>0.17975580211761347</v>
      </c>
      <c r="H71" s="17">
        <v>22511</v>
      </c>
      <c r="I71" s="17">
        <f t="shared" si="4"/>
        <v>5146.5107664800998</v>
      </c>
      <c r="J71" s="16">
        <f t="shared" si="5"/>
        <v>0.22862204106792677</v>
      </c>
      <c r="K71" s="61"/>
      <c r="L71" s="62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28346.5</v>
      </c>
      <c r="E72" s="11">
        <v>29181</v>
      </c>
      <c r="F72" s="11">
        <f t="shared" si="6"/>
        <v>-834.5</v>
      </c>
      <c r="G72" s="12">
        <f t="shared" si="7"/>
        <v>-2.8597375004283609E-2</v>
      </c>
      <c r="H72" s="13">
        <v>0</v>
      </c>
      <c r="I72" s="13">
        <f t="shared" si="4"/>
        <v>28346.5</v>
      </c>
      <c r="J72" s="14" t="str">
        <f t="shared" si="5"/>
        <v/>
      </c>
      <c r="K72" s="89" t="s">
        <v>574</v>
      </c>
      <c r="L72" s="66" t="s">
        <v>575</v>
      </c>
    </row>
    <row r="73" spans="1:12" ht="57">
      <c r="A73" s="27" t="str">
        <v>Murphy</v>
      </c>
      <c r="B73" s="28" t="str">
        <v>MN</v>
      </c>
      <c r="C73" s="28" t="str">
        <f>Sites[[#This Row],[SOL'#]]</f>
        <v>SOL-10094</v>
      </c>
      <c r="D73" s="10">
        <v>539560</v>
      </c>
      <c r="E73" s="15">
        <v>602915.4</v>
      </c>
      <c r="F73" s="15">
        <f t="shared" si="6"/>
        <v>-63355.400000000023</v>
      </c>
      <c r="G73" s="16">
        <f t="shared" si="7"/>
        <v>-0.1050817411530706</v>
      </c>
      <c r="H73" s="17">
        <v>976788.5</v>
      </c>
      <c r="I73" s="17">
        <f t="shared" si="4"/>
        <v>-437228.5</v>
      </c>
      <c r="J73" s="16">
        <f t="shared" si="5"/>
        <v>-0.44761839436070344</v>
      </c>
      <c r="K73" s="61" t="s">
        <v>576</v>
      </c>
      <c r="L73" s="61" t="s">
        <v>577</v>
      </c>
    </row>
    <row r="74" spans="1:12" ht="42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810874.58</v>
      </c>
      <c r="E74" s="11">
        <v>963785.2</v>
      </c>
      <c r="F74" s="11">
        <f t="shared" si="6"/>
        <v>-152910.62</v>
      </c>
      <c r="G74" s="12">
        <f t="shared" si="7"/>
        <v>-0.15865632715671502</v>
      </c>
      <c r="H74" s="13">
        <v>996655.1</v>
      </c>
      <c r="I74" s="13">
        <f t="shared" si="4"/>
        <v>-185780.52000000002</v>
      </c>
      <c r="J74" s="14">
        <f t="shared" si="5"/>
        <v>-0.18640402281591698</v>
      </c>
      <c r="K74" s="66" t="s">
        <v>578</v>
      </c>
      <c r="L74" s="66" t="s">
        <v>579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355248</v>
      </c>
      <c r="E75" s="15">
        <v>0</v>
      </c>
      <c r="F75" s="15">
        <f t="shared" si="6"/>
        <v>355248</v>
      </c>
      <c r="G75" s="16" t="str">
        <f t="shared" si="7"/>
        <v/>
      </c>
      <c r="H75" s="17">
        <v>379156.01</v>
      </c>
      <c r="I75" s="17">
        <f t="shared" si="4"/>
        <v>-23908.010000000009</v>
      </c>
      <c r="J75" s="16">
        <f t="shared" si="5"/>
        <v>-6.3055864523946251E-2</v>
      </c>
      <c r="K75" s="61" t="s">
        <v>580</v>
      </c>
      <c r="L75" s="61" t="s">
        <v>581</v>
      </c>
    </row>
    <row r="76" spans="1:12" ht="28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375683</v>
      </c>
      <c r="E76" s="11">
        <v>390001</v>
      </c>
      <c r="F76" s="11">
        <f t="shared" si="6"/>
        <v>-14318</v>
      </c>
      <c r="G76" s="12">
        <f t="shared" si="7"/>
        <v>-3.6712726377624676E-2</v>
      </c>
      <c r="H76" s="13">
        <v>373792.35</v>
      </c>
      <c r="I76" s="13">
        <f t="shared" si="4"/>
        <v>1890.6500000000233</v>
      </c>
      <c r="J76" s="14">
        <f t="shared" si="5"/>
        <v>5.0580221879875913E-3</v>
      </c>
      <c r="K76" s="66" t="s">
        <v>582</v>
      </c>
      <c r="L76" s="66" t="s">
        <v>583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350736</v>
      </c>
      <c r="E77" s="15">
        <v>356175</v>
      </c>
      <c r="F77" s="15">
        <f t="shared" si="6"/>
        <v>-5439</v>
      </c>
      <c r="G77" s="16">
        <f t="shared" si="7"/>
        <v>-1.5270583280690671E-2</v>
      </c>
      <c r="H77" s="17">
        <v>357115.26</v>
      </c>
      <c r="I77" s="17">
        <f t="shared" si="4"/>
        <v>-6379.2600000000093</v>
      </c>
      <c r="J77" s="16">
        <f t="shared" si="5"/>
        <v>-1.7863308333561576E-2</v>
      </c>
      <c r="K77" s="61"/>
      <c r="L77" s="61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373931</v>
      </c>
      <c r="E78" s="11">
        <v>380184</v>
      </c>
      <c r="F78" s="11">
        <f t="shared" si="6"/>
        <v>-6253</v>
      </c>
      <c r="G78" s="12">
        <f t="shared" si="7"/>
        <v>-1.6447299202491425E-2</v>
      </c>
      <c r="H78" s="13">
        <v>364986.33</v>
      </c>
      <c r="I78" s="13">
        <f t="shared" si="4"/>
        <v>8944.6699999999837</v>
      </c>
      <c r="J78" s="14">
        <f t="shared" si="5"/>
        <v>2.4506863037856742E-2</v>
      </c>
      <c r="K78" s="66"/>
      <c r="L78" s="66"/>
    </row>
    <row r="79" spans="1:12" ht="42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375340</v>
      </c>
      <c r="E79" s="15">
        <v>0</v>
      </c>
      <c r="F79" s="15">
        <f t="shared" si="6"/>
        <v>375340</v>
      </c>
      <c r="G79" s="16" t="str">
        <f t="shared" si="7"/>
        <v/>
      </c>
      <c r="H79" s="17">
        <v>411799.3</v>
      </c>
      <c r="I79" s="17">
        <f t="shared" si="4"/>
        <v>-36459.299999999988</v>
      </c>
      <c r="J79" s="16">
        <f t="shared" si="5"/>
        <v>-8.8536575948526361E-2</v>
      </c>
      <c r="K79" s="61" t="s">
        <v>584</v>
      </c>
      <c r="L79" s="61" t="s">
        <v>585</v>
      </c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484829</v>
      </c>
      <c r="E80" s="11">
        <v>538921</v>
      </c>
      <c r="F80" s="11">
        <f t="shared" si="6"/>
        <v>-54092</v>
      </c>
      <c r="G80" s="12">
        <f t="shared" si="7"/>
        <v>-0.1003709263509865</v>
      </c>
      <c r="H80" s="13">
        <v>346009</v>
      </c>
      <c r="I80" s="13">
        <f t="shared" si="4"/>
        <v>138820</v>
      </c>
      <c r="J80" s="14">
        <f t="shared" si="5"/>
        <v>0.40120343690482041</v>
      </c>
      <c r="K80" s="66" t="s">
        <v>586</v>
      </c>
      <c r="L80" s="66" t="s">
        <v>587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325199</v>
      </c>
      <c r="E81" s="15">
        <v>346956</v>
      </c>
      <c r="F81" s="15">
        <f t="shared" si="6"/>
        <v>-21757</v>
      </c>
      <c r="G81" s="16">
        <f t="shared" si="7"/>
        <v>-6.2708239661513274E-2</v>
      </c>
      <c r="H81" s="17">
        <v>335498</v>
      </c>
      <c r="I81" s="17">
        <f t="shared" si="4"/>
        <v>-10299</v>
      </c>
      <c r="J81" s="16">
        <f t="shared" si="5"/>
        <v>-3.0697649464378328E-2</v>
      </c>
      <c r="K81" s="61"/>
      <c r="L81" s="61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376060</v>
      </c>
      <c r="E82" s="11">
        <v>393970</v>
      </c>
      <c r="F82" s="11">
        <f t="shared" si="6"/>
        <v>-17910</v>
      </c>
      <c r="G82" s="12">
        <f t="shared" si="7"/>
        <v>-4.5460314237124655E-2</v>
      </c>
      <c r="H82" s="13">
        <v>407543</v>
      </c>
      <c r="I82" s="13">
        <f t="shared" ref="I82:I145" si="8">IF(AND(ISNUMBER(D82),ISNUMBER(H82)), D82-H82, "")</f>
        <v>-31483</v>
      </c>
      <c r="J82" s="14">
        <f t="shared" ref="J82:J145" si="9">IFERROR(I82/H82, "")</f>
        <v>-7.7250744093261325E-2</v>
      </c>
      <c r="K82" s="66"/>
      <c r="L82" s="66"/>
    </row>
    <row r="83" spans="1:12" ht="57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380301</v>
      </c>
      <c r="E83" s="15">
        <v>130582</v>
      </c>
      <c r="F83" s="15">
        <f t="shared" si="6"/>
        <v>249719</v>
      </c>
      <c r="G83" s="16">
        <f t="shared" si="7"/>
        <v>1.9123539232053421</v>
      </c>
      <c r="H83" s="17">
        <v>496815</v>
      </c>
      <c r="I83" s="17">
        <f t="shared" si="8"/>
        <v>-116514</v>
      </c>
      <c r="J83" s="16">
        <f t="shared" si="9"/>
        <v>-0.234521904531868</v>
      </c>
      <c r="K83" s="61" t="s">
        <v>588</v>
      </c>
      <c r="L83" s="61" t="s">
        <v>589</v>
      </c>
    </row>
    <row r="84" spans="1:12" ht="57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245232</v>
      </c>
      <c r="E84" s="11">
        <v>0</v>
      </c>
      <c r="F84" s="11">
        <f t="shared" si="6"/>
        <v>245232</v>
      </c>
      <c r="G84" s="12" t="str">
        <f t="shared" si="7"/>
        <v/>
      </c>
      <c r="H84" s="13">
        <v>497937</v>
      </c>
      <c r="I84" s="13">
        <f t="shared" si="8"/>
        <v>-252705</v>
      </c>
      <c r="J84" s="14">
        <f t="shared" si="9"/>
        <v>-0.50750396134450748</v>
      </c>
      <c r="K84" s="66" t="s">
        <v>590</v>
      </c>
      <c r="L84" s="66" t="s">
        <v>591</v>
      </c>
    </row>
    <row r="85" spans="1:12" ht="28.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346327</v>
      </c>
      <c r="E85" s="15">
        <v>400672</v>
      </c>
      <c r="F85" s="15">
        <f t="shared" si="6"/>
        <v>-54345</v>
      </c>
      <c r="G85" s="16">
        <f t="shared" si="7"/>
        <v>-0.13563463381519048</v>
      </c>
      <c r="H85" s="17">
        <v>104431</v>
      </c>
      <c r="I85" s="17">
        <f t="shared" si="8"/>
        <v>241896</v>
      </c>
      <c r="J85" s="16">
        <f t="shared" si="9"/>
        <v>2.3163236969865268</v>
      </c>
      <c r="K85" s="61" t="s">
        <v>592</v>
      </c>
      <c r="L85" s="61" t="s">
        <v>593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914656</v>
      </c>
      <c r="E86" s="11">
        <v>0</v>
      </c>
      <c r="F86" s="11">
        <f t="shared" si="6"/>
        <v>914656</v>
      </c>
      <c r="G86" s="12" t="str">
        <f t="shared" si="7"/>
        <v/>
      </c>
      <c r="H86" s="13">
        <v>296042</v>
      </c>
      <c r="I86" s="13">
        <f t="shared" si="8"/>
        <v>618614</v>
      </c>
      <c r="J86" s="14">
        <f t="shared" si="9"/>
        <v>2.0896156626424629</v>
      </c>
      <c r="K86" s="66" t="s">
        <v>594</v>
      </c>
      <c r="L86" s="66" t="s">
        <v>595</v>
      </c>
    </row>
    <row r="87" spans="1:12" ht="148.15" customHeight="1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736049</v>
      </c>
      <c r="E87" s="15">
        <v>0</v>
      </c>
      <c r="F87" s="15">
        <f t="shared" si="6"/>
        <v>736049</v>
      </c>
      <c r="G87" s="16" t="str">
        <f t="shared" si="7"/>
        <v/>
      </c>
      <c r="H87" s="17">
        <v>364940</v>
      </c>
      <c r="I87" s="17">
        <f t="shared" si="8"/>
        <v>371109</v>
      </c>
      <c r="J87" s="16">
        <f t="shared" si="9"/>
        <v>1.0169041486271715</v>
      </c>
      <c r="K87" s="61" t="s">
        <v>596</v>
      </c>
      <c r="L87" s="61" t="s">
        <v>597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456332</v>
      </c>
      <c r="E88" s="11">
        <v>0</v>
      </c>
      <c r="F88" s="11">
        <f t="shared" si="6"/>
        <v>456332</v>
      </c>
      <c r="G88" s="12" t="str">
        <f t="shared" si="7"/>
        <v/>
      </c>
      <c r="H88" s="13">
        <v>116511</v>
      </c>
      <c r="I88" s="13">
        <f t="shared" si="8"/>
        <v>339821</v>
      </c>
      <c r="J88" s="14">
        <f t="shared" si="9"/>
        <v>2.9166430637450542</v>
      </c>
      <c r="K88" s="66"/>
      <c r="L88" s="66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950768</v>
      </c>
      <c r="E89" s="15">
        <v>923077</v>
      </c>
      <c r="F89" s="15">
        <f t="shared" si="6"/>
        <v>27691</v>
      </c>
      <c r="G89" s="16">
        <f t="shared" si="7"/>
        <v>2.9998580833451596E-2</v>
      </c>
      <c r="H89" s="17">
        <v>224356</v>
      </c>
      <c r="I89" s="17">
        <f t="shared" si="8"/>
        <v>726412</v>
      </c>
      <c r="J89" s="16">
        <f t="shared" si="9"/>
        <v>3.2377649806557436</v>
      </c>
      <c r="K89" s="61" t="s">
        <v>598</v>
      </c>
      <c r="L89" s="61" t="s">
        <v>599</v>
      </c>
    </row>
    <row r="90" spans="1:12" ht="119.25" customHeight="1">
      <c r="A90" s="25" t="str">
        <v>NY 70</v>
      </c>
      <c r="B90" s="26" t="str">
        <v>NY</v>
      </c>
      <c r="C90" s="26" t="str">
        <f>Sites[[#This Row],[SOL'#]]</f>
        <v>SOL-10970</v>
      </c>
      <c r="D90" s="21">
        <v>949573</v>
      </c>
      <c r="E90" s="11">
        <v>0</v>
      </c>
      <c r="F90" s="11">
        <f t="shared" si="6"/>
        <v>949573</v>
      </c>
      <c r="G90" s="12" t="str">
        <f t="shared" si="7"/>
        <v/>
      </c>
      <c r="H90" s="13">
        <v>348970</v>
      </c>
      <c r="I90" s="13">
        <f t="shared" si="8"/>
        <v>600603</v>
      </c>
      <c r="J90" s="14">
        <f t="shared" si="9"/>
        <v>1.7210734447087142</v>
      </c>
      <c r="K90" s="66" t="s">
        <v>600</v>
      </c>
      <c r="L90" s="66" t="s">
        <v>601</v>
      </c>
    </row>
    <row r="91" spans="1:12" ht="129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799850.86577338004</v>
      </c>
      <c r="E91" s="15">
        <v>766025.4</v>
      </c>
      <c r="F91" s="15">
        <f t="shared" si="6"/>
        <v>33825.465773380012</v>
      </c>
      <c r="G91" s="16">
        <f t="shared" si="7"/>
        <v>4.4157107288322305E-2</v>
      </c>
      <c r="H91" s="17">
        <v>833703</v>
      </c>
      <c r="I91" s="17">
        <f t="shared" si="8"/>
        <v>-33852.134226619964</v>
      </c>
      <c r="J91" s="16">
        <f t="shared" si="9"/>
        <v>-4.0604548894054557E-2</v>
      </c>
      <c r="K91" s="61" t="s">
        <v>602</v>
      </c>
      <c r="L91" s="61" t="s">
        <v>603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470381</v>
      </c>
      <c r="E92" s="11">
        <v>482020</v>
      </c>
      <c r="F92" s="11">
        <f t="shared" si="6"/>
        <v>-11639</v>
      </c>
      <c r="G92" s="12">
        <f t="shared" si="7"/>
        <v>-2.4146300983361686E-2</v>
      </c>
      <c r="H92" s="13">
        <v>113622</v>
      </c>
      <c r="I92" s="13">
        <f t="shared" si="8"/>
        <v>356759</v>
      </c>
      <c r="J92" s="14">
        <f t="shared" si="9"/>
        <v>3.1398760803365544</v>
      </c>
      <c r="K92" s="66"/>
      <c r="L92" s="66"/>
    </row>
    <row r="93" spans="1:12" ht="42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799270</v>
      </c>
      <c r="E93" s="15">
        <v>849596</v>
      </c>
      <c r="F93" s="15">
        <f t="shared" si="6"/>
        <v>-50326</v>
      </c>
      <c r="G93" s="16">
        <f t="shared" si="7"/>
        <v>-5.9235212971812487E-2</v>
      </c>
      <c r="H93" s="17">
        <v>313294</v>
      </c>
      <c r="I93" s="17">
        <f t="shared" si="8"/>
        <v>485976</v>
      </c>
      <c r="J93" s="16">
        <f t="shared" si="9"/>
        <v>1.5511819568839493</v>
      </c>
      <c r="K93" s="61" t="s">
        <v>604</v>
      </c>
      <c r="L93" s="61" t="s">
        <v>605</v>
      </c>
    </row>
    <row r="94" spans="1:12" ht="31.5" customHeight="1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873459</v>
      </c>
      <c r="E94" s="11">
        <v>0</v>
      </c>
      <c r="F94" s="11">
        <f t="shared" si="6"/>
        <v>873459</v>
      </c>
      <c r="G94" s="12" t="str">
        <f t="shared" si="7"/>
        <v/>
      </c>
      <c r="H94" s="13">
        <v>336363</v>
      </c>
      <c r="I94" s="13">
        <f t="shared" si="8"/>
        <v>537096</v>
      </c>
      <c r="J94" s="14">
        <f t="shared" si="9"/>
        <v>1.5967749128174027</v>
      </c>
      <c r="K94" s="66" t="s">
        <v>606</v>
      </c>
      <c r="L94" s="66" t="s">
        <v>607</v>
      </c>
    </row>
    <row r="95" spans="1:12" ht="30" customHeight="1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993910</v>
      </c>
      <c r="E95" s="15">
        <v>0</v>
      </c>
      <c r="F95" s="15">
        <f t="shared" si="6"/>
        <v>993910</v>
      </c>
      <c r="G95" s="16" t="str">
        <f t="shared" si="7"/>
        <v/>
      </c>
      <c r="H95" s="17">
        <v>288785</v>
      </c>
      <c r="I95" s="17">
        <f t="shared" si="8"/>
        <v>705125</v>
      </c>
      <c r="J95" s="16">
        <f t="shared" si="9"/>
        <v>2.4416953789151097</v>
      </c>
      <c r="K95" s="61" t="s">
        <v>608</v>
      </c>
      <c r="L95" s="61" t="s">
        <v>609</v>
      </c>
    </row>
    <row r="96" spans="1:12" ht="71.2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169186</v>
      </c>
      <c r="E96" s="11">
        <v>0</v>
      </c>
      <c r="F96" s="11">
        <f t="shared" si="6"/>
        <v>169186</v>
      </c>
      <c r="G96" s="12" t="str">
        <f t="shared" si="7"/>
        <v/>
      </c>
      <c r="H96" s="13">
        <v>393774</v>
      </c>
      <c r="I96" s="13">
        <f t="shared" si="8"/>
        <v>-224588</v>
      </c>
      <c r="J96" s="14">
        <f t="shared" si="9"/>
        <v>-0.57034745818667565</v>
      </c>
      <c r="K96" s="66" t="s">
        <v>610</v>
      </c>
      <c r="L96" s="66" t="s">
        <v>611</v>
      </c>
    </row>
    <row r="97" spans="1:12" ht="33.4" customHeight="1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940474</v>
      </c>
      <c r="E97" s="15">
        <v>0</v>
      </c>
      <c r="F97" s="15">
        <f t="shared" si="6"/>
        <v>940474</v>
      </c>
      <c r="G97" s="16" t="str">
        <f t="shared" si="7"/>
        <v/>
      </c>
      <c r="H97" s="17">
        <v>377458</v>
      </c>
      <c r="I97" s="17">
        <f t="shared" si="8"/>
        <v>563016</v>
      </c>
      <c r="J97" s="16">
        <f t="shared" si="9"/>
        <v>1.4915990653264735</v>
      </c>
      <c r="K97" s="61" t="s">
        <v>612</v>
      </c>
      <c r="L97" s="61" t="s">
        <v>613</v>
      </c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426930</v>
      </c>
      <c r="E98" s="11">
        <v>0</v>
      </c>
      <c r="F98" s="11">
        <f t="shared" si="6"/>
        <v>426930</v>
      </c>
      <c r="G98" s="12" t="str">
        <f t="shared" si="7"/>
        <v/>
      </c>
      <c r="H98" s="13">
        <v>154064</v>
      </c>
      <c r="I98" s="13">
        <f t="shared" si="8"/>
        <v>272866</v>
      </c>
      <c r="J98" s="14">
        <f t="shared" si="9"/>
        <v>1.7711210925329732</v>
      </c>
      <c r="K98" s="66"/>
      <c r="L98" s="66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561736</v>
      </c>
      <c r="E99" s="15">
        <v>0</v>
      </c>
      <c r="F99" s="15">
        <f t="shared" si="6"/>
        <v>561736</v>
      </c>
      <c r="G99" s="16" t="str">
        <f t="shared" si="7"/>
        <v/>
      </c>
      <c r="H99" s="17">
        <v>256132</v>
      </c>
      <c r="I99" s="17">
        <f t="shared" si="8"/>
        <v>305604</v>
      </c>
      <c r="J99" s="16">
        <f t="shared" si="9"/>
        <v>1.1931504068214827</v>
      </c>
      <c r="K99" s="61" t="s">
        <v>614</v>
      </c>
      <c r="L99" s="61" t="s">
        <v>615</v>
      </c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373108</v>
      </c>
      <c r="E100" s="11">
        <v>0</v>
      </c>
      <c r="F100" s="11">
        <f t="shared" si="6"/>
        <v>373108</v>
      </c>
      <c r="G100" s="12" t="str">
        <f t="shared" si="7"/>
        <v/>
      </c>
      <c r="H100" s="13">
        <v>132881</v>
      </c>
      <c r="I100" s="13">
        <f t="shared" si="8"/>
        <v>240227</v>
      </c>
      <c r="J100" s="14">
        <f t="shared" si="9"/>
        <v>1.8078355822126564</v>
      </c>
      <c r="K100" s="66"/>
      <c r="L100" s="66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976672</v>
      </c>
      <c r="E101" s="15">
        <v>0</v>
      </c>
      <c r="F101" s="15">
        <f t="shared" si="6"/>
        <v>976672</v>
      </c>
      <c r="G101" s="16" t="str">
        <f t="shared" si="7"/>
        <v/>
      </c>
      <c r="H101" s="17">
        <v>302250</v>
      </c>
      <c r="I101" s="17">
        <f t="shared" si="8"/>
        <v>674422</v>
      </c>
      <c r="J101" s="16">
        <f t="shared" si="9"/>
        <v>2.2313382961124897</v>
      </c>
      <c r="K101" s="61"/>
      <c r="L101" s="61"/>
    </row>
    <row r="102" spans="1:12" ht="28.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1109320</v>
      </c>
      <c r="E102" s="11">
        <v>0</v>
      </c>
      <c r="F102" s="11">
        <f t="shared" si="6"/>
        <v>1109320</v>
      </c>
      <c r="G102" s="12" t="str">
        <f t="shared" si="7"/>
        <v/>
      </c>
      <c r="H102" s="13">
        <v>316452</v>
      </c>
      <c r="I102" s="13">
        <f t="shared" si="8"/>
        <v>792868</v>
      </c>
      <c r="J102" s="14">
        <f t="shared" si="9"/>
        <v>2.5054921441482438</v>
      </c>
      <c r="K102" s="66" t="s">
        <v>616</v>
      </c>
      <c r="L102" s="66" t="s">
        <v>617</v>
      </c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468180</v>
      </c>
      <c r="E103" s="15">
        <v>0</v>
      </c>
      <c r="F103" s="15">
        <f t="shared" si="6"/>
        <v>468180</v>
      </c>
      <c r="G103" s="16" t="str">
        <f t="shared" si="7"/>
        <v/>
      </c>
      <c r="H103" s="17">
        <v>129029</v>
      </c>
      <c r="I103" s="17">
        <f t="shared" si="8"/>
        <v>339151</v>
      </c>
      <c r="J103" s="16">
        <f t="shared" si="9"/>
        <v>2.6284866192871368</v>
      </c>
      <c r="K103" s="61"/>
      <c r="L103" s="62"/>
    </row>
    <row r="104" spans="1:12" ht="42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1074921</v>
      </c>
      <c r="E104" s="11">
        <v>0</v>
      </c>
      <c r="F104" s="11">
        <f t="shared" si="6"/>
        <v>1074921</v>
      </c>
      <c r="G104" s="12" t="str">
        <f t="shared" si="7"/>
        <v/>
      </c>
      <c r="H104" s="13">
        <v>349534</v>
      </c>
      <c r="I104" s="13">
        <f t="shared" si="8"/>
        <v>725387</v>
      </c>
      <c r="J104" s="14">
        <f t="shared" si="9"/>
        <v>2.07529739596148</v>
      </c>
      <c r="K104" s="66" t="s">
        <v>618</v>
      </c>
      <c r="L104" s="66" t="s">
        <v>619</v>
      </c>
    </row>
    <row r="105" spans="1:12" ht="28.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402626</v>
      </c>
      <c r="E105" s="15">
        <v>0</v>
      </c>
      <c r="F105" s="15">
        <f t="shared" si="6"/>
        <v>402626</v>
      </c>
      <c r="G105" s="16" t="str">
        <f t="shared" si="7"/>
        <v/>
      </c>
      <c r="H105" s="17">
        <v>0</v>
      </c>
      <c r="I105" s="17">
        <f t="shared" si="8"/>
        <v>402626</v>
      </c>
      <c r="J105" s="16" t="str">
        <f t="shared" si="9"/>
        <v/>
      </c>
      <c r="K105" s="61" t="s">
        <v>620</v>
      </c>
      <c r="L105" s="61" t="s">
        <v>621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405471</v>
      </c>
      <c r="E106" s="11">
        <v>0</v>
      </c>
      <c r="F106" s="11">
        <f t="shared" si="6"/>
        <v>405471</v>
      </c>
      <c r="G106" s="12" t="str">
        <f t="shared" si="7"/>
        <v/>
      </c>
      <c r="H106" s="13">
        <v>0</v>
      </c>
      <c r="I106" s="13">
        <f t="shared" si="8"/>
        <v>405471</v>
      </c>
      <c r="J106" s="14" t="str">
        <f t="shared" si="9"/>
        <v/>
      </c>
      <c r="K106" s="66" t="s">
        <v>620</v>
      </c>
      <c r="L106" s="66" t="s">
        <v>622</v>
      </c>
    </row>
    <row r="107" spans="1:12" ht="28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387659</v>
      </c>
      <c r="E107" s="15">
        <v>0</v>
      </c>
      <c r="F107" s="15">
        <f t="shared" si="6"/>
        <v>387659</v>
      </c>
      <c r="G107" s="16" t="str">
        <f t="shared" si="7"/>
        <v/>
      </c>
      <c r="H107" s="17">
        <v>0</v>
      </c>
      <c r="I107" s="17">
        <f t="shared" si="8"/>
        <v>387659</v>
      </c>
      <c r="J107" s="16" t="str">
        <f t="shared" si="9"/>
        <v/>
      </c>
      <c r="K107" s="61" t="s">
        <v>623</v>
      </c>
      <c r="L107" s="61" t="s">
        <v>624</v>
      </c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749944</v>
      </c>
      <c r="E108" s="11">
        <v>0</v>
      </c>
      <c r="F108" s="11">
        <f t="shared" si="6"/>
        <v>749944</v>
      </c>
      <c r="G108" s="12" t="str">
        <f t="shared" si="7"/>
        <v/>
      </c>
      <c r="H108" s="13">
        <v>0</v>
      </c>
      <c r="I108" s="13">
        <f t="shared" si="8"/>
        <v>749944</v>
      </c>
      <c r="J108" s="14" t="str">
        <f t="shared" si="9"/>
        <v/>
      </c>
      <c r="K108" s="66" t="s">
        <v>625</v>
      </c>
      <c r="L108" s="66" t="s">
        <v>626</v>
      </c>
    </row>
    <row r="109" spans="1:12" ht="57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493435</v>
      </c>
      <c r="E109" s="15">
        <v>0</v>
      </c>
      <c r="F109" s="15">
        <f t="shared" si="6"/>
        <v>493435</v>
      </c>
      <c r="G109" s="16" t="str">
        <f t="shared" si="7"/>
        <v/>
      </c>
      <c r="H109" s="17">
        <v>0</v>
      </c>
      <c r="I109" s="17">
        <f t="shared" si="8"/>
        <v>493435</v>
      </c>
      <c r="J109" s="16" t="str">
        <f t="shared" si="9"/>
        <v/>
      </c>
      <c r="K109" s="61" t="s">
        <v>627</v>
      </c>
      <c r="L109" s="61" t="s">
        <v>628</v>
      </c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1228031</v>
      </c>
      <c r="E110" s="11">
        <v>0</v>
      </c>
      <c r="F110" s="11">
        <f t="shared" si="6"/>
        <v>1228031</v>
      </c>
      <c r="G110" s="12" t="str">
        <f t="shared" si="7"/>
        <v/>
      </c>
      <c r="H110" s="13">
        <v>0</v>
      </c>
      <c r="I110" s="13">
        <f t="shared" si="8"/>
        <v>1228031</v>
      </c>
      <c r="J110" s="14" t="str">
        <f t="shared" si="9"/>
        <v/>
      </c>
      <c r="K110" s="66"/>
      <c r="L110" s="66"/>
    </row>
    <row r="111" spans="1:12" ht="67.5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799869</v>
      </c>
      <c r="E111" s="15">
        <v>1047812</v>
      </c>
      <c r="F111" s="15">
        <f t="shared" si="6"/>
        <v>-247943</v>
      </c>
      <c r="G111" s="16">
        <f t="shared" si="7"/>
        <v>-0.23662928082518619</v>
      </c>
      <c r="H111" s="17">
        <v>1055682</v>
      </c>
      <c r="I111" s="17">
        <f t="shared" si="8"/>
        <v>-255813</v>
      </c>
      <c r="J111" s="16">
        <f t="shared" si="9"/>
        <v>-0.24232013049384191</v>
      </c>
      <c r="K111" s="61" t="s">
        <v>629</v>
      </c>
      <c r="L111" s="61" t="s">
        <v>630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958119.69499999995</v>
      </c>
      <c r="E112" s="11">
        <v>931607.7</v>
      </c>
      <c r="F112" s="11">
        <f t="shared" si="6"/>
        <v>26511.994999999995</v>
      </c>
      <c r="G112" s="12">
        <f t="shared" si="7"/>
        <v>2.8458325322987345E-2</v>
      </c>
      <c r="H112" s="13">
        <v>1012960</v>
      </c>
      <c r="I112" s="13">
        <f t="shared" si="8"/>
        <v>-54840.305000000051</v>
      </c>
      <c r="J112" s="14">
        <f t="shared" si="9"/>
        <v>-5.4138667864476436E-2</v>
      </c>
      <c r="K112" s="66"/>
      <c r="L112" s="66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4859</v>
      </c>
      <c r="E113" s="15">
        <v>6971.5929999999998</v>
      </c>
      <c r="F113" s="15">
        <f t="shared" si="6"/>
        <v>-2112.5929999999998</v>
      </c>
      <c r="G113" s="16">
        <f t="shared" si="7"/>
        <v>-0.30302873389195267</v>
      </c>
      <c r="H113" s="17">
        <v>5459.5680000000002</v>
      </c>
      <c r="I113" s="17">
        <f t="shared" si="8"/>
        <v>-600.56800000000021</v>
      </c>
      <c r="J113" s="16">
        <f t="shared" si="9"/>
        <v>-0.11000284271576069</v>
      </c>
      <c r="K113" s="61"/>
      <c r="L113" s="61"/>
    </row>
    <row r="114" spans="1:12" ht="71.2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11991.1899999999</v>
      </c>
      <c r="E114" s="11">
        <v>16505.740000000002</v>
      </c>
      <c r="F114" s="11">
        <f t="shared" si="6"/>
        <v>-4514.5500000001011</v>
      </c>
      <c r="G114" s="12">
        <f t="shared" si="7"/>
        <v>-0.27351394121076067</v>
      </c>
      <c r="H114" s="13">
        <v>13195.24</v>
      </c>
      <c r="I114" s="13">
        <f t="shared" si="8"/>
        <v>-1204.0500000000993</v>
      </c>
      <c r="J114" s="14">
        <f t="shared" si="9"/>
        <v>-9.1248813966255962E-2</v>
      </c>
      <c r="K114" s="66" t="s">
        <v>631</v>
      </c>
      <c r="L114" s="66" t="s">
        <v>632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1962</v>
      </c>
      <c r="E115" s="15">
        <v>2113</v>
      </c>
      <c r="F115" s="15">
        <f t="shared" si="6"/>
        <v>-151</v>
      </c>
      <c r="G115" s="16">
        <f t="shared" si="7"/>
        <v>-7.146237576904875E-2</v>
      </c>
      <c r="H115" s="17">
        <v>1890</v>
      </c>
      <c r="I115" s="17">
        <f t="shared" si="8"/>
        <v>72</v>
      </c>
      <c r="J115" s="16">
        <f t="shared" si="9"/>
        <v>3.8095238095238099E-2</v>
      </c>
      <c r="K115" s="61"/>
      <c r="L115" s="62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1730</v>
      </c>
      <c r="E116" s="11">
        <v>1833</v>
      </c>
      <c r="F116" s="11">
        <f t="shared" si="6"/>
        <v>-103</v>
      </c>
      <c r="G116" s="12">
        <f t="shared" si="7"/>
        <v>-5.6192034915439171E-2</v>
      </c>
      <c r="H116" s="13">
        <v>1977</v>
      </c>
      <c r="I116" s="13">
        <f t="shared" si="8"/>
        <v>-247</v>
      </c>
      <c r="J116" s="14">
        <f t="shared" si="9"/>
        <v>-0.12493677288821446</v>
      </c>
      <c r="K116" s="66"/>
      <c r="L116" s="66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2171</v>
      </c>
      <c r="E117" s="15">
        <v>2135</v>
      </c>
      <c r="F117" s="15">
        <f t="shared" si="6"/>
        <v>36</v>
      </c>
      <c r="G117" s="16">
        <f t="shared" si="7"/>
        <v>1.6861826697892272E-2</v>
      </c>
      <c r="H117" s="17">
        <v>2048</v>
      </c>
      <c r="I117" s="17">
        <f t="shared" si="8"/>
        <v>123</v>
      </c>
      <c r="J117" s="16">
        <f t="shared" si="9"/>
        <v>6.005859375E-2</v>
      </c>
      <c r="K117" s="61"/>
      <c r="L117" s="62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25048</v>
      </c>
      <c r="E118" s="11">
        <v>28122</v>
      </c>
      <c r="F118" s="11">
        <f t="shared" si="6"/>
        <v>-3074</v>
      </c>
      <c r="G118" s="12">
        <f t="shared" si="7"/>
        <v>-0.1093094374511059</v>
      </c>
      <c r="H118" s="13">
        <v>5434</v>
      </c>
      <c r="I118" s="13">
        <f t="shared" si="8"/>
        <v>19614</v>
      </c>
      <c r="J118" s="14">
        <f t="shared" si="9"/>
        <v>3.6094957673905044</v>
      </c>
      <c r="K118" s="66"/>
      <c r="L118" s="66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61661</v>
      </c>
      <c r="E119" s="15">
        <v>0</v>
      </c>
      <c r="F119" s="15">
        <f t="shared" si="6"/>
        <v>61661</v>
      </c>
      <c r="G119" s="16" t="str">
        <f t="shared" si="7"/>
        <v/>
      </c>
      <c r="H119" s="17">
        <v>54215</v>
      </c>
      <c r="I119" s="17">
        <f t="shared" si="8"/>
        <v>7446</v>
      </c>
      <c r="J119" s="16">
        <f t="shared" si="9"/>
        <v>0.13734206400442681</v>
      </c>
      <c r="K119" s="61"/>
      <c r="L119" s="62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41971</v>
      </c>
      <c r="E120" s="11">
        <v>42978</v>
      </c>
      <c r="F120" s="11">
        <f t="shared" si="6"/>
        <v>-1007</v>
      </c>
      <c r="G120" s="12">
        <f t="shared" si="7"/>
        <v>-2.3430592396109638E-2</v>
      </c>
      <c r="H120" s="13">
        <v>40771</v>
      </c>
      <c r="I120" s="13">
        <f t="shared" si="8"/>
        <v>1200</v>
      </c>
      <c r="J120" s="14">
        <f t="shared" si="9"/>
        <v>2.9432684996688822E-2</v>
      </c>
      <c r="K120" s="66"/>
      <c r="L120" s="66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14293</v>
      </c>
      <c r="E121" s="15">
        <v>12852</v>
      </c>
      <c r="F121" s="15">
        <f t="shared" si="6"/>
        <v>1441</v>
      </c>
      <c r="G121" s="16">
        <f t="shared" si="7"/>
        <v>0.11212262682850918</v>
      </c>
      <c r="H121" s="17">
        <v>13841</v>
      </c>
      <c r="I121" s="17">
        <f t="shared" si="8"/>
        <v>452</v>
      </c>
      <c r="J121" s="16">
        <f t="shared" si="9"/>
        <v>3.2656599956650531E-2</v>
      </c>
      <c r="K121" s="61"/>
      <c r="L121" s="62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14424</v>
      </c>
      <c r="E122" s="11">
        <v>11621</v>
      </c>
      <c r="F122" s="11">
        <f t="shared" si="6"/>
        <v>2803</v>
      </c>
      <c r="G122" s="12">
        <f t="shared" si="7"/>
        <v>0.24120127355649257</v>
      </c>
      <c r="H122" s="13">
        <v>13833</v>
      </c>
      <c r="I122" s="13">
        <f t="shared" si="8"/>
        <v>591</v>
      </c>
      <c r="J122" s="14">
        <f t="shared" si="9"/>
        <v>4.2723921058338755E-2</v>
      </c>
      <c r="K122" s="66"/>
      <c r="L122" s="66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189719</v>
      </c>
      <c r="E123" s="15">
        <v>202837</v>
      </c>
      <c r="F123" s="15">
        <f t="shared" si="6"/>
        <v>-13118</v>
      </c>
      <c r="G123" s="16">
        <f t="shared" si="7"/>
        <v>-6.4672618900890863E-2</v>
      </c>
      <c r="H123" s="17">
        <v>191756</v>
      </c>
      <c r="I123" s="17">
        <f t="shared" si="8"/>
        <v>-2037</v>
      </c>
      <c r="J123" s="16">
        <f t="shared" si="9"/>
        <v>-1.0622874903523228E-2</v>
      </c>
      <c r="K123" s="61" t="s">
        <v>633</v>
      </c>
      <c r="L123" s="61" t="s">
        <v>509</v>
      </c>
    </row>
    <row r="124" spans="1:12" ht="42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207079</v>
      </c>
      <c r="E124" s="11">
        <v>218810</v>
      </c>
      <c r="F124" s="11">
        <f t="shared" si="6"/>
        <v>-11731</v>
      </c>
      <c r="G124" s="12">
        <f t="shared" si="7"/>
        <v>-5.3612723367304965E-2</v>
      </c>
      <c r="H124" s="13">
        <v>11617</v>
      </c>
      <c r="I124" s="13">
        <f t="shared" si="8"/>
        <v>195462</v>
      </c>
      <c r="J124" s="14">
        <f t="shared" si="9"/>
        <v>16.825514332443831</v>
      </c>
      <c r="K124" s="66" t="s">
        <v>634</v>
      </c>
      <c r="L124" s="66" t="s">
        <v>635</v>
      </c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21224</v>
      </c>
      <c r="E125" s="15">
        <v>18087</v>
      </c>
      <c r="F125" s="15">
        <f t="shared" si="6"/>
        <v>3137</v>
      </c>
      <c r="G125" s="16">
        <f t="shared" si="7"/>
        <v>0.17343948692431027</v>
      </c>
      <c r="H125" s="17">
        <v>22987</v>
      </c>
      <c r="I125" s="17">
        <f t="shared" si="8"/>
        <v>-1763</v>
      </c>
      <c r="J125" s="16">
        <f t="shared" si="9"/>
        <v>-7.6695523556792974E-2</v>
      </c>
      <c r="K125" s="61" t="s">
        <v>636</v>
      </c>
      <c r="L125" s="61" t="s">
        <v>511</v>
      </c>
    </row>
    <row r="126" spans="1:12" ht="28.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72559</v>
      </c>
      <c r="E126" s="11">
        <v>75049</v>
      </c>
      <c r="F126" s="11">
        <f t="shared" si="6"/>
        <v>-2490</v>
      </c>
      <c r="G126" s="12">
        <f t="shared" si="7"/>
        <v>-3.3178323495316395E-2</v>
      </c>
      <c r="H126" s="13">
        <v>0</v>
      </c>
      <c r="I126" s="13">
        <f t="shared" si="8"/>
        <v>72559</v>
      </c>
      <c r="J126" s="14" t="str">
        <f t="shared" si="9"/>
        <v/>
      </c>
      <c r="K126" s="66" t="s">
        <v>637</v>
      </c>
      <c r="L126" s="94" t="s">
        <v>638</v>
      </c>
    </row>
    <row r="127" spans="1:12" ht="99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26624</v>
      </c>
      <c r="E127" s="15">
        <v>45660</v>
      </c>
      <c r="F127" s="15">
        <f t="shared" si="6"/>
        <v>-19036</v>
      </c>
      <c r="G127" s="16">
        <f t="shared" si="7"/>
        <v>-0.41690757774857645</v>
      </c>
      <c r="H127" s="17">
        <v>33362</v>
      </c>
      <c r="I127" s="17">
        <f t="shared" si="8"/>
        <v>-6738</v>
      </c>
      <c r="J127" s="16">
        <f t="shared" si="9"/>
        <v>-0.20196630897428211</v>
      </c>
      <c r="K127" s="61" t="s">
        <v>639</v>
      </c>
      <c r="L127" s="61" t="s">
        <v>640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85022</v>
      </c>
      <c r="E128" s="11">
        <v>82198</v>
      </c>
      <c r="F128" s="11">
        <f t="shared" si="6"/>
        <v>2824</v>
      </c>
      <c r="G128" s="12">
        <f t="shared" si="7"/>
        <v>3.4356067057592643E-2</v>
      </c>
      <c r="H128" s="13">
        <v>85076</v>
      </c>
      <c r="I128" s="13">
        <f t="shared" si="8"/>
        <v>-54</v>
      </c>
      <c r="J128" s="14">
        <f t="shared" si="9"/>
        <v>-6.3472659739527014E-4</v>
      </c>
      <c r="K128" s="66"/>
      <c r="L128" s="66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194147</v>
      </c>
      <c r="E129" s="15">
        <v>194047</v>
      </c>
      <c r="F129" s="15">
        <f t="shared" si="6"/>
        <v>100</v>
      </c>
      <c r="G129" s="16">
        <f t="shared" si="7"/>
        <v>5.1533906733935595E-4</v>
      </c>
      <c r="H129" s="17">
        <v>187743</v>
      </c>
      <c r="I129" s="17">
        <f t="shared" si="8"/>
        <v>6404</v>
      </c>
      <c r="J129" s="16">
        <f t="shared" si="9"/>
        <v>3.411045951114023E-2</v>
      </c>
      <c r="K129" s="61"/>
      <c r="L129" s="62"/>
    </row>
    <row r="130" spans="1:12" ht="72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384176</v>
      </c>
      <c r="E130" s="11">
        <v>413957</v>
      </c>
      <c r="F130" s="11">
        <f t="shared" si="6"/>
        <v>-29781</v>
      </c>
      <c r="G130" s="12">
        <f t="shared" si="7"/>
        <v>-7.1942254871882827E-2</v>
      </c>
      <c r="H130" s="13">
        <v>397254</v>
      </c>
      <c r="I130" s="13">
        <f t="shared" si="8"/>
        <v>-13078</v>
      </c>
      <c r="J130" s="14">
        <f t="shared" si="9"/>
        <v>-3.2921002683421692E-2</v>
      </c>
      <c r="K130" s="66" t="s">
        <v>641</v>
      </c>
      <c r="L130" s="66" t="s">
        <v>642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36667</v>
      </c>
      <c r="E131" s="15">
        <v>37534</v>
      </c>
      <c r="F131" s="15">
        <f t="shared" si="6"/>
        <v>-867</v>
      </c>
      <c r="G131" s="16">
        <f t="shared" si="7"/>
        <v>-2.3099056855118025E-2</v>
      </c>
      <c r="H131" s="17">
        <v>33069</v>
      </c>
      <c r="I131" s="17">
        <f t="shared" si="8"/>
        <v>3598</v>
      </c>
      <c r="J131" s="16">
        <f t="shared" si="9"/>
        <v>0.10880280625359097</v>
      </c>
      <c r="K131" s="61"/>
      <c r="L131" s="62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12402</v>
      </c>
      <c r="E132" s="11">
        <v>13119</v>
      </c>
      <c r="F132" s="11">
        <f t="shared" si="6"/>
        <v>-717</v>
      </c>
      <c r="G132" s="12">
        <f t="shared" si="7"/>
        <v>-5.4653555911273723E-2</v>
      </c>
      <c r="H132" s="13">
        <v>10719</v>
      </c>
      <c r="I132" s="13">
        <f t="shared" si="8"/>
        <v>1683</v>
      </c>
      <c r="J132" s="14">
        <f t="shared" si="9"/>
        <v>0.15701091519731319</v>
      </c>
      <c r="K132" s="66"/>
      <c r="L132" s="66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11063</v>
      </c>
      <c r="E133" s="15">
        <v>7829</v>
      </c>
      <c r="F133" s="15">
        <f t="shared" ref="F133:F160" si="10">IF(AND(ISNUMBER(D133),ISNUMBER(E133)), D133-E133, "")</f>
        <v>3234</v>
      </c>
      <c r="G133" s="16">
        <f t="shared" si="7"/>
        <v>0.41307957593562394</v>
      </c>
      <c r="H133" s="17">
        <v>9339</v>
      </c>
      <c r="I133" s="17">
        <f t="shared" si="8"/>
        <v>1724</v>
      </c>
      <c r="J133" s="16">
        <f t="shared" si="9"/>
        <v>0.18460220580361922</v>
      </c>
      <c r="K133" s="61"/>
      <c r="L133" s="62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41395</v>
      </c>
      <c r="E134" s="11">
        <v>39141</v>
      </c>
      <c r="F134" s="11">
        <f t="shared" si="10"/>
        <v>2254</v>
      </c>
      <c r="G134" s="12">
        <f t="shared" ref="G134:G160" si="11">IFERROR(F134/E134, "")</f>
        <v>5.7586673820290743E-2</v>
      </c>
      <c r="H134" s="13">
        <v>16994</v>
      </c>
      <c r="I134" s="13">
        <f t="shared" si="8"/>
        <v>24401</v>
      </c>
      <c r="J134" s="14">
        <f t="shared" si="9"/>
        <v>1.4358597151935977</v>
      </c>
      <c r="K134" s="66"/>
      <c r="L134" s="66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36468</v>
      </c>
      <c r="E135" s="15">
        <v>38600</v>
      </c>
      <c r="F135" s="15">
        <f t="shared" si="10"/>
        <v>-2132</v>
      </c>
      <c r="G135" s="16">
        <f t="shared" si="11"/>
        <v>-5.5233160621761659E-2</v>
      </c>
      <c r="H135" s="17">
        <v>33042</v>
      </c>
      <c r="I135" s="17">
        <f t="shared" si="8"/>
        <v>3426</v>
      </c>
      <c r="J135" s="16">
        <f t="shared" si="9"/>
        <v>0.10368621754131106</v>
      </c>
      <c r="K135" s="61" t="s">
        <v>643</v>
      </c>
      <c r="L135" s="61" t="s">
        <v>644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36667</v>
      </c>
      <c r="E136" s="11">
        <v>37534</v>
      </c>
      <c r="F136" s="11">
        <f t="shared" si="10"/>
        <v>-867</v>
      </c>
      <c r="G136" s="12">
        <f t="shared" si="11"/>
        <v>-2.3099056855118025E-2</v>
      </c>
      <c r="H136" s="13">
        <v>33050</v>
      </c>
      <c r="I136" s="13">
        <f t="shared" si="8"/>
        <v>3617</v>
      </c>
      <c r="J136" s="14">
        <f t="shared" si="9"/>
        <v>0.10944024205748866</v>
      </c>
      <c r="K136" s="66"/>
      <c r="L136" s="66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19095</v>
      </c>
      <c r="E137" s="15">
        <v>15755</v>
      </c>
      <c r="F137" s="15">
        <f t="shared" si="10"/>
        <v>3340</v>
      </c>
      <c r="G137" s="16">
        <f t="shared" si="11"/>
        <v>0.2119961916851793</v>
      </c>
      <c r="H137" s="17">
        <v>16293</v>
      </c>
      <c r="I137" s="17">
        <f t="shared" si="8"/>
        <v>2802</v>
      </c>
      <c r="J137" s="16">
        <f t="shared" si="9"/>
        <v>0.1719756950837783</v>
      </c>
      <c r="K137" s="61"/>
      <c r="L137" s="62"/>
    </row>
    <row r="138" spans="1:12" ht="28.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597276</v>
      </c>
      <c r="E138" s="11">
        <v>0</v>
      </c>
      <c r="F138" s="11">
        <f t="shared" si="10"/>
        <v>597276</v>
      </c>
      <c r="G138" s="12" t="str">
        <f t="shared" si="11"/>
        <v/>
      </c>
      <c r="H138" s="13">
        <v>0</v>
      </c>
      <c r="I138" s="13">
        <f t="shared" si="8"/>
        <v>597276</v>
      </c>
      <c r="J138" s="14" t="str">
        <f t="shared" si="9"/>
        <v/>
      </c>
      <c r="K138" s="66" t="s">
        <v>645</v>
      </c>
      <c r="L138" s="66" t="s">
        <v>646</v>
      </c>
    </row>
    <row r="139" spans="1:12" ht="128.2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921238</v>
      </c>
      <c r="E139" s="15">
        <v>0</v>
      </c>
      <c r="F139" s="15">
        <f t="shared" si="10"/>
        <v>921238</v>
      </c>
      <c r="G139" s="16" t="str">
        <f t="shared" si="11"/>
        <v/>
      </c>
      <c r="H139" s="17">
        <v>0</v>
      </c>
      <c r="I139" s="17">
        <f t="shared" si="8"/>
        <v>921238</v>
      </c>
      <c r="J139" s="16" t="str">
        <f t="shared" si="9"/>
        <v/>
      </c>
      <c r="K139" s="61" t="s">
        <v>647</v>
      </c>
      <c r="L139" s="61" t="s">
        <v>648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>
        <v>391080</v>
      </c>
      <c r="E140" s="11">
        <v>392206</v>
      </c>
      <c r="F140" s="11">
        <f t="shared" si="10"/>
        <v>-1126</v>
      </c>
      <c r="G140" s="68">
        <f t="shared" si="11"/>
        <v>-2.8709402711840208E-3</v>
      </c>
      <c r="H140" s="83">
        <v>381489</v>
      </c>
      <c r="I140" s="83">
        <f t="shared" si="8"/>
        <v>9591</v>
      </c>
      <c r="J140" s="80">
        <f t="shared" si="9"/>
        <v>2.5140960814073274E-2</v>
      </c>
      <c r="K140" s="89"/>
      <c r="L140" s="66"/>
    </row>
    <row r="141" spans="1:12" ht="42.75">
      <c r="A141" s="27" t="str">
        <v>Finney</v>
      </c>
      <c r="B141" s="28" t="str">
        <v>NY</v>
      </c>
      <c r="C141" s="28" t="str">
        <f>Sites[[#This Row],[SOL'#]]</f>
        <v>SOL-10999</v>
      </c>
      <c r="D141" s="82">
        <v>316580</v>
      </c>
      <c r="E141" s="15"/>
      <c r="F141" s="15" t="str">
        <f t="shared" si="10"/>
        <v/>
      </c>
      <c r="G141" s="84" t="str">
        <f t="shared" si="11"/>
        <v/>
      </c>
      <c r="H141" s="85"/>
      <c r="I141" s="85" t="str">
        <f t="shared" si="8"/>
        <v/>
      </c>
      <c r="J141" s="84" t="str">
        <f t="shared" si="9"/>
        <v/>
      </c>
      <c r="K141" s="61" t="s">
        <v>649</v>
      </c>
      <c r="L141" s="91" t="s">
        <v>650</v>
      </c>
    </row>
    <row r="142" spans="1:12" ht="99.75" customHeight="1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379098</v>
      </c>
      <c r="E142" s="11">
        <v>415825.2</v>
      </c>
      <c r="F142" s="11">
        <f t="shared" si="10"/>
        <v>-36727.200000000012</v>
      </c>
      <c r="G142" s="68">
        <f t="shared" si="11"/>
        <v>-8.8323651380435839E-2</v>
      </c>
      <c r="H142" s="83">
        <v>235847</v>
      </c>
      <c r="I142" s="83">
        <f t="shared" si="8"/>
        <v>143251</v>
      </c>
      <c r="J142" s="80">
        <f t="shared" si="9"/>
        <v>0.60738953643675775</v>
      </c>
      <c r="K142" s="89" t="s">
        <v>651</v>
      </c>
      <c r="L142" s="66" t="s">
        <v>652</v>
      </c>
    </row>
    <row r="143" spans="1:12" ht="47.25" customHeight="1">
      <c r="A143" s="27" t="str">
        <v>Genesee</v>
      </c>
      <c r="B143" s="28" t="str">
        <v>NY</v>
      </c>
      <c r="C143" s="28" t="str">
        <f>Sites[[#This Row],[SOL'#]]</f>
        <v>SOL-10951</v>
      </c>
      <c r="D143" s="82">
        <v>881988</v>
      </c>
      <c r="E143" s="15">
        <v>0</v>
      </c>
      <c r="F143" s="15">
        <f t="shared" si="10"/>
        <v>881988</v>
      </c>
      <c r="G143" s="84" t="str">
        <f t="shared" si="11"/>
        <v/>
      </c>
      <c r="H143" s="85">
        <v>0</v>
      </c>
      <c r="I143" s="85">
        <f t="shared" si="8"/>
        <v>881988</v>
      </c>
      <c r="J143" s="84" t="str">
        <f t="shared" si="9"/>
        <v/>
      </c>
      <c r="K143" s="61" t="s">
        <v>653</v>
      </c>
      <c r="L143" s="91" t="s">
        <v>654</v>
      </c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v>404690</v>
      </c>
      <c r="E144" s="11">
        <v>0</v>
      </c>
      <c r="F144" s="11">
        <f t="shared" si="10"/>
        <v>404690</v>
      </c>
      <c r="G144" s="68" t="str">
        <f t="shared" si="11"/>
        <v/>
      </c>
      <c r="H144" s="83">
        <v>0</v>
      </c>
      <c r="I144" s="83">
        <f t="shared" si="8"/>
        <v>404690</v>
      </c>
      <c r="J144" s="80" t="str">
        <f t="shared" si="9"/>
        <v/>
      </c>
      <c r="K144" s="89"/>
      <c r="L144" s="66"/>
    </row>
    <row r="145" spans="1:12" ht="92.25" customHeight="1">
      <c r="A145" s="27" t="str">
        <v>Landau II</v>
      </c>
      <c r="B145" s="28" t="str">
        <v>NY</v>
      </c>
      <c r="C145" s="28" t="str">
        <f>Sites[[#This Row],[SOL'#]]</f>
        <v>SOL-10895</v>
      </c>
      <c r="D145" s="82">
        <v>334690</v>
      </c>
      <c r="E145" s="15">
        <v>0</v>
      </c>
      <c r="F145" s="15">
        <f t="shared" si="10"/>
        <v>334690</v>
      </c>
      <c r="G145" s="84" t="str">
        <f t="shared" si="11"/>
        <v/>
      </c>
      <c r="H145" s="85">
        <v>0</v>
      </c>
      <c r="I145" s="85">
        <f t="shared" si="8"/>
        <v>334690</v>
      </c>
      <c r="J145" s="84" t="str">
        <f t="shared" si="9"/>
        <v/>
      </c>
      <c r="K145" s="61" t="s">
        <v>655</v>
      </c>
      <c r="L145" s="92" t="s">
        <v>656</v>
      </c>
    </row>
    <row r="146" spans="1:12" ht="39.75" customHeight="1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v>401940</v>
      </c>
      <c r="E146" s="11">
        <v>401968</v>
      </c>
      <c r="F146" s="11">
        <f t="shared" si="10"/>
        <v>-28</v>
      </c>
      <c r="G146" s="68">
        <f t="shared" si="11"/>
        <v>-6.9657286152131518E-5</v>
      </c>
      <c r="H146" s="83">
        <v>398278</v>
      </c>
      <c r="I146" s="83">
        <f t="shared" ref="I146:I160" si="12">IF(AND(ISNUMBER(D146),ISNUMBER(H146)), D146-H146, "")</f>
        <v>3662</v>
      </c>
      <c r="J146" s="80">
        <f t="shared" ref="J146:J160" si="13">IFERROR(I146/H146, "")</f>
        <v>9.1945826784306448E-3</v>
      </c>
      <c r="K146" s="89" t="s">
        <v>657</v>
      </c>
      <c r="L146" s="66" t="s">
        <v>658</v>
      </c>
    </row>
    <row r="147" spans="1:12" ht="28.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>
        <v>673297</v>
      </c>
      <c r="E147" s="15">
        <v>683546</v>
      </c>
      <c r="F147" s="15">
        <f t="shared" si="10"/>
        <v>-10249</v>
      </c>
      <c r="G147" s="84">
        <f t="shared" si="11"/>
        <v>-1.499387020039617E-2</v>
      </c>
      <c r="H147" s="85">
        <v>1048743</v>
      </c>
      <c r="I147" s="85">
        <f t="shared" si="12"/>
        <v>-375446</v>
      </c>
      <c r="J147" s="84">
        <f t="shared" si="13"/>
        <v>-0.3579961916313148</v>
      </c>
      <c r="K147" s="61" t="s">
        <v>659</v>
      </c>
      <c r="L147" s="91" t="s">
        <v>660</v>
      </c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v>486584</v>
      </c>
      <c r="E148" s="11">
        <v>509888</v>
      </c>
      <c r="F148" s="11">
        <f t="shared" si="10"/>
        <v>-23304</v>
      </c>
      <c r="G148" s="68">
        <f t="shared" si="11"/>
        <v>-4.5704154637881259E-2</v>
      </c>
      <c r="H148" s="83">
        <v>522919</v>
      </c>
      <c r="I148" s="83">
        <f t="shared" si="12"/>
        <v>-36335</v>
      </c>
      <c r="J148" s="80">
        <f t="shared" si="13"/>
        <v>-6.9484948911781752E-2</v>
      </c>
      <c r="K148" s="89"/>
      <c r="L148" s="66"/>
    </row>
    <row r="149" spans="1:12" ht="159.4" customHeight="1">
      <c r="A149" s="27" t="str">
        <v>Svenski</v>
      </c>
      <c r="B149" s="28" t="str">
        <v>NY</v>
      </c>
      <c r="C149" s="28" t="str">
        <f>Sites[[#This Row],[SOL'#]]</f>
        <v>SOL-10894</v>
      </c>
      <c r="D149" s="82">
        <v>304918</v>
      </c>
      <c r="E149" s="15">
        <v>0</v>
      </c>
      <c r="F149" s="15">
        <f t="shared" si="10"/>
        <v>304918</v>
      </c>
      <c r="G149" s="84" t="str">
        <f t="shared" si="11"/>
        <v/>
      </c>
      <c r="H149" s="85">
        <v>0</v>
      </c>
      <c r="I149" s="85">
        <f t="shared" si="12"/>
        <v>304918</v>
      </c>
      <c r="J149" s="84" t="str">
        <f t="shared" si="13"/>
        <v/>
      </c>
      <c r="K149" s="61" t="s">
        <v>661</v>
      </c>
      <c r="L149" s="92" t="s">
        <v>662</v>
      </c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v>30270</v>
      </c>
      <c r="E150" s="11">
        <v>0</v>
      </c>
      <c r="F150" s="11">
        <f t="shared" si="10"/>
        <v>30270</v>
      </c>
      <c r="G150" s="68" t="str">
        <f t="shared" si="11"/>
        <v/>
      </c>
      <c r="H150" s="83">
        <v>0</v>
      </c>
      <c r="I150" s="83">
        <f t="shared" si="12"/>
        <v>30270</v>
      </c>
      <c r="J150" s="80" t="str">
        <f t="shared" si="13"/>
        <v/>
      </c>
      <c r="K150" s="89"/>
      <c r="L150" s="66"/>
    </row>
    <row r="151" spans="1:12" ht="28.5">
      <c r="A151" s="27" t="str">
        <v>Bogart</v>
      </c>
      <c r="B151" s="28" t="str">
        <v>NY</v>
      </c>
      <c r="C151" s="28" t="str">
        <f>Sites[[#This Row],[SOL'#]]</f>
        <v>SOL-10887</v>
      </c>
      <c r="D151" s="82">
        <v>358420</v>
      </c>
      <c r="E151" s="15">
        <v>382168</v>
      </c>
      <c r="F151" s="15">
        <f t="shared" si="10"/>
        <v>-23748</v>
      </c>
      <c r="G151" s="84">
        <f t="shared" si="11"/>
        <v>-6.2140210588013646E-2</v>
      </c>
      <c r="H151" s="85">
        <v>391479</v>
      </c>
      <c r="I151" s="85">
        <f t="shared" si="12"/>
        <v>-33059</v>
      </c>
      <c r="J151" s="84">
        <f t="shared" si="13"/>
        <v>-8.4446419859047356E-2</v>
      </c>
      <c r="K151" s="61" t="s">
        <v>663</v>
      </c>
      <c r="L151" s="91" t="s">
        <v>664</v>
      </c>
    </row>
    <row r="152" spans="1:12" ht="28.5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v>359955</v>
      </c>
      <c r="E152" s="11">
        <v>0</v>
      </c>
      <c r="F152" s="11">
        <f t="shared" si="10"/>
        <v>359955</v>
      </c>
      <c r="G152" s="68" t="str">
        <f t="shared" si="11"/>
        <v/>
      </c>
      <c r="H152" s="83">
        <v>0</v>
      </c>
      <c r="I152" s="83">
        <f t="shared" si="12"/>
        <v>359955</v>
      </c>
      <c r="J152" s="80" t="str">
        <f t="shared" si="13"/>
        <v/>
      </c>
      <c r="K152" s="89" t="s">
        <v>665</v>
      </c>
      <c r="L152" s="66" t="s">
        <v>666</v>
      </c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>
        <v>418107</v>
      </c>
      <c r="E153" s="15">
        <v>0</v>
      </c>
      <c r="F153" s="15">
        <f t="shared" si="10"/>
        <v>418107</v>
      </c>
      <c r="G153" s="84" t="str">
        <f t="shared" si="11"/>
        <v/>
      </c>
      <c r="H153" s="85">
        <v>0</v>
      </c>
      <c r="I153" s="85">
        <f t="shared" si="12"/>
        <v>418107</v>
      </c>
      <c r="J153" s="84" t="str">
        <f t="shared" si="13"/>
        <v/>
      </c>
      <c r="K153" s="59" t="s">
        <v>667</v>
      </c>
      <c r="L153" s="93" t="s">
        <v>668</v>
      </c>
    </row>
    <row r="154" spans="1:12" ht="28.5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v>941330</v>
      </c>
      <c r="E154" s="11">
        <v>0</v>
      </c>
      <c r="F154" s="11">
        <f t="shared" si="10"/>
        <v>941330</v>
      </c>
      <c r="G154" s="68" t="str">
        <f t="shared" si="11"/>
        <v/>
      </c>
      <c r="H154" s="83">
        <v>0</v>
      </c>
      <c r="I154" s="83">
        <f t="shared" si="12"/>
        <v>941330</v>
      </c>
      <c r="J154" s="80" t="str">
        <f t="shared" si="13"/>
        <v/>
      </c>
      <c r="K154" s="89" t="s">
        <v>669</v>
      </c>
      <c r="L154" s="66" t="s">
        <v>670</v>
      </c>
    </row>
    <row r="155" spans="1:12" ht="28.5">
      <c r="A155" s="27" t="str">
        <v>Wheatland 2B</v>
      </c>
      <c r="B155" s="28" t="str">
        <v>NY</v>
      </c>
      <c r="C155" s="28" t="str">
        <f>Sites[[#This Row],[SOL'#]]</f>
        <v>SOL-10961</v>
      </c>
      <c r="D155" s="82">
        <v>949970</v>
      </c>
      <c r="E155" s="15">
        <v>0</v>
      </c>
      <c r="F155" s="15">
        <f t="shared" si="10"/>
        <v>949970</v>
      </c>
      <c r="G155" s="84" t="str">
        <f t="shared" si="11"/>
        <v/>
      </c>
      <c r="H155" s="85">
        <v>0</v>
      </c>
      <c r="I155" s="85">
        <f t="shared" si="12"/>
        <v>949970</v>
      </c>
      <c r="J155" s="84" t="str">
        <f t="shared" si="13"/>
        <v/>
      </c>
      <c r="K155" s="61" t="s">
        <v>669</v>
      </c>
      <c r="L155" s="93" t="s">
        <v>671</v>
      </c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v>450560</v>
      </c>
      <c r="E156" s="11">
        <v>486732</v>
      </c>
      <c r="F156" s="11">
        <f t="shared" si="10"/>
        <v>-36172</v>
      </c>
      <c r="G156" s="68">
        <f t="shared" si="11"/>
        <v>-7.4316050721957877E-2</v>
      </c>
      <c r="H156" s="83">
        <v>496313</v>
      </c>
      <c r="I156" s="83">
        <f t="shared" si="12"/>
        <v>-45753</v>
      </c>
      <c r="J156" s="80">
        <f t="shared" si="13"/>
        <v>-9.2185777926429485E-2</v>
      </c>
      <c r="K156" s="89"/>
      <c r="L156" s="66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>
        <v>429624</v>
      </c>
      <c r="E157" s="15">
        <v>0</v>
      </c>
      <c r="F157" s="15">
        <f t="shared" si="10"/>
        <v>429624</v>
      </c>
      <c r="G157" s="84" t="str">
        <f t="shared" si="11"/>
        <v/>
      </c>
      <c r="H157" s="85">
        <v>0</v>
      </c>
      <c r="I157" s="85">
        <f t="shared" si="12"/>
        <v>429624</v>
      </c>
      <c r="J157" s="84" t="str">
        <f t="shared" si="13"/>
        <v/>
      </c>
      <c r="K157" s="61"/>
      <c r="L157" s="91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v>17824</v>
      </c>
      <c r="E158" s="11">
        <v>0</v>
      </c>
      <c r="F158" s="11">
        <f t="shared" si="10"/>
        <v>17824</v>
      </c>
      <c r="G158" s="68" t="str">
        <f t="shared" si="11"/>
        <v/>
      </c>
      <c r="H158" s="83">
        <v>0</v>
      </c>
      <c r="I158" s="83">
        <f t="shared" si="12"/>
        <v>17824</v>
      </c>
      <c r="J158" s="80" t="str">
        <f t="shared" si="13"/>
        <v/>
      </c>
      <c r="K158" s="89"/>
      <c r="L158" s="66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523420.72888888902</v>
      </c>
      <c r="E159" s="15">
        <v>553634.1</v>
      </c>
      <c r="F159" s="15">
        <f t="shared" si="10"/>
        <v>-30213.371111110959</v>
      </c>
      <c r="G159" s="84">
        <f t="shared" si="11"/>
        <v>-5.4572814628128866E-2</v>
      </c>
      <c r="H159" s="85">
        <v>491101</v>
      </c>
      <c r="I159" s="85">
        <f t="shared" si="12"/>
        <v>32319.728888889018</v>
      </c>
      <c r="J159" s="84">
        <f t="shared" si="13"/>
        <v>6.5810757642295617E-2</v>
      </c>
      <c r="K159" s="61"/>
      <c r="L159" s="91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v>410647</v>
      </c>
      <c r="E160" s="11">
        <v>0</v>
      </c>
      <c r="F160" s="11">
        <f t="shared" si="10"/>
        <v>410647</v>
      </c>
      <c r="G160" s="68" t="str">
        <f t="shared" si="11"/>
        <v/>
      </c>
      <c r="H160" s="83">
        <v>0</v>
      </c>
      <c r="I160" s="83">
        <f t="shared" si="12"/>
        <v>410647</v>
      </c>
      <c r="J160" s="80" t="str">
        <f t="shared" si="13"/>
        <v/>
      </c>
      <c r="K160" s="89"/>
      <c r="L160" s="66"/>
    </row>
    <row r="161" spans="1:12" ht="14.25">
      <c r="A161" s="18"/>
      <c r="B161" s="30"/>
      <c r="C161" s="30"/>
      <c r="D161" s="18"/>
      <c r="E161" s="18"/>
      <c r="F161" s="18"/>
      <c r="G161" s="19"/>
      <c r="H161" s="18"/>
      <c r="I161" s="18"/>
      <c r="J161" s="19"/>
      <c r="K161" s="91"/>
      <c r="L161" s="91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3.9">
      <c r="D340" s="18"/>
      <c r="E340" s="18"/>
      <c r="F340" s="18"/>
      <c r="G340" s="19"/>
      <c r="H340" s="18"/>
      <c r="I340" s="18"/>
      <c r="J340" s="19"/>
      <c r="K340" s="18"/>
      <c r="L340" s="18"/>
    </row>
  </sheetData>
  <mergeCells count="4">
    <mergeCell ref="H1:J1"/>
    <mergeCell ref="A1:D1"/>
    <mergeCell ref="E1:G1"/>
    <mergeCell ref="A2:B2"/>
  </mergeCells>
  <conditionalFormatting sqref="G2 J2">
    <cfRule type="cellIs" dxfId="30" priority="11" stopIfTrue="1" operator="lessThanOrEqual">
      <formula>-0.1</formula>
    </cfRule>
    <cfRule type="expression" dxfId="29" priority="12">
      <formula>AND(ISNUMBER(G2), G2&gt;=0.1)</formula>
    </cfRule>
  </conditionalFormatting>
  <conditionalFormatting sqref="G4:G160 J4:J160">
    <cfRule type="cellIs" dxfId="28" priority="1" stopIfTrue="1" operator="lessThanOrEqual">
      <formula>-0.1</formula>
    </cfRule>
    <cfRule type="expression" dxfId="27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42"/>
  <sheetViews>
    <sheetView tabSelected="1" workbookViewId="0">
      <pane xSplit="2" ySplit="3" topLeftCell="C4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17.7109375" style="3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672</v>
      </c>
      <c r="F1" s="97"/>
      <c r="G1" s="97"/>
      <c r="H1" s="95" t="s">
        <v>673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7,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sortState xmlns:xlrd2="http://schemas.microsoft.com/office/spreadsheetml/2017/richdata2" ref="A3:L15">
    <sortCondition ref="A3:A15"/>
  </sortState>
  <mergeCells count="4">
    <mergeCell ref="H1:J1"/>
    <mergeCell ref="A1:D1"/>
    <mergeCell ref="E1:G1"/>
    <mergeCell ref="A2:B2"/>
  </mergeCells>
  <conditionalFormatting sqref="G2 J2">
    <cfRule type="cellIs" dxfId="26" priority="15" stopIfTrue="1" operator="lessThanOrEqual">
      <formula>-0.1</formula>
    </cfRule>
    <cfRule type="expression" dxfId="25" priority="16">
      <formula>AND(ISNUMBER(G2), G2&gt;=0.1)</formula>
    </cfRule>
  </conditionalFormatting>
  <conditionalFormatting sqref="G4:G162 J4:J162">
    <cfRule type="cellIs" dxfId="24" priority="1" stopIfTrue="1" operator="lessThanOrEqual">
      <formula>-0.1</formula>
    </cfRule>
    <cfRule type="expression" dxfId="2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workbookViewId="0">
      <pane xSplit="2" ySplit="3" topLeftCell="C139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674</v>
      </c>
      <c r="F1" s="97"/>
      <c r="G1" s="97"/>
      <c r="H1" s="95" t="s">
        <v>675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28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28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22" priority="11" stopIfTrue="1" operator="lessThanOrEqual">
      <formula>-0.1</formula>
    </cfRule>
    <cfRule type="expression" dxfId="21" priority="12">
      <formula>AND(ISNUMBER(G2), G2&gt;=0.1)</formula>
    </cfRule>
  </conditionalFormatting>
  <conditionalFormatting sqref="G4:G162 J4:J162">
    <cfRule type="cellIs" dxfId="20" priority="1" stopIfTrue="1" operator="lessThanOrEqual">
      <formula>-0.1</formula>
    </cfRule>
    <cfRule type="expression" dxfId="1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42"/>
  <sheetViews>
    <sheetView workbookViewId="0">
      <pane xSplit="2" ySplit="3" topLeftCell="C139" activePane="bottomRight" state="frozen"/>
      <selection pane="bottomRight" activeCell="K171" sqref="K171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676</v>
      </c>
      <c r="F1" s="97"/>
      <c r="G1" s="97"/>
      <c r="H1" s="95" t="s">
        <v>677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9,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8" priority="11" stopIfTrue="1" operator="lessThanOrEqual">
      <formula>-0.1</formula>
    </cfRule>
    <cfRule type="expression" dxfId="17" priority="12">
      <formula>AND(ISNUMBER(G2), G2&gt;=0.1)</formula>
    </cfRule>
  </conditionalFormatting>
  <conditionalFormatting sqref="G4:G162 J4:J162">
    <cfRule type="cellIs" dxfId="16" priority="1" stopIfTrue="1" operator="lessThanOrEqual">
      <formula>-0.1</formula>
    </cfRule>
    <cfRule type="expression" dxfId="1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workbookViewId="0">
      <pane xSplit="2" ySplit="3" topLeftCell="C139" activePane="bottomRight" state="frozen"/>
      <selection pane="bottomRight" activeCell="K169" sqref="K169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678</v>
      </c>
      <c r="F1" s="97"/>
      <c r="G1" s="97"/>
      <c r="H1" s="95" t="s">
        <v>679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10,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4" priority="11" stopIfTrue="1" operator="lessThanOrEqual">
      <formula>-0.1</formula>
    </cfRule>
    <cfRule type="expression" dxfId="13" priority="12">
      <formula>AND(ISNUMBER(G2), G2&gt;=0.1)</formula>
    </cfRule>
  </conditionalFormatting>
  <conditionalFormatting sqref="G4:G162 J4:J162">
    <cfRule type="cellIs" dxfId="12" priority="1" stopIfTrue="1" operator="lessThanOrEqual">
      <formula>-0.1</formula>
    </cfRule>
    <cfRule type="expression" dxfId="1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workbookViewId="0">
      <pane xSplit="2" ySplit="3" topLeftCell="C139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680</v>
      </c>
      <c r="F1" s="97"/>
      <c r="G1" s="97"/>
      <c r="H1" s="95" t="s">
        <v>681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conditionalFormatting sqref="G4:G162 J4:J162">
    <cfRule type="cellIs" dxfId="8" priority="1" stopIfTrue="1" operator="lessThanOrEqual">
      <formula>-0.1</formula>
    </cfRule>
    <cfRule type="expression" dxfId="7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42"/>
  <sheetViews>
    <sheetView workbookViewId="0">
      <pane xSplit="2" ySplit="3" topLeftCell="C4" activePane="bottomRight" state="frozen"/>
      <selection pane="bottomRight" activeCell="L162" sqref="L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96" t="str" cm="1">
        <f t="array" ref="A1">portfolio</f>
        <v>Generate Capital</v>
      </c>
      <c r="B1" s="96"/>
      <c r="C1" s="96"/>
      <c r="D1" s="96"/>
      <c r="E1" s="97" t="s">
        <v>682</v>
      </c>
      <c r="F1" s="97"/>
      <c r="G1" s="97"/>
      <c r="H1" s="95" t="s">
        <v>683</v>
      </c>
      <c r="I1" s="95"/>
      <c r="J1" s="95"/>
      <c r="K1" s="5"/>
      <c r="L1" s="5"/>
    </row>
    <row r="2" spans="1:12" ht="19.5" customHeight="1">
      <c r="A2" s="98" t="s">
        <v>2</v>
      </c>
      <c r="B2" s="98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21</v>
      </c>
      <c r="L3" s="22" t="s">
        <v>22</v>
      </c>
    </row>
    <row r="4" spans="1:12" ht="15.75">
      <c r="A4" s="29" t="str" cm="1">
        <f t="array" ref="A4:A160">Sites[Site]</f>
        <v>Farmer</v>
      </c>
      <c r="B4" s="26" t="str" cm="1">
        <f t="array" ref="B4:B160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/>
      <c r="B161" s="28"/>
      <c r="C161" s="28"/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5.75">
      <c r="A162" s="25"/>
      <c r="B162" s="26"/>
      <c r="C162" s="26"/>
      <c r="D162" s="67"/>
      <c r="E162" s="11"/>
      <c r="F162" s="11"/>
      <c r="G162" s="68"/>
      <c r="H162" s="83"/>
      <c r="I162" s="83"/>
      <c r="J162" s="80"/>
      <c r="K162" s="70"/>
      <c r="L162" s="3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6" priority="11" stopIfTrue="1" operator="lessThanOrEqual">
      <formula>-0.1</formula>
    </cfRule>
    <cfRule type="expression" dxfId="5" priority="12">
      <formula>AND(ISNUMBER(G2), G2&gt;=0.1)</formula>
    </cfRule>
  </conditionalFormatting>
  <conditionalFormatting sqref="G4:G162 J4:J162">
    <cfRule type="cellIs" dxfId="4" priority="1" stopIfTrue="1" operator="lessThanOrEqual">
      <formula>-0.1</formula>
    </cfRule>
    <cfRule type="expression" dxfId="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60"/>
  <sheetViews>
    <sheetView zoomScale="116" zoomScaleNormal="116" workbookViewId="0">
      <pane ySplit="3" topLeftCell="A77" activePane="bottomLeft" state="frozen"/>
      <selection pane="bottomLeft" activeCell="A77" sqref="A77"/>
    </sheetView>
  </sheetViews>
  <sheetFormatPr defaultRowHeight="12.75" customHeight="1"/>
  <cols>
    <col min="1" max="2" width="41.85546875" customWidth="1"/>
    <col min="3" max="3" width="9.7109375" customWidth="1"/>
    <col min="4" max="4" width="9.140625" customWidth="1"/>
    <col min="5" max="5" width="30.28515625" customWidth="1"/>
    <col min="6" max="6" width="19.85546875" customWidth="1"/>
    <col min="7" max="14" width="9.140625" customWidth="1"/>
  </cols>
  <sheetData>
    <row r="1" spans="1:7" ht="12.75" customHeight="1">
      <c r="A1" t="s">
        <v>684</v>
      </c>
      <c r="B1" t="s">
        <v>685</v>
      </c>
    </row>
    <row r="3" spans="1:7">
      <c r="A3" t="s">
        <v>686</v>
      </c>
      <c r="B3" t="s">
        <v>3</v>
      </c>
      <c r="C3" t="s">
        <v>4</v>
      </c>
      <c r="D3" t="s">
        <v>687</v>
      </c>
      <c r="E3" s="2" t="s">
        <v>688</v>
      </c>
      <c r="F3" t="s">
        <v>5</v>
      </c>
    </row>
    <row r="4" spans="1:7" ht="14.25">
      <c r="A4" s="41" t="s">
        <v>689</v>
      </c>
      <c r="B4" s="4" t="s">
        <v>690</v>
      </c>
      <c r="C4" s="4" t="s">
        <v>691</v>
      </c>
      <c r="E4" t="s">
        <v>692</v>
      </c>
      <c r="F4" t="s">
        <v>693</v>
      </c>
      <c r="G4" s="3"/>
    </row>
    <row r="5" spans="1:7" ht="14.25">
      <c r="A5" s="41" t="s">
        <v>694</v>
      </c>
      <c r="B5" s="4" t="s">
        <v>695</v>
      </c>
      <c r="C5" s="4" t="s">
        <v>691</v>
      </c>
      <c r="E5" t="s">
        <v>692</v>
      </c>
      <c r="F5" t="s">
        <v>696</v>
      </c>
      <c r="G5" s="3"/>
    </row>
    <row r="6" spans="1:7" ht="14.25">
      <c r="A6" s="41" t="s">
        <v>697</v>
      </c>
      <c r="B6" s="4" t="s">
        <v>697</v>
      </c>
      <c r="C6" s="4" t="s">
        <v>691</v>
      </c>
      <c r="E6" t="s">
        <v>692</v>
      </c>
      <c r="F6" t="s">
        <v>698</v>
      </c>
      <c r="G6" s="3"/>
    </row>
    <row r="7" spans="1:7" ht="12.75" customHeight="1">
      <c r="A7" s="41" t="s">
        <v>699</v>
      </c>
      <c r="B7" s="4" t="s">
        <v>700</v>
      </c>
      <c r="C7" s="4" t="s">
        <v>691</v>
      </c>
      <c r="E7" t="s">
        <v>692</v>
      </c>
      <c r="F7" t="s">
        <v>701</v>
      </c>
    </row>
    <row r="8" spans="1:7" ht="12.75" customHeight="1">
      <c r="A8" s="41" t="s">
        <v>702</v>
      </c>
      <c r="B8" s="4" t="s">
        <v>703</v>
      </c>
      <c r="C8" s="4" t="s">
        <v>691</v>
      </c>
      <c r="E8" t="s">
        <v>692</v>
      </c>
      <c r="F8" t="s">
        <v>704</v>
      </c>
    </row>
    <row r="9" spans="1:7" ht="12.75" customHeight="1">
      <c r="A9" s="41" t="s">
        <v>705</v>
      </c>
      <c r="B9" s="4" t="s">
        <v>706</v>
      </c>
      <c r="C9" s="4" t="s">
        <v>691</v>
      </c>
      <c r="E9" t="s">
        <v>692</v>
      </c>
      <c r="F9" t="s">
        <v>707</v>
      </c>
    </row>
    <row r="10" spans="1:7" ht="12.75" customHeight="1">
      <c r="A10" s="41" t="s">
        <v>708</v>
      </c>
      <c r="B10" s="4" t="s">
        <v>709</v>
      </c>
      <c r="C10" s="4" t="s">
        <v>691</v>
      </c>
      <c r="E10" t="s">
        <v>692</v>
      </c>
      <c r="F10" t="s">
        <v>710</v>
      </c>
    </row>
    <row r="11" spans="1:7" ht="12.75" customHeight="1">
      <c r="A11" s="41" t="s">
        <v>711</v>
      </c>
      <c r="B11" s="4" t="s">
        <v>711</v>
      </c>
      <c r="C11" s="4" t="s">
        <v>691</v>
      </c>
      <c r="E11" t="s">
        <v>692</v>
      </c>
      <c r="F11" t="s">
        <v>712</v>
      </c>
    </row>
    <row r="12" spans="1:7" ht="12.75" customHeight="1">
      <c r="A12" s="41" t="s">
        <v>713</v>
      </c>
      <c r="B12" s="4" t="s">
        <v>713</v>
      </c>
      <c r="C12" s="4" t="s">
        <v>691</v>
      </c>
      <c r="E12" t="s">
        <v>692</v>
      </c>
      <c r="F12" t="s">
        <v>714</v>
      </c>
    </row>
    <row r="13" spans="1:7" ht="12.75" customHeight="1">
      <c r="A13" s="41" t="s">
        <v>715</v>
      </c>
      <c r="B13" s="4" t="s">
        <v>716</v>
      </c>
      <c r="C13" s="4" t="s">
        <v>717</v>
      </c>
      <c r="E13" t="s">
        <v>692</v>
      </c>
      <c r="F13" t="s">
        <v>718</v>
      </c>
    </row>
    <row r="14" spans="1:7" ht="12.75" customHeight="1">
      <c r="A14" s="41" t="s">
        <v>719</v>
      </c>
      <c r="B14" s="4" t="s">
        <v>720</v>
      </c>
      <c r="C14" s="4" t="s">
        <v>717</v>
      </c>
      <c r="E14" t="s">
        <v>692</v>
      </c>
      <c r="F14" t="s">
        <v>721</v>
      </c>
    </row>
    <row r="15" spans="1:7" ht="12.75" customHeight="1">
      <c r="A15" s="41" t="s">
        <v>722</v>
      </c>
      <c r="B15" s="4" t="s">
        <v>723</v>
      </c>
      <c r="C15" s="4" t="s">
        <v>691</v>
      </c>
      <c r="E15" t="s">
        <v>692</v>
      </c>
      <c r="F15" t="s">
        <v>724</v>
      </c>
    </row>
    <row r="16" spans="1:7" ht="12.75" customHeight="1">
      <c r="A16" s="41" t="s">
        <v>725</v>
      </c>
      <c r="B16" s="4" t="s">
        <v>726</v>
      </c>
      <c r="C16" s="4" t="s">
        <v>691</v>
      </c>
      <c r="E16" t="s">
        <v>692</v>
      </c>
      <c r="F16" t="s">
        <v>727</v>
      </c>
    </row>
    <row r="17" spans="1:6" ht="12.75" customHeight="1">
      <c r="A17" s="41" t="s">
        <v>728</v>
      </c>
      <c r="B17" s="4" t="s">
        <v>729</v>
      </c>
      <c r="C17" s="4" t="s">
        <v>691</v>
      </c>
      <c r="E17" t="s">
        <v>692</v>
      </c>
      <c r="F17" t="s">
        <v>730</v>
      </c>
    </row>
    <row r="18" spans="1:6" ht="12.75" customHeight="1">
      <c r="A18" s="41" t="s">
        <v>731</v>
      </c>
      <c r="B18" s="4" t="s">
        <v>731</v>
      </c>
      <c r="C18" s="4" t="s">
        <v>691</v>
      </c>
      <c r="E18" t="s">
        <v>692</v>
      </c>
      <c r="F18" t="s">
        <v>732</v>
      </c>
    </row>
    <row r="19" spans="1:6" ht="12.75" customHeight="1">
      <c r="A19" s="41" t="s">
        <v>733</v>
      </c>
      <c r="B19" s="4" t="s">
        <v>734</v>
      </c>
      <c r="C19" s="4" t="s">
        <v>735</v>
      </c>
      <c r="E19" t="s">
        <v>692</v>
      </c>
      <c r="F19" t="s">
        <v>736</v>
      </c>
    </row>
    <row r="20" spans="1:6" ht="12.75" customHeight="1">
      <c r="A20" s="41" t="s">
        <v>737</v>
      </c>
      <c r="B20" s="4" t="s">
        <v>738</v>
      </c>
      <c r="C20" s="4" t="s">
        <v>735</v>
      </c>
      <c r="E20" t="s">
        <v>692</v>
      </c>
      <c r="F20" t="s">
        <v>739</v>
      </c>
    </row>
    <row r="21" spans="1:6" ht="12.75" customHeight="1">
      <c r="A21" s="41" t="s">
        <v>740</v>
      </c>
      <c r="B21" s="4" t="s">
        <v>740</v>
      </c>
      <c r="C21" s="4" t="s">
        <v>741</v>
      </c>
      <c r="E21" t="s">
        <v>692</v>
      </c>
      <c r="F21" t="s">
        <v>742</v>
      </c>
    </row>
    <row r="22" spans="1:6" ht="12.75" customHeight="1">
      <c r="A22" s="41" t="s">
        <v>743</v>
      </c>
      <c r="B22" s="4" t="s">
        <v>743</v>
      </c>
      <c r="C22" s="4" t="s">
        <v>741</v>
      </c>
      <c r="E22" t="s">
        <v>692</v>
      </c>
      <c r="F22" t="s">
        <v>744</v>
      </c>
    </row>
    <row r="23" spans="1:6" ht="12.75" customHeight="1">
      <c r="A23" s="42" t="s">
        <v>745</v>
      </c>
      <c r="B23" t="s">
        <v>746</v>
      </c>
      <c r="C23" s="4" t="s">
        <v>741</v>
      </c>
      <c r="E23" t="s">
        <v>692</v>
      </c>
      <c r="F23" t="s">
        <v>747</v>
      </c>
    </row>
    <row r="24" spans="1:6" ht="12.75" customHeight="1">
      <c r="A24" s="41" t="s">
        <v>748</v>
      </c>
      <c r="B24" s="4" t="s">
        <v>748</v>
      </c>
      <c r="C24" s="4" t="s">
        <v>741</v>
      </c>
      <c r="E24" t="s">
        <v>692</v>
      </c>
      <c r="F24" t="s">
        <v>749</v>
      </c>
    </row>
    <row r="25" spans="1:6" ht="12.75" customHeight="1">
      <c r="A25" s="42" t="s">
        <v>750</v>
      </c>
      <c r="B25" t="s">
        <v>750</v>
      </c>
      <c r="C25" s="4" t="s">
        <v>741</v>
      </c>
      <c r="E25" t="s">
        <v>692</v>
      </c>
      <c r="F25" t="s">
        <v>751</v>
      </c>
    </row>
    <row r="26" spans="1:6" ht="12.75" customHeight="1">
      <c r="A26" s="41" t="s">
        <v>752</v>
      </c>
      <c r="B26" s="4" t="s">
        <v>752</v>
      </c>
      <c r="C26" s="4" t="s">
        <v>741</v>
      </c>
      <c r="E26" t="s">
        <v>692</v>
      </c>
      <c r="F26" t="s">
        <v>753</v>
      </c>
    </row>
    <row r="27" spans="1:6" ht="12.75" customHeight="1">
      <c r="A27" s="41" t="s">
        <v>754</v>
      </c>
      <c r="B27" s="4" t="s">
        <v>754</v>
      </c>
      <c r="C27" s="4" t="s">
        <v>741</v>
      </c>
      <c r="E27" t="s">
        <v>692</v>
      </c>
      <c r="F27" t="s">
        <v>755</v>
      </c>
    </row>
    <row r="28" spans="1:6" ht="12.75" customHeight="1">
      <c r="A28" s="41" t="s">
        <v>756</v>
      </c>
      <c r="B28" s="4" t="s">
        <v>756</v>
      </c>
      <c r="C28" s="4" t="s">
        <v>741</v>
      </c>
      <c r="E28" t="s">
        <v>692</v>
      </c>
      <c r="F28" t="s">
        <v>757</v>
      </c>
    </row>
    <row r="29" spans="1:6" ht="12.75" customHeight="1">
      <c r="A29" s="41" t="s">
        <v>758</v>
      </c>
      <c r="B29" s="4" t="s">
        <v>758</v>
      </c>
      <c r="C29" s="4" t="s">
        <v>741</v>
      </c>
      <c r="E29" t="s">
        <v>692</v>
      </c>
      <c r="F29" t="s">
        <v>759</v>
      </c>
    </row>
    <row r="30" spans="1:6" ht="12.75" customHeight="1">
      <c r="A30" s="41" t="s">
        <v>760</v>
      </c>
      <c r="B30" s="4" t="s">
        <v>760</v>
      </c>
      <c r="C30" s="4" t="s">
        <v>741</v>
      </c>
      <c r="E30" t="s">
        <v>692</v>
      </c>
      <c r="F30" t="s">
        <v>761</v>
      </c>
    </row>
    <row r="31" spans="1:6" ht="12.75" customHeight="1">
      <c r="A31" s="41" t="s">
        <v>762</v>
      </c>
      <c r="B31" s="4" t="s">
        <v>762</v>
      </c>
      <c r="C31" s="4" t="s">
        <v>741</v>
      </c>
      <c r="E31" t="s">
        <v>692</v>
      </c>
      <c r="F31" t="s">
        <v>763</v>
      </c>
    </row>
    <row r="32" spans="1:6" ht="12.75" customHeight="1">
      <c r="A32" s="42" t="s">
        <v>764</v>
      </c>
      <c r="B32" t="s">
        <v>764</v>
      </c>
      <c r="C32" s="4" t="s">
        <v>741</v>
      </c>
      <c r="E32" t="s">
        <v>692</v>
      </c>
      <c r="F32" t="s">
        <v>765</v>
      </c>
    </row>
    <row r="33" spans="1:6" ht="12.75" customHeight="1">
      <c r="A33" s="42" t="s">
        <v>766</v>
      </c>
      <c r="B33" t="s">
        <v>766</v>
      </c>
      <c r="C33" s="4" t="s">
        <v>741</v>
      </c>
      <c r="E33" t="s">
        <v>692</v>
      </c>
      <c r="F33" t="s">
        <v>767</v>
      </c>
    </row>
    <row r="34" spans="1:6" ht="12.75" customHeight="1">
      <c r="A34" s="41" t="s">
        <v>768</v>
      </c>
      <c r="B34" s="4" t="s">
        <v>768</v>
      </c>
      <c r="C34" s="4" t="s">
        <v>741</v>
      </c>
      <c r="E34" t="s">
        <v>692</v>
      </c>
      <c r="F34" t="s">
        <v>769</v>
      </c>
    </row>
    <row r="35" spans="1:6" ht="12.75" customHeight="1">
      <c r="A35" s="41" t="s">
        <v>770</v>
      </c>
      <c r="B35" s="4" t="s">
        <v>770</v>
      </c>
      <c r="C35" s="4" t="s">
        <v>741</v>
      </c>
      <c r="E35" t="s">
        <v>692</v>
      </c>
      <c r="F35" t="s">
        <v>771</v>
      </c>
    </row>
    <row r="36" spans="1:6" ht="12.75" customHeight="1">
      <c r="A36" s="41" t="s">
        <v>772</v>
      </c>
      <c r="B36" s="4" t="s">
        <v>772</v>
      </c>
      <c r="C36" s="4" t="s">
        <v>741</v>
      </c>
      <c r="E36" t="s">
        <v>692</v>
      </c>
      <c r="F36" t="s">
        <v>773</v>
      </c>
    </row>
    <row r="37" spans="1:6" ht="12.75" customHeight="1">
      <c r="A37" s="42" t="s">
        <v>774</v>
      </c>
      <c r="B37" t="s">
        <v>774</v>
      </c>
      <c r="C37" s="4" t="s">
        <v>741</v>
      </c>
      <c r="E37" t="s">
        <v>692</v>
      </c>
      <c r="F37" t="s">
        <v>775</v>
      </c>
    </row>
    <row r="38" spans="1:6" ht="12.75" customHeight="1">
      <c r="A38" s="41" t="s">
        <v>776</v>
      </c>
      <c r="B38" s="4" t="s">
        <v>776</v>
      </c>
      <c r="C38" s="4" t="s">
        <v>741</v>
      </c>
      <c r="E38" t="s">
        <v>692</v>
      </c>
      <c r="F38" t="s">
        <v>777</v>
      </c>
    </row>
    <row r="39" spans="1:6" ht="12.75" customHeight="1">
      <c r="A39" s="41" t="s">
        <v>778</v>
      </c>
      <c r="B39" s="4" t="s">
        <v>778</v>
      </c>
      <c r="C39" s="4" t="s">
        <v>741</v>
      </c>
      <c r="E39" t="s">
        <v>692</v>
      </c>
      <c r="F39" t="s">
        <v>779</v>
      </c>
    </row>
    <row r="40" spans="1:6" ht="12.75" customHeight="1">
      <c r="A40" s="41" t="s">
        <v>780</v>
      </c>
      <c r="B40" s="4" t="s">
        <v>780</v>
      </c>
      <c r="C40" s="4" t="s">
        <v>741</v>
      </c>
      <c r="E40" t="s">
        <v>692</v>
      </c>
      <c r="F40" t="s">
        <v>781</v>
      </c>
    </row>
    <row r="41" spans="1:6" ht="12.75" customHeight="1">
      <c r="A41" s="42" t="s">
        <v>782</v>
      </c>
      <c r="B41" t="s">
        <v>782</v>
      </c>
      <c r="C41" s="4" t="s">
        <v>741</v>
      </c>
      <c r="E41" t="s">
        <v>692</v>
      </c>
      <c r="F41" t="s">
        <v>783</v>
      </c>
    </row>
    <row r="42" spans="1:6" ht="12.75" customHeight="1">
      <c r="A42" s="42" t="s">
        <v>784</v>
      </c>
      <c r="B42" t="s">
        <v>784</v>
      </c>
      <c r="C42" s="4" t="s">
        <v>741</v>
      </c>
      <c r="E42" t="s">
        <v>692</v>
      </c>
      <c r="F42" t="s">
        <v>785</v>
      </c>
    </row>
    <row r="43" spans="1:6" ht="12.75" customHeight="1">
      <c r="A43" s="41" t="s">
        <v>786</v>
      </c>
      <c r="B43" s="4" t="s">
        <v>786</v>
      </c>
      <c r="C43" s="4" t="s">
        <v>741</v>
      </c>
      <c r="E43" t="s">
        <v>692</v>
      </c>
      <c r="F43" t="s">
        <v>787</v>
      </c>
    </row>
    <row r="44" spans="1:6" ht="12.75" customHeight="1">
      <c r="A44" s="41" t="s">
        <v>788</v>
      </c>
      <c r="B44" s="4" t="s">
        <v>789</v>
      </c>
      <c r="C44" s="4" t="s">
        <v>741</v>
      </c>
      <c r="E44" t="s">
        <v>692</v>
      </c>
      <c r="F44" t="s">
        <v>790</v>
      </c>
    </row>
    <row r="45" spans="1:6" ht="12.75" customHeight="1">
      <c r="A45" s="42" t="s">
        <v>791</v>
      </c>
      <c r="B45" t="s">
        <v>791</v>
      </c>
      <c r="C45" s="4" t="s">
        <v>741</v>
      </c>
      <c r="E45" t="s">
        <v>692</v>
      </c>
      <c r="F45" t="s">
        <v>792</v>
      </c>
    </row>
    <row r="46" spans="1:6" ht="12.75" customHeight="1">
      <c r="A46" s="41" t="s">
        <v>793</v>
      </c>
      <c r="B46" s="4" t="s">
        <v>793</v>
      </c>
      <c r="C46" s="4" t="s">
        <v>741</v>
      </c>
      <c r="E46" t="s">
        <v>692</v>
      </c>
      <c r="F46" t="s">
        <v>794</v>
      </c>
    </row>
    <row r="47" spans="1:6" ht="12.75" customHeight="1">
      <c r="A47" s="41" t="s">
        <v>795</v>
      </c>
      <c r="B47" s="4" t="s">
        <v>795</v>
      </c>
      <c r="C47" s="4" t="s">
        <v>741</v>
      </c>
      <c r="E47" t="s">
        <v>692</v>
      </c>
      <c r="F47" t="s">
        <v>796</v>
      </c>
    </row>
    <row r="48" spans="1:6" ht="12.75" customHeight="1">
      <c r="A48" s="41" t="s">
        <v>797</v>
      </c>
      <c r="B48" s="4" t="s">
        <v>797</v>
      </c>
      <c r="C48" s="4" t="s">
        <v>741</v>
      </c>
      <c r="E48" t="s">
        <v>692</v>
      </c>
      <c r="F48" t="s">
        <v>798</v>
      </c>
    </row>
    <row r="49" spans="1:6" ht="12.75" customHeight="1">
      <c r="A49" s="41" t="s">
        <v>799</v>
      </c>
      <c r="B49" s="4" t="s">
        <v>799</v>
      </c>
      <c r="C49" s="4" t="s">
        <v>741</v>
      </c>
      <c r="E49" t="s">
        <v>692</v>
      </c>
      <c r="F49" t="s">
        <v>800</v>
      </c>
    </row>
    <row r="50" spans="1:6" ht="12.75" customHeight="1">
      <c r="A50" s="41" t="s">
        <v>801</v>
      </c>
      <c r="B50" s="4" t="s">
        <v>801</v>
      </c>
      <c r="C50" s="4" t="s">
        <v>741</v>
      </c>
      <c r="E50" t="s">
        <v>692</v>
      </c>
      <c r="F50" t="s">
        <v>802</v>
      </c>
    </row>
    <row r="51" spans="1:6" ht="12.75" customHeight="1">
      <c r="A51" s="41" t="s">
        <v>803</v>
      </c>
      <c r="B51" s="4" t="s">
        <v>803</v>
      </c>
      <c r="C51" s="4" t="s">
        <v>741</v>
      </c>
      <c r="E51" t="s">
        <v>692</v>
      </c>
      <c r="F51" t="s">
        <v>804</v>
      </c>
    </row>
    <row r="52" spans="1:6" ht="12.75" customHeight="1">
      <c r="A52" s="41" t="s">
        <v>805</v>
      </c>
      <c r="B52" s="4" t="s">
        <v>805</v>
      </c>
      <c r="C52" s="4" t="s">
        <v>741</v>
      </c>
      <c r="E52" t="s">
        <v>692</v>
      </c>
      <c r="F52" t="s">
        <v>806</v>
      </c>
    </row>
    <row r="53" spans="1:6" ht="12.75" customHeight="1">
      <c r="A53" s="41" t="s">
        <v>807</v>
      </c>
      <c r="B53" s="4" t="s">
        <v>807</v>
      </c>
      <c r="C53" s="4" t="s">
        <v>741</v>
      </c>
      <c r="E53" t="s">
        <v>692</v>
      </c>
      <c r="F53" t="s">
        <v>808</v>
      </c>
    </row>
    <row r="54" spans="1:6" ht="12.75" customHeight="1">
      <c r="A54" s="41" t="s">
        <v>809</v>
      </c>
      <c r="B54" s="4" t="s">
        <v>809</v>
      </c>
      <c r="C54" s="4" t="s">
        <v>741</v>
      </c>
      <c r="E54" t="s">
        <v>692</v>
      </c>
      <c r="F54" t="s">
        <v>810</v>
      </c>
    </row>
    <row r="55" spans="1:6" ht="12.75" customHeight="1">
      <c r="A55" s="41" t="s">
        <v>811</v>
      </c>
      <c r="B55" s="4" t="s">
        <v>811</v>
      </c>
      <c r="C55" s="4" t="s">
        <v>741</v>
      </c>
      <c r="E55" t="s">
        <v>692</v>
      </c>
      <c r="F55" t="s">
        <v>812</v>
      </c>
    </row>
    <row r="56" spans="1:6" ht="12.75" customHeight="1">
      <c r="A56" s="41" t="s">
        <v>813</v>
      </c>
      <c r="B56" s="4" t="s">
        <v>813</v>
      </c>
      <c r="C56" s="4" t="s">
        <v>741</v>
      </c>
      <c r="E56" t="s">
        <v>692</v>
      </c>
      <c r="F56" t="s">
        <v>814</v>
      </c>
    </row>
    <row r="57" spans="1:6" ht="12.75" customHeight="1">
      <c r="A57" s="41" t="s">
        <v>815</v>
      </c>
      <c r="B57" s="4" t="s">
        <v>815</v>
      </c>
      <c r="C57" s="4" t="s">
        <v>741</v>
      </c>
      <c r="E57" t="s">
        <v>692</v>
      </c>
      <c r="F57" t="s">
        <v>816</v>
      </c>
    </row>
    <row r="58" spans="1:6" ht="12.75" customHeight="1">
      <c r="A58" s="42" t="s">
        <v>817</v>
      </c>
      <c r="B58" t="s">
        <v>817</v>
      </c>
      <c r="C58" s="4" t="s">
        <v>741</v>
      </c>
      <c r="E58" t="s">
        <v>692</v>
      </c>
      <c r="F58" t="s">
        <v>818</v>
      </c>
    </row>
    <row r="59" spans="1:6" ht="12.75" customHeight="1">
      <c r="A59" s="42" t="s">
        <v>819</v>
      </c>
      <c r="B59" t="s">
        <v>819</v>
      </c>
      <c r="C59" s="4" t="s">
        <v>741</v>
      </c>
      <c r="E59" t="s">
        <v>692</v>
      </c>
      <c r="F59" t="s">
        <v>820</v>
      </c>
    </row>
    <row r="60" spans="1:6" ht="12.75" customHeight="1">
      <c r="A60" s="41" t="s">
        <v>821</v>
      </c>
      <c r="B60" s="4" t="s">
        <v>821</v>
      </c>
      <c r="C60" s="4" t="s">
        <v>741</v>
      </c>
      <c r="E60" t="s">
        <v>692</v>
      </c>
      <c r="F60" t="s">
        <v>822</v>
      </c>
    </row>
    <row r="61" spans="1:6" ht="12.75" customHeight="1">
      <c r="A61" s="41" t="s">
        <v>823</v>
      </c>
      <c r="B61" s="4" t="s">
        <v>823</v>
      </c>
      <c r="C61" s="4" t="s">
        <v>741</v>
      </c>
      <c r="E61" t="s">
        <v>692</v>
      </c>
      <c r="F61" t="s">
        <v>824</v>
      </c>
    </row>
    <row r="62" spans="1:6" ht="12.75" customHeight="1">
      <c r="A62" s="42" t="s">
        <v>825</v>
      </c>
      <c r="B62" t="s">
        <v>826</v>
      </c>
      <c r="C62" s="4" t="s">
        <v>741</v>
      </c>
      <c r="E62" t="s">
        <v>692</v>
      </c>
      <c r="F62" t="s">
        <v>827</v>
      </c>
    </row>
    <row r="63" spans="1:6" ht="12.75" customHeight="1">
      <c r="A63" s="42" t="s">
        <v>828</v>
      </c>
      <c r="B63" t="s">
        <v>828</v>
      </c>
      <c r="C63" s="4" t="s">
        <v>741</v>
      </c>
      <c r="E63" t="s">
        <v>692</v>
      </c>
      <c r="F63" t="s">
        <v>829</v>
      </c>
    </row>
    <row r="64" spans="1:6" ht="12.75" customHeight="1">
      <c r="A64" s="41">
        <v>38</v>
      </c>
      <c r="B64" s="4" t="s">
        <v>830</v>
      </c>
      <c r="C64" s="4" t="s">
        <v>741</v>
      </c>
      <c r="E64" t="s">
        <v>692</v>
      </c>
      <c r="F64" t="s">
        <v>831</v>
      </c>
    </row>
    <row r="65" spans="1:6" ht="12.75" customHeight="1">
      <c r="A65" s="42">
        <v>144</v>
      </c>
      <c r="B65" t="s">
        <v>832</v>
      </c>
      <c r="C65" s="4" t="s">
        <v>741</v>
      </c>
      <c r="E65" t="s">
        <v>692</v>
      </c>
      <c r="F65" t="s">
        <v>833</v>
      </c>
    </row>
    <row r="66" spans="1:6" ht="12.75" customHeight="1">
      <c r="A66" s="41">
        <v>279</v>
      </c>
      <c r="B66" s="4" t="s">
        <v>834</v>
      </c>
      <c r="C66" s="4" t="s">
        <v>741</v>
      </c>
      <c r="E66" t="s">
        <v>692</v>
      </c>
      <c r="F66" t="s">
        <v>835</v>
      </c>
    </row>
    <row r="67" spans="1:6" ht="12.75" customHeight="1">
      <c r="A67" s="41">
        <v>293</v>
      </c>
      <c r="B67" s="4" t="s">
        <v>836</v>
      </c>
      <c r="C67" s="4" t="s">
        <v>741</v>
      </c>
      <c r="E67" t="s">
        <v>692</v>
      </c>
      <c r="F67" t="s">
        <v>837</v>
      </c>
    </row>
    <row r="68" spans="1:6" ht="12.75" customHeight="1">
      <c r="A68" s="42">
        <v>308</v>
      </c>
      <c r="B68" t="s">
        <v>838</v>
      </c>
      <c r="C68" s="4" t="s">
        <v>741</v>
      </c>
      <c r="E68" t="s">
        <v>692</v>
      </c>
      <c r="F68" t="s">
        <v>839</v>
      </c>
    </row>
    <row r="69" spans="1:6" ht="12.75" customHeight="1">
      <c r="A69" s="42">
        <v>309</v>
      </c>
      <c r="B69" t="s">
        <v>840</v>
      </c>
      <c r="C69" s="4" t="s">
        <v>741</v>
      </c>
      <c r="E69" t="s">
        <v>692</v>
      </c>
      <c r="F69" t="s">
        <v>841</v>
      </c>
    </row>
    <row r="70" spans="1:6" ht="12.75" customHeight="1">
      <c r="A70" s="42" t="s">
        <v>842</v>
      </c>
      <c r="B70" t="s">
        <v>843</v>
      </c>
      <c r="C70" s="4" t="s">
        <v>741</v>
      </c>
      <c r="E70" t="s">
        <v>692</v>
      </c>
      <c r="F70" t="s">
        <v>844</v>
      </c>
    </row>
    <row r="71" spans="1:6" ht="12.75" customHeight="1">
      <c r="A71" s="41" t="s">
        <v>845</v>
      </c>
      <c r="B71" s="4" t="s">
        <v>845</v>
      </c>
      <c r="C71" s="4" t="s">
        <v>741</v>
      </c>
      <c r="E71" t="s">
        <v>692</v>
      </c>
      <c r="F71" t="s">
        <v>846</v>
      </c>
    </row>
    <row r="72" spans="1:6" ht="12.75" customHeight="1">
      <c r="A72" s="41">
        <v>358</v>
      </c>
      <c r="B72" s="4" t="s">
        <v>847</v>
      </c>
      <c r="C72" s="4" t="s">
        <v>741</v>
      </c>
      <c r="E72" t="s">
        <v>692</v>
      </c>
      <c r="F72" t="s">
        <v>848</v>
      </c>
    </row>
    <row r="73" spans="1:6" ht="12.75" customHeight="1">
      <c r="A73" s="41" t="s">
        <v>849</v>
      </c>
      <c r="B73" s="4" t="s">
        <v>850</v>
      </c>
      <c r="C73" s="4" t="s">
        <v>851</v>
      </c>
      <c r="E73" t="s">
        <v>692</v>
      </c>
      <c r="F73" t="s">
        <v>852</v>
      </c>
    </row>
    <row r="74" spans="1:6" ht="12.75" customHeight="1">
      <c r="A74" s="41" t="s">
        <v>853</v>
      </c>
      <c r="B74" s="4" t="s">
        <v>854</v>
      </c>
      <c r="C74" s="4" t="s">
        <v>851</v>
      </c>
      <c r="E74" t="s">
        <v>692</v>
      </c>
      <c r="F74" t="s">
        <v>855</v>
      </c>
    </row>
    <row r="75" spans="1:6" ht="12.75" customHeight="1">
      <c r="A75" s="41" t="s">
        <v>856</v>
      </c>
      <c r="B75" s="41" t="s">
        <v>856</v>
      </c>
      <c r="C75" s="4" t="s">
        <v>741</v>
      </c>
      <c r="D75" t="s">
        <v>857</v>
      </c>
      <c r="E75" t="s">
        <v>858</v>
      </c>
      <c r="F75" t="s">
        <v>859</v>
      </c>
    </row>
    <row r="76" spans="1:6" ht="12.75" customHeight="1">
      <c r="A76" s="41" t="s">
        <v>860</v>
      </c>
      <c r="B76" s="4" t="s">
        <v>860</v>
      </c>
      <c r="C76" s="4" t="s">
        <v>741</v>
      </c>
      <c r="D76" t="s">
        <v>857</v>
      </c>
      <c r="E76" s="43" t="s">
        <v>858</v>
      </c>
      <c r="F76" t="s">
        <v>861</v>
      </c>
    </row>
    <row r="77" spans="1:6" ht="12.75" customHeight="1">
      <c r="A77" s="41" t="s">
        <v>862</v>
      </c>
      <c r="B77" s="4" t="s">
        <v>863</v>
      </c>
      <c r="C77" s="4" t="s">
        <v>741</v>
      </c>
      <c r="D77" t="s">
        <v>857</v>
      </c>
      <c r="E77" s="43" t="s">
        <v>858</v>
      </c>
      <c r="F77" t="s">
        <v>864</v>
      </c>
    </row>
    <row r="78" spans="1:6" ht="12.75" customHeight="1">
      <c r="A78" s="41" t="s">
        <v>865</v>
      </c>
      <c r="B78" s="4" t="s">
        <v>866</v>
      </c>
      <c r="C78" s="4" t="s">
        <v>741</v>
      </c>
      <c r="D78" t="s">
        <v>857</v>
      </c>
      <c r="E78" s="43" t="s">
        <v>858</v>
      </c>
      <c r="F78" t="s">
        <v>867</v>
      </c>
    </row>
    <row r="79" spans="1:6" ht="12.75" customHeight="1">
      <c r="A79" s="41" t="s">
        <v>868</v>
      </c>
      <c r="B79" s="4" t="s">
        <v>868</v>
      </c>
      <c r="C79" s="4" t="s">
        <v>741</v>
      </c>
      <c r="D79" t="s">
        <v>869</v>
      </c>
      <c r="E79" t="s">
        <v>858</v>
      </c>
      <c r="F79" t="s">
        <v>870</v>
      </c>
    </row>
    <row r="80" spans="1:6" ht="12.75" customHeight="1">
      <c r="A80" s="41" t="s">
        <v>871</v>
      </c>
      <c r="B80" s="41" t="s">
        <v>871</v>
      </c>
      <c r="C80" s="4" t="s">
        <v>741</v>
      </c>
      <c r="E80" t="s">
        <v>858</v>
      </c>
      <c r="F80" t="s">
        <v>872</v>
      </c>
    </row>
    <row r="81" spans="1:6" ht="12.75" customHeight="1">
      <c r="A81" s="41" t="s">
        <v>873</v>
      </c>
      <c r="B81" s="41" t="s">
        <v>873</v>
      </c>
      <c r="C81" s="4" t="s">
        <v>741</v>
      </c>
      <c r="E81" t="s">
        <v>858</v>
      </c>
      <c r="F81" t="s">
        <v>874</v>
      </c>
    </row>
    <row r="82" spans="1:6" ht="12.75" customHeight="1">
      <c r="A82" s="41" t="s">
        <v>875</v>
      </c>
      <c r="B82" s="41" t="s">
        <v>875</v>
      </c>
      <c r="C82" s="4" t="s">
        <v>741</v>
      </c>
      <c r="E82" t="s">
        <v>858</v>
      </c>
      <c r="F82" t="s">
        <v>876</v>
      </c>
    </row>
    <row r="83" spans="1:6" ht="12.75" customHeight="1">
      <c r="A83" s="41" t="s">
        <v>877</v>
      </c>
      <c r="B83" s="41" t="s">
        <v>877</v>
      </c>
      <c r="C83" s="4" t="s">
        <v>741</v>
      </c>
      <c r="E83" t="s">
        <v>858</v>
      </c>
      <c r="F83" t="s">
        <v>878</v>
      </c>
    </row>
    <row r="84" spans="1:6" ht="12.75" customHeight="1">
      <c r="A84" s="41" t="s">
        <v>879</v>
      </c>
      <c r="B84" s="41" t="s">
        <v>879</v>
      </c>
      <c r="C84" s="4" t="s">
        <v>741</v>
      </c>
      <c r="E84" t="s">
        <v>858</v>
      </c>
      <c r="F84" t="s">
        <v>880</v>
      </c>
    </row>
    <row r="85" spans="1:6" ht="12.75" customHeight="1">
      <c r="A85" s="41" t="s">
        <v>881</v>
      </c>
      <c r="B85" s="41" t="s">
        <v>881</v>
      </c>
      <c r="C85" s="4" t="s">
        <v>741</v>
      </c>
      <c r="E85" t="s">
        <v>858</v>
      </c>
      <c r="F85" t="s">
        <v>882</v>
      </c>
    </row>
    <row r="86" spans="1:6" ht="12.75" customHeight="1">
      <c r="A86" s="41" t="s">
        <v>883</v>
      </c>
      <c r="B86" s="4" t="s">
        <v>883</v>
      </c>
      <c r="C86" s="4" t="s">
        <v>741</v>
      </c>
      <c r="D86" t="s">
        <v>884</v>
      </c>
      <c r="E86" t="s">
        <v>858</v>
      </c>
      <c r="F86" t="s">
        <v>885</v>
      </c>
    </row>
    <row r="87" spans="1:6" ht="12.75" customHeight="1">
      <c r="A87" s="41" t="s">
        <v>886</v>
      </c>
      <c r="B87" s="4" t="s">
        <v>886</v>
      </c>
      <c r="C87" s="4" t="s">
        <v>741</v>
      </c>
      <c r="D87" t="s">
        <v>857</v>
      </c>
      <c r="E87" t="s">
        <v>858</v>
      </c>
      <c r="F87" t="s">
        <v>887</v>
      </c>
    </row>
    <row r="88" spans="1:6" ht="12.75" customHeight="1">
      <c r="A88" s="41" t="s">
        <v>888</v>
      </c>
      <c r="B88" s="4" t="s">
        <v>888</v>
      </c>
      <c r="C88" s="4" t="s">
        <v>741</v>
      </c>
      <c r="D88" t="s">
        <v>857</v>
      </c>
      <c r="E88" t="s">
        <v>858</v>
      </c>
      <c r="F88" t="s">
        <v>889</v>
      </c>
    </row>
    <row r="89" spans="1:6" ht="12.75" customHeight="1">
      <c r="A89" s="41" t="s">
        <v>890</v>
      </c>
      <c r="B89" s="4" t="s">
        <v>890</v>
      </c>
      <c r="C89" s="4" t="s">
        <v>741</v>
      </c>
      <c r="D89" t="s">
        <v>884</v>
      </c>
      <c r="E89" t="s">
        <v>858</v>
      </c>
      <c r="F89" t="s">
        <v>891</v>
      </c>
    </row>
    <row r="90" spans="1:6" ht="12.75" customHeight="1">
      <c r="A90" s="41" t="s">
        <v>892</v>
      </c>
      <c r="B90" s="4" t="s">
        <v>892</v>
      </c>
      <c r="C90" s="4" t="s">
        <v>741</v>
      </c>
      <c r="D90" t="s">
        <v>884</v>
      </c>
      <c r="E90" t="s">
        <v>858</v>
      </c>
      <c r="F90" t="s">
        <v>893</v>
      </c>
    </row>
    <row r="91" spans="1:6" ht="12.75" customHeight="1">
      <c r="A91" s="41" t="s">
        <v>894</v>
      </c>
      <c r="B91" s="4" t="s">
        <v>895</v>
      </c>
      <c r="C91" s="4" t="s">
        <v>741</v>
      </c>
      <c r="E91" t="s">
        <v>692</v>
      </c>
      <c r="F91" t="s">
        <v>896</v>
      </c>
    </row>
    <row r="92" spans="1:6" ht="12.75" customHeight="1">
      <c r="A92" s="41" t="s">
        <v>897</v>
      </c>
      <c r="B92" s="4" t="s">
        <v>897</v>
      </c>
      <c r="C92" s="4" t="s">
        <v>741</v>
      </c>
      <c r="D92" t="s">
        <v>857</v>
      </c>
      <c r="E92" t="s">
        <v>858</v>
      </c>
      <c r="F92" t="s">
        <v>898</v>
      </c>
    </row>
    <row r="93" spans="1:6" ht="12.75" customHeight="1">
      <c r="A93" s="41" t="s">
        <v>899</v>
      </c>
      <c r="B93" s="4" t="s">
        <v>899</v>
      </c>
      <c r="C93" s="4" t="s">
        <v>741</v>
      </c>
      <c r="E93" t="s">
        <v>858</v>
      </c>
      <c r="F93" t="s">
        <v>900</v>
      </c>
    </row>
    <row r="94" spans="1:6" ht="12.75" customHeight="1">
      <c r="A94" s="41" t="s">
        <v>901</v>
      </c>
      <c r="B94" s="4" t="s">
        <v>901</v>
      </c>
      <c r="C94" s="4" t="s">
        <v>741</v>
      </c>
      <c r="E94" t="s">
        <v>858</v>
      </c>
      <c r="F94" t="s">
        <v>902</v>
      </c>
    </row>
    <row r="95" spans="1:6" ht="12.75" customHeight="1">
      <c r="A95" s="41" t="s">
        <v>903</v>
      </c>
      <c r="B95" s="4" t="s">
        <v>903</v>
      </c>
      <c r="C95" s="4" t="s">
        <v>741</v>
      </c>
      <c r="E95" t="s">
        <v>858</v>
      </c>
      <c r="F95" t="s">
        <v>904</v>
      </c>
    </row>
    <row r="96" spans="1:6" ht="12.75" customHeight="1">
      <c r="A96" s="4" t="s">
        <v>905</v>
      </c>
      <c r="B96" s="4" t="s">
        <v>905</v>
      </c>
      <c r="C96" s="4" t="s">
        <v>741</v>
      </c>
      <c r="E96" t="s">
        <v>858</v>
      </c>
      <c r="F96" t="s">
        <v>906</v>
      </c>
    </row>
    <row r="97" spans="1:6" ht="12.75" customHeight="1">
      <c r="A97" s="4" t="s">
        <v>907</v>
      </c>
      <c r="B97" s="4" t="s">
        <v>907</v>
      </c>
      <c r="C97" s="4" t="s">
        <v>741</v>
      </c>
      <c r="D97" t="s">
        <v>884</v>
      </c>
      <c r="E97" t="s">
        <v>858</v>
      </c>
      <c r="F97" t="s">
        <v>908</v>
      </c>
    </row>
    <row r="98" spans="1:6" ht="12.75" customHeight="1">
      <c r="A98" s="4" t="s">
        <v>909</v>
      </c>
      <c r="B98" s="4" t="s">
        <v>909</v>
      </c>
      <c r="C98" s="4" t="s">
        <v>741</v>
      </c>
      <c r="D98" t="s">
        <v>857</v>
      </c>
      <c r="E98" t="s">
        <v>858</v>
      </c>
      <c r="F98" t="s">
        <v>910</v>
      </c>
    </row>
    <row r="99" spans="1:6" ht="12.75" customHeight="1">
      <c r="A99" s="4" t="s">
        <v>911</v>
      </c>
      <c r="B99" s="4" t="s">
        <v>911</v>
      </c>
      <c r="C99" s="4" t="s">
        <v>741</v>
      </c>
      <c r="D99" t="s">
        <v>857</v>
      </c>
      <c r="E99" t="s">
        <v>858</v>
      </c>
      <c r="F99" t="s">
        <v>912</v>
      </c>
    </row>
    <row r="100" spans="1:6" ht="12.75" customHeight="1">
      <c r="A100" s="4" t="s">
        <v>913</v>
      </c>
      <c r="B100" s="4" t="s">
        <v>913</v>
      </c>
      <c r="C100" s="4" t="s">
        <v>741</v>
      </c>
      <c r="D100" t="s">
        <v>857</v>
      </c>
      <c r="E100" t="s">
        <v>858</v>
      </c>
      <c r="F100" t="s">
        <v>914</v>
      </c>
    </row>
    <row r="101" spans="1:6" ht="12.75" customHeight="1">
      <c r="A101" s="4" t="s">
        <v>915</v>
      </c>
      <c r="B101" s="4" t="s">
        <v>915</v>
      </c>
      <c r="C101" s="4" t="s">
        <v>741</v>
      </c>
      <c r="D101" t="s">
        <v>857</v>
      </c>
      <c r="E101" t="s">
        <v>858</v>
      </c>
      <c r="F101" t="s">
        <v>916</v>
      </c>
    </row>
    <row r="102" spans="1:6" ht="12.75" customHeight="1">
      <c r="A102" s="4" t="s">
        <v>917</v>
      </c>
      <c r="B102" s="4" t="s">
        <v>917</v>
      </c>
      <c r="C102" s="4" t="s">
        <v>741</v>
      </c>
      <c r="D102" t="s">
        <v>857</v>
      </c>
      <c r="E102" t="s">
        <v>858</v>
      </c>
      <c r="F102" t="s">
        <v>918</v>
      </c>
    </row>
    <row r="103" spans="1:6" ht="12.75" customHeight="1">
      <c r="A103" s="4" t="s">
        <v>919</v>
      </c>
      <c r="B103" s="4" t="s">
        <v>920</v>
      </c>
      <c r="C103" s="4" t="s">
        <v>741</v>
      </c>
      <c r="D103" t="s">
        <v>857</v>
      </c>
      <c r="E103" t="s">
        <v>858</v>
      </c>
      <c r="F103" t="s">
        <v>921</v>
      </c>
    </row>
    <row r="104" spans="1:6" ht="12.75" customHeight="1">
      <c r="A104" s="4" t="s">
        <v>922</v>
      </c>
      <c r="B104" s="4" t="s">
        <v>923</v>
      </c>
      <c r="C104" s="4" t="s">
        <v>741</v>
      </c>
      <c r="D104" t="s">
        <v>857</v>
      </c>
      <c r="E104" t="s">
        <v>858</v>
      </c>
      <c r="F104" t="s">
        <v>924</v>
      </c>
    </row>
    <row r="105" spans="1:6" ht="12.75" customHeight="1">
      <c r="A105" s="4" t="s">
        <v>925</v>
      </c>
      <c r="B105" s="4" t="s">
        <v>925</v>
      </c>
      <c r="C105" s="4" t="s">
        <v>741</v>
      </c>
      <c r="D105" t="s">
        <v>857</v>
      </c>
      <c r="E105" t="s">
        <v>858</v>
      </c>
      <c r="F105" t="s">
        <v>926</v>
      </c>
    </row>
    <row r="106" spans="1:6" ht="12.75" customHeight="1">
      <c r="A106" s="4" t="s">
        <v>927</v>
      </c>
      <c r="B106" s="4" t="s">
        <v>927</v>
      </c>
      <c r="C106" s="4" t="s">
        <v>741</v>
      </c>
      <c r="D106" t="s">
        <v>857</v>
      </c>
      <c r="E106" t="s">
        <v>858</v>
      </c>
      <c r="F106" t="s">
        <v>928</v>
      </c>
    </row>
    <row r="107" spans="1:6" ht="12.75" customHeight="1">
      <c r="A107" s="4" t="s">
        <v>929</v>
      </c>
      <c r="B107" s="4" t="s">
        <v>929</v>
      </c>
      <c r="C107" s="4" t="s">
        <v>741</v>
      </c>
      <c r="D107" t="s">
        <v>857</v>
      </c>
      <c r="E107" t="s">
        <v>858</v>
      </c>
      <c r="F107" t="s">
        <v>930</v>
      </c>
    </row>
    <row r="108" spans="1:6" ht="12.75" customHeight="1">
      <c r="A108" s="41" t="s">
        <v>931</v>
      </c>
      <c r="B108" s="4" t="s">
        <v>931</v>
      </c>
      <c r="C108" s="4" t="s">
        <v>741</v>
      </c>
      <c r="D108" t="s">
        <v>857</v>
      </c>
      <c r="E108" t="s">
        <v>858</v>
      </c>
      <c r="F108" t="s">
        <v>932</v>
      </c>
    </row>
    <row r="109" spans="1:6" ht="12.75" customHeight="1">
      <c r="A109" s="41" t="s">
        <v>933</v>
      </c>
      <c r="B109" s="4" t="s">
        <v>933</v>
      </c>
      <c r="C109" s="4" t="s">
        <v>741</v>
      </c>
      <c r="D109" t="s">
        <v>857</v>
      </c>
      <c r="E109" t="s">
        <v>858</v>
      </c>
      <c r="F109" t="s">
        <v>934</v>
      </c>
    </row>
    <row r="110" spans="1:6" ht="12.75" customHeight="1">
      <c r="A110" s="41" t="s">
        <v>935</v>
      </c>
      <c r="B110" s="4" t="s">
        <v>935</v>
      </c>
      <c r="C110" s="4" t="s">
        <v>741</v>
      </c>
      <c r="E110" t="s">
        <v>858</v>
      </c>
      <c r="F110" t="s">
        <v>936</v>
      </c>
    </row>
    <row r="111" spans="1:6" ht="12.75" customHeight="1">
      <c r="A111" s="41" t="s">
        <v>937</v>
      </c>
      <c r="B111" s="4" t="s">
        <v>937</v>
      </c>
      <c r="C111" s="4" t="s">
        <v>741</v>
      </c>
      <c r="E111" t="s">
        <v>692</v>
      </c>
      <c r="F111" t="s">
        <v>938</v>
      </c>
    </row>
    <row r="112" spans="1:6" ht="12.75" customHeight="1">
      <c r="A112" s="41" t="s">
        <v>939</v>
      </c>
      <c r="B112" s="4" t="s">
        <v>939</v>
      </c>
      <c r="C112" s="4" t="s">
        <v>741</v>
      </c>
      <c r="E112" t="s">
        <v>692</v>
      </c>
      <c r="F112" t="s">
        <v>940</v>
      </c>
    </row>
    <row r="113" spans="1:6" ht="12.75" customHeight="1">
      <c r="A113" s="41" t="s">
        <v>941</v>
      </c>
      <c r="B113" s="4" t="s">
        <v>942</v>
      </c>
      <c r="C113" s="4" t="s">
        <v>943</v>
      </c>
      <c r="E113" t="s">
        <v>692</v>
      </c>
      <c r="F113" t="s">
        <v>944</v>
      </c>
    </row>
    <row r="114" spans="1:6" ht="12.75" customHeight="1">
      <c r="A114" s="41" t="s">
        <v>945</v>
      </c>
      <c r="B114" s="4" t="s">
        <v>945</v>
      </c>
      <c r="C114" s="4" t="s">
        <v>943</v>
      </c>
      <c r="E114" t="s">
        <v>692</v>
      </c>
      <c r="F114" t="s">
        <v>946</v>
      </c>
    </row>
    <row r="115" spans="1:6" ht="12.75" customHeight="1">
      <c r="A115" s="4" t="s">
        <v>947</v>
      </c>
      <c r="B115" s="4" t="s">
        <v>947</v>
      </c>
      <c r="C115" s="4" t="s">
        <v>943</v>
      </c>
      <c r="E115" t="s">
        <v>692</v>
      </c>
      <c r="F115" t="s">
        <v>948</v>
      </c>
    </row>
    <row r="116" spans="1:6" ht="12.75" customHeight="1">
      <c r="A116" s="4" t="s">
        <v>949</v>
      </c>
      <c r="B116" s="4" t="s">
        <v>949</v>
      </c>
      <c r="C116" s="4" t="s">
        <v>943</v>
      </c>
      <c r="E116" t="s">
        <v>692</v>
      </c>
      <c r="F116" t="s">
        <v>950</v>
      </c>
    </row>
    <row r="117" spans="1:6" ht="12.75" customHeight="1">
      <c r="A117" s="4" t="s">
        <v>951</v>
      </c>
      <c r="B117" s="4" t="s">
        <v>951</v>
      </c>
      <c r="C117" s="4" t="s">
        <v>943</v>
      </c>
      <c r="E117" t="s">
        <v>692</v>
      </c>
      <c r="F117" t="s">
        <v>952</v>
      </c>
    </row>
    <row r="118" spans="1:6" ht="12.75" customHeight="1">
      <c r="A118" s="4" t="s">
        <v>953</v>
      </c>
      <c r="B118" s="4" t="s">
        <v>953</v>
      </c>
      <c r="C118" s="4" t="s">
        <v>954</v>
      </c>
      <c r="E118" t="s">
        <v>692</v>
      </c>
      <c r="F118" t="s">
        <v>955</v>
      </c>
    </row>
    <row r="119" spans="1:6" ht="12.75" customHeight="1">
      <c r="A119" s="4" t="s">
        <v>956</v>
      </c>
      <c r="B119" s="4" t="s">
        <v>956</v>
      </c>
      <c r="C119" s="4" t="s">
        <v>954</v>
      </c>
      <c r="E119" t="s">
        <v>692</v>
      </c>
      <c r="F119" t="s">
        <v>957</v>
      </c>
    </row>
    <row r="120" spans="1:6" ht="12.75" customHeight="1">
      <c r="A120" s="4" t="s">
        <v>958</v>
      </c>
      <c r="B120" s="4" t="s">
        <v>958</v>
      </c>
      <c r="C120" s="4" t="s">
        <v>954</v>
      </c>
      <c r="E120" t="s">
        <v>692</v>
      </c>
      <c r="F120" t="s">
        <v>959</v>
      </c>
    </row>
    <row r="121" spans="1:6" ht="12.75" customHeight="1">
      <c r="A121" s="4" t="s">
        <v>960</v>
      </c>
      <c r="B121" s="4" t="s">
        <v>960</v>
      </c>
      <c r="C121" s="4" t="s">
        <v>961</v>
      </c>
      <c r="E121" t="s">
        <v>692</v>
      </c>
      <c r="F121" t="s">
        <v>962</v>
      </c>
    </row>
    <row r="122" spans="1:6" ht="12.75" customHeight="1">
      <c r="A122" s="4" t="s">
        <v>963</v>
      </c>
      <c r="B122" s="4" t="s">
        <v>963</v>
      </c>
      <c r="C122" s="4" t="s">
        <v>961</v>
      </c>
      <c r="E122" t="s">
        <v>692</v>
      </c>
      <c r="F122" t="s">
        <v>964</v>
      </c>
    </row>
    <row r="123" spans="1:6" ht="12.75" customHeight="1">
      <c r="A123" s="4" t="s">
        <v>965</v>
      </c>
      <c r="B123" s="4" t="s">
        <v>965</v>
      </c>
      <c r="C123" s="4" t="s">
        <v>966</v>
      </c>
      <c r="E123" t="s">
        <v>692</v>
      </c>
      <c r="F123" t="s">
        <v>967</v>
      </c>
    </row>
    <row r="124" spans="1:6" ht="12.75" customHeight="1">
      <c r="A124" s="4" t="s">
        <v>968</v>
      </c>
      <c r="B124" s="4" t="s">
        <v>968</v>
      </c>
      <c r="C124" s="4" t="s">
        <v>966</v>
      </c>
      <c r="E124" t="s">
        <v>692</v>
      </c>
      <c r="F124" t="s">
        <v>969</v>
      </c>
    </row>
    <row r="125" spans="1:6" ht="12.75" customHeight="1">
      <c r="A125" s="4" t="s">
        <v>970</v>
      </c>
      <c r="B125" s="4" t="s">
        <v>970</v>
      </c>
      <c r="C125" s="4" t="s">
        <v>971</v>
      </c>
      <c r="E125" t="s">
        <v>692</v>
      </c>
      <c r="F125" t="s">
        <v>972</v>
      </c>
    </row>
    <row r="126" spans="1:6" ht="12.75" customHeight="1">
      <c r="A126" s="4" t="s">
        <v>973</v>
      </c>
      <c r="B126" s="4" t="s">
        <v>973</v>
      </c>
      <c r="C126" s="4" t="s">
        <v>971</v>
      </c>
      <c r="E126" t="s">
        <v>692</v>
      </c>
      <c r="F126" t="s">
        <v>974</v>
      </c>
    </row>
    <row r="127" spans="1:6" ht="12.75" customHeight="1">
      <c r="A127" s="4" t="s">
        <v>975</v>
      </c>
      <c r="B127" s="4" t="s">
        <v>975</v>
      </c>
      <c r="C127" s="4" t="s">
        <v>971</v>
      </c>
      <c r="E127" t="s">
        <v>692</v>
      </c>
      <c r="F127" t="s">
        <v>976</v>
      </c>
    </row>
    <row r="128" spans="1:6" ht="12.75" customHeight="1">
      <c r="A128" s="4" t="s">
        <v>977</v>
      </c>
      <c r="B128" s="4" t="s">
        <v>977</v>
      </c>
      <c r="C128" s="4" t="s">
        <v>735</v>
      </c>
      <c r="E128" t="s">
        <v>692</v>
      </c>
      <c r="F128" t="s">
        <v>978</v>
      </c>
    </row>
    <row r="129" spans="1:6" ht="12.75" customHeight="1">
      <c r="A129" s="4" t="s">
        <v>979</v>
      </c>
      <c r="B129" s="4" t="s">
        <v>979</v>
      </c>
      <c r="C129" s="4" t="s">
        <v>735</v>
      </c>
      <c r="E129" t="s">
        <v>692</v>
      </c>
      <c r="F129" t="s">
        <v>980</v>
      </c>
    </row>
    <row r="130" spans="1:6" ht="12.75" customHeight="1">
      <c r="A130" s="4" t="s">
        <v>981</v>
      </c>
      <c r="B130" s="4" t="s">
        <v>981</v>
      </c>
      <c r="C130" s="4" t="s">
        <v>735</v>
      </c>
      <c r="E130" t="s">
        <v>692</v>
      </c>
      <c r="F130" t="s">
        <v>982</v>
      </c>
    </row>
    <row r="131" spans="1:6" ht="12.75" customHeight="1">
      <c r="A131" s="4" t="s">
        <v>983</v>
      </c>
      <c r="B131" s="4" t="s">
        <v>983</v>
      </c>
      <c r="C131" s="4" t="s">
        <v>984</v>
      </c>
      <c r="E131" t="s">
        <v>692</v>
      </c>
      <c r="F131" t="s">
        <v>985</v>
      </c>
    </row>
    <row r="132" spans="1:6" ht="12.75" customHeight="1">
      <c r="A132" s="4" t="s">
        <v>986</v>
      </c>
      <c r="B132" s="4" t="s">
        <v>986</v>
      </c>
      <c r="C132" s="4" t="s">
        <v>984</v>
      </c>
      <c r="E132" t="s">
        <v>692</v>
      </c>
      <c r="F132" t="s">
        <v>987</v>
      </c>
    </row>
    <row r="133" spans="1:6" ht="12.75" customHeight="1">
      <c r="A133" s="4" t="s">
        <v>988</v>
      </c>
      <c r="B133" s="4" t="s">
        <v>988</v>
      </c>
      <c r="C133" s="4" t="s">
        <v>984</v>
      </c>
      <c r="E133" t="s">
        <v>692</v>
      </c>
      <c r="F133" t="s">
        <v>989</v>
      </c>
    </row>
    <row r="134" spans="1:6" ht="12.75" customHeight="1">
      <c r="A134" s="4" t="s">
        <v>990</v>
      </c>
      <c r="B134" s="4" t="s">
        <v>990</v>
      </c>
      <c r="C134" s="4" t="s">
        <v>984</v>
      </c>
      <c r="E134" t="s">
        <v>692</v>
      </c>
      <c r="F134" t="s">
        <v>991</v>
      </c>
    </row>
    <row r="135" spans="1:6" ht="12.75" customHeight="1">
      <c r="A135" s="4" t="s">
        <v>992</v>
      </c>
      <c r="B135" s="4" t="s">
        <v>992</v>
      </c>
      <c r="C135" s="4" t="s">
        <v>984</v>
      </c>
      <c r="E135" t="s">
        <v>692</v>
      </c>
      <c r="F135" t="s">
        <v>993</v>
      </c>
    </row>
    <row r="136" spans="1:6" ht="12.75" customHeight="1">
      <c r="A136" s="4" t="s">
        <v>994</v>
      </c>
      <c r="B136" s="4" t="s">
        <v>994</v>
      </c>
      <c r="C136" s="4" t="s">
        <v>984</v>
      </c>
      <c r="E136" t="s">
        <v>692</v>
      </c>
      <c r="F136" t="s">
        <v>995</v>
      </c>
    </row>
    <row r="137" spans="1:6" ht="12.75" customHeight="1">
      <c r="A137" s="4" t="s">
        <v>996</v>
      </c>
      <c r="B137" s="4" t="s">
        <v>996</v>
      </c>
      <c r="C137" s="4" t="s">
        <v>984</v>
      </c>
      <c r="E137" t="s">
        <v>692</v>
      </c>
      <c r="F137" t="s">
        <v>997</v>
      </c>
    </row>
    <row r="138" spans="1:6" ht="12.75" customHeight="1">
      <c r="A138" s="4" t="s">
        <v>935</v>
      </c>
      <c r="B138" s="4" t="s">
        <v>998</v>
      </c>
      <c r="C138" s="4" t="s">
        <v>741</v>
      </c>
      <c r="E138" t="s">
        <v>858</v>
      </c>
      <c r="F138" t="s">
        <v>999</v>
      </c>
    </row>
    <row r="139" spans="1:6" ht="12.75" customHeight="1">
      <c r="A139" s="4" t="s">
        <v>1000</v>
      </c>
      <c r="B139" s="4" t="s">
        <v>1000</v>
      </c>
      <c r="C139" s="4" t="s">
        <v>741</v>
      </c>
      <c r="E139" t="s">
        <v>858</v>
      </c>
      <c r="F139" t="s">
        <v>1001</v>
      </c>
    </row>
    <row r="140" spans="1:6" ht="12.75" customHeight="1">
      <c r="A140" s="41" t="s">
        <v>1002</v>
      </c>
      <c r="B140" s="41" t="s">
        <v>1002</v>
      </c>
      <c r="C140" s="4" t="s">
        <v>741</v>
      </c>
      <c r="E140" s="81" t="s">
        <v>1003</v>
      </c>
      <c r="F140" s="81" t="s">
        <v>1004</v>
      </c>
    </row>
    <row r="141" spans="1:6" ht="12.75" customHeight="1">
      <c r="A141" s="41" t="s">
        <v>1005</v>
      </c>
      <c r="B141" s="41" t="s">
        <v>1005</v>
      </c>
      <c r="C141" s="4" t="s">
        <v>741</v>
      </c>
      <c r="E141" s="81" t="s">
        <v>1006</v>
      </c>
      <c r="F141" s="81" t="s">
        <v>1007</v>
      </c>
    </row>
    <row r="142" spans="1:6" ht="12.75" customHeight="1">
      <c r="A142" s="41" t="s">
        <v>1008</v>
      </c>
      <c r="B142" s="41" t="s">
        <v>1008</v>
      </c>
      <c r="C142" s="4" t="s">
        <v>741</v>
      </c>
      <c r="E142" s="81" t="s">
        <v>1009</v>
      </c>
      <c r="F142" s="81" t="s">
        <v>1010</v>
      </c>
    </row>
    <row r="143" spans="1:6" ht="12.75" customHeight="1">
      <c r="A143" s="41" t="s">
        <v>1011</v>
      </c>
      <c r="B143" s="41" t="s">
        <v>1011</v>
      </c>
      <c r="C143" s="4" t="s">
        <v>741</v>
      </c>
      <c r="E143" s="81" t="s">
        <v>1006</v>
      </c>
      <c r="F143" s="81" t="s">
        <v>1012</v>
      </c>
    </row>
    <row r="144" spans="1:6" ht="12.75" customHeight="1">
      <c r="A144" s="41" t="s">
        <v>1013</v>
      </c>
      <c r="B144" s="41" t="s">
        <v>1013</v>
      </c>
      <c r="C144" s="4" t="s">
        <v>741</v>
      </c>
      <c r="E144" s="81" t="s">
        <v>1014</v>
      </c>
      <c r="F144" s="81" t="s">
        <v>1015</v>
      </c>
    </row>
    <row r="145" spans="1:6" ht="12.75" customHeight="1">
      <c r="A145" s="41" t="s">
        <v>1016</v>
      </c>
      <c r="B145" s="41" t="s">
        <v>1016</v>
      </c>
      <c r="C145" s="4" t="s">
        <v>741</v>
      </c>
      <c r="E145" s="81" t="s">
        <v>1006</v>
      </c>
      <c r="F145" s="81" t="s">
        <v>1017</v>
      </c>
    </row>
    <row r="146" spans="1:6" ht="12.75" customHeight="1">
      <c r="A146" s="41" t="s">
        <v>1018</v>
      </c>
      <c r="B146" s="41" t="s">
        <v>1018</v>
      </c>
      <c r="C146" s="4" t="s">
        <v>741</v>
      </c>
      <c r="E146" s="81" t="s">
        <v>1006</v>
      </c>
      <c r="F146" s="81" t="s">
        <v>1019</v>
      </c>
    </row>
    <row r="147" spans="1:6" ht="12.75" customHeight="1">
      <c r="A147" s="41" t="s">
        <v>1020</v>
      </c>
      <c r="B147" s="41" t="s">
        <v>1020</v>
      </c>
      <c r="C147" s="4" t="s">
        <v>741</v>
      </c>
      <c r="E147" s="81" t="s">
        <v>1009</v>
      </c>
      <c r="F147" s="81" t="s">
        <v>1021</v>
      </c>
    </row>
    <row r="148" spans="1:6" ht="12.75" customHeight="1">
      <c r="A148" s="41" t="s">
        <v>1022</v>
      </c>
      <c r="B148" s="41" t="s">
        <v>1022</v>
      </c>
      <c r="C148" s="4" t="s">
        <v>741</v>
      </c>
      <c r="E148" s="81" t="s">
        <v>1009</v>
      </c>
      <c r="F148" s="81" t="s">
        <v>1023</v>
      </c>
    </row>
    <row r="149" spans="1:6" ht="12.75" customHeight="1">
      <c r="A149" s="41" t="s">
        <v>1024</v>
      </c>
      <c r="B149" s="41" t="s">
        <v>1024</v>
      </c>
      <c r="C149" s="4" t="s">
        <v>741</v>
      </c>
      <c r="E149" s="81" t="s">
        <v>1006</v>
      </c>
      <c r="F149" s="81" t="s">
        <v>1025</v>
      </c>
    </row>
    <row r="150" spans="1:6" ht="12.75" customHeight="1">
      <c r="A150" s="41" t="s">
        <v>1026</v>
      </c>
      <c r="B150" s="41" t="s">
        <v>1026</v>
      </c>
      <c r="C150" s="4" t="s">
        <v>741</v>
      </c>
      <c r="E150" s="81" t="s">
        <v>1014</v>
      </c>
      <c r="F150" s="81" t="s">
        <v>1027</v>
      </c>
    </row>
    <row r="151" spans="1:6" ht="12.75" customHeight="1">
      <c r="A151" s="41" t="s">
        <v>1028</v>
      </c>
      <c r="B151" s="41" t="s">
        <v>1028</v>
      </c>
      <c r="C151" s="4" t="s">
        <v>741</v>
      </c>
      <c r="E151" s="81" t="s">
        <v>1014</v>
      </c>
      <c r="F151" s="81" t="s">
        <v>1029</v>
      </c>
    </row>
    <row r="152" spans="1:6" ht="12.75" customHeight="1">
      <c r="A152" s="41" t="s">
        <v>1030</v>
      </c>
      <c r="B152" s="41" t="s">
        <v>1030</v>
      </c>
      <c r="C152" s="4" t="s">
        <v>741</v>
      </c>
      <c r="E152" s="81" t="s">
        <v>1014</v>
      </c>
      <c r="F152" s="81" t="s">
        <v>1031</v>
      </c>
    </row>
    <row r="153" spans="1:6" ht="12.75" customHeight="1">
      <c r="A153" s="41" t="s">
        <v>1032</v>
      </c>
      <c r="B153" s="41" t="s">
        <v>1032</v>
      </c>
      <c r="C153" s="4" t="s">
        <v>741</v>
      </c>
      <c r="E153" s="81" t="s">
        <v>1014</v>
      </c>
      <c r="F153" s="81" t="s">
        <v>1033</v>
      </c>
    </row>
    <row r="154" spans="1:6" ht="12.75" customHeight="1">
      <c r="A154" s="41" t="s">
        <v>1034</v>
      </c>
      <c r="B154" s="41" t="s">
        <v>1034</v>
      </c>
      <c r="C154" s="4" t="s">
        <v>741</v>
      </c>
      <c r="E154" s="81" t="s">
        <v>1006</v>
      </c>
      <c r="F154" s="81" t="s">
        <v>1035</v>
      </c>
    </row>
    <row r="155" spans="1:6" ht="12.75" customHeight="1">
      <c r="A155" s="41" t="s">
        <v>1036</v>
      </c>
      <c r="B155" s="41" t="s">
        <v>1036</v>
      </c>
      <c r="C155" s="4" t="s">
        <v>741</v>
      </c>
      <c r="E155" s="81" t="s">
        <v>1006</v>
      </c>
      <c r="F155" s="81" t="s">
        <v>1037</v>
      </c>
    </row>
    <row r="156" spans="1:6" ht="12.75" customHeight="1">
      <c r="A156" s="41" t="s">
        <v>1038</v>
      </c>
      <c r="B156" s="41" t="s">
        <v>1038</v>
      </c>
      <c r="C156" s="4" t="s">
        <v>741</v>
      </c>
      <c r="E156" s="81" t="s">
        <v>1006</v>
      </c>
      <c r="F156" s="81" t="s">
        <v>1039</v>
      </c>
    </row>
    <row r="157" spans="1:6" ht="12.75" customHeight="1">
      <c r="A157" s="41" t="s">
        <v>1040</v>
      </c>
      <c r="B157" s="41" t="s">
        <v>1040</v>
      </c>
      <c r="C157" s="4" t="s">
        <v>741</v>
      </c>
      <c r="E157" s="81" t="s">
        <v>1006</v>
      </c>
      <c r="F157" s="81" t="s">
        <v>1041</v>
      </c>
    </row>
    <row r="158" spans="1:6" ht="12.75" customHeight="1">
      <c r="A158" s="41" t="s">
        <v>1042</v>
      </c>
      <c r="B158" s="41" t="s">
        <v>1042</v>
      </c>
      <c r="C158" s="4" t="s">
        <v>741</v>
      </c>
      <c r="E158" s="81" t="s">
        <v>1006</v>
      </c>
      <c r="F158" s="81" t="s">
        <v>1043</v>
      </c>
    </row>
    <row r="159" spans="1:6" ht="12.75" customHeight="1">
      <c r="A159" s="41" t="s">
        <v>1044</v>
      </c>
      <c r="B159" s="41" t="s">
        <v>1044</v>
      </c>
      <c r="C159" s="4" t="s">
        <v>741</v>
      </c>
      <c r="E159" s="81" t="s">
        <v>1009</v>
      </c>
      <c r="F159" s="81" t="s">
        <v>1045</v>
      </c>
    </row>
    <row r="160" spans="1:6" ht="12.75" customHeight="1">
      <c r="A160" s="41" t="s">
        <v>1046</v>
      </c>
      <c r="B160" s="41" t="s">
        <v>1046</v>
      </c>
      <c r="C160" s="4" t="s">
        <v>741</v>
      </c>
      <c r="E160" s="81" t="s">
        <v>1014</v>
      </c>
      <c r="F160" s="81" t="s">
        <v>1047</v>
      </c>
    </row>
  </sheetData>
  <phoneticPr fontId="5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54C0F2C-71CF-4826-9081-F3E1018BAE6E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2025-08-04T05:45:35Z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