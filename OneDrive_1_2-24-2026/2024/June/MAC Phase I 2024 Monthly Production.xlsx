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_amgsol_com/Documents/Microsoft Teams Chat Files/"/>
    </mc:Choice>
  </mc:AlternateContent>
  <xr:revisionPtr revIDLastSave="0" documentId="8_{DCFA6178-C6E7-4F78-959E-9BDAE104B2F6}" xr6:coauthVersionLast="47" xr6:coauthVersionMax="47" xr10:uidLastSave="{00000000-0000-0000-0000-000000000000}"/>
  <bookViews>
    <workbookView xWindow="-98" yWindow="-98" windowWidth="21795" windowHeight="12975" tabRatio="866" firstSheet="9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72"/>
  <c r="F6" i="72" s="1"/>
  <c r="H6" i="72"/>
  <c r="I6" i="72" s="1"/>
  <c r="G4" i="1"/>
  <c r="G4" i="34" s="1"/>
  <c r="G2" i="34" s="1"/>
  <c r="B4" i="34" a="1"/>
  <c r="B4" i="34" s="1"/>
  <c r="A4" i="34" a="1"/>
  <c r="A4" i="34" s="1"/>
  <c r="A1" i="34" a="1"/>
  <c r="A1" i="34" s="1"/>
  <c r="D4" i="30"/>
  <c r="C4" i="30"/>
  <c r="E4" i="30" s="1"/>
  <c r="F4" i="30" s="1"/>
  <c r="D4" i="29"/>
  <c r="C4" i="29"/>
  <c r="D4" i="18"/>
  <c r="C4" i="18"/>
  <c r="D2" i="30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5" i="27"/>
  <c r="I5" i="27" s="1"/>
  <c r="E5" i="27"/>
  <c r="F5" i="27" s="1"/>
  <c r="I4" i="27"/>
  <c r="H4" i="27"/>
  <c r="E4" i="27"/>
  <c r="F4" i="27" s="1"/>
  <c r="G2" i="27"/>
  <c r="D2" i="27"/>
  <c r="C2" i="27"/>
  <c r="H2" i="27" s="1"/>
  <c r="I2" i="27" s="1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H2" i="26" s="1"/>
  <c r="I2" i="26" s="1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E2" i="20" l="1"/>
  <c r="F2" i="20" s="1"/>
  <c r="J2" i="4"/>
  <c r="H2" i="21"/>
  <c r="I2" i="21" s="1"/>
  <c r="J2" i="21"/>
  <c r="H2" i="20"/>
  <c r="I2" i="20" s="1"/>
  <c r="D2" i="18"/>
  <c r="E4" i="18"/>
  <c r="F4" i="18" s="1"/>
  <c r="J2" i="20"/>
  <c r="H2" i="19"/>
  <c r="I2" i="19" s="1"/>
  <c r="J2" i="19"/>
  <c r="D2" i="29"/>
  <c r="J2" i="26"/>
  <c r="J2" i="27"/>
  <c r="E2" i="28"/>
  <c r="F2" i="28" s="1"/>
  <c r="J2" i="28"/>
  <c r="J2" i="31"/>
  <c r="J2" i="33"/>
  <c r="D4" i="34"/>
  <c r="D2" i="34" s="1"/>
  <c r="J2" i="32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I4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<sst xmlns="http://schemas.openxmlformats.org/spreadsheetml/2006/main" count="250" uniqueCount="64">
  <si>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</si>
  <si>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</si>
  <si>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</si>
  <si>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</si>
  <si>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</si>
  <si>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</si>
  <si>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</si>
  <si>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</si>
  <si>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</si>
  <si>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</si>
  <si>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</si>
  <si>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</si>
  <si>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</si>
  <si>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</si>
  <si>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</si>
  <si>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</si>
  <si>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</si>
  <si>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</si>
  <si>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</si>
  <si>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</si>
  <si>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</si>
  <si>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</si>
  <si>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2.3(old 22) was offline from 01/16
2. Inverter 1.17 was offline from 01/23 and back online on 01/26 at 10:00am</t>
  </si>
  <si>
    <t>1. SR080257
2. SR080410</t>
  </si>
  <si>
    <t>February Actual v. Expected</t>
  </si>
  <si>
    <t>February Actual v. Forecasted</t>
  </si>
  <si>
    <t>1. Inverter 2.3(old 22) was offline for entire month</t>
  </si>
  <si>
    <t>1. SR080257</t>
  </si>
  <si>
    <t>March Actual v. Expected</t>
  </si>
  <si>
    <t>March Actual v. Forecasted</t>
  </si>
  <si>
    <t xml:space="preserve">1. Inverter 2.3(old 22) was offline for entire month. Inverter being RMA'd
2. Inverter 1.15 was offline from offline on 03/21 </t>
  </si>
  <si>
    <t>1. SR080257
2. SR082315</t>
  </si>
  <si>
    <t>April Actual v. Expected</t>
  </si>
  <si>
    <t>April Actual v. Forecasted</t>
  </si>
  <si>
    <t>1. Inverter 1.15 is offline from 03/21 and back online at 10:45AM on 04/18.
2. Inverter 2.3(old 22) is offline from 01/15 and back online at 10:00AM on 04/18.
3. Actual Energy is the combination of Both MAC -Phase 1 and MAC Phase 2</t>
  </si>
  <si>
    <t>1. SR082315
2. SR080257</t>
  </si>
  <si>
    <t>May Actual v. Expected</t>
  </si>
  <si>
    <t>May Actual v. Forecasted</t>
  </si>
  <si>
    <t>1. Actual Energy is the combination of Both MAC -Phase 1 and MAC Phase 2</t>
  </si>
  <si>
    <t>June Actual v. Expected</t>
  </si>
  <si>
    <t>June Actual v. Forecasted</t>
  </si>
  <si>
    <t>1. Inverter 3.4 is offline from 07:00AM to 11:45AM on 06/11 and also again
Inverter 3.4 is offline from 07:00AM on 06/12 and back online at 15:10 on 06/16
2. Actual Energy is the combination of Both MAC -Phase 1 and MAC Phase 2</t>
  </si>
  <si>
    <t>1. SR085851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</si>
  <si>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</si>
  <si>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</si>
  <si>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</si>
  <si>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</si>
  <si>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</si>
  <si>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</si>
  <si>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</si>
  <si>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</si>
  <si>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</si>
  <si>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</si>
  <si>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</si>
  <si>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</si>
  <si>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</si>
  <si>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MAC Phase I</t>
  </si>
  <si>
    <t>Site DAS Name</t>
  </si>
  <si>
    <t>Update</t>
  </si>
  <si>
    <t>DAS</t>
  </si>
  <si>
    <t>MAC</t>
  </si>
  <si>
    <t>MAC - Phase 1</t>
  </si>
  <si>
    <t>MN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</si>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</sst>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1"/>
  <sheetViews>
    <sheetView workbookViewId="0">
      <pane ySplit="2" topLeftCell="A3" activePane="bottomLeft" state="frozen"/>
      <selection pane="bottomLeft" activeCell="B19" sqref="B19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MAC Phase I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SUM(C4:C89)</f>
        <v>1521582</v>
      </c>
      <c r="D2" s="6">
        <f>SUM(D4:D89)</f>
        <v>583224</v>
      </c>
      <c r="E2" s="6">
        <f>C2-D2</f>
        <v>938358</v>
      </c>
      <c r="F2" s="7">
        <f>IFERROR(E2/D2, 0)</f>
        <v>1.6089152709765031</v>
      </c>
      <c r="G2" s="6">
        <f>SUM(G4:G89)</f>
        <v>771856</v>
      </c>
      <c r="H2" s="8">
        <f>C2-G2</f>
        <v>749726</v>
      </c>
      <c r="I2" s="7">
        <f>IFERROR(H2/G2, 0)</f>
        <v>0.97132884890445881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MAC - Phase 1</v>
      </c>
      <c r="B4" s="10" t="str" cm="1">
        <f t="array" ref="B4">Sites[State]</f>
        <v>MN</v>
      </c>
      <c r="C4" s="26">
        <f>SUM('1st Qtr'!C4, '2nd Qtr'!C4, '3rd Qtr'!C4, '4th Qtr'!C4)</f>
        <v>1521582</v>
      </c>
      <c r="D4" s="14">
        <f>SUM('1st Qtr'!D4, '2nd Qtr'!D4, '3rd Qtr'!D4, '4th Qtr'!D4)</f>
        <v>583224</v>
      </c>
      <c r="E4" s="14">
        <f>IF(AND(ISNUMBER(C4),ISNUMBER(D4)), C4-D4, "")</f>
        <v>938358</v>
      </c>
      <c r="F4" s="15">
        <f>IFERROR(E4/D4, 0)</f>
        <v>1.6089152709765031</v>
      </c>
      <c r="G4" s="16">
        <f>SUM('1st Qtr'!G4,'2nd Qtr'!G4,'3rd Qtr'!G4,'4th Qtr'!G4)</f>
        <v>771856</v>
      </c>
      <c r="H4" s="16">
        <f>SUM('1st Qtr'!H4, '2nd Qtr'!H4, '3rd Qtr'!H4, '4th Qtr'!H4)</f>
        <v>749726</v>
      </c>
      <c r="I4" s="17">
        <f>IFERROR(H4/G4, 0)</f>
        <v>0.97132884890445881</v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9 I4:I8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1"/>
  <sheetViews>
    <sheetView workbookViewId="0">
      <pane ySplit="2" topLeftCell="A3" activePane="bottomLeft" state="frozen"/>
      <selection pane="bottomLeft" activeCell="I4" sqref="I4"/>
      <selection activeCell="E22" sqref="E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MAC Phase I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SUM(C4:C89)</f>
        <v>529169</v>
      </c>
      <c r="D2" s="6">
        <f>SUM(D4:D89)</f>
        <v>195387</v>
      </c>
      <c r="E2" s="6">
        <f>C2-D2</f>
        <v>333782</v>
      </c>
      <c r="F2" s="7">
        <f>IFERROR(E2/D2, 0)</f>
        <v>1.7083122213862745</v>
      </c>
      <c r="G2" s="6">
        <f>SUM(G4:G89)</f>
        <v>266160</v>
      </c>
      <c r="H2" s="8">
        <f>C2-G2</f>
        <v>263009</v>
      </c>
      <c r="I2" s="7">
        <f>IFERROR(H2/G2, 0)</f>
        <v>0.98816125638713559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MAC - Phase 1</v>
      </c>
      <c r="B4" s="10" t="str" cm="1">
        <f t="array" ref="B4">Sites[State]</f>
        <v>MN</v>
      </c>
      <c r="C4" s="26">
        <f>SUM(Jan!C4, Feb!C4, Mar!C4)</f>
        <v>529169</v>
      </c>
      <c r="D4" s="14">
        <f>SUM(Jan!D4, Feb!D4, Mar!D4)</f>
        <v>195387</v>
      </c>
      <c r="E4" s="14">
        <f>IF(AND(ISNUMBER(C4),ISNUMBER(D4)), C4-D4, "")</f>
        <v>333782</v>
      </c>
      <c r="F4" s="15">
        <f>IFERROR(E4/D4, 0)</f>
        <v>1.7083122213862745</v>
      </c>
      <c r="G4" s="16">
        <f>SUM(Jan!G4, Feb!G4, Mar!G4)</f>
        <v>266160</v>
      </c>
      <c r="H4" s="16">
        <f>SUM(Jan!H4, Feb!H4, Mar!H4)</f>
        <v>263009</v>
      </c>
      <c r="I4" s="17">
        <f>IFERROR(H4/G4, 0)</f>
        <v>0.98816125638713559</v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9 I4:I8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1"/>
  <sheetViews>
    <sheetView workbookViewId="0">
      <pane ySplit="2" topLeftCell="A3" activePane="bottomLeft" state="frozen"/>
      <selection pane="bottomLeft" activeCell="I4" sqref="I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MAC Phase I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SUM(C4:C89)</f>
        <v>992413</v>
      </c>
      <c r="D2" s="6">
        <f>SUM(D4:D89)</f>
        <v>387837</v>
      </c>
      <c r="E2" s="6">
        <f>C2-D2</f>
        <v>604576</v>
      </c>
      <c r="F2" s="7">
        <f>IFERROR(E2/D2, 0)</f>
        <v>1.5588404407006036</v>
      </c>
      <c r="G2" s="6">
        <f>SUM(G4:G89)</f>
        <v>505696</v>
      </c>
      <c r="H2" s="8">
        <f>C2-G2</f>
        <v>486717</v>
      </c>
      <c r="I2" s="7">
        <f>IFERROR(H2/G2, 0)</f>
        <v>0.96246954692147058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MAC - Phase 1</v>
      </c>
      <c r="B4" s="10" t="str" cm="1">
        <f t="array" ref="B4">Sites[State]</f>
        <v>MN</v>
      </c>
      <c r="C4" s="26">
        <f>SUM(Apr!C4, May!C4, Jun!C4)</f>
        <v>992413</v>
      </c>
      <c r="D4" s="14">
        <f>SUM(Apr!D4, May!D4, Jun!D4)</f>
        <v>387837</v>
      </c>
      <c r="E4" s="14">
        <f>IF(AND(ISNUMBER(C4),ISNUMBER(D4)), C4-D4, "")</f>
        <v>604576</v>
      </c>
      <c r="F4" s="15">
        <f>IFERROR(E4/D4, "")</f>
        <v>1.5588404407006036</v>
      </c>
      <c r="G4" s="16">
        <f>SUM(Apr!G4,May!G4,Jun!G4)</f>
        <v>505696</v>
      </c>
      <c r="H4" s="16">
        <f>SUM(Apr!H4, May!H4, Jun!H4)</f>
        <v>486717</v>
      </c>
      <c r="I4" s="17">
        <f>IFERROR(H4/G4, "")</f>
        <v>0.96246954692147058</v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9 I4:I8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A5" sqref="A5:XFD15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MAC Phase I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MAC - Phase 1</v>
      </c>
      <c r="B4" s="10" t="str" cm="1">
        <f t="array" ref="B4">Sites[State]</f>
        <v>MN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A5" sqref="A5:XFD15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MAC Phase I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MAC - Phase 1</v>
      </c>
      <c r="B4" s="10" t="str" cm="1">
        <f t="array" ref="B4">Sites[State]</f>
        <v>MN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K4" sqref="K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MAC Phase I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91599</v>
      </c>
      <c r="D2" s="6">
        <f>SUM(D4:D89)</f>
        <v>30865</v>
      </c>
      <c r="E2" s="6">
        <f>C2-D2</f>
        <v>60734</v>
      </c>
      <c r="F2" s="7">
        <f>IFERROR(E2/D2, 0)</f>
        <v>1.9677304390085857</v>
      </c>
      <c r="G2" s="6">
        <f>SUM(G4:G89)</f>
        <v>62234</v>
      </c>
      <c r="H2" s="8">
        <f>C2-G2</f>
        <v>29365</v>
      </c>
      <c r="I2" s="7">
        <f>IFERROR(H2/G2, 0)</f>
        <v>0.47184818587910143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28.5">
      <c r="A4" s="33" t="str" cm="1">
        <f t="array" ref="A4">Sites[Site]</f>
        <v>MAC - Phase 1</v>
      </c>
      <c r="B4" s="30" t="str" cm="1">
        <f t="array" ref="B4">Sites[State]</f>
        <v>MN</v>
      </c>
      <c r="C4" s="26">
        <v>91599</v>
      </c>
      <c r="D4" s="14">
        <v>30865</v>
      </c>
      <c r="E4" s="14">
        <f>IF(AND(ISNUMBER(C4),ISNUMBER(D4)), C4-D4, "")</f>
        <v>60734</v>
      </c>
      <c r="F4" s="15">
        <f>IFERROR(E4/D4, 0)</f>
        <v>1.9677304390085857</v>
      </c>
      <c r="G4" s="16">
        <v>62234</v>
      </c>
      <c r="H4" s="16">
        <f>IF(AND(ISNUMBER(C4),ISNUMBER(G4)), C4-G4, "")</f>
        <v>29365</v>
      </c>
      <c r="I4" s="17">
        <f>IFERROR(H4/G4, 0)</f>
        <v>0.47184818587910143</v>
      </c>
      <c r="J4" s="18" t="s">
        <v>22</v>
      </c>
      <c r="K4" s="18" t="s">
        <v>23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2"/>
  <sheetViews>
    <sheetView workbookViewId="0">
      <pane ySplit="2" topLeftCell="A3" activePane="bottomLeft" state="frozen"/>
      <selection pane="bottomLeft" activeCell="E19" sqref="E19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MAC Phase I</v>
      </c>
      <c r="B1" s="44"/>
      <c r="C1" s="44"/>
      <c r="D1" s="45" t="s">
        <v>24</v>
      </c>
      <c r="E1" s="45"/>
      <c r="F1" s="45"/>
      <c r="G1" s="43" t="s">
        <v>25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171585</v>
      </c>
      <c r="D2" s="6">
        <f>SUM(D4:D90)</f>
        <v>63395</v>
      </c>
      <c r="E2" s="6">
        <f>C2-D2</f>
        <v>108190</v>
      </c>
      <c r="F2" s="7">
        <f>IFERROR(E2/D2, 0)</f>
        <v>1.706601466992665</v>
      </c>
      <c r="G2" s="6">
        <f>SUM(G4:G90)</f>
        <v>84292</v>
      </c>
      <c r="H2" s="8">
        <f>C2-G2</f>
        <v>87293</v>
      </c>
      <c r="I2" s="7">
        <f>IFERROR(H2/G2, 0)</f>
        <v>1.0356024296493143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1</v>
      </c>
      <c r="B4" s="30" t="str" cm="1">
        <f t="array" ref="B4">Sites[State]</f>
        <v>MN</v>
      </c>
      <c r="C4" s="26">
        <v>171585</v>
      </c>
      <c r="D4" s="14">
        <v>63395</v>
      </c>
      <c r="E4" s="14">
        <f>IF(AND(ISNUMBER(C4),ISNUMBER(D4)), C4-D4, "")</f>
        <v>108190</v>
      </c>
      <c r="F4" s="15">
        <f>IFERROR(E4/D4, "")</f>
        <v>1.706601466992665</v>
      </c>
      <c r="G4" s="16">
        <v>84292</v>
      </c>
      <c r="H4" s="16">
        <f>IF(AND(ISNUMBER(C4),ISNUMBER(G4)), C4-G4, "")</f>
        <v>87293</v>
      </c>
      <c r="I4" s="17">
        <f>IFERROR(H4/G4, "")</f>
        <v>1.0356024296493143</v>
      </c>
      <c r="J4" s="18" t="s">
        <v>26</v>
      </c>
      <c r="K4" s="18" t="s">
        <v>27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G4" sqref="G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MAC Phase I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265985</v>
      </c>
      <c r="D2" s="6">
        <f>SUM(D4:D90)</f>
        <v>101127</v>
      </c>
      <c r="E2" s="6">
        <f>C2-D2</f>
        <v>164858</v>
      </c>
      <c r="F2" s="7">
        <f>IFERROR(E2/D2, 0)</f>
        <v>1.6302075607898978</v>
      </c>
      <c r="G2" s="6">
        <f>SUM(G4:G90)</f>
        <v>119634</v>
      </c>
      <c r="H2" s="8">
        <f>C2-G2</f>
        <v>146351</v>
      </c>
      <c r="I2" s="7">
        <f>IFERROR(H2/G2, 0)</f>
        <v>1.2233228012103583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28.5">
      <c r="A4" s="33" t="str" cm="1">
        <f t="array" ref="A4">Sites[Site]</f>
        <v>MAC - Phase 1</v>
      </c>
      <c r="B4" s="30" t="str" cm="1">
        <f t="array" ref="B4">Sites[State]</f>
        <v>MN</v>
      </c>
      <c r="C4" s="26">
        <v>265985</v>
      </c>
      <c r="D4" s="14">
        <v>101127</v>
      </c>
      <c r="E4" s="14">
        <f>IF(AND(ISNUMBER(C4),ISNUMBER(D4)), C4-D4, "")</f>
        <v>164858</v>
      </c>
      <c r="F4" s="15">
        <f>IFERROR(E4/D4, "")</f>
        <v>1.6302075607898978</v>
      </c>
      <c r="G4" s="16">
        <v>119634</v>
      </c>
      <c r="H4" s="16">
        <f>IF(AND(ISNUMBER(C4),ISNUMBER(G4)), C4-G4, "")</f>
        <v>146351</v>
      </c>
      <c r="I4" s="17">
        <f>IFERROR(H4/G4, "")</f>
        <v>1.2233228012103583</v>
      </c>
      <c r="J4" s="18" t="s">
        <v>30</v>
      </c>
      <c r="K4" s="18" t="s">
        <v>31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J4" sqref="J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MAC Phase I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284251</v>
      </c>
      <c r="D2" s="6">
        <f>SUM(D4:D90)</f>
        <v>108295</v>
      </c>
      <c r="E2" s="6">
        <f>C2-D2</f>
        <v>175956</v>
      </c>
      <c r="F2" s="7">
        <f>IFERROR(E2/D2, 0)</f>
        <v>1.624784154393093</v>
      </c>
      <c r="G2" s="6">
        <f>SUM(G4:G90)</f>
        <v>137029</v>
      </c>
      <c r="H2" s="8">
        <f>C2-G2</f>
        <v>147222</v>
      </c>
      <c r="I2" s="7">
        <f>IFERROR(H2/G2, 0)</f>
        <v>1.0743857139729547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60.75">
      <c r="A4" s="33" t="str" cm="1">
        <f t="array" ref="A4">Sites[Site]</f>
        <v>MAC - Phase 1</v>
      </c>
      <c r="B4" s="30" t="str" cm="1">
        <f t="array" ref="B4">Sites[State]</f>
        <v>MN</v>
      </c>
      <c r="C4" s="26">
        <v>284251</v>
      </c>
      <c r="D4" s="14">
        <v>108295</v>
      </c>
      <c r="E4" s="14">
        <f>IF(AND(ISNUMBER(C4),ISNUMBER(D4)), C4-D4, "")</f>
        <v>175956</v>
      </c>
      <c r="F4" s="15">
        <f>IFERROR(E4/D4, "")</f>
        <v>1.624784154393093</v>
      </c>
      <c r="G4" s="16">
        <v>137029</v>
      </c>
      <c r="H4" s="16">
        <f>IF(AND(ISNUMBER(C4),ISNUMBER(G4)), C4-G4, "")</f>
        <v>147222</v>
      </c>
      <c r="I4" s="17">
        <f>IFERROR(H4/G4, "")</f>
        <v>1.0743857139729547</v>
      </c>
      <c r="J4" s="18" t="s">
        <v>34</v>
      </c>
      <c r="K4" s="18" t="s">
        <v>35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J4" sqref="J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MAC Phase I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371604</v>
      </c>
      <c r="D2" s="6">
        <f>SUM(D4:D90)</f>
        <v>146173</v>
      </c>
      <c r="E2" s="6">
        <f>C2-D2</f>
        <v>225431</v>
      </c>
      <c r="F2" s="7">
        <f>IFERROR(E2/D2, 0)</f>
        <v>1.5422205195213889</v>
      </c>
      <c r="G2" s="6">
        <f>SUM(G4:G90)</f>
        <v>181197</v>
      </c>
      <c r="H2" s="8">
        <f>C2-G2</f>
        <v>190407</v>
      </c>
      <c r="I2" s="7">
        <f>IFERROR(H2/G2, 0)</f>
        <v>1.0508286561035778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1</v>
      </c>
      <c r="B4" s="30" t="str" cm="1">
        <f t="array" ref="B4">Sites[State]</f>
        <v>MN</v>
      </c>
      <c r="C4" s="26">
        <v>371604</v>
      </c>
      <c r="D4" s="14">
        <v>146173</v>
      </c>
      <c r="E4" s="14">
        <f>IF(AND(ISNUMBER(C4),ISNUMBER(D4)), C4-D4, "")</f>
        <v>225431</v>
      </c>
      <c r="F4" s="15">
        <f>IFERROR(E4/D4, "")</f>
        <v>1.5422205195213889</v>
      </c>
      <c r="G4" s="16">
        <v>181197</v>
      </c>
      <c r="H4" s="16">
        <f>IF(AND(ISNUMBER(C4),ISNUMBER(G4)), C4-G4, "")</f>
        <v>190407</v>
      </c>
      <c r="I4" s="17">
        <f>IFERROR(H4/G4, "")</f>
        <v>1.0508286561035778</v>
      </c>
      <c r="J4" s="18" t="s">
        <v>38</v>
      </c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abSelected="1" zoomScale="80" zoomScaleNormal="80" workbookViewId="0">
      <pane ySplit="2" topLeftCell="A3" activePane="bottomLeft" state="frozen"/>
      <selection pane="bottomLeft" activeCell="I11" sqref="I11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MAC Phase I</v>
      </c>
      <c r="B1" s="44"/>
      <c r="C1" s="44"/>
      <c r="D1" s="45" t="s">
        <v>39</v>
      </c>
      <c r="E1" s="45"/>
      <c r="F1" s="45"/>
      <c r="G1" s="43" t="s">
        <v>40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336558</v>
      </c>
      <c r="D2" s="6">
        <f>SUM(D4:D90)</f>
        <v>133369</v>
      </c>
      <c r="E2" s="6">
        <f>C2-D2</f>
        <v>203189</v>
      </c>
      <c r="F2" s="7">
        <f>IFERROR(E2/D2, 0)</f>
        <v>1.5235099610854097</v>
      </c>
      <c r="G2" s="6">
        <f>SUM(G4:G90)</f>
        <v>187470</v>
      </c>
      <c r="H2" s="8">
        <f>C2-G2</f>
        <v>149088</v>
      </c>
      <c r="I2" s="7">
        <f>IFERROR(H2/G2, 0)</f>
        <v>0.795263242118739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39.75" customHeight="1">
      <c r="A4" s="33" t="str" cm="1">
        <f t="array" ref="A4">Sites[Site]</f>
        <v>MAC - Phase 1</v>
      </c>
      <c r="B4" s="30" t="str" cm="1">
        <f t="array" ref="B4">Sites[State]</f>
        <v>MN</v>
      </c>
      <c r="C4" s="26">
        <v>336558</v>
      </c>
      <c r="D4" s="14">
        <v>133369</v>
      </c>
      <c r="E4" s="14">
        <f>IF(AND(ISNUMBER(C4),ISNUMBER(D4)), C4-D4, "")</f>
        <v>203189</v>
      </c>
      <c r="F4" s="15">
        <f>IFERROR(E4/D4, "")</f>
        <v>1.5235099610854097</v>
      </c>
      <c r="G4" s="16">
        <v>187470</v>
      </c>
      <c r="H4" s="16">
        <f>IF(AND(ISNUMBER(C4),ISNUMBER(G4)), C4-G4, "")</f>
        <v>149088</v>
      </c>
      <c r="I4" s="17">
        <f>IFERROR(H4/G4, "")</f>
        <v>0.795263242118739</v>
      </c>
      <c r="J4" s="18" t="s">
        <v>41</v>
      </c>
      <c r="K4" s="18" t="s">
        <v>42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MAC Phase I</v>
      </c>
      <c r="B1" s="44"/>
      <c r="C1" s="44"/>
      <c r="D1" s="45" t="s">
        <v>43</v>
      </c>
      <c r="E1" s="45"/>
      <c r="F1" s="45"/>
      <c r="G1" s="43" t="s">
        <v>44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1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MAC Phase I</v>
      </c>
      <c r="B1" s="44"/>
      <c r="C1" s="44"/>
      <c r="D1" s="45" t="s">
        <v>45</v>
      </c>
      <c r="E1" s="45"/>
      <c r="F1" s="45"/>
      <c r="G1" s="43" t="s">
        <v>46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1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MAC Phase I</v>
      </c>
      <c r="B1" s="44"/>
      <c r="C1" s="44"/>
      <c r="D1" s="45" t="s">
        <v>47</v>
      </c>
      <c r="E1" s="45"/>
      <c r="F1" s="45"/>
      <c r="G1" s="43" t="s">
        <v>48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1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MAC Phase I</v>
      </c>
      <c r="B1" s="44"/>
      <c r="C1" s="44"/>
      <c r="D1" s="45" t="s">
        <v>49</v>
      </c>
      <c r="E1" s="45"/>
      <c r="F1" s="45"/>
      <c r="G1" s="43" t="s">
        <v>50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1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MAC Phase I</v>
      </c>
      <c r="B1" s="44"/>
      <c r="C1" s="44"/>
      <c r="D1" s="45" t="s">
        <v>51</v>
      </c>
      <c r="E1" s="45"/>
      <c r="F1" s="45"/>
      <c r="G1" s="43" t="s">
        <v>52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1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MAC Phase I</v>
      </c>
      <c r="B1" s="44"/>
      <c r="C1" s="44"/>
      <c r="D1" s="45" t="s">
        <v>53</v>
      </c>
      <c r="E1" s="45"/>
      <c r="F1" s="45"/>
      <c r="G1" s="43" t="s">
        <v>54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1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16" sqref="B16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55</v>
      </c>
      <c r="B1" s="36" t="s">
        <v>56</v>
      </c>
    </row>
    <row r="3" spans="1:7">
      <c r="A3" t="s">
        <v>57</v>
      </c>
      <c r="B3" t="s">
        <v>3</v>
      </c>
      <c r="C3" t="s">
        <v>4</v>
      </c>
      <c r="D3" t="s">
        <v>58</v>
      </c>
      <c r="E3" s="2" t="s">
        <v>59</v>
      </c>
    </row>
    <row r="4" spans="1:7" ht="14.25">
      <c r="A4" t="s">
        <v>60</v>
      </c>
      <c r="B4" t="s">
        <v>61</v>
      </c>
      <c r="C4" s="4" t="s">
        <v>62</v>
      </c>
      <c r="E4" t="s">
        <v>63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66B09F59-6532-46F8-924A-9A02417E070D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7946C510-7D04-49D8-9B25-EEC04582A1CA}"/>
</file>

<file path=customXml/itemProps4.xml><?xml version="1.0" encoding="utf-8"?>
<ds:datastoreItem xmlns:ds="http://schemas.openxmlformats.org/officeDocument/2006/customXml" ds:itemID="{078388C9-06F9-42F4-B857-EF76B5CAF1FD}"/>
</file>

<file path=customXml/itemProps5.xml><?xml version="1.0" encoding="utf-8"?>
<ds:datastoreItem xmlns:ds="http://schemas.openxmlformats.org/officeDocument/2006/customXml" ds:itemID="{C0BCDC1E-6052-4E48-9BAF-94A40814E7C2}"/>
</file>

<file path=customXml/itemProps6.xml><?xml version="1.0" encoding="utf-8"?>
<ds:datastoreItem xmlns:ds="http://schemas.openxmlformats.org/officeDocument/2006/customXml" ds:itemID="{D3A7101F-9A85-4235-8B03-415370C100B2}"/>
</file>

<file path=customXml/itemProps7.xml><?xml version="1.0" encoding="utf-8"?>
<ds:datastoreItem xmlns:ds="http://schemas.openxmlformats.org/officeDocument/2006/customXml" ds:itemID="{1954BBA4-0359-438C-B0EC-A756015F7C02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BE26B669-A686-459C-A5E9-FEC3409C4C81}"/>
</file>

<file path=customXml/itemProps10.xml><?xml version="1.0" encoding="utf-8"?>
<ds:datastoreItem xmlns:ds="http://schemas.openxmlformats.org/officeDocument/2006/customXml" ds:itemID="{89CF5C07-45EB-4100-9AFB-2C6AF77FA787}"/>
</file>

<file path=customXml/itemProps11.xml><?xml version="1.0" encoding="utf-8"?>
<ds:datastoreItem xmlns:ds="http://schemas.openxmlformats.org/officeDocument/2006/customXml" ds:itemID="{F6B2B1A1-1C4B-4AC9-9A7D-7A102DD1C942}"/>
</file>

<file path=customXml/itemProps12.xml><?xml version="1.0" encoding="utf-8"?>
<ds:datastoreItem xmlns:ds="http://schemas.openxmlformats.org/officeDocument/2006/customXml" ds:itemID="{CB52044A-5C0B-44A2-99D0-C1C315EC302D}"/>
</file>

<file path=customXml/itemProps13.xml><?xml version="1.0" encoding="utf-8"?>
<ds:datastoreItem xmlns:ds="http://schemas.openxmlformats.org/officeDocument/2006/customXml" ds:itemID="{3AEAA9D8-2182-46BA-A58E-96C72DDA1C54}"/>
</file>

<file path=customXml/itemProps14.xml><?xml version="1.0" encoding="utf-8"?>
<ds:datastoreItem xmlns:ds="http://schemas.openxmlformats.org/officeDocument/2006/customXml" ds:itemID="{E3716282-BFD2-4ED2-BA47-BFA1123827F0}"/>
</file>

<file path=customXml/itemProps15.xml><?xml version="1.0" encoding="utf-8"?>
<ds:datastoreItem xmlns:ds="http://schemas.openxmlformats.org/officeDocument/2006/customXml" ds:itemID="{F12EFA50-0068-4A8C-85A0-F1B26389EBC3}"/>
</file>

<file path=customXml/itemProps16.xml><?xml version="1.0" encoding="utf-8"?>
<ds:datastoreItem xmlns:ds="http://schemas.openxmlformats.org/officeDocument/2006/customXml" ds:itemID="{0389C43E-394D-44C0-87DC-4780FCFCFB40}"/>
</file>

<file path=customXml/itemProps17.xml><?xml version="1.0" encoding="utf-8"?>
<ds:datastoreItem xmlns:ds="http://schemas.openxmlformats.org/officeDocument/2006/customXml" ds:itemID="{14966E4F-347B-477B-B74C-9DAC05405806}"/>
</file>

<file path=customXml/itemProps18.xml><?xml version="1.0" encoding="utf-8"?>
<ds:datastoreItem xmlns:ds="http://schemas.openxmlformats.org/officeDocument/2006/customXml" ds:itemID="{98A113BB-8B7A-453C-8BD4-8EFC67FC2D3F}"/>
</file>

<file path=customXml/itemProps19.xml><?xml version="1.0" encoding="utf-8"?>
<ds:datastoreItem xmlns:ds="http://schemas.openxmlformats.org/officeDocument/2006/customXml" ds:itemID="{E20E8303-6A67-485C-B6F4-303542CC295C}"/>
</file>

<file path=customXml/itemProps20.xml><?xml version="1.0" encoding="utf-8"?>
<ds:datastoreItem xmlns:ds="http://schemas.openxmlformats.org/officeDocument/2006/customXml" ds:itemID="{8D732231-4216-4543-A665-18A2886B0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/>
  <cp:revision/>
  <dcterms:created xsi:type="dcterms:W3CDTF">2021-01-01T16:39:53Z</dcterms:created>
  <dcterms:modified xsi:type="dcterms:W3CDTF">2024-07-10T07:42:36Z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