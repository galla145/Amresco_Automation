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8" documentId="13_ncr:1_{E7962A69-76DF-4017-BECC-7D71840AAF84}" xr6:coauthVersionLast="47" xr6:coauthVersionMax="47" xr10:uidLastSave="{7CF7EDC8-ACFF-45E4-BBDE-C567D6DB9DFF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" i="18"/>
  <c r="A4" i="4" a="1"/>
  <c r="A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<sst xmlns="http://schemas.openxmlformats.org/spreadsheetml/2006/main" count="244" uniqueCount="57">
  <si>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</si>
  <si>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</si>
  <si>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</si>
  <si>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</si>
  <si>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</si>
  <si>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</si>
  <si>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</si>
  <si>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</si>
  <si>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</si>
  <si>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</si>
  <si>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</si>
  <si>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</si>
  <si>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</si>
  <si>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</si>
  <si>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</si>
  <si>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</si>
  <si>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</si>
  <si>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</si>
  <si>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</si>
  <si>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</si>
  <si>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</si>
  <si>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</si>
  <si>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</si>
  <si>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</si>
  <si>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</si>
  <si>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</si>
  <si>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left unit is offline from 03/28.</t>
  </si>
  <si>
    <t>1. SR083210</t>
  </si>
  <si>
    <t>April Actual v. Expected</t>
  </si>
  <si>
    <t>April Actual v. Forecasted</t>
  </si>
  <si>
    <t>1. Inverter 1 left unit was offline from 03/27 and later back online at 16:40 on 04/30.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</si>
  <si>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</si>
  <si>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</si>
  <si>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</si>
  <si>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</si>
  <si>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</si>
  <si>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</si>
  <si>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</si>
  <si>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</si>
  <si>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</si>
  <si>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</si>
  <si>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</si>
  <si>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</si>
  <si>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</si>
  <si>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</si>
  <si>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</si>
  <si>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</si>
  <si>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</si>
  <si>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 Canton</t>
  </si>
  <si>
    <t>Site DAS Name</t>
  </si>
  <si>
    <t>Update</t>
  </si>
  <si>
    <t>DAS</t>
  </si>
  <si>
    <t>155 Will Drive</t>
  </si>
  <si>
    <t>MA: Canton - Will Canton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</si>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</sst>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165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5743ADE5-3994-4301-B263-F2E0558A95BD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E8009DF6-EA6A-40DC-8840-BDFC8DAB276A}"/>
    <cellStyle name="Note 2" xfId="44" xr:uid="{74FD8891-0B2B-4B5A-B89E-AB361AD9C09D}"/>
    <cellStyle name="Output" xfId="12" builtinId="21" customBuiltin="1"/>
    <cellStyle name="Percent" xfId="2" builtinId="5"/>
    <cellStyle name="Percent 2" xfId="47" xr:uid="{CC7E4D5D-9A24-428D-9E2F-A63C67CB85B6}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SUM(C4:C78)</f>
        <v>74215.001499999998</v>
      </c>
      <c r="D2" s="5">
        <f>SUM(D4:D78)</f>
        <v>0</v>
      </c>
      <c r="E2" s="5">
        <f>C2-D2</f>
        <v>74215.001499999998</v>
      </c>
      <c r="F2" s="6">
        <f>IFERROR(E2/D2, 0)</f>
        <v>0</v>
      </c>
      <c r="G2" s="5">
        <f>SUM(G4:G78)</f>
        <v>70649.989999999991</v>
      </c>
      <c r="H2" s="7">
        <f>C2-G2</f>
        <v>3565.0115000000078</v>
      </c>
      <c r="I2" s="6">
        <f>IFERROR(H2/G2, 0)</f>
        <v>5.0460184070797581E-2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Canton - Will Canton</v>
      </c>
      <c r="B4" s="9" t="str" cm="1">
        <f t="array" ref="B4">Sites[State]</f>
        <v>MA</v>
      </c>
      <c r="C4" s="23">
        <f>SUM('1st Qtr'!C4, '2nd Qtr'!C4, '3rd Qtr'!C4, '4th Qtr'!C4)</f>
        <v>74215.001499999998</v>
      </c>
      <c r="D4" s="12">
        <f>SUM('1st Qtr'!D4, '2nd Qtr'!D4, '3rd Qtr'!D4, '4th Qtr'!D4)</f>
        <v>0</v>
      </c>
      <c r="E4" s="12">
        <f>IF(AND(ISNUMBER(C4),ISNUMBER(D4)), C4-D4, "")</f>
        <v>74215.001499999998</v>
      </c>
      <c r="F4" s="13" t="str">
        <f>IFERROR(E4/D4, "")</f>
        <v/>
      </c>
      <c r="G4" s="14">
        <f>SUM('1st Qtr'!G4, '2nd Qtr'!G4, '3rd Qtr'!G4, '4th Qtr'!G4)</f>
        <v>70649.989999999991</v>
      </c>
      <c r="H4" s="14">
        <f>SUM('1st Qtr'!H4, '2nd Qtr'!H4, '3rd Qtr'!H4, '4th Qtr'!H4)</f>
        <v>3565.0114999999969</v>
      </c>
      <c r="I4" s="15">
        <f>IFERROR(H4/G4, "")</f>
        <v>5.0460184070797422E-2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8 I4:I7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SUM(C4:C78)</f>
        <v>25506.5625</v>
      </c>
      <c r="D2" s="5">
        <f>SUM(D4:D78)</f>
        <v>0</v>
      </c>
      <c r="E2" s="5">
        <f>C2-D2</f>
        <v>25506.5625</v>
      </c>
      <c r="F2" s="6">
        <f>IFERROR(E2/D2, 0)</f>
        <v>0</v>
      </c>
      <c r="G2" s="5">
        <f>SUM(G4:G78)</f>
        <v>27777</v>
      </c>
      <c r="H2" s="7">
        <f>C2-G2</f>
        <v>-2270.4375</v>
      </c>
      <c r="I2" s="6">
        <f>IFERROR(H2/G2, 0)</f>
        <v>-8.1738038665082627E-2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SUM(Jan!C4, Feb!C4, Mar!C4)</f>
        <v>25506.5625</v>
      </c>
      <c r="D4" s="12">
        <f>SUM(Jan!D4, Feb!D4, Mar!D4)</f>
        <v>0</v>
      </c>
      <c r="E4" s="12">
        <f>IF(AND(ISNUMBER(C4),ISNUMBER(D4)), C4-D4, "")</f>
        <v>25506.5625</v>
      </c>
      <c r="F4" s="13" t="str">
        <f>IFERROR(E4/D4, "")</f>
        <v/>
      </c>
      <c r="G4" s="14">
        <f>SUM(Jan!G4, Feb!G4, Mar!G4)</f>
        <v>27777</v>
      </c>
      <c r="H4" s="14">
        <f>SUM(Jan!H4, Feb!H4, Mar!H4)</f>
        <v>-2270.4375</v>
      </c>
      <c r="I4" s="15">
        <f>IFERROR(H4/G4, "")</f>
        <v>-8.1738038665082627E-2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8 I4:I7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SUM(C4:C78)</f>
        <v>48708.438999999998</v>
      </c>
      <c r="D2" s="5">
        <f>SUM(D4:D78)</f>
        <v>0</v>
      </c>
      <c r="E2" s="5">
        <f>C2-D2</f>
        <v>48708.438999999998</v>
      </c>
      <c r="F2" s="6">
        <f>IFERROR(E2/D2, 0)</f>
        <v>0</v>
      </c>
      <c r="G2" s="5">
        <f>SUM(G4:G78)</f>
        <v>42872.99</v>
      </c>
      <c r="H2" s="7">
        <f>C2-G2</f>
        <v>5835.4490000000005</v>
      </c>
      <c r="I2" s="6">
        <f>IFERROR(H2/G2, 0)</f>
        <v>0.13611014767106286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SUM(Apr!C4, May!C4, Jun!C4)</f>
        <v>48708.438999999998</v>
      </c>
      <c r="D4" s="12">
        <f>SUM(Apr!D4, May!D4, Jun!D4)</f>
        <v>0</v>
      </c>
      <c r="E4" s="12">
        <f>IF(AND(ISNUMBER(C4),ISNUMBER(D4)), C4-D4, "")</f>
        <v>48708.438999999998</v>
      </c>
      <c r="F4" s="13" t="str">
        <f>IFERROR(E4/D4, "")</f>
        <v/>
      </c>
      <c r="G4" s="14">
        <f>SUM(Apr!G4,May!G4,Jun!G4)</f>
        <v>42872.99</v>
      </c>
      <c r="H4" s="14">
        <f>SUM(Apr!H4, May!H4, Jun!H4)</f>
        <v>5835.4489999999969</v>
      </c>
      <c r="I4" s="15">
        <f>IFERROR(H4/G4, "")</f>
        <v>0.13611014767106278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workbookViewId="0">
      <pane xSplit="2" ySplit="3" topLeftCell="C4" activePane="bottomRight" state="frozen"/>
      <selection pane="bottomRight" activeCell="I8" sqref="I8"/>
      <selection pane="bottomLeft" activeCell="C8" sqref="C8"/>
      <selection pane="topRight" activeCell="C8" sqref="C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3384.4375</v>
      </c>
      <c r="D2" s="5">
        <f>SUM(D4:D77)</f>
        <v>0</v>
      </c>
      <c r="E2" s="5">
        <f>C2-D2</f>
        <v>3384.4375</v>
      </c>
      <c r="F2" s="6">
        <f>IFERROR(E2/D2, 0)</f>
        <v>0</v>
      </c>
      <c r="G2" s="5">
        <f>SUM(G4:G77)</f>
        <v>7169</v>
      </c>
      <c r="H2" s="7">
        <f>C2-G2</f>
        <v>-3784.5625</v>
      </c>
      <c r="I2" s="6">
        <f>IFERROR(H2/G2, 0)</f>
        <v>-0.527906611800809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Canton - Will Canton</v>
      </c>
      <c r="B4" s="27" t="str" cm="1">
        <f t="array" ref="B4">Sites[State]</f>
        <v>MA</v>
      </c>
      <c r="C4" s="12">
        <v>3384.4375</v>
      </c>
      <c r="D4" s="12">
        <v>0</v>
      </c>
      <c r="E4" s="12">
        <f>IF(AND(ISNUMBER(C4),ISNUMBER(D4)), C4-D4, "")</f>
        <v>3384.4375</v>
      </c>
      <c r="F4" s="40" t="str">
        <f>IFERROR(E4/D4, "")</f>
        <v/>
      </c>
      <c r="G4" s="14">
        <v>7169</v>
      </c>
      <c r="H4" s="14">
        <f>IF(AND(ISNUMBER(C4),ISNUMBER(G4)), C4-G4, "")</f>
        <v>-3784.5625</v>
      </c>
      <c r="I4" s="15">
        <f>IFERROR(H4/G4, "")</f>
        <v>-0.527906611800809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38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 I4:I77 F5:F7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0"/>
  <sheetViews>
    <sheetView workbookViewId="0">
      <pane xSplit="2" ySplit="3" topLeftCell="F4" activePane="bottomRight" state="frozen"/>
      <selection pane="bottomRight" activeCell="F12" sqref="F12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22</v>
      </c>
      <c r="E1" s="49"/>
      <c r="F1" s="49"/>
      <c r="G1" s="47" t="s">
        <v>23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9822.375</v>
      </c>
      <c r="D2" s="5">
        <f>SUM(D4:D78)</f>
        <v>0</v>
      </c>
      <c r="E2" s="5">
        <f>C2-D2</f>
        <v>9822.375</v>
      </c>
      <c r="F2" s="6">
        <f>IFERROR(E2/D2, 0)</f>
        <v>0</v>
      </c>
      <c r="G2" s="5">
        <f>SUM(G4:G78)</f>
        <v>8738</v>
      </c>
      <c r="H2" s="7">
        <f>C2-G2</f>
        <v>1084.375</v>
      </c>
      <c r="I2" s="6">
        <f>IFERROR(H2/G2, 0)</f>
        <v>0.12409876401922637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Canton - Will Canton</v>
      </c>
      <c r="B4" s="27" t="str" cm="1">
        <f t="array" ref="B4">Sites[State]</f>
        <v>MA</v>
      </c>
      <c r="C4" s="23">
        <v>9822.375</v>
      </c>
      <c r="D4" s="12">
        <v>0</v>
      </c>
      <c r="E4" s="12">
        <f>IF(AND(ISNUMBER(C4),ISNUMBER(D4)), C4-D4, "")</f>
        <v>9822.375</v>
      </c>
      <c r="F4" s="13" t="str">
        <f>IFERROR(E4/D4, "")</f>
        <v/>
      </c>
      <c r="G4" s="14">
        <v>8738</v>
      </c>
      <c r="H4" s="14">
        <f>IF(AND(ISNUMBER(C4),ISNUMBER(G4)), C4-G4, "")</f>
        <v>1084.375</v>
      </c>
      <c r="I4" s="15">
        <f>IFERROR(H4/G4, "")</f>
        <v>0.12409876401922637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0"/>
  <sheetViews>
    <sheetView workbookViewId="0">
      <pane xSplit="2" ySplit="3" topLeftCell="G4" activePane="bottomRight" state="frozen"/>
      <selection pane="bottomRight" activeCell="J4" sqref="J4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7" width="13.85546875" customWidth="1"/>
    <col min="8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12299.75</v>
      </c>
      <c r="D2" s="5">
        <f>SUM(D4:D78)</f>
        <v>0</v>
      </c>
      <c r="E2" s="5">
        <f>C2-D2</f>
        <v>12299.75</v>
      </c>
      <c r="F2" s="6">
        <f>IFERROR(E2/D2, 0)</f>
        <v>0</v>
      </c>
      <c r="G2" s="5">
        <f>SUM(G4:G78)</f>
        <v>11870</v>
      </c>
      <c r="H2" s="7">
        <f>C2-G2</f>
        <v>429.75</v>
      </c>
      <c r="I2" s="6">
        <f>IFERROR(H2/G2, 0)</f>
        <v>3.6204717775905643E-2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12299.75</v>
      </c>
      <c r="D4" s="12">
        <v>0</v>
      </c>
      <c r="E4" s="12">
        <f>IF(AND(ISNUMBER(C4),ISNUMBER(D4)), C4-D4, "")</f>
        <v>12299.75</v>
      </c>
      <c r="F4" s="13" t="str">
        <f>IFERROR(E4/D4, "")</f>
        <v/>
      </c>
      <c r="G4" s="14">
        <v>11870</v>
      </c>
      <c r="H4" s="14">
        <f>IF(AND(ISNUMBER(C4),ISNUMBER(G4)), C4-G4, "")</f>
        <v>429.75</v>
      </c>
      <c r="I4" s="15">
        <f>IFERROR(H4/G4, "")</f>
        <v>3.6204717775905643E-2</v>
      </c>
      <c r="J4" s="37" t="s">
        <v>26</v>
      </c>
      <c r="K4" s="37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0"/>
  <sheetViews>
    <sheetView tabSelected="1" workbookViewId="0">
      <pane xSplit="2" ySplit="3" topLeftCell="E4" activePane="bottomRight" state="frozen"/>
      <selection pane="bottomRight" activeCell="F8" sqref="F8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10375.188</v>
      </c>
      <c r="D2" s="5">
        <f>SUM(D4:D78)</f>
        <v>0</v>
      </c>
      <c r="E2" s="5">
        <f>C2-D2</f>
        <v>10375.188</v>
      </c>
      <c r="F2" s="6">
        <f>IFERROR(E2/D2, 0)</f>
        <v>0</v>
      </c>
      <c r="G2" s="5">
        <f>SUM(G4:G78)</f>
        <v>12891</v>
      </c>
      <c r="H2" s="7">
        <f>C2-G2</f>
        <v>-2515.8119999999999</v>
      </c>
      <c r="I2" s="6">
        <f>IFERROR(H2/G2, 0)</f>
        <v>-0.19516034442634395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10375.188</v>
      </c>
      <c r="D4" s="14">
        <v>0</v>
      </c>
      <c r="E4" s="12">
        <f>IF(AND(ISNUMBER(C4),ISNUMBER(D4)), C4-D4, "")</f>
        <v>10375.188</v>
      </c>
      <c r="F4" s="13" t="str">
        <f>IFERROR(E4/D4, "")</f>
        <v/>
      </c>
      <c r="G4" s="14">
        <v>12891</v>
      </c>
      <c r="H4" s="14">
        <f>IF(AND(ISNUMBER(C4),ISNUMBER(G4)), C4-G4, "")</f>
        <v>-2515.8119999999999</v>
      </c>
      <c r="I4" s="15">
        <f>IFERROR(H4/G4, "")</f>
        <v>-0.19516034442634395</v>
      </c>
      <c r="J4" s="37" t="s">
        <v>30</v>
      </c>
      <c r="K4" s="37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0"/>
  <sheetViews>
    <sheetView workbookViewId="0">
      <pane xSplit="2" ySplit="3" topLeftCell="C4" activePane="bottomRight" state="frozen"/>
      <selection pane="bottomRight" activeCell="I15" sqref="I15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18078.187999999998</v>
      </c>
      <c r="D2" s="5">
        <f>SUM(D4:D78)</f>
        <v>0</v>
      </c>
      <c r="E2" s="5">
        <f>C2-D2</f>
        <v>18078.187999999998</v>
      </c>
      <c r="F2" s="6">
        <f>IFERROR(E2/D2, 0)</f>
        <v>0</v>
      </c>
      <c r="G2" s="5">
        <f>SUM(G4:G78)</f>
        <v>15002.99</v>
      </c>
      <c r="H2" s="7">
        <f>C2-G2</f>
        <v>3075.1979999999985</v>
      </c>
      <c r="I2" s="6">
        <f>IFERROR(H2/G2, 0)</f>
        <v>0.20497234217979207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18078.187999999998</v>
      </c>
      <c r="D4" s="12">
        <v>0</v>
      </c>
      <c r="E4" s="12">
        <f>IF(AND(ISNUMBER(C4),ISNUMBER(D4)), C4-D4, "")</f>
        <v>18078.187999999998</v>
      </c>
      <c r="F4" s="13" t="str">
        <f>IFERROR(E4/D4, "")</f>
        <v/>
      </c>
      <c r="G4" s="14">
        <v>15002.99</v>
      </c>
      <c r="H4" s="14">
        <f>IF(AND(ISNUMBER(C4),ISNUMBER(G4)), C4-G4, "")</f>
        <v>3075.1979999999985</v>
      </c>
      <c r="I4" s="15">
        <f>IFERROR(H4/G4, "")</f>
        <v>0.20497234217979207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20255.062999999998</v>
      </c>
      <c r="D2" s="5">
        <f>SUM(D4:D78)</f>
        <v>0</v>
      </c>
      <c r="E2" s="5">
        <f>C2-D2</f>
        <v>20255.062999999998</v>
      </c>
      <c r="F2" s="6">
        <f>IFERROR(E2/D2, 0)</f>
        <v>0</v>
      </c>
      <c r="G2" s="5">
        <f>SUM(G4:G78)</f>
        <v>14979</v>
      </c>
      <c r="H2" s="7">
        <f>C2-G2</f>
        <v>5276.0629999999983</v>
      </c>
      <c r="I2" s="6">
        <f>IFERROR(H2/G2, 0)</f>
        <v>0.35223065625208616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20255.062999999998</v>
      </c>
      <c r="D4" s="12">
        <v>0</v>
      </c>
      <c r="E4" s="12">
        <f>IF(AND(ISNUMBER(C4),ISNUMBER(D4)), C4-D4, "")</f>
        <v>20255.062999999998</v>
      </c>
      <c r="F4" s="13" t="str">
        <f>IFERROR(E4/D4, "")</f>
        <v/>
      </c>
      <c r="G4" s="14">
        <v>14979</v>
      </c>
      <c r="H4" s="14">
        <f>IF(AND(ISNUMBER(C4),ISNUMBER(G4)), C4-G4, "")</f>
        <v>5276.0629999999983</v>
      </c>
      <c r="I4" s="15">
        <f>IFERROR(H4/G4, "")</f>
        <v>0.35223065625208616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39</v>
      </c>
      <c r="E1" s="49"/>
      <c r="F1" s="49"/>
      <c r="G1" s="47" t="s">
        <v>40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41</v>
      </c>
      <c r="E1" s="49"/>
      <c r="F1" s="49"/>
      <c r="G1" s="47" t="s">
        <v>42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5" t="s">
        <v>52</v>
      </c>
      <c r="B4" t="s">
        <v>53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9"/>
      <c r="L10" s="39"/>
    </row>
    <row r="11" spans="1:12" ht="12.75" customHeight="1">
      <c r="A11" s="45"/>
      <c r="C11" s="43"/>
      <c r="D11" s="42"/>
      <c r="K11" s="39"/>
      <c r="L11" s="39"/>
    </row>
    <row r="12" spans="1:12" ht="12.75" customHeight="1">
      <c r="A12" s="45"/>
      <c r="C12" s="43"/>
      <c r="D12" s="42"/>
      <c r="K12" s="39"/>
      <c r="L12" s="39"/>
    </row>
    <row r="13" spans="1:12" ht="12.75" customHeight="1">
      <c r="A13" s="45"/>
      <c r="C13" s="43"/>
      <c r="D13" s="42"/>
      <c r="K13" s="39"/>
      <c r="L13" s="39"/>
    </row>
    <row r="14" spans="1:12" ht="12.75" customHeight="1">
      <c r="A14" s="45"/>
      <c r="C14" s="43"/>
      <c r="D14" s="42"/>
      <c r="K14" s="39"/>
      <c r="L14" s="39"/>
    </row>
    <row r="15" spans="1:12" ht="12.75" customHeight="1">
      <c r="A15" s="45"/>
      <c r="C15" s="43"/>
      <c r="D15" s="42"/>
      <c r="K15" s="39"/>
      <c r="L15" s="39"/>
    </row>
    <row r="16" spans="1:12" ht="12.75" customHeight="1">
      <c r="A16" s="45"/>
      <c r="C16" s="43"/>
      <c r="D16" s="42"/>
      <c r="K16" s="39"/>
      <c r="L16" s="39"/>
    </row>
    <row r="17" spans="1:12" ht="12.75" customHeight="1">
      <c r="A17" s="45"/>
      <c r="C17" s="43"/>
      <c r="D17" s="42"/>
      <c r="K17" s="39"/>
      <c r="L17" s="39"/>
    </row>
    <row r="18" spans="1:12" ht="12.75" customHeight="1">
      <c r="A18" s="45"/>
      <c r="C18" s="43"/>
      <c r="D18" s="42"/>
      <c r="K18" s="39"/>
      <c r="L18" s="39"/>
    </row>
    <row r="19" spans="1:12" ht="12.75" customHeight="1">
      <c r="A19" s="45"/>
      <c r="C19" s="43"/>
      <c r="D19" s="42"/>
      <c r="K19" s="39"/>
      <c r="L19" s="39"/>
    </row>
    <row r="20" spans="1:12" ht="12.75" customHeight="1">
      <c r="A20" s="45"/>
      <c r="C20" s="43"/>
      <c r="D20" s="42"/>
      <c r="K20" s="39"/>
      <c r="L20" s="39"/>
    </row>
    <row r="21" spans="1:12" ht="12.75" customHeight="1">
      <c r="A21" s="45"/>
      <c r="C21" s="43"/>
      <c r="D21" s="42"/>
      <c r="K21" s="39"/>
      <c r="L21" s="39"/>
    </row>
    <row r="22" spans="1:12" ht="12.75" customHeight="1">
      <c r="A22" s="45"/>
      <c r="C22" s="43"/>
      <c r="D22" s="42"/>
      <c r="K22" s="39"/>
      <c r="L22" s="39"/>
    </row>
    <row r="23" spans="1:12" ht="12.75" customHeight="1">
      <c r="A23" s="45"/>
      <c r="C23" s="43"/>
      <c r="D23" s="42"/>
      <c r="K23" s="39"/>
      <c r="L23" s="39"/>
    </row>
    <row r="24" spans="1:12" ht="12.75" customHeight="1">
      <c r="A24" s="45"/>
      <c r="C24" s="43"/>
      <c r="D24" s="42"/>
      <c r="K24" s="39"/>
      <c r="L24" s="39"/>
    </row>
    <row r="25" spans="1:12" ht="12.75" customHeight="1">
      <c r="A25" s="45"/>
      <c r="C25" s="43"/>
      <c r="D25" s="42"/>
      <c r="K25" s="39"/>
      <c r="L25" s="39"/>
    </row>
    <row r="26" spans="1:12" ht="12.75" customHeight="1">
      <c r="K26" s="39"/>
      <c r="L26" s="39"/>
    </row>
    <row r="27" spans="1:12" ht="12.75" customHeight="1">
      <c r="K27" s="39"/>
      <c r="L27" s="39"/>
    </row>
    <row r="28" spans="1:12" ht="12.75" customHeight="1">
      <c r="K28" s="39"/>
      <c r="L28" s="39"/>
    </row>
    <row r="29" spans="1:12" ht="12.75" customHeight="1">
      <c r="K29" s="39"/>
      <c r="L29" s="39"/>
    </row>
    <row r="30" spans="1:12" ht="12.75" customHeight="1">
      <c r="K30" s="39"/>
      <c r="L30" s="39"/>
    </row>
    <row r="31" spans="1:12" ht="12.75" customHeight="1">
      <c r="K31" s="39"/>
      <c r="L31" s="3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Harper, Amanda</cp:lastModifiedBy>
  <cp:revision/>
  <dcterms:created xsi:type="dcterms:W3CDTF">2021-01-01T16:39:53Z</dcterms:created>
  <dcterms:modified xsi:type="dcterms:W3CDTF">2024-08-23T16:43:43Z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2024-08-23T16:42:57Z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dc22e5cf-c814-4878-b801-787b82aea9d3</vt:lpwstr>
  </property>
  <property fmtid="{D5CDD505-2E9C-101B-9397-08002B2CF9AE}" pid="9" name="MSIP_Label_9d817c99-0b37-4a07-8277-96aa1f96b74b_ContentBits">
    <vt:lpwstr>0</vt:lpwstr>
  </property>
</Properties>
</file>