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rinivasakrishnan_amgsol_com/Documents/Microsoft Teams Chat Files/"/>
    </mc:Choice>
  </mc:AlternateContent>
  <xr:revisionPtr revIDLastSave="0" documentId="8_{C5BA462C-1EB0-4CA5-B98B-62D3FCB2D26E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9" l="1" a="1"/>
  <c r="A4" i="19" s="1"/>
  <c r="A4" i="4" a="1"/>
  <c r="A4" i="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5" i="1"/>
  <c r="G5" i="34" s="1"/>
  <c r="G4" i="1"/>
  <c r="G4" i="34" s="1"/>
  <c r="D14" i="34"/>
  <c r="D13" i="34"/>
  <c r="D12" i="34"/>
  <c r="D11" i="34"/>
  <c r="D10" i="34"/>
  <c r="D9" i="34"/>
  <c r="D8" i="34"/>
  <c r="D7" i="34"/>
  <c r="D6" i="34"/>
  <c r="D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E6" i="30" s="1"/>
  <c r="F6" i="30" s="1"/>
  <c r="D5" i="30"/>
  <c r="C5" i="30"/>
  <c r="D4" i="30"/>
  <c r="C4" i="30"/>
  <c r="D14" i="29"/>
  <c r="C14" i="29"/>
  <c r="E14" i="29" s="1"/>
  <c r="F14" i="29" s="1"/>
  <c r="D13" i="29"/>
  <c r="C13" i="29"/>
  <c r="E13" i="29" s="1"/>
  <c r="F13" i="29" s="1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5" i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G2" i="34"/>
  <c r="H2" i="20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E7" i="34"/>
  <c r="F7" i="34" s="1"/>
  <c r="E8" i="34"/>
  <c r="F8" i="34" s="1"/>
  <c r="E14" i="34"/>
  <c r="F14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<sst xmlns="http://schemas.openxmlformats.org/spreadsheetml/2006/main" count="309" uniqueCount="98">
  <si>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</si>
  <si>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</si>
  <si>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</si>
  <si>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</si>
  <si>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</si>
  <si>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</si>
  <si>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</si>
  <si>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</si>
  <si>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</si>
  <si>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</si>
  <si>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</si>
  <si>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</si>
  <si>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</si>
  <si>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</si>
  <si>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</si>
  <si>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</si>
  <si>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</si>
  <si>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</si>
  <si>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</si>
  <si>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</si>
  <si>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</si>
  <si>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</si>
  <si>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6 tripped offline on 01/08/2024 &amp; back online on 01/17/2024</t>
  </si>
  <si>
    <t>1. SR080052</t>
  </si>
  <si>
    <t xml:space="preserve">1. Inverter tripped offline on 01/01/2024 at 14:15 &amp; back online 01/03/2024 at 11:15 AM. </t>
  </si>
  <si>
    <t>1. SR079868</t>
  </si>
  <si>
    <t>February Actual v. Expected</t>
  </si>
  <si>
    <t>February Actual v. Forecasted</t>
  </si>
  <si>
    <t>1. Inverter 2 tripped offline on 02/05 and back online on 02/07
2. Inverter 5 tripped offline on 02/09 and back online on 02/13
3. Inverter 3 tripped offline on 02/17 and back online on 02/21</t>
  </si>
  <si>
    <t>1. SR080747
2. SR080903
3. SR081078</t>
  </si>
  <si>
    <t xml:space="preserve">
</t>
  </si>
  <si>
    <t xml:space="preserve">1. Inverter 2 is offline from 02/07 to 03/02.
</t>
  </si>
  <si>
    <t xml:space="preserve">1. SR080834
</t>
  </si>
  <si>
    <t>1. Inverter 2 tripped offline on 02/05 and back online on 02/07</t>
  </si>
  <si>
    <t>1.SR080750</t>
  </si>
  <si>
    <t>March Actual v. Expected</t>
  </si>
  <si>
    <t>March Actual v. Forecasted</t>
  </si>
  <si>
    <t>1. Inverter 2 tripped offline on 03/31 and back online on 04/0</t>
  </si>
  <si>
    <t>1.SR082951</t>
  </si>
  <si>
    <t>1. Inverter 2 tripped offline on 03/05 and back online on 03/07
2. Inverter 1 tripped offline on 03/18 and back online 03/19 and again tripped offline on 03/30 and back online on 04/01</t>
  </si>
  <si>
    <t>1. SR081586
2. 	SR082015</t>
  </si>
  <si>
    <t>April Actual v. Expected</t>
  </si>
  <si>
    <t>April Actual v. Forecasted</t>
  </si>
  <si>
    <t>1. Inverter 2 is underperforming 25kW compared to peer from 04/25</t>
  </si>
  <si>
    <t>1. SR083890</t>
  </si>
  <si>
    <t>May Actual v. Expected</t>
  </si>
  <si>
    <t>May Actual v. Forecasted</t>
  </si>
  <si>
    <t>1. Inverter 1 was tripping on and off throughout the month. Inverter 1 tripped offline at 14:45 on 05/23 and back online at 08:30 on 05/31</t>
  </si>
  <si>
    <t>1. SR084986</t>
  </si>
  <si>
    <t>1. Inverters 5 and 6 are derating during peak hours from 05/28 possibly due to fan wassue</t>
  </si>
  <si>
    <t>1. SR085334</t>
  </si>
  <si>
    <t>1. Inverter 2 was derating during peak hours from 05/13</t>
  </si>
  <si>
    <t>1. SR085328</t>
  </si>
  <si>
    <t>1. Inverter 2 was underperforming 25kW compared to peer from 04/25</t>
  </si>
  <si>
    <t>1. Inverter 1 was tripping on and off on 05/15,05/29,05/30. Inverter 1 tripped offline at 14:00 on 05/31</t>
  </si>
  <si>
    <t>1. SR085389</t>
  </si>
  <si>
    <t>June Actual v. Expected</t>
  </si>
  <si>
    <t>June Actual v. Forecasted</t>
  </si>
  <si>
    <t>1. Weather station stopped reporting at 08:19 on 06/19 due to that expected value was low</t>
  </si>
  <si>
    <t>1. SR087515</t>
  </si>
  <si>
    <t>1. Inverter 1 tripped offline at 11:30 on 06/03 and was offline throughout the month</t>
  </si>
  <si>
    <t>1. SR085515</t>
  </si>
  <si>
    <t>1. Inverters 5 and 6 are derating during peak hours whole month possibly due to fan wassue</t>
  </si>
  <si>
    <t>1. Site stopped communicating from 06/19 at 05:00, possibly offline
2. Inverter 1 was offline from 05/30 and came back online on 06/14. Inverter again offline from 06/16 and was still offline</t>
  </si>
  <si>
    <t>1. SR086425
2. SR085389</t>
  </si>
  <si>
    <t>1. Site stopped communicating from 06/19 at 05:00, possibly offline</t>
  </si>
  <si>
    <t>1. SR086426</t>
  </si>
  <si>
    <t>1. Inverter 2 tripped offline at 08:00 on 06/12 and back online at 11:00 on 06/21</t>
  </si>
  <si>
    <t xml:space="preserve">1. SR086086	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</si>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</sst>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49" fontId="34" fillId="38" borderId="0" xfId="2" applyNumberFormat="1" applyFont="1" applyFill="1" applyBorder="1" applyAlignment="1">
      <alignment horizontal="left" vertical="top" wrapText="1"/>
    </xf>
    <xf numFmtId="0" fontId="35" fillId="0" borderId="0" xfId="0" applyFont="1"/>
    <xf numFmtId="0" fontId="35" fillId="0" borderId="0" xfId="0" applyFont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36" fillId="0" borderId="0" xfId="0" applyFont="1"/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49" fontId="29" fillId="38" borderId="0" xfId="2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22" activePane="bottomLeft" state="frozen"/>
      <selection pane="bottomLeft" activeCell="F22" sqref="F22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SUM(C4:C86)</f>
        <v>1077567.085</v>
      </c>
      <c r="D2" s="5">
        <f>SUM(D4:D86)</f>
        <v>1047604.3209999998</v>
      </c>
      <c r="E2" s="5">
        <f>C2-D2</f>
        <v>29962.764000000199</v>
      </c>
      <c r="F2" s="6">
        <f>IFERROR(E2/D2, 0)</f>
        <v>2.8601222235699622E-2</v>
      </c>
      <c r="G2" s="5">
        <f>SUM(G4:G86)</f>
        <v>1086830.6070000001</v>
      </c>
      <c r="H2" s="7">
        <f>C2-G2</f>
        <v>-9263.5220000001136</v>
      </c>
      <c r="I2" s="6">
        <f>IFERROR(H2/G2, 0)</f>
        <v>-8.5234276071506632E-3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52104.25</v>
      </c>
      <c r="D4" s="13">
        <f>SUM('1st Qtr'!D4, '2nd Qtr'!D4, '3rd Qtr'!D4, '4th Qtr'!D4)</f>
        <v>39687.525999999998</v>
      </c>
      <c r="E4" s="13">
        <f>IF(AND(ISNUMBER(C4),ISNUMBER(D4)), C4-D4, "")</f>
        <v>12416.724000000002</v>
      </c>
      <c r="F4" s="14">
        <f>IFERROR(E4/D4, "")</f>
        <v>0.31286213204622537</v>
      </c>
      <c r="G4" s="15">
        <f>SUM('1st Qtr'!G4,'2nd Qtr'!G4,'3rd Qtr'!G4,'4th Qtr'!G4)</f>
        <v>23861.518</v>
      </c>
      <c r="H4" s="15">
        <f>SUM('1st Qtr'!H4, '2nd Qtr'!H4, '3rd Qtr'!H4, '4th Qtr'!H4)</f>
        <v>-7679.1179999999986</v>
      </c>
      <c r="I4" s="16">
        <f>IFERROR(H4/G4, "")</f>
        <v>-0.3218201792526359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SUM('1st Qtr'!G5,'2nd Qtr'!G5,'3rd Qtr'!G5,'4th Qtr'!G5)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SUM('1st Qtr'!G6,'2nd Qtr'!G6,'3rd Qtr'!G6,'4th Qtr'!G6)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SUM('1st Qtr'!G7,'2nd Qtr'!G7,'3rd Qtr'!G7,'4th Qtr'!G7)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SUM('1st Qtr'!G8,'2nd Qtr'!G8,'3rd Qtr'!G8,'4th Qtr'!G8)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SUM('1st Qtr'!G9,'2nd Qtr'!G9,'3rd Qtr'!G9,'4th Qtr'!G9)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SUM('1st Qtr'!G10,'2nd Qtr'!G10,'3rd Qtr'!G10,'4th Qtr'!G10)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SUM('1st Qtr'!G11,'2nd Qtr'!G11,'3rd Qtr'!G11,'4th Qtr'!G11)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SUM('1st Qtr'!G12,'2nd Qtr'!G12,'3rd Qtr'!G12,'4th Qtr'!G12)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SUM('1st Qtr'!G13,'2nd Qtr'!G13,'3rd Qtr'!G13,'4th Qtr'!G13)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SUM('1st Qtr'!G14,'2nd Qtr'!G14,'3rd Qtr'!G14,'4th Qtr'!G14)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SUM(C4:C86)</f>
        <v>1046494.21</v>
      </c>
      <c r="D2" s="5">
        <f>SUM(D4:D86)</f>
        <v>1025165.4349999998</v>
      </c>
      <c r="E2" s="5">
        <f>C2-D2</f>
        <v>21328.77500000014</v>
      </c>
      <c r="F2" s="6">
        <f>IFERROR(E2/D2, 0)</f>
        <v>2.0805203015843141E-2</v>
      </c>
      <c r="G2" s="5">
        <f>SUM(G4:G86)</f>
        <v>1086830.6070000001</v>
      </c>
      <c r="H2" s="7">
        <f>C2-G2</f>
        <v>-40336.397000000114</v>
      </c>
      <c r="I2" s="6">
        <f>IFERROR(H2/G2, 0)</f>
        <v>-3.7113784558700888E-2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21031.375</v>
      </c>
      <c r="D4" s="13">
        <f>SUM(Jan!D4, Feb!D4, Mar!D4)</f>
        <v>17248.64</v>
      </c>
      <c r="E4" s="13">
        <f>IF(AND(ISNUMBER(C4),ISNUMBER(D4)), C4-D4, "")</f>
        <v>3782.7350000000006</v>
      </c>
      <c r="F4" s="14">
        <f>IFERROR(E4/D4, "")</f>
        <v>0.21930627574115993</v>
      </c>
      <c r="G4" s="15">
        <f>SUM(Jan!G4, Feb!G4, Mar!G4)</f>
        <v>23861.518</v>
      </c>
      <c r="H4" s="15">
        <f>SUM(Jan!H4, Feb!H4, Mar!H4)</f>
        <v>-2830.143</v>
      </c>
      <c r="I4" s="16">
        <f>IFERROR(H4/G4, "")</f>
        <v>-0.11860699725809565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SUM(Jan!G5, Feb!G5, Mar!G5)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SUM(Jan!G6, Feb!G6, Mar!G6)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SUM(Jan!G7, Feb!G7, Mar!G7)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SUM(Jan!G8, Feb!G8, Mar!G8)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SUM(Jan!G9, Feb!G9, Mar!G9)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SUM(Jan!G10, Feb!G10, Mar!G10)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SUM(Jan!G11, Feb!G11, Mar!G11)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SUM(Jan!G12, Feb!G12, Mar!G12)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SUM(Jan!G13, Feb!G13, Mar!G13)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SUM(Jan!G14, Feb!G14, Mar!G14)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SUM(C4:C86)</f>
        <v>1586107.75</v>
      </c>
      <c r="D2" s="5">
        <f>SUM(D4:D86)</f>
        <v>1518952.6670000001</v>
      </c>
      <c r="E2" s="5">
        <f>C2-D2</f>
        <v>67155.082999999868</v>
      </c>
      <c r="F2" s="6">
        <f>IFERROR(E2/D2, 0)</f>
        <v>4.4211438880866628E-2</v>
      </c>
      <c r="G2" s="5">
        <f>SUM(G4:G86)</f>
        <v>0</v>
      </c>
      <c r="H2" s="7">
        <f>C2-G2</f>
        <v>1586107.75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31072.875</v>
      </c>
      <c r="D4" s="13">
        <f>SUM(Apr!D4, May!D4, Jun!D4)</f>
        <v>22438.885999999999</v>
      </c>
      <c r="E4" s="13">
        <f>IF(AND(ISNUMBER(C4),ISNUMBER(D4)), C4-D4, "")</f>
        <v>8633.9890000000014</v>
      </c>
      <c r="F4" s="14">
        <f>IFERROR(E4/D4, "")</f>
        <v>0.38477796981543566</v>
      </c>
      <c r="G4" s="15"/>
      <c r="H4" s="15">
        <f>SUM(Apr!H4, May!H4, Jun!H4)</f>
        <v>-4848.9749999999985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SUM(Apr!C5, May!C5, Jun!C5)</f>
        <v>93292.25</v>
      </c>
      <c r="D5" s="19">
        <f>SUM(Apr!D5, May!D5, Jun!D5)</f>
        <v>121646.69</v>
      </c>
      <c r="E5" s="19">
        <f t="shared" ref="E5:E14" si="0">IF(AND(ISNUMBER(C5),ISNUMBER(D5)), C5-D5, "")</f>
        <v>-28354.440000000002</v>
      </c>
      <c r="F5" s="20">
        <f>IFERROR(E5/D5, "")</f>
        <v>-0.23308846299064942</v>
      </c>
      <c r="G5" s="21"/>
      <c r="H5" s="21">
        <f>SUM(Apr!H5, May!H5, Jun!H5)</f>
        <v>-43165.88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SUM(Apr!C6, May!C6, Jun!C6)</f>
        <v>471176.75</v>
      </c>
      <c r="D6" s="13">
        <f>SUM(Apr!D6, May!D6, Jun!D6)</f>
        <v>457543.4</v>
      </c>
      <c r="E6" s="13">
        <f t="shared" si="0"/>
        <v>13633.349999999977</v>
      </c>
      <c r="F6" s="14">
        <f t="shared" ref="F6:F14" si="1">IFERROR(E6/D6, "")</f>
        <v>2.9796845501432162E-2</v>
      </c>
      <c r="G6" s="15"/>
      <c r="H6" s="15">
        <f>SUM(Apr!H6, May!H6, Jun!H6)</f>
        <v>-28810.949999999983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SUM(Apr!C7, May!C7, Jun!C7)</f>
        <v>41733.875</v>
      </c>
      <c r="D7" s="19">
        <f>SUM(Apr!D7, May!D7, Jun!D7)</f>
        <v>38280.25</v>
      </c>
      <c r="E7" s="19">
        <f t="shared" si="0"/>
        <v>3453.625</v>
      </c>
      <c r="F7" s="20">
        <f t="shared" si="1"/>
        <v>9.0219499611418424E-2</v>
      </c>
      <c r="G7" s="21"/>
      <c r="H7" s="21">
        <f>SUM(Apr!H7, May!H7, Jun!H7)</f>
        <v>-6760.8250000000007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SUM(Apr!C8, May!C8, Jun!C8)</f>
        <v>312344</v>
      </c>
      <c r="D8" s="13">
        <f>SUM(Apr!D8, May!D8, Jun!D8)</f>
        <v>291114.13099999999</v>
      </c>
      <c r="E8" s="13">
        <f t="shared" si="0"/>
        <v>21229.869000000006</v>
      </c>
      <c r="F8" s="14">
        <f t="shared" si="1"/>
        <v>7.2926274403354224E-2</v>
      </c>
      <c r="G8" s="15"/>
      <c r="H8" s="15">
        <f>SUM(Apr!H8, May!H8, Jun!H8)</f>
        <v>17268.560999999987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SUM(Apr!C9, May!C9, Jun!C9)</f>
        <v>88645.875</v>
      </c>
      <c r="D9" s="19">
        <f>SUM(Apr!D9, May!D9, Jun!D9)</f>
        <v>88177.39</v>
      </c>
      <c r="E9" s="19">
        <f t="shared" si="0"/>
        <v>468.48500000000058</v>
      </c>
      <c r="F9" s="20">
        <f t="shared" si="1"/>
        <v>5.312983294243576E-3</v>
      </c>
      <c r="G9" s="21"/>
      <c r="H9" s="21">
        <f>SUM(Apr!H9, May!H9, Jun!H9)</f>
        <v>-1338.5550000000003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SUM(Apr!C10, May!C10, Jun!C10)</f>
        <v>118986.75</v>
      </c>
      <c r="D10" s="13">
        <f>SUM(Apr!D10, May!D10, Jun!D10)</f>
        <v>108655.45999999999</v>
      </c>
      <c r="E10" s="13">
        <f t="shared" si="0"/>
        <v>10331.290000000008</v>
      </c>
      <c r="F10" s="14">
        <f t="shared" si="1"/>
        <v>9.5083026660602324E-2</v>
      </c>
      <c r="G10" s="15"/>
      <c r="H10" s="15">
        <f>SUM(Apr!H10, May!H10, Jun!H10)</f>
        <v>-14257.830000000002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SUM(Apr!C11, May!C11, Jun!C11)</f>
        <v>114045.25</v>
      </c>
      <c r="D11" s="19">
        <f>SUM(Apr!D11, May!D11, Jun!D11)</f>
        <v>99690.01</v>
      </c>
      <c r="E11" s="19">
        <f t="shared" si="0"/>
        <v>14355.240000000005</v>
      </c>
      <c r="F11" s="20">
        <f t="shared" si="1"/>
        <v>0.1439987818237756</v>
      </c>
      <c r="G11" s="21"/>
      <c r="H11" s="21">
        <f>SUM(Apr!H11, May!H11, Jun!H11)</f>
        <v>-8168.7099999999991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SUM(Apr!C12, May!C12, Jun!C12)</f>
        <v>86248.125</v>
      </c>
      <c r="D12" s="13">
        <f>SUM(Apr!D12, May!D12, Jun!D12)</f>
        <v>84131.469999999987</v>
      </c>
      <c r="E12" s="13">
        <f t="shared" si="0"/>
        <v>2116.6550000000134</v>
      </c>
      <c r="F12" s="14">
        <f t="shared" si="1"/>
        <v>2.5158897140392458E-2</v>
      </c>
      <c r="G12" s="15"/>
      <c r="H12" s="15">
        <f>SUM(Apr!H12, May!H12, Jun!H12)</f>
        <v>-39150.665000000001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SUM(Apr!C13, May!C13, Jun!C13)</f>
        <v>104839</v>
      </c>
      <c r="D13" s="19">
        <f>SUM(Apr!D13, May!D13, Jun!D13)</f>
        <v>91869.42</v>
      </c>
      <c r="E13" s="19">
        <f t="shared" si="0"/>
        <v>12969.580000000002</v>
      </c>
      <c r="F13" s="20">
        <f t="shared" si="1"/>
        <v>0.14117407076261068</v>
      </c>
      <c r="G13" s="21"/>
      <c r="H13" s="21">
        <f>SUM(Apr!H13, May!H13, Jun!H13)</f>
        <v>-32317.18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SUM(Apr!C14, May!C14, Jun!C14)</f>
        <v>123723</v>
      </c>
      <c r="D14" s="13">
        <f>SUM(Apr!D14, May!D14, Jun!D14)</f>
        <v>115405.56</v>
      </c>
      <c r="E14" s="13">
        <f t="shared" si="0"/>
        <v>8317.4400000000023</v>
      </c>
      <c r="F14" s="14">
        <f t="shared" si="1"/>
        <v>7.2071397599907688E-2</v>
      </c>
      <c r="G14" s="15"/>
      <c r="H14" s="15">
        <f>SUM(Apr!H14, May!H14, Jun!H14)</f>
        <v>-7161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SUM(Jul!C5, Aug!C5, Sep!C5)</f>
        <v>0</v>
      </c>
      <c r="D5" s="19">
        <f>SUM(Jul!D5, Aug!D5, Sep!D5)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SUM(Jul!H6, Aug!H6, Sep!H6)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SUM(Jul!C13, Aug!C13, Sep!C13)</f>
        <v>0</v>
      </c>
      <c r="D13" s="19">
        <f>SUM(Jul!D13, Aug!D13, Sep!D13)</f>
        <v>0</v>
      </c>
      <c r="E13" s="19">
        <f t="shared" si="0"/>
        <v>0</v>
      </c>
      <c r="F13" s="20" t="str">
        <f t="shared" si="1"/>
        <v/>
      </c>
      <c r="G13" s="21"/>
      <c r="H13" s="21">
        <f>SUM(Jul!H13, Aug!H13, Sep!H13)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SUM(Oct!H6, Nov!H6, Dec!H6)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21"/>
      <c r="H13" s="21">
        <f>SUM(Oct!H13, Nov!H13, Dec!H13)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ySplit="3" topLeftCell="A4" activePane="bottomLeft" state="frozen"/>
      <selection pane="bottomLeft" activeCell="C7" sqref="C7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SUM(C4:C85)</f>
        <v>286603.185</v>
      </c>
      <c r="D2" s="5">
        <f>SUM(D4:D85)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SUM(G4:G85)</f>
        <v>295333.30099999998</v>
      </c>
      <c r="H2" s="7">
        <f>C2-G2</f>
        <v>-8730.11599999998</v>
      </c>
      <c r="I2" s="6">
        <f>IFERROR(H2/G2, 0)</f>
        <v>-2.9560215425892593E-2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5658.375</v>
      </c>
      <c r="D4" s="13"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v>6613.6120000000001</v>
      </c>
      <c r="H4" s="15">
        <f>IF(AND(ISNUMBER(C4),ISNUMBER(G4)), C4-G4, "")</f>
        <v>-955.23700000000008</v>
      </c>
      <c r="I4" s="16">
        <f>IFERROR(H4/G4, "")</f>
        <v>-0.14443499255777328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20942.75</v>
      </c>
      <c r="D5" s="19">
        <v>22485.91</v>
      </c>
      <c r="E5" s="19">
        <f t="shared" ref="E5:E6" si="0">IF(AND(ISNUMBER(C5),ISNUMBER(D5)), C5-D5, "")</f>
        <v>-1543.1599999999999</v>
      </c>
      <c r="F5" s="20">
        <f>IFERROR(E5/D5, "")</f>
        <v>-6.8627865183130229E-2</v>
      </c>
      <c r="G5" s="21">
        <v>24320.71</v>
      </c>
      <c r="H5" s="21">
        <f t="shared" ref="H5:H6" si="1">IF(AND(ISNUMBER(C5),ISNUMBER(G5)), C5-G5, "")</f>
        <v>-3377.9599999999991</v>
      </c>
      <c r="I5" s="20">
        <f t="shared" ref="I5:I6" si="2">IFERROR(H5/G5, "")</f>
        <v>-0.13889232674539514</v>
      </c>
      <c r="J5" s="42"/>
      <c r="K5" s="43"/>
    </row>
    <row r="6" spans="1:11" ht="15.75">
      <c r="A6" s="29" t="str">
        <v>AZ: ASU - Pardee - Macro Tech.</v>
      </c>
      <c r="B6" s="30" t="str">
        <v>AZ</v>
      </c>
      <c r="C6" s="25">
        <v>93471.06</v>
      </c>
      <c r="D6" s="13">
        <v>84624.65</v>
      </c>
      <c r="E6" s="13">
        <f t="shared" si="0"/>
        <v>8846.4100000000035</v>
      </c>
      <c r="F6" s="14">
        <f t="shared" ref="F6:F14" si="3">IFERROR(E6/D6, "")</f>
        <v>0.10453703501284796</v>
      </c>
      <c r="G6" s="15">
        <v>90296.56</v>
      </c>
      <c r="H6" s="15">
        <f t="shared" si="1"/>
        <v>3174.5</v>
      </c>
      <c r="I6" s="16">
        <f t="shared" si="2"/>
        <v>3.5156378050282315E-2</v>
      </c>
      <c r="J6" s="17" t="s">
        <v>22</v>
      </c>
      <c r="K6" s="17" t="s">
        <v>23</v>
      </c>
    </row>
    <row r="7" spans="1:11" ht="15.75">
      <c r="A7" s="31" t="str">
        <v>AZ: ASU - Pardee - McCord Hall</v>
      </c>
      <c r="B7" s="32" t="str">
        <v>AZ</v>
      </c>
      <c r="C7" s="11">
        <v>7336.125</v>
      </c>
      <c r="D7" s="19">
        <v>5808.4049999999997</v>
      </c>
      <c r="E7" s="19">
        <f t="shared" ref="E7:E14" si="4">IF(AND(ISNUMBER(C7),ISNUMBER(D7)), C7-D7, "")</f>
        <v>1527.7200000000003</v>
      </c>
      <c r="F7" s="20">
        <f t="shared" si="3"/>
        <v>0.26301884940874481</v>
      </c>
      <c r="G7" s="21">
        <v>8928.8590000000004</v>
      </c>
      <c r="H7" s="21">
        <f t="shared" ref="H7:H14" si="5">IF(AND(ISNUMBER(C7),ISNUMBER(G7)), C7-G7, "")</f>
        <v>-1592.7340000000004</v>
      </c>
      <c r="I7" s="20">
        <f t="shared" ref="I7:I14" si="6">IFERROR(H7/G7, "")</f>
        <v>-0.17838046272205668</v>
      </c>
      <c r="J7" s="42" t="s">
        <v>24</v>
      </c>
      <c r="K7" s="42" t="s">
        <v>25</v>
      </c>
    </row>
    <row r="8" spans="1:11" ht="15.75">
      <c r="A8" s="29" t="str">
        <v>AZ: NAU - SF Garage</v>
      </c>
      <c r="B8" s="30" t="str">
        <v>AZ</v>
      </c>
      <c r="C8" s="25">
        <v>37150</v>
      </c>
      <c r="D8" s="13">
        <v>48177.46</v>
      </c>
      <c r="E8" s="13">
        <f t="shared" si="4"/>
        <v>-11027.46</v>
      </c>
      <c r="F8" s="14">
        <f t="shared" si="3"/>
        <v>-0.22889251529657229</v>
      </c>
      <c r="G8" s="15">
        <v>44269.38</v>
      </c>
      <c r="H8" s="15">
        <f t="shared" si="5"/>
        <v>-7119.3799999999974</v>
      </c>
      <c r="I8" s="16">
        <f t="shared" si="6"/>
        <v>-0.1608195100089497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17337.5</v>
      </c>
      <c r="D9" s="19">
        <v>14798.45</v>
      </c>
      <c r="E9" s="19">
        <f t="shared" si="4"/>
        <v>2539.0499999999993</v>
      </c>
      <c r="F9" s="20">
        <f t="shared" si="3"/>
        <v>0.17157540147785741</v>
      </c>
      <c r="G9" s="21">
        <v>10357.790000000001</v>
      </c>
      <c r="H9" s="21">
        <f t="shared" si="5"/>
        <v>6979.7099999999991</v>
      </c>
      <c r="I9" s="20">
        <f t="shared" si="6"/>
        <v>0.67386092979293832</v>
      </c>
      <c r="J9" s="42"/>
      <c r="K9" s="43"/>
    </row>
    <row r="10" spans="1:11" ht="15.75">
      <c r="A10" s="29" t="str">
        <v>AZ: ASU - Pardee - Parking Lot 19</v>
      </c>
      <c r="B10" s="30" t="str">
        <v>AZ</v>
      </c>
      <c r="C10" s="25">
        <v>24207.75</v>
      </c>
      <c r="D10" s="13">
        <v>22732.63</v>
      </c>
      <c r="E10" s="13">
        <f t="shared" si="4"/>
        <v>1475.119999999999</v>
      </c>
      <c r="F10" s="14">
        <f t="shared" si="3"/>
        <v>6.4889984132940129E-2</v>
      </c>
      <c r="G10" s="15">
        <v>15337.79</v>
      </c>
      <c r="H10" s="15">
        <f t="shared" si="5"/>
        <v>8869.9599999999991</v>
      </c>
      <c r="I10" s="16">
        <f t="shared" si="6"/>
        <v>0.57830756582271625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18216.6875</v>
      </c>
      <c r="D11" s="19">
        <v>18371.14</v>
      </c>
      <c r="E11" s="19">
        <f t="shared" si="4"/>
        <v>-154.45249999999942</v>
      </c>
      <c r="F11" s="20">
        <f t="shared" si="3"/>
        <v>-8.4073443455332346E-3</v>
      </c>
      <c r="G11" s="21">
        <v>21781.47</v>
      </c>
      <c r="H11" s="21">
        <f t="shared" si="5"/>
        <v>-3564.7825000000012</v>
      </c>
      <c r="I11" s="20">
        <f t="shared" si="6"/>
        <v>-0.16366124508584595</v>
      </c>
      <c r="J11" s="42"/>
      <c r="K11" s="43"/>
    </row>
    <row r="12" spans="1:11" ht="15.75">
      <c r="A12" s="29" t="str">
        <v>AZ: ASU - Pardee - Parking Lot 58</v>
      </c>
      <c r="B12" s="30" t="str">
        <v>AZ</v>
      </c>
      <c r="C12" s="25">
        <v>18853.625</v>
      </c>
      <c r="D12" s="13">
        <v>16485.98</v>
      </c>
      <c r="E12" s="13">
        <f t="shared" si="4"/>
        <v>2367.6450000000004</v>
      </c>
      <c r="F12" s="14">
        <f t="shared" si="3"/>
        <v>0.14361566615997354</v>
      </c>
      <c r="G12" s="15">
        <v>23088.75</v>
      </c>
      <c r="H12" s="15">
        <f t="shared" si="5"/>
        <v>-4235.125</v>
      </c>
      <c r="I12" s="16">
        <f t="shared" si="6"/>
        <v>-0.18342807644415571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23961.8125</v>
      </c>
      <c r="D13" s="19">
        <v>18005.490000000002</v>
      </c>
      <c r="E13" s="19">
        <f t="shared" si="4"/>
        <v>5956.3224999999984</v>
      </c>
      <c r="F13" s="20">
        <f t="shared" si="3"/>
        <v>0.33080590975308077</v>
      </c>
      <c r="G13" s="21">
        <v>25253.38</v>
      </c>
      <c r="H13" s="21">
        <f t="shared" si="5"/>
        <v>-1291.567500000001</v>
      </c>
      <c r="I13" s="20">
        <f t="shared" si="6"/>
        <v>-5.1144341866316549E-2</v>
      </c>
      <c r="J13" s="42"/>
      <c r="K13" s="43"/>
    </row>
    <row r="14" spans="1:11" ht="15.75">
      <c r="A14" s="29" t="str">
        <v>AZ: ASU - Pardee - Sun Devil Complex</v>
      </c>
      <c r="B14" s="30" t="str">
        <v>AZ</v>
      </c>
      <c r="C14" s="25">
        <v>19467.5</v>
      </c>
      <c r="D14" s="13">
        <v>20759.98</v>
      </c>
      <c r="E14" s="13">
        <f t="shared" si="4"/>
        <v>-1292.4799999999996</v>
      </c>
      <c r="F14" s="14">
        <f t="shared" si="3"/>
        <v>-6.2258248803707887E-2</v>
      </c>
      <c r="G14" s="15">
        <v>25085</v>
      </c>
      <c r="H14" s="15">
        <f t="shared" si="5"/>
        <v>-5617.5</v>
      </c>
      <c r="I14" s="16">
        <f t="shared" si="6"/>
        <v>-0.22393860873031693</v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ySplit="2" topLeftCell="A3" activePane="bottomLeft" state="frozen"/>
      <selection pane="bottomLeft" activeCell="J14" sqref="J14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309680</v>
      </c>
      <c r="D2" s="5">
        <f>SUM(D4:D86)</f>
        <v>316895.79200000002</v>
      </c>
      <c r="E2" s="5">
        <f>C2-D2</f>
        <v>-7215.7920000000158</v>
      </c>
      <c r="F2" s="6">
        <f>IFERROR(E2/D2, 0)</f>
        <v>-2.2770236090733625E-2</v>
      </c>
      <c r="G2" s="5">
        <f>SUM(G4:G86)</f>
        <v>338232.72100000002</v>
      </c>
      <c r="H2" s="7">
        <f>C2-G2</f>
        <v>-28552.72100000002</v>
      </c>
      <c r="I2" s="6">
        <f>IFERROR(H2/G2, 0)</f>
        <v>-8.4417382551228742E-2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6617</v>
      </c>
      <c r="D4" s="13">
        <v>5438.8980000000001</v>
      </c>
      <c r="E4" s="13">
        <f>IF(AND(ISNUMBER(C4),ISNUMBER(D4)), C4-D4, "")</f>
        <v>1178.1019999999999</v>
      </c>
      <c r="F4" s="14">
        <f>IFERROR(E4/D4, "")</f>
        <v>0.21660674644017958</v>
      </c>
      <c r="G4" s="15">
        <v>7532.451</v>
      </c>
      <c r="H4" s="15">
        <f>IF(AND(ISNUMBER(C4),ISNUMBER(G4)), C4-G4, "")</f>
        <v>-915.45100000000002</v>
      </c>
      <c r="I4" s="16">
        <f>IFERROR(H4/G4, "")</f>
        <v>-0.12153427881575334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24988</v>
      </c>
      <c r="D5" s="19">
        <v>25880.78</v>
      </c>
      <c r="E5" s="19">
        <f t="shared" ref="E5:E14" si="0">IF(AND(ISNUMBER(C5),ISNUMBER(D5)), C5-D5, "")</f>
        <v>-892.77999999999884</v>
      </c>
      <c r="F5" s="20">
        <f>IFERROR(E5/D5, "")</f>
        <v>-3.4495869135319678E-2</v>
      </c>
      <c r="G5" s="21">
        <v>27910.12</v>
      </c>
      <c r="H5" s="21">
        <f t="shared" ref="H5:H14" si="1">IF(AND(ISNUMBER(C5),ISNUMBER(G5)), C5-G5, "")</f>
        <v>-2922.119999999999</v>
      </c>
      <c r="I5" s="20">
        <f t="shared" ref="I5:I14" si="2">IFERROR(H5/G5, "")</f>
        <v>-0.10469750757073058</v>
      </c>
      <c r="J5" s="10"/>
      <c r="K5" s="18"/>
    </row>
    <row r="6" spans="1:11" ht="42.75">
      <c r="A6" s="29" t="str">
        <v>AZ: ASU - Pardee - Macro Tech.</v>
      </c>
      <c r="B6" s="30" t="str">
        <v>AZ</v>
      </c>
      <c r="C6" s="25">
        <v>98495.5</v>
      </c>
      <c r="D6" s="13">
        <v>100242</v>
      </c>
      <c r="E6" s="13">
        <f t="shared" si="0"/>
        <v>-1746.5</v>
      </c>
      <c r="F6" s="14">
        <f t="shared" ref="F6:F14" si="3">IFERROR(E6/D6, "")</f>
        <v>-1.7422836735101057E-2</v>
      </c>
      <c r="G6" s="15">
        <v>97496.26</v>
      </c>
      <c r="H6" s="15">
        <f t="shared" si="1"/>
        <v>999.24000000000524</v>
      </c>
      <c r="I6" s="16">
        <f t="shared" si="2"/>
        <v>1.0249008526070696E-2</v>
      </c>
      <c r="J6" s="17" t="s">
        <v>28</v>
      </c>
      <c r="K6" s="17" t="s">
        <v>29</v>
      </c>
    </row>
    <row r="7" spans="1:11" ht="15.75">
      <c r="A7" s="31" t="str">
        <v>AZ: ASU - Pardee - McCord Hall</v>
      </c>
      <c r="B7" s="32" t="str">
        <v>AZ</v>
      </c>
      <c r="C7" s="11">
        <v>9062.25</v>
      </c>
      <c r="D7" s="19">
        <v>7131.9440000000004</v>
      </c>
      <c r="E7" s="19">
        <f t="shared" si="0"/>
        <v>1930.3059999999996</v>
      </c>
      <c r="F7" s="20">
        <f t="shared" si="3"/>
        <v>0.27065635961247025</v>
      </c>
      <c r="G7" s="21">
        <v>10168.08</v>
      </c>
      <c r="H7" s="21">
        <f t="shared" si="1"/>
        <v>-1105.83</v>
      </c>
      <c r="I7" s="20">
        <f t="shared" si="2"/>
        <v>-0.10875504520027379</v>
      </c>
      <c r="J7" s="10"/>
      <c r="K7" s="18"/>
    </row>
    <row r="8" spans="1:11" ht="28.5">
      <c r="A8" s="29" t="str">
        <v>AZ: NAU - SF Garage</v>
      </c>
      <c r="B8" s="30" t="str">
        <v>AZ</v>
      </c>
      <c r="C8" s="25">
        <v>29342</v>
      </c>
      <c r="D8" s="13">
        <v>45707</v>
      </c>
      <c r="E8" s="13">
        <f t="shared" si="0"/>
        <v>-16365</v>
      </c>
      <c r="F8" s="14">
        <f t="shared" si="3"/>
        <v>-0.35804143785415798</v>
      </c>
      <c r="G8" s="15">
        <v>54628</v>
      </c>
      <c r="H8" s="15">
        <f t="shared" si="1"/>
        <v>-25286</v>
      </c>
      <c r="I8" s="16">
        <f t="shared" si="2"/>
        <v>-0.46287618071318737</v>
      </c>
      <c r="J8" s="44" t="s">
        <v>30</v>
      </c>
      <c r="K8" s="17"/>
    </row>
    <row r="9" spans="1:11" ht="31.5">
      <c r="A9" s="31" t="str">
        <v>AZ: ASU - Pardee - Parking Lot 11</v>
      </c>
      <c r="B9" s="32" t="str">
        <v>AZ</v>
      </c>
      <c r="C9" s="11">
        <v>10468.9375</v>
      </c>
      <c r="D9" s="19">
        <v>17416.29</v>
      </c>
      <c r="E9" s="19">
        <f t="shared" si="0"/>
        <v>-6947.3525000000009</v>
      </c>
      <c r="F9" s="20">
        <f t="shared" si="3"/>
        <v>-0.39889967955287842</v>
      </c>
      <c r="G9" s="21">
        <v>13455.15</v>
      </c>
      <c r="H9" s="21">
        <f t="shared" si="1"/>
        <v>-2986.2124999999996</v>
      </c>
      <c r="I9" s="20">
        <f t="shared" si="2"/>
        <v>-0.22193825412574367</v>
      </c>
      <c r="J9" s="46" t="s">
        <v>31</v>
      </c>
      <c r="K9" s="47" t="s">
        <v>32</v>
      </c>
    </row>
    <row r="10" spans="1:11" ht="15.75">
      <c r="A10" s="29" t="str">
        <v>AZ: ASU - Pardee - Parking Lot 19</v>
      </c>
      <c r="B10" s="30" t="str">
        <v>AZ</v>
      </c>
      <c r="C10" s="25">
        <v>28505.375</v>
      </c>
      <c r="D10" s="13">
        <v>26099.84</v>
      </c>
      <c r="E10" s="13">
        <f t="shared" si="0"/>
        <v>2405.5349999999999</v>
      </c>
      <c r="F10" s="14">
        <f t="shared" si="3"/>
        <v>9.2166656960349175E-2</v>
      </c>
      <c r="G10" s="15">
        <v>19923.12</v>
      </c>
      <c r="H10" s="15">
        <f t="shared" si="1"/>
        <v>8582.255000000001</v>
      </c>
      <c r="I10" s="16">
        <f t="shared" si="2"/>
        <v>0.4307686245929353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23220.6875</v>
      </c>
      <c r="D11" s="19">
        <v>21480.82</v>
      </c>
      <c r="E11" s="19">
        <f t="shared" si="0"/>
        <v>1739.8675000000003</v>
      </c>
      <c r="F11" s="20">
        <f t="shared" si="3"/>
        <v>8.0996326024797949E-2</v>
      </c>
      <c r="G11" s="21">
        <v>24995.58</v>
      </c>
      <c r="H11" s="21">
        <f t="shared" si="1"/>
        <v>-1774.8925000000017</v>
      </c>
      <c r="I11" s="20">
        <f t="shared" si="2"/>
        <v>-7.1008254259353115E-2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23236.5</v>
      </c>
      <c r="D12" s="13">
        <v>20660.419999999998</v>
      </c>
      <c r="E12" s="13">
        <f t="shared" si="0"/>
        <v>2576.0800000000017</v>
      </c>
      <c r="F12" s="14">
        <f t="shared" si="3"/>
        <v>0.12468671982466968</v>
      </c>
      <c r="G12" s="15">
        <v>26294.57</v>
      </c>
      <c r="H12" s="15">
        <f t="shared" si="1"/>
        <v>-3058.0699999999997</v>
      </c>
      <c r="I12" s="16">
        <f t="shared" si="2"/>
        <v>-0.11630043769493092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27805.25</v>
      </c>
      <c r="D13" s="19">
        <v>22564.69</v>
      </c>
      <c r="E13" s="19">
        <f t="shared" si="0"/>
        <v>5240.5600000000013</v>
      </c>
      <c r="F13" s="20">
        <f t="shared" si="3"/>
        <v>0.23224604459445272</v>
      </c>
      <c r="G13" s="21">
        <v>28759.39</v>
      </c>
      <c r="H13" s="21">
        <f t="shared" si="1"/>
        <v>-954.13999999999942</v>
      </c>
      <c r="I13" s="20">
        <f t="shared" si="2"/>
        <v>-3.3176642480942729E-2</v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>
        <v>27938.5</v>
      </c>
      <c r="D14" s="13">
        <v>24273.11</v>
      </c>
      <c r="E14" s="13">
        <f t="shared" si="0"/>
        <v>3665.3899999999994</v>
      </c>
      <c r="F14" s="14">
        <f t="shared" si="3"/>
        <v>0.1510061957450034</v>
      </c>
      <c r="G14" s="15">
        <v>27070</v>
      </c>
      <c r="H14" s="15">
        <f t="shared" si="1"/>
        <v>868.5</v>
      </c>
      <c r="I14" s="16">
        <f t="shared" si="2"/>
        <v>3.208348725526413E-2</v>
      </c>
      <c r="J14" s="17" t="s">
        <v>33</v>
      </c>
      <c r="K14" s="17" t="s">
        <v>34</v>
      </c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8"/>
  <sheetViews>
    <sheetView zoomScale="90" zoomScaleNormal="90" workbookViewId="0">
      <pane ySplit="2" topLeftCell="A3" activePane="bottomLeft" state="frozen"/>
      <selection pane="bottomLeft" activeCell="F17" sqref="F17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450211.02500000002</v>
      </c>
      <c r="D2" s="5">
        <f>SUM(D4:D86)</f>
        <v>431731.30900000001</v>
      </c>
      <c r="E2" s="5">
        <f>C2-D2</f>
        <v>18479.716000000015</v>
      </c>
      <c r="F2" s="6">
        <f>IFERROR(E2/D2, 0)</f>
        <v>4.2803743010447301E-2</v>
      </c>
      <c r="G2" s="5">
        <f>SUM(G4:G86)</f>
        <v>453264.58499999996</v>
      </c>
      <c r="H2" s="7">
        <f>C2-G2</f>
        <v>-3053.5599999999395</v>
      </c>
      <c r="I2" s="6">
        <f>IFERROR(H2/G2, 0)</f>
        <v>-6.7368157607105789E-3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8756</v>
      </c>
      <c r="D4" s="13">
        <v>7521.5029999999997</v>
      </c>
      <c r="E4" s="13">
        <f>IF(AND(ISNUMBER(C4),ISNUMBER(D4)), C4-D4, "")</f>
        <v>1234.4970000000003</v>
      </c>
      <c r="F4" s="14">
        <f>IFERROR(E4/D4, "")</f>
        <v>0.16412903112582689</v>
      </c>
      <c r="G4" s="15">
        <v>9715.4549999999999</v>
      </c>
      <c r="H4" s="15">
        <f>IF(AND(ISNUMBER(C4),ISNUMBER(G4)), C4-G4, "")</f>
        <v>-959.45499999999993</v>
      </c>
      <c r="I4" s="16">
        <f>IFERROR(H4/G4, "")</f>
        <v>-9.8755539498664752E-2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33193.5</v>
      </c>
      <c r="D5" s="19">
        <v>34262.550000000003</v>
      </c>
      <c r="E5" s="19">
        <f t="shared" ref="E5:E14" si="0">IF(AND(ISNUMBER(C5),ISNUMBER(D5)), C5-D5, "")</f>
        <v>-1069.0500000000029</v>
      </c>
      <c r="F5" s="20">
        <f>IFERROR(E5/D5, "")</f>
        <v>-3.1201705652381471E-2</v>
      </c>
      <c r="G5" s="21">
        <v>36386.410000000003</v>
      </c>
      <c r="H5" s="21">
        <f t="shared" ref="H5:H14" si="1">IF(AND(ISNUMBER(C5),ISNUMBER(G5)), C5-G5, "")</f>
        <v>-3192.9100000000035</v>
      </c>
      <c r="I5" s="20">
        <f t="shared" ref="I5:I14" si="2">IFERROR(H5/G5, "")</f>
        <v>-8.7750069325333371E-2</v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>
        <v>135438.9</v>
      </c>
      <c r="D6" s="13">
        <v>131408.9</v>
      </c>
      <c r="E6" s="13">
        <f t="shared" si="0"/>
        <v>4030</v>
      </c>
      <c r="F6" s="14">
        <f t="shared" ref="F6:F14" si="3">IFERROR(E6/D6, "")</f>
        <v>3.0667633622989007E-2</v>
      </c>
      <c r="G6" s="15">
        <v>132781.79999999999</v>
      </c>
      <c r="H6" s="15">
        <f t="shared" si="1"/>
        <v>2657.1000000000058</v>
      </c>
      <c r="I6" s="16">
        <f t="shared" si="2"/>
        <v>2.0011025607425161E-2</v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>
        <v>11953.25</v>
      </c>
      <c r="D7" s="19">
        <v>9906.4959999999992</v>
      </c>
      <c r="E7" s="19">
        <f t="shared" si="0"/>
        <v>2046.7540000000008</v>
      </c>
      <c r="F7" s="20">
        <f t="shared" si="3"/>
        <v>0.20660726052884903</v>
      </c>
      <c r="G7" s="21">
        <v>13116.01</v>
      </c>
      <c r="H7" s="21">
        <f t="shared" si="1"/>
        <v>-1162.7600000000002</v>
      </c>
      <c r="I7" s="20">
        <f t="shared" si="2"/>
        <v>-8.8651960466635829E-2</v>
      </c>
      <c r="J7" s="10"/>
      <c r="K7" s="18"/>
    </row>
    <row r="8" spans="1:11" ht="15.75">
      <c r="A8" s="29" t="str">
        <v>AZ: NAU - SF Garage</v>
      </c>
      <c r="B8" s="30" t="str">
        <v>AZ</v>
      </c>
      <c r="C8" s="25">
        <v>63226</v>
      </c>
      <c r="D8" s="13">
        <v>71168</v>
      </c>
      <c r="E8" s="13">
        <f t="shared" si="0"/>
        <v>-7942</v>
      </c>
      <c r="F8" s="14">
        <f t="shared" si="3"/>
        <v>-0.11159509892086331</v>
      </c>
      <c r="G8" s="15">
        <v>71030</v>
      </c>
      <c r="H8" s="15">
        <f t="shared" si="1"/>
        <v>-7804</v>
      </c>
      <c r="I8" s="16">
        <f t="shared" si="2"/>
        <v>-0.1098690694072927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26091.875</v>
      </c>
      <c r="D9" s="19">
        <v>23622.59</v>
      </c>
      <c r="E9" s="19">
        <f t="shared" si="0"/>
        <v>2469.2849999999999</v>
      </c>
      <c r="F9" s="20">
        <f t="shared" si="3"/>
        <v>0.10453066323379442</v>
      </c>
      <c r="G9" s="21">
        <v>20343.509999999998</v>
      </c>
      <c r="H9" s="21">
        <f t="shared" si="1"/>
        <v>5748.3650000000016</v>
      </c>
      <c r="I9" s="20">
        <f t="shared" si="2"/>
        <v>0.28256505391645798</v>
      </c>
      <c r="J9" s="45" t="s">
        <v>37</v>
      </c>
      <c r="K9" s="48" t="s">
        <v>38</v>
      </c>
    </row>
    <row r="10" spans="1:11" ht="15.75">
      <c r="A10" s="29" t="str">
        <v>AZ: ASU - Pardee - Parking Lot 19</v>
      </c>
      <c r="B10" s="30" t="str">
        <v>AZ</v>
      </c>
      <c r="C10" s="25">
        <v>37394</v>
      </c>
      <c r="D10" s="13">
        <v>34059.86</v>
      </c>
      <c r="E10" s="13">
        <f t="shared" si="0"/>
        <v>3334.1399999999994</v>
      </c>
      <c r="F10" s="14">
        <f t="shared" si="3"/>
        <v>9.7890596144552547E-2</v>
      </c>
      <c r="G10" s="15">
        <v>30123.599999999999</v>
      </c>
      <c r="H10" s="15">
        <f t="shared" si="1"/>
        <v>7270.4000000000015</v>
      </c>
      <c r="I10" s="16">
        <f t="shared" si="2"/>
        <v>0.24135229521039989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31922.5</v>
      </c>
      <c r="D11" s="19">
        <v>28462.89</v>
      </c>
      <c r="E11" s="19">
        <f t="shared" si="0"/>
        <v>3459.6100000000006</v>
      </c>
      <c r="F11" s="20">
        <f t="shared" si="3"/>
        <v>0.12154809297299046</v>
      </c>
      <c r="G11" s="21">
        <v>32587.439999999999</v>
      </c>
      <c r="H11" s="21">
        <f t="shared" si="1"/>
        <v>-664.93999999999869</v>
      </c>
      <c r="I11" s="20">
        <f t="shared" si="2"/>
        <v>-2.0404793994250506E-2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31852.875</v>
      </c>
      <c r="D12" s="13">
        <v>28304.94</v>
      </c>
      <c r="E12" s="13">
        <f t="shared" si="0"/>
        <v>3547.9350000000013</v>
      </c>
      <c r="F12" s="14">
        <f t="shared" si="3"/>
        <v>0.12534684758208289</v>
      </c>
      <c r="G12" s="15">
        <v>33914.86</v>
      </c>
      <c r="H12" s="15">
        <f t="shared" si="1"/>
        <v>-2061.9850000000006</v>
      </c>
      <c r="I12" s="16">
        <f t="shared" si="2"/>
        <v>-6.0798865158222692E-2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36558.125</v>
      </c>
      <c r="D13" s="19">
        <v>30913.33</v>
      </c>
      <c r="E13" s="19">
        <f t="shared" si="0"/>
        <v>5644.7949999999983</v>
      </c>
      <c r="F13" s="20">
        <f t="shared" si="3"/>
        <v>0.18260067744238481</v>
      </c>
      <c r="G13" s="21">
        <v>37094.5</v>
      </c>
      <c r="H13" s="21">
        <f t="shared" si="1"/>
        <v>-536.375</v>
      </c>
      <c r="I13" s="20">
        <f t="shared" si="2"/>
        <v>-1.4459690789739719E-2</v>
      </c>
      <c r="J13" s="10"/>
      <c r="K13" s="18"/>
    </row>
    <row r="14" spans="1:11" ht="42.75">
      <c r="A14" s="29" t="str">
        <v>AZ: ASU - Pardee - Sun Devil Complex</v>
      </c>
      <c r="B14" s="30" t="str">
        <v>AZ</v>
      </c>
      <c r="C14" s="25">
        <v>33824</v>
      </c>
      <c r="D14" s="13">
        <v>32100.25</v>
      </c>
      <c r="E14" s="13">
        <f t="shared" si="0"/>
        <v>1723.75</v>
      </c>
      <c r="F14" s="14">
        <f t="shared" si="3"/>
        <v>5.3698958730851003E-2</v>
      </c>
      <c r="G14" s="15">
        <v>36171</v>
      </c>
      <c r="H14" s="15">
        <f t="shared" si="1"/>
        <v>-2347</v>
      </c>
      <c r="I14" s="16">
        <f t="shared" si="2"/>
        <v>-6.4886234829006656E-2</v>
      </c>
      <c r="J14" s="17" t="s">
        <v>39</v>
      </c>
      <c r="K14" s="17" t="s">
        <v>40</v>
      </c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E19" sqref="E19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553626.5</v>
      </c>
      <c r="D2" s="5">
        <f>SUM(D4:D86)</f>
        <v>514831.28400000004</v>
      </c>
      <c r="E2" s="5">
        <f>C2-D2</f>
        <v>38795.215999999957</v>
      </c>
      <c r="F2" s="6">
        <f>IFERROR(E2/D2, 0)</f>
        <v>7.5355203162051729E-2</v>
      </c>
      <c r="G2" s="5">
        <f>SUM(G4:G86)</f>
        <v>547175.26699999999</v>
      </c>
      <c r="H2" s="7">
        <f>C2-G2</f>
        <v>6451.2330000000075</v>
      </c>
      <c r="I2" s="6">
        <f>IFERROR(H2/G2, 0)</f>
        <v>1.1790066892771321E-2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10336.375</v>
      </c>
      <c r="D4" s="13">
        <v>8889.9349999999995</v>
      </c>
      <c r="E4" s="13">
        <f>IF(AND(ISNUMBER(C4),ISNUMBER(D4)), C4-D4, "")</f>
        <v>1446.4400000000005</v>
      </c>
      <c r="F4" s="14">
        <f>IFERROR(E4/D4, "")</f>
        <v>0.16270535161393201</v>
      </c>
      <c r="G4" s="15">
        <v>11446.07</v>
      </c>
      <c r="H4" s="15">
        <f>IF(AND(ISNUMBER(C4),ISNUMBER(G4)), C4-G4, "")</f>
        <v>-1109.6949999999997</v>
      </c>
      <c r="I4" s="16">
        <f>IFERROR(H4/G4, "")</f>
        <v>-9.6949870130097038E-2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38575.5</v>
      </c>
      <c r="D5" s="19">
        <v>40498.67</v>
      </c>
      <c r="E5" s="19">
        <f t="shared" ref="E5:E14" si="0">IF(AND(ISNUMBER(C5),ISNUMBER(D5)), C5-D5, "")</f>
        <v>-1923.1699999999983</v>
      </c>
      <c r="F5" s="20">
        <f>IFERROR(E5/D5, "")</f>
        <v>-4.74872384698065E-2</v>
      </c>
      <c r="G5" s="21">
        <v>43228.93</v>
      </c>
      <c r="H5" s="21">
        <f t="shared" ref="H5:H14" si="1">IF(AND(ISNUMBER(C5),ISNUMBER(G5)), C5-G5, "")</f>
        <v>-4653.43</v>
      </c>
      <c r="I5" s="20">
        <f t="shared" ref="I5:I14" si="2">IFERROR(H5/G5, "")</f>
        <v>-0.10764619896907003</v>
      </c>
      <c r="J5" s="42"/>
      <c r="K5" s="42"/>
    </row>
    <row r="6" spans="1:11" ht="15.75">
      <c r="A6" s="29" t="str">
        <v>AZ: ASU - Pardee - Macro Tech.</v>
      </c>
      <c r="B6" s="30" t="str">
        <v>AZ</v>
      </c>
      <c r="C6" s="25">
        <v>159318.5</v>
      </c>
      <c r="D6" s="13">
        <v>152391.5</v>
      </c>
      <c r="E6" s="13">
        <f t="shared" si="0"/>
        <v>6927</v>
      </c>
      <c r="F6" s="14">
        <f t="shared" ref="F6:F14" si="3">IFERROR(E6/D6, "")</f>
        <v>4.5455291141566295E-2</v>
      </c>
      <c r="G6" s="15">
        <v>158586.5</v>
      </c>
      <c r="H6" s="15">
        <f t="shared" si="1"/>
        <v>732</v>
      </c>
      <c r="I6" s="16">
        <f t="shared" si="2"/>
        <v>4.6157775094349141E-3</v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>
        <v>13983.625</v>
      </c>
      <c r="D7" s="19">
        <v>12220.19</v>
      </c>
      <c r="E7" s="19">
        <f t="shared" si="0"/>
        <v>1763.4349999999995</v>
      </c>
      <c r="F7" s="20">
        <f t="shared" si="3"/>
        <v>0.14430503944701345</v>
      </c>
      <c r="G7" s="21">
        <v>15452.68</v>
      </c>
      <c r="H7" s="21">
        <f t="shared" si="1"/>
        <v>-1469.0550000000003</v>
      </c>
      <c r="I7" s="20">
        <f t="shared" si="2"/>
        <v>-9.5067975263837742E-2</v>
      </c>
      <c r="J7" s="42"/>
      <c r="K7" s="43"/>
    </row>
    <row r="8" spans="1:11" ht="15.75">
      <c r="A8" s="29" t="str">
        <v>AZ: NAU - SF Garage</v>
      </c>
      <c r="B8" s="30" t="str">
        <v>AZ</v>
      </c>
      <c r="C8" s="25">
        <v>95855</v>
      </c>
      <c r="D8" s="13">
        <v>93292.369000000006</v>
      </c>
      <c r="E8" s="13">
        <f t="shared" si="0"/>
        <v>2562.6309999999939</v>
      </c>
      <c r="F8" s="14">
        <f t="shared" si="3"/>
        <v>2.7468816876115493E-2</v>
      </c>
      <c r="G8" s="15">
        <v>87917.557000000001</v>
      </c>
      <c r="H8" s="15">
        <f t="shared" si="1"/>
        <v>7937.4429999999993</v>
      </c>
      <c r="I8" s="16">
        <f t="shared" si="2"/>
        <v>9.028279755316676E-2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30431.0625</v>
      </c>
      <c r="D9" s="19">
        <v>28336.31</v>
      </c>
      <c r="E9" s="19">
        <f t="shared" si="0"/>
        <v>2094.7524999999987</v>
      </c>
      <c r="F9" s="20">
        <f t="shared" si="3"/>
        <v>7.3924674737112867E-2</v>
      </c>
      <c r="G9" s="21">
        <v>26741.57</v>
      </c>
      <c r="H9" s="21">
        <f t="shared" si="1"/>
        <v>3689.4925000000003</v>
      </c>
      <c r="I9" s="20">
        <f t="shared" si="2"/>
        <v>0.13796843266868775</v>
      </c>
      <c r="J9" s="42"/>
      <c r="K9" s="43"/>
    </row>
    <row r="10" spans="1:11" ht="15.75">
      <c r="A10" s="29" t="str">
        <v>AZ: ASU - Pardee - Parking Lot 19</v>
      </c>
      <c r="B10" s="30" t="str">
        <v>AZ</v>
      </c>
      <c r="C10" s="25">
        <v>42655.875</v>
      </c>
      <c r="D10" s="13">
        <v>37947.769999999997</v>
      </c>
      <c r="E10" s="13">
        <f t="shared" si="0"/>
        <v>4708.1050000000032</v>
      </c>
      <c r="F10" s="14">
        <f t="shared" si="3"/>
        <v>0.12406802823986768</v>
      </c>
      <c r="G10" s="15">
        <v>39596.47</v>
      </c>
      <c r="H10" s="15">
        <f t="shared" si="1"/>
        <v>3059.4049999999988</v>
      </c>
      <c r="I10" s="16">
        <f t="shared" si="2"/>
        <v>7.7264589494972627E-2</v>
      </c>
      <c r="J10" s="17" t="s">
        <v>43</v>
      </c>
      <c r="K10" s="17" t="s">
        <v>44</v>
      </c>
    </row>
    <row r="11" spans="1:11" ht="15.75">
      <c r="A11" s="31" t="str">
        <v>AZ: ASU - Pardee - Parking Lot 41</v>
      </c>
      <c r="B11" s="32" t="str">
        <v>AZ</v>
      </c>
      <c r="C11" s="11">
        <v>37998.4375</v>
      </c>
      <c r="D11" s="19">
        <v>33340.199999999997</v>
      </c>
      <c r="E11" s="19">
        <f t="shared" si="0"/>
        <v>4658.2375000000029</v>
      </c>
      <c r="F11" s="20">
        <f t="shared" si="3"/>
        <v>0.1397183430213377</v>
      </c>
      <c r="G11" s="21">
        <v>38716.080000000002</v>
      </c>
      <c r="H11" s="21">
        <f t="shared" si="1"/>
        <v>-717.64250000000175</v>
      </c>
      <c r="I11" s="20">
        <f t="shared" si="2"/>
        <v>-1.853603205696449E-2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38145.875</v>
      </c>
      <c r="D12" s="13">
        <v>33222.99</v>
      </c>
      <c r="E12" s="13">
        <f t="shared" si="0"/>
        <v>4922.885000000002</v>
      </c>
      <c r="F12" s="14">
        <f t="shared" si="3"/>
        <v>0.14817706052345084</v>
      </c>
      <c r="G12" s="15">
        <v>39958.080000000002</v>
      </c>
      <c r="H12" s="15">
        <f t="shared" si="1"/>
        <v>-1812.2050000000017</v>
      </c>
      <c r="I12" s="16">
        <f t="shared" si="2"/>
        <v>-4.5352654582001981E-2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42865.25</v>
      </c>
      <c r="D13" s="19">
        <v>36282.89</v>
      </c>
      <c r="E13" s="19">
        <f t="shared" si="0"/>
        <v>6582.3600000000006</v>
      </c>
      <c r="F13" s="20">
        <f t="shared" si="3"/>
        <v>0.18141774263296007</v>
      </c>
      <c r="G13" s="21">
        <v>43704.33</v>
      </c>
      <c r="H13" s="21">
        <f t="shared" si="1"/>
        <v>-839.08000000000175</v>
      </c>
      <c r="I13" s="20">
        <f t="shared" si="2"/>
        <v>-1.9199013003974703E-2</v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>
        <v>43461</v>
      </c>
      <c r="D14" s="13">
        <v>38408.46</v>
      </c>
      <c r="E14" s="13">
        <f t="shared" si="0"/>
        <v>5052.5400000000009</v>
      </c>
      <c r="F14" s="14">
        <f t="shared" si="3"/>
        <v>0.13154758092357779</v>
      </c>
      <c r="G14" s="15">
        <v>41827</v>
      </c>
      <c r="H14" s="15">
        <f t="shared" si="1"/>
        <v>1634</v>
      </c>
      <c r="I14" s="16">
        <f t="shared" si="2"/>
        <v>3.9065675281516721E-2</v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A4" sqref="A4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584242</v>
      </c>
      <c r="D2" s="5">
        <f>SUM(D4:D86)</f>
        <v>546539.43499999994</v>
      </c>
      <c r="E2" s="5">
        <f>C2-D2</f>
        <v>37702.565000000061</v>
      </c>
      <c r="F2" s="6">
        <f>IFERROR(E2/D2, 0)</f>
        <v>6.8984162140102598E-2</v>
      </c>
      <c r="G2" s="5">
        <f>SUM(G4:G86)</f>
        <v>614447.549</v>
      </c>
      <c r="H2" s="7">
        <f>C2-G2</f>
        <v>-30205.548999999999</v>
      </c>
      <c r="I2" s="6">
        <f>IFERROR(H2/G2, 0)</f>
        <v>-4.9158872956949491E-2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10966.125</v>
      </c>
      <c r="D4" s="13">
        <v>9032.2549999999992</v>
      </c>
      <c r="E4" s="13">
        <f>IF(AND(ISNUMBER(C4),ISNUMBER(D4)), C4-D4, "")</f>
        <v>1933.8700000000008</v>
      </c>
      <c r="F4" s="14">
        <f>IFERROR(E4/D4, "")</f>
        <v>0.21410710835776903</v>
      </c>
      <c r="G4" s="15">
        <v>12566.22</v>
      </c>
      <c r="H4" s="15">
        <f>IF(AND(ISNUMBER(C4),ISNUMBER(G4)), C4-G4, "")</f>
        <v>-1600.0949999999993</v>
      </c>
      <c r="I4" s="16">
        <f>IFERROR(H4/G4, "")</f>
        <v>-0.12733304048472807</v>
      </c>
      <c r="J4" s="17"/>
      <c r="K4" s="17"/>
    </row>
    <row r="5" spans="1:11" ht="28.5">
      <c r="A5" s="31" t="str">
        <v>AZ: ASU - Pardee - Farrington</v>
      </c>
      <c r="B5" s="32" t="str">
        <v>AZ</v>
      </c>
      <c r="C5" s="11">
        <v>35131.75</v>
      </c>
      <c r="D5" s="19">
        <v>43013.36</v>
      </c>
      <c r="E5" s="19">
        <f t="shared" ref="E5:E14" si="0">IF(AND(ISNUMBER(C5),ISNUMBER(D5)), C5-D5, "")</f>
        <v>-7881.6100000000006</v>
      </c>
      <c r="F5" s="20">
        <f>IFERROR(E5/D5, "")</f>
        <v>-0.18323632471399584</v>
      </c>
      <c r="G5" s="21">
        <v>47795.39</v>
      </c>
      <c r="H5" s="21">
        <f t="shared" ref="H5:H14" si="1">IF(AND(ISNUMBER(C5),ISNUMBER(G5)), C5-G5, "")</f>
        <v>-12663.64</v>
      </c>
      <c r="I5" s="20">
        <f t="shared" ref="I5:I14" si="2">IFERROR(H5/G5, "")</f>
        <v>-0.2649552603295004</v>
      </c>
      <c r="J5" s="50" t="s">
        <v>47</v>
      </c>
      <c r="K5" s="52" t="s">
        <v>48</v>
      </c>
    </row>
    <row r="6" spans="1:11" ht="30.75">
      <c r="A6" s="29" t="str">
        <v>AZ: ASU - Pardee - Macro Tech.</v>
      </c>
      <c r="B6" s="30" t="str">
        <v>AZ</v>
      </c>
      <c r="C6" s="25">
        <v>167658.875</v>
      </c>
      <c r="D6" s="13">
        <v>161980.4</v>
      </c>
      <c r="E6" s="13">
        <f t="shared" si="0"/>
        <v>5678.4750000000058</v>
      </c>
      <c r="F6" s="14">
        <f t="shared" ref="F6:F14" si="3">IFERROR(E6/D6, "")</f>
        <v>3.5056556225321125E-2</v>
      </c>
      <c r="G6" s="15">
        <v>172647.9</v>
      </c>
      <c r="H6" s="15">
        <f t="shared" si="1"/>
        <v>-4989.0249999999942</v>
      </c>
      <c r="I6" s="16">
        <f t="shared" si="2"/>
        <v>-2.8897107928911932E-2</v>
      </c>
      <c r="J6" s="17" t="s">
        <v>49</v>
      </c>
      <c r="K6" s="17" t="s">
        <v>50</v>
      </c>
    </row>
    <row r="7" spans="1:11" ht="15.75">
      <c r="A7" s="31" t="str">
        <v>AZ: ASU - Pardee - McCord Hall</v>
      </c>
      <c r="B7" s="32" t="str">
        <v>AZ</v>
      </c>
      <c r="C7" s="11">
        <v>14700.25</v>
      </c>
      <c r="D7" s="19">
        <v>13602.63</v>
      </c>
      <c r="E7" s="19">
        <f t="shared" si="0"/>
        <v>1097.6200000000008</v>
      </c>
      <c r="F7" s="20">
        <f t="shared" si="3"/>
        <v>8.0691748580973013E-2</v>
      </c>
      <c r="G7" s="21">
        <v>16964.45</v>
      </c>
      <c r="H7" s="21">
        <f t="shared" si="1"/>
        <v>-2264.2000000000007</v>
      </c>
      <c r="I7" s="20">
        <f t="shared" si="2"/>
        <v>-0.13346733905313762</v>
      </c>
      <c r="J7" s="10"/>
      <c r="K7" s="18"/>
    </row>
    <row r="8" spans="1:11" ht="15.75">
      <c r="A8" s="29" t="str">
        <v>AZ: NAU - SF Garage</v>
      </c>
      <c r="B8" s="30" t="str">
        <v>AZ</v>
      </c>
      <c r="C8" s="25">
        <v>111753</v>
      </c>
      <c r="D8" s="13">
        <v>102747.23</v>
      </c>
      <c r="E8" s="13">
        <f t="shared" si="0"/>
        <v>9005.7700000000041</v>
      </c>
      <c r="F8" s="14">
        <f t="shared" si="3"/>
        <v>8.7649759511764985E-2</v>
      </c>
      <c r="G8" s="15">
        <v>105502.25900000001</v>
      </c>
      <c r="H8" s="15">
        <f t="shared" si="1"/>
        <v>6250.7409999999945</v>
      </c>
      <c r="I8" s="16">
        <f t="shared" si="2"/>
        <v>5.9247461232085984E-2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31725.75</v>
      </c>
      <c r="D9" s="19">
        <v>31574.55</v>
      </c>
      <c r="E9" s="19">
        <f t="shared" si="0"/>
        <v>151.20000000000073</v>
      </c>
      <c r="F9" s="20">
        <f t="shared" si="3"/>
        <v>4.7886668218549665E-3</v>
      </c>
      <c r="G9" s="21">
        <v>31935.57</v>
      </c>
      <c r="H9" s="21">
        <f t="shared" si="1"/>
        <v>-209.81999999999971</v>
      </c>
      <c r="I9" s="20">
        <f t="shared" si="2"/>
        <v>-6.5701034927511774E-3</v>
      </c>
      <c r="J9" s="42" t="s">
        <v>51</v>
      </c>
      <c r="K9" s="52" t="s">
        <v>52</v>
      </c>
    </row>
    <row r="10" spans="1:11" ht="15.75">
      <c r="A10" s="29" t="str">
        <v>AZ: ASU - Pardee - Parking Lot 19</v>
      </c>
      <c r="B10" s="30" t="str">
        <v>AZ</v>
      </c>
      <c r="C10" s="25">
        <v>40541.75</v>
      </c>
      <c r="D10" s="13">
        <v>37630.74</v>
      </c>
      <c r="E10" s="13">
        <f t="shared" si="0"/>
        <v>2911.010000000002</v>
      </c>
      <c r="F10" s="14">
        <f t="shared" si="3"/>
        <v>7.7357235068988867E-2</v>
      </c>
      <c r="G10" s="15">
        <v>47289.36</v>
      </c>
      <c r="H10" s="15">
        <f t="shared" si="1"/>
        <v>-6747.6100000000006</v>
      </c>
      <c r="I10" s="16">
        <f t="shared" si="2"/>
        <v>-0.14268769972780349</v>
      </c>
      <c r="J10" s="17" t="s">
        <v>53</v>
      </c>
      <c r="K10" s="17" t="s">
        <v>44</v>
      </c>
    </row>
    <row r="11" spans="1:11" ht="15.75">
      <c r="A11" s="31" t="str">
        <v>AZ: ASU - Pardee - Parking Lot 41</v>
      </c>
      <c r="B11" s="32" t="str">
        <v>AZ</v>
      </c>
      <c r="C11" s="11">
        <v>40387.75</v>
      </c>
      <c r="D11" s="19">
        <v>35002.89</v>
      </c>
      <c r="E11" s="19">
        <f t="shared" si="0"/>
        <v>5384.8600000000006</v>
      </c>
      <c r="F11" s="20">
        <f t="shared" si="3"/>
        <v>0.15384044003223735</v>
      </c>
      <c r="G11" s="21">
        <v>42806.31</v>
      </c>
      <c r="H11" s="21">
        <f t="shared" si="1"/>
        <v>-2418.5599999999977</v>
      </c>
      <c r="I11" s="20">
        <f t="shared" si="2"/>
        <v>-5.6500081413230846E-2</v>
      </c>
      <c r="J11" s="10"/>
      <c r="K11" s="18"/>
    </row>
    <row r="12" spans="1:11" ht="28.5">
      <c r="A12" s="29" t="str">
        <v>AZ: ASU - Pardee - Parking Lot 58</v>
      </c>
      <c r="B12" s="30" t="str">
        <v>AZ</v>
      </c>
      <c r="C12" s="25">
        <v>39734.25</v>
      </c>
      <c r="D12" s="13">
        <v>33905.279999999999</v>
      </c>
      <c r="E12" s="13">
        <f t="shared" si="0"/>
        <v>5828.9700000000012</v>
      </c>
      <c r="F12" s="14">
        <f t="shared" si="3"/>
        <v>0.17191924089699306</v>
      </c>
      <c r="G12" s="15">
        <v>43866.59</v>
      </c>
      <c r="H12" s="15">
        <f t="shared" si="1"/>
        <v>-4132.3399999999965</v>
      </c>
      <c r="I12" s="16">
        <f t="shared" si="2"/>
        <v>-9.4202444274788549E-2</v>
      </c>
      <c r="J12" s="17" t="s">
        <v>54</v>
      </c>
      <c r="K12" s="17" t="s">
        <v>55</v>
      </c>
    </row>
    <row r="13" spans="1:11" ht="15.75">
      <c r="A13" s="31" t="str">
        <v>AZ: ASU - Pardee - Parking Lot 59S</v>
      </c>
      <c r="B13" s="32" t="str">
        <v>AZ</v>
      </c>
      <c r="C13" s="11">
        <v>45335</v>
      </c>
      <c r="D13" s="19">
        <v>37022.39</v>
      </c>
      <c r="E13" s="19">
        <f t="shared" si="0"/>
        <v>8312.61</v>
      </c>
      <c r="F13" s="20">
        <f t="shared" si="3"/>
        <v>0.22452926458826675</v>
      </c>
      <c r="G13" s="21">
        <v>47979.5</v>
      </c>
      <c r="H13" s="21">
        <f t="shared" si="1"/>
        <v>-2644.5</v>
      </c>
      <c r="I13" s="20">
        <f t="shared" si="2"/>
        <v>-5.5117289675799042E-2</v>
      </c>
      <c r="J13" s="49"/>
      <c r="K13" s="43"/>
    </row>
    <row r="14" spans="1:11" ht="15.75">
      <c r="A14" s="29" t="str">
        <v>AZ: ASU - Pardee - Sun Devil Complex</v>
      </c>
      <c r="B14" s="30" t="str">
        <v>AZ</v>
      </c>
      <c r="C14" s="25">
        <v>46307.5</v>
      </c>
      <c r="D14" s="13">
        <v>41027.71</v>
      </c>
      <c r="E14" s="13">
        <f t="shared" si="0"/>
        <v>5279.7900000000009</v>
      </c>
      <c r="F14" s="14">
        <f t="shared" si="3"/>
        <v>0.12868839133356458</v>
      </c>
      <c r="G14" s="15">
        <v>45094</v>
      </c>
      <c r="H14" s="15">
        <f t="shared" si="1"/>
        <v>1213.5</v>
      </c>
      <c r="I14" s="16">
        <f t="shared" si="2"/>
        <v>2.6910453718898303E-2</v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tabSelected="1" view="pageBreakPreview" zoomScale="80" zoomScaleNormal="100" zoomScaleSheetLayoutView="80" workbookViewId="0">
      <pane ySplit="2" topLeftCell="A3" activePane="bottomLeft" state="frozen"/>
      <selection pane="bottomLeft" activeCell="J4" sqref="J4:J14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448239.25</v>
      </c>
      <c r="D2" s="5">
        <f>SUM(D4:D86)</f>
        <v>457581.94800000003</v>
      </c>
      <c r="E2" s="5">
        <f>C2-D2</f>
        <v>-9342.6980000000331</v>
      </c>
      <c r="F2" s="6">
        <f>IFERROR(E2/D2, 0)</f>
        <v>-2.0417540597558785E-2</v>
      </c>
      <c r="G2" s="5">
        <f>SUM(G4:G86)</f>
        <v>593196.94299999997</v>
      </c>
      <c r="H2" s="7">
        <f>C2-G2</f>
        <v>-144957.69299999997</v>
      </c>
      <c r="I2" s="6">
        <f>IFERROR(H2/G2, 0)</f>
        <v>-0.24436689148615517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30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9770.375</v>
      </c>
      <c r="D4" s="13">
        <v>4516.6959999999999</v>
      </c>
      <c r="E4" s="13">
        <f>IF(AND(ISNUMBER(C4),ISNUMBER(D4)), C4-D4, "")</f>
        <v>5253.6790000000001</v>
      </c>
      <c r="F4" s="14">
        <f>IFERROR(E4/D4, "")</f>
        <v>1.163168608203873</v>
      </c>
      <c r="G4" s="15">
        <v>11909.56</v>
      </c>
      <c r="H4" s="15">
        <f>IF(AND(ISNUMBER(C4),ISNUMBER(G4)), C4-G4, "")</f>
        <v>-2139.1849999999995</v>
      </c>
      <c r="I4" s="16">
        <f>IFERROR(H4/G4, "")</f>
        <v>-0.1796191462992755</v>
      </c>
      <c r="J4" s="53" t="s">
        <v>58</v>
      </c>
      <c r="K4" s="53" t="s">
        <v>59</v>
      </c>
    </row>
    <row r="5" spans="1:11" ht="15.75">
      <c r="A5" s="31" t="str">
        <v>AZ: ASU - Pardee - Farrington</v>
      </c>
      <c r="B5" s="32" t="str">
        <v>AZ</v>
      </c>
      <c r="C5" s="11">
        <v>19585</v>
      </c>
      <c r="D5" s="19">
        <v>38134.660000000003</v>
      </c>
      <c r="E5" s="19">
        <f t="shared" ref="E5:E14" si="0">IF(AND(ISNUMBER(C5),ISNUMBER(D5)), C5-D5, "")</f>
        <v>-18549.660000000003</v>
      </c>
      <c r="F5" s="20">
        <f>IFERROR(E5/D5, "")</f>
        <v>-0.48642521003202865</v>
      </c>
      <c r="G5" s="21">
        <v>45433.81</v>
      </c>
      <c r="H5" s="21">
        <f t="shared" ref="H5:H14" si="1">IF(AND(ISNUMBER(C5),ISNUMBER(G5)), C5-G5, "")</f>
        <v>-25848.809999999998</v>
      </c>
      <c r="I5" s="20">
        <f t="shared" ref="I5:I14" si="2">IFERROR(H5/G5, "")</f>
        <v>-0.56893335601834838</v>
      </c>
      <c r="J5" s="52" t="s">
        <v>60</v>
      </c>
      <c r="K5" s="52" t="s">
        <v>61</v>
      </c>
    </row>
    <row r="6" spans="1:11" ht="30.75">
      <c r="A6" s="29" t="str">
        <v>AZ: ASU - Pardee - Macro Tech.</v>
      </c>
      <c r="B6" s="30" t="str">
        <v>AZ</v>
      </c>
      <c r="C6" s="25">
        <v>144199.375</v>
      </c>
      <c r="D6" s="13">
        <v>143171.5</v>
      </c>
      <c r="E6" s="13">
        <f t="shared" si="0"/>
        <v>1027.875</v>
      </c>
      <c r="F6" s="14">
        <f t="shared" ref="F6:F14" si="3">IFERROR(E6/D6, "")</f>
        <v>7.179326891175967E-3</v>
      </c>
      <c r="G6" s="15">
        <v>168753.3</v>
      </c>
      <c r="H6" s="15">
        <f t="shared" si="1"/>
        <v>-24553.924999999988</v>
      </c>
      <c r="I6" s="16">
        <f t="shared" si="2"/>
        <v>-0.14550189537034233</v>
      </c>
      <c r="J6" s="53" t="s">
        <v>62</v>
      </c>
      <c r="K6" s="53" t="s">
        <v>50</v>
      </c>
    </row>
    <row r="7" spans="1:11" ht="15.75">
      <c r="A7" s="31" t="str">
        <v>AZ: ASU - Pardee - McCord Hall</v>
      </c>
      <c r="B7" s="32" t="str">
        <v>AZ</v>
      </c>
      <c r="C7" s="11">
        <v>13050</v>
      </c>
      <c r="D7" s="19">
        <v>12457.43</v>
      </c>
      <c r="E7" s="19">
        <f t="shared" si="0"/>
        <v>592.56999999999971</v>
      </c>
      <c r="F7" s="20">
        <f t="shared" si="3"/>
        <v>4.7567596205637899E-2</v>
      </c>
      <c r="G7" s="21">
        <v>16077.57</v>
      </c>
      <c r="H7" s="21">
        <f t="shared" si="1"/>
        <v>-3027.5699999999997</v>
      </c>
      <c r="I7" s="20">
        <f t="shared" si="2"/>
        <v>-0.18831017373894188</v>
      </c>
      <c r="J7" s="52"/>
      <c r="K7" s="51"/>
    </row>
    <row r="8" spans="1:11" ht="15.75">
      <c r="A8" s="29" t="str">
        <v>AZ: NAU - SF Garage</v>
      </c>
      <c r="B8" s="30" t="str">
        <v>AZ</v>
      </c>
      <c r="C8" s="25">
        <v>104736</v>
      </c>
      <c r="D8" s="13">
        <v>95074.532000000007</v>
      </c>
      <c r="E8" s="13">
        <f t="shared" si="0"/>
        <v>9661.4679999999935</v>
      </c>
      <c r="F8" s="14">
        <f t="shared" si="3"/>
        <v>0.1016199375033473</v>
      </c>
      <c r="G8" s="15">
        <v>101655.62300000001</v>
      </c>
      <c r="H8" s="15">
        <f t="shared" si="1"/>
        <v>3080.3769999999931</v>
      </c>
      <c r="I8" s="16">
        <f t="shared" si="2"/>
        <v>3.0302081764822717E-2</v>
      </c>
      <c r="J8" s="53"/>
      <c r="K8" s="53"/>
    </row>
    <row r="9" spans="1:11" ht="15.75">
      <c r="A9" s="31" t="str">
        <v>AZ: ASU - Pardee - Parking Lot 11</v>
      </c>
      <c r="B9" s="32" t="str">
        <v>AZ</v>
      </c>
      <c r="C9" s="11">
        <v>26489.0625</v>
      </c>
      <c r="D9" s="19">
        <v>28266.53</v>
      </c>
      <c r="E9" s="19">
        <f t="shared" si="0"/>
        <v>-1777.4674999999988</v>
      </c>
      <c r="F9" s="20">
        <f t="shared" si="3"/>
        <v>-6.2882408983345281E-2</v>
      </c>
      <c r="G9" s="21">
        <v>31307.29</v>
      </c>
      <c r="H9" s="21">
        <f t="shared" si="1"/>
        <v>-4818.2275000000009</v>
      </c>
      <c r="I9" s="20">
        <f t="shared" si="2"/>
        <v>-0.15390113612516448</v>
      </c>
      <c r="J9" s="52"/>
      <c r="K9" s="51"/>
    </row>
    <row r="10" spans="1:11" ht="15.75">
      <c r="A10" s="29" t="str">
        <v>AZ: ASU - Pardee - Parking Lot 19</v>
      </c>
      <c r="B10" s="30" t="str">
        <v>AZ</v>
      </c>
      <c r="C10" s="25">
        <v>35789.125</v>
      </c>
      <c r="D10" s="13">
        <v>33076.949999999997</v>
      </c>
      <c r="E10" s="13">
        <f t="shared" si="0"/>
        <v>2712.1750000000029</v>
      </c>
      <c r="F10" s="14">
        <f t="shared" si="3"/>
        <v>8.1995921631226668E-2</v>
      </c>
      <c r="G10" s="15">
        <v>46358.75</v>
      </c>
      <c r="H10" s="15">
        <f t="shared" si="1"/>
        <v>-10569.625</v>
      </c>
      <c r="I10" s="16">
        <f t="shared" si="2"/>
        <v>-0.2279963329468547</v>
      </c>
      <c r="J10" s="53" t="s">
        <v>53</v>
      </c>
      <c r="K10" s="53" t="s">
        <v>44</v>
      </c>
    </row>
    <row r="11" spans="1:11" ht="15.75">
      <c r="A11" s="31" t="str">
        <v>AZ: ASU - Pardee - Parking Lot 41</v>
      </c>
      <c r="B11" s="32" t="str">
        <v>AZ</v>
      </c>
      <c r="C11" s="11">
        <v>35659.0625</v>
      </c>
      <c r="D11" s="19">
        <v>31346.92</v>
      </c>
      <c r="E11" s="19">
        <f t="shared" si="0"/>
        <v>4312.1425000000017</v>
      </c>
      <c r="F11" s="20">
        <f t="shared" si="3"/>
        <v>0.13756191995896253</v>
      </c>
      <c r="G11" s="21">
        <v>40691.57</v>
      </c>
      <c r="H11" s="21">
        <f t="shared" si="1"/>
        <v>-5032.5074999999997</v>
      </c>
      <c r="I11" s="20">
        <f t="shared" si="2"/>
        <v>-0.12367444903207224</v>
      </c>
      <c r="J11" s="52"/>
      <c r="K11" s="51"/>
    </row>
    <row r="12" spans="1:11" ht="45.75">
      <c r="A12" s="29" t="str">
        <v>AZ: ASU - Pardee - Parking Lot 58</v>
      </c>
      <c r="B12" s="30" t="str">
        <v>AZ</v>
      </c>
      <c r="C12" s="25">
        <v>8368</v>
      </c>
      <c r="D12" s="13">
        <v>17003.2</v>
      </c>
      <c r="E12" s="13">
        <f t="shared" si="0"/>
        <v>-8635.2000000000007</v>
      </c>
      <c r="F12" s="14">
        <f t="shared" si="3"/>
        <v>-0.50785734449985886</v>
      </c>
      <c r="G12" s="15">
        <v>41574.120000000003</v>
      </c>
      <c r="H12" s="15">
        <f t="shared" si="1"/>
        <v>-33206.120000000003</v>
      </c>
      <c r="I12" s="16">
        <f t="shared" si="2"/>
        <v>-0.79872093504324326</v>
      </c>
      <c r="J12" s="53" t="s">
        <v>63</v>
      </c>
      <c r="K12" s="53" t="s">
        <v>64</v>
      </c>
    </row>
    <row r="13" spans="1:11" ht="15.75">
      <c r="A13" s="31" t="str">
        <v>AZ: ASU - Pardee - Parking Lot 59S</v>
      </c>
      <c r="B13" s="32" t="str">
        <v>AZ</v>
      </c>
      <c r="C13" s="11">
        <v>16638.75</v>
      </c>
      <c r="D13" s="19">
        <v>18564.14</v>
      </c>
      <c r="E13" s="19">
        <f t="shared" si="0"/>
        <v>-1925.3899999999994</v>
      </c>
      <c r="F13" s="20">
        <f t="shared" si="3"/>
        <v>-0.10371555051836495</v>
      </c>
      <c r="G13" s="21">
        <v>45472.35</v>
      </c>
      <c r="H13" s="21">
        <f t="shared" si="1"/>
        <v>-28833.599999999999</v>
      </c>
      <c r="I13" s="20">
        <f t="shared" si="2"/>
        <v>-0.6340908266232117</v>
      </c>
      <c r="J13" s="52" t="s">
        <v>65</v>
      </c>
      <c r="K13" s="52" t="s">
        <v>66</v>
      </c>
    </row>
    <row r="14" spans="1:11" ht="15.75">
      <c r="A14" s="29" t="str">
        <v>AZ: ASU - Pardee - Sun Devil Complex</v>
      </c>
      <c r="B14" s="30" t="str">
        <v>AZ</v>
      </c>
      <c r="C14" s="25">
        <v>33954.5</v>
      </c>
      <c r="D14" s="13">
        <v>35969.39</v>
      </c>
      <c r="E14" s="13">
        <f t="shared" si="0"/>
        <v>-2014.8899999999994</v>
      </c>
      <c r="F14" s="14">
        <f t="shared" si="3"/>
        <v>-5.6016796503916229E-2</v>
      </c>
      <c r="G14" s="15">
        <v>43963</v>
      </c>
      <c r="H14" s="15">
        <f t="shared" si="1"/>
        <v>-10008.5</v>
      </c>
      <c r="I14" s="16">
        <f t="shared" si="2"/>
        <v>-0.22765734822464345</v>
      </c>
      <c r="J14" s="53" t="s">
        <v>67</v>
      </c>
      <c r="K14" s="53" t="s">
        <v>68</v>
      </c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69</v>
      </c>
      <c r="E1" s="56"/>
      <c r="F1" s="56"/>
      <c r="G1" s="54" t="s">
        <v>70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71</v>
      </c>
      <c r="E1" s="56"/>
      <c r="F1" s="56"/>
      <c r="G1" s="54" t="s">
        <v>72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73</v>
      </c>
      <c r="E1" s="56"/>
      <c r="F1" s="56"/>
      <c r="G1" s="54" t="s">
        <v>74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75</v>
      </c>
      <c r="E1" s="56"/>
      <c r="F1" s="56"/>
      <c r="G1" s="54" t="s">
        <v>76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77</v>
      </c>
      <c r="E1" s="56"/>
      <c r="F1" s="56"/>
      <c r="G1" s="54" t="s">
        <v>78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79</v>
      </c>
      <c r="E1" s="56"/>
      <c r="F1" s="56"/>
      <c r="G1" s="54" t="s">
        <v>80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4" activePane="bottomLeft" state="frozen"/>
      <selection pane="bottomLeft" activeCell="B29" sqref="B2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81</v>
      </c>
      <c r="B1" t="s">
        <v>82</v>
      </c>
    </row>
    <row r="3" spans="1:5">
      <c r="A3" t="s">
        <v>83</v>
      </c>
      <c r="B3" t="s">
        <v>3</v>
      </c>
      <c r="C3" t="s">
        <v>4</v>
      </c>
      <c r="D3" t="s">
        <v>84</v>
      </c>
      <c r="E3" s="2" t="s">
        <v>85</v>
      </c>
    </row>
    <row r="4" spans="1:5" ht="12.75" customHeight="1">
      <c r="A4" t="s">
        <v>86</v>
      </c>
      <c r="B4" t="s">
        <v>86</v>
      </c>
      <c r="C4" s="3" t="s">
        <v>87</v>
      </c>
    </row>
    <row r="5" spans="1:5" ht="12.75" customHeight="1">
      <c r="A5" t="s">
        <v>88</v>
      </c>
      <c r="B5" t="s">
        <v>88</v>
      </c>
      <c r="C5" s="3" t="s">
        <v>87</v>
      </c>
    </row>
    <row r="6" spans="1:5" ht="12.75" customHeight="1">
      <c r="A6" t="s">
        <v>89</v>
      </c>
      <c r="B6" t="s">
        <v>89</v>
      </c>
      <c r="C6" s="3" t="s">
        <v>87</v>
      </c>
    </row>
    <row r="7" spans="1:5" ht="12.75" customHeight="1">
      <c r="A7" t="s">
        <v>90</v>
      </c>
      <c r="B7" t="s">
        <v>90</v>
      </c>
      <c r="C7" s="3" t="s">
        <v>87</v>
      </c>
    </row>
    <row r="8" spans="1:5" ht="12.75" customHeight="1">
      <c r="A8" t="s">
        <v>91</v>
      </c>
      <c r="B8" t="s">
        <v>91</v>
      </c>
      <c r="C8" s="3" t="s">
        <v>87</v>
      </c>
    </row>
    <row r="9" spans="1:5" ht="12.75" customHeight="1">
      <c r="A9" t="s">
        <v>92</v>
      </c>
      <c r="B9" t="s">
        <v>92</v>
      </c>
      <c r="C9" s="3" t="s">
        <v>87</v>
      </c>
    </row>
    <row r="10" spans="1:5" ht="12.75" customHeight="1">
      <c r="A10" t="s">
        <v>93</v>
      </c>
      <c r="B10" t="s">
        <v>93</v>
      </c>
      <c r="C10" s="3" t="s">
        <v>87</v>
      </c>
    </row>
    <row r="11" spans="1:5" ht="12.75" customHeight="1">
      <c r="A11" t="s">
        <v>94</v>
      </c>
      <c r="B11" t="s">
        <v>94</v>
      </c>
      <c r="C11" s="3" t="s">
        <v>87</v>
      </c>
    </row>
    <row r="12" spans="1:5" ht="12.75" customHeight="1">
      <c r="A12" t="s">
        <v>95</v>
      </c>
      <c r="B12" t="s">
        <v>95</v>
      </c>
      <c r="C12" s="3" t="s">
        <v>87</v>
      </c>
    </row>
    <row r="13" spans="1:5" ht="12.75" customHeight="1">
      <c r="A13" t="s">
        <v>96</v>
      </c>
      <c r="B13" t="s">
        <v>96</v>
      </c>
      <c r="C13" s="3" t="s">
        <v>87</v>
      </c>
    </row>
    <row r="14" spans="1:5" ht="12.75" customHeight="1">
      <c r="A14" t="s">
        <v>97</v>
      </c>
      <c r="B14" t="s">
        <v>97</v>
      </c>
      <c r="C14" s="3" t="s">
        <v>87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2024-07-17T20:39:22Z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