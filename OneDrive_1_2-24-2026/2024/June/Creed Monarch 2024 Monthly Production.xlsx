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10" documentId="13_ncr:1_{E13A32F4-5372-4290-9210-2AB8CA423E63}" xr6:coauthVersionLast="47" xr6:coauthVersionMax="47" xr10:uidLastSave="{4BA08D24-73C4-4034-A7F0-A276309D6051}"/>
  <bookViews>
    <workbookView xWindow="-98" yWindow="-98" windowWidth="21795" windowHeight="12975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<sst xmlns="http://schemas.openxmlformats.org/spreadsheetml/2006/main" count="246" uniqueCount="59">
  <si>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</si>
  <si>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</si>
  <si>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</si>
  <si>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</si>
  <si>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</si>
  <si>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</si>
  <si>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</si>
  <si>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</si>
  <si>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</si>
  <si>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</si>
  <si>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</si>
  <si>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</si>
  <si>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</si>
  <si>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</si>
  <si>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</si>
  <si>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</si>
  <si>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</si>
  <si>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</si>
  <si>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</si>
  <si>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</si>
  <si>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</si>
  <si>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</si>
  <si>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</si>
  <si>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</si>
  <si>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</si>
  <si>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</si>
  <si>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</si>
  <si>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</si>
  <si>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Site was taken offline due to  removal of feeders  on 04/03 at 13:15 throughout the month.</t>
  </si>
  <si>
    <t>1. 	SR083003</t>
  </si>
  <si>
    <t>May Actual v. Expected</t>
  </si>
  <si>
    <t>May Actual v. Forecasted</t>
  </si>
  <si>
    <t>1. Site back online on 05/01 at 11:30</t>
  </si>
  <si>
    <t>1. SR083003</t>
  </si>
  <si>
    <t>June Actual v. Expected</t>
  </si>
  <si>
    <t>June Actual v. Forecasted</t>
  </si>
  <si>
    <t>1. Inverter 4 left unit tripped offline on 06/25 at 11:30 throughout the month</t>
  </si>
  <si>
    <t>1. SR086956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</si>
  <si>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</si>
  <si>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</si>
  <si>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</si>
  <si>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</si>
  <si>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</si>
  <si>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</si>
  <si>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</si>
  <si>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</si>
  <si>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</si>
  <si>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</si>
  <si>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</si>
  <si>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</si>
  <si>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</si>
  <si>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Creed Monarch - Roof</t>
  </si>
  <si>
    <t>Site DAS Name</t>
  </si>
  <si>
    <t>Update</t>
  </si>
  <si>
    <t>DAS</t>
  </si>
  <si>
    <t>CT: New Britain - Creed Monarch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</si>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</sst>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" xfId="0" applyNumberFormat="1" applyFont="1" applyFill="1" applyBorder="1" applyAlignment="1">
      <alignment horizontal="right" vertical="center"/>
    </xf>
    <xf numFmtId="3" fontId="35" fillId="47" borderId="12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Creed Monarch - Roof</v>
      </c>
      <c r="B1" s="49"/>
      <c r="C1" s="49"/>
      <c r="D1" s="50" t="s">
        <v>0</v>
      </c>
      <c r="E1" s="50"/>
      <c r="F1" s="50"/>
      <c r="G1" s="48" t="s">
        <v>1</v>
      </c>
      <c r="H1" s="48"/>
      <c r="I1" s="48"/>
    </row>
    <row r="2" spans="1:9" ht="19.5" customHeight="1">
      <c r="A2" s="51" t="s">
        <v>2</v>
      </c>
      <c r="B2" s="51"/>
      <c r="C2" s="5">
        <f>SUM(C4:C75)</f>
        <v>428131.06123243546</v>
      </c>
      <c r="D2" s="5">
        <f>SUM(D4:D75)</f>
        <v>0</v>
      </c>
      <c r="E2" s="5">
        <f>C2-D2</f>
        <v>428131.06123243546</v>
      </c>
      <c r="F2" s="6">
        <f>IFERROR(E2/D2, 0)</f>
        <v>0</v>
      </c>
      <c r="G2" s="5">
        <f>SUM(G4:G75)</f>
        <v>668984.11300000001</v>
      </c>
      <c r="H2" s="7">
        <f>C2-G2</f>
        <v>-240853.05176756455</v>
      </c>
      <c r="I2" s="6">
        <f>IFERROR(H2/G2, 0)</f>
        <v>-0.36002805909318292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CT: New Britain - Creed Monarch</v>
      </c>
      <c r="B4" s="9" t="str" cm="1">
        <f t="array" ref="B4">Sites[State]</f>
        <v>CT</v>
      </c>
      <c r="C4" s="23">
        <f>SUM('1st Qtr'!C4, '2nd Qtr'!C4, '3rd Qtr'!C4, '4th Qtr'!C4)</f>
        <v>428131.06123243546</v>
      </c>
      <c r="D4" s="12">
        <f>SUM('1st Qtr'!D4, '2nd Qtr'!D4, '3rd Qtr'!D4, '4th Qtr'!D4)</f>
        <v>0</v>
      </c>
      <c r="E4" s="12">
        <f>IF(AND(ISNUMBER(C4),ISNUMBER(D4)), C4-D4, "")</f>
        <v>428131.06123243546</v>
      </c>
      <c r="F4" s="13" t="str">
        <f>IFERROR(E4/D4, "")</f>
        <v/>
      </c>
      <c r="G4" s="14">
        <f>SUM('1st Qtr'!G4, '2nd Qtr'!G4, '3rd Qtr'!G4, '4th Qtr'!G4)</f>
        <v>668984.11300000001</v>
      </c>
      <c r="H4" s="14">
        <f>SUM('1st Qtr'!H4, '2nd Qtr'!H4, '3rd Qtr'!H4, '4th Qtr'!H4)</f>
        <v>-240853.05176756452</v>
      </c>
      <c r="I4" s="15">
        <f>IFERROR(H4/G4, "")</f>
        <v>-0.36002805909318286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1"/>
      <c r="G8" s="20"/>
      <c r="H8" s="20"/>
      <c r="I8" s="21"/>
    </row>
    <row r="9" spans="1:9" ht="13.15">
      <c r="A9" s="20"/>
      <c r="B9" s="20"/>
      <c r="C9" s="20"/>
      <c r="D9" s="20"/>
      <c r="E9" s="20"/>
      <c r="F9" s="21"/>
      <c r="G9" s="20"/>
      <c r="H9" s="20"/>
      <c r="I9" s="21"/>
    </row>
    <row r="10" spans="1:9" ht="13.15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5 I4:I7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Creed Monarch - Roof</v>
      </c>
      <c r="B1" s="49"/>
      <c r="C1" s="49"/>
      <c r="D1" s="50" t="s">
        <v>10</v>
      </c>
      <c r="E1" s="50"/>
      <c r="F1" s="50"/>
      <c r="G1" s="48" t="s">
        <v>11</v>
      </c>
      <c r="H1" s="48"/>
      <c r="I1" s="48"/>
    </row>
    <row r="2" spans="1:9" ht="19.5" customHeight="1">
      <c r="A2" s="51" t="s">
        <v>2</v>
      </c>
      <c r="B2" s="51"/>
      <c r="C2" s="5">
        <f>SUM(C4:C75)</f>
        <v>159443.52023243549</v>
      </c>
      <c r="D2" s="5">
        <f>SUM(D4:D75)</f>
        <v>0</v>
      </c>
      <c r="E2" s="5">
        <f>C2-D2</f>
        <v>159443.52023243549</v>
      </c>
      <c r="F2" s="6">
        <f>IFERROR(E2/D2, 0)</f>
        <v>0</v>
      </c>
      <c r="G2" s="5">
        <f>SUM(G4:G75)</f>
        <v>236807.81299999999</v>
      </c>
      <c r="H2" s="7">
        <f>C2-G2</f>
        <v>-77364.292767564504</v>
      </c>
      <c r="I2" s="6">
        <f>IFERROR(H2/G2, 0)</f>
        <v>-0.32669653837630985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CT: New Britain - Creed Monarch</v>
      </c>
      <c r="B4" s="9" t="str" cm="1">
        <f t="array" ref="B4">Sites[State]</f>
        <v>CT</v>
      </c>
      <c r="C4" s="23">
        <f>SUM(Jan!C4, Feb!C4, Mar!C4)</f>
        <v>159443.52023243549</v>
      </c>
      <c r="D4" s="12">
        <f>SUM(Jan!D4, Feb!D4, Mar!D4)</f>
        <v>0</v>
      </c>
      <c r="E4" s="12">
        <f>IF(AND(ISNUMBER(C4),ISNUMBER(D4)), C4-D4, "")</f>
        <v>159443.52023243549</v>
      </c>
      <c r="F4" s="13" t="str">
        <f>IFERROR(E4/D4, "")</f>
        <v/>
      </c>
      <c r="G4" s="14">
        <f>SUM(Jan!G4, Feb!G4, Mar!G4)</f>
        <v>236807.81299999999</v>
      </c>
      <c r="H4" s="14">
        <f>SUM(Jan!H4, Feb!H4, Mar!H4)</f>
        <v>-77364.292767564504</v>
      </c>
      <c r="I4" s="15">
        <f>IFERROR(H4/G4, "")</f>
        <v>-0.32669653837630985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1"/>
      <c r="G8" s="20"/>
      <c r="H8" s="20"/>
      <c r="I8" s="21"/>
    </row>
    <row r="9" spans="1:9" ht="13.15">
      <c r="A9" s="20"/>
      <c r="B9" s="20"/>
      <c r="C9" s="20"/>
      <c r="D9" s="20"/>
      <c r="E9" s="20"/>
      <c r="F9" s="21"/>
      <c r="G9" s="20"/>
      <c r="H9" s="20"/>
      <c r="I9" s="21"/>
    </row>
    <row r="10" spans="1:9" ht="13.15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5 I4:I7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7"/>
  <sheetViews>
    <sheetView workbookViewId="0">
      <pane xSplit="2" ySplit="3" topLeftCell="C4" activePane="bottomRight" state="frozen"/>
      <selection pane="bottomRight" activeCell="E8" sqref="E8"/>
      <selection pane="bottomLeft" activeCell="C21" sqref="C21"/>
      <selection pane="topRight" activeCell="C21" sqref="C2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Creed Monarch - Roof</v>
      </c>
      <c r="B1" s="49"/>
      <c r="C1" s="49"/>
      <c r="D1" s="50" t="s">
        <v>12</v>
      </c>
      <c r="E1" s="50"/>
      <c r="F1" s="50"/>
      <c r="G1" s="48" t="s">
        <v>13</v>
      </c>
      <c r="H1" s="48"/>
      <c r="I1" s="48"/>
    </row>
    <row r="2" spans="1:9" ht="19.5" customHeight="1">
      <c r="A2" s="51" t="s">
        <v>2</v>
      </c>
      <c r="B2" s="51"/>
      <c r="C2" s="5">
        <f>SUM(C4:C75)</f>
        <v>268687.54099999997</v>
      </c>
      <c r="D2" s="5">
        <f>SUM(D4:D75)</f>
        <v>0</v>
      </c>
      <c r="E2" s="5">
        <f>C2-D2</f>
        <v>268687.54099999997</v>
      </c>
      <c r="F2" s="6">
        <f>IFERROR(E2/D2, 0)</f>
        <v>0</v>
      </c>
      <c r="G2" s="5">
        <f>SUM(G4:G75)</f>
        <v>432176.30000000005</v>
      </c>
      <c r="H2" s="7">
        <f>C2-G2</f>
        <v>-163488.75900000008</v>
      </c>
      <c r="I2" s="6">
        <f>IFERROR(H2/G2, 0)</f>
        <v>-0.37829181979668958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CT: New Britain - Creed Monarch</v>
      </c>
      <c r="B4" s="9" t="str" cm="1">
        <f t="array" ref="B4">Sites[State]</f>
        <v>CT</v>
      </c>
      <c r="C4" s="23">
        <f>SUM(Apr!C4, May!C4, Jun!C4)</f>
        <v>268687.54099999997</v>
      </c>
      <c r="D4" s="12">
        <f>SUM(Apr!D4, May!D4, Jun!D4)</f>
        <v>0</v>
      </c>
      <c r="E4" s="12">
        <f>IF(AND(ISNUMBER(C4),ISNUMBER(D4)), C4-D4, "")</f>
        <v>268687.54099999997</v>
      </c>
      <c r="F4" s="13" t="str">
        <f>IFERROR(E4/D4, "")</f>
        <v/>
      </c>
      <c r="G4" s="14">
        <f>SUM(Apr!G4,May!G4,Jun!G4)</f>
        <v>432176.30000000005</v>
      </c>
      <c r="H4" s="14">
        <f>SUM(Apr!H4, May!H4, Jun!H4)</f>
        <v>-163488.75900000002</v>
      </c>
      <c r="I4" s="15">
        <f>IFERROR(H4/G4, "")</f>
        <v>-0.37829181979668947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1"/>
      <c r="G8" s="20"/>
      <c r="H8" s="20"/>
      <c r="I8" s="21"/>
    </row>
    <row r="9" spans="1:9" ht="13.15">
      <c r="A9" s="20"/>
      <c r="B9" s="20"/>
      <c r="C9" s="20"/>
      <c r="D9" s="20"/>
      <c r="E9" s="20"/>
      <c r="F9" s="21"/>
      <c r="G9" s="20"/>
      <c r="H9" s="20"/>
      <c r="I9" s="21"/>
    </row>
    <row r="10" spans="1:9" ht="13.15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5 I4:I7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Creed Monarch - Roof</v>
      </c>
      <c r="B1" s="49"/>
      <c r="C1" s="49"/>
      <c r="D1" s="50" t="s">
        <v>14</v>
      </c>
      <c r="E1" s="50"/>
      <c r="F1" s="50"/>
      <c r="G1" s="48" t="s">
        <v>15</v>
      </c>
      <c r="H1" s="48"/>
      <c r="I1" s="48"/>
    </row>
    <row r="2" spans="1:9" ht="19.5" customHeight="1">
      <c r="A2" s="51" t="s">
        <v>2</v>
      </c>
      <c r="B2" s="51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CT: New Britain - Creed Monarch</v>
      </c>
      <c r="B4" s="9" t="str" cm="1">
        <f t="array" ref="B4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1"/>
      <c r="G8" s="20"/>
      <c r="H8" s="20"/>
      <c r="I8" s="21"/>
    </row>
    <row r="9" spans="1:9" ht="13.15">
      <c r="A9" s="20"/>
      <c r="B9" s="20"/>
      <c r="C9" s="20"/>
      <c r="D9" s="20"/>
      <c r="E9" s="20"/>
      <c r="F9" s="21"/>
      <c r="G9" s="20"/>
      <c r="H9" s="20"/>
      <c r="I9" s="21"/>
    </row>
    <row r="10" spans="1:9" ht="13.15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</sheetData>
  <mergeCells count="4">
    <mergeCell ref="G1:I1"/>
    <mergeCell ref="A1:C1"/>
    <mergeCell ref="D1:F1"/>
    <mergeCell ref="A2:B2"/>
  </mergeCells>
  <conditionalFormatting sqref="F2 I2 F4:F75 I4:I7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Creed Monarch - Roof</v>
      </c>
      <c r="B1" s="49"/>
      <c r="C1" s="49"/>
      <c r="D1" s="50" t="s">
        <v>16</v>
      </c>
      <c r="E1" s="50"/>
      <c r="F1" s="50"/>
      <c r="G1" s="48" t="s">
        <v>17</v>
      </c>
      <c r="H1" s="48"/>
      <c r="I1" s="48"/>
    </row>
    <row r="2" spans="1:9" ht="19.5" customHeight="1">
      <c r="A2" s="51" t="s">
        <v>2</v>
      </c>
      <c r="B2" s="51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CT: New Britain - Creed Monarch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4.25">
      <c r="A5" s="20"/>
      <c r="B5" s="10"/>
      <c r="C5" s="40"/>
      <c r="D5" s="17"/>
      <c r="E5" s="17"/>
      <c r="F5" s="18"/>
      <c r="G5" s="19"/>
      <c r="H5" s="19"/>
      <c r="I5" s="18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1"/>
      <c r="G8" s="20"/>
      <c r="H8" s="20"/>
      <c r="I8" s="21"/>
    </row>
    <row r="9" spans="1:9" ht="13.15">
      <c r="A9" s="20"/>
      <c r="B9" s="20"/>
      <c r="C9" s="20"/>
      <c r="D9" s="20"/>
      <c r="E9" s="20"/>
      <c r="F9" s="21"/>
      <c r="G9" s="20"/>
      <c r="H9" s="20"/>
      <c r="I9" s="21"/>
    </row>
    <row r="10" spans="1:9" ht="13.15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15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</sheetData>
  <mergeCells count="4">
    <mergeCell ref="G1:I1"/>
    <mergeCell ref="A1:C1"/>
    <mergeCell ref="D1:F1"/>
    <mergeCell ref="A2:B2"/>
  </mergeCells>
  <conditionalFormatting sqref="F2 I2 F4:F75 I4:I7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6"/>
  <sheetViews>
    <sheetView workbookViewId="0">
      <pane xSplit="2" ySplit="3" topLeftCell="C4" activePane="bottomRight" state="frozen"/>
      <selection pane="bottomRight" activeCell="F14" sqref="F14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18</v>
      </c>
      <c r="E1" s="50"/>
      <c r="F1" s="50"/>
      <c r="G1" s="48" t="s">
        <v>19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SUM(C4:C74)</f>
        <v>22388.470232435498</v>
      </c>
      <c r="D2" s="5">
        <f>SUM(D4:D74)</f>
        <v>0</v>
      </c>
      <c r="E2" s="5">
        <f>C2-D2</f>
        <v>22388.470232435498</v>
      </c>
      <c r="F2" s="6">
        <f>IFERROR(E2/D2, 0)</f>
        <v>0</v>
      </c>
      <c r="G2" s="5">
        <f>SUM(G4:G74)</f>
        <v>57340</v>
      </c>
      <c r="H2" s="7">
        <f>C2-G2</f>
        <v>-34951.529767564498</v>
      </c>
      <c r="I2" s="6">
        <f>IFERROR(H2/G2, 0)</f>
        <v>-0.6095488274775811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5" t="str" cm="1">
        <f t="array" ref="A4">Sites[Site]</f>
        <v>CT: New Britain - Creed Monarch</v>
      </c>
      <c r="B4" s="27" t="str" cm="1">
        <f t="array" ref="B4">Sites[State]</f>
        <v>CT</v>
      </c>
      <c r="C4" s="46">
        <v>22388.470232435498</v>
      </c>
      <c r="D4" s="12">
        <v>0</v>
      </c>
      <c r="E4" s="12">
        <f>IF(AND(ISNUMBER(C4),ISNUMBER(D4)), C4-D4, "")</f>
        <v>22388.470232435498</v>
      </c>
      <c r="F4" s="39" t="str">
        <f>IFERROR(E4/D4, "")</f>
        <v/>
      </c>
      <c r="G4" s="47">
        <v>57340</v>
      </c>
      <c r="H4" s="14">
        <f>IF(AND(ISNUMBER(C4),ISNUMBER(G4)), C4-G4, "")</f>
        <v>-34951.529767564498</v>
      </c>
      <c r="I4" s="15">
        <f>IFERROR(H4/G4, "")</f>
        <v>-0.6095488274775811</v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1"/>
      <c r="G7" s="20"/>
      <c r="H7" s="20"/>
      <c r="I7" s="21"/>
      <c r="J7" s="20"/>
      <c r="K7" s="20"/>
    </row>
    <row r="8" spans="1:11" ht="14.2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</sheetData>
  <mergeCells count="4">
    <mergeCell ref="D1:F1"/>
    <mergeCell ref="A1:C1"/>
    <mergeCell ref="G1:I1"/>
    <mergeCell ref="A2:B2"/>
  </mergeCells>
  <conditionalFormatting sqref="F2 I2 I4:I74 F5:F74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7"/>
  <sheetViews>
    <sheetView workbookViewId="0">
      <pane xSplit="2" ySplit="3" topLeftCell="C4" activePane="bottomRight" state="frozen"/>
      <selection pane="bottomRight" activeCell="J8" sqref="J8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22</v>
      </c>
      <c r="E1" s="50"/>
      <c r="F1" s="50"/>
      <c r="G1" s="48" t="s">
        <v>23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43907.63</v>
      </c>
      <c r="D2" s="5">
        <f>SUM(D4:D75)</f>
        <v>0</v>
      </c>
      <c r="E2" s="5">
        <f>C2-D2</f>
        <v>43907.63</v>
      </c>
      <c r="F2" s="6">
        <f>IFERROR(E2/D2, 0)</f>
        <v>0</v>
      </c>
      <c r="G2" s="5">
        <f>SUM(G4:G75)</f>
        <v>73689.024999999994</v>
      </c>
      <c r="H2" s="7">
        <f>C2-G2</f>
        <v>-29781.394999999997</v>
      </c>
      <c r="I2" s="6">
        <f>IFERROR(H2/G2, 0)</f>
        <v>-0.40414966814936143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5" t="str" cm="1">
        <f t="array" ref="A4">Sites[Site]</f>
        <v>CT: New Britain - Creed Monarch</v>
      </c>
      <c r="B4" s="27" t="str" cm="1">
        <f t="array" ref="B4">Sites[State]</f>
        <v>CT</v>
      </c>
      <c r="C4" s="23">
        <v>43907.63</v>
      </c>
      <c r="D4" s="12">
        <v>0</v>
      </c>
      <c r="E4" s="12">
        <f>IF(AND(ISNUMBER(C4),ISNUMBER(D4)), C4-D4, "")</f>
        <v>43907.63</v>
      </c>
      <c r="F4" s="13" t="str">
        <f>IFERROR(E4/D4, "")</f>
        <v/>
      </c>
      <c r="G4" s="14">
        <v>73689.024999999994</v>
      </c>
      <c r="H4" s="14">
        <f>IF(AND(ISNUMBER(C4),ISNUMBER(G4)), C4-G4, "")</f>
        <v>-29781.394999999997</v>
      </c>
      <c r="I4" s="15">
        <f>IFERROR(H4/G4, "")</f>
        <v>-0.40414966814936143</v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7"/>
  <sheetViews>
    <sheetView workbookViewId="0">
      <pane xSplit="2" ySplit="3" topLeftCell="C4" activePane="bottomRight" state="frozen"/>
      <selection pane="bottomRight" activeCell="G18" sqref="G18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24</v>
      </c>
      <c r="E1" s="50"/>
      <c r="F1" s="50"/>
      <c r="G1" s="48" t="s">
        <v>25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93147.42</v>
      </c>
      <c r="D2" s="5">
        <f>SUM(D4:D75)</f>
        <v>0</v>
      </c>
      <c r="E2" s="5">
        <f>C2-D2</f>
        <v>93147.42</v>
      </c>
      <c r="F2" s="6">
        <f>IFERROR(E2/D2, 0)</f>
        <v>0</v>
      </c>
      <c r="G2" s="5">
        <f>SUM(G4:G75)</f>
        <v>105778.788</v>
      </c>
      <c r="H2" s="7">
        <f>C2-G2</f>
        <v>-12631.368000000002</v>
      </c>
      <c r="I2" s="6">
        <f>IFERROR(H2/G2, 0)</f>
        <v>-0.11941305283248284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93147.42</v>
      </c>
      <c r="D4" s="12">
        <v>0</v>
      </c>
      <c r="E4" s="12">
        <f>IF(AND(ISNUMBER(C4),ISNUMBER(D4)), C4-D4, "")</f>
        <v>93147.42</v>
      </c>
      <c r="F4" s="13" t="str">
        <f>IFERROR(E4/D4, "")</f>
        <v/>
      </c>
      <c r="G4" s="14">
        <v>105778.788</v>
      </c>
      <c r="H4" s="14">
        <f>IF(AND(ISNUMBER(C4),ISNUMBER(G4)), C4-G4, "")</f>
        <v>-12631.368000000002</v>
      </c>
      <c r="I4" s="15">
        <f>IFERROR(H4/G4, "")</f>
        <v>-0.11941305283248284</v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7"/>
  <sheetViews>
    <sheetView zoomScale="90" zoomScaleNormal="90" workbookViewId="0">
      <pane xSplit="2" ySplit="3" topLeftCell="F4" activePane="bottomRight" state="frozen"/>
      <selection pane="bottomRight" activeCell="J9" sqref="J9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26</v>
      </c>
      <c r="E1" s="50"/>
      <c r="F1" s="50"/>
      <c r="G1" s="48" t="s">
        <v>27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3262.181</v>
      </c>
      <c r="D2" s="5">
        <f>SUM(D4:D75)</f>
        <v>0</v>
      </c>
      <c r="E2" s="5">
        <f>C2-D2</f>
        <v>3262.181</v>
      </c>
      <c r="F2" s="6">
        <f>IFERROR(E2/D2, 0)</f>
        <v>0</v>
      </c>
      <c r="G2" s="5">
        <f>SUM(G4:G75)</f>
        <v>129887.5</v>
      </c>
      <c r="H2" s="7">
        <f>C2-G2</f>
        <v>-126625.319</v>
      </c>
      <c r="I2" s="6">
        <f>IFERROR(H2/G2, 0)</f>
        <v>-0.97488456548936586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3262.181</v>
      </c>
      <c r="D4" s="12">
        <v>0</v>
      </c>
      <c r="E4" s="12">
        <f>IF(AND(ISNUMBER(C4),ISNUMBER(D4)), C4-D4, "")</f>
        <v>3262.181</v>
      </c>
      <c r="F4" s="13" t="str">
        <f>IFERROR(E4/D4, "")</f>
        <v/>
      </c>
      <c r="G4" s="14">
        <v>129887.5</v>
      </c>
      <c r="H4" s="14">
        <f>IF(AND(ISNUMBER(C4),ISNUMBER(G4)), C4-G4, "")</f>
        <v>-126625.319</v>
      </c>
      <c r="I4" s="15">
        <f>IFERROR(H4/G4, "")</f>
        <v>-0.97488456548936586</v>
      </c>
      <c r="J4" s="37" t="s">
        <v>28</v>
      </c>
      <c r="K4" s="37" t="s">
        <v>29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7"/>
  <sheetViews>
    <sheetView workbookViewId="0">
      <pane xSplit="2" ySplit="3" topLeftCell="G4" activePane="bottomRight" state="frozen"/>
      <selection pane="bottomRight" activeCell="J21" sqref="J21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30</v>
      </c>
      <c r="E1" s="50"/>
      <c r="F1" s="50"/>
      <c r="G1" s="48" t="s">
        <v>31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126239.34</v>
      </c>
      <c r="D2" s="5">
        <f>SUM(D4:D75)</f>
        <v>0</v>
      </c>
      <c r="E2" s="5">
        <f>C2-D2</f>
        <v>126239.34</v>
      </c>
      <c r="F2" s="6">
        <f>IFERROR(E2/D2, 0)</f>
        <v>0</v>
      </c>
      <c r="G2" s="5">
        <f>SUM(G4:G75)</f>
        <v>146109.4</v>
      </c>
      <c r="H2" s="7">
        <f>C2-G2</f>
        <v>-19870.059999999998</v>
      </c>
      <c r="I2" s="6">
        <f>IFERROR(H2/G2, 0)</f>
        <v>-0.13599439871767319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126239.34</v>
      </c>
      <c r="D4" s="12">
        <v>0</v>
      </c>
      <c r="E4" s="12">
        <f>IF(AND(ISNUMBER(C4),ISNUMBER(D4)), C4-D4, "")</f>
        <v>126239.34</v>
      </c>
      <c r="F4" s="13" t="str">
        <f>IFERROR(E4/D4, "")</f>
        <v/>
      </c>
      <c r="G4" s="14">
        <v>146109.4</v>
      </c>
      <c r="H4" s="14">
        <f>IF(AND(ISNUMBER(C4),ISNUMBER(G4)), C4-G4, "")</f>
        <v>-19870.059999999998</v>
      </c>
      <c r="I4" s="15">
        <f>IFERROR(H4/G4, "")</f>
        <v>-0.13599439871767319</v>
      </c>
      <c r="J4" s="37" t="s">
        <v>32</v>
      </c>
      <c r="K4" s="37" t="s">
        <v>33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7"/>
  <sheetViews>
    <sheetView tabSelected="1" workbookViewId="0">
      <pane xSplit="2" ySplit="3" topLeftCell="G4" activePane="bottomRight" state="frozen"/>
      <selection pane="bottomRight" activeCell="J11" sqref="J11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34</v>
      </c>
      <c r="E1" s="50"/>
      <c r="F1" s="50"/>
      <c r="G1" s="48" t="s">
        <v>35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139186.01999999999</v>
      </c>
      <c r="D2" s="5">
        <f>SUM(D4:D75)</f>
        <v>0</v>
      </c>
      <c r="E2" s="5">
        <f>C2-D2</f>
        <v>139186.01999999999</v>
      </c>
      <c r="F2" s="6">
        <f>IFERROR(E2/D2, 0)</f>
        <v>0</v>
      </c>
      <c r="G2" s="5">
        <f>SUM(G4:G75)</f>
        <v>156179.4</v>
      </c>
      <c r="H2" s="7">
        <f>C2-G2</f>
        <v>-16993.380000000005</v>
      </c>
      <c r="I2" s="6">
        <f>IFERROR(H2/G2, 0)</f>
        <v>-0.10880679526237139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>
        <v>139186.01999999999</v>
      </c>
      <c r="D4" s="12">
        <v>0</v>
      </c>
      <c r="E4" s="12">
        <f>IF(AND(ISNUMBER(C4),ISNUMBER(D4)), C4-D4, "")</f>
        <v>139186.01999999999</v>
      </c>
      <c r="F4" s="13" t="str">
        <f>IFERROR(E4/D4, "")</f>
        <v/>
      </c>
      <c r="G4" s="14">
        <v>156179.4</v>
      </c>
      <c r="H4" s="14">
        <f>IF(AND(ISNUMBER(C4),ISNUMBER(G4)), C4-G4, "")</f>
        <v>-16993.380000000005</v>
      </c>
      <c r="I4" s="15">
        <f>IFERROR(H4/G4, "")</f>
        <v>-0.10880679526237139</v>
      </c>
      <c r="J4" s="37" t="s">
        <v>36</v>
      </c>
      <c r="K4" s="37" t="s">
        <v>37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38</v>
      </c>
      <c r="E1" s="50"/>
      <c r="F1" s="50"/>
      <c r="G1" s="48" t="s">
        <v>39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>
      <c r="C317" s="20"/>
      <c r="D317" s="20"/>
      <c r="E317" s="20"/>
      <c r="F317" s="21"/>
      <c r="G317" s="20"/>
      <c r="H317" s="20"/>
      <c r="I317" s="21"/>
      <c r="J317" s="20"/>
      <c r="K317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5 I4:I7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40</v>
      </c>
      <c r="E1" s="50"/>
      <c r="F1" s="50"/>
      <c r="G1" s="48" t="s">
        <v>41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42</v>
      </c>
      <c r="E1" s="50"/>
      <c r="F1" s="50"/>
      <c r="G1" s="48" t="s">
        <v>43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44</v>
      </c>
      <c r="E1" s="50"/>
      <c r="F1" s="50"/>
      <c r="G1" s="48" t="s">
        <v>45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46</v>
      </c>
      <c r="E1" s="50"/>
      <c r="F1" s="50"/>
      <c r="G1" s="48" t="s">
        <v>47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7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Creed Monarch - Roof</v>
      </c>
      <c r="B1" s="49"/>
      <c r="C1" s="49"/>
      <c r="D1" s="50" t="s">
        <v>48</v>
      </c>
      <c r="E1" s="50"/>
      <c r="F1" s="50"/>
      <c r="G1" s="48" t="s">
        <v>49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SUM(C4:C75)</f>
        <v>0</v>
      </c>
      <c r="D2" s="5">
        <f>SUM(D4:D75)</f>
        <v>0</v>
      </c>
      <c r="E2" s="5">
        <f>C2-D2</f>
        <v>0</v>
      </c>
      <c r="F2" s="6">
        <f>IFERROR(E2/D2, 0)</f>
        <v>0</v>
      </c>
      <c r="G2" s="5">
        <f>SUM(G4:G75)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New Britain - Creed Monarch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1"/>
      <c r="G8" s="20"/>
      <c r="H8" s="20"/>
      <c r="I8" s="21"/>
      <c r="J8" s="20"/>
      <c r="K8" s="20"/>
    </row>
    <row r="9" spans="1:11" ht="14.2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2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3.9">
      <c r="C317" s="20"/>
      <c r="D317" s="20"/>
      <c r="E317" s="20"/>
      <c r="F317" s="21"/>
      <c r="G317" s="20"/>
      <c r="H317" s="20"/>
      <c r="I317" s="21"/>
      <c r="J317" s="20"/>
      <c r="K317" s="20"/>
    </row>
  </sheetData>
  <mergeCells count="4">
    <mergeCell ref="G1:I1"/>
    <mergeCell ref="A1:C1"/>
    <mergeCell ref="D1:F1"/>
    <mergeCell ref="A2:B2"/>
  </mergeCells>
  <conditionalFormatting sqref="F2 I2 F4:F75 I4:I7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0" sqref="E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50</v>
      </c>
      <c r="B1" t="s">
        <v>51</v>
      </c>
    </row>
    <row r="3" spans="1:12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12" ht="14.25">
      <c r="A4" s="44" t="s">
        <v>51</v>
      </c>
      <c r="B4" t="s">
        <v>55</v>
      </c>
      <c r="C4" s="42" t="s">
        <v>56</v>
      </c>
      <c r="D4" s="41" t="s">
        <v>57</v>
      </c>
      <c r="E4" t="s">
        <v>58</v>
      </c>
      <c r="G4" s="3"/>
    </row>
    <row r="5" spans="1:12" ht="14.25">
      <c r="A5" s="44"/>
      <c r="C5" s="42"/>
      <c r="D5" s="41"/>
      <c r="G5" s="3"/>
    </row>
    <row r="6" spans="1:12" ht="14.2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C0BCDC1E-6052-4E48-9BAF-94A40814E7C2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Harper, Amanda</cp:lastModifiedBy>
  <cp:revision/>
  <dcterms:created xsi:type="dcterms:W3CDTF">2021-01-01T16:39:53Z</dcterms:created>
  <dcterms:modified xsi:type="dcterms:W3CDTF">2024-07-16T19:06:24Z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