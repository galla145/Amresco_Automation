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12" documentId="13_ncr:1_{90CE6389-C882-4C02-BA66-4C37393BAD90}" xr6:coauthVersionLast="47" xr6:coauthVersionMax="47" xr10:uidLastSave="{9D74CEF8-F2B1-4486-A033-A2AB0EA2D1F8}"/>
  <bookViews>
    <workbookView xWindow="-98" yWindow="-98" windowWidth="21795" windowHeight="12975" tabRatio="866" firstSheet="10" activeTab="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E4" i="34" s="1"/>
  <c r="F4" i="34" s="1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G2" i="34" l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<sst xmlns="http://schemas.openxmlformats.org/spreadsheetml/2006/main" count="246" uniqueCount="59">
  <si>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</si>
  <si>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</si>
  <si>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</si>
  <si>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</si>
  <si>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</si>
  <si>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</si>
  <si>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</si>
  <si>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</si>
  <si>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</si>
  <si>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</si>
  <si>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</si>
  <si>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</si>
  <si>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</si>
  <si>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</si>
  <si>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</si>
  <si>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</si>
  <si>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</si>
  <si>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</si>
  <si>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</si>
  <si>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</si>
  <si>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</si>
  <si>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</si>
  <si>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3 was offline from 10/28 to till.
2. Inverter 14 is underperforming 10kW compared to its peers.</t>
  </si>
  <si>
    <t>1. SR077823
2. SR076525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</si>
  <si>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</si>
  <si>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</si>
  <si>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</si>
  <si>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</si>
  <si>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</si>
  <si>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</si>
  <si>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</si>
  <si>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</si>
  <si>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1.Inverter 7 underperforming by 3kW since 5/2/24 and increased to 6kW from 05/24/24</t>
  </si>
  <si>
    <t>1. SR084518</t>
  </si>
  <si>
    <t>June Actual v. Expected</t>
  </si>
  <si>
    <t>June Actual v. Forecasted</t>
  </si>
  <si>
    <t>1.Inverter 13 was tripped offline at 12:15 on 06/05 and back online at 10:30 on 06/14.
2.Inverter 14 was offline from 06/08 throughout the month</t>
  </si>
  <si>
    <t>1.	SR085588
2.SR085759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</si>
  <si>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</si>
  <si>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</si>
  <si>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</si>
  <si>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</si>
  <si>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</si>
  <si>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</si>
  <si>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</si>
  <si>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</si>
  <si>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</si>
  <si>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</si>
  <si>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</si>
  <si>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</si>
  <si>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</si>
  <si>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Accel International</t>
  </si>
  <si>
    <t>Site DAS Name</t>
  </si>
  <si>
    <t>Update</t>
  </si>
  <si>
    <t>DAS</t>
  </si>
  <si>
    <t>CT: Meriden - Accel International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</si>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</sst>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2CC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35" fillId="46" borderId="12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I4" sqref="I4"/>
      <selection pane="bottomLeft" activeCell="A11" sqref="A11"/>
      <selection pane="topRight" activeCell="A11" sqref="A1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Accel International</v>
      </c>
      <c r="B1" s="48"/>
      <c r="C1" s="48"/>
      <c r="D1" s="49" t="s">
        <v>0</v>
      </c>
      <c r="E1" s="49"/>
      <c r="F1" s="49"/>
      <c r="G1" s="47" t="s">
        <v>1</v>
      </c>
      <c r="H1" s="47"/>
      <c r="I1" s="47"/>
    </row>
    <row r="2" spans="1:9" ht="19.5" customHeight="1">
      <c r="A2" s="50" t="s">
        <v>2</v>
      </c>
      <c r="B2" s="50"/>
      <c r="C2" s="5">
        <f>SUM(C4:C77)</f>
        <v>372793.77984236518</v>
      </c>
      <c r="D2" s="5">
        <f>SUM(D4:D77)</f>
        <v>0</v>
      </c>
      <c r="E2" s="5">
        <f>C2-D2</f>
        <v>372793.77984236518</v>
      </c>
      <c r="F2" s="6">
        <f>IFERROR(E2/D2, 0)</f>
        <v>0</v>
      </c>
      <c r="G2" s="5">
        <f>SUM(G4:G77)</f>
        <v>405496.28</v>
      </c>
      <c r="H2" s="7">
        <f>C2-G2</f>
        <v>-32702.500157634844</v>
      </c>
      <c r="I2" s="6">
        <f>IFERROR(H2/G2, 0)</f>
        <v>-8.0648089194886918E-2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11" t="str" cm="1">
        <f t="array" ref="A4">Sites[Site]</f>
        <v>CT: Meriden - Accel International</v>
      </c>
      <c r="B4" s="9" t="str" cm="1">
        <f t="array" ref="B4">Sites[State]</f>
        <v>CT</v>
      </c>
      <c r="C4" s="23">
        <f>SUM('1st Qtr'!C4, '2nd Qtr'!C4, '3rd Qtr'!C4, '4th Qtr'!C4)</f>
        <v>372793.77984236518</v>
      </c>
      <c r="D4" s="12">
        <f>SUM('1st Qtr'!D4, '2nd Qtr'!D4, '3rd Qtr'!D4, '4th Qtr'!D4)</f>
        <v>0</v>
      </c>
      <c r="E4" s="12">
        <f>IF(AND(ISNUMBER(C4),ISNUMBER(D4)), C4-D4, "")</f>
        <v>372793.77984236518</v>
      </c>
      <c r="F4" s="13" t="str">
        <f>IFERROR(E4/D4, "")</f>
        <v/>
      </c>
      <c r="G4" s="14">
        <f>SUM('1st Qtr'!G4, '2nd Qtr'!G4, '3rd Qtr'!G4, '4th Qtr'!G4)</f>
        <v>405496.28</v>
      </c>
      <c r="H4" s="14">
        <f>SUM('1st Qtr'!H4, '2nd Qtr'!H4, '3rd Qtr'!H4, '4th Qtr'!H4)</f>
        <v>-32702.500157634786</v>
      </c>
      <c r="I4" s="15">
        <f>IFERROR(H4/G4, "")</f>
        <v>-8.064808919488678E-2</v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15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zoomScale="90" zoomScaleNormal="90" workbookViewId="0">
      <pane xSplit="2" ySplit="3" topLeftCell="C4" activePane="bottomRight" state="frozen"/>
      <selection pane="bottomRight" activeCell="H4" sqref="H4"/>
      <selection pane="bottomLeft" activeCell="A11" sqref="A11"/>
      <selection pane="topRight" activeCell="A11" sqref="A1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Accel International</v>
      </c>
      <c r="B1" s="48"/>
      <c r="C1" s="48"/>
      <c r="D1" s="49" t="s">
        <v>10</v>
      </c>
      <c r="E1" s="49"/>
      <c r="F1" s="49"/>
      <c r="G1" s="47" t="s">
        <v>11</v>
      </c>
      <c r="H1" s="47"/>
      <c r="I1" s="47"/>
    </row>
    <row r="2" spans="1:9" ht="19.5" customHeight="1">
      <c r="A2" s="50" t="s">
        <v>2</v>
      </c>
      <c r="B2" s="50"/>
      <c r="C2" s="5">
        <f>SUM(C4:C77)</f>
        <v>141080.59972650901</v>
      </c>
      <c r="D2" s="5">
        <f>SUM(D4:D77)</f>
        <v>0</v>
      </c>
      <c r="E2" s="5">
        <f>C2-D2</f>
        <v>141080.59972650901</v>
      </c>
      <c r="F2" s="6">
        <f>IFERROR(E2/D2, 0)</f>
        <v>0</v>
      </c>
      <c r="G2" s="5">
        <f>SUM(G4:G77)</f>
        <v>142896.26</v>
      </c>
      <c r="H2" s="7">
        <f>C2-G2</f>
        <v>-1815.6602734909975</v>
      </c>
      <c r="I2" s="6">
        <f>IFERROR(H2/G2, 0)</f>
        <v>-1.270614271843782E-2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3" t="str" cm="1">
        <f t="array" ref="A4">Sites[Site]</f>
        <v>CT: Meriden - Accel International</v>
      </c>
      <c r="B4" s="9" t="str" cm="1">
        <f t="array" ref="B4">Sites[State]</f>
        <v>CT</v>
      </c>
      <c r="C4" s="23">
        <f>SUM(Jan!C4, Feb!C4, Mar!C4)</f>
        <v>141080.59972650901</v>
      </c>
      <c r="D4" s="12">
        <f>SUM(Jan!D4, Feb!D4, Mar!D4)</f>
        <v>0</v>
      </c>
      <c r="E4" s="12">
        <f>IF(AND(ISNUMBER(C4),ISNUMBER(D4)), C4-D4, "")</f>
        <v>141080.59972650901</v>
      </c>
      <c r="F4" s="13" t="str">
        <f>IFERROR(E4/D4, "")</f>
        <v/>
      </c>
      <c r="G4" s="14">
        <f>SUM(Jan!G4, Feb!G4, Mar!G4)</f>
        <v>142896.26</v>
      </c>
      <c r="H4" s="14">
        <f>SUM(Jan!H4, Feb!H4, Mar!H4)</f>
        <v>-1815.6602734909975</v>
      </c>
      <c r="I4" s="15">
        <f>IFERROR(H4/G4, "")</f>
        <v>-1.270614271843782E-2</v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15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tabSelected="1" workbookViewId="0">
      <pane xSplit="2" ySplit="3" topLeftCell="G4" activePane="bottomRight" state="frozen"/>
      <selection pane="bottomRight" activeCell="G4" sqref="G4"/>
      <selection pane="bottomLeft" activeCell="A11" sqref="A11"/>
      <selection pane="topRight" activeCell="A11" sqref="A1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Accel International</v>
      </c>
      <c r="B1" s="48"/>
      <c r="C1" s="48"/>
      <c r="D1" s="49" t="s">
        <v>12</v>
      </c>
      <c r="E1" s="49"/>
      <c r="F1" s="49"/>
      <c r="G1" s="47" t="s">
        <v>13</v>
      </c>
      <c r="H1" s="47"/>
      <c r="I1" s="47"/>
    </row>
    <row r="2" spans="1:9" ht="19.5" customHeight="1">
      <c r="A2" s="50" t="s">
        <v>2</v>
      </c>
      <c r="B2" s="50"/>
      <c r="C2" s="5">
        <f>SUM(C4:C77)</f>
        <v>231713.1801158562</v>
      </c>
      <c r="D2" s="5">
        <f>SUM(D4:D77)</f>
        <v>0</v>
      </c>
      <c r="E2" s="5">
        <f>C2-D2</f>
        <v>231713.1801158562</v>
      </c>
      <c r="F2" s="6">
        <f>IFERROR(E2/D2, 0)</f>
        <v>0</v>
      </c>
      <c r="G2" s="5">
        <f>SUM(G4:G77)</f>
        <v>262600.02</v>
      </c>
      <c r="H2" s="7">
        <f>C2-G2</f>
        <v>-30886.839884143817</v>
      </c>
      <c r="I2" s="6">
        <f>IFERROR(H2/G2, 0)</f>
        <v>-0.1176193356121748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3" t="str" cm="1">
        <f t="array" ref="A4">Sites[Site]</f>
        <v>CT: Meriden - Accel International</v>
      </c>
      <c r="B4" s="9" t="str" cm="1">
        <f t="array" ref="B4">Sites[State]</f>
        <v>CT</v>
      </c>
      <c r="C4" s="23">
        <f>SUM(Apr!C4, May!C4, Jun!C4)</f>
        <v>231713.1801158562</v>
      </c>
      <c r="D4" s="12">
        <f>SUM(Apr!D4, May!D4, Jun!D4)</f>
        <v>0</v>
      </c>
      <c r="E4" s="12">
        <f>IF(AND(ISNUMBER(C4),ISNUMBER(D4)), C4-D4, "")</f>
        <v>231713.1801158562</v>
      </c>
      <c r="F4" s="13" t="str">
        <f>IFERROR(E4/D4, "")</f>
        <v/>
      </c>
      <c r="G4" s="14">
        <f>SUM(Apr!G4,May!G4,Jun!G4)</f>
        <v>262600.02</v>
      </c>
      <c r="H4" s="14">
        <f>SUM(Apr!H4, May!H4, Jun!H4)</f>
        <v>-30886.839884143788</v>
      </c>
      <c r="I4" s="15">
        <f>IFERROR(H4/G4, "")</f>
        <v>-0.11761933561217469</v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15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Accel International</v>
      </c>
      <c r="B1" s="48"/>
      <c r="C1" s="48"/>
      <c r="D1" s="49" t="s">
        <v>14</v>
      </c>
      <c r="E1" s="49"/>
      <c r="F1" s="49"/>
      <c r="G1" s="47" t="s">
        <v>15</v>
      </c>
      <c r="H1" s="47"/>
      <c r="I1" s="47"/>
    </row>
    <row r="2" spans="1:9" ht="19.5" customHeight="1">
      <c r="A2" s="50" t="s">
        <v>2</v>
      </c>
      <c r="B2" s="5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3" t="str" cm="1">
        <f t="array" ref="A4">Sites[Site]</f>
        <v>CT: Meriden - Accel International</v>
      </c>
      <c r="B4" s="9" t="str" cm="1">
        <f t="array" ref="B4">Sites[State]</f>
        <v>CT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75">
      <c r="A5" s="16"/>
      <c r="B5" s="20"/>
      <c r="C5" s="20"/>
      <c r="D5" s="20"/>
      <c r="E5" s="20"/>
      <c r="F5" s="20"/>
      <c r="G5" s="20"/>
      <c r="H5" s="20"/>
      <c r="I5" s="20"/>
    </row>
    <row r="6" spans="1:9" ht="15.75">
      <c r="A6" s="16"/>
      <c r="B6" s="20"/>
      <c r="C6" s="20"/>
      <c r="D6" s="20"/>
      <c r="E6" s="20"/>
      <c r="F6" s="20"/>
      <c r="G6" s="20"/>
      <c r="H6" s="20"/>
      <c r="I6" s="20"/>
    </row>
    <row r="7" spans="1:9" ht="15.75">
      <c r="A7" s="16"/>
      <c r="B7" s="20"/>
      <c r="C7" s="20"/>
      <c r="D7" s="20"/>
      <c r="E7" s="20"/>
      <c r="F7" s="20"/>
      <c r="G7" s="20"/>
      <c r="H7" s="20"/>
      <c r="I7" s="20"/>
    </row>
    <row r="8" spans="1:9" ht="15.75">
      <c r="A8" s="16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15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Accel International</v>
      </c>
      <c r="B1" s="48"/>
      <c r="C1" s="48"/>
      <c r="D1" s="49" t="s">
        <v>16</v>
      </c>
      <c r="E1" s="49"/>
      <c r="F1" s="49"/>
      <c r="G1" s="47" t="s">
        <v>17</v>
      </c>
      <c r="H1" s="47"/>
      <c r="I1" s="47"/>
    </row>
    <row r="2" spans="1:9" ht="19.5" customHeight="1">
      <c r="A2" s="50" t="s">
        <v>2</v>
      </c>
      <c r="B2" s="5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3" t="str" cm="1">
        <f t="array" ref="A4">Sites[Site]</f>
        <v>CT: Meriden - Accel International</v>
      </c>
      <c r="B4" s="9" t="str" cm="1">
        <f t="array" ref="B4">Sites[State]</f>
        <v>CT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4.25">
      <c r="A5" s="20"/>
      <c r="B5" s="10"/>
      <c r="C5" s="40"/>
      <c r="D5" s="17"/>
      <c r="E5" s="17"/>
      <c r="F5" s="18"/>
      <c r="G5" s="19"/>
      <c r="H5" s="19"/>
      <c r="I5" s="18"/>
    </row>
    <row r="6" spans="1:9" ht="14.25">
      <c r="A6" s="20"/>
      <c r="B6" s="10"/>
      <c r="C6" s="40"/>
      <c r="D6" s="17"/>
      <c r="E6" s="17"/>
      <c r="F6" s="18"/>
      <c r="G6" s="19"/>
      <c r="H6" s="19"/>
      <c r="I6" s="18"/>
    </row>
    <row r="7" spans="1:9" ht="14.25">
      <c r="A7" s="20"/>
      <c r="B7" s="10"/>
      <c r="C7" s="40"/>
      <c r="D7" s="17"/>
      <c r="E7" s="17"/>
      <c r="F7" s="18"/>
      <c r="G7" s="19"/>
      <c r="H7" s="19"/>
      <c r="I7" s="18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15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zoomScale="90" zoomScaleNormal="90" workbookViewId="0">
      <pane xSplit="2" ySplit="3" topLeftCell="D4" activePane="bottomRight" state="frozen"/>
      <selection pane="bottomRight" activeCell="J9" sqref="J9"/>
      <selection pane="bottomLeft" activeCell="A11" sqref="A11"/>
      <selection pane="topRight" activeCell="A11" sqref="A11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Accel International</v>
      </c>
      <c r="B1" s="48"/>
      <c r="C1" s="48"/>
      <c r="D1" s="49" t="s">
        <v>18</v>
      </c>
      <c r="E1" s="49"/>
      <c r="F1" s="49"/>
      <c r="G1" s="47" t="s">
        <v>19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SUM(C4:C76)</f>
        <v>19139.559694245501</v>
      </c>
      <c r="D2" s="5">
        <f>SUM(D4:D76)</f>
        <v>0</v>
      </c>
      <c r="E2" s="5">
        <f>C2-D2</f>
        <v>19139.559694245501</v>
      </c>
      <c r="F2" s="6">
        <f>IFERROR(E2/D2, 0)</f>
        <v>0</v>
      </c>
      <c r="G2" s="5">
        <f>SUM(G4:G76)</f>
        <v>34815</v>
      </c>
      <c r="H2" s="7">
        <f>C2-G2</f>
        <v>-15675.440305754499</v>
      </c>
      <c r="I2" s="6">
        <f>IFERROR(H2/G2, 0)</f>
        <v>-0.45024961383755563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6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5">
      <c r="A4" s="45" t="str" cm="1">
        <f t="array" ref="A4">Sites[Site]</f>
        <v>CT: Meriden - Accel International</v>
      </c>
      <c r="B4" s="27" t="str" cm="1">
        <f t="array" ref="B4">Sites[State]</f>
        <v>CT</v>
      </c>
      <c r="C4" s="12">
        <v>19139.559694245501</v>
      </c>
      <c r="D4" s="12">
        <v>0</v>
      </c>
      <c r="E4" s="12">
        <f>IF(AND(ISNUMBER(C4),ISNUMBER(D4)), C4-D4, "")</f>
        <v>19139.559694245501</v>
      </c>
      <c r="F4" s="39" t="str">
        <f>IFERROR(E4/D4, "")</f>
        <v/>
      </c>
      <c r="G4" s="14">
        <v>34815</v>
      </c>
      <c r="H4" s="14">
        <f>IF(AND(ISNUMBER(C4),ISNUMBER(G4)), C4-G4, "")</f>
        <v>-15675.440305754499</v>
      </c>
      <c r="I4" s="15">
        <f>IFERROR(H4/G4, "")</f>
        <v>-0.45024961383755563</v>
      </c>
      <c r="J4" s="46" t="s">
        <v>22</v>
      </c>
      <c r="K4" s="46" t="s">
        <v>23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2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 I4:I76 F5:F76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C4" activePane="bottomRight" state="frozen"/>
      <selection pane="bottomRight" activeCell="G13" sqref="G13"/>
      <selection pane="bottomLeft" activeCell="A11" sqref="A11"/>
      <selection pane="topRight" activeCell="A11" sqref="A11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Accel International</v>
      </c>
      <c r="B1" s="48"/>
      <c r="C1" s="48"/>
      <c r="D1" s="49" t="s">
        <v>24</v>
      </c>
      <c r="E1" s="49"/>
      <c r="F1" s="49"/>
      <c r="G1" s="47" t="s">
        <v>25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50980.220082263499</v>
      </c>
      <c r="D2" s="5">
        <f>SUM(D4:D77)</f>
        <v>0</v>
      </c>
      <c r="E2" s="5">
        <f>C2-D2</f>
        <v>50980.220082263499</v>
      </c>
      <c r="F2" s="6">
        <f>IFERROR(E2/D2, 0)</f>
        <v>0</v>
      </c>
      <c r="G2" s="5">
        <f>SUM(G4:G77)</f>
        <v>44165.46</v>
      </c>
      <c r="H2" s="7">
        <f>C2-G2</f>
        <v>6814.7600822634995</v>
      </c>
      <c r="I2" s="6">
        <f>IFERROR(H2/G2, 0)</f>
        <v>0.15430067030352451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45" t="str" cm="1">
        <f t="array" ref="A4">Sites[Site]</f>
        <v>CT: Meriden - Accel International</v>
      </c>
      <c r="B4" s="27" t="str" cm="1">
        <f t="array" ref="B4">Sites[State]</f>
        <v>CT</v>
      </c>
      <c r="C4" s="23">
        <v>50980.220082263499</v>
      </c>
      <c r="D4" s="12">
        <v>0</v>
      </c>
      <c r="E4" s="12">
        <f>IF(AND(ISNUMBER(C4),ISNUMBER(D4)), C4-D4, "")</f>
        <v>50980.220082263499</v>
      </c>
      <c r="F4" s="13" t="str">
        <f>IFERROR(E4/D4, "")</f>
        <v/>
      </c>
      <c r="G4" s="14">
        <v>44165.46</v>
      </c>
      <c r="H4" s="14">
        <f>IF(AND(ISNUMBER(C4),ISNUMBER(G4)), C4-G4, "")</f>
        <v>6814.7600822634995</v>
      </c>
      <c r="I4" s="15">
        <f>IFERROR(H4/G4, "")</f>
        <v>0.15430067030352451</v>
      </c>
      <c r="J4" s="37"/>
      <c r="K4" s="37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3.9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workbookViewId="0">
      <pane xSplit="2" ySplit="3" topLeftCell="C4" activePane="bottomRight" state="frozen"/>
      <selection pane="bottomRight" activeCell="I12" sqref="I12"/>
      <selection pane="bottomLeft" activeCell="A11" sqref="A11"/>
      <selection pane="topRight" activeCell="A11" sqref="A11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Accel International</v>
      </c>
      <c r="B1" s="48"/>
      <c r="C1" s="48"/>
      <c r="D1" s="49" t="s">
        <v>26</v>
      </c>
      <c r="E1" s="49"/>
      <c r="F1" s="49"/>
      <c r="G1" s="47" t="s">
        <v>27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70960.819950000005</v>
      </c>
      <c r="D2" s="5">
        <f>SUM(D4:D77)</f>
        <v>0</v>
      </c>
      <c r="E2" s="5">
        <f>C2-D2</f>
        <v>70960.819950000005</v>
      </c>
      <c r="F2" s="6">
        <f>IFERROR(E2/D2, 0)</f>
        <v>0</v>
      </c>
      <c r="G2" s="5">
        <f>SUM(G4:G77)</f>
        <v>63915.8</v>
      </c>
      <c r="H2" s="7">
        <f>C2-G2</f>
        <v>7045.0199500000017</v>
      </c>
      <c r="I2" s="6">
        <f>IFERROR(H2/G2, 0)</f>
        <v>0.11022344944442534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>
        <v>70960.819950000005</v>
      </c>
      <c r="D4" s="12">
        <v>0</v>
      </c>
      <c r="E4" s="12">
        <f>IF(AND(ISNUMBER(C4),ISNUMBER(D4)), C4-D4, "")</f>
        <v>70960.819950000005</v>
      </c>
      <c r="F4" s="13" t="str">
        <f>IFERROR(E4/D4, "")</f>
        <v/>
      </c>
      <c r="G4" s="14">
        <v>63915.8</v>
      </c>
      <c r="H4" s="14">
        <f>IF(AND(ISNUMBER(C4),ISNUMBER(G4)), C4-G4, "")</f>
        <v>7045.0199500000017</v>
      </c>
      <c r="I4" s="15">
        <f>IFERROR(H4/G4, "")</f>
        <v>0.11022344944442534</v>
      </c>
      <c r="J4" s="37"/>
      <c r="K4" s="37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3.9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C4" activePane="bottomRight" state="frozen"/>
      <selection pane="bottomRight" activeCell="J16" sqref="J16"/>
      <selection pane="bottomLeft" activeCell="A11" sqref="A11"/>
      <selection pane="topRight" activeCell="A11" sqref="A11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Accel International</v>
      </c>
      <c r="B1" s="48"/>
      <c r="C1" s="48"/>
      <c r="D1" s="49" t="s">
        <v>28</v>
      </c>
      <c r="E1" s="49"/>
      <c r="F1" s="49"/>
      <c r="G1" s="47" t="s">
        <v>29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70271.509686017394</v>
      </c>
      <c r="D2" s="5">
        <f>SUM(D4:D77)</f>
        <v>0</v>
      </c>
      <c r="E2" s="5">
        <f>C2-D2</f>
        <v>70271.509686017394</v>
      </c>
      <c r="F2" s="6">
        <f>IFERROR(E2/D2, 0)</f>
        <v>0</v>
      </c>
      <c r="G2" s="5">
        <f>SUM(G4:G77)</f>
        <v>78936.59</v>
      </c>
      <c r="H2" s="7">
        <f>C2-G2</f>
        <v>-8665.0803139826021</v>
      </c>
      <c r="I2" s="6">
        <f>IFERROR(H2/G2, 0)</f>
        <v>-0.10977267087395848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>
        <v>70271.509686017394</v>
      </c>
      <c r="D4" s="12">
        <v>0</v>
      </c>
      <c r="E4" s="12">
        <f>IF(AND(ISNUMBER(C4),ISNUMBER(D4)), C4-D4, "")</f>
        <v>70271.509686017394</v>
      </c>
      <c r="F4" s="13" t="str">
        <f>IFERROR(E4/D4, "")</f>
        <v/>
      </c>
      <c r="G4" s="14">
        <v>78936.59</v>
      </c>
      <c r="H4" s="14">
        <f>IF(AND(ISNUMBER(C4),ISNUMBER(G4)), C4-G4, "")</f>
        <v>-8665.0803139826021</v>
      </c>
      <c r="I4" s="15">
        <f>IFERROR(H4/G4, "")</f>
        <v>-0.10977267087395848</v>
      </c>
      <c r="J4" s="37"/>
      <c r="K4" s="37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3.9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I4" activePane="bottomRight" state="frozen"/>
      <selection pane="bottomRight" activeCell="J7" sqref="J7"/>
      <selection pane="bottomLeft" activeCell="A11" sqref="A11"/>
      <selection pane="topRight" activeCell="A11" sqref="A11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Accel International</v>
      </c>
      <c r="B1" s="48"/>
      <c r="C1" s="48"/>
      <c r="D1" s="49" t="s">
        <v>30</v>
      </c>
      <c r="E1" s="49"/>
      <c r="F1" s="49"/>
      <c r="G1" s="47" t="s">
        <v>31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81286.4804277066</v>
      </c>
      <c r="D2" s="5">
        <f>SUM(D4:D77)</f>
        <v>0</v>
      </c>
      <c r="E2" s="5">
        <f>C2-D2</f>
        <v>81286.4804277066</v>
      </c>
      <c r="F2" s="6">
        <f>IFERROR(E2/D2, 0)</f>
        <v>0</v>
      </c>
      <c r="G2" s="5">
        <f>SUM(G4:G77)</f>
        <v>88787.03</v>
      </c>
      <c r="H2" s="7">
        <f>C2-G2</f>
        <v>-7500.5495722933993</v>
      </c>
      <c r="I2" s="6">
        <f>IFERROR(H2/G2, 0)</f>
        <v>-8.44779870696587E-2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30.75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>
        <v>81286.4804277066</v>
      </c>
      <c r="D4" s="12">
        <v>0</v>
      </c>
      <c r="E4" s="12">
        <f>IF(AND(ISNUMBER(C4),ISNUMBER(D4)), C4-D4, "")</f>
        <v>81286.4804277066</v>
      </c>
      <c r="F4" s="13" t="str">
        <f>IFERROR(E4/D4, "")</f>
        <v/>
      </c>
      <c r="G4" s="14">
        <v>88787.03</v>
      </c>
      <c r="H4" s="14">
        <f>IF(AND(ISNUMBER(C4),ISNUMBER(G4)), C4-G4, "")</f>
        <v>-7500.5495722933993</v>
      </c>
      <c r="I4" s="15">
        <f>IFERROR(H4/G4, "")</f>
        <v>-8.44779870696587E-2</v>
      </c>
      <c r="J4" s="37" t="s">
        <v>32</v>
      </c>
      <c r="K4" s="37" t="s">
        <v>33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3.9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C4" activePane="bottomRight" state="frozen"/>
      <selection pane="bottomRight" activeCell="J7" sqref="J7"/>
      <selection pane="bottomLeft" activeCell="A11" sqref="A11"/>
      <selection pane="topRight" activeCell="A11" sqref="A11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Accel International</v>
      </c>
      <c r="B1" s="48"/>
      <c r="C1" s="48"/>
      <c r="D1" s="49" t="s">
        <v>34</v>
      </c>
      <c r="E1" s="49"/>
      <c r="F1" s="49"/>
      <c r="G1" s="47" t="s">
        <v>35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80155.190002132207</v>
      </c>
      <c r="D2" s="5">
        <f>SUM(D4:D77)</f>
        <v>0</v>
      </c>
      <c r="E2" s="5">
        <f>C2-D2</f>
        <v>80155.190002132207</v>
      </c>
      <c r="F2" s="6">
        <f>IFERROR(E2/D2, 0)</f>
        <v>0</v>
      </c>
      <c r="G2" s="5">
        <f>SUM(G4:G77)</f>
        <v>94876.4</v>
      </c>
      <c r="H2" s="7">
        <f>C2-G2</f>
        <v>-14721.209997867787</v>
      </c>
      <c r="I2" s="6">
        <f>IFERROR(H2/G2, 0)</f>
        <v>-0.15516197914199725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45.75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>
        <v>80155.190002132207</v>
      </c>
      <c r="D4" s="12">
        <v>0</v>
      </c>
      <c r="E4" s="12">
        <f>IF(AND(ISNUMBER(C4),ISNUMBER(D4)), C4-D4, "")</f>
        <v>80155.190002132207</v>
      </c>
      <c r="F4" s="13" t="str">
        <f>IFERROR(E4/D4, "")</f>
        <v/>
      </c>
      <c r="G4" s="14">
        <v>94876.4</v>
      </c>
      <c r="H4" s="14">
        <f>IF(AND(ISNUMBER(C4),ISNUMBER(G4)), C4-G4, "")</f>
        <v>-14721.209997867787</v>
      </c>
      <c r="I4" s="15">
        <f>IFERROR(H4/G4, "")</f>
        <v>-0.15516197914199725</v>
      </c>
      <c r="J4" s="37" t="s">
        <v>36</v>
      </c>
      <c r="K4" s="37" t="s">
        <v>37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3.9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Accel International</v>
      </c>
      <c r="B1" s="48"/>
      <c r="C1" s="48"/>
      <c r="D1" s="49" t="s">
        <v>38</v>
      </c>
      <c r="E1" s="49"/>
      <c r="F1" s="49"/>
      <c r="G1" s="47" t="s">
        <v>39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3.9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Accel International</v>
      </c>
      <c r="B1" s="48"/>
      <c r="C1" s="48"/>
      <c r="D1" s="49" t="s">
        <v>40</v>
      </c>
      <c r="E1" s="49"/>
      <c r="F1" s="49"/>
      <c r="G1" s="47" t="s">
        <v>41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3.9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Accel International</v>
      </c>
      <c r="B1" s="48"/>
      <c r="C1" s="48"/>
      <c r="D1" s="49" t="s">
        <v>42</v>
      </c>
      <c r="E1" s="49"/>
      <c r="F1" s="49"/>
      <c r="G1" s="47" t="s">
        <v>43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3.9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Accel International</v>
      </c>
      <c r="B1" s="48"/>
      <c r="C1" s="48"/>
      <c r="D1" s="49" t="s">
        <v>44</v>
      </c>
      <c r="E1" s="49"/>
      <c r="F1" s="49"/>
      <c r="G1" s="47" t="s">
        <v>45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3.9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Accel International</v>
      </c>
      <c r="B1" s="48"/>
      <c r="C1" s="48"/>
      <c r="D1" s="49" t="s">
        <v>46</v>
      </c>
      <c r="E1" s="49"/>
      <c r="F1" s="49"/>
      <c r="G1" s="47" t="s">
        <v>47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3.9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Accel International</v>
      </c>
      <c r="B1" s="48"/>
      <c r="C1" s="48"/>
      <c r="D1" s="49" t="s">
        <v>48</v>
      </c>
      <c r="E1" s="49"/>
      <c r="F1" s="49"/>
      <c r="G1" s="47" t="s">
        <v>49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3.9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4" sqref="B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50</v>
      </c>
      <c r="B1" t="s">
        <v>51</v>
      </c>
    </row>
    <row r="3" spans="1:12">
      <c r="A3" t="s">
        <v>52</v>
      </c>
      <c r="B3" t="s">
        <v>3</v>
      </c>
      <c r="C3" t="s">
        <v>4</v>
      </c>
      <c r="D3" t="s">
        <v>53</v>
      </c>
      <c r="E3" s="2" t="s">
        <v>54</v>
      </c>
    </row>
    <row r="4" spans="1:12" ht="14.25">
      <c r="A4" s="44" t="s">
        <v>51</v>
      </c>
      <c r="B4" t="s">
        <v>55</v>
      </c>
      <c r="C4" s="42" t="s">
        <v>56</v>
      </c>
      <c r="D4" s="41" t="s">
        <v>57</v>
      </c>
      <c r="E4" t="s">
        <v>58</v>
      </c>
      <c r="G4" s="3"/>
    </row>
    <row r="5" spans="1:12" ht="14.25">
      <c r="A5" s="44"/>
      <c r="C5" s="42"/>
      <c r="D5" s="41"/>
      <c r="G5" s="3"/>
    </row>
    <row r="6" spans="1:12" ht="14.2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D3A7101F-9A85-4235-8B03-415370C100B2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1954BBA4-0359-438C-B0EC-A756015F7C02}"/>
</file>

<file path=customXml/itemProps5.xml><?xml version="1.0" encoding="utf-8"?>
<ds:datastoreItem xmlns:ds="http://schemas.openxmlformats.org/officeDocument/2006/customXml" ds:itemID="{F6B2B1A1-1C4B-4AC9-9A7D-7A102DD1C942}"/>
</file>

<file path=customXml/itemProps6.xml><?xml version="1.0" encoding="utf-8"?>
<ds:datastoreItem xmlns:ds="http://schemas.openxmlformats.org/officeDocument/2006/customXml" ds:itemID="{BF5C6359-7763-4C37-8EAF-2BC4698CB285}"/>
</file>

<file path=customXml/itemProps7.xml><?xml version="1.0" encoding="utf-8"?>
<ds:datastoreItem xmlns:ds="http://schemas.openxmlformats.org/officeDocument/2006/customXml" ds:itemID="{E3716282-BFD2-4ED2-BA47-BFA1123827F0}"/>
</file>

<file path=customXml/itemProps8.xml><?xml version="1.0" encoding="utf-8"?>
<ds:datastoreItem xmlns:ds="http://schemas.openxmlformats.org/officeDocument/2006/customXml" ds:itemID="{89CF5C07-45EB-4100-9AFB-2C6AF77FA787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C0BCDC1E-6052-4E48-9BAF-94A40814E7C2}"/>
</file>

<file path=customXml/itemProps11.xml><?xml version="1.0" encoding="utf-8"?>
<ds:datastoreItem xmlns:ds="http://schemas.openxmlformats.org/officeDocument/2006/customXml" ds:itemID="{078388C9-06F9-42F4-B857-EF76B5CAF1FD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3AEAA9D8-2182-46BA-A58E-96C72DDA1C54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0389C43E-394D-44C0-87DC-4780FCFCFB40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66B09F59-6532-46F8-924A-9A02417E070D}"/>
</file>

<file path=customXml/itemProps18.xml><?xml version="1.0" encoding="utf-8"?>
<ds:datastoreItem xmlns:ds="http://schemas.openxmlformats.org/officeDocument/2006/customXml" ds:itemID="{F12EFA50-0068-4A8C-85A0-F1B26389EBC3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98A113BB-8B7A-453C-8BD4-8EFC67FC2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2024-07-13T06:51:18Z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