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"/>
    </mc:Choice>
  </mc:AlternateContent>
  <xr:revisionPtr revIDLastSave="0" documentId="8_{D37F0571-88DF-4F6C-84A1-2EAF11572144}" xr6:coauthVersionLast="47" xr6:coauthVersionMax="47" xr10:uidLastSave="{00000000-0000-0000-0000-000000000000}"/>
  <bookViews>
    <workbookView xWindow="-93" yWindow="-93" windowWidth="19386" windowHeight="1146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72" l="1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C4" i="29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H2" i="27" s="1"/>
  <c r="I2" i="27" s="1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G2" i="72"/>
  <c r="D2" i="72"/>
  <c r="C2" i="72"/>
  <c r="J2" i="72" s="1"/>
  <c r="E4" i="72"/>
  <c r="A1" i="72" a="1"/>
  <c r="A1" i="72" s="1"/>
  <c r="J2" i="4" l="1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<sst xmlns="http://schemas.openxmlformats.org/spreadsheetml/2006/main" count="238" uniqueCount="52">
  <si>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</si>
  <si>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</si>
  <si>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</si>
  <si>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</si>
  <si>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</si>
  <si>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</si>
  <si>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</si>
  <si>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</si>
  <si>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</si>
  <si>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</si>
  <si>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</si>
  <si>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</si>
  <si>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</si>
  <si>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</si>
  <si>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</si>
  <si>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</si>
  <si>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</si>
  <si>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</si>
  <si>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</si>
  <si>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</si>
  <si>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</si>
  <si>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</si>
  <si>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</si>
  <si>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</si>
  <si>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</si>
  <si>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</si>
  <si>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</si>
  <si>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</si>
  <si>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</si>
  <si>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</si>
  <si>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</si>
  <si>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</si>
  <si>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</si>
  <si>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</si>
  <si>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</si>
  <si>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</si>
  <si>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</si>
  <si>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</si>
  <si>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</si>
  <si>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</si>
  <si>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</si>
  <si>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</si>
  <si>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</si>
  <si>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</si>
  <si>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</si>
  <si>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Superior USD</t>
  </si>
  <si>
    <t>Site DAS Name</t>
  </si>
  <si>
    <t>Update</t>
  </si>
  <si>
    <t>DAS</t>
  </si>
  <si>
    <t>AZ: Superior - Superior High School</t>
  </si>
  <si>
    <t>AZ: Superior High School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</si>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</sst>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sqref="A1:C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SUM(C4:C89)</f>
        <v>168655</v>
      </c>
      <c r="D2" s="6">
        <f>SUM(D4:D89)</f>
        <v>0</v>
      </c>
      <c r="E2" s="6">
        <f>C2-D2</f>
        <v>168655</v>
      </c>
      <c r="F2" s="7">
        <f>IFERROR(E2/D2, 0)</f>
        <v>0</v>
      </c>
      <c r="G2" s="6">
        <f>SUM(G4:G89)</f>
        <v>0</v>
      </c>
      <c r="H2" s="8">
        <f>C2-G2</f>
        <v>168655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SUM('1st Qtr'!C4, '2nd Qtr'!C4, '3rd Qtr'!C4, '4th Qtr'!C4)</f>
        <v>168655</v>
      </c>
      <c r="D4" s="14">
        <f>SUM('1st Qtr'!D4, '2nd Qtr'!D4, '3rd Qtr'!D4, '4th Qtr'!D4)</f>
        <v>0</v>
      </c>
      <c r="E4" s="14">
        <f>IF(AND(ISNUMBER(C4),ISNUMBER(D4)), C4-D4, "")</f>
        <v>168655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168655</v>
      </c>
      <c r="I4" s="17">
        <f>IFERROR(H4/G4, 0)</f>
        <v>0</v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sqref="A1:C1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SUM(C4:C89)</f>
        <v>66115</v>
      </c>
      <c r="D2" s="6">
        <f>SUM(D4:D89)</f>
        <v>0</v>
      </c>
      <c r="E2" s="6">
        <f>C2-D2</f>
        <v>66115</v>
      </c>
      <c r="F2" s="7">
        <f>IFERROR(E2/D2, 0)</f>
        <v>0</v>
      </c>
      <c r="G2" s="6">
        <f>SUM(G4:G89)</f>
        <v>0</v>
      </c>
      <c r="H2" s="8">
        <f>C2-G2</f>
        <v>66115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SUM(Jan!C4, Feb!C4, Mar!C4)</f>
        <v>66115</v>
      </c>
      <c r="D4" s="14">
        <f>SUM(Jan!D4, Feb!D4, Mar!D4)</f>
        <v>0</v>
      </c>
      <c r="E4" s="14">
        <f>IF(AND(ISNUMBER(C4),ISNUMBER(D4)), C4-D4, "")</f>
        <v>66115</v>
      </c>
      <c r="F4" s="15">
        <f>IFERROR(E4/D4, 0)</f>
        <v>0</v>
      </c>
      <c r="G4" s="16">
        <f>SUM(Jan!G4, Feb!G4, Mar!G4)</f>
        <v>0</v>
      </c>
      <c r="H4" s="16">
        <f>SUM(Jan!H4, Feb!H4, Mar!H4)</f>
        <v>66115</v>
      </c>
      <c r="I4" s="17">
        <f>IFERROR(H4/G4, 0)</f>
        <v>0</v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SUM(C4:C89)</f>
        <v>102540</v>
      </c>
      <c r="D2" s="6">
        <f>SUM(D4:D89)</f>
        <v>0</v>
      </c>
      <c r="E2" s="6">
        <f>C2-D2</f>
        <v>102540</v>
      </c>
      <c r="F2" s="7">
        <f>IFERROR(E2/D2, 0)</f>
        <v>0</v>
      </c>
      <c r="G2" s="6">
        <f>SUM(G4:G89)</f>
        <v>0</v>
      </c>
      <c r="H2" s="8">
        <f>C2-G2</f>
        <v>102540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SUM(Apr!C4, May!C4, Jun!C4)</f>
        <v>102540</v>
      </c>
      <c r="D4" s="14">
        <f>SUM(Apr!D4, May!D4, Jun!D4)</f>
        <v>0</v>
      </c>
      <c r="E4" s="14">
        <f>IF(AND(ISNUMBER(C4),ISNUMBER(D4)), C4-D4, "")</f>
        <v>102540</v>
      </c>
      <c r="F4" s="15" t="str">
        <f>IFERROR(E4/D4, "")</f>
        <v/>
      </c>
      <c r="G4" s="16"/>
      <c r="H4" s="16">
        <f>SUM(Apr!H4, May!H4, Jun!H4)</f>
        <v>102540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2" sqref="H12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18248</v>
      </c>
      <c r="D2" s="6">
        <f>SUM(D4:D89)</f>
        <v>0</v>
      </c>
      <c r="E2" s="6">
        <f>C2-D2</f>
        <v>18248</v>
      </c>
      <c r="F2" s="7">
        <f>IFERROR(E2/D2, 0)</f>
        <v>0</v>
      </c>
      <c r="G2" s="6">
        <f>SUM(G4:G89)</f>
        <v>0</v>
      </c>
      <c r="H2" s="8">
        <f>C2-G2</f>
        <v>18248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18248</v>
      </c>
      <c r="D4" s="14">
        <v>0</v>
      </c>
      <c r="E4" s="14">
        <f>IF(AND(ISNUMBER(C4),ISNUMBER(D4)), C4-D4, "")</f>
        <v>18248</v>
      </c>
      <c r="F4" s="15">
        <f>IFERROR(E4/D4, 0)</f>
        <v>0</v>
      </c>
      <c r="G4" s="16">
        <v>0</v>
      </c>
      <c r="H4" s="16">
        <f>IF(AND(ISNUMBER(C4),ISNUMBER(G4)), C4-G4, "")</f>
        <v>18248</v>
      </c>
      <c r="I4" s="17">
        <f>IFERROR(H4/G4, 0)</f>
        <v>0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C9" sqref="C9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20758</v>
      </c>
      <c r="D2" s="6">
        <f>SUM(D4:D90)</f>
        <v>0</v>
      </c>
      <c r="E2" s="6">
        <f>C2-D2</f>
        <v>20758</v>
      </c>
      <c r="F2" s="7">
        <f>IFERROR(E2/D2, 0)</f>
        <v>0</v>
      </c>
      <c r="G2" s="6">
        <f>SUM(G4:G90)</f>
        <v>0</v>
      </c>
      <c r="H2" s="8">
        <f>C2-G2</f>
        <v>20758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20758</v>
      </c>
      <c r="D4" s="14">
        <v>0</v>
      </c>
      <c r="E4" s="14">
        <f>IF(AND(ISNUMBER(C4),ISNUMBER(D4)), C4-D4, "")</f>
        <v>20758</v>
      </c>
      <c r="F4" s="15" t="str">
        <f>IFERROR(E4/D4, "")</f>
        <v/>
      </c>
      <c r="G4" s="16">
        <v>0</v>
      </c>
      <c r="H4" s="16">
        <f>IF(AND(ISNUMBER(C4),ISNUMBER(G4)), C4-G4, "")</f>
        <v>20758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10" sqref="G10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27109</v>
      </c>
      <c r="D2" s="6">
        <f>SUM(D4:D90)</f>
        <v>0</v>
      </c>
      <c r="E2" s="6">
        <f>C2-D2</f>
        <v>27109</v>
      </c>
      <c r="F2" s="7">
        <f>IFERROR(E2/D2, 0)</f>
        <v>0</v>
      </c>
      <c r="G2" s="6">
        <f>SUM(G4:G90)</f>
        <v>0</v>
      </c>
      <c r="H2" s="8">
        <f>C2-G2</f>
        <v>27109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27109</v>
      </c>
      <c r="D4" s="14">
        <v>0</v>
      </c>
      <c r="E4" s="14">
        <f>IF(AND(ISNUMBER(C4),ISNUMBER(D4)), C4-D4, "")</f>
        <v>27109</v>
      </c>
      <c r="F4" s="15" t="str">
        <f>IFERROR(E4/D4, "")</f>
        <v/>
      </c>
      <c r="G4" s="16">
        <v>0</v>
      </c>
      <c r="H4" s="16">
        <f>IF(AND(ISNUMBER(C4),ISNUMBER(G4)), C4-G4, "")</f>
        <v>27109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H4" sqref="H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33903</v>
      </c>
      <c r="D2" s="6">
        <f>SUM(D4:D90)</f>
        <v>0</v>
      </c>
      <c r="E2" s="6">
        <f>C2-D2</f>
        <v>33903</v>
      </c>
      <c r="F2" s="7">
        <f>IFERROR(E2/D2, 0)</f>
        <v>0</v>
      </c>
      <c r="G2" s="6">
        <f>SUM(G4:G90)</f>
        <v>0</v>
      </c>
      <c r="H2" s="8">
        <f>C2-G2</f>
        <v>33903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33903</v>
      </c>
      <c r="D4" s="14">
        <v>0</v>
      </c>
      <c r="E4" s="14">
        <f>IF(AND(ISNUMBER(C4),ISNUMBER(D4)), C4-D4, "")</f>
        <v>33903</v>
      </c>
      <c r="F4" s="15" t="str">
        <f>IFERROR(E4/D4, "")</f>
        <v/>
      </c>
      <c r="G4" s="16">
        <v>0</v>
      </c>
      <c r="H4" s="16">
        <f>IF(AND(ISNUMBER(C4),ISNUMBER(G4)), C4-G4, "")</f>
        <v>33903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36741</v>
      </c>
      <c r="D2" s="6">
        <f>SUM(D4:D90)</f>
        <v>0</v>
      </c>
      <c r="E2" s="6">
        <f>C2-D2</f>
        <v>36741</v>
      </c>
      <c r="F2" s="7">
        <f>IFERROR(E2/D2, 0)</f>
        <v>0</v>
      </c>
      <c r="G2" s="6">
        <f>SUM(G4:G90)</f>
        <v>0</v>
      </c>
      <c r="H2" s="8">
        <f>C2-G2</f>
        <v>36741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36741</v>
      </c>
      <c r="D4" s="14">
        <v>0</v>
      </c>
      <c r="E4" s="14">
        <f>IF(AND(ISNUMBER(C4),ISNUMBER(D4)), C4-D4, "")</f>
        <v>36741</v>
      </c>
      <c r="F4" s="15" t="str">
        <f>IFERROR(E4/D4, "")</f>
        <v/>
      </c>
      <c r="G4" s="16">
        <v>0</v>
      </c>
      <c r="H4" s="16">
        <f>IF(AND(ISNUMBER(C4),ISNUMBER(G4)), C4-G4, "")</f>
        <v>36741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abSelected="1" workbookViewId="0">
      <pane ySplit="2" topLeftCell="A3" activePane="bottomLeft" state="frozen"/>
      <selection pane="bottomLeft" activeCell="C19" sqref="C19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31896</v>
      </c>
      <c r="D2" s="6">
        <f>SUM(D4:D90)</f>
        <v>0</v>
      </c>
      <c r="E2" s="6">
        <f>C2-D2</f>
        <v>31896</v>
      </c>
      <c r="F2" s="7">
        <f>IFERROR(E2/D2, 0)</f>
        <v>0</v>
      </c>
      <c r="G2" s="6">
        <f>SUM(G4:G90)</f>
        <v>0</v>
      </c>
      <c r="H2" s="8">
        <f>C2-G2</f>
        <v>31896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31896</v>
      </c>
      <c r="D4" s="14">
        <v>0</v>
      </c>
      <c r="E4" s="14">
        <f>IF(AND(ISNUMBER(C4),ISNUMBER(D4)), C4-D4, "")</f>
        <v>31896</v>
      </c>
      <c r="F4" s="15" t="str">
        <f>IFERROR(E4/D4, "")</f>
        <v/>
      </c>
      <c r="G4" s="16">
        <v>0</v>
      </c>
      <c r="H4" s="16">
        <f>IF(AND(ISNUMBER(C4),ISNUMBER(G4)), C4-G4, "")</f>
        <v>31896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" sqref="B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6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/>
  <cp:revision/>
  <dcterms:created xsi:type="dcterms:W3CDTF">2021-01-01T16:39:53Z</dcterms:created>
  <dcterms:modified xsi:type="dcterms:W3CDTF">2024-07-10T07:33:24Z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