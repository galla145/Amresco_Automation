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4"/>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8_{E50F1070-5C5B-4AD1-8C46-CD01497F90C0}"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8" l="1"/>
  <c r="G2" i="18" s="1"/>
  <c r="I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J2" i="33"/>
  <c r="J2" i="32"/>
  <c r="J2" i="28"/>
  <c r="E4" i="3"/>
  <c r="F4" i="3" s="1"/>
  <c r="H4" i="3"/>
  <c r="I4" i="3" s="1"/>
  <c r="E5" i="72"/>
  <c r="F5" i="72" s="1"/>
  <c r="H5" i="72"/>
  <c r="I5" i="72" s="1"/>
  <c r="G4" i="1"/>
  <c r="B4" i="34" a="1"/>
  <c r="B4" i="34" s="1"/>
  <c r="A4" i="34" a="1"/>
  <c r="A4" i="34" s="1"/>
  <c r="A1" i="34" a="1"/>
  <c r="A1" i="34" s="1"/>
  <c r="D4" i="30"/>
  <c r="D2" i="30" s="1"/>
  <c r="C4" i="30"/>
  <c r="E4" i="30" s="1"/>
  <c r="F4" i="30" s="1"/>
  <c r="D4" i="29"/>
  <c r="D2" i="29" s="1"/>
  <c r="C4" i="29"/>
  <c r="D4" i="18"/>
  <c r="C4" i="18"/>
  <c r="D2" i="18"/>
  <c r="B4" i="30" a="1"/>
  <c r="B4" i="30" s="1"/>
  <c r="G2" i="30"/>
  <c r="A1" i="30" a="1"/>
  <c r="A1" i="30" s="1"/>
  <c r="B4" i="29" a="1"/>
  <c r="B4" i="29" s="1"/>
  <c r="A4" i="29" a="1"/>
  <c r="A4" i="29" s="1"/>
  <c r="G2" i="29"/>
  <c r="A1" i="29" a="1"/>
  <c r="A1" i="29" s="1"/>
  <c r="B4" i="18" a="1"/>
  <c r="B4" i="18" s="1"/>
  <c r="A4" i="18" a="1"/>
  <c r="A4" i="18" s="1"/>
  <c r="A1" i="18" a="1"/>
  <c r="A1" i="18" s="1"/>
  <c r="C4" i="1"/>
  <c r="D4" i="1"/>
  <c r="D4" i="34" s="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H2" i="31" s="1"/>
  <c r="I2" i="31" s="1"/>
  <c r="A1" i="31" a="1"/>
  <c r="A1" i="31" s="1"/>
  <c r="H4" i="28"/>
  <c r="I4" i="28" s="1"/>
  <c r="E4" i="28"/>
  <c r="F4" i="28" s="1"/>
  <c r="B4" i="28" a="1"/>
  <c r="B4" i="28" s="1"/>
  <c r="A4" i="28" a="1"/>
  <c r="A4" i="28" s="1"/>
  <c r="G2" i="28"/>
  <c r="D2" i="28"/>
  <c r="C2" i="28"/>
  <c r="H2" i="28" s="1"/>
  <c r="I2" i="28" s="1"/>
  <c r="A1" i="28" a="1"/>
  <c r="A1" i="28" s="1"/>
  <c r="H4" i="27"/>
  <c r="I4" i="27" s="1"/>
  <c r="E4" i="27"/>
  <c r="F4" i="27" s="1"/>
  <c r="G2" i="27"/>
  <c r="D2" i="27"/>
  <c r="C2" i="27"/>
  <c r="J2" i="27" s="1"/>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E2" i="20" s="1"/>
  <c r="F2" i="20" s="1"/>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H2" i="4" s="1"/>
  <c r="I2" i="4" s="1"/>
  <c r="A1" i="4" a="1"/>
  <c r="A1" i="4" s="1"/>
  <c r="G2" i="3"/>
  <c r="D2" i="3"/>
  <c r="C2" i="3"/>
  <c r="J2" i="3" s="1"/>
  <c r="A1" i="3" a="1"/>
  <c r="A1" i="3" s="1"/>
  <c r="H4" i="72"/>
  <c r="G2" i="72"/>
  <c r="D2" i="72"/>
  <c r="C2" i="72"/>
  <c r="J2" i="72" s="1"/>
  <c r="E4" i="72"/>
  <c r="A1" i="72" a="1"/>
  <c r="A1" i="72" s="1"/>
  <c r="G4" i="34" l="1"/>
  <c r="G2" i="34" s="1"/>
  <c r="H2" i="21"/>
  <c r="I2" i="21" s="1"/>
  <c r="H2" i="19"/>
  <c r="I2" i="19" s="1"/>
  <c r="C4" i="34"/>
  <c r="E4" i="18"/>
  <c r="F4" i="18" s="1"/>
  <c r="J2" i="4"/>
  <c r="J2" i="21"/>
  <c r="J2" i="20"/>
  <c r="H2" i="20"/>
  <c r="I2" i="20" s="1"/>
  <c r="J2" i="19"/>
  <c r="H2" i="26"/>
  <c r="I2" i="26" s="1"/>
  <c r="J2" i="26"/>
  <c r="H2" i="27"/>
  <c r="I2" i="27" s="1"/>
  <c r="E2" i="28"/>
  <c r="F2" i="28" s="1"/>
  <c r="J2" i="31"/>
  <c r="H2" i="32"/>
  <c r="I2" i="32" s="1"/>
  <c r="D2" i="34"/>
  <c r="H2" i="33"/>
  <c r="I2" i="33" s="1"/>
  <c r="H2" i="3"/>
  <c r="I2" i="3" s="1"/>
  <c r="G2" i="1"/>
  <c r="H4" i="30"/>
  <c r="I4" i="30" s="1"/>
  <c r="H4" i="29"/>
  <c r="I4" i="29" s="1"/>
  <c r="H4" i="18"/>
  <c r="I4" i="18" s="1"/>
  <c r="C2" i="29"/>
  <c r="E2" i="29" s="1"/>
  <c r="F2" i="29" s="1"/>
  <c r="C2" i="30"/>
  <c r="E4" i="29"/>
  <c r="F4" i="29" s="1"/>
  <c r="C2" i="18"/>
  <c r="H4" i="1"/>
  <c r="I4" i="1" s="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H2" i="1"/>
  <c r="I2" i="1" s="1"/>
  <c r="C2" i="34"/>
  <c r="H2" i="34" s="1"/>
  <c r="I2" i="34" s="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<sst xmlns="http://schemas.openxmlformats.org/spreadsheetml/2006/main" count="250" uniqueCount="58">
  <si>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</si>
  <si>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</si>
  <si>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</si>
  <si>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</si>
  <si>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</si>
  <si>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</si>
  <si>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</si>
  <si>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</si>
  <si>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</si>
  <si>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</si>
  <si>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</si>
  <si>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</si>
  <si>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</si>
  <si>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</si>
  <si>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</si>
  <si>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</si>
  <si>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</si>
  <si>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</si>
  <si>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</si>
  <si>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</si>
  <si>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</si>
  <si>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</si>
  <si>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The sites were not communicated from 11/05/2022</t>
  </si>
  <si>
    <t>1. SR067220</t>
  </si>
  <si>
    <t>February Actual v. Expected</t>
  </si>
  <si>
    <t>February Actual v. Forecasted</t>
  </si>
  <si>
    <t>March Actual v. Expected</t>
  </si>
  <si>
    <t>March Actual v. Forecasted</t>
  </si>
  <si>
    <t>April Actual v. Expected</t>
  </si>
  <si>
    <t>April Actual v. Forecasted</t>
  </si>
  <si>
    <t>1. Site is not communicating from 11/05/2022.</t>
  </si>
  <si>
    <t>May Actual v. Expected</t>
  </si>
  <si>
    <t>May Actual v. Forecasted</t>
  </si>
  <si>
    <t>1. Site is not communicating from 11/05/2022. Modem being replaced</t>
  </si>
  <si>
    <t>June Actual v. Expected</t>
  </si>
  <si>
    <t>June Actual v. Forecasted</t>
  </si>
  <si>
    <t xml:space="preserve">1. Modem was replaced and site regained communication at 06:00am on 06/23 but seems like the actual energy is the combination all previous months.
2. Inverter C1 offline after site regained communication and is still offline
3. Inverter A9 tripped offline at 11:00 on 06/24 and back online the next day.  Inverter 9 again tripped offline at 07:00 on 06/26 and back online the next day.
</t>
  </si>
  <si>
    <t xml:space="preserve">1. 	SR067220
2. SR087334
3. SR087354
</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</si>
  <si>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</si>
  <si>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</si>
  <si>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</si>
  <si>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</si>
  <si>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</si>
  <si>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</si>
  <si>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</si>
  <si>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</si>
  <si>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</si>
  <si>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</si>
  <si>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</si>
  <si>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</si>
  <si>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</si>
  <si>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Joseph City USD</t>
  </si>
  <si>
    <t>Site DAS Name</t>
  </si>
  <si>
    <t>Update</t>
  </si>
  <si>
    <t>DAS</t>
  </si>
  <si>
    <t>JCUSD</t>
  </si>
  <si>
    <t>AZ: Joseph City USD</t>
  </si>
  <si>
    <t>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</si>
</sst>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5">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4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1"/>
  <sheetViews>
    <sheetView workbookViewId="0">
      <pane ySplit="2" topLeftCell="A3" activePane="bottomLeft" state="frozen"/>
      <selection pane="bottomLeft" activeCell="I4" sqref="I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0</v>
      </c>
      <c r="E1" s="44"/>
      <c r="F1" s="44"/>
      <c r="G1" s="42" t="s">
        <v>1</v>
      </c>
      <c r="H1" s="42"/>
      <c r="I1" s="42"/>
    </row>
    <row r="2" spans="1:9" ht="19.5" customHeight="1">
      <c r="A2" s="45" t="s">
        <v>2</v>
      </c>
      <c r="B2" s="45"/>
      <c r="C2" s="6">
        <f>SUM(C4:C89)</f>
        <v>1002703.36784099</v>
      </c>
      <c r="D2" s="6">
        <f>SUM(D4:D89)</f>
        <v>3795.1</v>
      </c>
      <c r="E2" s="6">
        <f>C2-D2</f>
        <v>998908.26784098998</v>
      </c>
      <c r="F2" s="7">
        <f>IFERROR(E2/D2, 0)</f>
        <v>263.20999916760826</v>
      </c>
      <c r="G2" s="6">
        <f>SUM(G4:G89)</f>
        <v>69735</v>
      </c>
      <c r="H2" s="8">
        <f>C2-G2</f>
        <v>932968.36784098996</v>
      </c>
      <c r="I2" s="7">
        <f>IFERROR(H2/G2, 0)</f>
        <v>13.37876773271657</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SUM('1st Qtr'!C4, '2nd Qtr'!C4, '3rd Qtr'!C4, '4th Qtr'!C4)</f>
        <v>1002703.36784099</v>
      </c>
      <c r="D4" s="14">
        <f>SUM('1st Qtr'!D4, '2nd Qtr'!D4, '3rd Qtr'!D4, '4th Qtr'!D4)</f>
        <v>3795.1</v>
      </c>
      <c r="E4" s="14">
        <f>IF(AND(ISNUMBER(C4),ISNUMBER(D4)), C4-D4, "")</f>
        <v>998908.26784098998</v>
      </c>
      <c r="F4" s="15">
        <f>IFERROR(E4/D4, 0)</f>
        <v>263.20999916760826</v>
      </c>
      <c r="G4" s="16">
        <f>SUM('1st Qtr'!G4,'2nd Qtr'!G4,'3rd Qtr'!G4,'4th Qtr'!G4)</f>
        <v>69735</v>
      </c>
      <c r="H4" s="16">
        <f>SUM('1st Qtr'!H4, '2nd Qtr'!H4, '3rd Qtr'!H4, '4th Qtr'!H4)</f>
        <v>932968.36784098996</v>
      </c>
      <c r="I4" s="17">
        <f>IFERROR(H4/G4, 0)</f>
        <v>13.37876773271657</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autoFilter ref="A2:I2" xr:uid="{D5C25034-9971-4A61-864F-C938F31EB1B8}"/>
  <mergeCells count="4">
    <mergeCell ref="G1:I1"/>
    <mergeCell ref="A1:C1"/>
    <mergeCell ref="D1:F1"/>
    <mergeCell ref="A2:B2"/>
  </mergeCells>
  <conditionalFormatting sqref="F2 I2 F4:F89 I4:I8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1"/>
  <sheetViews>
    <sheetView workbookViewId="0">
      <pane ySplit="2" topLeftCell="A3" activePane="bottomLeft" state="frozen"/>
      <selection pane="bottomLeft" activeCell="H4" sqref="H4"/>
      <selection activeCell="E22" sqref="E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10</v>
      </c>
      <c r="E1" s="44"/>
      <c r="F1" s="44"/>
      <c r="G1" s="42" t="s">
        <v>11</v>
      </c>
      <c r="H1" s="42"/>
      <c r="I1" s="42"/>
    </row>
    <row r="2" spans="1:9" ht="19.5" customHeight="1">
      <c r="A2" s="45" t="s">
        <v>2</v>
      </c>
      <c r="B2" s="45"/>
      <c r="C2" s="6">
        <f>SUM(C4:C89)</f>
        <v>0</v>
      </c>
      <c r="D2" s="6">
        <f>SUM(D4:D89)</f>
        <v>0</v>
      </c>
      <c r="E2" s="6">
        <f>C2-D2</f>
        <v>0</v>
      </c>
      <c r="F2" s="7">
        <f>IFERROR(E2/D2, 0)</f>
        <v>0</v>
      </c>
      <c r="G2" s="6">
        <f>SUM(G4:G89)</f>
        <v>0</v>
      </c>
      <c r="H2" s="8">
        <f>C2-G2</f>
        <v>0</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SUM(Jan!C4, Feb!C4, Mar!C4)</f>
        <v>0</v>
      </c>
      <c r="D4" s="14">
        <f>SUM(Jan!D4, Feb!D4, Mar!D4)</f>
        <v>0</v>
      </c>
      <c r="E4" s="14">
        <f>IF(AND(ISNUMBER(C4),ISNUMBER(D4)), C4-D4, "")</f>
        <v>0</v>
      </c>
      <c r="F4" s="15">
        <f>IFERROR(E4/D4, 0)</f>
        <v>0</v>
      </c>
      <c r="G4" s="16">
        <f>SUM(Jan!G4, Feb!G4, Mar!G4)</f>
        <v>0</v>
      </c>
      <c r="H4" s="16">
        <f>SUM(Jan!H4, Feb!H4, Mar!H4)</f>
        <v>0</v>
      </c>
      <c r="I4" s="17">
        <f>IFERROR(H4/G4, 0)</f>
        <v>0</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sortState xmlns:xlrd2="http://schemas.microsoft.com/office/spreadsheetml/2017/richdata2" ref="A3:I3">
    <sortCondition ref="A3"/>
  </sortState>
  <mergeCells count="4">
    <mergeCell ref="G1:I1"/>
    <mergeCell ref="A1:C1"/>
    <mergeCell ref="D1:F1"/>
    <mergeCell ref="A2:B2"/>
  </mergeCells>
  <conditionalFormatting sqref="F2 I2 F4:F89 I4:I8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1"/>
  <sheetViews>
    <sheetView workbookViewId="0">
      <pane ySplit="2" topLeftCell="A3" activePane="bottomLeft" state="frozen"/>
      <selection pane="bottomLeft" activeCell="G19" sqref="G19"/>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12</v>
      </c>
      <c r="E1" s="44"/>
      <c r="F1" s="44"/>
      <c r="G1" s="42" t="s">
        <v>13</v>
      </c>
      <c r="H1" s="42"/>
      <c r="I1" s="42"/>
    </row>
    <row r="2" spans="1:9" ht="19.5" customHeight="1">
      <c r="A2" s="45" t="s">
        <v>2</v>
      </c>
      <c r="B2" s="45"/>
      <c r="C2" s="6">
        <f>SUM(C4:C89)</f>
        <v>1002703.36784099</v>
      </c>
      <c r="D2" s="6">
        <f>SUM(D4:D89)</f>
        <v>3795.1</v>
      </c>
      <c r="E2" s="6">
        <f>C2-D2</f>
        <v>998908.26784098998</v>
      </c>
      <c r="F2" s="7">
        <f>IFERROR(E2/D2, 0)</f>
        <v>263.20999916760826</v>
      </c>
      <c r="G2" s="6">
        <f>SUM(G4:G89)</f>
        <v>69735</v>
      </c>
      <c r="H2" s="8">
        <f>C2-G2</f>
        <v>932968.36784098996</v>
      </c>
      <c r="I2" s="7">
        <f>IFERROR(H2/G2, 0)</f>
        <v>13.37876773271657</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SUM(Apr!C4, May!C4, Jun!C4)</f>
        <v>1002703.36784099</v>
      </c>
      <c r="D4" s="14">
        <f>SUM(Apr!D4, May!D4, Jun!D4)</f>
        <v>3795.1</v>
      </c>
      <c r="E4" s="14">
        <f>IF(AND(ISNUMBER(C4),ISNUMBER(D4)), C4-D4, "")</f>
        <v>998908.26784098998</v>
      </c>
      <c r="F4" s="15">
        <f>IFERROR(E4/D4, "")</f>
        <v>263.20999916760826</v>
      </c>
      <c r="G4" s="16">
        <f>SUM(Apr!G4,May!G4,Jun!G4)</f>
        <v>69735</v>
      </c>
      <c r="H4" s="16">
        <f>SUM(Apr!H4, May!H4, Jun!H4)</f>
        <v>932968.36784098996</v>
      </c>
      <c r="I4" s="17">
        <f>IFERROR(H4/G4, "")</f>
        <v>13.37876773271657</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sortState xmlns:xlrd2="http://schemas.microsoft.com/office/spreadsheetml/2017/richdata2" ref="A3:I4">
    <sortCondition ref="A3:A4"/>
  </sortState>
  <mergeCells count="4">
    <mergeCell ref="G1:I1"/>
    <mergeCell ref="A1:C1"/>
    <mergeCell ref="D1:F1"/>
    <mergeCell ref="A2:B2"/>
  </mergeCells>
  <conditionalFormatting sqref="F2 I2 F4:F89 I4:I8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0"/>
  <sheetViews>
    <sheetView workbookViewId="0">
      <pane ySplit="2" topLeftCell="A3" activePane="bottomLeft" state="frozen"/>
      <selection pane="bottomLeft" activeCell="A5" sqref="A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14</v>
      </c>
      <c r="E1" s="44"/>
      <c r="F1" s="44"/>
      <c r="G1" s="42" t="s">
        <v>15</v>
      </c>
      <c r="H1" s="42"/>
      <c r="I1" s="42"/>
    </row>
    <row r="2" spans="1:9" ht="19.5" customHeight="1">
      <c r="A2" s="45" t="s">
        <v>2</v>
      </c>
      <c r="B2" s="45"/>
      <c r="C2" s="6">
        <f>SUM(C4:C88)</f>
        <v>0</v>
      </c>
      <c r="D2" s="6">
        <f>SUM(D4:D88)</f>
        <v>0</v>
      </c>
      <c r="E2" s="6">
        <f>C2-D2</f>
        <v>0</v>
      </c>
      <c r="F2" s="7">
        <f>IFERROR(E2/D2, 0)</f>
        <v>0</v>
      </c>
      <c r="G2" s="6">
        <f>SUM(G4:G88)</f>
        <v>0</v>
      </c>
      <c r="H2" s="8">
        <f>C2-G2</f>
        <v>0</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SUM(Jul!C4, Aug!C4, Sep!C4)</f>
        <v>0</v>
      </c>
      <c r="D4" s="14">
        <f>SUM(Jul!D4, Aug!D4, Sep!D4)</f>
        <v>0</v>
      </c>
      <c r="E4" s="14">
        <f>IF(AND(ISNUMBER(C4),ISNUMBER(D4)), C4-D4, "")</f>
        <v>0</v>
      </c>
      <c r="F4" s="15" t="str">
        <f>IFERROR(E4/D4, "")</f>
        <v/>
      </c>
      <c r="G4" s="16"/>
      <c r="H4" s="16">
        <f>SUM(Jul!H4, Aug!H4, Sep!H4)</f>
        <v>0</v>
      </c>
      <c r="I4" s="17" t="str">
        <f>IFERROR(H4/G4, "")</f>
        <v/>
      </c>
    </row>
    <row r="5" spans="1:9" ht="13.9">
      <c r="A5" s="23"/>
      <c r="B5" s="23"/>
      <c r="C5" s="23"/>
      <c r="D5" s="23"/>
      <c r="E5" s="23"/>
      <c r="F5" s="23"/>
      <c r="G5" s="23"/>
      <c r="H5" s="23"/>
      <c r="I5" s="23"/>
    </row>
    <row r="6" spans="1:9" ht="12.75" customHeight="1">
      <c r="A6" s="23"/>
      <c r="B6" s="23"/>
      <c r="C6" s="23"/>
      <c r="D6" s="23"/>
      <c r="E6" s="23"/>
      <c r="F6" s="23"/>
      <c r="G6" s="23"/>
      <c r="H6" s="23"/>
      <c r="I6" s="23"/>
    </row>
    <row r="7" spans="1:9" ht="13.9">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sheetData>
  <mergeCells count="4">
    <mergeCell ref="G1:I1"/>
    <mergeCell ref="A1:C1"/>
    <mergeCell ref="D1:F1"/>
    <mergeCell ref="A2:B2"/>
  </mergeCells>
  <conditionalFormatting sqref="F2 I2 F4:F88 I4:I88">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0"/>
  <sheetViews>
    <sheetView workbookViewId="0">
      <pane ySplit="2" topLeftCell="A3" activePane="bottomLeft" state="frozen"/>
      <selection pane="bottomLeft" activeCell="A5" sqref="A5:XFD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3" t="str" cm="1">
        <f t="array" ref="A1">portfolio</f>
        <v>Joseph City USD</v>
      </c>
      <c r="B1" s="43"/>
      <c r="C1" s="43"/>
      <c r="D1" s="44" t="s">
        <v>16</v>
      </c>
      <c r="E1" s="44"/>
      <c r="F1" s="44"/>
      <c r="G1" s="42" t="s">
        <v>17</v>
      </c>
      <c r="H1" s="42"/>
      <c r="I1" s="42"/>
    </row>
    <row r="2" spans="1:9" ht="19.5" customHeight="1">
      <c r="A2" s="45" t="s">
        <v>2</v>
      </c>
      <c r="B2" s="45"/>
      <c r="C2" s="6">
        <f>SUM(C4:C88)</f>
        <v>0</v>
      </c>
      <c r="D2" s="6">
        <f>SUM(D4:D88)</f>
        <v>0</v>
      </c>
      <c r="E2" s="6">
        <f>C2-D2</f>
        <v>0</v>
      </c>
      <c r="F2" s="7">
        <f>IFERROR(E2/D2, 0)</f>
        <v>0</v>
      </c>
      <c r="G2" s="6">
        <f>SUM(G4:G88)</f>
        <v>0</v>
      </c>
      <c r="H2" s="8">
        <f>C2-G2</f>
        <v>0</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AZ: Joseph City USD</v>
      </c>
      <c r="B4" s="10" t="str" cm="1">
        <f t="array" ref="B4">Sites[State]</f>
        <v>AZ</v>
      </c>
      <c r="C4" s="26">
        <f>SUM(Oct!C4, Nov!C4, Dec!C4)</f>
        <v>0</v>
      </c>
      <c r="D4" s="14">
        <f>SUM(Oct!D4, Nov!D4, Dec!D4)</f>
        <v>0</v>
      </c>
      <c r="E4" s="14">
        <f>IF(AND(ISNUMBER(C4),ISNUMBER(D4)), C4-D4, "")</f>
        <v>0</v>
      </c>
      <c r="F4" s="15" t="str">
        <f>IFERROR(E4/D4, "")</f>
        <v/>
      </c>
      <c r="G4" s="16"/>
      <c r="H4" s="16">
        <f>SUM(Oct!H4, Nov!H4, Dec!H4)</f>
        <v>0</v>
      </c>
      <c r="I4" s="17" t="str">
        <f>IFERROR(H4/G4, "")</f>
        <v/>
      </c>
    </row>
    <row r="5" spans="1:9" ht="13.9">
      <c r="A5" s="23"/>
      <c r="B5" s="23"/>
      <c r="C5" s="23"/>
      <c r="D5" s="23"/>
      <c r="E5" s="23"/>
      <c r="F5" s="23"/>
      <c r="G5" s="23"/>
      <c r="H5" s="23"/>
      <c r="I5" s="23"/>
    </row>
    <row r="6" spans="1:9" ht="12.75" customHeight="1">
      <c r="A6" s="23"/>
      <c r="B6" s="23"/>
      <c r="C6" s="23"/>
      <c r="D6" s="23"/>
      <c r="E6" s="23"/>
      <c r="F6" s="23"/>
      <c r="G6" s="23"/>
      <c r="H6" s="23"/>
      <c r="I6" s="23"/>
    </row>
    <row r="7" spans="1:9" ht="13.9">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sheetData>
  <mergeCells count="4">
    <mergeCell ref="G1:I1"/>
    <mergeCell ref="A1:C1"/>
    <mergeCell ref="D1:F1"/>
    <mergeCell ref="A2:B2"/>
  </mergeCells>
  <conditionalFormatting sqref="F2 I2 F4:F88 I4:I88">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0"/>
  <sheetViews>
    <sheetView topLeftCell="G1" workbookViewId="0">
      <pane ySplit="3" topLeftCell="A4" activePane="bottomLeft" state="frozen"/>
      <selection pane="bottomLeft" activeCell="K28" sqref="K28"/>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18</v>
      </c>
      <c r="E1" s="44"/>
      <c r="F1" s="44"/>
      <c r="G1" s="42" t="s">
        <v>19</v>
      </c>
      <c r="H1" s="42"/>
      <c r="I1" s="42"/>
      <c r="J1" s="5"/>
      <c r="K1" s="5"/>
    </row>
    <row r="2" spans="1:11" ht="19.5" customHeight="1">
      <c r="A2" s="45" t="s">
        <v>2</v>
      </c>
      <c r="B2" s="45"/>
      <c r="C2" s="6">
        <f>SUM(C4:C88)</f>
        <v>0</v>
      </c>
      <c r="D2" s="6">
        <f>SUM(D4:D88)</f>
        <v>0</v>
      </c>
      <c r="E2" s="6">
        <f>C2-D2</f>
        <v>0</v>
      </c>
      <c r="F2" s="7">
        <f>IFERROR(E2/D2, 0)</f>
        <v>0</v>
      </c>
      <c r="G2" s="6">
        <f>SUM(G4:G88)</f>
        <v>0</v>
      </c>
      <c r="H2" s="8">
        <f>C2-G2</f>
        <v>0</v>
      </c>
      <c r="I2" s="7">
        <f>IFERROR(H2/G2, 0)</f>
        <v>0</v>
      </c>
      <c r="J2" s="28" t="str">
        <f ca="1">IF(AND(TODAY()&gt;DATE(2024, 1, 1), COUNTA(Sites[Site])&lt;&gt;(COUNT(C:C)-1)), "Some sites are missing actual data; if new sites were added, make sure they are aligned correctly (including prior months!)", "")</f>
        <v/>
      </c>
      <c r="K2" s="5"/>
    </row>
    <row r="3" spans="1:11" ht="14.25" customHeight="1">
      <c r="A3" s="29" t="s">
        <v>3</v>
      </c>
      <c r="B3" s="9" t="s">
        <v>4</v>
      </c>
      <c r="C3" s="25" t="s">
        <v>5</v>
      </c>
      <c r="D3" s="36" t="s">
        <v>6</v>
      </c>
      <c r="E3" s="36" t="s">
        <v>7</v>
      </c>
      <c r="F3" s="37" t="s">
        <v>8</v>
      </c>
      <c r="G3" s="41" t="s">
        <v>9</v>
      </c>
      <c r="H3" s="39" t="s">
        <v>7</v>
      </c>
      <c r="I3" s="40" t="s">
        <v>8</v>
      </c>
      <c r="J3" s="27" t="s">
        <v>20</v>
      </c>
      <c r="K3" s="27" t="s">
        <v>21</v>
      </c>
    </row>
    <row r="4" spans="1:11" ht="15.6">
      <c r="A4" s="33" t="str" cm="1">
        <f t="array" ref="A4">Sites[Site]</f>
        <v>AZ: Joseph City USD</v>
      </c>
      <c r="B4" s="30" t="str" cm="1">
        <f t="array" ref="B4">Sites[State]</f>
        <v>AZ</v>
      </c>
      <c r="C4" s="26">
        <v>0</v>
      </c>
      <c r="D4" s="14">
        <v>0</v>
      </c>
      <c r="E4" s="14">
        <f>IF(AND(ISNUMBER(C4),ISNUMBER(D4)), C4-D4, "")</f>
        <v>0</v>
      </c>
      <c r="F4" s="15">
        <f>IFERROR(E4/D4, 0)</f>
        <v>0</v>
      </c>
      <c r="G4" s="16">
        <v>0</v>
      </c>
      <c r="H4" s="16">
        <f>IF(AND(ISNUMBER(C4),ISNUMBER(G4)), C4-G4, "")</f>
        <v>0</v>
      </c>
      <c r="I4" s="17">
        <f>IFERROR(H4/G4, 0)</f>
        <v>0</v>
      </c>
      <c r="J4" s="18" t="s">
        <v>22</v>
      </c>
      <c r="K4" s="18" t="s">
        <v>23</v>
      </c>
    </row>
    <row r="5" spans="1:11" ht="14.45">
      <c r="A5" s="23"/>
      <c r="B5" s="34"/>
      <c r="C5" s="23"/>
      <c r="D5" s="23"/>
      <c r="E5" s="23" t="str">
        <f t="shared" ref="E5" si="0">IF(AND(ISNUMBER(C5),ISNUMBER(D5)), C5-D5, "")</f>
        <v/>
      </c>
      <c r="F5" s="23" t="str">
        <f t="shared" ref="F5" si="1">IFERROR(E5/D5, "")</f>
        <v/>
      </c>
      <c r="G5" s="23"/>
      <c r="H5" s="23" t="str">
        <f t="shared" ref="H5" si="2">IF(AND(ISNUMBER(C5),ISNUMBER(G5)), C5-G5, "")</f>
        <v/>
      </c>
      <c r="I5" s="23" t="str">
        <f t="shared" ref="I5" si="3">IFERROR(H5/G5, "")</f>
        <v/>
      </c>
      <c r="J5" s="23"/>
      <c r="K5" s="23"/>
    </row>
    <row r="6" spans="1:11" ht="12.75" customHeight="1">
      <c r="A6" s="23"/>
      <c r="B6" s="34"/>
      <c r="C6" s="23"/>
      <c r="D6" s="23"/>
      <c r="E6" s="23"/>
      <c r="F6" s="23"/>
      <c r="G6" s="23"/>
      <c r="H6" s="23"/>
      <c r="I6" s="23"/>
      <c r="J6" s="23"/>
      <c r="K6" s="23"/>
    </row>
    <row r="7" spans="1:11" ht="14.45">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1"/>
  <sheetViews>
    <sheetView topLeftCell="C1" workbookViewId="0">
      <pane ySplit="2" topLeftCell="A3" activePane="bottomLeft" state="frozen"/>
      <selection pane="bottomLeft" activeCell="J4" sqref="J4:K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24</v>
      </c>
      <c r="E1" s="44"/>
      <c r="F1" s="44"/>
      <c r="G1" s="42" t="s">
        <v>25</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22</v>
      </c>
      <c r="K4" s="18" t="s">
        <v>23</v>
      </c>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ySplit="2" topLeftCell="A3" activePane="bottomLeft" state="frozen"/>
      <selection pane="bottomLeft" activeCell="K4" sqref="K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26</v>
      </c>
      <c r="E1" s="44"/>
      <c r="F1" s="44"/>
      <c r="G1" s="42" t="s">
        <v>27</v>
      </c>
      <c r="H1" s="42"/>
      <c r="I1" s="42"/>
      <c r="J1" s="5"/>
      <c r="K1" s="5"/>
    </row>
    <row r="2" spans="1:11" ht="19.5" customHeight="1">
      <c r="A2" s="45" t="s">
        <v>2</v>
      </c>
      <c r="B2" s="45"/>
      <c r="C2" s="6">
        <f>SUM(C4:C90)</f>
        <v>0</v>
      </c>
      <c r="D2" s="6">
        <f>SUM(D4:D90)</f>
        <v>0</v>
      </c>
      <c r="E2" s="6">
        <f>C2-D2</f>
        <v>0</v>
      </c>
      <c r="F2" s="7">
        <f>IFERROR(E2/D2, 0)</f>
        <v>0</v>
      </c>
      <c r="G2" s="6">
        <f>SUM(G4:G90)</f>
        <v>0</v>
      </c>
      <c r="H2" s="8">
        <f>C2-G2</f>
        <v>0</v>
      </c>
      <c r="I2" s="7">
        <f>IFERROR(H2/G2, 0)</f>
        <v>0</v>
      </c>
      <c r="J2" s="28" t="str">
        <f ca="1">IF(AND(TODAY()&gt;DATE(2024, 3,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22</v>
      </c>
      <c r="K4" s="18" t="s">
        <v>23</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2" priority="1" stopIfTrue="1" operator="lessThanOrEqual">
      <formula>-0.1</formula>
    </cfRule>
    <cfRule type="expression" dxfId="21" priority="2">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workbookViewId="0">
      <pane ySplit="2" topLeftCell="A3" activePane="bottomLeft" state="frozen"/>
      <selection pane="bottomLeft" activeCell="J4" sqref="J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28</v>
      </c>
      <c r="E1" s="44"/>
      <c r="F1" s="44"/>
      <c r="G1" s="42" t="s">
        <v>29</v>
      </c>
      <c r="H1" s="42"/>
      <c r="I1" s="42"/>
      <c r="J1" s="5"/>
      <c r="K1" s="5"/>
    </row>
    <row r="2" spans="1:11" ht="19.5" customHeight="1">
      <c r="A2" s="45" t="s">
        <v>2</v>
      </c>
      <c r="B2" s="45"/>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t="str">
        <f>IFERROR(E4/D4, "")</f>
        <v/>
      </c>
      <c r="G4">
        <v>0</v>
      </c>
      <c r="H4" s="16">
        <f>IF(AND(ISNUMBER(C4),ISNUMBER(G4)), C4-G4, "")</f>
        <v>0</v>
      </c>
      <c r="I4" s="17" t="str">
        <f>IFERROR(H4/G4, "")</f>
        <v/>
      </c>
      <c r="J4" s="18" t="s">
        <v>30</v>
      </c>
      <c r="K4" s="18" t="s">
        <v>23</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0" priority="1" stopIfTrue="1" operator="lessThanOrEqual">
      <formula>-0.1</formula>
    </cfRule>
    <cfRule type="expression" dxfId="19"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J4" sqref="J4"/>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31</v>
      </c>
      <c r="E1" s="44"/>
      <c r="F1" s="44"/>
      <c r="G1" s="42" t="s">
        <v>32</v>
      </c>
      <c r="H1" s="42"/>
      <c r="I1" s="42"/>
      <c r="J1" s="5"/>
      <c r="K1" s="5"/>
    </row>
    <row r="2" spans="1:11" ht="19.5" customHeight="1">
      <c r="A2" s="45" t="s">
        <v>2</v>
      </c>
      <c r="B2" s="45"/>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33</v>
      </c>
      <c r="K4" s="18" t="s">
        <v>23</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1"/>
  <sheetViews>
    <sheetView tabSelected="1" workbookViewId="0">
      <pane ySplit="2" topLeftCell="A3" activePane="bottomLeft" state="frozen"/>
      <selection pane="bottomLeft" activeCell="J12" sqref="J12"/>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34</v>
      </c>
      <c r="E1" s="44"/>
      <c r="F1" s="44"/>
      <c r="G1" s="42" t="s">
        <v>35</v>
      </c>
      <c r="H1" s="42"/>
      <c r="I1" s="42"/>
      <c r="J1" s="5"/>
      <c r="K1" s="5"/>
    </row>
    <row r="2" spans="1:11" ht="19.5" customHeight="1">
      <c r="A2" s="45" t="s">
        <v>2</v>
      </c>
      <c r="B2" s="45"/>
      <c r="C2" s="6">
        <f>SUM(C4:C89)</f>
        <v>1002703.36784099</v>
      </c>
      <c r="D2" s="6">
        <f>SUM(D4:D89)</f>
        <v>3795.1</v>
      </c>
      <c r="E2" s="6">
        <f>C2-D2</f>
        <v>998908.26784098998</v>
      </c>
      <c r="F2" s="7">
        <f>IFERROR(E2/D2, 0)</f>
        <v>263.20999916760826</v>
      </c>
      <c r="G2" s="6">
        <f>SUM(G4:G89)</f>
        <v>69735</v>
      </c>
      <c r="H2" s="8">
        <f>C2-G2</f>
        <v>932968.36784098996</v>
      </c>
      <c r="I2" s="7">
        <f>IFERROR(H2/G2, 0)</f>
        <v>13.37876773271657</v>
      </c>
      <c r="J2" s="28" t="str">
        <f ca="1">IF(AND(TODAY()&gt;DATE(2024, 6,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75.75" customHeight="1">
      <c r="A4" s="33" t="str" cm="1">
        <f t="array" ref="A4">Sites[Site]</f>
        <v>AZ: Joseph City USD</v>
      </c>
      <c r="B4" s="30" t="str" cm="1">
        <f t="array" ref="B4">Sites[State]</f>
        <v>AZ</v>
      </c>
      <c r="C4" s="26">
        <v>1002703.36784099</v>
      </c>
      <c r="D4" s="14">
        <v>3795.1</v>
      </c>
      <c r="E4" s="14">
        <f>IF(AND(ISNUMBER(C4),ISNUMBER(D4)), C4-D4, "")</f>
        <v>998908.26784098998</v>
      </c>
      <c r="F4" s="15">
        <f>IFERROR(E4/D4, "")</f>
        <v>263.20999916760826</v>
      </c>
      <c r="G4" s="16">
        <v>69735</v>
      </c>
      <c r="H4" s="16">
        <f>IF(AND(ISNUMBER(C4),ISNUMBER(G4)), C4-G4, "")</f>
        <v>932968.36784098996</v>
      </c>
      <c r="I4" s="17">
        <f>IFERROR(H4/G4, "")</f>
        <v>13.37876773271657</v>
      </c>
      <c r="J4" s="18" t="s">
        <v>36</v>
      </c>
      <c r="K4" s="18" t="s">
        <v>37</v>
      </c>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1"/>
  <sheetViews>
    <sheetView workbookViewId="0">
      <pane ySplit="2" topLeftCell="A3" activePane="bottomLeft" state="frozen"/>
      <selection pane="bottomLeft" activeCell="A5" sqref="A5:XFD15"/>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38</v>
      </c>
      <c r="E1" s="44"/>
      <c r="F1" s="44"/>
      <c r="G1" s="42" t="s">
        <v>39</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sortState xmlns:xlrd2="http://schemas.microsoft.com/office/spreadsheetml/2017/richdata2" ref="A3:K4">
    <sortCondition ref="A3:A4"/>
  </sortState>
  <mergeCells count="4">
    <mergeCell ref="G1:I1"/>
    <mergeCell ref="A1:C1"/>
    <mergeCell ref="D1:F1"/>
    <mergeCell ref="A2:B2"/>
  </mergeCells>
  <conditionalFormatting sqref="F2 I2 F4:F89 I4:I89">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1"/>
  <sheetViews>
    <sheetView workbookViewId="0">
      <pane ySplit="2" topLeftCell="A3" activePane="bottomLeft" state="frozen"/>
      <selection pane="bottomLeft" activeCell="A5" sqref="A5:XFD15"/>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40</v>
      </c>
      <c r="E1" s="44"/>
      <c r="F1" s="44"/>
      <c r="G1" s="42" t="s">
        <v>41</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8,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2" priority="1" stopIfTrue="1" operator="lessThanOrEqual">
      <formula>-0.1</formula>
    </cfRule>
    <cfRule type="expression" dxfId="11" priority="2">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1"/>
  <sheetViews>
    <sheetView workbookViewId="0">
      <pane ySplit="2" topLeftCell="A3" activePane="bottomLeft" state="frozen"/>
      <selection pane="bottomLeft" activeCell="A5" sqref="A5:XFD15"/>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42</v>
      </c>
      <c r="E1" s="44"/>
      <c r="F1" s="44"/>
      <c r="G1" s="42" t="s">
        <v>43</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9,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1"/>
  <sheetViews>
    <sheetView workbookViewId="0">
      <pane ySplit="2" topLeftCell="A3" activePane="bottomLeft" state="frozen"/>
      <selection pane="bottomLeft" activeCell="A5" sqref="A5:XFD15"/>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44</v>
      </c>
      <c r="E1" s="44"/>
      <c r="F1" s="44"/>
      <c r="G1" s="42" t="s">
        <v>45</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10,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1"/>
  <sheetViews>
    <sheetView workbookViewId="0">
      <pane ySplit="2" topLeftCell="A3" activePane="bottomLeft" state="frozen"/>
      <selection pane="bottomLeft" activeCell="A5" sqref="A5:XFD15"/>
      <selection activeCell="A6" sqref="A6:A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46</v>
      </c>
      <c r="E1" s="44"/>
      <c r="F1" s="44"/>
      <c r="G1" s="42" t="s">
        <v>47</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11,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1"/>
  <sheetViews>
    <sheetView workbookViewId="0">
      <pane ySplit="2" topLeftCell="A3" activePane="bottomLeft" state="frozen"/>
      <selection pane="bottomLeft" activeCell="A8" sqref="A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3" t="str" cm="1">
        <f t="array" ref="A1">portfolio</f>
        <v>Joseph City USD</v>
      </c>
      <c r="B1" s="43"/>
      <c r="C1" s="43"/>
      <c r="D1" s="44" t="s">
        <v>48</v>
      </c>
      <c r="E1" s="44"/>
      <c r="F1" s="44"/>
      <c r="G1" s="42" t="s">
        <v>49</v>
      </c>
      <c r="H1" s="42"/>
      <c r="I1" s="42"/>
      <c r="J1" s="5"/>
      <c r="K1" s="5"/>
    </row>
    <row r="2" spans="1:11" ht="19.5" customHeight="1">
      <c r="A2" s="45" t="s">
        <v>2</v>
      </c>
      <c r="B2" s="45"/>
      <c r="C2" s="6">
        <f>SUM(C4:C89)</f>
        <v>0</v>
      </c>
      <c r="D2" s="6">
        <f>SUM(D4:D89)</f>
        <v>0</v>
      </c>
      <c r="E2" s="6">
        <f>C2-D2</f>
        <v>0</v>
      </c>
      <c r="F2" s="7">
        <f>IFERROR(E2/D2, 0)</f>
        <v>0</v>
      </c>
      <c r="G2" s="6">
        <f>SUM(G4:G89)</f>
        <v>0</v>
      </c>
      <c r="H2" s="8">
        <f>C2-G2</f>
        <v>0</v>
      </c>
      <c r="I2" s="7">
        <f>IFERROR(H2/G2, 0)</f>
        <v>0</v>
      </c>
      <c r="J2" s="28" t="str">
        <f ca="1">IF(AND(TODAY()&gt;DATE(2024, 12,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AZ: Joseph City USD</v>
      </c>
      <c r="B4" s="30" t="str" cm="1">
        <f t="array" ref="B4">Sites[State]</f>
        <v>AZ</v>
      </c>
      <c r="C4" s="26"/>
      <c r="D4" s="14"/>
      <c r="E4" s="14" t="str">
        <f>IF(AND(ISNUMBER(C4),ISNUMBER(D4)), C4-D4, "")</f>
        <v/>
      </c>
      <c r="F4" s="15" t="str">
        <f>IFERROR(E4/D4, "")</f>
        <v/>
      </c>
      <c r="G4" s="16"/>
      <c r="H4" s="16" t="str">
        <f>IF(AND(ISNUMBER(C4),ISNUMBER(G4)), C4-G4, "")</f>
        <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A5" sqref="A5:XFD6"/>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50</v>
      </c>
      <c r="B1" t="s">
        <v>51</v>
      </c>
    </row>
    <row r="3" spans="1:7" ht="13.15">
      <c r="A3" t="s">
        <v>52</v>
      </c>
      <c r="B3" t="s">
        <v>3</v>
      </c>
      <c r="C3" t="s">
        <v>4</v>
      </c>
      <c r="D3" t="s">
        <v>53</v>
      </c>
      <c r="E3" s="2" t="s">
        <v>54</v>
      </c>
    </row>
    <row r="4" spans="1:7" ht="14.45">
      <c r="A4" t="s">
        <v>55</v>
      </c>
      <c r="B4" t="s">
        <v>56</v>
      </c>
      <c r="C4" s="4" t="s">
        <v>57</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2BC74AAC-D69B-4AF1-9649-B21EF3C1C463}"/>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C0BCDC1E-6052-4E48-9BAF-94A40814E7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
  <cp:revision/>
  <dcterms:created xsi:type="dcterms:W3CDTF">2021-01-01T16:39:53Z</dcterms:created>
  <dcterms:modified xsi:type="dcterms:W3CDTF">2024-07-10T07:53:04Z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