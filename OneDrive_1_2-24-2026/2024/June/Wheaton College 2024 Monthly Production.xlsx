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EC91CCBB-C8A6-48BC-8A5F-5AF4C0061E97}" xr6:coauthVersionLast="47" xr6:coauthVersionMax="47" xr10:uidLastSave="{8BA6578A-F518-4B93-BADF-E2BBEDB61034}"/>
  <bookViews>
    <workbookView xWindow="-108" yWindow="-108" windowWidth="23256" windowHeight="12456" tabRatio="866" firstSheet="2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<sst xmlns="http://schemas.openxmlformats.org/spreadsheetml/2006/main" count="244" uniqueCount="57">
  <si>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</si>
  <si>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</si>
  <si>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</si>
  <si>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</si>
  <si>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</si>
  <si>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</si>
  <si>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</si>
  <si>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</si>
  <si>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</si>
  <si>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</si>
  <si>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</si>
  <si>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</si>
  <si>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</si>
  <si>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</si>
  <si>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</si>
  <si>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</si>
  <si>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</si>
  <si>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</si>
  <si>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</si>
  <si>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</si>
  <si>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</si>
  <si>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</si>
  <si>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12 was offline on 01/23 and back online on next day
2. Invetrer 16 was offline on 01/25,01/27, 01/29</t>
  </si>
  <si>
    <t>1. SR080427
2. SR080467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</si>
  <si>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</si>
  <si>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</si>
  <si>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</si>
  <si>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</si>
  <si>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</si>
  <si>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</si>
  <si>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</si>
  <si>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</si>
  <si>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</si>
  <si>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</si>
  <si>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at 07:00AM on 06/03 and back online at 07:00AM on 06/04</t>
  </si>
  <si>
    <t>1. SR084496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</si>
  <si>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</si>
  <si>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</si>
  <si>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</si>
  <si>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</si>
  <si>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</si>
  <si>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</si>
  <si>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</si>
  <si>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</si>
  <si>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</si>
  <si>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</si>
  <si>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</si>
  <si>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</si>
  <si>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</si>
  <si>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Norton - Wheaton College</t>
  </si>
  <si>
    <t>Site DAS Name</t>
  </si>
  <si>
    <t>Update</t>
  </si>
  <si>
    <t>DAS</t>
  </si>
  <si>
    <t>Wheaton College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</si>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</sst>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9" fontId="30" fillId="38" borderId="12" xfId="2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189638</v>
      </c>
      <c r="D2" s="5">
        <f>SUM(D4:D79)</f>
        <v>0</v>
      </c>
      <c r="E2" s="5">
        <f>C2-D2</f>
        <v>189638</v>
      </c>
      <c r="F2" s="6">
        <f>IFERROR(E2/D2, 0)</f>
        <v>0</v>
      </c>
      <c r="G2" s="5">
        <f>SUM(G4:G79)</f>
        <v>0</v>
      </c>
      <c r="H2" s="7">
        <f>C2-G2</f>
        <v>189638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Norton - Wheaton College</v>
      </c>
      <c r="B4" s="9" t="str" cm="1">
        <f t="array" ref="B4">Sites[State]</f>
        <v>MA</v>
      </c>
      <c r="C4" s="23">
        <f>SUM('1st Qtr'!C4, '2nd Qtr'!C4, '3rd Qtr'!C4, '4th Qtr'!C4)</f>
        <v>189638</v>
      </c>
      <c r="D4" s="12">
        <f>SUM('1st Qtr'!D4, '2nd Qtr'!D4, '3rd Qtr'!D4, '4th Qtr'!D4)</f>
        <v>0</v>
      </c>
      <c r="E4" s="12">
        <f>IF(AND(ISNUMBER(C4),ISNUMBER(D4)), C4-D4, "")</f>
        <v>189638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189638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59219</v>
      </c>
      <c r="D2" s="5">
        <f>SUM(D4:D79)</f>
        <v>0</v>
      </c>
      <c r="E2" s="5">
        <f>C2-D2</f>
        <v>59219</v>
      </c>
      <c r="F2" s="6">
        <f>IFERROR(E2/D2, 0)</f>
        <v>0</v>
      </c>
      <c r="G2" s="5">
        <f>SUM(G4:G79)</f>
        <v>0</v>
      </c>
      <c r="H2" s="7">
        <f>C2-G2</f>
        <v>59219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SUM(Jan!C4, Feb!C4, Mar!C4)</f>
        <v>59219</v>
      </c>
      <c r="D4" s="12">
        <f>SUM(Jan!D4, Feb!D4, Mar!D4)</f>
        <v>0</v>
      </c>
      <c r="E4" s="12">
        <f>IF(AND(ISNUMBER(C4),ISNUMBER(D4)), C4-D4, "")</f>
        <v>59219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59219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130419</v>
      </c>
      <c r="D2" s="5">
        <f>SUM(D4:D79)</f>
        <v>0</v>
      </c>
      <c r="E2" s="5">
        <f>C2-D2</f>
        <v>130419</v>
      </c>
      <c r="F2" s="6">
        <f>IFERROR(E2/D2, 0)</f>
        <v>0</v>
      </c>
      <c r="G2" s="5">
        <f>SUM(G4:G79)</f>
        <v>0</v>
      </c>
      <c r="H2" s="7">
        <f>C2-G2</f>
        <v>130419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SUM(Apr!C4, May!C4, Jun!C4)</f>
        <v>130419</v>
      </c>
      <c r="D4" s="12">
        <f>SUM(Apr!D4, May!D4, Jun!D4)</f>
        <v>0</v>
      </c>
      <c r="E4" s="12">
        <f>IF(AND(ISNUMBER(C4),ISNUMBER(D4)), C4-D4, "")</f>
        <v>130419</v>
      </c>
      <c r="F4" s="13" t="str">
        <f>IFERROR(E4/D4, "")</f>
        <v/>
      </c>
      <c r="G4" s="14">
        <f>SUM(Apr!G4,May!G4,Jun!G4)</f>
        <v>0</v>
      </c>
      <c r="H4" s="14">
        <f>SUM(Apr!H4, May!H4, Jun!H4)</f>
        <v>130419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7" sqref="G1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8204</v>
      </c>
      <c r="D2" s="5">
        <f>SUM(D4:D78)</f>
        <v>0</v>
      </c>
      <c r="E2" s="5">
        <f>C2-D2</f>
        <v>8204</v>
      </c>
      <c r="F2" s="6">
        <f>IFERROR(E2/D2, 0)</f>
        <v>0</v>
      </c>
      <c r="G2" s="5">
        <f>SUM(G4:G78)</f>
        <v>0</v>
      </c>
      <c r="H2" s="7">
        <f>C2-G2</f>
        <v>8204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6" t="str" cm="1">
        <f t="array" ref="A4">Sites[Site]</f>
        <v>MA: Norton - Wheaton College</v>
      </c>
      <c r="B4" s="27" t="str" cm="1">
        <f t="array" ref="B4">Sites[State]</f>
        <v>MA</v>
      </c>
      <c r="C4" s="49">
        <v>8204</v>
      </c>
      <c r="D4" s="50">
        <v>0</v>
      </c>
      <c r="E4" s="12">
        <f>IF(AND(ISNUMBER(C4),ISNUMBER(D4)), C4-D4, "")</f>
        <v>8204</v>
      </c>
      <c r="F4" s="40" t="str">
        <f>IFERROR(E4/D4, "")</f>
        <v/>
      </c>
      <c r="G4" s="52">
        <v>0</v>
      </c>
      <c r="H4" s="14">
        <f>IF(AND(ISNUMBER(C4),ISNUMBER(G4)), C4-G4, "")</f>
        <v>8204</v>
      </c>
      <c r="I4" s="15" t="str">
        <f>IFERROR(H4/G4, "")</f>
        <v/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18206</v>
      </c>
      <c r="D2" s="5">
        <f>SUM(D4:D79)</f>
        <v>0</v>
      </c>
      <c r="E2" s="5">
        <f>C2-D2</f>
        <v>18206</v>
      </c>
      <c r="F2" s="6">
        <f>IFERROR(E2/D2, 0)</f>
        <v>0</v>
      </c>
      <c r="G2" s="5">
        <f>SUM(G4:G79)</f>
        <v>0</v>
      </c>
      <c r="H2" s="7">
        <f>C2-G2</f>
        <v>18206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Norton - Wheaton College</v>
      </c>
      <c r="B4" s="27" t="str" cm="1">
        <f t="array" ref="B4">Sites[State]</f>
        <v>MA</v>
      </c>
      <c r="C4" s="23">
        <v>18206</v>
      </c>
      <c r="D4" s="12">
        <v>0</v>
      </c>
      <c r="E4" s="12">
        <f>IF(AND(ISNUMBER(C4),ISNUMBER(D4)), C4-D4, "")</f>
        <v>18206</v>
      </c>
      <c r="F4" s="13" t="str">
        <f>IFERROR(E4/D4, "")</f>
        <v/>
      </c>
      <c r="G4" s="14">
        <v>0</v>
      </c>
      <c r="H4" s="14">
        <f>IF(AND(ISNUMBER(C4),ISNUMBER(G4)), C4-G4, "")</f>
        <v>18206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G23" sqref="G2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32809</v>
      </c>
      <c r="D2" s="5">
        <f>SUM(D4:D79)</f>
        <v>0</v>
      </c>
      <c r="E2" s="5">
        <f>C2-D2</f>
        <v>32809</v>
      </c>
      <c r="F2" s="6">
        <f>IFERROR(E2/D2, 0)</f>
        <v>0</v>
      </c>
      <c r="G2" s="5">
        <f>SUM(G4:G79)</f>
        <v>0</v>
      </c>
      <c r="H2" s="7">
        <f>C2-G2</f>
        <v>32809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32809</v>
      </c>
      <c r="D4" s="12">
        <v>0</v>
      </c>
      <c r="E4" s="12">
        <f>IF(AND(ISNUMBER(C4),ISNUMBER(D4)), C4-D4, "")</f>
        <v>32809</v>
      </c>
      <c r="F4" s="13" t="str">
        <f>IFERROR(E4/D4, "")</f>
        <v/>
      </c>
      <c r="G4" s="14">
        <v>0</v>
      </c>
      <c r="H4" s="14">
        <f>IF(AND(ISNUMBER(C4),ISNUMBER(G4)), C4-G4, "")</f>
        <v>32809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39250</v>
      </c>
      <c r="D2" s="5">
        <f>SUM(D4:D79)</f>
        <v>0</v>
      </c>
      <c r="E2" s="5">
        <f>C2-D2</f>
        <v>39250</v>
      </c>
      <c r="F2" s="6">
        <f>IFERROR(E2/D2, 0)</f>
        <v>0</v>
      </c>
      <c r="G2" s="5">
        <f>SUM(G4:G79)</f>
        <v>0</v>
      </c>
      <c r="H2" s="7">
        <f>C2-G2</f>
        <v>39250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39250</v>
      </c>
      <c r="D4" s="12">
        <v>0</v>
      </c>
      <c r="E4" s="12">
        <f>IF(AND(ISNUMBER(C4),ISNUMBER(D4)), C4-D4, "")</f>
        <v>39250</v>
      </c>
      <c r="F4" s="13" t="str">
        <f>IFERROR(E4/D4, "")</f>
        <v/>
      </c>
      <c r="G4" s="14">
        <v>0</v>
      </c>
      <c r="H4" s="14">
        <f>IF(AND(ISNUMBER(C4),ISNUMBER(G4)), C4-G4, "")</f>
        <v>39250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43752</v>
      </c>
      <c r="D2" s="5">
        <f>SUM(D4:D79)</f>
        <v>0</v>
      </c>
      <c r="E2" s="5">
        <f>C2-D2</f>
        <v>43752</v>
      </c>
      <c r="F2" s="6">
        <f>IFERROR(E2/D2, 0)</f>
        <v>0</v>
      </c>
      <c r="G2" s="5">
        <f>SUM(G4:G79)</f>
        <v>0</v>
      </c>
      <c r="H2" s="7">
        <f>C2-G2</f>
        <v>43752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43752</v>
      </c>
      <c r="D4" s="12">
        <v>0</v>
      </c>
      <c r="E4" s="12">
        <f>IF(AND(ISNUMBER(C4),ISNUMBER(D4)), C4-D4, "")</f>
        <v>43752</v>
      </c>
      <c r="F4" s="13" t="str">
        <f>IFERROR(E4/D4, "")</f>
        <v/>
      </c>
      <c r="G4" s="14">
        <v>0</v>
      </c>
      <c r="H4" s="14">
        <f>IF(AND(ISNUMBER(C4),ISNUMBER(G4)), C4-G4, "")</f>
        <v>43752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K4" sqref="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47417</v>
      </c>
      <c r="D2" s="5">
        <f>SUM(D4:D79)</f>
        <v>0</v>
      </c>
      <c r="E2" s="5">
        <f>C2-D2</f>
        <v>47417</v>
      </c>
      <c r="F2" s="6">
        <f>IFERROR(E2/D2, 0)</f>
        <v>0</v>
      </c>
      <c r="G2" s="5">
        <f>SUM(G4:G79)</f>
        <v>0</v>
      </c>
      <c r="H2" s="7">
        <f>C2-G2</f>
        <v>47417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47417</v>
      </c>
      <c r="D4" s="12">
        <v>0</v>
      </c>
      <c r="E4" s="12">
        <f>IF(AND(ISNUMBER(C4),ISNUMBER(D4)), C4-D4, "")</f>
        <v>47417</v>
      </c>
      <c r="F4" s="13" t="str">
        <f>IFERROR(E4/D4, "")</f>
        <v/>
      </c>
      <c r="G4" s="14">
        <v>0</v>
      </c>
      <c r="H4" s="14">
        <f>IF(AND(ISNUMBER(C4),ISNUMBER(G4)), C4-G4, "")</f>
        <v>47417</v>
      </c>
      <c r="I4" s="15" t="str">
        <f>IFERROR(H4/G4, "")</f>
        <v/>
      </c>
      <c r="J4" s="36" t="s">
        <v>34</v>
      </c>
      <c r="K4" s="36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5" t="s">
        <v>53</v>
      </c>
      <c r="B4" t="s">
        <v>49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[AGS]</cp:lastModifiedBy>
  <cp:revision/>
  <dcterms:created xsi:type="dcterms:W3CDTF">2021-01-01T16:39:53Z</dcterms:created>
  <dcterms:modified xsi:type="dcterms:W3CDTF">2024-07-12T17:53:30Z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