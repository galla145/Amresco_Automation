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4" documentId="13_ncr:1_{9A115F73-49EE-4C8F-812A-2D79E4A3A4F7}" xr6:coauthVersionLast="47" xr6:coauthVersionMax="47" xr10:uidLastSave="{22ECDFF0-4A1D-41F3-88F7-9A0EC28AF027}"/>
  <bookViews>
    <workbookView xWindow="-108" yWindow="-108" windowWidth="23256" windowHeight="12456" tabRatio="866" firstSheet="8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<sst xmlns="http://schemas.openxmlformats.org/spreadsheetml/2006/main" count="246" uniqueCount="58">
  <si>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</si>
  <si>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</si>
  <si>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</si>
  <si>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</si>
  <si>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</si>
  <si>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</si>
  <si>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</si>
  <si>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</si>
  <si>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</si>
  <si>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</si>
  <si>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</si>
  <si>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</si>
  <si>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</si>
  <si>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</si>
  <si>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</si>
  <si>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</si>
  <si>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</si>
  <si>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</si>
  <si>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</si>
  <si>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</si>
  <si>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</si>
  <si>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</si>
  <si>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</si>
  <si>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</si>
  <si>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</si>
  <si>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</si>
  <si>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 Inverter is kept offline from 03/10 for the reason of main control board has failed and will need to be replaced.</t>
  </si>
  <si>
    <t>1. SR081721</t>
  </si>
  <si>
    <t>April Actual v. Expected</t>
  </si>
  <si>
    <t>April Actual v. Forecasted</t>
  </si>
  <si>
    <t>1.  Inverter is kept offline from 03/10 to 04/03 for the reason of main control board has failed and will need to be replaced.
2. Site is offline from 12pm of 04/19 to 2pm of 04/23 due to inverter was faulted with DC input issue
3. Site is offline from 04/24 to 05/13 due to inverter was faulted out</t>
  </si>
  <si>
    <t>1. SR081721
2. SR083649
3. SR081721</t>
  </si>
  <si>
    <t>May Actual v. Expected</t>
  </si>
  <si>
    <t>May Actual v. Forecasted</t>
  </si>
  <si>
    <t>1.  Site is offline from 04/24 to 05/13 due to inverter was faulted out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</si>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</sst>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SUM(C4:C79)</f>
        <v>55521</v>
      </c>
      <c r="D2" s="5">
        <f>SUM(D4:D79)</f>
        <v>81697.899999999994</v>
      </c>
      <c r="E2" s="5">
        <f>C2-D2</f>
        <v>-26176.899999999994</v>
      </c>
      <c r="F2" s="6">
        <f>IFERROR(E2/D2, 0)</f>
        <v>-0.32041092855507908</v>
      </c>
      <c r="G2" s="5">
        <f>SUM(G4:G79)</f>
        <v>0</v>
      </c>
      <c r="H2" s="7">
        <f>C2-G2</f>
        <v>55521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55521</v>
      </c>
      <c r="D4" s="12">
        <f>SUM('1st Qtr'!D4, '2nd Qtr'!D4, '3rd Qtr'!D4, '4th Qtr'!D4)</f>
        <v>81697.899999999994</v>
      </c>
      <c r="E4" s="12">
        <f>IF(AND(ISNUMBER(C4),ISNUMBER(D4)), C4-D4, "")</f>
        <v>-26176.899999999994</v>
      </c>
      <c r="F4" s="13">
        <f>IFERROR(E4/D4, "")</f>
        <v>-0.32041092855507908</v>
      </c>
      <c r="G4" s="14">
        <f>SUM('1st Qtr'!G4, '2nd Qtr'!G4, '3rd Qtr'!G4, '4th Qtr'!G4)</f>
        <v>0</v>
      </c>
      <c r="H4" s="14">
        <f>SUM('1st Qtr'!H4, '2nd Qtr'!H4, '3rd Qtr'!H4, '4th Qtr'!H4)</f>
        <v>55521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SUM(C4:C79)</f>
        <v>16384</v>
      </c>
      <c r="D2" s="5">
        <f>SUM(D4:D79)</f>
        <v>28624</v>
      </c>
      <c r="E2" s="5">
        <f>C2-D2</f>
        <v>-12240</v>
      </c>
      <c r="F2" s="6">
        <f>IFERROR(E2/D2, 0)</f>
        <v>-0.4276131917272219</v>
      </c>
      <c r="G2" s="5">
        <f>SUM(G4:G79)</f>
        <v>0</v>
      </c>
      <c r="H2" s="7">
        <f>C2-G2</f>
        <v>16384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16384</v>
      </c>
      <c r="D4" s="12">
        <f>SUM(Jan!D4, Feb!D4, Mar!D4)</f>
        <v>28624</v>
      </c>
      <c r="E4" s="12">
        <f>IF(AND(ISNUMBER(C4),ISNUMBER(D4)), C4-D4, "")</f>
        <v>-12240</v>
      </c>
      <c r="F4" s="13">
        <f>IFERROR(E4/D4, "")</f>
        <v>-0.4276131917272219</v>
      </c>
      <c r="G4" s="14">
        <f>SUM(Jan!G4, Feb!G4, Mar!G4)</f>
        <v>0</v>
      </c>
      <c r="H4" s="14">
        <f>SUM(Jan!H4, Feb!H4, Mar!H4)</f>
        <v>16384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SUM(C4:C79)</f>
        <v>39137</v>
      </c>
      <c r="D2" s="5">
        <f>SUM(D4:D79)</f>
        <v>53073.9</v>
      </c>
      <c r="E2" s="5">
        <f>C2-D2</f>
        <v>-13936.900000000001</v>
      </c>
      <c r="F2" s="6">
        <f>IFERROR(E2/D2, 0)</f>
        <v>-0.26259423181639185</v>
      </c>
      <c r="G2" s="5">
        <f>SUM(G4:G79)</f>
        <v>0</v>
      </c>
      <c r="H2" s="7">
        <f>C2-G2</f>
        <v>39137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39137</v>
      </c>
      <c r="D4" s="12">
        <f>SUM(Apr!D4, May!D4, Jun!D4)</f>
        <v>53073.9</v>
      </c>
      <c r="E4" s="12">
        <f>IF(AND(ISNUMBER(C4),ISNUMBER(D4)), C4-D4, "")</f>
        <v>-13936.900000000001</v>
      </c>
      <c r="F4" s="13">
        <f>IFERROR(E4/D4, "")</f>
        <v>-0.26259423181639185</v>
      </c>
      <c r="G4" s="14">
        <f>SUM(Apr!G4,May!G4,Jun!G4)</f>
        <v>0</v>
      </c>
      <c r="H4" s="14">
        <f>SUM(Apr!H4, May!H4, Jun!H4)</f>
        <v>39137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4" sqref="G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SUM(C4:C78)</f>
        <v>3101</v>
      </c>
      <c r="D2" s="5">
        <f>SUM(D4:D78)</f>
        <v>4974</v>
      </c>
      <c r="E2" s="5">
        <f>C2-D2</f>
        <v>-1873</v>
      </c>
      <c r="F2" s="6">
        <f>IFERROR(E2/D2, 0)</f>
        <v>-0.37655810213108165</v>
      </c>
      <c r="G2" s="5">
        <f>SUM(G4:G78)</f>
        <v>0</v>
      </c>
      <c r="H2" s="7">
        <f>C2-G2</f>
        <v>3101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50">
        <v>3101</v>
      </c>
      <c r="D4" s="50">
        <v>4974</v>
      </c>
      <c r="E4" s="12">
        <f>IF(AND(ISNUMBER(C4),ISNUMBER(D4)), C4-D4, "")</f>
        <v>-1873</v>
      </c>
      <c r="F4" s="40">
        <f>IFERROR(E4/D4, "")</f>
        <v>-0.37655810213108165</v>
      </c>
      <c r="G4" s="52">
        <v>0</v>
      </c>
      <c r="H4" s="14">
        <f>IF(AND(ISNUMBER(C4),ISNUMBER(G4)), C4-G4, "")</f>
        <v>3101</v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10528</v>
      </c>
      <c r="D2" s="5">
        <f>SUM(D4:D79)</f>
        <v>10691</v>
      </c>
      <c r="E2" s="5">
        <f>C2-D2</f>
        <v>-163</v>
      </c>
      <c r="F2" s="6">
        <f>IFERROR(E2/D2, 0)</f>
        <v>-1.5246468992610607E-2</v>
      </c>
      <c r="G2" s="5">
        <f>SUM(G4:G79)</f>
        <v>0</v>
      </c>
      <c r="H2" s="7">
        <f>C2-G2</f>
        <v>10528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23">
        <v>10528</v>
      </c>
      <c r="D4" s="12">
        <v>10691</v>
      </c>
      <c r="E4" s="12">
        <f>IF(AND(ISNUMBER(C4),ISNUMBER(D4)), C4-D4, "")</f>
        <v>-163</v>
      </c>
      <c r="F4" s="13">
        <f>IFERROR(E4/D4, "")</f>
        <v>-1.5246468992610607E-2</v>
      </c>
      <c r="G4" s="14">
        <v>0</v>
      </c>
      <c r="H4" s="14">
        <f>IF(AND(ISNUMBER(C4),ISNUMBER(G4)), C4-G4, "")</f>
        <v>10528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2755</v>
      </c>
      <c r="D2" s="5">
        <f>SUM(D4:D79)</f>
        <v>12959</v>
      </c>
      <c r="E2" s="5">
        <f>C2-D2</f>
        <v>-10204</v>
      </c>
      <c r="F2" s="6">
        <f>IFERROR(E2/D2, 0)</f>
        <v>-0.7874064356817656</v>
      </c>
      <c r="G2" s="5">
        <f>SUM(G4:G79)</f>
        <v>0</v>
      </c>
      <c r="H2" s="7">
        <f>C2-G2</f>
        <v>2755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2755</v>
      </c>
      <c r="D4" s="12">
        <v>12959</v>
      </c>
      <c r="E4" s="12">
        <f>IF(AND(ISNUMBER(C4),ISNUMBER(D4)), C4-D4, "")</f>
        <v>-10204</v>
      </c>
      <c r="F4" s="13">
        <f>IFERROR(E4/D4, "")</f>
        <v>-0.7874064356817656</v>
      </c>
      <c r="G4" s="14">
        <v>0</v>
      </c>
      <c r="H4" s="14">
        <f>IF(AND(ISNUMBER(C4),ISNUMBER(G4)), C4-G4, "")</f>
        <v>2755</v>
      </c>
      <c r="I4" s="15" t="str">
        <f>IFERROR(H4/G4, "")</f>
        <v/>
      </c>
      <c r="J4" s="36" t="s">
        <v>26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7314</v>
      </c>
      <c r="D2" s="5">
        <f>SUM(D4:D79)</f>
        <v>15407</v>
      </c>
      <c r="E2" s="5">
        <f>C2-D2</f>
        <v>-8093</v>
      </c>
      <c r="F2" s="6">
        <f>IFERROR(E2/D2, 0)</f>
        <v>-0.52528071655740893</v>
      </c>
      <c r="G2" s="5">
        <f>SUM(G4:G79)</f>
        <v>0</v>
      </c>
      <c r="H2" s="7">
        <f>C2-G2</f>
        <v>7314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7314</v>
      </c>
      <c r="D4" s="12">
        <v>15407</v>
      </c>
      <c r="E4" s="12">
        <f>IF(AND(ISNUMBER(C4),ISNUMBER(D4)), C4-D4, "")</f>
        <v>-8093</v>
      </c>
      <c r="F4" s="13">
        <f>IFERROR(E4/D4, "")</f>
        <v>-0.52528071655740893</v>
      </c>
      <c r="G4" s="14">
        <v>0</v>
      </c>
      <c r="H4" s="14">
        <f>IF(AND(ISNUMBER(C4),ISNUMBER(G4)), C4-G4, "")</f>
        <v>7314</v>
      </c>
      <c r="I4" s="15" t="str">
        <f>IFERROR(H4/G4, "")</f>
        <v/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11988</v>
      </c>
      <c r="D2" s="5">
        <f>SUM(D4:D79)</f>
        <v>17852.8</v>
      </c>
      <c r="E2" s="5">
        <f>C2-D2</f>
        <v>-5864.7999999999993</v>
      </c>
      <c r="F2" s="6">
        <f>IFERROR(E2/D2, 0)</f>
        <v>-0.32850869331421401</v>
      </c>
      <c r="G2" s="5">
        <f>SUM(G4:G79)</f>
        <v>0</v>
      </c>
      <c r="H2" s="7">
        <f>C2-G2</f>
        <v>11988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11988</v>
      </c>
      <c r="D4" s="12">
        <v>17852.8</v>
      </c>
      <c r="E4" s="12">
        <f>IF(AND(ISNUMBER(C4),ISNUMBER(D4)), C4-D4, "")</f>
        <v>-5864.7999999999993</v>
      </c>
      <c r="F4" s="13">
        <f>IFERROR(E4/D4, "")</f>
        <v>-0.32850869331421401</v>
      </c>
      <c r="G4" s="14">
        <v>0</v>
      </c>
      <c r="H4" s="14">
        <f>IF(AND(ISNUMBER(C4),ISNUMBER(G4)), C4-G4, "")</f>
        <v>11988</v>
      </c>
      <c r="I4" s="15" t="str">
        <f>IFERROR(H4/G4, "")</f>
        <v/>
      </c>
      <c r="J4" s="36" t="s">
        <v>34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35</v>
      </c>
      <c r="E1" s="55"/>
      <c r="F1" s="55"/>
      <c r="G1" s="53" t="s">
        <v>36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19835</v>
      </c>
      <c r="D2" s="5">
        <f>SUM(D4:D79)</f>
        <v>19814.099999999999</v>
      </c>
      <c r="E2" s="5">
        <f>C2-D2</f>
        <v>20.900000000001455</v>
      </c>
      <c r="F2" s="6">
        <f>IFERROR(E2/D2, 0)</f>
        <v>1.0548044069627919E-3</v>
      </c>
      <c r="G2" s="5">
        <f>SUM(G4:G79)</f>
        <v>0</v>
      </c>
      <c r="H2" s="7">
        <f>C2-G2</f>
        <v>19835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19835</v>
      </c>
      <c r="D4" s="12">
        <v>19814.099999999999</v>
      </c>
      <c r="E4" s="12">
        <f>IF(AND(ISNUMBER(C4),ISNUMBER(D4)), C4-D4, "")</f>
        <v>20.900000000001455</v>
      </c>
      <c r="F4" s="13">
        <f>IFERROR(E4/D4, "")</f>
        <v>1.0548044069627919E-3</v>
      </c>
      <c r="G4" s="14">
        <v>0</v>
      </c>
      <c r="H4" s="14">
        <f>IF(AND(ISNUMBER(C4),ISNUMBER(G4)), C4-G4, "")</f>
        <v>19835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37</v>
      </c>
      <c r="E1" s="55"/>
      <c r="F1" s="55"/>
      <c r="G1" s="53" t="s">
        <v>38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39</v>
      </c>
      <c r="E1" s="55"/>
      <c r="F1" s="55"/>
      <c r="G1" s="53" t="s">
        <v>40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41</v>
      </c>
      <c r="E1" s="55"/>
      <c r="F1" s="55"/>
      <c r="G1" s="53" t="s">
        <v>42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43</v>
      </c>
      <c r="E1" s="55"/>
      <c r="F1" s="55"/>
      <c r="G1" s="53" t="s">
        <v>44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45</v>
      </c>
      <c r="E1" s="55"/>
      <c r="F1" s="55"/>
      <c r="G1" s="53" t="s">
        <v>46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47</v>
      </c>
      <c r="E1" s="55"/>
      <c r="F1" s="55"/>
      <c r="G1" s="53" t="s">
        <v>48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5" t="s">
        <v>54</v>
      </c>
      <c r="B4" t="s">
        <v>50</v>
      </c>
      <c r="C4" s="43" t="s">
        <v>55</v>
      </c>
      <c r="D4" s="42" t="s">
        <v>56</v>
      </c>
      <c r="E4" t="s">
        <v>57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2024-07-14T17:38:32Z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