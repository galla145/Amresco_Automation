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" documentId="13_ncr:1_{60741182-2FD6-4A14-8DD5-AA7CD249C3B1}" xr6:coauthVersionLast="47" xr6:coauthVersionMax="47" xr10:uidLastSave="{8BA5B5E4-2847-4F40-918D-F89E8680F57D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E4" i="72"/>
  <c r="F4" i="72" s="1"/>
  <c r="A1" i="72" a="1"/>
  <c r="A1" i="72" s="1"/>
  <c r="E4" i="18" l="1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<sst xmlns="http://schemas.openxmlformats.org/spreadsheetml/2006/main" count="253" uniqueCount="67">
  <si>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</si>
  <si>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</si>
  <si>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</si>
  <si>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</si>
  <si>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</si>
  <si>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</si>
  <si>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</si>
  <si>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</si>
  <si>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</si>
  <si>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</si>
  <si>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</si>
  <si>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</si>
  <si>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</si>
  <si>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</si>
  <si>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</si>
  <si>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</si>
  <si>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</si>
  <si>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</si>
  <si>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</si>
  <si>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</si>
  <si>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</si>
  <si>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</si>
  <si>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</si>
  <si>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 Inverter 22 was offline on 01/10, 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</si>
  <si>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</si>
  <si>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</si>
  <si>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</si>
  <si>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</si>
  <si>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</si>
  <si>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</si>
  <si>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</si>
  <si>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 xml:space="preserve">1. Inverter 32 started late on 03/06 &amp; was offline on 03/15 &amp; back online on 03/16. 
2. Site is offline from 03/23 at 20:00 to 03/27 at 10:00. </t>
  </si>
  <si>
    <t>1. SR081601
2. SR082608</t>
  </si>
  <si>
    <t>April Actual v. Expected</t>
  </si>
  <si>
    <t>April Actual v. Forecasted</t>
  </si>
  <si>
    <t>1. Site is offline due to storm from 04/04/24 at 05:00AM and back online at 13:00 on 04/08/24.
2. Inverter 31 is offline from 13:00 to 15:15 on 04/08/24.
3. Inverter 22 is offline due to "Insolation fault" on 04/13 from 07:00AM to 11:15AM.
4. Inverter 20 is derating about 43kW and reporting "fan fail" from 04/13 and need to replace fan.
5. Inverter 5 is offline from 07:00AM to 11:45AM on 04/17/24.
6. Inverter 33 is derating about 17kW and reporting "potential fan fault" on 04/18/24.</t>
  </si>
  <si>
    <t>1. SR083080
2. SR083205
3. SR083378
4. SR083431
5. SR083539
6. SR083601</t>
  </si>
  <si>
    <t>May Actual v. Expected</t>
  </si>
  <si>
    <t>May Actual v. Forecasted</t>
  </si>
  <si>
    <t>1. Inverter 20 tripped offline at 15:15 on 05/21/24 and back online at 07:00AM on 05/31/24.
2. Inverter 32 late started on 05/06/24  due to an insulation fault
3. The weather station stopped communicating on 05/24 at 15:00, and a technician reset the Weather Station DAS and restored communication on 05/31 at 8:30 AM. Due to this, the expected energy values are low compared to the previous month.</t>
  </si>
  <si>
    <t>1. SR084988
2. SR081601
3. SR085273</t>
  </si>
  <si>
    <t>June Actual v. Expected</t>
  </si>
  <si>
    <t>June Actual v. Forecasted</t>
  </si>
  <si>
    <t>1. Site was offline from 6pm of 06/23 and back online at 2pm of 06/24, it was offline due to the recloser being open from the customer's end
2. Inverters 21, 22 &amp; 31 have started late i.e., at 10am on 06/27</t>
  </si>
  <si>
    <t>1. SR086772
2. SR086893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</si>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</sst>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3910275.0049999999</v>
      </c>
      <c r="D2" s="6">
        <f>SUM(D4:D60)</f>
        <v>3990737.6540000001</v>
      </c>
      <c r="E2" s="6">
        <f>C2-D2</f>
        <v>-80462.649000000209</v>
      </c>
      <c r="F2" s="7">
        <f>IFERROR(E2/D2, 0)</f>
        <v>-2.0162349915272132E-2</v>
      </c>
      <c r="G2" s="6">
        <f>SUM(G4:G60)</f>
        <v>4336705.5199999996</v>
      </c>
      <c r="H2" s="8">
        <f>C2-G2</f>
        <v>-426430.51499999966</v>
      </c>
      <c r="I2" s="7">
        <f>IFERROR(H2/G2, 0)</f>
        <v>-9.8330521413868041E-2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3910275.0049999999</v>
      </c>
      <c r="D4" s="14">
        <f>SUM('1st Qtr'!D4, '2nd Qtr'!D4, '3rd Qtr'!D4, '4th Qtr'!D4)</f>
        <v>3990737.6540000001</v>
      </c>
      <c r="E4" s="14">
        <f>IF(AND(ISNUMBER(C4),ISNUMBER(D4)), C4-D4, "")</f>
        <v>-80462.649000000209</v>
      </c>
      <c r="F4" s="15">
        <f>IFERROR(E4/D4, "")</f>
        <v>-2.0162349915272132E-2</v>
      </c>
      <c r="G4" s="16">
        <f>SUM('1st Qtr'!G4,'2nd Qtr'!G4,'3rd Qtr'!G4,'4th Qtr'!G4)</f>
        <v>4336705.5199999996</v>
      </c>
      <c r="H4" s="16">
        <f>SUM('1st Qtr'!H4, '2nd Qtr'!H4, '3rd Qtr'!H4, '4th Qtr'!H4)</f>
        <v>-426430.5149999999</v>
      </c>
      <c r="I4" s="17">
        <f>IFERROR(H4/G4, "")</f>
        <v>-9.8330521413868083E-2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F27" sqref="F27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1445400.0049999999</v>
      </c>
      <c r="D2" s="6">
        <f>SUM(D4:D68)</f>
        <v>1701799.9539999999</v>
      </c>
      <c r="E2" s="6">
        <f>C2-D2</f>
        <v>-256399.94900000002</v>
      </c>
      <c r="F2" s="7">
        <f>IFERROR(E2/D2, 0)</f>
        <v>-0.150663976924752</v>
      </c>
      <c r="G2" s="6">
        <f>SUM(G4:G68)</f>
        <v>1751112.92</v>
      </c>
      <c r="H2" s="8">
        <f>C2-G2</f>
        <v>-305712.91500000004</v>
      </c>
      <c r="I2" s="7">
        <f>IFERROR(H2/G2, 0)</f>
        <v>-0.17458206807131549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1445400.0049999999</v>
      </c>
      <c r="D4" s="14">
        <f>SUM(Jan!D4, Feb!D4, Mar!D4)</f>
        <v>1701799.9539999999</v>
      </c>
      <c r="E4" s="14">
        <f>IF(AND(ISNUMBER(C4),ISNUMBER(D4)), C4-D4, "")</f>
        <v>-256399.94900000002</v>
      </c>
      <c r="F4" s="15">
        <f>IFERROR(E4/D4, "")</f>
        <v>-0.150663976924752</v>
      </c>
      <c r="G4" s="16">
        <f>SUM(Jan!G4, Feb!G4, Mar!G4)</f>
        <v>1751112.92</v>
      </c>
      <c r="H4" s="16">
        <f>SUM(Jan!H4, Feb!H4, Mar!H4)</f>
        <v>-305712.91499999992</v>
      </c>
      <c r="I4" s="17">
        <f>IFERROR(H4/G4, "")</f>
        <v>-0.17458206807131543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tabSelected="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2464875</v>
      </c>
      <c r="D2" s="6">
        <f>SUM(D4:D90)</f>
        <v>2288937.7000000002</v>
      </c>
      <c r="E2" s="6">
        <f>C2-D2</f>
        <v>175937.29999999981</v>
      </c>
      <c r="F2" s="7">
        <f>IFERROR(E2/D2, 0)</f>
        <v>7.6864171532497277E-2</v>
      </c>
      <c r="G2" s="6">
        <f>SUM(G4:G90)</f>
        <v>2585592.6</v>
      </c>
      <c r="H2" s="8">
        <f>C2-G2</f>
        <v>-120717.60000000009</v>
      </c>
      <c r="I2" s="7">
        <f>IFERROR(H2/G2, 0)</f>
        <v>-4.6688561840716937E-2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2464875</v>
      </c>
      <c r="D4" s="14">
        <f>SUM(Apr!D4, May!D4, Jun!D4)</f>
        <v>2288937.7000000002</v>
      </c>
      <c r="E4" s="14">
        <f>IF(AND(ISNUMBER(C4),ISNUMBER(D4)), C4-D4, "")</f>
        <v>175937.29999999981</v>
      </c>
      <c r="F4" s="15">
        <f>IFERROR(E4/D4, "")</f>
        <v>7.6864171532497277E-2</v>
      </c>
      <c r="G4" s="16">
        <f>SUM(Apr!G4,May!G4,Jun!G4)</f>
        <v>2585592.6</v>
      </c>
      <c r="H4" s="16">
        <f>SUM(Apr!H4, May!H4, Jun!H4)</f>
        <v>-120717.59999999998</v>
      </c>
      <c r="I4" s="17">
        <f>IFERROR(H4/G4, "")</f>
        <v>-4.6688561840716888E-2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23</v>
      </c>
      <c r="K4" s="18" t="s">
        <v>24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J11" activePane="bottomLeft" state="frozen"/>
      <selection pane="bottomLeft" activeCell="J11" sqref="J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27</v>
      </c>
      <c r="K4" s="18" t="s">
        <v>28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G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608153.005</v>
      </c>
      <c r="D2" s="6">
        <f>SUM(D4:D90)</f>
        <v>622451.054</v>
      </c>
      <c r="E2" s="6">
        <f>C2-D2</f>
        <v>-14298.048999999999</v>
      </c>
      <c r="F2" s="7">
        <f>IFERROR(E2/D2, 0)</f>
        <v>-2.2970559545393586E-2</v>
      </c>
      <c r="G2" s="6">
        <f>SUM(G4:G90)</f>
        <v>759786.62</v>
      </c>
      <c r="H2" s="8">
        <f>C2-G2</f>
        <v>-151633.61499999999</v>
      </c>
      <c r="I2" s="7">
        <f>IFERROR(H2/G2, 0)</f>
        <v>-0.19957394748541371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608153.005</v>
      </c>
      <c r="D4" s="14">
        <v>622451.054</v>
      </c>
      <c r="E4" s="14">
        <f>IF(AND(ISNUMBER(C4),ISNUMBER(D4)), C4-D4, "")</f>
        <v>-14298.048999999999</v>
      </c>
      <c r="F4" s="15">
        <f>IFERROR(E4/D4, "")</f>
        <v>-2.2970559545393586E-2</v>
      </c>
      <c r="G4" s="16">
        <v>759786.62</v>
      </c>
      <c r="H4" s="16">
        <f>IF(AND(ISNUMBER(C4),ISNUMBER(G4)), C4-G4, "")</f>
        <v>-151633.61499999999</v>
      </c>
      <c r="I4" s="17">
        <f>IFERROR(H4/G4, "")</f>
        <v>-0.19957394748541371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E1" workbookViewId="0">
      <pane ySplit="2" topLeftCell="A3" activePane="bottomLeft" state="frozen"/>
      <selection pane="bottomLeft" activeCell="B4" sqref="B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698240</v>
      </c>
      <c r="D2" s="6">
        <f>SUM(D4:D90)</f>
        <v>705102</v>
      </c>
      <c r="E2" s="6">
        <f>C2-D2</f>
        <v>-6862</v>
      </c>
      <c r="F2" s="7">
        <f>IFERROR(E2/D2, 0)</f>
        <v>-9.7319253100969783E-3</v>
      </c>
      <c r="G2" s="6">
        <f>SUM(G4:G90)</f>
        <v>788000</v>
      </c>
      <c r="H2" s="8">
        <f>C2-G2</f>
        <v>-89760</v>
      </c>
      <c r="I2" s="7">
        <f>IFERROR(H2/G2, 0)</f>
        <v>-0.11390862944162436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29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698240</v>
      </c>
      <c r="D4" s="14">
        <v>705102</v>
      </c>
      <c r="E4" s="14">
        <f>IF(AND(ISNUMBER(C4),ISNUMBER(D4)), C4-D4, "")</f>
        <v>-6862</v>
      </c>
      <c r="F4" s="15">
        <f>IFERROR(E4/D4, "")</f>
        <v>-9.7319253100969783E-3</v>
      </c>
      <c r="G4" s="16">
        <v>788000</v>
      </c>
      <c r="H4" s="16">
        <f>IF(AND(ISNUMBER(C4),ISNUMBER(G4)), C4-G4, "")</f>
        <v>-89760</v>
      </c>
      <c r="I4" s="17">
        <f>IFERROR(H4/G4, "")</f>
        <v>-0.11390862944162436</v>
      </c>
      <c r="J4" s="18" t="s">
        <v>35</v>
      </c>
      <c r="K4" s="18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872100</v>
      </c>
      <c r="D2" s="6">
        <f>SUM(D4:D90)</f>
        <v>680511</v>
      </c>
      <c r="E2" s="6">
        <f>C2-D2</f>
        <v>191589</v>
      </c>
      <c r="F2" s="7">
        <f>IFERROR(E2/D2, 0)</f>
        <v>0.28153696266482098</v>
      </c>
      <c r="G2" s="6">
        <f>SUM(G4:G90)</f>
        <v>917000</v>
      </c>
      <c r="H2" s="8">
        <f>C2-G2</f>
        <v>-44900</v>
      </c>
      <c r="I2" s="7">
        <f>IFERROR(H2/G2, 0)</f>
        <v>-4.896401308615049E-2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2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872100</v>
      </c>
      <c r="D4" s="14">
        <v>680511</v>
      </c>
      <c r="E4" s="14">
        <f>IF(AND(ISNUMBER(C4),ISNUMBER(D4)), C4-D4, "")</f>
        <v>191589</v>
      </c>
      <c r="F4" s="15">
        <f>IFERROR(E4/D4, "")</f>
        <v>0.28153696266482098</v>
      </c>
      <c r="G4" s="16">
        <v>917000</v>
      </c>
      <c r="H4" s="16">
        <f>IF(AND(ISNUMBER(C4),ISNUMBER(G4)), C4-G4, "")</f>
        <v>-44900</v>
      </c>
      <c r="I4" s="17">
        <f>IFERROR(H4/G4, "")</f>
        <v>-4.896401308615049E-2</v>
      </c>
      <c r="J4" s="18" t="s">
        <v>39</v>
      </c>
      <c r="K4" s="18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I14" sqref="I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894535</v>
      </c>
      <c r="D2" s="6">
        <f>SUM(D4:D90)</f>
        <v>903324.7</v>
      </c>
      <c r="E2" s="6">
        <f>C2-D2</f>
        <v>-8789.6999999999534</v>
      </c>
      <c r="F2" s="7">
        <f>IFERROR(E2/D2, 0)</f>
        <v>-9.7303881981749794E-3</v>
      </c>
      <c r="G2" s="6">
        <f>SUM(G4:G90)</f>
        <v>880592.6</v>
      </c>
      <c r="H2" s="8">
        <f>C2-G2</f>
        <v>13942.400000000023</v>
      </c>
      <c r="I2" s="7">
        <f>IFERROR(H2/G2, 0)</f>
        <v>1.5832974294810134E-2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4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894535</v>
      </c>
      <c r="D4" s="14">
        <v>903324.7</v>
      </c>
      <c r="E4" s="14">
        <f>IF(AND(ISNUMBER(C4),ISNUMBER(D4)), C4-D4, "")</f>
        <v>-8789.6999999999534</v>
      </c>
      <c r="F4" s="15">
        <f>IFERROR(E4/D4, "")</f>
        <v>-9.7303881981749794E-3</v>
      </c>
      <c r="G4" s="16">
        <v>880592.6</v>
      </c>
      <c r="H4" s="16">
        <f>IF(AND(ISNUMBER(C4),ISNUMBER(G4)), C4-G4, "")</f>
        <v>13942.400000000023</v>
      </c>
      <c r="I4" s="17">
        <f>IFERROR(H4/G4, "")</f>
        <v>1.5832974294810134E-2</v>
      </c>
      <c r="J4" s="18" t="s">
        <v>43</v>
      </c>
      <c r="K4" s="18" t="s">
        <v>44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49</v>
      </c>
      <c r="E1" s="45"/>
      <c r="F1" s="45"/>
      <c r="G1" s="43" t="s">
        <v>50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51</v>
      </c>
      <c r="E1" s="45"/>
      <c r="F1" s="45"/>
      <c r="G1" s="43" t="s">
        <v>52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57</v>
      </c>
      <c r="B1" t="s">
        <v>58</v>
      </c>
    </row>
    <row r="3" spans="1:7" ht="13.15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7" ht="14.45">
      <c r="A4" t="s">
        <v>62</v>
      </c>
      <c r="B4" t="s">
        <v>63</v>
      </c>
      <c r="C4" s="4" t="s">
        <v>64</v>
      </c>
      <c r="D4" t="s">
        <v>65</v>
      </c>
      <c r="E4" t="s">
        <v>66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2024-07-14T18:02:05Z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