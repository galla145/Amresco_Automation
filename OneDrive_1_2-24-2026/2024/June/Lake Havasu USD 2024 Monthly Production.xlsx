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8_{67F62270-8DC2-4AD6-8E33-AC4424711E64}" xr6:coauthVersionLast="47" xr6:coauthVersionMax="47" xr10:uidLastSave="{00000000-0000-0000-0000-000000000000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2" i="18" s="1"/>
  <c r="G6" i="18"/>
  <c r="G4" i="18"/>
  <c r="I6" i="72"/>
  <c r="I5" i="72"/>
  <c r="I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72"/>
  <c r="F7" i="72" s="1"/>
  <c r="H7" i="72"/>
  <c r="I7" i="72" s="1"/>
  <c r="G6" i="1"/>
  <c r="G6" i="34" s="1"/>
  <c r="G5" i="1"/>
  <c r="G4" i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D5" i="30"/>
  <c r="C5" i="30"/>
  <c r="E5" i="30" s="1"/>
  <c r="F5" i="30" s="1"/>
  <c r="D4" i="30"/>
  <c r="C4" i="30"/>
  <c r="D6" i="29"/>
  <c r="C6" i="29"/>
  <c r="D5" i="29"/>
  <c r="C5" i="29"/>
  <c r="D4" i="29"/>
  <c r="C4" i="29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J2" i="33" s="1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H6" i="72"/>
  <c r="H5" i="72"/>
  <c r="H4" i="72"/>
  <c r="G2" i="72"/>
  <c r="D2" i="72"/>
  <c r="C2" i="72"/>
  <c r="J2" i="72" s="1"/>
  <c r="E4" i="72"/>
  <c r="F4" i="72" s="1"/>
  <c r="A1" i="72" a="1"/>
  <c r="A1" i="72" s="1"/>
  <c r="G5" i="34" l="1"/>
  <c r="G4" i="34"/>
  <c r="D2" i="18"/>
  <c r="H2" i="20"/>
  <c r="I2" i="20" s="1"/>
  <c r="G2" i="34"/>
  <c r="D4" i="34"/>
  <c r="D2" i="34" s="1"/>
  <c r="D2" i="30"/>
  <c r="H6" i="29"/>
  <c r="I6" i="29" s="1"/>
  <c r="E5" i="29"/>
  <c r="F5" i="29" s="1"/>
  <c r="H2" i="21"/>
  <c r="I2" i="21" s="1"/>
  <c r="E5" i="18"/>
  <c r="F5" i="18" s="1"/>
  <c r="E2" i="20"/>
  <c r="F2" i="20" s="1"/>
  <c r="J2" i="21"/>
  <c r="H6" i="30"/>
  <c r="I6" i="30" s="1"/>
  <c r="J2" i="20"/>
  <c r="H2" i="19"/>
  <c r="I2" i="19" s="1"/>
  <c r="E4" i="18"/>
  <c r="F4" i="18" s="1"/>
  <c r="E4" i="30"/>
  <c r="F4" i="30" s="1"/>
  <c r="J2" i="26"/>
  <c r="H2" i="28"/>
  <c r="I2" i="28" s="1"/>
  <c r="H2" i="4"/>
  <c r="I2" i="4" s="1"/>
  <c r="H2" i="27"/>
  <c r="I2" i="27" s="1"/>
  <c r="E2" i="28"/>
  <c r="F2" i="28" s="1"/>
  <c r="H2" i="33"/>
  <c r="I2" i="33" s="1"/>
  <c r="D2" i="29"/>
  <c r="J2" i="27"/>
  <c r="J2" i="28"/>
  <c r="H2" i="32"/>
  <c r="I2" i="32" s="1"/>
  <c r="J2" i="31"/>
  <c r="E6" i="18"/>
  <c r="F6" i="18" s="1"/>
  <c r="E6" i="29"/>
  <c r="F6" i="29" s="1"/>
  <c r="E6" i="30"/>
  <c r="F6" i="30" s="1"/>
  <c r="J2" i="4"/>
  <c r="J2" i="32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H5" i="18"/>
  <c r="I5" i="18" s="1"/>
  <c r="H6" i="34"/>
  <c r="I6" i="34" s="1"/>
  <c r="H5" i="34"/>
  <c r="I5" i="34" s="1"/>
  <c r="C2" i="29"/>
  <c r="E2" i="29" s="1"/>
  <c r="F2" i="29" s="1"/>
  <c r="C2" i="30"/>
  <c r="E4" i="29"/>
  <c r="F4" i="29" s="1"/>
  <c r="C2" i="18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<sst xmlns="http://schemas.openxmlformats.org/spreadsheetml/2006/main" count="250" uniqueCount="55">
  <si>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</si>
  <si>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</si>
  <si>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</si>
  <si>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</si>
  <si>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</si>
  <si>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</si>
  <si>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</si>
  <si>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</si>
  <si>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</si>
  <si>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</si>
  <si>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</si>
  <si>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</si>
  <si>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</si>
  <si>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</si>
  <si>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</si>
  <si>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</si>
  <si>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</si>
  <si>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</si>
  <si>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</si>
  <si>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</si>
  <si>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</si>
  <si>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</si>
  <si>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</si>
  <si>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</si>
  <si>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</si>
  <si>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</si>
  <si>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</si>
  <si>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</si>
  <si>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Meter is reporting negative values 04/10</t>
  </si>
  <si>
    <t>1. SR087003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</si>
  <si>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</si>
  <si>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</si>
  <si>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</si>
  <si>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</si>
  <si>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</si>
  <si>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</si>
  <si>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</si>
  <si>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</si>
  <si>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</si>
  <si>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</si>
  <si>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</si>
  <si>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</si>
  <si>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</si>
  <si>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</si>
  <si>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</si>
  <si>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</si>
  <si>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</si>
  <si>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Lake Havasu USD</t>
  </si>
  <si>
    <t>Site DAS Name</t>
  </si>
  <si>
    <t>Update</t>
  </si>
  <si>
    <t>DAS</t>
  </si>
  <si>
    <t>AZ: Lake Havasu - District Office</t>
  </si>
  <si>
    <t>AZ</t>
  </si>
  <si>
    <t>AZ: Lake Havasu - HS Library</t>
  </si>
  <si>
    <t>AZ: Lake Havasu- Performing 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</si>
</sst>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ySplit="2" topLeftCell="A3" activePane="bottomLeft" state="frozen"/>
      <selection pane="bottomLeft" activeCell="F6" sqref="F6"/>
      <selection activeCell="C28" sqref="C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Lake Havasu USD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>
      <c r="A2" s="47" t="s">
        <v>2</v>
      </c>
      <c r="B2" s="47"/>
      <c r="C2" s="6">
        <f>SUM(C4:C91)</f>
        <v>246579</v>
      </c>
      <c r="D2" s="6">
        <f>SUM(D4:D91)</f>
        <v>238441.57000000004</v>
      </c>
      <c r="E2" s="6">
        <f>C2-D2</f>
        <v>8137.4299999999639</v>
      </c>
      <c r="F2" s="7">
        <f>IFERROR(E2/D2, 0)</f>
        <v>3.4127564249807459E-2</v>
      </c>
      <c r="G2" s="6">
        <f>SUM(G4:G91)</f>
        <v>0</v>
      </c>
      <c r="H2" s="8">
        <f>C2-G2</f>
        <v>246579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SUM('1st Qtr'!C4, '2nd Qtr'!C4, '3rd Qtr'!C4, '4th Qtr'!C4)</f>
        <v>172668</v>
      </c>
      <c r="D4" s="14">
        <f>SUM('1st Qtr'!D4, '2nd Qtr'!D4, '3rd Qtr'!D4, '4th Qtr'!D4)</f>
        <v>158698.21000000002</v>
      </c>
      <c r="E4" s="14">
        <f>IF(AND(ISNUMBER(C4),ISNUMBER(D4)), C4-D4, "")</f>
        <v>13969.789999999979</v>
      </c>
      <c r="F4" s="15">
        <f>IFERROR(E4/D4, "")</f>
        <v>8.8027394889961127E-2</v>
      </c>
      <c r="G4" s="16">
        <f>SUM('1st Qtr'!G4,'2nd Qtr'!G4,'3rd Qtr'!G4,'4th Qtr'!G4)</f>
        <v>0</v>
      </c>
      <c r="H4" s="16">
        <f>SUM('1st Qtr'!H4, '2nd Qtr'!H4, '3rd Qtr'!H4, '4th Qtr'!H4)</f>
        <v>172668</v>
      </c>
      <c r="I4" s="17">
        <f>IFERROR(H4/G4, 0)</f>
        <v>0</v>
      </c>
    </row>
    <row r="5" spans="1:9" ht="15.6">
      <c r="A5" s="19" t="str">
        <v>AZ: Lake Havasu - HS Library</v>
      </c>
      <c r="B5" s="11" t="str">
        <v>AZ</v>
      </c>
      <c r="C5" s="12">
        <f>SUM(Jan!C5, Feb!C5, Mar!C5)</f>
        <v>31104</v>
      </c>
      <c r="D5" s="20">
        <f>SUM(Jan!D5, Feb!D5, Mar!D5)</f>
        <v>35099.29</v>
      </c>
      <c r="E5" s="20">
        <f t="shared" ref="E5:E6" si="0">IF(AND(ISNUMBER(C5),ISNUMBER(D5)), C5-D5, "")</f>
        <v>-3995.2900000000009</v>
      </c>
      <c r="F5" s="21">
        <f>IFERROR(E5/D5, "")</f>
        <v>-0.1138282284342504</v>
      </c>
      <c r="G5" s="22">
        <f>SUM('1st Qtr'!G5,'2nd Qtr'!G5,'3rd Qtr'!G5,'4th Qtr'!G5)</f>
        <v>0</v>
      </c>
      <c r="H5" s="22">
        <f>SUM(Jan!H5, Feb!H5, Mar!H5)</f>
        <v>31104</v>
      </c>
      <c r="I5" s="21">
        <f>IFERROR(H5/G5, 0)</f>
        <v>0</v>
      </c>
    </row>
    <row r="6" spans="1:9" ht="15.6">
      <c r="A6" s="13" t="str">
        <v>AZ: Lake Havasu- Performing Arts</v>
      </c>
      <c r="B6" s="10" t="str">
        <v>AZ</v>
      </c>
      <c r="C6" s="26">
        <f>SUM(Jan!C6, Feb!C6, Mar!C6)</f>
        <v>42807</v>
      </c>
      <c r="D6" s="14">
        <f>SUM(Jan!D6, Feb!D6, Mar!D6)</f>
        <v>44644.07</v>
      </c>
      <c r="E6" s="14">
        <f t="shared" si="0"/>
        <v>-1837.0699999999997</v>
      </c>
      <c r="F6" s="15">
        <f t="shared" ref="F6" si="1">IFERROR(E6/D6, "")</f>
        <v>-4.1149250057174437E-2</v>
      </c>
      <c r="G6" s="16">
        <f>SUM('1st Qtr'!G6,'2nd Qtr'!G6,'3rd Qtr'!G6,'4th Qtr'!G6)</f>
        <v>0</v>
      </c>
      <c r="H6" s="16">
        <f>SUM(Jan!H6, Feb!H6, Mar!H6)</f>
        <v>42807</v>
      </c>
      <c r="I6" s="17">
        <f>IFERROR(H6/G6, 0)</f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ySplit="2" topLeftCell="A3" activePane="bottomLeft" state="frozen"/>
      <selection pane="bottomLeft" activeCell="G7" sqref="G7"/>
      <selection activeCell="C11" sqref="C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Lake Havasu USD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>
      <c r="A2" s="47" t="s">
        <v>2</v>
      </c>
      <c r="B2" s="47"/>
      <c r="C2" s="6">
        <f>SUM(C4:C91)</f>
        <v>140423</v>
      </c>
      <c r="D2" s="6">
        <f>SUM(D4:D91)</f>
        <v>132268.19</v>
      </c>
      <c r="E2" s="6">
        <f>C2-D2</f>
        <v>8154.8099999999977</v>
      </c>
      <c r="F2" s="7">
        <f>IFERROR(E2/D2, 0)</f>
        <v>6.1653599402849597E-2</v>
      </c>
      <c r="G2" s="6">
        <f>SUM(G4:G91)</f>
        <v>0</v>
      </c>
      <c r="H2" s="8">
        <f>C2-G2</f>
        <v>140423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SUM(Jan!C4, Feb!C4, Mar!C4)</f>
        <v>66512</v>
      </c>
      <c r="D4" s="14">
        <f>SUM(Jan!D4, Feb!D4, Mar!D4)</f>
        <v>52524.83</v>
      </c>
      <c r="E4" s="14">
        <f>IF(AND(ISNUMBER(C4),ISNUMBER(D4)), C4-D4, "")</f>
        <v>13987.169999999998</v>
      </c>
      <c r="F4" s="15">
        <f>IFERROR(E4/D4, "")</f>
        <v>0.2662963402261368</v>
      </c>
      <c r="G4" s="16">
        <f>SUM(Jan!G4, Feb!G4, Mar!G4)</f>
        <v>0</v>
      </c>
      <c r="H4" s="16">
        <f>SUM(Jan!H4, Feb!H4, Mar!H4)</f>
        <v>66512</v>
      </c>
      <c r="I4" s="17">
        <f>IFERROR(H4/G4, 0)</f>
        <v>0</v>
      </c>
    </row>
    <row r="5" spans="1:9" ht="15.6">
      <c r="A5" s="19" t="str">
        <v>AZ: Lake Havasu - HS Library</v>
      </c>
      <c r="B5" s="11" t="str">
        <v>AZ</v>
      </c>
      <c r="C5" s="12">
        <f>SUM(Jan!C5, Feb!C5, Mar!C5)</f>
        <v>31104</v>
      </c>
      <c r="D5" s="20">
        <f>SUM(Jan!D5, Feb!D5, Mar!D5)</f>
        <v>35099.29</v>
      </c>
      <c r="E5" s="20">
        <f t="shared" ref="E5:E6" si="0">IF(AND(ISNUMBER(C5),ISNUMBER(D5)), C5-D5, "")</f>
        <v>-3995.2900000000009</v>
      </c>
      <c r="F5" s="21">
        <f>IFERROR(E5/D5, "")</f>
        <v>-0.1138282284342504</v>
      </c>
      <c r="G5" s="22">
        <f>SUM(Jan!G5, Feb!G5, Mar!G5)</f>
        <v>0</v>
      </c>
      <c r="H5" s="22">
        <f>SUM(Jan!H5, Feb!H5, Mar!H5)</f>
        <v>31104</v>
      </c>
      <c r="I5" s="21">
        <f>IFERROR(H5/G5, 0)</f>
        <v>0</v>
      </c>
    </row>
    <row r="6" spans="1:9" ht="15.6">
      <c r="A6" s="13" t="str">
        <v>AZ: Lake Havasu- Performing Arts</v>
      </c>
      <c r="B6" s="10" t="str">
        <v>AZ</v>
      </c>
      <c r="C6" s="26">
        <f>SUM(Jan!C6, Feb!C6, Mar!C6)</f>
        <v>42807</v>
      </c>
      <c r="D6" s="14">
        <f>SUM(Jan!D6, Feb!D6, Mar!D6)</f>
        <v>44644.07</v>
      </c>
      <c r="E6" s="14">
        <f t="shared" si="0"/>
        <v>-1837.0699999999997</v>
      </c>
      <c r="F6" s="15">
        <f t="shared" ref="F6" si="1">IFERROR(E6/D6, "")</f>
        <v>-4.1149250057174437E-2</v>
      </c>
      <c r="G6" s="16">
        <f>SUM(Jan!G6, Feb!G6, Mar!G6)</f>
        <v>0</v>
      </c>
      <c r="H6" s="16">
        <f>SUM(Jan!H6, Feb!H6, Mar!H6)</f>
        <v>42807</v>
      </c>
      <c r="I6" s="17">
        <f>IFERROR(H6/G6, 0)</f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1 I4:I9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ySplit="2" topLeftCell="A3" activePane="bottomLeft" state="frozen"/>
      <selection pane="bottomLeft" activeCell="G19" sqref="G19"/>
      <selection activeCell="C28" sqref="C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Lake Havasu USD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>
      <c r="A2" s="47" t="s">
        <v>2</v>
      </c>
      <c r="B2" s="47"/>
      <c r="C2" s="6">
        <f>SUM(C4:C91)</f>
        <v>216026</v>
      </c>
      <c r="D2" s="6">
        <f>SUM(D4:D91)</f>
        <v>226225.03999999998</v>
      </c>
      <c r="E2" s="6">
        <f>C2-D2</f>
        <v>-10199.039999999979</v>
      </c>
      <c r="F2" s="7">
        <f>IFERROR(E2/D2, 0)</f>
        <v>-4.5083603477316124E-2</v>
      </c>
      <c r="G2" s="6">
        <f>SUM(G4:G91)</f>
        <v>0</v>
      </c>
      <c r="H2" s="8">
        <f>C2-G2</f>
        <v>216026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SUM(Apr!C4, May!C4, Jun!C4)</f>
        <v>106156</v>
      </c>
      <c r="D4" s="14">
        <f>SUM(Apr!D4, May!D4, Jun!D4)</f>
        <v>106173.38</v>
      </c>
      <c r="E4" s="14">
        <f>IF(AND(ISNUMBER(C4),ISNUMBER(D4)), C4-D4, "")</f>
        <v>-17.380000000004657</v>
      </c>
      <c r="F4" s="15">
        <f>IFERROR(E4/D4, "")</f>
        <v>-1.6369451551796369E-4</v>
      </c>
      <c r="G4" s="16">
        <f>SUM(Apr!G4,May!G4,Jun!G4)</f>
        <v>0</v>
      </c>
      <c r="H4" s="16">
        <f>SUM(Apr!H4, May!H4, Jun!H4)</f>
        <v>106156</v>
      </c>
      <c r="I4" s="17" t="str">
        <f>IFERROR(H4/G4, "")</f>
        <v/>
      </c>
    </row>
    <row r="5" spans="1:9" ht="15.6">
      <c r="A5" s="19" t="str">
        <v>AZ: Lake Havasu - HS Library</v>
      </c>
      <c r="B5" s="11" t="str">
        <v>AZ</v>
      </c>
      <c r="C5" s="12">
        <f>SUM(Apr!C5, May!C5, Jun!C5)</f>
        <v>48611</v>
      </c>
      <c r="D5" s="20">
        <f>SUM(Apr!D5, May!D5, Jun!D5)</f>
        <v>47676.27</v>
      </c>
      <c r="E5" s="20">
        <f t="shared" ref="E5:E6" si="0">IF(AND(ISNUMBER(C5),ISNUMBER(D5)), C5-D5, "")</f>
        <v>934.7300000000032</v>
      </c>
      <c r="F5" s="21">
        <f>IFERROR(E5/D5, "")</f>
        <v>1.9605770333962855E-2</v>
      </c>
      <c r="G5" s="16">
        <f>SUM(Apr!G5,May!G5,Jun!G5)</f>
        <v>0</v>
      </c>
      <c r="H5" s="22">
        <f>SUM(Apr!H5, May!H5, Jun!H5)</f>
        <v>48611</v>
      </c>
      <c r="I5" s="21" t="str">
        <f>IFERROR(H5/G5, "")</f>
        <v/>
      </c>
    </row>
    <row r="6" spans="1:9" ht="15.6">
      <c r="A6" s="13" t="str">
        <v>AZ: Lake Havasu- Performing Arts</v>
      </c>
      <c r="B6" s="10" t="str">
        <v>AZ</v>
      </c>
      <c r="C6" s="26">
        <f>SUM(Apr!C6, May!C6, Jun!C6)</f>
        <v>61259</v>
      </c>
      <c r="D6" s="14">
        <f>SUM(Apr!D6, May!D6, Jun!D6)</f>
        <v>72375.39</v>
      </c>
      <c r="E6" s="14">
        <f t="shared" si="0"/>
        <v>-11116.39</v>
      </c>
      <c r="F6" s="15">
        <f t="shared" ref="F6" si="1">IFERROR(E6/D6, "")</f>
        <v>-0.15359350740631586</v>
      </c>
      <c r="G6" s="16">
        <f>SUM(Apr!G6,May!G6,Jun!G6)</f>
        <v>0</v>
      </c>
      <c r="H6" s="16">
        <f>SUM(Apr!H6, May!H6, Jun!H6)</f>
        <v>61259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1 I4:I9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Lake Havasu USD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>
      <c r="A2" s="47" t="s">
        <v>2</v>
      </c>
      <c r="B2" s="47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Lake Havasu - HS Library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Lake Havasu- Performing Arts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SUM(Jul!H6, Aug!H6, Sep!H6)</f>
        <v>0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mergeCells count="4">
    <mergeCell ref="G1:I1"/>
    <mergeCell ref="A1:C1"/>
    <mergeCell ref="D1:F1"/>
    <mergeCell ref="A2:B2"/>
  </mergeCells>
  <conditionalFormatting sqref="F2 I2 F4:F91 I4:I9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Lake Havasu USD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>
      <c r="A2" s="47" t="s">
        <v>2</v>
      </c>
      <c r="B2" s="47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Lake Havasu - HS Library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Lake Havasu- Performing Arts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SUM(Oct!H6, Nov!H6, Dec!H6)</f>
        <v>0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mergeCells count="4">
    <mergeCell ref="G1:I1"/>
    <mergeCell ref="A1:C1"/>
    <mergeCell ref="D1:F1"/>
    <mergeCell ref="A2:B2"/>
  </mergeCells>
  <conditionalFormatting sqref="F2 I2 F4:F91 I4:I91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2"/>
  <sheetViews>
    <sheetView workbookViewId="0">
      <pane ySplit="3" topLeftCell="A4" activePane="bottomLeft" state="frozen"/>
      <selection pane="bottomLeft" activeCell="G7" sqref="G7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38644</v>
      </c>
      <c r="D2" s="6">
        <f>SUM(D4:D90)</f>
        <v>38384.19</v>
      </c>
      <c r="E2" s="6">
        <f>C2-D2</f>
        <v>259.80999999999767</v>
      </c>
      <c r="F2" s="7">
        <f>IFERROR(E2/D2, 0)</f>
        <v>6.7686722059263895E-3</v>
      </c>
      <c r="G2" s="6">
        <f>SUM(G4:G90)</f>
        <v>0</v>
      </c>
      <c r="H2" s="8">
        <f>C2-G2</f>
        <v>38644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18583</v>
      </c>
      <c r="D4" s="14">
        <v>18392.830000000002</v>
      </c>
      <c r="E4" s="14">
        <f>IF(AND(ISNUMBER(C4),ISNUMBER(D4)), C4-D4, "")</f>
        <v>190.16999999999825</v>
      </c>
      <c r="F4" s="15">
        <f>IFERROR(E4/D4, "")</f>
        <v>1.0339355063902522E-2</v>
      </c>
      <c r="G4" s="16">
        <v>0</v>
      </c>
      <c r="H4" s="16">
        <f>IF(AND(ISNUMBER(C4),ISNUMBER(G4)), C4-G4, "")</f>
        <v>18583</v>
      </c>
      <c r="I4" s="17">
        <f>IFERROR(H4/G4, 0)</f>
        <v>0</v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12">
        <v>8688</v>
      </c>
      <c r="D5" s="20">
        <v>7939.29</v>
      </c>
      <c r="E5" s="20">
        <f t="shared" ref="E5:E6" si="0">IF(AND(ISNUMBER(C5),ISNUMBER(D5)), C5-D5, "")</f>
        <v>748.71</v>
      </c>
      <c r="F5" s="21">
        <f>IFERROR(E5/D5, "")</f>
        <v>9.4304402534735474E-2</v>
      </c>
      <c r="G5" s="22">
        <v>0</v>
      </c>
      <c r="H5" s="22">
        <f t="shared" ref="H5:H6" si="1">IF(AND(ISNUMBER(C5),ISNUMBER(G5)), C5-G5, "")</f>
        <v>8688</v>
      </c>
      <c r="I5" s="21">
        <f>IFERROR(H5/G5, 0)</f>
        <v>0</v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>
        <v>11373</v>
      </c>
      <c r="D6" s="14">
        <v>12052.07</v>
      </c>
      <c r="E6" s="14">
        <f t="shared" si="0"/>
        <v>-679.06999999999971</v>
      </c>
      <c r="F6" s="15">
        <f t="shared" ref="F6" si="2">IFERROR(E6/D6, "")</f>
        <v>-5.6344677719263138E-2</v>
      </c>
      <c r="G6" s="16">
        <v>0</v>
      </c>
      <c r="H6" s="16">
        <f t="shared" si="1"/>
        <v>11373</v>
      </c>
      <c r="I6" s="17">
        <f>IFERROR(H6/G6, 0)</f>
        <v>0</v>
      </c>
      <c r="J6" s="18"/>
      <c r="K6" s="18"/>
    </row>
    <row r="7" spans="1:11" ht="14.45">
      <c r="A7" s="23"/>
      <c r="B7" s="35"/>
      <c r="C7" s="23"/>
      <c r="D7" s="23"/>
      <c r="E7" s="23" t="str">
        <f t="shared" ref="E7" si="3">IF(AND(ISNUMBER(C7),ISNUMBER(D7)), C7-D7, "")</f>
        <v/>
      </c>
      <c r="F7" s="23" t="str">
        <f t="shared" ref="F7" si="4">IFERROR(E7/D7, "")</f>
        <v/>
      </c>
      <c r="G7" s="23"/>
      <c r="H7" s="23" t="str">
        <f t="shared" ref="H7" si="5">IF(AND(ISNUMBER(C7),ISNUMBER(G7)), C7-G7, "")</f>
        <v/>
      </c>
      <c r="I7" s="23" t="str">
        <f t="shared" ref="I7" si="6">IFERROR(H7/G7, "")</f>
        <v/>
      </c>
      <c r="J7" s="23"/>
      <c r="K7" s="23"/>
    </row>
    <row r="8" spans="1:11" ht="12.75" customHeight="1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D1:F1"/>
    <mergeCell ref="A1:C1"/>
    <mergeCell ref="G1:I1"/>
    <mergeCell ref="A2:B2"/>
  </mergeCells>
  <conditionalFormatting sqref="F2 I2 F4:F90 I4:I90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workbookViewId="0">
      <pane ySplit="2" topLeftCell="A3" activePane="bottomLeft" state="frozen"/>
      <selection pane="bottomLeft" activeCell="G7" sqref="G7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22</v>
      </c>
      <c r="E1" s="46"/>
      <c r="F1" s="46"/>
      <c r="G1" s="44" t="s">
        <v>23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40625</v>
      </c>
      <c r="D2" s="6">
        <f>SUM(D4:D91)</f>
        <v>42480</v>
      </c>
      <c r="E2" s="6">
        <f>C2-D2</f>
        <v>-1855</v>
      </c>
      <c r="F2" s="7">
        <f>IFERROR(E2/D2, 0)</f>
        <v>-4.3667608286252352E-2</v>
      </c>
      <c r="G2" s="6">
        <f>SUM(G4:G91)</f>
        <v>0</v>
      </c>
      <c r="H2" s="8">
        <f>C2-G2</f>
        <v>40625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17960</v>
      </c>
      <c r="D4" s="14">
        <v>20518</v>
      </c>
      <c r="E4" s="14">
        <f>IF(AND(ISNUMBER(C4),ISNUMBER(D4)), C4-D4, "")</f>
        <v>-2558</v>
      </c>
      <c r="F4" s="15">
        <f>IFERROR(E4/D4, "")</f>
        <v>-0.12467102056730675</v>
      </c>
      <c r="G4" s="16">
        <v>0</v>
      </c>
      <c r="H4" s="16">
        <f>IF(AND(ISNUMBER(C4),ISNUMBER(G4)), C4-G4, "")</f>
        <v>17960</v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12">
        <v>9669</v>
      </c>
      <c r="D5" s="20">
        <v>8722</v>
      </c>
      <c r="E5" s="20">
        <f t="shared" ref="E5:E6" si="0">IF(AND(ISNUMBER(C5),ISNUMBER(D5)), C5-D5, "")</f>
        <v>947</v>
      </c>
      <c r="F5" s="21">
        <f>IFERROR(E5/D5, "")</f>
        <v>0.10857601467553313</v>
      </c>
      <c r="G5" s="22">
        <v>0</v>
      </c>
      <c r="H5" s="22">
        <f t="shared" ref="H5:H6" si="1">IF(AND(ISNUMBER(C5),ISNUMBER(G5)), C5-G5, "")</f>
        <v>9669</v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>
        <v>12996</v>
      </c>
      <c r="D6" s="14">
        <v>13240</v>
      </c>
      <c r="E6" s="14">
        <f t="shared" si="0"/>
        <v>-244</v>
      </c>
      <c r="F6" s="15">
        <f t="shared" ref="F6" si="3">IFERROR(E6/D6, "")</f>
        <v>-1.8429003021148038E-2</v>
      </c>
      <c r="G6" s="16">
        <v>0</v>
      </c>
      <c r="H6" s="16">
        <f t="shared" si="1"/>
        <v>12996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3"/>
  <sheetViews>
    <sheetView workbookViewId="0">
      <pane ySplit="2" topLeftCell="A3" activePane="bottomLeft" state="frozen"/>
      <selection pane="bottomLeft" activeCell="J4" sqref="J4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24</v>
      </c>
      <c r="E1" s="46"/>
      <c r="F1" s="46"/>
      <c r="G1" s="44" t="s">
        <v>25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61154</v>
      </c>
      <c r="D2" s="6">
        <f>SUM(D4:D91)</f>
        <v>51404</v>
      </c>
      <c r="E2" s="6">
        <f>C2-D2</f>
        <v>9750</v>
      </c>
      <c r="F2" s="7">
        <f>IFERROR(E2/D2, 0)</f>
        <v>0.18967395533421524</v>
      </c>
      <c r="G2" s="6">
        <f>SUM(G4:G91)</f>
        <v>0</v>
      </c>
      <c r="H2" s="8">
        <f>C2-G2</f>
        <v>61154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29969</v>
      </c>
      <c r="D4" s="14">
        <v>13614</v>
      </c>
      <c r="E4" s="14">
        <f>IF(AND(ISNUMBER(C4),ISNUMBER(D4)), C4-D4, "")</f>
        <v>16355</v>
      </c>
      <c r="F4" s="15">
        <f>IFERROR(E4/D4, "")</f>
        <v>1.2013368591156164</v>
      </c>
      <c r="G4" s="16">
        <v>0</v>
      </c>
      <c r="H4" s="16">
        <f>IF(AND(ISNUMBER(C4),ISNUMBER(G4)), C4-G4, "")</f>
        <v>29969</v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12">
        <v>12747</v>
      </c>
      <c r="D5" s="20">
        <v>18438</v>
      </c>
      <c r="E5" s="20">
        <f t="shared" ref="E5:E6" si="0">IF(AND(ISNUMBER(C5),ISNUMBER(D5)), C5-D5, "")</f>
        <v>-5691</v>
      </c>
      <c r="F5" s="21">
        <f>IFERROR(E5/D5, "")</f>
        <v>-0.30865603644646927</v>
      </c>
      <c r="G5" s="22">
        <v>0</v>
      </c>
      <c r="H5" s="22">
        <f t="shared" ref="H5:H6" si="1">IF(AND(ISNUMBER(C5),ISNUMBER(G5)), C5-G5, "")</f>
        <v>12747</v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>
        <v>18438</v>
      </c>
      <c r="D6" s="14">
        <v>19352</v>
      </c>
      <c r="E6" s="14">
        <f t="shared" si="0"/>
        <v>-914</v>
      </c>
      <c r="F6" s="15">
        <f t="shared" ref="F6" si="3">IFERROR(E6/D6, "")</f>
        <v>-4.7230260438197599E-2</v>
      </c>
      <c r="G6" s="16">
        <v>0</v>
      </c>
      <c r="H6" s="16">
        <f t="shared" si="1"/>
        <v>18438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3"/>
  <sheetViews>
    <sheetView workbookViewId="0">
      <pane ySplit="2" topLeftCell="A3" activePane="bottomLeft" state="frozen"/>
      <selection pane="bottomLeft" activeCell="K6" sqref="K6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26</v>
      </c>
      <c r="E1" s="46"/>
      <c r="F1" s="46"/>
      <c r="G1" s="44" t="s">
        <v>27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68122</v>
      </c>
      <c r="D2" s="6">
        <f>SUM(D4:D91)</f>
        <v>72788.5</v>
      </c>
      <c r="E2" s="6">
        <f>C2-D2</f>
        <v>-4666.5</v>
      </c>
      <c r="F2" s="7">
        <f>IFERROR(E2/D2, 0)</f>
        <v>-6.4110402055269716E-2</v>
      </c>
      <c r="G2" s="6">
        <f>SUM(G4:G91)</f>
        <v>0</v>
      </c>
      <c r="H2" s="8">
        <f>C2-G2</f>
        <v>68122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32166</v>
      </c>
      <c r="D4" s="14">
        <v>34364.78</v>
      </c>
      <c r="E4" s="14">
        <f>IF(AND(ISNUMBER(C4),ISNUMBER(D4)), C4-D4, "")</f>
        <v>-2198.7799999999988</v>
      </c>
      <c r="F4" s="15">
        <f>IFERROR(E4/D4, "")</f>
        <v>-6.3983531976634186E-2</v>
      </c>
      <c r="G4" s="16">
        <v>0</v>
      </c>
      <c r="H4" s="16">
        <f>IF(AND(ISNUMBER(C4),ISNUMBER(G4)), C4-G4, "")</f>
        <v>32166</v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43">
        <v>15724</v>
      </c>
      <c r="D5" s="43">
        <v>15259.27</v>
      </c>
      <c r="E5" s="20">
        <f t="shared" ref="E5:E6" si="0">IF(AND(ISNUMBER(C5),ISNUMBER(D5)), C5-D5, "")</f>
        <v>464.72999999999956</v>
      </c>
      <c r="F5" s="21">
        <f>IFERROR(E5/D5, "")</f>
        <v>3.0455585358932606E-2</v>
      </c>
      <c r="G5" s="22">
        <v>0</v>
      </c>
      <c r="H5" s="22">
        <f t="shared" ref="H5:H6" si="1">IF(AND(ISNUMBER(C5),ISNUMBER(G5)), C5-G5, "")</f>
        <v>15724</v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>
        <v>20232</v>
      </c>
      <c r="D6" s="14">
        <v>23164.45</v>
      </c>
      <c r="E6" s="14">
        <f t="shared" si="0"/>
        <v>-2932.4500000000007</v>
      </c>
      <c r="F6" s="15">
        <f t="shared" ref="F6" si="3">IFERROR(E6/D6, "")</f>
        <v>-0.12659268836514576</v>
      </c>
      <c r="G6" s="16">
        <v>0</v>
      </c>
      <c r="H6" s="16">
        <f t="shared" si="1"/>
        <v>20232</v>
      </c>
      <c r="I6" s="17" t="str">
        <f t="shared" si="2"/>
        <v/>
      </c>
      <c r="J6" s="18" t="s">
        <v>28</v>
      </c>
      <c r="K6" s="18" t="s">
        <v>29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3"/>
  <sheetViews>
    <sheetView workbookViewId="0">
      <pane ySplit="2" topLeftCell="A3" activePane="bottomLeft" state="frozen"/>
      <selection pane="bottomLeft" activeCell="J6" sqref="J6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30</v>
      </c>
      <c r="E1" s="46"/>
      <c r="F1" s="46"/>
      <c r="G1" s="44" t="s">
        <v>31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78445</v>
      </c>
      <c r="D2" s="6">
        <f>SUM(D4:D91)</f>
        <v>78950.12</v>
      </c>
      <c r="E2" s="6">
        <f>C2-D2</f>
        <v>-505.11999999999534</v>
      </c>
      <c r="F2" s="7">
        <f>IFERROR(E2/D2, 0)</f>
        <v>-6.3979636763059431E-3</v>
      </c>
      <c r="G2" s="6">
        <f>SUM(G4:G91)</f>
        <v>0</v>
      </c>
      <c r="H2" s="8">
        <f>C2-G2</f>
        <v>78445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37903</v>
      </c>
      <c r="D4" s="14">
        <v>37016.06</v>
      </c>
      <c r="E4" s="14">
        <f>IF(AND(ISNUMBER(C4),ISNUMBER(D4)), C4-D4, "")</f>
        <v>886.94000000000233</v>
      </c>
      <c r="F4" s="15">
        <f>IFERROR(E4/D4, "")</f>
        <v>2.3960951003429386E-2</v>
      </c>
      <c r="G4" s="16">
        <v>0</v>
      </c>
      <c r="H4" s="16">
        <f>IF(AND(ISNUMBER(C4),ISNUMBER(G4)), C4-G4, "")</f>
        <v>37903</v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43">
        <v>16928</v>
      </c>
      <c r="D5" s="43">
        <v>16653.189999999999</v>
      </c>
      <c r="E5" s="20">
        <f t="shared" ref="E5:E6" si="0">IF(AND(ISNUMBER(C5),ISNUMBER(D5)), C5-D5, "")</f>
        <v>274.81000000000131</v>
      </c>
      <c r="F5" s="21">
        <f>IFERROR(E5/D5, "")</f>
        <v>1.6501943471491129E-2</v>
      </c>
      <c r="G5" s="22">
        <v>0</v>
      </c>
      <c r="H5" s="22">
        <f t="shared" ref="H5:H6" si="1">IF(AND(ISNUMBER(C5),ISNUMBER(G5)), C5-G5, "")</f>
        <v>16928</v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>
        <v>23614</v>
      </c>
      <c r="D6" s="14">
        <v>25280.87</v>
      </c>
      <c r="E6" s="14">
        <f t="shared" si="0"/>
        <v>-1666.869999999999</v>
      </c>
      <c r="F6" s="15">
        <f t="shared" ref="F6" si="3">IFERROR(E6/D6, "")</f>
        <v>-6.5934044200219338E-2</v>
      </c>
      <c r="G6" s="16">
        <v>0</v>
      </c>
      <c r="H6" s="16">
        <f t="shared" si="1"/>
        <v>23614</v>
      </c>
      <c r="I6" s="17" t="str">
        <f t="shared" si="2"/>
        <v/>
      </c>
      <c r="J6" s="18" t="s">
        <v>28</v>
      </c>
      <c r="K6" s="18" t="s">
        <v>29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3"/>
  <sheetViews>
    <sheetView tabSelected="1" workbookViewId="0">
      <pane ySplit="2" topLeftCell="A3" activePane="bottomLeft" state="frozen"/>
      <selection pane="bottomLeft" activeCell="J14" sqref="J14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18.5703125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32</v>
      </c>
      <c r="E1" s="46"/>
      <c r="F1" s="46"/>
      <c r="G1" s="44" t="s">
        <v>33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69459</v>
      </c>
      <c r="D2" s="6">
        <f>SUM(D4:D91)</f>
        <v>74486.42</v>
      </c>
      <c r="E2" s="6">
        <f>C2-D2</f>
        <v>-5027.4199999999983</v>
      </c>
      <c r="F2" s="7">
        <f>IFERROR(E2/D2, 0)</f>
        <v>-6.7494450666309352E-2</v>
      </c>
      <c r="G2" s="6">
        <f>SUM(G4:G91)</f>
        <v>0</v>
      </c>
      <c r="H2" s="8">
        <f>C2-G2</f>
        <v>69459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36087</v>
      </c>
      <c r="D4" s="14">
        <v>34792.54</v>
      </c>
      <c r="E4" s="14">
        <f>IF(AND(ISNUMBER(C4),ISNUMBER(D4)), C4-D4, "")</f>
        <v>1294.4599999999991</v>
      </c>
      <c r="F4" s="15">
        <f>IFERROR(E4/D4, "")</f>
        <v>3.7205102013247643E-2</v>
      </c>
      <c r="G4" s="16">
        <v>0</v>
      </c>
      <c r="H4" s="16">
        <f>IF(AND(ISNUMBER(C4),ISNUMBER(G4)), C4-G4, "")</f>
        <v>36087</v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43">
        <v>15959</v>
      </c>
      <c r="D5" s="43">
        <v>15763.81</v>
      </c>
      <c r="E5" s="20">
        <f t="shared" ref="E5:E6" si="0">IF(AND(ISNUMBER(C5),ISNUMBER(D5)), C5-D5, "")</f>
        <v>195.19000000000051</v>
      </c>
      <c r="F5" s="21">
        <f>IFERROR(E5/D5, "")</f>
        <v>1.2382158881640955E-2</v>
      </c>
      <c r="G5" s="22">
        <v>0</v>
      </c>
      <c r="H5" s="22">
        <f t="shared" ref="H5:H6" si="1">IF(AND(ISNUMBER(C5),ISNUMBER(G5)), C5-G5, "")</f>
        <v>15959</v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>
        <v>17413</v>
      </c>
      <c r="D6" s="14">
        <v>23930.07</v>
      </c>
      <c r="E6" s="14">
        <f t="shared" si="0"/>
        <v>-6517.07</v>
      </c>
      <c r="F6" s="15">
        <f t="shared" ref="F6" si="3">IFERROR(E6/D6, "")</f>
        <v>-0.27233810849696638</v>
      </c>
      <c r="G6" s="16">
        <v>0</v>
      </c>
      <c r="H6" s="16">
        <f t="shared" si="1"/>
        <v>17413</v>
      </c>
      <c r="I6" s="17" t="str">
        <f t="shared" si="2"/>
        <v/>
      </c>
      <c r="J6" s="18" t="s">
        <v>28</v>
      </c>
      <c r="K6" s="18" t="s">
        <v>29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34</v>
      </c>
      <c r="E1" s="46"/>
      <c r="F1" s="46"/>
      <c r="G1" s="44" t="s">
        <v>35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91 I4:I91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36</v>
      </c>
      <c r="E1" s="46"/>
      <c r="F1" s="46"/>
      <c r="G1" s="44" t="s">
        <v>37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38</v>
      </c>
      <c r="E1" s="46"/>
      <c r="F1" s="46"/>
      <c r="G1" s="44" t="s">
        <v>39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40</v>
      </c>
      <c r="E1" s="46"/>
      <c r="F1" s="46"/>
      <c r="G1" s="44" t="s">
        <v>41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42</v>
      </c>
      <c r="E1" s="46"/>
      <c r="F1" s="46"/>
      <c r="G1" s="44" t="s">
        <v>43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C28" sqref="C28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44</v>
      </c>
      <c r="E1" s="46"/>
      <c r="F1" s="46"/>
      <c r="G1" s="44" t="s">
        <v>45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pane="bottomLeft" activeCell="B15" sqref="B15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3" spans="1:7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45">
      <c r="A4" t="s">
        <v>51</v>
      </c>
      <c r="B4" t="s">
        <v>51</v>
      </c>
      <c r="C4" s="4" t="s">
        <v>52</v>
      </c>
      <c r="G4" s="3"/>
    </row>
    <row r="5" spans="1:7" ht="14.45">
      <c r="A5" t="s">
        <v>53</v>
      </c>
      <c r="B5" t="s">
        <v>53</v>
      </c>
      <c r="C5" s="4" t="s">
        <v>52</v>
      </c>
      <c r="G5" s="3"/>
    </row>
    <row r="6" spans="1:7" ht="14.45">
      <c r="A6" t="s">
        <v>54</v>
      </c>
      <c r="B6" t="s">
        <v>54</v>
      </c>
      <c r="C6" s="4" t="s">
        <v>52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/>
  <cp:revision/>
  <dcterms:created xsi:type="dcterms:W3CDTF">2021-01-01T16:39:53Z</dcterms:created>
  <dcterms:modified xsi:type="dcterms:W3CDTF">2024-07-10T07:58:22Z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