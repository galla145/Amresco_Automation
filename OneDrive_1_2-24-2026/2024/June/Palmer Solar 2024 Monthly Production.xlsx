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5" documentId="13_ncr:1_{A246EB5D-4391-4679-9357-CDFB1BA41762}" xr6:coauthVersionLast="47" xr6:coauthVersionMax="47" xr10:uidLastSave="{8B4A3C8C-8063-46B3-BBCA-1EF88DEE19A1}"/>
  <bookViews>
    <workbookView xWindow="-108" yWindow="-108" windowWidth="23256" windowHeight="12456" tabRatio="866" firstSheet="10" activeTab="10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8" l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<sst xmlns="http://schemas.openxmlformats.org/spreadsheetml/2006/main" count="252" uniqueCount="63">
  <si>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</si>
  <si>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</si>
  <si>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</si>
  <si>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</si>
  <si>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</si>
  <si>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</si>
  <si>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</si>
  <si>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</si>
  <si>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</si>
  <si>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</si>
  <si>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</si>
  <si>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</si>
  <si>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</si>
  <si>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</si>
  <si>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</si>
  <si>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</si>
  <si>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</si>
  <si>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</si>
  <si>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</si>
  <si>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</si>
  <si>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</si>
  <si>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</si>
  <si>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Site tripped offline on 01/10 and reenerzied on 01/11 at 8:00 AM</t>
  </si>
  <si>
    <t>1. SR080119</t>
  </si>
  <si>
    <t>February Actual v. Expected</t>
  </si>
  <si>
    <t>February Actual v. Forecasted</t>
  </si>
  <si>
    <t>March Actual v. Expected</t>
  </si>
  <si>
    <t>March Actual v. Forecasted</t>
  </si>
  <si>
    <t>1. Inverter 1 derating 175 kW compared to its peers from 3/29 and still it is offline</t>
  </si>
  <si>
    <t>1. SR082921</t>
  </si>
  <si>
    <t>April Actual v. Expected</t>
  </si>
  <si>
    <t>April Actual v. Forecasted</t>
  </si>
  <si>
    <t>1. Inverter 1 derating 175 kW compared to its peers from 3/29. Offline for the month of April</t>
  </si>
  <si>
    <t>May Actual v. Expected</t>
  </si>
  <si>
    <t>May Actual v. Forecasted</t>
  </si>
  <si>
    <t>1. Inverter 1 derating 175 kW compared to its peers from 3/29. Offline for the month of May</t>
  </si>
  <si>
    <t>June Actual v. Expected</t>
  </si>
  <si>
    <t>June Actual v. Forecasted</t>
  </si>
  <si>
    <t>1. Inverter 3 derating approximately 120kW during peak hours on 06/16.
2. Again inverter 3 derated approximately 120kW during peak hours from 06/18.</t>
  </si>
  <si>
    <t>1. SR086294
2. SR086363</t>
  </si>
  <si>
    <t>3. Inverter 1 derating 175 kW compared to its peers from 3/29. Offline for the month of June</t>
  </si>
  <si>
    <t>3. SR082921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</si>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</sst>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6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35" fillId="46" borderId="0" xfId="0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  <xf numFmtId="0" fontId="30" fillId="48" borderId="1" xfId="0" applyFont="1" applyFill="1" applyBorder="1" applyAlignment="1">
      <alignment wrapText="1"/>
    </xf>
    <xf numFmtId="0" fontId="30" fillId="48" borderId="13" xfId="0" applyFont="1" applyFill="1" applyBorder="1" applyAlignment="1">
      <alignment wrapText="1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0</v>
      </c>
      <c r="E1" s="56"/>
      <c r="F1" s="56"/>
      <c r="G1" s="54" t="s">
        <v>1</v>
      </c>
      <c r="H1" s="54"/>
      <c r="I1" s="54"/>
    </row>
    <row r="2" spans="1:9" ht="19.5" customHeight="1">
      <c r="A2" s="57" t="s">
        <v>2</v>
      </c>
      <c r="B2" s="57"/>
      <c r="C2" s="5">
        <f>SUM(C4:C79)</f>
        <v>1259365</v>
      </c>
      <c r="D2" s="5">
        <f>SUM(D4:D79)</f>
        <v>0</v>
      </c>
      <c r="E2" s="5">
        <f>C2-D2</f>
        <v>1259365</v>
      </c>
      <c r="F2" s="6">
        <f>IFERROR(E2/D2, 0)</f>
        <v>0</v>
      </c>
      <c r="G2" s="5">
        <f>SUM(G4:G79)</f>
        <v>0</v>
      </c>
      <c r="H2" s="7">
        <f>C2-G2</f>
        <v>1259365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1259365</v>
      </c>
      <c r="D4" s="12">
        <f>SUM('1st Qtr'!D4, '2nd Qtr'!D4, '3rd Qtr'!D4, '4th Qtr'!D4)</f>
        <v>0</v>
      </c>
      <c r="E4" s="12">
        <f>IF(AND(ISNUMBER(C4),ISNUMBER(D4)), C4-D4, "")</f>
        <v>1259365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1259365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10</v>
      </c>
      <c r="E1" s="56"/>
      <c r="F1" s="56"/>
      <c r="G1" s="54" t="s">
        <v>11</v>
      </c>
      <c r="H1" s="54"/>
      <c r="I1" s="54"/>
    </row>
    <row r="2" spans="1:9" ht="19.5" customHeight="1">
      <c r="A2" s="57" t="s">
        <v>2</v>
      </c>
      <c r="B2" s="57"/>
      <c r="C2" s="5">
        <f>SUM(C4:C79)</f>
        <v>561870</v>
      </c>
      <c r="D2" s="5">
        <f>SUM(D4:D79)</f>
        <v>0</v>
      </c>
      <c r="E2" s="5">
        <f>C2-D2</f>
        <v>561870</v>
      </c>
      <c r="F2" s="6">
        <f>IFERROR(E2/D2, 0)</f>
        <v>0</v>
      </c>
      <c r="G2" s="5">
        <f>SUM(G4:G79)</f>
        <v>0</v>
      </c>
      <c r="H2" s="7">
        <f>C2-G2</f>
        <v>561870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561870</v>
      </c>
      <c r="D4" s="12">
        <f>SUM(Jan!D4, Feb!D4, Mar!D4)</f>
        <v>0</v>
      </c>
      <c r="E4" s="12">
        <f>IF(AND(ISNUMBER(C4),ISNUMBER(D4)), C4-D4, "")</f>
        <v>561870</v>
      </c>
      <c r="F4" s="13" t="str">
        <f>IFERROR(E4/D4, "")</f>
        <v/>
      </c>
      <c r="G4" s="14">
        <f>SUM(Jan!G4, Feb!G4, Mar!G4)</f>
        <v>0</v>
      </c>
      <c r="H4" s="14">
        <f>SUM(Jan!H4, Feb!H4, Mar!H4)</f>
        <v>561870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9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12</v>
      </c>
      <c r="E1" s="56"/>
      <c r="F1" s="56"/>
      <c r="G1" s="54" t="s">
        <v>13</v>
      </c>
      <c r="H1" s="54"/>
      <c r="I1" s="54"/>
    </row>
    <row r="2" spans="1:9" ht="19.5" customHeight="1">
      <c r="A2" s="57" t="s">
        <v>2</v>
      </c>
      <c r="B2" s="57"/>
      <c r="C2" s="5">
        <f>SUM(C4:C79)</f>
        <v>697495</v>
      </c>
      <c r="D2" s="5">
        <f>SUM(D4:D79)</f>
        <v>0</v>
      </c>
      <c r="E2" s="5">
        <f>C2-D2</f>
        <v>697495</v>
      </c>
      <c r="F2" s="6">
        <f>IFERROR(E2/D2, 0)</f>
        <v>0</v>
      </c>
      <c r="G2" s="5">
        <f>SUM(G4:G79)</f>
        <v>0</v>
      </c>
      <c r="H2" s="7">
        <f>C2-G2</f>
        <v>697495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697495</v>
      </c>
      <c r="D4" s="12">
        <f>SUM(Apr!D4, May!D4, Jun!D4)</f>
        <v>0</v>
      </c>
      <c r="E4" s="12">
        <f>IF(AND(ISNUMBER(C4),ISNUMBER(D4)), C4-D4, "")</f>
        <v>697495</v>
      </c>
      <c r="F4" s="13" t="str">
        <f>IFERROR(E4/D4, "")</f>
        <v/>
      </c>
      <c r="G4" s="14">
        <f>SUM(Apr!G4,May!G4,Jun!G4)</f>
        <v>0</v>
      </c>
      <c r="H4" s="14">
        <f>SUM(Apr!H4, May!H4, Jun!H4)</f>
        <v>697495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14</v>
      </c>
      <c r="E1" s="56"/>
      <c r="F1" s="56"/>
      <c r="G1" s="54" t="s">
        <v>15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5" t="str" cm="1">
        <f t="array" ref="A1">portfolio</f>
        <v>MA: Palmer - 105 North Street</v>
      </c>
      <c r="B1" s="55"/>
      <c r="C1" s="55"/>
      <c r="D1" s="56" t="s">
        <v>16</v>
      </c>
      <c r="E1" s="56"/>
      <c r="F1" s="56"/>
      <c r="G1" s="54" t="s">
        <v>17</v>
      </c>
      <c r="H1" s="54"/>
      <c r="I1" s="54"/>
    </row>
    <row r="2" spans="1:9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18</v>
      </c>
      <c r="E1" s="56"/>
      <c r="F1" s="56"/>
      <c r="G1" s="54" t="s">
        <v>19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SUM(C4:C78)</f>
        <v>65254</v>
      </c>
      <c r="D2" s="5">
        <f>SUM(D4:D78)</f>
        <v>0</v>
      </c>
      <c r="E2" s="5">
        <f>C2-D2</f>
        <v>65254</v>
      </c>
      <c r="F2" s="6">
        <f>IFERROR(E2/D2, 0)</f>
        <v>0</v>
      </c>
      <c r="G2" s="5">
        <f>SUM(G4:G78)</f>
        <v>0</v>
      </c>
      <c r="H2" s="7">
        <f>C2-G2</f>
        <v>65254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2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50">
        <v>65254</v>
      </c>
      <c r="D4" s="51">
        <v>0</v>
      </c>
      <c r="E4" s="12">
        <f>IF(AND(ISNUMBER(C4),ISNUMBER(D4)), C4-D4, "")</f>
        <v>65254</v>
      </c>
      <c r="F4" s="40" t="str">
        <f>IFERROR(E4/D4, "")</f>
        <v/>
      </c>
      <c r="G4" s="53">
        <v>0</v>
      </c>
      <c r="H4" s="14">
        <f>IF(AND(ISNUMBER(C4),ISNUMBER(G4)), C4-G4, "")</f>
        <v>65254</v>
      </c>
      <c r="I4" s="15" t="str">
        <f>IFERROR(H4/G4, "")</f>
        <v/>
      </c>
      <c r="J4" s="47" t="s">
        <v>22</v>
      </c>
      <c r="K4" s="47" t="s">
        <v>23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24</v>
      </c>
      <c r="E1" s="56"/>
      <c r="F1" s="56"/>
      <c r="G1" s="54" t="s">
        <v>25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238221</v>
      </c>
      <c r="D2" s="5">
        <f>SUM(D4:D79)</f>
        <v>0</v>
      </c>
      <c r="E2" s="5">
        <f>C2-D2</f>
        <v>238221</v>
      </c>
      <c r="F2" s="6">
        <f>IFERROR(E2/D2, 0)</f>
        <v>0</v>
      </c>
      <c r="G2" s="5">
        <f>SUM(G4:G79)</f>
        <v>0</v>
      </c>
      <c r="H2" s="7">
        <f>C2-G2</f>
        <v>238221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MA: Palmer - 105 North Street</v>
      </c>
      <c r="B4" s="27" t="str" cm="1">
        <f t="array" ref="B4">Sites[State]</f>
        <v>MA</v>
      </c>
      <c r="C4" s="23">
        <v>238221</v>
      </c>
      <c r="D4" s="12">
        <v>0</v>
      </c>
      <c r="E4" s="12">
        <f>IF(AND(ISNUMBER(C4),ISNUMBER(D4)), C4-D4, "")</f>
        <v>238221</v>
      </c>
      <c r="F4" s="13" t="str">
        <f>IFERROR(E4/D4, "")</f>
        <v/>
      </c>
      <c r="G4" s="14">
        <v>0</v>
      </c>
      <c r="H4" s="14">
        <f>IF(AND(ISNUMBER(C4),ISNUMBER(G4)), C4-G4, "")</f>
        <v>238221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26</v>
      </c>
      <c r="E1" s="56"/>
      <c r="F1" s="56"/>
      <c r="G1" s="54" t="s">
        <v>27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258395</v>
      </c>
      <c r="D2" s="5">
        <f>SUM(D4:D79)</f>
        <v>0</v>
      </c>
      <c r="E2" s="5">
        <f>C2-D2</f>
        <v>258395</v>
      </c>
      <c r="F2" s="6">
        <f>IFERROR(E2/D2, 0)</f>
        <v>0</v>
      </c>
      <c r="G2" s="5">
        <f>SUM(G4:G79)</f>
        <v>0</v>
      </c>
      <c r="H2" s="7">
        <f>C2-G2</f>
        <v>258395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258395</v>
      </c>
      <c r="D4" s="12">
        <v>0</v>
      </c>
      <c r="E4" s="12">
        <f>IF(AND(ISNUMBER(C4),ISNUMBER(D4)), C4-D4, "")</f>
        <v>258395</v>
      </c>
      <c r="F4" s="13" t="str">
        <f>IFERROR(E4/D4, "")</f>
        <v/>
      </c>
      <c r="G4" s="14">
        <v>0</v>
      </c>
      <c r="H4" s="14">
        <f>IF(AND(ISNUMBER(C4),ISNUMBER(G4)), C4-G4, "")</f>
        <v>258395</v>
      </c>
      <c r="I4" s="15" t="str">
        <f>IFERROR(H4/G4, "")</f>
        <v/>
      </c>
      <c r="J4" s="36" t="s">
        <v>28</v>
      </c>
      <c r="K4" s="36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30</v>
      </c>
      <c r="E1" s="56"/>
      <c r="F1" s="56"/>
      <c r="G1" s="54" t="s">
        <v>31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201186</v>
      </c>
      <c r="D2" s="5">
        <f>SUM(D4:D79)</f>
        <v>0</v>
      </c>
      <c r="E2" s="5">
        <f>C2-D2</f>
        <v>201186</v>
      </c>
      <c r="F2" s="6">
        <f>IFERROR(E2/D2, 0)</f>
        <v>0</v>
      </c>
      <c r="G2" s="5">
        <f>SUM(G4:G79)</f>
        <v>0</v>
      </c>
      <c r="H2" s="7">
        <f>C2-G2</f>
        <v>201186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201186</v>
      </c>
      <c r="D4" s="12">
        <v>0</v>
      </c>
      <c r="E4" s="12">
        <f>IF(AND(ISNUMBER(C4),ISNUMBER(D4)), C4-D4, "")</f>
        <v>201186</v>
      </c>
      <c r="F4" s="13" t="str">
        <f>IFERROR(E4/D4, "")</f>
        <v/>
      </c>
      <c r="G4" s="14">
        <v>0</v>
      </c>
      <c r="H4" s="14">
        <f>IF(AND(ISNUMBER(C4),ISNUMBER(G4)), C4-G4, "")</f>
        <v>201186</v>
      </c>
      <c r="I4" s="15" t="str">
        <f>IFERROR(H4/G4, "")</f>
        <v/>
      </c>
      <c r="J4" s="58" t="s">
        <v>32</v>
      </c>
      <c r="K4" s="59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J4" activePane="bottomRight" state="frozen"/>
      <selection pane="bottomRight" activeCell="J31" sqref="J31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33</v>
      </c>
      <c r="E1" s="56"/>
      <c r="F1" s="56"/>
      <c r="G1" s="54" t="s">
        <v>34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243155</v>
      </c>
      <c r="D2" s="5">
        <f>SUM(D4:D79)</f>
        <v>0</v>
      </c>
      <c r="E2" s="5">
        <f>C2-D2</f>
        <v>243155</v>
      </c>
      <c r="F2" s="6">
        <f>IFERROR(E2/D2, 0)</f>
        <v>0</v>
      </c>
      <c r="G2" s="5">
        <f>SUM(G4:G79)</f>
        <v>0</v>
      </c>
      <c r="H2" s="7">
        <f>C2-G2</f>
        <v>243155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243155</v>
      </c>
      <c r="D4" s="12">
        <v>0</v>
      </c>
      <c r="E4" s="12">
        <f>IF(AND(ISNUMBER(C4),ISNUMBER(D4)), C4-D4, "")</f>
        <v>243155</v>
      </c>
      <c r="F4" s="13" t="str">
        <f>IFERROR(E4/D4, "")</f>
        <v/>
      </c>
      <c r="G4" s="14">
        <v>0</v>
      </c>
      <c r="H4" s="14">
        <f>IF(AND(ISNUMBER(C4),ISNUMBER(G4)), C4-G4, "")</f>
        <v>243155</v>
      </c>
      <c r="I4" s="15" t="str">
        <f>IFERROR(H4/G4, "")</f>
        <v/>
      </c>
      <c r="J4" s="58" t="s">
        <v>35</v>
      </c>
      <c r="K4" s="59" t="s">
        <v>29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J23" sqref="J2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36</v>
      </c>
      <c r="E1" s="56"/>
      <c r="F1" s="56"/>
      <c r="G1" s="54" t="s">
        <v>37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253154</v>
      </c>
      <c r="D2" s="5">
        <f>SUM(D4:D79)</f>
        <v>0</v>
      </c>
      <c r="E2" s="5">
        <f>C2-D2</f>
        <v>253154</v>
      </c>
      <c r="F2" s="6">
        <f>IFERROR(E2/D2, 0)</f>
        <v>0</v>
      </c>
      <c r="G2" s="5">
        <f>SUM(G4:G79)</f>
        <v>0</v>
      </c>
      <c r="H2" s="7">
        <f>C2-G2</f>
        <v>253154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30.75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253154</v>
      </c>
      <c r="D4" s="12">
        <v>0</v>
      </c>
      <c r="E4" s="12">
        <f>IF(AND(ISNUMBER(C4),ISNUMBER(D4)), C4-D4, "")</f>
        <v>253154</v>
      </c>
      <c r="F4" s="13" t="str">
        <f>IFERROR(E4/D4, "")</f>
        <v/>
      </c>
      <c r="G4" s="14">
        <v>0</v>
      </c>
      <c r="H4" s="14">
        <f>IF(AND(ISNUMBER(C4),ISNUMBER(G4)), C4-G4, "")</f>
        <v>253154</v>
      </c>
      <c r="I4" s="15" t="str">
        <f>IFERROR(H4/G4, "")</f>
        <v/>
      </c>
      <c r="J4" s="36" t="s">
        <v>38</v>
      </c>
      <c r="K4" s="36" t="s">
        <v>39</v>
      </c>
    </row>
    <row r="5" spans="1:11" ht="30.75">
      <c r="A5" s="20"/>
      <c r="B5" s="29"/>
      <c r="C5" s="20"/>
      <c r="D5" s="20"/>
      <c r="E5" s="20"/>
      <c r="F5" s="20"/>
      <c r="G5" s="20"/>
      <c r="H5" s="20"/>
      <c r="I5" s="20"/>
      <c r="J5" s="58" t="s">
        <v>40</v>
      </c>
      <c r="K5" s="59" t="s">
        <v>41</v>
      </c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42</v>
      </c>
      <c r="E1" s="56"/>
      <c r="F1" s="56"/>
      <c r="G1" s="54" t="s">
        <v>43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44</v>
      </c>
      <c r="E1" s="56"/>
      <c r="F1" s="56"/>
      <c r="G1" s="54" t="s">
        <v>45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46</v>
      </c>
      <c r="E1" s="56"/>
      <c r="F1" s="56"/>
      <c r="G1" s="54" t="s">
        <v>47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48</v>
      </c>
      <c r="E1" s="56"/>
      <c r="F1" s="56"/>
      <c r="G1" s="54" t="s">
        <v>49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50</v>
      </c>
      <c r="E1" s="56"/>
      <c r="F1" s="56"/>
      <c r="G1" s="54" t="s">
        <v>51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5" t="str" cm="1">
        <f t="array" ref="A1">portfolio</f>
        <v>MA: Palmer - 105 North Street</v>
      </c>
      <c r="B1" s="55"/>
      <c r="C1" s="55"/>
      <c r="D1" s="56" t="s">
        <v>52</v>
      </c>
      <c r="E1" s="56"/>
      <c r="F1" s="56"/>
      <c r="G1" s="54" t="s">
        <v>53</v>
      </c>
      <c r="H1" s="54"/>
      <c r="I1" s="54"/>
      <c r="J1" s="4"/>
      <c r="K1" s="4"/>
    </row>
    <row r="2" spans="1:11" ht="19.5" customHeight="1">
      <c r="A2" s="57" t="s">
        <v>2</v>
      </c>
      <c r="B2" s="5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54</v>
      </c>
      <c r="B1" t="s">
        <v>55</v>
      </c>
    </row>
    <row r="3" spans="1:12" ht="13.15">
      <c r="A3" t="s">
        <v>56</v>
      </c>
      <c r="B3" t="s">
        <v>3</v>
      </c>
      <c r="C3" t="s">
        <v>4</v>
      </c>
      <c r="D3" t="s">
        <v>57</v>
      </c>
      <c r="E3" s="2" t="s">
        <v>58</v>
      </c>
    </row>
    <row r="4" spans="1:12" ht="14.45">
      <c r="A4" s="45" t="s">
        <v>59</v>
      </c>
      <c r="B4" t="s">
        <v>55</v>
      </c>
      <c r="C4" s="43" t="s">
        <v>60</v>
      </c>
      <c r="D4" s="42" t="s">
        <v>61</v>
      </c>
      <c r="E4" t="s">
        <v>62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F6B2B1A1-1C4B-4AC9-9A7D-7A102DD1C942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C0BCDC1E-6052-4E48-9BAF-94A40814E7C2}"/>
</file>

<file path=customXml/itemProps8.xml><?xml version="1.0" encoding="utf-8"?>
<ds:datastoreItem xmlns:ds="http://schemas.openxmlformats.org/officeDocument/2006/customXml" ds:itemID="{BF5C6359-7763-4C37-8EAF-2BC4698CB285}"/>
</file>

<file path=customXml/itemProps9.xml><?xml version="1.0" encoding="utf-8"?>
<ds:datastoreItem xmlns:ds="http://schemas.openxmlformats.org/officeDocument/2006/customXml" ds:itemID="{E3716282-BFD2-4ED2-BA47-BFA1123827F0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98A113BB-8B7A-453C-8BD4-8EFC67FC2D3F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E20E8303-6A67-485C-B6F4-303542CC295C}"/>
</file>

<file path=customXml/itemProps16.xml><?xml version="1.0" encoding="utf-8"?>
<ds:datastoreItem xmlns:ds="http://schemas.openxmlformats.org/officeDocument/2006/customXml" ds:itemID="{1954BBA4-0359-438C-B0EC-A756015F7C02}"/>
</file>

<file path=customXml/itemProps17.xml><?xml version="1.0" encoding="utf-8"?>
<ds:datastoreItem xmlns:ds="http://schemas.openxmlformats.org/officeDocument/2006/customXml" ds:itemID="{66B09F59-6532-46F8-924A-9A02417E070D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2024-08-06T19:48:59Z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