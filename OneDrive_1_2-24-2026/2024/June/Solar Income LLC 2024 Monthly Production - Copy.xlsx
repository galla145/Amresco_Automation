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9644A18-59FA-4FC6-AA66-86366EFC53ED}" xr6:coauthVersionLast="47" xr6:coauthVersionMax="47" xr10:uidLastSave="{00000000-0000-0000-0000-000000000000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C4" i="34" s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4" i="34" l="1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4" i="34" l="1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<sst xmlns="http://schemas.openxmlformats.org/spreadsheetml/2006/main" count="249" uniqueCount="59">
  <si>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</si>
  <si>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</si>
  <si>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</si>
  <si>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</si>
  <si>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</si>
  <si>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</si>
  <si>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</si>
  <si>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</si>
  <si>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</si>
  <si>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</si>
  <si>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</si>
  <si>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</si>
  <si>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</si>
  <si>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</si>
  <si>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</si>
  <si>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</si>
  <si>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</si>
  <si>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</si>
  <si>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</si>
  <si>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</si>
  <si>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</si>
  <si>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</si>
  <si>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</si>
  <si>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</si>
  <si>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</si>
  <si>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1. Inverter 9 tripped offline at 09:00am on 02/18 and back online on 02/20 at 9:30am.</t>
  </si>
  <si>
    <t>1.  	SR081093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</si>
  <si>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</si>
  <si>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</si>
  <si>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</si>
  <si>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</si>
  <si>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</si>
  <si>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</si>
  <si>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</si>
  <si>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</si>
  <si>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</si>
  <si>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</si>
  <si>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</si>
  <si>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</si>
  <si>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</si>
  <si>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</si>
  <si>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</si>
  <si>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</si>
  <si>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</si>
  <si>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</si>
  <si>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</si>
  <si>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</si>
  <si>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</si>
  <si>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</si>
  <si>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</si>
  <si>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</si>
  <si>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</si>
  <si>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Lee Company - B9</t>
  </si>
  <si>
    <t>Westbrook - Lee Building 9</t>
  </si>
  <si>
    <t>CT</t>
  </si>
  <si>
    <t>AEF</t>
  </si>
  <si>
    <t>PowerTrack</t>
  </si>
  <si>
    <t>The Lee Company B82</t>
  </si>
  <si>
    <t>Westbrook - Lee Building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</si>
</sst>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4" fillId="46" borderId="0" xfId="0" applyFont="1" applyFill="1" applyAlignment="1">
      <alignment horizontal="left" vertical="top"/>
    </xf>
    <xf numFmtId="0" fontId="34" fillId="46" borderId="12" xfId="0" applyFont="1" applyFill="1" applyBorder="1"/>
    <xf numFmtId="0" fontId="0" fillId="0" borderId="13" xfId="0" applyBorder="1"/>
    <xf numFmtId="0" fontId="34" fillId="0" borderId="0" xfId="0" applyFont="1" applyAlignment="1">
      <alignment horizontal="left" vertical="top"/>
    </xf>
    <xf numFmtId="0" fontId="34" fillId="0" borderId="0" xfId="0" applyFont="1"/>
    <xf numFmtId="0" fontId="34" fillId="0" borderId="12" xfId="0" applyFont="1" applyBorder="1"/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J4" sqref="J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SUM(C4:C77)</f>
        <v>268067.96999999997</v>
      </c>
      <c r="D2" s="5">
        <f>SUM(D4:D77)</f>
        <v>156766.136</v>
      </c>
      <c r="E2" s="5">
        <f>C2-D2</f>
        <v>111301.83399999997</v>
      </c>
      <c r="F2" s="6">
        <f>IFERROR(E2/D2, 0)</f>
        <v>0.70998646034115409</v>
      </c>
      <c r="G2" s="5">
        <f>SUM(G4:G77)</f>
        <v>207715.75100000002</v>
      </c>
      <c r="H2" s="7">
        <f>C2-G2</f>
        <v>60352.218999999954</v>
      </c>
      <c r="I2" s="6">
        <f>IFERROR(H2/G2, 0)</f>
        <v>0.29055196204162653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Westbrook - Lee Building 9</v>
      </c>
      <c r="B4" s="30" t="str" cm="1">
        <f t="array" ref="B4:B5">Sites[State]</f>
        <v>CT</v>
      </c>
      <c r="C4" s="23">
        <f>SUM('1st Qtr'!C4, '2nd Qtr'!C4, '3rd Qtr'!C4, '4th Qtr'!C4)</f>
        <v>193082.73</v>
      </c>
      <c r="D4" s="12">
        <f>SUM('1st Qtr'!D4, '2nd Qtr'!D4, '3rd Qtr'!D4, '4th Qtr'!D4)</f>
        <v>76640.267999999996</v>
      </c>
      <c r="E4" s="12">
        <f>IF(AND(ISNUMBER(C4),ISNUMBER(D4)), C4-D4, "")</f>
        <v>116442.46200000001</v>
      </c>
      <c r="F4" s="13">
        <f>IFERROR(E4/D4, "")</f>
        <v>1.5193378760105591</v>
      </c>
      <c r="G4" s="14">
        <f>SUM('1st Qtr'!G4, '2nd Qtr'!G4, '3rd Qtr'!G4, '4th Qtr'!G4)</f>
        <v>0</v>
      </c>
      <c r="H4" s="14">
        <f>SUM('1st Qtr'!H4, '2nd Qtr'!H4, '3rd Qtr'!H4, '4th Qtr'!H4)</f>
        <v>193082.73</v>
      </c>
      <c r="I4" s="15" t="str">
        <f>IFERROR(H4/G4, "")</f>
        <v/>
      </c>
    </row>
    <row r="5" spans="1:9" ht="15.6">
      <c r="A5" s="28" t="str">
        <v>Westbrook - Lee Building 82</v>
      </c>
      <c r="B5" s="28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SUM('1st Qtr'!G5, '2nd Qtr'!G5, '3rd Qtr'!G5, '4th Qtr'!G5)</f>
        <v>207715.75100000002</v>
      </c>
      <c r="H5" s="19">
        <f>SUM(Jan!H5, Feb!H5, Mar!H5)</f>
        <v>-9536.0010000000002</v>
      </c>
      <c r="I5" s="18">
        <f>IFERROR(H5/G5, "")</f>
        <v>-4.5908896913648113E-2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SUM(C4:C77)</f>
        <v>147069.43</v>
      </c>
      <c r="D2" s="5">
        <f>SUM(D4:D77)</f>
        <v>156494.34899999999</v>
      </c>
      <c r="E2" s="5">
        <f>C2-D2</f>
        <v>-9424.9189999999944</v>
      </c>
      <c r="F2" s="6">
        <f>IFERROR(E2/D2, 0)</f>
        <v>-6.0225299253457355E-2</v>
      </c>
      <c r="G2" s="5">
        <f>SUM(G4:G77)</f>
        <v>84521.241000000009</v>
      </c>
      <c r="H2" s="7">
        <f>C2-G2</f>
        <v>62548.188999999984</v>
      </c>
      <c r="I2" s="6">
        <f>IFERROR(H2/G2, 0)</f>
        <v>0.74002923123194531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SUM(Jan!C4, Feb!C4, Mar!C4)</f>
        <v>72084.19</v>
      </c>
      <c r="D4" s="12">
        <f>SUM(Jan!D4, Feb!D4, Mar!D4)</f>
        <v>76368.481</v>
      </c>
      <c r="E4" s="12">
        <f>IF(AND(ISNUMBER(C4),ISNUMBER(D4)), C4-D4, "")</f>
        <v>-4284.2909999999974</v>
      </c>
      <c r="F4" s="13">
        <f>IFERROR(E4/D4, "")</f>
        <v>-5.6100251620822439E-2</v>
      </c>
      <c r="G4" s="14">
        <f>SUM(Jan!G4, Feb!G4, Mar!G4)</f>
        <v>0</v>
      </c>
      <c r="H4" s="14">
        <f>SUM(Jan!H4, Feb!H4, Mar!H4)</f>
        <v>72084.19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SUM(Jan!G5, Feb!G5, Mar!G5)</f>
        <v>84521.241000000009</v>
      </c>
      <c r="H5" s="19">
        <f>SUM(Jan!H5, Feb!H5, Mar!H5)</f>
        <v>-9536.0010000000002</v>
      </c>
      <c r="I5" s="18">
        <f>IFERROR(H5/G5, "")</f>
        <v>-0.11282372202746052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tabSelected="1" workbookViewId="0">
      <pane xSplit="2" ySplit="3" topLeftCell="C4" activePane="bottomRight" state="frozen"/>
      <selection pane="bottomRight" activeCell="F5" sqref="F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SUM(C4:C77)</f>
        <v>249302.42</v>
      </c>
      <c r="D2" s="5">
        <f>SUM(D4:D77)</f>
        <v>539.98699999999997</v>
      </c>
      <c r="E2" s="5">
        <f>C2-D2</f>
        <v>248762.43300000002</v>
      </c>
      <c r="F2" s="6">
        <f>IFERROR(E2/D2, 0)</f>
        <v>460.68226272113964</v>
      </c>
      <c r="G2" s="5">
        <f>SUM(G4:G77)</f>
        <v>123194.51000000001</v>
      </c>
      <c r="H2" s="7">
        <f>C2-G2</f>
        <v>126107.91</v>
      </c>
      <c r="I2" s="6">
        <f>IFERROR(H2/G2, 0)</f>
        <v>1.0236487811023396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SUM(Apr!C4, May!C4, Jun!C4)</f>
        <v>120998.54000000001</v>
      </c>
      <c r="D4" s="12">
        <f>SUM(Apr!D4, May!D4, Jun!D4)</f>
        <v>271.78699999999998</v>
      </c>
      <c r="E4" s="12">
        <f>IF(AND(ISNUMBER(C4),ISNUMBER(D4)), C4-D4, "")</f>
        <v>120726.75300000001</v>
      </c>
      <c r="F4" s="13">
        <f>IFERROR(E4/D4, "")</f>
        <v>444.19620143715491</v>
      </c>
      <c r="G4" s="14">
        <f>SUM(Apr!G4,May!G4,Jun!G4)</f>
        <v>0</v>
      </c>
      <c r="H4" s="14">
        <f>SUM(Apr!H4, May!H4, Jun!H4)</f>
        <v>120998.54000000001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SUM(Apr!C5, May!C5, Jun!C5)</f>
        <v>128303.88</v>
      </c>
      <c r="D5" s="17">
        <f>SUM(Apr!D5, May!D5, Jun!D5)</f>
        <v>268.2</v>
      </c>
      <c r="E5" s="17">
        <f t="shared" ref="E5" si="0">IF(AND(ISNUMBER(C5),ISNUMBER(D5)), C5-D5, "")</f>
        <v>128035.68000000001</v>
      </c>
      <c r="F5" s="18">
        <f>IFERROR(E5/D5, "")</f>
        <v>477.38881431767345</v>
      </c>
      <c r="G5" s="17">
        <f>SUM(Apr!G5,May!G5,Jun!G5)</f>
        <v>123194.51000000001</v>
      </c>
      <c r="H5" s="19">
        <f>SUM(Apr!H5, May!H5, Jun!H5)</f>
        <v>5109.3699999999953</v>
      </c>
      <c r="I5" s="18">
        <f>IFERROR(H5/G5, "")</f>
        <v>4.1474007242692838E-2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ALIGNED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0" sqref="J1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SUM(C4:C76)</f>
        <v>23279.279999999999</v>
      </c>
      <c r="D2" s="5">
        <f>SUM(D4:D76)</f>
        <v>31853.409</v>
      </c>
      <c r="E2" s="5">
        <f>C2-D2</f>
        <v>-8574.1290000000008</v>
      </c>
      <c r="F2" s="6">
        <f>IFERROR(E2/D2, 0)</f>
        <v>-0.26917461173464985</v>
      </c>
      <c r="G2" s="5">
        <f>SUM(G4:G76)</f>
        <v>23363.282999999999</v>
      </c>
      <c r="H2" s="7">
        <f>C2-G2</f>
        <v>-84.003000000000611</v>
      </c>
      <c r="I2" s="6">
        <f>IFERROR(H2/G2, 0)</f>
        <v>-3.5955135243621633E-3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11433.8</v>
      </c>
      <c r="D4" s="12">
        <v>15679.7</v>
      </c>
      <c r="E4" s="12">
        <f>IF(AND(ISNUMBER(C4),ISNUMBER(D4)), C4-D4, "")</f>
        <v>-4245.9000000000015</v>
      </c>
      <c r="F4" s="12">
        <f>IFERROR(E4/D4, "")</f>
        <v>-0.27078961969935655</v>
      </c>
      <c r="G4" s="14">
        <v>0</v>
      </c>
      <c r="H4" s="14">
        <f>IF(AND(ISNUMBER(C4),ISNUMBER(G4)), C4-G4, "")</f>
        <v>11433.8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28" t="str">
        <v>Westbrook - Lee Building 82</v>
      </c>
      <c r="B5" s="29" t="str">
        <v>CT</v>
      </c>
      <c r="C5" s="11">
        <v>11845.48</v>
      </c>
      <c r="D5" s="17">
        <v>16173.709000000001</v>
      </c>
      <c r="E5" s="17">
        <f t="shared" ref="E5" si="0">IF(AND(ISNUMBER(C5),ISNUMBER(D5)), C5-D5, "")</f>
        <v>-4328.2290000000012</v>
      </c>
      <c r="F5" s="17">
        <f t="shared" ref="F5" si="1">IFERROR(E5/D5, "")</f>
        <v>-0.26760893249655976</v>
      </c>
      <c r="G5" s="19">
        <v>23363.282999999999</v>
      </c>
      <c r="H5" s="19">
        <f t="shared" ref="H5" si="2">IF(AND(ISNUMBER(C5),ISNUMBER(G5)), C5-G5, "")</f>
        <v>-11517.803</v>
      </c>
      <c r="I5" s="18">
        <f t="shared" ref="I5" si="3">IFERROR(H5/G5, "")</f>
        <v>-0.49298735113554032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D4" sqref="D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23</v>
      </c>
      <c r="E1" s="54"/>
      <c r="F1" s="54"/>
      <c r="G1" s="52" t="s">
        <v>24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52653.18</v>
      </c>
      <c r="D2" s="5">
        <f>SUM(D4:D77)</f>
        <v>57932.347999999998</v>
      </c>
      <c r="E2" s="5">
        <f>C2-D2</f>
        <v>-5279.1679999999978</v>
      </c>
      <c r="F2" s="6">
        <f>IFERROR(E2/D2, 0)</f>
        <v>-9.1126429054800229E-2</v>
      </c>
      <c r="G2" s="5">
        <f>SUM(G4:G77)</f>
        <v>27025.858</v>
      </c>
      <c r="H2" s="7">
        <f>C2-G2</f>
        <v>25627.322</v>
      </c>
      <c r="I2" s="6">
        <f>IFERROR(H2/G2, 0)</f>
        <v>0.94825192968896677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26066.52</v>
      </c>
      <c r="D4" s="12">
        <v>28274.989000000001</v>
      </c>
      <c r="E4" s="12">
        <f>IF(AND(ISNUMBER(C4),ISNUMBER(D4)), C4-D4, "")</f>
        <v>-2208.469000000001</v>
      </c>
      <c r="F4" s="12">
        <f>IFERROR(E4/D4, "")</f>
        <v>-7.8106803153840332E-2</v>
      </c>
      <c r="G4" s="14">
        <v>0</v>
      </c>
      <c r="H4" s="14">
        <f>IF(AND(ISNUMBER(C4),ISNUMBER(G4)), C4-G4, "")</f>
        <v>26066.52</v>
      </c>
      <c r="I4" s="15" t="str">
        <f>IFERROR(H4/G4, "")</f>
        <v/>
      </c>
      <c r="J4" s="39"/>
      <c r="K4" s="39"/>
    </row>
    <row r="5" spans="1:11" ht="28.9">
      <c r="A5" s="28" t="str">
        <v>Westbrook - Lee Building 82</v>
      </c>
      <c r="B5" s="29" t="str">
        <v>CT</v>
      </c>
      <c r="C5" s="11">
        <v>26586.66</v>
      </c>
      <c r="D5" s="17">
        <v>29657.359</v>
      </c>
      <c r="E5" s="17">
        <f t="shared" ref="E5" si="0">IF(AND(ISNUMBER(C5),ISNUMBER(D5)), C5-D5, "")</f>
        <v>-3070.6990000000005</v>
      </c>
      <c r="F5" s="17">
        <f t="shared" ref="F5" si="1">IFERROR(E5/D5, "")</f>
        <v>-0.10353919241426725</v>
      </c>
      <c r="G5" s="19">
        <v>27025.858</v>
      </c>
      <c r="H5" s="19">
        <f t="shared" ref="H5" si="2">IF(AND(ISNUMBER(C5),ISNUMBER(G5)), C5-G5, "")</f>
        <v>-439.19800000000032</v>
      </c>
      <c r="I5" s="18">
        <f t="shared" ref="I5" si="3">IFERROR(H5/G5, "")</f>
        <v>-1.6251028922005004E-2</v>
      </c>
      <c r="J5" s="51" t="s">
        <v>25</v>
      </c>
      <c r="K5" s="51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E4" activePane="bottomRight" state="frozen"/>
      <selection pane="bottomRight" activeCell="J5" sqref="J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71136.97</v>
      </c>
      <c r="D2" s="5">
        <f>SUM(D4:D77)</f>
        <v>66708.592000000004</v>
      </c>
      <c r="E2" s="5">
        <f>C2-D2</f>
        <v>4428.377999999997</v>
      </c>
      <c r="F2" s="6">
        <f>IFERROR(E2/D2, 0)</f>
        <v>6.6383922478831459E-2</v>
      </c>
      <c r="G2" s="5">
        <f>SUM(G4:G77)</f>
        <v>34132.1</v>
      </c>
      <c r="H2" s="7">
        <f>C2-G2</f>
        <v>37004.870000000003</v>
      </c>
      <c r="I2" s="6">
        <f>IFERROR(H2/G2, 0)</f>
        <v>1.0841662247561681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34583.870000000003</v>
      </c>
      <c r="D4" s="12">
        <v>32413.792000000001</v>
      </c>
      <c r="E4" s="12">
        <f t="shared" ref="E4:E5" si="0">IF(AND(ISNUMBER(C4),ISNUMBER(D4)), C4-D4, "")</f>
        <v>2170.0780000000013</v>
      </c>
      <c r="F4" s="12">
        <f>IFERROR(E4/D4, "")</f>
        <v>6.6949217172739342E-2</v>
      </c>
      <c r="G4" s="14">
        <v>0</v>
      </c>
      <c r="H4" s="14">
        <f>IF(AND(ISNUMBER(C4),ISNUMBER(G4)), C4-G4, "")</f>
        <v>34583.870000000003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36553.1</v>
      </c>
      <c r="D5" s="17">
        <v>34294.800000000003</v>
      </c>
      <c r="E5" s="17">
        <f t="shared" si="0"/>
        <v>2258.2999999999956</v>
      </c>
      <c r="F5" s="17">
        <f>IFERROR(E5/D5, "")</f>
        <v>6.5849633180540351E-2</v>
      </c>
      <c r="G5" s="19">
        <v>34132.1</v>
      </c>
      <c r="H5" s="19">
        <f t="shared" ref="H5" si="1">IF(AND(ISNUMBER(C5),ISNUMBER(G5)), C5-G5, "")</f>
        <v>2421</v>
      </c>
      <c r="I5" s="18">
        <f t="shared" ref="I5" si="2">IFERROR(H5/G5, "")</f>
        <v>7.0930297286132413E-2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25" priority="7" stopIfTrue="1" operator="lessThanOrEqual">
      <formula>-0.1</formula>
    </cfRule>
    <cfRule type="expression" dxfId="24" priority="8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E4" activePane="bottomRight" state="frozen"/>
      <selection pane="bottomRight" activeCell="H5" sqref="H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29</v>
      </c>
      <c r="E1" s="54"/>
      <c r="F1" s="54"/>
      <c r="G1" s="52" t="s">
        <v>30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69768.299999999988</v>
      </c>
      <c r="D2" s="5">
        <f>SUM(D4:D77)</f>
        <v>539.98699999999997</v>
      </c>
      <c r="E2" s="5">
        <f>C2-D2</f>
        <v>69228.312999999995</v>
      </c>
      <c r="F2" s="6">
        <f>IFERROR(E2/D2, 0)</f>
        <v>128.20366601418183</v>
      </c>
      <c r="G2" s="5">
        <f>SUM(G4:G77)</f>
        <v>39176.33</v>
      </c>
      <c r="H2" s="7">
        <f>C2-G2</f>
        <v>30591.969999999987</v>
      </c>
      <c r="I2" s="6">
        <f>IFERROR(H2/G2, 0)</f>
        <v>0.78087891336426829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33975.589999999997</v>
      </c>
      <c r="D4" s="12">
        <v>271.78699999999998</v>
      </c>
      <c r="E4" s="12">
        <f>IF(AND(ISNUMBER(C4),ISNUMBER(D4)), C4-D4, "")</f>
        <v>33703.803</v>
      </c>
      <c r="F4" s="13">
        <f>IFERROR(E4/D4, "")</f>
        <v>124.00814976433752</v>
      </c>
      <c r="G4" s="14">
        <v>0</v>
      </c>
      <c r="H4" s="14">
        <f>IF(AND(ISNUMBER(C4),ISNUMBER(G4)), C4-G4, "")</f>
        <v>33975.589999999997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35792.71</v>
      </c>
      <c r="D5" s="17">
        <v>268.2</v>
      </c>
      <c r="E5" s="17">
        <f t="shared" ref="E5" si="0">IF(AND(ISNUMBER(C5),ISNUMBER(D5)), C5-D5, "")</f>
        <v>35524.51</v>
      </c>
      <c r="F5" s="18">
        <f>IFERROR(E5/D5, "")</f>
        <v>132.45529455630128</v>
      </c>
      <c r="G5" s="19">
        <v>39176.33</v>
      </c>
      <c r="H5" s="19">
        <f t="shared" ref="H5" si="1">IF(AND(ISNUMBER(C5),ISNUMBER(G5)), C5-G5, "")</f>
        <v>-3383.6200000000026</v>
      </c>
      <c r="I5" s="18">
        <f t="shared" ref="I5" si="2">IFERROR(H5/G5, "")</f>
        <v>-8.6368988621445722E-2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D4" activePane="bottomRight" state="frozen"/>
      <selection pane="bottomRight" activeCell="G6" sqref="G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31</v>
      </c>
      <c r="E1" s="54"/>
      <c r="F1" s="54"/>
      <c r="G1" s="52" t="s">
        <v>32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84173.39</v>
      </c>
      <c r="D2" s="5">
        <f>SUM(D4:D77)</f>
        <v>0</v>
      </c>
      <c r="E2" s="5">
        <f>C2-D2</f>
        <v>84173.39</v>
      </c>
      <c r="F2" s="6">
        <f>IFERROR(E2/D2, 0)</f>
        <v>0</v>
      </c>
      <c r="G2" s="5">
        <f>SUM(G4:G77)</f>
        <v>42499.68</v>
      </c>
      <c r="H2" s="7">
        <f>C2-G2</f>
        <v>41673.71</v>
      </c>
      <c r="I2" s="6">
        <f>IFERROR(H2/G2, 0)</f>
        <v>0.98056526543258671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40883.57</v>
      </c>
      <c r="D4" s="12">
        <v>0</v>
      </c>
      <c r="E4" s="12">
        <f>IF(AND(ISNUMBER(C4),ISNUMBER(D4)), C4-D4, "")</f>
        <v>40883.57</v>
      </c>
      <c r="F4" s="13" t="str">
        <f>IFERROR(E4/D4, "")</f>
        <v/>
      </c>
      <c r="G4" s="14">
        <v>0</v>
      </c>
      <c r="H4" s="14">
        <f>IF(AND(ISNUMBER(C4),ISNUMBER(G4)), C4-G4, "")</f>
        <v>40883.57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43289.82</v>
      </c>
      <c r="D5" s="17">
        <v>0</v>
      </c>
      <c r="E5" s="17">
        <f t="shared" ref="E5" si="0">IF(AND(ISNUMBER(C5),ISNUMBER(D5)), C5-D5, "")</f>
        <v>43289.82</v>
      </c>
      <c r="F5" s="18" t="str">
        <f>IFERROR(E5/D5, "")</f>
        <v/>
      </c>
      <c r="G5" s="19">
        <v>42499.68</v>
      </c>
      <c r="H5" s="19">
        <f t="shared" ref="H5" si="1">IF(AND(ISNUMBER(C5),ISNUMBER(G5)), C5-G5, "")</f>
        <v>790.13999999999942</v>
      </c>
      <c r="I5" s="18">
        <f t="shared" ref="I5" si="2">IFERROR(H5/G5, "")</f>
        <v>1.8591669396098968E-2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D4" activePane="bottomRight" state="frozen"/>
      <selection pane="bottomRight" activeCell="G6" sqref="G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33</v>
      </c>
      <c r="E1" s="54"/>
      <c r="F1" s="54"/>
      <c r="G1" s="52" t="s">
        <v>34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95360.73</v>
      </c>
      <c r="D2" s="5">
        <f>SUM(D4:D77)</f>
        <v>0</v>
      </c>
      <c r="E2" s="5">
        <f>C2-D2</f>
        <v>95360.73</v>
      </c>
      <c r="F2" s="6">
        <f>IFERROR(E2/D2, 0)</f>
        <v>0</v>
      </c>
      <c r="G2" s="5">
        <f>SUM(G4:G77)</f>
        <v>41518.5</v>
      </c>
      <c r="H2" s="7">
        <f>C2-G2</f>
        <v>53842.229999999996</v>
      </c>
      <c r="I2" s="6">
        <f>IFERROR(H2/G2, 0)</f>
        <v>1.29682502980599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46139.38</v>
      </c>
      <c r="D4" s="12">
        <v>0</v>
      </c>
      <c r="E4" s="12">
        <f>IF(AND(ISNUMBER(C4),ISNUMBER(D4)), C4-D4, "")</f>
        <v>46139.38</v>
      </c>
      <c r="F4" s="13" t="str">
        <f>IFERROR(E4/D4, "")</f>
        <v/>
      </c>
      <c r="G4" s="14">
        <v>0</v>
      </c>
      <c r="H4" s="14">
        <f>IF(AND(ISNUMBER(C4),ISNUMBER(G4)), C4-G4, "")</f>
        <v>46139.38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49221.35</v>
      </c>
      <c r="D5" s="17">
        <v>0</v>
      </c>
      <c r="E5" s="17">
        <f t="shared" ref="E5" si="0">IF(AND(ISNUMBER(C5),ISNUMBER(D5)), C5-D5, "")</f>
        <v>49221.35</v>
      </c>
      <c r="F5" s="18" t="str">
        <f>IFERROR(E5/D5, "")</f>
        <v/>
      </c>
      <c r="G5" s="19">
        <v>41518.5</v>
      </c>
      <c r="H5" s="19">
        <f t="shared" ref="H5" si="1">IF(AND(ISNUMBER(C5),ISNUMBER(G5)), C5-G5, "")</f>
        <v>7702.8499999999985</v>
      </c>
      <c r="I5" s="18">
        <f t="shared" ref="I5" si="2">IFERROR(H5/G5, "")</f>
        <v>0.18552813805893756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35</v>
      </c>
      <c r="E1" s="54"/>
      <c r="F1" s="54"/>
      <c r="G1" s="52" t="s">
        <v>36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37</v>
      </c>
      <c r="E1" s="54"/>
      <c r="F1" s="54"/>
      <c r="G1" s="52" t="s">
        <v>38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39</v>
      </c>
      <c r="E1" s="54"/>
      <c r="F1" s="54"/>
      <c r="G1" s="52" t="s">
        <v>40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41</v>
      </c>
      <c r="E1" s="54"/>
      <c r="F1" s="54"/>
      <c r="G1" s="52" t="s">
        <v>42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43</v>
      </c>
      <c r="E1" s="54"/>
      <c r="F1" s="54"/>
      <c r="G1" s="52" t="s">
        <v>44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5" sqref="J2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ALIGNED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D9" sqref="D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5" t="s">
        <v>52</v>
      </c>
      <c r="B4" s="46" t="s">
        <v>53</v>
      </c>
      <c r="C4" s="46" t="s">
        <v>54</v>
      </c>
      <c r="D4" s="47" t="s">
        <v>55</v>
      </c>
      <c r="E4" t="s">
        <v>56</v>
      </c>
      <c r="G4" s="3"/>
    </row>
    <row r="5" spans="1:12" ht="14.45">
      <c r="A5" s="48" t="s">
        <v>57</v>
      </c>
      <c r="B5" s="49" t="s">
        <v>58</v>
      </c>
      <c r="C5" s="50" t="s">
        <v>54</v>
      </c>
      <c r="D5" s="47" t="s">
        <v>55</v>
      </c>
      <c r="E5" t="s">
        <v>56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2025-03-11T20:03:14Z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