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rinivasakrishnan_amgsol_com/Documents/Downloads/"/>
    </mc:Choice>
  </mc:AlternateContent>
  <xr:revisionPtr revIDLastSave="0" documentId="8_{ACC8F508-8107-49A0-BB49-3BA8EC5909A9}" xr6:coauthVersionLast="47" xr6:coauthVersionMax="47" xr10:uidLastSave="{00000000-0000-0000-0000-000000000000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E2" i="28"/>
  <c r="F2" i="28" s="1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H2" i="19" l="1"/>
  <c r="I2" i="19" s="1"/>
  <c r="E2" i="20"/>
  <c r="F2" i="20" s="1"/>
  <c r="H2" i="21"/>
  <c r="I2" i="21" s="1"/>
  <c r="H2" i="4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<sst xmlns="http://schemas.openxmlformats.org/spreadsheetml/2006/main" count="246" uniqueCount="59">
  <si>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</si>
  <si>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</si>
  <si>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</si>
  <si>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</si>
  <si>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</si>
  <si>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</si>
  <si>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</si>
  <si>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</si>
  <si>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</si>
  <si>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</si>
  <si>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</si>
  <si>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</si>
  <si>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</si>
  <si>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</si>
  <si>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</si>
  <si>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</si>
  <si>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</si>
  <si>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</si>
  <si>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</si>
  <si>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</si>
  <si>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</si>
  <si>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</si>
  <si>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</si>
  <si>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</si>
  <si>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</si>
  <si>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</si>
  <si>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1.Inverter 4 is offline since 03/20/2024 &amp; continued. </t>
  </si>
  <si>
    <t>1.SR082349</t>
  </si>
  <si>
    <t>April Actual v. Expected</t>
  </si>
  <si>
    <t>April Actual v. Forecasted</t>
  </si>
  <si>
    <t>1. Inverter 3 tripped offline at 12:45 PM on 04/24 and was offline for the whole month</t>
  </si>
  <si>
    <t>1. SR083785</t>
  </si>
  <si>
    <t>May Actual v. Expected</t>
  </si>
  <si>
    <t>May Actual v. Forecasted</t>
  </si>
  <si>
    <t xml:space="preserve">1. Inverter 3 was offline from 04/24 and was replaced on 05/17
2. Weather station reporting 0 w/m2 from 05/28 </t>
  </si>
  <si>
    <t>1. 	SR083785
2. SR086768</t>
  </si>
  <si>
    <t>June Actual v. Expected</t>
  </si>
  <si>
    <t>June Actual v. Forecasted</t>
  </si>
  <si>
    <t>1. Weather station reporting 0 w/m2 from 05/28 due to that expected value is low</t>
  </si>
  <si>
    <t>1. SR086768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</si>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</sst>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I7" sqref="I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SUM(C4:C88)</f>
        <v>1154229.8799999999</v>
      </c>
      <c r="D2" s="6">
        <f>SUM(D4:D88)</f>
        <v>885962.88</v>
      </c>
      <c r="E2" s="6">
        <f>C2-D2</f>
        <v>268266.99999999988</v>
      </c>
      <c r="F2" s="7">
        <f>IFERROR(E2/D2, 0)</f>
        <v>0.30279711041618346</v>
      </c>
      <c r="G2" s="6">
        <f>SUM(G4:G88)</f>
        <v>339538</v>
      </c>
      <c r="H2" s="8">
        <f>C2-G2</f>
        <v>814691.87999999989</v>
      </c>
      <c r="I2" s="7">
        <f>IFERROR(H2/G2, 0)</f>
        <v>2.399412967031672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1154229.8799999999</v>
      </c>
      <c r="D4" s="14">
        <f>SUM('1st Qtr'!D4, '2nd Qtr'!D4, '3rd Qtr'!D4, '4th Qtr'!D4)</f>
        <v>885962.88</v>
      </c>
      <c r="E4" s="14">
        <f>IF(AND(ISNUMBER(C4),ISNUMBER(D4)), C4-D4, "")</f>
        <v>268266.99999999988</v>
      </c>
      <c r="F4" s="15">
        <f>IFERROR(E4/D4, 0)</f>
        <v>0.30279711041618346</v>
      </c>
      <c r="G4" s="16">
        <f>SUM('1st Qtr'!G4,'2nd Qtr'!G4,'3rd Qtr'!G4,'4th Qtr'!G4)</f>
        <v>339538</v>
      </c>
      <c r="H4" s="16">
        <f>SUM('1st Qtr'!H4, '2nd Qtr'!H4, '3rd Qtr'!H4, '4th Qtr'!H4)</f>
        <v>17657.160000000003</v>
      </c>
      <c r="I4" s="17">
        <f>IFERROR(H4/G4, 0)</f>
        <v>5.2003487091282871E-2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SUM(C4:C88)</f>
        <v>377896.88</v>
      </c>
      <c r="D2" s="6">
        <f>SUM(D4:D88)</f>
        <v>397843.58</v>
      </c>
      <c r="E2" s="6">
        <f>C2-D2</f>
        <v>-19946.700000000012</v>
      </c>
      <c r="F2" s="7">
        <f>IFERROR(E2/D2, 0)</f>
        <v>-5.0137041296481423E-2</v>
      </c>
      <c r="G2" s="6">
        <f>SUM(G4:G88)</f>
        <v>339538</v>
      </c>
      <c r="H2" s="8">
        <f>C2-G2</f>
        <v>38358.880000000005</v>
      </c>
      <c r="I2" s="7">
        <f>IFERROR(H2/G2, 0)</f>
        <v>0.11297374667931132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377896.88</v>
      </c>
      <c r="D4" s="14">
        <f>SUM(Jan!D4, Feb!D4, Mar!D4)</f>
        <v>397843.58</v>
      </c>
      <c r="E4" s="14">
        <f>IF(AND(ISNUMBER(C4),ISNUMBER(D4)), C4-D4, "")</f>
        <v>-19946.700000000012</v>
      </c>
      <c r="F4" s="15">
        <f>IFERROR(E4/D4, "")</f>
        <v>-5.0137041296481423E-2</v>
      </c>
      <c r="G4" s="16">
        <f>SUM(Jan!G4, Feb!G4, Mar!G4)</f>
        <v>339538</v>
      </c>
      <c r="H4" s="16">
        <f>SUM(Jan!H4, Feb!H4, Mar!H4)</f>
        <v>38358.880000000005</v>
      </c>
      <c r="I4" s="17">
        <f>IFERROR(H4/G4, 0)</f>
        <v>0.11297374667931132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D33" sqref="D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776333</v>
      </c>
      <c r="D2" s="6">
        <f>SUM(D4:D89)</f>
        <v>488119.3</v>
      </c>
      <c r="E2" s="6">
        <f>C2-D2</f>
        <v>288213.7</v>
      </c>
      <c r="F2" s="7">
        <f>IFERROR(E2/D2, 0)</f>
        <v>0.5904574967635986</v>
      </c>
      <c r="G2" s="6">
        <f>SUM(G4:G89)</f>
        <v>0</v>
      </c>
      <c r="H2" s="8">
        <f>C2-G2</f>
        <v>776333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776333</v>
      </c>
      <c r="D4" s="14">
        <f>SUM(Apr!D4, May!D4, Jun!D4)</f>
        <v>488119.3</v>
      </c>
      <c r="E4" s="14">
        <f>IF(AND(ISNUMBER(C4),ISNUMBER(D4)), C4-D4, "")</f>
        <v>288213.7</v>
      </c>
      <c r="F4" s="15">
        <f>IFERROR(E4/D4, "")</f>
        <v>0.5904574967635986</v>
      </c>
      <c r="G4" s="16"/>
      <c r="H4" s="16">
        <f>SUM(Apr!H4, May!H4, Jun!H4)</f>
        <v>-20701.72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ySplit="2" topLeftCell="A3" activePane="bottomLeft" state="frozen"/>
      <selection pane="bottomLeft" activeCell="A12" sqref="A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SUM(C4:C80)</f>
        <v>0</v>
      </c>
      <c r="D2" s="6">
        <f>SUM(D4:D80)</f>
        <v>0</v>
      </c>
      <c r="E2" s="6">
        <f>C2-D2</f>
        <v>0</v>
      </c>
      <c r="F2" s="7">
        <f>IFERROR(E2/D2, 0)</f>
        <v>0</v>
      </c>
      <c r="G2" s="6">
        <f>SUM(G4:G80)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3" sqref="E13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89237.88</v>
      </c>
      <c r="D2" s="6">
        <f>SUM(D4:D89)</f>
        <v>92249.58</v>
      </c>
      <c r="E2" s="6">
        <f>C2-D2</f>
        <v>-3011.6999999999971</v>
      </c>
      <c r="F2" s="7">
        <f>IFERROR(E2/D2, 0)</f>
        <v>-3.2647303109672662E-2</v>
      </c>
      <c r="G2" s="6">
        <f>SUM(G4:G89)</f>
        <v>0</v>
      </c>
      <c r="H2" s="8">
        <f>C2-G2</f>
        <v>89237.88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89237.88</v>
      </c>
      <c r="D4" s="14"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v>0</v>
      </c>
      <c r="H4" s="16">
        <f>IF(AND(ISNUMBER(C4),ISNUMBER(G4)), C4-G4, "")</f>
        <v>89237.88</v>
      </c>
      <c r="I4" s="17">
        <f>IFERROR(H4/G4, 0)</f>
        <v>0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F20" sqref="F2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122811</v>
      </c>
      <c r="D2" s="6">
        <f>SUM(D4:D89)</f>
        <v>123904</v>
      </c>
      <c r="E2" s="6">
        <f>C2-D2</f>
        <v>-1093</v>
      </c>
      <c r="F2" s="7">
        <f>IFERROR(E2/D2, 0)</f>
        <v>-8.8213455578512404E-3</v>
      </c>
      <c r="G2" s="6">
        <f>SUM(G4:G89)</f>
        <v>139658</v>
      </c>
      <c r="H2" s="8">
        <f>C2-G2</f>
        <v>-16847</v>
      </c>
      <c r="I2" s="7">
        <f>IFERROR(H2/G2, 0)</f>
        <v>-0.12063039711294735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122811</v>
      </c>
      <c r="D4" s="14">
        <v>123904</v>
      </c>
      <c r="E4" s="14">
        <f>IF(AND(ISNUMBER(C4),ISNUMBER(D4)), C4-D4, "")</f>
        <v>-1093</v>
      </c>
      <c r="F4" s="15">
        <f>IFERROR(E4/D4, "")</f>
        <v>-8.8213455578512404E-3</v>
      </c>
      <c r="G4" s="16">
        <v>139658</v>
      </c>
      <c r="H4" s="16">
        <f>IF(AND(ISNUMBER(C4),ISNUMBER(G4)), C4-G4, "")</f>
        <v>-16847</v>
      </c>
      <c r="I4" s="17">
        <f>IFERROR(H4/G4, "")</f>
        <v>-0.12063039711294735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4" sqref="J4:K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165848</v>
      </c>
      <c r="D2" s="6">
        <f>SUM(D4:D90)</f>
        <v>181690</v>
      </c>
      <c r="E2" s="6">
        <f>C2-D2</f>
        <v>-15842</v>
      </c>
      <c r="F2" s="7">
        <f>IFERROR(E2/D2, 0)</f>
        <v>-8.7192470691837748E-2</v>
      </c>
      <c r="G2" s="6">
        <f>SUM(G4:G90)</f>
        <v>199880</v>
      </c>
      <c r="H2" s="8">
        <f>C2-G2</f>
        <v>-34032</v>
      </c>
      <c r="I2" s="7">
        <f>IFERROR(H2/G2, 0)</f>
        <v>-0.17026215729437663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165848</v>
      </c>
      <c r="D4" s="14">
        <v>181690</v>
      </c>
      <c r="E4" s="14">
        <f>IF(AND(ISNUMBER(C4),ISNUMBER(D4)), C4-D4, "")</f>
        <v>-15842</v>
      </c>
      <c r="F4" s="15">
        <f>IFERROR(E4/D4, "")</f>
        <v>-8.7192470691837748E-2</v>
      </c>
      <c r="G4" s="16">
        <v>199880</v>
      </c>
      <c r="H4" s="16">
        <f>IF(AND(ISNUMBER(C4),ISNUMBER(G4)), C4-G4, "")</f>
        <v>-34032</v>
      </c>
      <c r="I4" s="17">
        <f>IFERROR(H4/G4, "")</f>
        <v>-0.17026215729437663</v>
      </c>
      <c r="J4" s="18" t="s">
        <v>26</v>
      </c>
      <c r="K4" s="18" t="s">
        <v>27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H16" sqref="H16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218040.74</v>
      </c>
      <c r="D2" s="6">
        <f>SUM(D4:D90)</f>
        <v>245902.51</v>
      </c>
      <c r="E2" s="6">
        <f>C2-D2</f>
        <v>-27861.770000000019</v>
      </c>
      <c r="F2" s="7">
        <f>IFERROR(E2/D2, 0)</f>
        <v>-0.11330413016117655</v>
      </c>
      <c r="G2" s="6">
        <f>SUM(G4:G90)</f>
        <v>235942.91</v>
      </c>
      <c r="H2" s="8">
        <f>C2-G2</f>
        <v>-17902.170000000013</v>
      </c>
      <c r="I2" s="7">
        <f>IFERROR(H2/G2, 0)</f>
        <v>-7.5875007221026525E-2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218040.74</v>
      </c>
      <c r="D4" s="14">
        <v>245902.51</v>
      </c>
      <c r="E4" s="14">
        <f>IF(AND(ISNUMBER(C4),ISNUMBER(D4)), C4-D4, "")</f>
        <v>-27861.770000000019</v>
      </c>
      <c r="F4" s="15">
        <f>IFERROR(E4/D4, "")</f>
        <v>-0.11330413016117655</v>
      </c>
      <c r="G4" s="16">
        <v>235942.91</v>
      </c>
      <c r="H4" s="16">
        <f>IF(AND(ISNUMBER(C4),ISNUMBER(G4)), C4-G4, "")</f>
        <v>-17902.170000000013</v>
      </c>
      <c r="I4" s="17">
        <f>IFERROR(H4/G4, "")</f>
        <v>-7.5875007221026525E-2</v>
      </c>
      <c r="J4" s="18" t="s">
        <v>30</v>
      </c>
      <c r="K4" s="18" t="s">
        <v>31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268728.5</v>
      </c>
      <c r="D2" s="6">
        <f>SUM(D4:D90)</f>
        <v>242173.18</v>
      </c>
      <c r="E2" s="6">
        <f>C2-D2</f>
        <v>26555.320000000007</v>
      </c>
      <c r="F2" s="7">
        <f>IFERROR(E2/D2, 0)</f>
        <v>0.10965425651180699</v>
      </c>
      <c r="G2" s="6">
        <f>SUM(G4:G90)</f>
        <v>271501.45</v>
      </c>
      <c r="H2" s="8">
        <f>C2-G2</f>
        <v>-2772.9500000000116</v>
      </c>
      <c r="I2" s="7">
        <f>IFERROR(H2/G2, 0)</f>
        <v>-1.0213389283924677E-2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268728.5</v>
      </c>
      <c r="D4" s="14">
        <v>242173.18</v>
      </c>
      <c r="E4" s="14">
        <f>IF(AND(ISNUMBER(C4),ISNUMBER(D4)), C4-D4, "")</f>
        <v>26555.320000000007</v>
      </c>
      <c r="F4" s="15">
        <f>IFERROR(E4/D4, "")</f>
        <v>0.10965425651180699</v>
      </c>
      <c r="G4" s="16">
        <v>271501.45</v>
      </c>
      <c r="H4" s="16">
        <f>IF(AND(ISNUMBER(C4),ISNUMBER(G4)), C4-G4, "")</f>
        <v>-2772.9500000000116</v>
      </c>
      <c r="I4" s="17">
        <f>IFERROR(H4/G4, "")</f>
        <v>-1.0213389283924677E-2</v>
      </c>
      <c r="J4" s="18" t="s">
        <v>34</v>
      </c>
      <c r="K4" s="18" t="s">
        <v>35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workbookViewId="0">
      <pane ySplit="2" topLeftCell="A3" activePane="bottomLeft" state="frozen"/>
      <selection pane="bottomLeft" activeCell="D14" sqref="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289563.76</v>
      </c>
      <c r="D2" s="6">
        <f>SUM(D4:D90)</f>
        <v>43.61</v>
      </c>
      <c r="E2" s="6">
        <f>C2-D2</f>
        <v>289520.15000000002</v>
      </c>
      <c r="F2" s="7">
        <f>IFERROR(E2/D2, 0)</f>
        <v>6638.8477413437295</v>
      </c>
      <c r="G2" s="6">
        <f>SUM(G4:G90)</f>
        <v>289590.36</v>
      </c>
      <c r="H2" s="8">
        <f>C2-G2</f>
        <v>-26.599999999976717</v>
      </c>
      <c r="I2" s="7">
        <f>IFERROR(H2/G2, 0)</f>
        <v>-9.1853886296410967E-5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289563.76</v>
      </c>
      <c r="D4" s="14">
        <v>43.61</v>
      </c>
      <c r="E4" s="14">
        <f>IF(AND(ISNUMBER(C4),ISNUMBER(D4)), C4-D4, "")</f>
        <v>289520.15000000002</v>
      </c>
      <c r="F4" s="15">
        <f>IFERROR(E4/D4, "")</f>
        <v>6638.8477413437295</v>
      </c>
      <c r="G4" s="16">
        <v>289590.36</v>
      </c>
      <c r="H4" s="16">
        <f>IF(AND(ISNUMBER(C4),ISNUMBER(G4)), C4-G4, "")</f>
        <v>-26.599999999976717</v>
      </c>
      <c r="I4" s="17">
        <f>IFERROR(H4/G4, "")</f>
        <v>-9.1853886296410967E-5</v>
      </c>
      <c r="J4" s="18" t="s">
        <v>38</v>
      </c>
      <c r="K4" s="18" t="s">
        <v>39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22" sqref="H2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0" sqref="A10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48</v>
      </c>
      <c r="E1" s="45"/>
      <c r="F1" s="45"/>
      <c r="G1" s="43" t="s">
        <v>49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50</v>
      </c>
      <c r="E1" s="45"/>
      <c r="F1" s="45"/>
      <c r="G1" s="43" t="s">
        <v>51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s="36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57</v>
      </c>
      <c r="B4" t="s">
        <v>57</v>
      </c>
      <c r="C4" s="4" t="s">
        <v>58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