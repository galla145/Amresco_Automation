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0" documentId="13_ncr:1_{F843FDBE-EDEE-4A13-9DD8-AEA87C028A9E}" xr6:coauthVersionLast="47" xr6:coauthVersionMax="47" xr10:uidLastSave="{00000000-0000-0000-0000-000000000000}"/>
  <bookViews>
    <workbookView xWindow="-108" yWindow="-108" windowWidth="23256" windowHeight="12456" tabRatio="866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8" l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G4" i="1"/>
  <c r="B4" i="34" a="1"/>
  <c r="B4" i="34" s="1"/>
  <c r="A4" i="34" a="1"/>
  <c r="A4" i="34" s="1"/>
  <c r="A1" i="34" a="1"/>
  <c r="A1" i="34" s="1"/>
  <c r="D4" i="30"/>
  <c r="C4" i="30"/>
  <c r="D4" i="29"/>
  <c r="D2" i="29" s="1"/>
  <c r="C4" i="29"/>
  <c r="D4" i="18"/>
  <c r="D2" i="18" s="1"/>
  <c r="C4" i="18"/>
  <c r="E4" i="18" s="1"/>
  <c r="F4" i="18" s="1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4" i="1"/>
  <c r="D4" i="1"/>
  <c r="B4" i="1" a="1"/>
  <c r="B4" i="1" s="1"/>
  <c r="A4" i="1" a="1"/>
  <c r="A4" i="1" s="1"/>
  <c r="A1" i="1" a="1"/>
  <c r="A1" i="1" s="1"/>
  <c r="H4" i="33"/>
  <c r="I4" i="33" s="1"/>
  <c r="E4" i="33"/>
  <c r="F4" i="33" s="1"/>
  <c r="G2" i="33"/>
  <c r="D2" i="33"/>
  <c r="C2" i="33"/>
  <c r="A1" i="33" a="1"/>
  <c r="A1" i="33" s="1"/>
  <c r="H4" i="32"/>
  <c r="I4" i="32" s="1"/>
  <c r="E4" i="32"/>
  <c r="F4" i="32" s="1"/>
  <c r="G2" i="32"/>
  <c r="D2" i="32"/>
  <c r="C2" i="32"/>
  <c r="A1" i="32" a="1"/>
  <c r="A1" i="32" s="1"/>
  <c r="H4" i="31"/>
  <c r="I4" i="31" s="1"/>
  <c r="E4" i="31"/>
  <c r="F4" i="31" s="1"/>
  <c r="G2" i="31"/>
  <c r="D2" i="31"/>
  <c r="C2" i="31"/>
  <c r="A1" i="31" a="1"/>
  <c r="A1" i="31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I4" i="27"/>
  <c r="H4" i="27"/>
  <c r="E4" i="27"/>
  <c r="F4" i="27" s="1"/>
  <c r="G2" i="27"/>
  <c r="D2" i="27"/>
  <c r="C2" i="27"/>
  <c r="A1" i="27" a="1"/>
  <c r="A1" i="27" s="1"/>
  <c r="H4" i="26"/>
  <c r="I4" i="26" s="1"/>
  <c r="E4" i="26"/>
  <c r="F4" i="26" s="1"/>
  <c r="G2" i="26"/>
  <c r="D2" i="26"/>
  <c r="C2" i="26"/>
  <c r="A1" i="26" a="1"/>
  <c r="A1" i="26" s="1"/>
  <c r="H4" i="19"/>
  <c r="I4" i="19" s="1"/>
  <c r="E4" i="19"/>
  <c r="F4" i="19" s="1"/>
  <c r="G2" i="19"/>
  <c r="D2" i="19"/>
  <c r="C2" i="19"/>
  <c r="A1" i="19" a="1"/>
  <c r="A1" i="19" s="1"/>
  <c r="H4" i="20"/>
  <c r="I4" i="20" s="1"/>
  <c r="E4" i="20"/>
  <c r="F4" i="20" s="1"/>
  <c r="G2" i="20"/>
  <c r="D2" i="20"/>
  <c r="C2" i="20"/>
  <c r="A1" i="20" a="1"/>
  <c r="A1" i="20" s="1"/>
  <c r="H4" i="21"/>
  <c r="I4" i="21" s="1"/>
  <c r="E4" i="21"/>
  <c r="F4" i="21" s="1"/>
  <c r="G2" i="21"/>
  <c r="D2" i="21"/>
  <c r="C2" i="21"/>
  <c r="A1" i="21" a="1"/>
  <c r="A1" i="21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4" i="72"/>
  <c r="I4" i="72" s="1"/>
  <c r="G2" i="72"/>
  <c r="D2" i="72"/>
  <c r="C2" i="72"/>
  <c r="J2" i="72" s="1"/>
  <c r="A1" i="72" a="1"/>
  <c r="A1" i="72" s="1"/>
  <c r="G4" i="34" l="1"/>
  <c r="D4" i="34"/>
  <c r="D2" i="34" s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H4" i="30"/>
  <c r="I4" i="30" s="1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<sst xmlns="http://schemas.openxmlformats.org/spreadsheetml/2006/main" count="240" uniqueCount="53">
  <si>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</si>
  <si>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</si>
  <si>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</si>
  <si>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</si>
  <si>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</si>
  <si>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</si>
  <si>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</si>
  <si>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</si>
  <si>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</si>
  <si>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</si>
  <si>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</si>
  <si>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</si>
  <si>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</si>
  <si>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</si>
  <si>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</si>
  <si>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</si>
  <si>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</si>
  <si>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</si>
  <si>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</si>
  <si>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</si>
  <si>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</si>
  <si>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</si>
  <si>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</si>
  <si>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</si>
  <si>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</si>
  <si>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</si>
  <si>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>May Actual v. Expected</t>
  </si>
  <si>
    <t>May Actual v. Forecasted</t>
  </si>
  <si>
    <t>April Actual v. Expected</t>
  </si>
  <si>
    <t>April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</si>
  <si>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</si>
  <si>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</si>
  <si>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</si>
  <si>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</si>
  <si>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</si>
  <si>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</si>
  <si>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</si>
  <si>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</si>
  <si>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</si>
  <si>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</si>
  <si>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</si>
  <si>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</si>
  <si>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</si>
  <si>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</si>
  <si>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</si>
  <si>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Burt Process Equipment</t>
  </si>
  <si>
    <t>Site DAS Name</t>
  </si>
  <si>
    <t>Update</t>
  </si>
  <si>
    <t>DAS</t>
  </si>
  <si>
    <t>CT: Hamden - Burt Process Equipment</t>
  </si>
  <si>
    <t>CT</t>
  </si>
  <si>
    <t>AF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</si>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</sst>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48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D9E1F2"/>
        <bgColor rgb="FF000000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49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49" fontId="30" fillId="38" borderId="0" xfId="2" applyNumberFormat="1" applyFont="1" applyFill="1" applyBorder="1" applyAlignment="1">
      <alignment vertical="top" wrapText="1"/>
    </xf>
    <xf numFmtId="0" fontId="0" fillId="0" borderId="0" xfId="0" applyAlignment="1">
      <alignment horizontal="center" wrapText="1"/>
    </xf>
    <xf numFmtId="9" fontId="30" fillId="3" borderId="0" xfId="2" applyFont="1" applyFill="1" applyAlignment="1">
      <alignment horizontal="right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0" fontId="29" fillId="43" borderId="11" xfId="0" applyFont="1" applyFill="1" applyBorder="1" applyAlignment="1">
      <alignment horizontal="center" vertical="center" wrapText="1"/>
    </xf>
    <xf numFmtId="0" fontId="24" fillId="41" borderId="11" xfId="0" applyFont="1" applyFill="1" applyBorder="1" applyAlignment="1">
      <alignment horizontal="center" vertical="center" wrapText="1"/>
    </xf>
    <xf numFmtId="3" fontId="35" fillId="3" borderId="0" xfId="0" applyNumberFormat="1" applyFont="1" applyFill="1" applyAlignment="1">
      <alignment horizontal="right"/>
    </xf>
    <xf numFmtId="0" fontId="36" fillId="46" borderId="0" xfId="0" applyFont="1" applyFill="1" applyAlignment="1">
      <alignment horizontal="right"/>
    </xf>
    <xf numFmtId="0" fontId="24" fillId="42" borderId="11" xfId="0" applyFont="1" applyFill="1" applyBorder="1" applyAlignment="1">
      <alignment horizontal="center" vertical="center"/>
    </xf>
    <xf numFmtId="164" fontId="36" fillId="47" borderId="0" xfId="1" applyNumberFormat="1" applyFont="1" applyFill="1" applyBorder="1" applyAlignment="1">
      <alignment horizontal="right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36" dataCellStyle="Normal 2"/>
    <tableColumn id="1" xr3:uid="{9A753695-C18C-437C-AD9C-C2CE5C1A806E}" name="Site" dataDxfId="35" dataCellStyle="Normal 2"/>
    <tableColumn id="2" xr3:uid="{250F229D-34D2-4043-BE8F-6D9C210E223F}" name="State" dataDxfId="34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07"/>
  <sheetViews>
    <sheetView tabSelected="1" workbookViewId="0">
      <pane xSplit="2" ySplit="3" topLeftCell="C4" activePane="bottomRight" state="frozen"/>
      <selection pane="topRight" activeCell="A10" sqref="A10"/>
      <selection pane="bottomLeft" activeCell="A10" sqref="A10"/>
      <selection pane="bottomRight" activeCell="I4" sqref="I4"/>
    </sheetView>
  </sheetViews>
  <sheetFormatPr defaultRowHeight="13.2" x14ac:dyDescent="0.25"/>
  <cols>
    <col min="1" max="1" width="35.88671875" bestFit="1" customWidth="1"/>
    <col min="2" max="2" width="8.441406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</cols>
  <sheetData>
    <row r="1" spans="1:9" ht="19.5" customHeight="1" x14ac:dyDescent="0.25">
      <c r="A1" s="46" t="str" cm="1">
        <f t="array" ref="A1">portfolio</f>
        <v>Burt Process Equipment</v>
      </c>
      <c r="B1" s="46"/>
      <c r="C1" s="46"/>
      <c r="D1" s="47" t="s">
        <v>0</v>
      </c>
      <c r="E1" s="47"/>
      <c r="F1" s="47"/>
      <c r="G1" s="45" t="s">
        <v>1</v>
      </c>
      <c r="H1" s="45"/>
      <c r="I1" s="45"/>
    </row>
    <row r="2" spans="1:9" ht="19.5" customHeight="1" x14ac:dyDescent="0.25">
      <c r="A2" s="48" t="s">
        <v>2</v>
      </c>
      <c r="B2" s="48"/>
      <c r="C2" s="5">
        <f>SUM(C4:C65)</f>
        <v>128069.67948857928</v>
      </c>
      <c r="D2" s="5">
        <f>SUM(D4:D65)</f>
        <v>0</v>
      </c>
      <c r="E2" s="5">
        <f>C2-D2</f>
        <v>128069.67948857928</v>
      </c>
      <c r="F2" s="6">
        <f>IFERROR(E2/D2, 0)</f>
        <v>0</v>
      </c>
      <c r="G2" s="5">
        <f>SUM(G4:G65)</f>
        <v>158905.19</v>
      </c>
      <c r="H2" s="7">
        <f>C2-G2</f>
        <v>-30835.510511420725</v>
      </c>
      <c r="I2" s="6">
        <f>IFERROR(H2/G2, 0)</f>
        <v>-0.19404973815783313</v>
      </c>
    </row>
    <row r="3" spans="1:9" ht="14.25" customHeight="1" x14ac:dyDescent="0.25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 x14ac:dyDescent="0.25">
      <c r="A4" s="10" t="str" cm="1">
        <f t="array" ref="A4">Sites[Site]</f>
        <v>CT: Hamden - Burt Process Equipment</v>
      </c>
      <c r="B4" s="9" t="str" cm="1">
        <f t="array" ref="B4">Sites[State]</f>
        <v>CT</v>
      </c>
      <c r="C4" s="18">
        <f>SUM('1st Qtr'!C4, '2nd Qtr'!C4, '3rd Qtr'!C4, '4th Qtr'!C4)</f>
        <v>128069.67948857928</v>
      </c>
      <c r="D4" s="11">
        <f>SUM('1st Qtr'!D4, '2nd Qtr'!D4, '3rd Qtr'!D4, '4th Qtr'!D4)</f>
        <v>0</v>
      </c>
      <c r="E4" s="11">
        <f>IF(AND(ISNUMBER(C4),ISNUMBER(D4)), C4-D4, "")</f>
        <v>128069.67948857928</v>
      </c>
      <c r="F4" s="12" t="str">
        <f>IFERROR(E4/D4, "")</f>
        <v/>
      </c>
      <c r="G4" s="13">
        <f>SUM('1st Qtr'!G4, '2nd Qtr'!G4, '3rd Qtr'!G4, '4th Qtr'!G4)</f>
        <v>158905.19</v>
      </c>
      <c r="H4" s="13">
        <f>SUM('1st Qtr'!H4, '2nd Qtr'!H4, '3rd Qtr'!H4, '4th Qtr'!H4)</f>
        <v>-30835.510511420711</v>
      </c>
      <c r="I4" s="14">
        <f>IFERROR(H4/G4, "")</f>
        <v>-0.19404973815783305</v>
      </c>
    </row>
    <row r="5" spans="1:9" ht="13.8" x14ac:dyDescent="0.3">
      <c r="A5" s="15"/>
      <c r="B5" s="15"/>
      <c r="C5" s="15"/>
      <c r="D5" s="15"/>
      <c r="E5" s="15"/>
      <c r="F5" s="16"/>
      <c r="G5" s="15"/>
      <c r="H5" s="15"/>
      <c r="I5" s="16"/>
    </row>
    <row r="6" spans="1:9" ht="13.8" x14ac:dyDescent="0.3">
      <c r="A6" s="15"/>
      <c r="B6" s="15"/>
      <c r="C6" s="15"/>
      <c r="D6" s="15"/>
      <c r="E6" s="15"/>
      <c r="F6" s="16"/>
      <c r="G6" s="15"/>
      <c r="H6" s="15"/>
      <c r="I6" s="16"/>
    </row>
    <row r="7" spans="1:9" ht="13.8" x14ac:dyDescent="0.3">
      <c r="A7" s="15"/>
      <c r="B7" s="15"/>
      <c r="C7" s="15"/>
      <c r="D7" s="15"/>
      <c r="E7" s="15"/>
      <c r="F7" s="16"/>
      <c r="G7" s="15"/>
      <c r="H7" s="15"/>
      <c r="I7" s="16"/>
    </row>
    <row r="8" spans="1:9" ht="13.8" x14ac:dyDescent="0.3">
      <c r="A8" s="15"/>
      <c r="B8" s="15"/>
      <c r="C8" s="15"/>
      <c r="D8" s="15"/>
      <c r="E8" s="15"/>
      <c r="F8" s="16"/>
      <c r="G8" s="15"/>
      <c r="H8" s="15"/>
      <c r="I8" s="16"/>
    </row>
    <row r="9" spans="1:9" ht="13.8" x14ac:dyDescent="0.3">
      <c r="A9" s="15"/>
      <c r="B9" s="15"/>
      <c r="C9" s="15"/>
      <c r="D9" s="15"/>
      <c r="E9" s="15"/>
      <c r="F9" s="16"/>
      <c r="G9" s="15"/>
      <c r="H9" s="15"/>
      <c r="I9" s="16"/>
    </row>
    <row r="10" spans="1:9" ht="13.8" x14ac:dyDescent="0.3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8" x14ac:dyDescent="0.3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8" x14ac:dyDescent="0.3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8" x14ac:dyDescent="0.3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8" x14ac:dyDescent="0.3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8" x14ac:dyDescent="0.3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8" x14ac:dyDescent="0.3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8" x14ac:dyDescent="0.3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8" x14ac:dyDescent="0.3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8" x14ac:dyDescent="0.3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8" x14ac:dyDescent="0.3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8" x14ac:dyDescent="0.3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8" x14ac:dyDescent="0.3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8" x14ac:dyDescent="0.3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8" x14ac:dyDescent="0.3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8" x14ac:dyDescent="0.3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8" x14ac:dyDescent="0.3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8" x14ac:dyDescent="0.3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8" x14ac:dyDescent="0.3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8" x14ac:dyDescent="0.3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8" x14ac:dyDescent="0.3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8" x14ac:dyDescent="0.3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8" x14ac:dyDescent="0.3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8" x14ac:dyDescent="0.3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8" x14ac:dyDescent="0.3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8" x14ac:dyDescent="0.3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8" x14ac:dyDescent="0.3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8" x14ac:dyDescent="0.3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8" x14ac:dyDescent="0.3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8" x14ac:dyDescent="0.3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8" x14ac:dyDescent="0.3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8" x14ac:dyDescent="0.3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8" x14ac:dyDescent="0.3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8" x14ac:dyDescent="0.3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8" x14ac:dyDescent="0.3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8" x14ac:dyDescent="0.3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8" x14ac:dyDescent="0.3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8" x14ac:dyDescent="0.3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8" x14ac:dyDescent="0.3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8" x14ac:dyDescent="0.3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8" x14ac:dyDescent="0.3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8" x14ac:dyDescent="0.3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8" x14ac:dyDescent="0.3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8" x14ac:dyDescent="0.3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8" x14ac:dyDescent="0.3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8" x14ac:dyDescent="0.3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8" x14ac:dyDescent="0.3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8" x14ac:dyDescent="0.3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8" x14ac:dyDescent="0.3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8" x14ac:dyDescent="0.3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8" x14ac:dyDescent="0.3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8" x14ac:dyDescent="0.3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8" x14ac:dyDescent="0.3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8" x14ac:dyDescent="0.3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8" x14ac:dyDescent="0.3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8" x14ac:dyDescent="0.3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8" x14ac:dyDescent="0.3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8" x14ac:dyDescent="0.3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8" x14ac:dyDescent="0.3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8" x14ac:dyDescent="0.3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8" x14ac:dyDescent="0.3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8" x14ac:dyDescent="0.3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8" x14ac:dyDescent="0.3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8" x14ac:dyDescent="0.3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8" x14ac:dyDescent="0.3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8" x14ac:dyDescent="0.3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8" x14ac:dyDescent="0.3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8" x14ac:dyDescent="0.3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8" x14ac:dyDescent="0.3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8" x14ac:dyDescent="0.3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8" x14ac:dyDescent="0.3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8" x14ac:dyDescent="0.3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8" x14ac:dyDescent="0.3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8" x14ac:dyDescent="0.3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8" x14ac:dyDescent="0.3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8" x14ac:dyDescent="0.3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8" x14ac:dyDescent="0.3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8" x14ac:dyDescent="0.3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8" x14ac:dyDescent="0.3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8" x14ac:dyDescent="0.3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8" x14ac:dyDescent="0.3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8" x14ac:dyDescent="0.3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8" x14ac:dyDescent="0.3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8" x14ac:dyDescent="0.3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8" x14ac:dyDescent="0.3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8" x14ac:dyDescent="0.3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8" x14ac:dyDescent="0.3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8" x14ac:dyDescent="0.3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8" x14ac:dyDescent="0.3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8" x14ac:dyDescent="0.3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8" x14ac:dyDescent="0.3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8" x14ac:dyDescent="0.3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8" x14ac:dyDescent="0.3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8" x14ac:dyDescent="0.3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8" x14ac:dyDescent="0.3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8" x14ac:dyDescent="0.3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8" x14ac:dyDescent="0.3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8" x14ac:dyDescent="0.3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8" x14ac:dyDescent="0.3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8" x14ac:dyDescent="0.3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8" x14ac:dyDescent="0.3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8" x14ac:dyDescent="0.3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8" x14ac:dyDescent="0.3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8" x14ac:dyDescent="0.3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8" x14ac:dyDescent="0.3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8" x14ac:dyDescent="0.3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8" x14ac:dyDescent="0.3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8" x14ac:dyDescent="0.3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8" x14ac:dyDescent="0.3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8" x14ac:dyDescent="0.3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8" x14ac:dyDescent="0.3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8" x14ac:dyDescent="0.3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8" x14ac:dyDescent="0.3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8" x14ac:dyDescent="0.3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8" x14ac:dyDescent="0.3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8" x14ac:dyDescent="0.3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8" x14ac:dyDescent="0.3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8" x14ac:dyDescent="0.3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8" x14ac:dyDescent="0.3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8" x14ac:dyDescent="0.3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8" x14ac:dyDescent="0.3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8" x14ac:dyDescent="0.3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8" x14ac:dyDescent="0.3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8" x14ac:dyDescent="0.3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8" x14ac:dyDescent="0.3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8" x14ac:dyDescent="0.3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8" x14ac:dyDescent="0.3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8" x14ac:dyDescent="0.3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8" x14ac:dyDescent="0.3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8" x14ac:dyDescent="0.3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8" x14ac:dyDescent="0.3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8" x14ac:dyDescent="0.3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8" x14ac:dyDescent="0.3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8" x14ac:dyDescent="0.3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8" x14ac:dyDescent="0.3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8" x14ac:dyDescent="0.3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8" x14ac:dyDescent="0.3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8" x14ac:dyDescent="0.3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8" x14ac:dyDescent="0.3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8" x14ac:dyDescent="0.3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8" x14ac:dyDescent="0.3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8" x14ac:dyDescent="0.3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8" x14ac:dyDescent="0.3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8" x14ac:dyDescent="0.3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8" x14ac:dyDescent="0.3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8" x14ac:dyDescent="0.3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8" x14ac:dyDescent="0.3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8" x14ac:dyDescent="0.3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8" x14ac:dyDescent="0.3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8" x14ac:dyDescent="0.3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8" x14ac:dyDescent="0.3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8" x14ac:dyDescent="0.3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8" x14ac:dyDescent="0.3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8" x14ac:dyDescent="0.3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8" x14ac:dyDescent="0.3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8" x14ac:dyDescent="0.3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8" x14ac:dyDescent="0.3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8" x14ac:dyDescent="0.3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8" x14ac:dyDescent="0.3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8" x14ac:dyDescent="0.3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8" x14ac:dyDescent="0.3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8" x14ac:dyDescent="0.3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8" x14ac:dyDescent="0.3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8" x14ac:dyDescent="0.3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8" x14ac:dyDescent="0.3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8" x14ac:dyDescent="0.3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8" x14ac:dyDescent="0.3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8" x14ac:dyDescent="0.3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8" x14ac:dyDescent="0.3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8" x14ac:dyDescent="0.3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8" x14ac:dyDescent="0.3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8" x14ac:dyDescent="0.3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8" x14ac:dyDescent="0.3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8" x14ac:dyDescent="0.3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8" x14ac:dyDescent="0.3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8" x14ac:dyDescent="0.3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8" x14ac:dyDescent="0.3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8" x14ac:dyDescent="0.3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8" x14ac:dyDescent="0.3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8" x14ac:dyDescent="0.3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8" x14ac:dyDescent="0.3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8" x14ac:dyDescent="0.3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8" x14ac:dyDescent="0.3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8" x14ac:dyDescent="0.3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8" x14ac:dyDescent="0.3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8" x14ac:dyDescent="0.3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8" x14ac:dyDescent="0.3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8" x14ac:dyDescent="0.3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8" x14ac:dyDescent="0.3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8" x14ac:dyDescent="0.3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8" x14ac:dyDescent="0.3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8" x14ac:dyDescent="0.3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8" x14ac:dyDescent="0.3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8" x14ac:dyDescent="0.3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8" x14ac:dyDescent="0.3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8" x14ac:dyDescent="0.3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8" x14ac:dyDescent="0.3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8" x14ac:dyDescent="0.3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8" x14ac:dyDescent="0.3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8" x14ac:dyDescent="0.3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8" x14ac:dyDescent="0.3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8" x14ac:dyDescent="0.3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8" x14ac:dyDescent="0.3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8" x14ac:dyDescent="0.3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8" x14ac:dyDescent="0.3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8" x14ac:dyDescent="0.3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8" x14ac:dyDescent="0.3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8" x14ac:dyDescent="0.3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8" x14ac:dyDescent="0.3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8" x14ac:dyDescent="0.3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8" x14ac:dyDescent="0.3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8" x14ac:dyDescent="0.3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8" x14ac:dyDescent="0.3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8" x14ac:dyDescent="0.3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8" x14ac:dyDescent="0.3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8" x14ac:dyDescent="0.3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8" x14ac:dyDescent="0.3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8" x14ac:dyDescent="0.3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8" x14ac:dyDescent="0.3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8" x14ac:dyDescent="0.3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8" x14ac:dyDescent="0.3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8" x14ac:dyDescent="0.3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8" x14ac:dyDescent="0.3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8" x14ac:dyDescent="0.3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8" x14ac:dyDescent="0.3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8" x14ac:dyDescent="0.3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8" x14ac:dyDescent="0.3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8" x14ac:dyDescent="0.3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8" x14ac:dyDescent="0.3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8" x14ac:dyDescent="0.3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8" x14ac:dyDescent="0.3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8" x14ac:dyDescent="0.3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8" x14ac:dyDescent="0.3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8" x14ac:dyDescent="0.3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8" x14ac:dyDescent="0.3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8" x14ac:dyDescent="0.3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8" x14ac:dyDescent="0.3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8" x14ac:dyDescent="0.3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8" x14ac:dyDescent="0.3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8" x14ac:dyDescent="0.3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8" x14ac:dyDescent="0.3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8" x14ac:dyDescent="0.3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8" x14ac:dyDescent="0.3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8" x14ac:dyDescent="0.3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8" x14ac:dyDescent="0.3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8" x14ac:dyDescent="0.3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8" x14ac:dyDescent="0.3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8" x14ac:dyDescent="0.3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8" x14ac:dyDescent="0.3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8" x14ac:dyDescent="0.3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8" x14ac:dyDescent="0.3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8" x14ac:dyDescent="0.3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8" x14ac:dyDescent="0.3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8" x14ac:dyDescent="0.3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8" x14ac:dyDescent="0.3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8" x14ac:dyDescent="0.3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8" x14ac:dyDescent="0.3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8" x14ac:dyDescent="0.3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8" x14ac:dyDescent="0.3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8" x14ac:dyDescent="0.3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8" x14ac:dyDescent="0.3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8" x14ac:dyDescent="0.3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8" x14ac:dyDescent="0.3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8" x14ac:dyDescent="0.3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8" x14ac:dyDescent="0.3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8" x14ac:dyDescent="0.3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8" x14ac:dyDescent="0.3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8" x14ac:dyDescent="0.3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8" x14ac:dyDescent="0.3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8" x14ac:dyDescent="0.3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8" x14ac:dyDescent="0.3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8" x14ac:dyDescent="0.3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8" x14ac:dyDescent="0.3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8" x14ac:dyDescent="0.3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8" x14ac:dyDescent="0.3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8" x14ac:dyDescent="0.3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8" x14ac:dyDescent="0.3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8" x14ac:dyDescent="0.3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8" x14ac:dyDescent="0.3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8" x14ac:dyDescent="0.3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8" x14ac:dyDescent="0.3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8" x14ac:dyDescent="0.3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8" x14ac:dyDescent="0.3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8" x14ac:dyDescent="0.3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8" x14ac:dyDescent="0.3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8" x14ac:dyDescent="0.3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8" x14ac:dyDescent="0.3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8" x14ac:dyDescent="0.3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8" x14ac:dyDescent="0.3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8" x14ac:dyDescent="0.3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8" x14ac:dyDescent="0.3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8" x14ac:dyDescent="0.3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8" x14ac:dyDescent="0.3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8" x14ac:dyDescent="0.3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8" x14ac:dyDescent="0.3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8" x14ac:dyDescent="0.3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8" x14ac:dyDescent="0.3">
      <c r="A306" s="15"/>
      <c r="B306" s="15"/>
      <c r="C306" s="15"/>
      <c r="D306" s="15"/>
      <c r="E306" s="15"/>
      <c r="F306" s="16"/>
      <c r="G306" s="15"/>
      <c r="H306" s="15"/>
      <c r="I306" s="16"/>
    </row>
    <row r="307" spans="1:9" ht="13.8" x14ac:dyDescent="0.3">
      <c r="A307" s="15"/>
      <c r="B307" s="15"/>
      <c r="C307" s="15"/>
      <c r="D307" s="15"/>
      <c r="E307" s="15"/>
      <c r="F307" s="16"/>
      <c r="G307" s="15"/>
      <c r="H307" s="15"/>
      <c r="I307" s="16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65 I4:I65">
    <cfRule type="cellIs" dxfId="33" priority="1" stopIfTrue="1" operator="lessThanOrEqual">
      <formula>-0.1</formula>
    </cfRule>
    <cfRule type="expression" dxfId="32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07"/>
  <sheetViews>
    <sheetView workbookViewId="0">
      <pane xSplit="2" ySplit="3" topLeftCell="C4" activePane="bottomRight" state="frozen"/>
      <selection pane="topRight" activeCell="A10" sqref="A10"/>
      <selection pane="bottomLeft" activeCell="A10" sqref="A10"/>
      <selection pane="bottomRight" activeCell="A10" sqref="A10"/>
    </sheetView>
  </sheetViews>
  <sheetFormatPr defaultRowHeight="13.2" x14ac:dyDescent="0.25"/>
  <cols>
    <col min="1" max="1" width="35.88671875" bestFit="1" customWidth="1"/>
    <col min="2" max="2" width="8.441406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</cols>
  <sheetData>
    <row r="1" spans="1:9" ht="19.5" customHeight="1" x14ac:dyDescent="0.25">
      <c r="A1" s="46" t="str" cm="1">
        <f t="array" ref="A1">portfolio</f>
        <v>Burt Process Equipment</v>
      </c>
      <c r="B1" s="46"/>
      <c r="C1" s="46"/>
      <c r="D1" s="47" t="s">
        <v>10</v>
      </c>
      <c r="E1" s="47"/>
      <c r="F1" s="47"/>
      <c r="G1" s="45" t="s">
        <v>11</v>
      </c>
      <c r="H1" s="45"/>
      <c r="I1" s="45"/>
    </row>
    <row r="2" spans="1:9" ht="19.5" customHeight="1" x14ac:dyDescent="0.25">
      <c r="A2" s="48" t="s">
        <v>2</v>
      </c>
      <c r="B2" s="48"/>
      <c r="C2" s="5">
        <f>SUM(C4:C65)</f>
        <v>38675.96970296889</v>
      </c>
      <c r="D2" s="5">
        <f>SUM(D4:D65)</f>
        <v>0</v>
      </c>
      <c r="E2" s="5">
        <f>C2-D2</f>
        <v>38675.96970296889</v>
      </c>
      <c r="F2" s="6">
        <f>IFERROR(E2/D2, 0)</f>
        <v>0</v>
      </c>
      <c r="G2" s="5">
        <f>SUM(G4:G65)</f>
        <v>54189.87</v>
      </c>
      <c r="H2" s="7">
        <f>C2-G2</f>
        <v>-15513.900297031112</v>
      </c>
      <c r="I2" s="6">
        <f>IFERROR(H2/G2, 0)</f>
        <v>-0.28628783012454379</v>
      </c>
    </row>
    <row r="3" spans="1:9" ht="14.25" customHeight="1" x14ac:dyDescent="0.25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 x14ac:dyDescent="0.25">
      <c r="A4" s="36" t="str" cm="1">
        <f t="array" ref="A4">Sites[Site]</f>
        <v>CT: Hamden - Burt Process Equipment</v>
      </c>
      <c r="B4" s="9" t="str" cm="1">
        <f t="array" ref="B4">Sites[State]</f>
        <v>CT</v>
      </c>
      <c r="C4" s="18">
        <f>SUM(Jan!C4, Feb!C4, Mar!C4)</f>
        <v>38675.96970296889</v>
      </c>
      <c r="D4" s="11">
        <f>SUM(Jan!D4, Feb!D4, Mar!D4)</f>
        <v>0</v>
      </c>
      <c r="E4" s="11">
        <f>IF(AND(ISNUMBER(C4),ISNUMBER(D4)), C4-D4, "")</f>
        <v>38675.96970296889</v>
      </c>
      <c r="F4" s="12" t="str">
        <f>IFERROR(E4/D4, "")</f>
        <v/>
      </c>
      <c r="G4" s="13">
        <f>SUM(Jan!G4, Feb!G4, Mar!G4)</f>
        <v>54189.87</v>
      </c>
      <c r="H4" s="13">
        <f>SUM(Jan!H4, Feb!H4, Mar!H4)</f>
        <v>-15513.900297031112</v>
      </c>
      <c r="I4" s="14">
        <f>IFERROR(H4/G4, "")</f>
        <v>-0.28628783012454379</v>
      </c>
    </row>
    <row r="5" spans="1:9" ht="13.8" x14ac:dyDescent="0.3">
      <c r="A5" s="15"/>
      <c r="B5" s="15"/>
      <c r="C5" s="15"/>
      <c r="D5" s="15"/>
      <c r="E5" s="15"/>
      <c r="F5" s="16"/>
      <c r="G5" s="15"/>
      <c r="H5" s="15"/>
      <c r="I5" s="16"/>
    </row>
    <row r="6" spans="1:9" ht="13.8" x14ac:dyDescent="0.3">
      <c r="A6" s="15"/>
      <c r="B6" s="15"/>
      <c r="C6" s="15"/>
      <c r="D6" s="15"/>
      <c r="E6" s="15"/>
      <c r="F6" s="16"/>
      <c r="G6" s="15"/>
      <c r="H6" s="15"/>
      <c r="I6" s="16"/>
    </row>
    <row r="7" spans="1:9" ht="13.8" x14ac:dyDescent="0.3">
      <c r="A7" s="15"/>
      <c r="B7" s="15"/>
      <c r="C7" s="15"/>
      <c r="D7" s="15"/>
      <c r="E7" s="15"/>
      <c r="F7" s="16"/>
      <c r="G7" s="15"/>
      <c r="H7" s="15"/>
      <c r="I7" s="16"/>
    </row>
    <row r="8" spans="1:9" ht="13.8" x14ac:dyDescent="0.3">
      <c r="A8" s="15"/>
      <c r="B8" s="15"/>
      <c r="C8" s="15"/>
      <c r="D8" s="15"/>
      <c r="E8" s="15"/>
      <c r="F8" s="16"/>
      <c r="G8" s="15"/>
      <c r="H8" s="15"/>
      <c r="I8" s="16"/>
    </row>
    <row r="9" spans="1:9" ht="13.8" x14ac:dyDescent="0.3">
      <c r="A9" s="15"/>
      <c r="B9" s="15"/>
      <c r="C9" s="15"/>
      <c r="D9" s="15"/>
      <c r="E9" s="15"/>
      <c r="F9" s="16"/>
      <c r="G9" s="15"/>
      <c r="H9" s="15"/>
      <c r="I9" s="16"/>
    </row>
    <row r="10" spans="1:9" ht="13.8" x14ac:dyDescent="0.3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8" x14ac:dyDescent="0.3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8" x14ac:dyDescent="0.3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8" x14ac:dyDescent="0.3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8" x14ac:dyDescent="0.3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8" x14ac:dyDescent="0.3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8" x14ac:dyDescent="0.3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8" x14ac:dyDescent="0.3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8" x14ac:dyDescent="0.3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8" x14ac:dyDescent="0.3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8" x14ac:dyDescent="0.3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8" x14ac:dyDescent="0.3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8" x14ac:dyDescent="0.3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8" x14ac:dyDescent="0.3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8" x14ac:dyDescent="0.3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8" x14ac:dyDescent="0.3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8" x14ac:dyDescent="0.3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8" x14ac:dyDescent="0.3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8" x14ac:dyDescent="0.3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8" x14ac:dyDescent="0.3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8" x14ac:dyDescent="0.3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8" x14ac:dyDescent="0.3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8" x14ac:dyDescent="0.3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8" x14ac:dyDescent="0.3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8" x14ac:dyDescent="0.3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8" x14ac:dyDescent="0.3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8" x14ac:dyDescent="0.3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8" x14ac:dyDescent="0.3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8" x14ac:dyDescent="0.3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8" x14ac:dyDescent="0.3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8" x14ac:dyDescent="0.3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8" x14ac:dyDescent="0.3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8" x14ac:dyDescent="0.3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8" x14ac:dyDescent="0.3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8" x14ac:dyDescent="0.3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8" x14ac:dyDescent="0.3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8" x14ac:dyDescent="0.3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8" x14ac:dyDescent="0.3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8" x14ac:dyDescent="0.3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8" x14ac:dyDescent="0.3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8" x14ac:dyDescent="0.3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8" x14ac:dyDescent="0.3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8" x14ac:dyDescent="0.3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8" x14ac:dyDescent="0.3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8" x14ac:dyDescent="0.3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8" x14ac:dyDescent="0.3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8" x14ac:dyDescent="0.3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8" x14ac:dyDescent="0.3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8" x14ac:dyDescent="0.3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8" x14ac:dyDescent="0.3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8" x14ac:dyDescent="0.3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8" x14ac:dyDescent="0.3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8" x14ac:dyDescent="0.3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8" x14ac:dyDescent="0.3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8" x14ac:dyDescent="0.3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8" x14ac:dyDescent="0.3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8" x14ac:dyDescent="0.3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8" x14ac:dyDescent="0.3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8" x14ac:dyDescent="0.3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8" x14ac:dyDescent="0.3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8" x14ac:dyDescent="0.3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8" x14ac:dyDescent="0.3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8" x14ac:dyDescent="0.3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8" x14ac:dyDescent="0.3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8" x14ac:dyDescent="0.3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8" x14ac:dyDescent="0.3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8" x14ac:dyDescent="0.3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8" x14ac:dyDescent="0.3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8" x14ac:dyDescent="0.3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8" x14ac:dyDescent="0.3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8" x14ac:dyDescent="0.3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8" x14ac:dyDescent="0.3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8" x14ac:dyDescent="0.3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8" x14ac:dyDescent="0.3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8" x14ac:dyDescent="0.3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8" x14ac:dyDescent="0.3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8" x14ac:dyDescent="0.3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8" x14ac:dyDescent="0.3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8" x14ac:dyDescent="0.3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8" x14ac:dyDescent="0.3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8" x14ac:dyDescent="0.3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8" x14ac:dyDescent="0.3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8" x14ac:dyDescent="0.3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8" x14ac:dyDescent="0.3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8" x14ac:dyDescent="0.3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8" x14ac:dyDescent="0.3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8" x14ac:dyDescent="0.3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8" x14ac:dyDescent="0.3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8" x14ac:dyDescent="0.3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8" x14ac:dyDescent="0.3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8" x14ac:dyDescent="0.3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8" x14ac:dyDescent="0.3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8" x14ac:dyDescent="0.3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8" x14ac:dyDescent="0.3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8" x14ac:dyDescent="0.3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8" x14ac:dyDescent="0.3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8" x14ac:dyDescent="0.3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8" x14ac:dyDescent="0.3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8" x14ac:dyDescent="0.3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8" x14ac:dyDescent="0.3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8" x14ac:dyDescent="0.3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8" x14ac:dyDescent="0.3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8" x14ac:dyDescent="0.3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8" x14ac:dyDescent="0.3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8" x14ac:dyDescent="0.3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8" x14ac:dyDescent="0.3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8" x14ac:dyDescent="0.3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8" x14ac:dyDescent="0.3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8" x14ac:dyDescent="0.3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8" x14ac:dyDescent="0.3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8" x14ac:dyDescent="0.3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8" x14ac:dyDescent="0.3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8" x14ac:dyDescent="0.3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8" x14ac:dyDescent="0.3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8" x14ac:dyDescent="0.3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8" x14ac:dyDescent="0.3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8" x14ac:dyDescent="0.3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8" x14ac:dyDescent="0.3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8" x14ac:dyDescent="0.3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8" x14ac:dyDescent="0.3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8" x14ac:dyDescent="0.3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8" x14ac:dyDescent="0.3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8" x14ac:dyDescent="0.3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8" x14ac:dyDescent="0.3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8" x14ac:dyDescent="0.3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8" x14ac:dyDescent="0.3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8" x14ac:dyDescent="0.3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8" x14ac:dyDescent="0.3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8" x14ac:dyDescent="0.3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8" x14ac:dyDescent="0.3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8" x14ac:dyDescent="0.3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8" x14ac:dyDescent="0.3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8" x14ac:dyDescent="0.3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8" x14ac:dyDescent="0.3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8" x14ac:dyDescent="0.3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8" x14ac:dyDescent="0.3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8" x14ac:dyDescent="0.3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8" x14ac:dyDescent="0.3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8" x14ac:dyDescent="0.3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8" x14ac:dyDescent="0.3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8" x14ac:dyDescent="0.3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8" x14ac:dyDescent="0.3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8" x14ac:dyDescent="0.3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8" x14ac:dyDescent="0.3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8" x14ac:dyDescent="0.3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8" x14ac:dyDescent="0.3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8" x14ac:dyDescent="0.3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8" x14ac:dyDescent="0.3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8" x14ac:dyDescent="0.3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8" x14ac:dyDescent="0.3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8" x14ac:dyDescent="0.3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8" x14ac:dyDescent="0.3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8" x14ac:dyDescent="0.3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8" x14ac:dyDescent="0.3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8" x14ac:dyDescent="0.3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8" x14ac:dyDescent="0.3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8" x14ac:dyDescent="0.3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8" x14ac:dyDescent="0.3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8" x14ac:dyDescent="0.3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8" x14ac:dyDescent="0.3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8" x14ac:dyDescent="0.3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8" x14ac:dyDescent="0.3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8" x14ac:dyDescent="0.3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8" x14ac:dyDescent="0.3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8" x14ac:dyDescent="0.3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8" x14ac:dyDescent="0.3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8" x14ac:dyDescent="0.3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8" x14ac:dyDescent="0.3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8" x14ac:dyDescent="0.3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8" x14ac:dyDescent="0.3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8" x14ac:dyDescent="0.3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8" x14ac:dyDescent="0.3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8" x14ac:dyDescent="0.3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8" x14ac:dyDescent="0.3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8" x14ac:dyDescent="0.3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8" x14ac:dyDescent="0.3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8" x14ac:dyDescent="0.3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8" x14ac:dyDescent="0.3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8" x14ac:dyDescent="0.3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8" x14ac:dyDescent="0.3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8" x14ac:dyDescent="0.3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8" x14ac:dyDescent="0.3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8" x14ac:dyDescent="0.3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8" x14ac:dyDescent="0.3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8" x14ac:dyDescent="0.3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8" x14ac:dyDescent="0.3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8" x14ac:dyDescent="0.3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8" x14ac:dyDescent="0.3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8" x14ac:dyDescent="0.3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8" x14ac:dyDescent="0.3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8" x14ac:dyDescent="0.3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8" x14ac:dyDescent="0.3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8" x14ac:dyDescent="0.3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8" x14ac:dyDescent="0.3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8" x14ac:dyDescent="0.3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8" x14ac:dyDescent="0.3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8" x14ac:dyDescent="0.3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8" x14ac:dyDescent="0.3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8" x14ac:dyDescent="0.3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8" x14ac:dyDescent="0.3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8" x14ac:dyDescent="0.3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8" x14ac:dyDescent="0.3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8" x14ac:dyDescent="0.3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8" x14ac:dyDescent="0.3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8" x14ac:dyDescent="0.3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8" x14ac:dyDescent="0.3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8" x14ac:dyDescent="0.3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8" x14ac:dyDescent="0.3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8" x14ac:dyDescent="0.3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8" x14ac:dyDescent="0.3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8" x14ac:dyDescent="0.3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8" x14ac:dyDescent="0.3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8" x14ac:dyDescent="0.3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8" x14ac:dyDescent="0.3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8" x14ac:dyDescent="0.3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8" x14ac:dyDescent="0.3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8" x14ac:dyDescent="0.3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8" x14ac:dyDescent="0.3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8" x14ac:dyDescent="0.3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8" x14ac:dyDescent="0.3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8" x14ac:dyDescent="0.3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8" x14ac:dyDescent="0.3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8" x14ac:dyDescent="0.3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8" x14ac:dyDescent="0.3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8" x14ac:dyDescent="0.3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8" x14ac:dyDescent="0.3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8" x14ac:dyDescent="0.3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8" x14ac:dyDescent="0.3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8" x14ac:dyDescent="0.3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8" x14ac:dyDescent="0.3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8" x14ac:dyDescent="0.3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8" x14ac:dyDescent="0.3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8" x14ac:dyDescent="0.3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8" x14ac:dyDescent="0.3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8" x14ac:dyDescent="0.3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8" x14ac:dyDescent="0.3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8" x14ac:dyDescent="0.3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8" x14ac:dyDescent="0.3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8" x14ac:dyDescent="0.3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8" x14ac:dyDescent="0.3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8" x14ac:dyDescent="0.3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8" x14ac:dyDescent="0.3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8" x14ac:dyDescent="0.3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8" x14ac:dyDescent="0.3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8" x14ac:dyDescent="0.3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8" x14ac:dyDescent="0.3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8" x14ac:dyDescent="0.3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8" x14ac:dyDescent="0.3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8" x14ac:dyDescent="0.3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8" x14ac:dyDescent="0.3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8" x14ac:dyDescent="0.3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8" x14ac:dyDescent="0.3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8" x14ac:dyDescent="0.3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8" x14ac:dyDescent="0.3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8" x14ac:dyDescent="0.3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8" x14ac:dyDescent="0.3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8" x14ac:dyDescent="0.3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8" x14ac:dyDescent="0.3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8" x14ac:dyDescent="0.3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8" x14ac:dyDescent="0.3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8" x14ac:dyDescent="0.3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8" x14ac:dyDescent="0.3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8" x14ac:dyDescent="0.3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8" x14ac:dyDescent="0.3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8" x14ac:dyDescent="0.3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8" x14ac:dyDescent="0.3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8" x14ac:dyDescent="0.3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8" x14ac:dyDescent="0.3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8" x14ac:dyDescent="0.3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8" x14ac:dyDescent="0.3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8" x14ac:dyDescent="0.3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8" x14ac:dyDescent="0.3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8" x14ac:dyDescent="0.3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8" x14ac:dyDescent="0.3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8" x14ac:dyDescent="0.3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8" x14ac:dyDescent="0.3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8" x14ac:dyDescent="0.3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8" x14ac:dyDescent="0.3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8" x14ac:dyDescent="0.3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8" x14ac:dyDescent="0.3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8" x14ac:dyDescent="0.3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8" x14ac:dyDescent="0.3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8" x14ac:dyDescent="0.3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8" x14ac:dyDescent="0.3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8" x14ac:dyDescent="0.3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8" x14ac:dyDescent="0.3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8" x14ac:dyDescent="0.3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8" x14ac:dyDescent="0.3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8" x14ac:dyDescent="0.3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8" x14ac:dyDescent="0.3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8" x14ac:dyDescent="0.3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8" x14ac:dyDescent="0.3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8" x14ac:dyDescent="0.3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8" x14ac:dyDescent="0.3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8" x14ac:dyDescent="0.3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8" x14ac:dyDescent="0.3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8" x14ac:dyDescent="0.3">
      <c r="A306" s="15"/>
      <c r="B306" s="15"/>
      <c r="C306" s="15"/>
      <c r="D306" s="15"/>
      <c r="E306" s="15"/>
      <c r="F306" s="16"/>
      <c r="G306" s="15"/>
      <c r="H306" s="15"/>
      <c r="I306" s="16"/>
    </row>
    <row r="307" spans="1:9" ht="13.8" x14ac:dyDescent="0.3">
      <c r="A307" s="15"/>
      <c r="B307" s="15"/>
      <c r="C307" s="15"/>
      <c r="D307" s="15"/>
      <c r="E307" s="15"/>
      <c r="F307" s="16"/>
      <c r="G307" s="15"/>
      <c r="H307" s="15"/>
      <c r="I307" s="16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65 I4:I65">
    <cfRule type="cellIs" dxfId="31" priority="1" stopIfTrue="1" operator="lessThanOrEqual">
      <formula>-0.1</formula>
    </cfRule>
    <cfRule type="expression" dxfId="30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07"/>
  <sheetViews>
    <sheetView workbookViewId="0">
      <pane xSplit="2" ySplit="3" topLeftCell="C4" activePane="bottomRight" state="frozen"/>
      <selection pane="topRight" activeCell="A10" sqref="A10"/>
      <selection pane="bottomLeft" activeCell="A10" sqref="A10"/>
      <selection pane="bottomRight" activeCell="I4" sqref="I4"/>
    </sheetView>
  </sheetViews>
  <sheetFormatPr defaultRowHeight="13.2" x14ac:dyDescent="0.25"/>
  <cols>
    <col min="1" max="1" width="35.88671875" bestFit="1" customWidth="1"/>
    <col min="2" max="2" width="8.441406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</cols>
  <sheetData>
    <row r="1" spans="1:9" ht="19.5" customHeight="1" x14ac:dyDescent="0.25">
      <c r="A1" s="46" t="str" cm="1">
        <f t="array" ref="A1">portfolio</f>
        <v>Burt Process Equipment</v>
      </c>
      <c r="B1" s="46"/>
      <c r="C1" s="46"/>
      <c r="D1" s="47" t="s">
        <v>12</v>
      </c>
      <c r="E1" s="47"/>
      <c r="F1" s="47"/>
      <c r="G1" s="45" t="s">
        <v>13</v>
      </c>
      <c r="H1" s="45"/>
      <c r="I1" s="45"/>
    </row>
    <row r="2" spans="1:9" ht="19.5" customHeight="1" x14ac:dyDescent="0.25">
      <c r="A2" s="48" t="s">
        <v>2</v>
      </c>
      <c r="B2" s="48"/>
      <c r="C2" s="5">
        <f>SUM(C4:C65)</f>
        <v>89393.709785610394</v>
      </c>
      <c r="D2" s="5">
        <f>SUM(D4:D65)</f>
        <v>0</v>
      </c>
      <c r="E2" s="5">
        <f>C2-D2</f>
        <v>89393.709785610394</v>
      </c>
      <c r="F2" s="6">
        <f>IFERROR(E2/D2, 0)</f>
        <v>0</v>
      </c>
      <c r="G2" s="5">
        <f>SUM(G4:G65)</f>
        <v>104715.32</v>
      </c>
      <c r="H2" s="7">
        <f>C2-G2</f>
        <v>-15321.610214389613</v>
      </c>
      <c r="I2" s="6">
        <f>IFERROR(H2/G2, 0)</f>
        <v>-0.14631679695377536</v>
      </c>
    </row>
    <row r="3" spans="1:9" ht="14.25" customHeight="1" x14ac:dyDescent="0.25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 x14ac:dyDescent="0.25">
      <c r="A4" s="36" t="str" cm="1">
        <f t="array" ref="A4">Sites[Site]</f>
        <v>CT: Hamden - Burt Process Equipment</v>
      </c>
      <c r="B4" s="9" t="str" cm="1">
        <f t="array" ref="B4">Sites[State]</f>
        <v>CT</v>
      </c>
      <c r="C4" s="18">
        <f>SUM(Apr!C4, May!C4, Jun!C4)</f>
        <v>89393.709785610394</v>
      </c>
      <c r="D4" s="11">
        <f>SUM(Apr!D4, May!D4, Jun!D4)</f>
        <v>0</v>
      </c>
      <c r="E4" s="11">
        <f>IF(AND(ISNUMBER(C4),ISNUMBER(D4)), C4-D4, "")</f>
        <v>89393.709785610394</v>
      </c>
      <c r="F4" s="12" t="str">
        <f>IFERROR(E4/D4, "")</f>
        <v/>
      </c>
      <c r="G4" s="13">
        <f>SUM(Apr!G4,May!G4,Jun!G4)</f>
        <v>104715.32</v>
      </c>
      <c r="H4" s="13">
        <f>SUM(Apr!H4, May!H4, Jun!H4)</f>
        <v>-15321.610214389599</v>
      </c>
      <c r="I4" s="14">
        <f>IFERROR(H4/G4, "")</f>
        <v>-0.14631679695377522</v>
      </c>
    </row>
    <row r="5" spans="1:9" ht="13.8" x14ac:dyDescent="0.3">
      <c r="A5" s="15"/>
      <c r="B5" s="15"/>
      <c r="C5" s="15"/>
      <c r="D5" s="15"/>
      <c r="E5" s="15"/>
      <c r="F5" s="16"/>
      <c r="G5" s="15"/>
      <c r="H5" s="15"/>
      <c r="I5" s="16"/>
    </row>
    <row r="6" spans="1:9" ht="13.8" x14ac:dyDescent="0.3">
      <c r="A6" s="15"/>
      <c r="B6" s="15"/>
      <c r="C6" s="15"/>
      <c r="D6" s="15"/>
      <c r="E6" s="15"/>
      <c r="F6" s="16"/>
      <c r="G6" s="15"/>
      <c r="H6" s="15"/>
      <c r="I6" s="16"/>
    </row>
    <row r="7" spans="1:9" ht="13.8" x14ac:dyDescent="0.3">
      <c r="A7" s="15"/>
      <c r="B7" s="15"/>
      <c r="C7" s="15"/>
      <c r="D7" s="15"/>
      <c r="E7" s="15"/>
      <c r="F7" s="16"/>
      <c r="G7" s="15"/>
      <c r="H7" s="15"/>
      <c r="I7" s="16"/>
    </row>
    <row r="8" spans="1:9" ht="13.8" x14ac:dyDescent="0.3">
      <c r="A8" s="15"/>
      <c r="B8" s="15"/>
      <c r="C8" s="15"/>
      <c r="D8" s="15"/>
      <c r="E8" s="15"/>
      <c r="F8" s="16"/>
      <c r="G8" s="15"/>
      <c r="H8" s="15"/>
      <c r="I8" s="16"/>
    </row>
    <row r="9" spans="1:9" ht="13.8" x14ac:dyDescent="0.3">
      <c r="A9" s="15"/>
      <c r="B9" s="15"/>
      <c r="C9" s="15"/>
      <c r="D9" s="15"/>
      <c r="E9" s="15"/>
      <c r="F9" s="16"/>
      <c r="G9" s="15"/>
      <c r="H9" s="15"/>
      <c r="I9" s="16"/>
    </row>
    <row r="10" spans="1:9" ht="13.8" x14ac:dyDescent="0.3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8" x14ac:dyDescent="0.3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8" x14ac:dyDescent="0.3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8" x14ac:dyDescent="0.3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8" x14ac:dyDescent="0.3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8" x14ac:dyDescent="0.3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8" x14ac:dyDescent="0.3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8" x14ac:dyDescent="0.3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8" x14ac:dyDescent="0.3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8" x14ac:dyDescent="0.3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8" x14ac:dyDescent="0.3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8" x14ac:dyDescent="0.3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8" x14ac:dyDescent="0.3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8" x14ac:dyDescent="0.3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8" x14ac:dyDescent="0.3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8" x14ac:dyDescent="0.3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8" x14ac:dyDescent="0.3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8" x14ac:dyDescent="0.3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8" x14ac:dyDescent="0.3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8" x14ac:dyDescent="0.3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8" x14ac:dyDescent="0.3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8" x14ac:dyDescent="0.3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8" x14ac:dyDescent="0.3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8" x14ac:dyDescent="0.3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8" x14ac:dyDescent="0.3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8" x14ac:dyDescent="0.3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8" x14ac:dyDescent="0.3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8" x14ac:dyDescent="0.3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8" x14ac:dyDescent="0.3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8" x14ac:dyDescent="0.3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8" x14ac:dyDescent="0.3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8" x14ac:dyDescent="0.3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8" x14ac:dyDescent="0.3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8" x14ac:dyDescent="0.3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8" x14ac:dyDescent="0.3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8" x14ac:dyDescent="0.3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8" x14ac:dyDescent="0.3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8" x14ac:dyDescent="0.3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8" x14ac:dyDescent="0.3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8" x14ac:dyDescent="0.3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8" x14ac:dyDescent="0.3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8" x14ac:dyDescent="0.3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8" x14ac:dyDescent="0.3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8" x14ac:dyDescent="0.3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8" x14ac:dyDescent="0.3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8" x14ac:dyDescent="0.3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8" x14ac:dyDescent="0.3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8" x14ac:dyDescent="0.3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8" x14ac:dyDescent="0.3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8" x14ac:dyDescent="0.3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8" x14ac:dyDescent="0.3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8" x14ac:dyDescent="0.3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8" x14ac:dyDescent="0.3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8" x14ac:dyDescent="0.3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8" x14ac:dyDescent="0.3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8" x14ac:dyDescent="0.3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8" x14ac:dyDescent="0.3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8" x14ac:dyDescent="0.3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8" x14ac:dyDescent="0.3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8" x14ac:dyDescent="0.3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8" x14ac:dyDescent="0.3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8" x14ac:dyDescent="0.3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8" x14ac:dyDescent="0.3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8" x14ac:dyDescent="0.3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8" x14ac:dyDescent="0.3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8" x14ac:dyDescent="0.3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8" x14ac:dyDescent="0.3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8" x14ac:dyDescent="0.3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8" x14ac:dyDescent="0.3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8" x14ac:dyDescent="0.3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8" x14ac:dyDescent="0.3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8" x14ac:dyDescent="0.3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8" x14ac:dyDescent="0.3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8" x14ac:dyDescent="0.3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8" x14ac:dyDescent="0.3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8" x14ac:dyDescent="0.3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8" x14ac:dyDescent="0.3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8" x14ac:dyDescent="0.3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8" x14ac:dyDescent="0.3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8" x14ac:dyDescent="0.3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8" x14ac:dyDescent="0.3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8" x14ac:dyDescent="0.3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8" x14ac:dyDescent="0.3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8" x14ac:dyDescent="0.3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8" x14ac:dyDescent="0.3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8" x14ac:dyDescent="0.3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8" x14ac:dyDescent="0.3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8" x14ac:dyDescent="0.3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8" x14ac:dyDescent="0.3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8" x14ac:dyDescent="0.3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8" x14ac:dyDescent="0.3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8" x14ac:dyDescent="0.3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8" x14ac:dyDescent="0.3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8" x14ac:dyDescent="0.3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8" x14ac:dyDescent="0.3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8" x14ac:dyDescent="0.3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8" x14ac:dyDescent="0.3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8" x14ac:dyDescent="0.3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8" x14ac:dyDescent="0.3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8" x14ac:dyDescent="0.3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8" x14ac:dyDescent="0.3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8" x14ac:dyDescent="0.3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8" x14ac:dyDescent="0.3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8" x14ac:dyDescent="0.3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8" x14ac:dyDescent="0.3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8" x14ac:dyDescent="0.3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8" x14ac:dyDescent="0.3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8" x14ac:dyDescent="0.3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8" x14ac:dyDescent="0.3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8" x14ac:dyDescent="0.3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8" x14ac:dyDescent="0.3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8" x14ac:dyDescent="0.3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8" x14ac:dyDescent="0.3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8" x14ac:dyDescent="0.3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8" x14ac:dyDescent="0.3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8" x14ac:dyDescent="0.3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8" x14ac:dyDescent="0.3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8" x14ac:dyDescent="0.3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8" x14ac:dyDescent="0.3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8" x14ac:dyDescent="0.3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8" x14ac:dyDescent="0.3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8" x14ac:dyDescent="0.3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8" x14ac:dyDescent="0.3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8" x14ac:dyDescent="0.3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8" x14ac:dyDescent="0.3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8" x14ac:dyDescent="0.3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8" x14ac:dyDescent="0.3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8" x14ac:dyDescent="0.3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8" x14ac:dyDescent="0.3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8" x14ac:dyDescent="0.3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8" x14ac:dyDescent="0.3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8" x14ac:dyDescent="0.3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8" x14ac:dyDescent="0.3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8" x14ac:dyDescent="0.3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8" x14ac:dyDescent="0.3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8" x14ac:dyDescent="0.3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8" x14ac:dyDescent="0.3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8" x14ac:dyDescent="0.3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8" x14ac:dyDescent="0.3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8" x14ac:dyDescent="0.3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8" x14ac:dyDescent="0.3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8" x14ac:dyDescent="0.3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8" x14ac:dyDescent="0.3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8" x14ac:dyDescent="0.3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8" x14ac:dyDescent="0.3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8" x14ac:dyDescent="0.3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8" x14ac:dyDescent="0.3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8" x14ac:dyDescent="0.3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8" x14ac:dyDescent="0.3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8" x14ac:dyDescent="0.3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8" x14ac:dyDescent="0.3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8" x14ac:dyDescent="0.3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8" x14ac:dyDescent="0.3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8" x14ac:dyDescent="0.3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8" x14ac:dyDescent="0.3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8" x14ac:dyDescent="0.3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8" x14ac:dyDescent="0.3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8" x14ac:dyDescent="0.3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8" x14ac:dyDescent="0.3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8" x14ac:dyDescent="0.3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8" x14ac:dyDescent="0.3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8" x14ac:dyDescent="0.3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8" x14ac:dyDescent="0.3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8" x14ac:dyDescent="0.3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8" x14ac:dyDescent="0.3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8" x14ac:dyDescent="0.3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8" x14ac:dyDescent="0.3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8" x14ac:dyDescent="0.3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8" x14ac:dyDescent="0.3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8" x14ac:dyDescent="0.3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8" x14ac:dyDescent="0.3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8" x14ac:dyDescent="0.3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8" x14ac:dyDescent="0.3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8" x14ac:dyDescent="0.3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8" x14ac:dyDescent="0.3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8" x14ac:dyDescent="0.3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8" x14ac:dyDescent="0.3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8" x14ac:dyDescent="0.3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8" x14ac:dyDescent="0.3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8" x14ac:dyDescent="0.3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8" x14ac:dyDescent="0.3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8" x14ac:dyDescent="0.3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8" x14ac:dyDescent="0.3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8" x14ac:dyDescent="0.3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8" x14ac:dyDescent="0.3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8" x14ac:dyDescent="0.3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8" x14ac:dyDescent="0.3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8" x14ac:dyDescent="0.3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8" x14ac:dyDescent="0.3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8" x14ac:dyDescent="0.3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8" x14ac:dyDescent="0.3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8" x14ac:dyDescent="0.3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8" x14ac:dyDescent="0.3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8" x14ac:dyDescent="0.3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8" x14ac:dyDescent="0.3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8" x14ac:dyDescent="0.3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8" x14ac:dyDescent="0.3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8" x14ac:dyDescent="0.3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8" x14ac:dyDescent="0.3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8" x14ac:dyDescent="0.3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8" x14ac:dyDescent="0.3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8" x14ac:dyDescent="0.3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8" x14ac:dyDescent="0.3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8" x14ac:dyDescent="0.3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8" x14ac:dyDescent="0.3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8" x14ac:dyDescent="0.3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8" x14ac:dyDescent="0.3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8" x14ac:dyDescent="0.3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8" x14ac:dyDescent="0.3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8" x14ac:dyDescent="0.3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8" x14ac:dyDescent="0.3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8" x14ac:dyDescent="0.3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8" x14ac:dyDescent="0.3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8" x14ac:dyDescent="0.3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8" x14ac:dyDescent="0.3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8" x14ac:dyDescent="0.3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8" x14ac:dyDescent="0.3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8" x14ac:dyDescent="0.3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8" x14ac:dyDescent="0.3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8" x14ac:dyDescent="0.3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8" x14ac:dyDescent="0.3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8" x14ac:dyDescent="0.3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8" x14ac:dyDescent="0.3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8" x14ac:dyDescent="0.3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8" x14ac:dyDescent="0.3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8" x14ac:dyDescent="0.3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8" x14ac:dyDescent="0.3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8" x14ac:dyDescent="0.3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8" x14ac:dyDescent="0.3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8" x14ac:dyDescent="0.3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8" x14ac:dyDescent="0.3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8" x14ac:dyDescent="0.3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8" x14ac:dyDescent="0.3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8" x14ac:dyDescent="0.3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8" x14ac:dyDescent="0.3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8" x14ac:dyDescent="0.3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8" x14ac:dyDescent="0.3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8" x14ac:dyDescent="0.3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8" x14ac:dyDescent="0.3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8" x14ac:dyDescent="0.3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8" x14ac:dyDescent="0.3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8" x14ac:dyDescent="0.3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8" x14ac:dyDescent="0.3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8" x14ac:dyDescent="0.3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8" x14ac:dyDescent="0.3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8" x14ac:dyDescent="0.3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8" x14ac:dyDescent="0.3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8" x14ac:dyDescent="0.3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8" x14ac:dyDescent="0.3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8" x14ac:dyDescent="0.3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8" x14ac:dyDescent="0.3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8" x14ac:dyDescent="0.3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8" x14ac:dyDescent="0.3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8" x14ac:dyDescent="0.3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8" x14ac:dyDescent="0.3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8" x14ac:dyDescent="0.3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8" x14ac:dyDescent="0.3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8" x14ac:dyDescent="0.3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8" x14ac:dyDescent="0.3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8" x14ac:dyDescent="0.3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8" x14ac:dyDescent="0.3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8" x14ac:dyDescent="0.3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8" x14ac:dyDescent="0.3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8" x14ac:dyDescent="0.3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8" x14ac:dyDescent="0.3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8" x14ac:dyDescent="0.3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8" x14ac:dyDescent="0.3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8" x14ac:dyDescent="0.3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8" x14ac:dyDescent="0.3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8" x14ac:dyDescent="0.3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8" x14ac:dyDescent="0.3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8" x14ac:dyDescent="0.3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8" x14ac:dyDescent="0.3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8" x14ac:dyDescent="0.3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8" x14ac:dyDescent="0.3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8" x14ac:dyDescent="0.3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8" x14ac:dyDescent="0.3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8" x14ac:dyDescent="0.3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8" x14ac:dyDescent="0.3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8" x14ac:dyDescent="0.3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8" x14ac:dyDescent="0.3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8" x14ac:dyDescent="0.3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8" x14ac:dyDescent="0.3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8" x14ac:dyDescent="0.3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8" x14ac:dyDescent="0.3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8" x14ac:dyDescent="0.3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8" x14ac:dyDescent="0.3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8" x14ac:dyDescent="0.3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8" x14ac:dyDescent="0.3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8" x14ac:dyDescent="0.3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8" x14ac:dyDescent="0.3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8" x14ac:dyDescent="0.3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8" x14ac:dyDescent="0.3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8" x14ac:dyDescent="0.3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8" x14ac:dyDescent="0.3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8" x14ac:dyDescent="0.3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8" x14ac:dyDescent="0.3">
      <c r="A306" s="15"/>
      <c r="B306" s="15"/>
      <c r="C306" s="15"/>
      <c r="D306" s="15"/>
      <c r="E306" s="15"/>
      <c r="F306" s="16"/>
      <c r="G306" s="15"/>
      <c r="H306" s="15"/>
      <c r="I306" s="16"/>
    </row>
    <row r="307" spans="1:9" ht="13.8" x14ac:dyDescent="0.3">
      <c r="A307" s="15"/>
      <c r="B307" s="15"/>
      <c r="C307" s="15"/>
      <c r="D307" s="15"/>
      <c r="E307" s="15"/>
      <c r="F307" s="16"/>
      <c r="G307" s="15"/>
      <c r="H307" s="15"/>
      <c r="I307" s="16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65 I4:I65">
    <cfRule type="cellIs" dxfId="29" priority="1" stopIfTrue="1" operator="lessThanOrEqual">
      <formula>-0.1</formula>
    </cfRule>
    <cfRule type="expression" dxfId="28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07"/>
  <sheetViews>
    <sheetView workbookViewId="0">
      <pane xSplit="2" ySplit="3" topLeftCell="C4" activePane="bottomRight" state="frozen"/>
      <selection pane="topRight" activeCell="A10" sqref="A10"/>
      <selection pane="bottomLeft" activeCell="A10" sqref="A10"/>
      <selection pane="bottomRight" activeCell="A10" sqref="A10"/>
    </sheetView>
  </sheetViews>
  <sheetFormatPr defaultRowHeight="13.2" x14ac:dyDescent="0.25"/>
  <cols>
    <col min="1" max="1" width="35.88671875" bestFit="1" customWidth="1"/>
    <col min="2" max="2" width="8.441406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</cols>
  <sheetData>
    <row r="1" spans="1:9" ht="19.5" customHeight="1" x14ac:dyDescent="0.25">
      <c r="A1" s="46" t="str" cm="1">
        <f t="array" ref="A1">portfolio</f>
        <v>Burt Process Equipment</v>
      </c>
      <c r="B1" s="46"/>
      <c r="C1" s="46"/>
      <c r="D1" s="47" t="s">
        <v>14</v>
      </c>
      <c r="E1" s="47"/>
      <c r="F1" s="47"/>
      <c r="G1" s="45" t="s">
        <v>15</v>
      </c>
      <c r="H1" s="45"/>
      <c r="I1" s="45"/>
    </row>
    <row r="2" spans="1:9" ht="19.5" customHeight="1" x14ac:dyDescent="0.25">
      <c r="A2" s="48" t="s">
        <v>2</v>
      </c>
      <c r="B2" s="48"/>
      <c r="C2" s="5">
        <f>SUM(C4:C65)</f>
        <v>0</v>
      </c>
      <c r="D2" s="5">
        <f>SUM(D4:D65)</f>
        <v>0</v>
      </c>
      <c r="E2" s="5">
        <f>C2-D2</f>
        <v>0</v>
      </c>
      <c r="F2" s="6">
        <f>IFERROR(E2/D2, 0)</f>
        <v>0</v>
      </c>
      <c r="G2" s="5">
        <f>SUM(G4:G65)</f>
        <v>0</v>
      </c>
      <c r="H2" s="7">
        <f>C2-G2</f>
        <v>0</v>
      </c>
      <c r="I2" s="6">
        <f>IFERROR(H2/G2, 0)</f>
        <v>0</v>
      </c>
    </row>
    <row r="3" spans="1:9" ht="14.25" customHeight="1" x14ac:dyDescent="0.25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 x14ac:dyDescent="0.25">
      <c r="A4" s="36" t="str" cm="1">
        <f t="array" ref="A4">Sites[Site]</f>
        <v>CT: Hamden - Burt Process Equipment</v>
      </c>
      <c r="B4" s="9" t="str" cm="1">
        <f t="array" ref="B4">Sites[State]</f>
        <v>CT</v>
      </c>
      <c r="C4" s="18">
        <f>SUM(Jul!C4, Aug!C4, Sep!C4)</f>
        <v>0</v>
      </c>
      <c r="D4" s="11">
        <f>SUM(Jul!D4, Aug!D4, Sep!D4)</f>
        <v>0</v>
      </c>
      <c r="E4" s="11">
        <f>IF(AND(ISNUMBER(C4),ISNUMBER(D4)), C4-D4, "")</f>
        <v>0</v>
      </c>
      <c r="F4" s="12" t="str">
        <f>IFERROR(E4/D4, "")</f>
        <v/>
      </c>
      <c r="G4" s="13"/>
      <c r="H4" s="13">
        <f>SUM(Jul!H4, Aug!H4, Sep!H4)</f>
        <v>0</v>
      </c>
      <c r="I4" s="14" t="str">
        <f>IFERROR(H4/G4, "")</f>
        <v/>
      </c>
    </row>
    <row r="5" spans="1:9" ht="13.8" x14ac:dyDescent="0.3">
      <c r="A5" s="15"/>
      <c r="B5" s="15"/>
      <c r="C5" s="15"/>
      <c r="D5" s="15"/>
      <c r="E5" s="15"/>
      <c r="F5" s="16"/>
      <c r="G5" s="15"/>
      <c r="H5" s="15"/>
      <c r="I5" s="16"/>
    </row>
    <row r="6" spans="1:9" ht="13.8" x14ac:dyDescent="0.3">
      <c r="A6" s="15"/>
      <c r="B6" s="15"/>
      <c r="C6" s="15"/>
      <c r="D6" s="15"/>
      <c r="E6" s="15"/>
      <c r="F6" s="16"/>
      <c r="G6" s="15"/>
      <c r="H6" s="15"/>
      <c r="I6" s="16"/>
    </row>
    <row r="7" spans="1:9" ht="13.8" x14ac:dyDescent="0.3">
      <c r="A7" s="15"/>
      <c r="B7" s="15"/>
      <c r="C7" s="15"/>
      <c r="D7" s="15"/>
      <c r="E7" s="15"/>
      <c r="F7" s="16"/>
      <c r="G7" s="15"/>
      <c r="H7" s="15"/>
      <c r="I7" s="16"/>
    </row>
    <row r="8" spans="1:9" ht="13.8" x14ac:dyDescent="0.3">
      <c r="A8" s="15"/>
      <c r="B8" s="15"/>
      <c r="C8" s="15"/>
      <c r="D8" s="15"/>
      <c r="E8" s="15"/>
      <c r="F8" s="16"/>
      <c r="G8" s="15"/>
      <c r="H8" s="15"/>
      <c r="I8" s="16"/>
    </row>
    <row r="9" spans="1:9" ht="13.8" x14ac:dyDescent="0.3">
      <c r="A9" s="15"/>
      <c r="B9" s="15"/>
      <c r="C9" s="15"/>
      <c r="D9" s="15"/>
      <c r="E9" s="15"/>
      <c r="F9" s="16"/>
      <c r="G9" s="15"/>
      <c r="H9" s="15"/>
      <c r="I9" s="16"/>
    </row>
    <row r="10" spans="1:9" ht="13.8" x14ac:dyDescent="0.3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8" x14ac:dyDescent="0.3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8" x14ac:dyDescent="0.3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8" x14ac:dyDescent="0.3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8" x14ac:dyDescent="0.3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8" x14ac:dyDescent="0.3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8" x14ac:dyDescent="0.3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8" x14ac:dyDescent="0.3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8" x14ac:dyDescent="0.3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8" x14ac:dyDescent="0.3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8" x14ac:dyDescent="0.3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8" x14ac:dyDescent="0.3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8" x14ac:dyDescent="0.3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8" x14ac:dyDescent="0.3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8" x14ac:dyDescent="0.3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8" x14ac:dyDescent="0.3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8" x14ac:dyDescent="0.3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8" x14ac:dyDescent="0.3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8" x14ac:dyDescent="0.3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8" x14ac:dyDescent="0.3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8" x14ac:dyDescent="0.3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8" x14ac:dyDescent="0.3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8" x14ac:dyDescent="0.3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8" x14ac:dyDescent="0.3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8" x14ac:dyDescent="0.3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8" x14ac:dyDescent="0.3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8" x14ac:dyDescent="0.3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8" x14ac:dyDescent="0.3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8" x14ac:dyDescent="0.3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8" x14ac:dyDescent="0.3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8" x14ac:dyDescent="0.3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8" x14ac:dyDescent="0.3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8" x14ac:dyDescent="0.3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8" x14ac:dyDescent="0.3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8" x14ac:dyDescent="0.3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8" x14ac:dyDescent="0.3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8" x14ac:dyDescent="0.3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8" x14ac:dyDescent="0.3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8" x14ac:dyDescent="0.3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8" x14ac:dyDescent="0.3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8" x14ac:dyDescent="0.3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8" x14ac:dyDescent="0.3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8" x14ac:dyDescent="0.3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8" x14ac:dyDescent="0.3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8" x14ac:dyDescent="0.3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8" x14ac:dyDescent="0.3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8" x14ac:dyDescent="0.3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8" x14ac:dyDescent="0.3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8" x14ac:dyDescent="0.3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8" x14ac:dyDescent="0.3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8" x14ac:dyDescent="0.3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8" x14ac:dyDescent="0.3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8" x14ac:dyDescent="0.3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8" x14ac:dyDescent="0.3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8" x14ac:dyDescent="0.3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8" x14ac:dyDescent="0.3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8" x14ac:dyDescent="0.3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8" x14ac:dyDescent="0.3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8" x14ac:dyDescent="0.3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8" x14ac:dyDescent="0.3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8" x14ac:dyDescent="0.3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8" x14ac:dyDescent="0.3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8" x14ac:dyDescent="0.3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8" x14ac:dyDescent="0.3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8" x14ac:dyDescent="0.3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8" x14ac:dyDescent="0.3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8" x14ac:dyDescent="0.3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8" x14ac:dyDescent="0.3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8" x14ac:dyDescent="0.3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8" x14ac:dyDescent="0.3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8" x14ac:dyDescent="0.3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8" x14ac:dyDescent="0.3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8" x14ac:dyDescent="0.3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8" x14ac:dyDescent="0.3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8" x14ac:dyDescent="0.3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8" x14ac:dyDescent="0.3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8" x14ac:dyDescent="0.3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8" x14ac:dyDescent="0.3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8" x14ac:dyDescent="0.3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8" x14ac:dyDescent="0.3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8" x14ac:dyDescent="0.3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8" x14ac:dyDescent="0.3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8" x14ac:dyDescent="0.3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8" x14ac:dyDescent="0.3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8" x14ac:dyDescent="0.3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8" x14ac:dyDescent="0.3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8" x14ac:dyDescent="0.3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8" x14ac:dyDescent="0.3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8" x14ac:dyDescent="0.3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8" x14ac:dyDescent="0.3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8" x14ac:dyDescent="0.3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8" x14ac:dyDescent="0.3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8" x14ac:dyDescent="0.3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8" x14ac:dyDescent="0.3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8" x14ac:dyDescent="0.3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8" x14ac:dyDescent="0.3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8" x14ac:dyDescent="0.3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8" x14ac:dyDescent="0.3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8" x14ac:dyDescent="0.3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8" x14ac:dyDescent="0.3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8" x14ac:dyDescent="0.3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8" x14ac:dyDescent="0.3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8" x14ac:dyDescent="0.3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8" x14ac:dyDescent="0.3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8" x14ac:dyDescent="0.3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8" x14ac:dyDescent="0.3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8" x14ac:dyDescent="0.3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8" x14ac:dyDescent="0.3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8" x14ac:dyDescent="0.3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8" x14ac:dyDescent="0.3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8" x14ac:dyDescent="0.3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8" x14ac:dyDescent="0.3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8" x14ac:dyDescent="0.3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8" x14ac:dyDescent="0.3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8" x14ac:dyDescent="0.3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8" x14ac:dyDescent="0.3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8" x14ac:dyDescent="0.3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8" x14ac:dyDescent="0.3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8" x14ac:dyDescent="0.3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8" x14ac:dyDescent="0.3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8" x14ac:dyDescent="0.3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8" x14ac:dyDescent="0.3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8" x14ac:dyDescent="0.3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8" x14ac:dyDescent="0.3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8" x14ac:dyDescent="0.3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8" x14ac:dyDescent="0.3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8" x14ac:dyDescent="0.3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8" x14ac:dyDescent="0.3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8" x14ac:dyDescent="0.3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8" x14ac:dyDescent="0.3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8" x14ac:dyDescent="0.3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8" x14ac:dyDescent="0.3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8" x14ac:dyDescent="0.3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8" x14ac:dyDescent="0.3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8" x14ac:dyDescent="0.3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8" x14ac:dyDescent="0.3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8" x14ac:dyDescent="0.3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8" x14ac:dyDescent="0.3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8" x14ac:dyDescent="0.3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8" x14ac:dyDescent="0.3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8" x14ac:dyDescent="0.3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8" x14ac:dyDescent="0.3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8" x14ac:dyDescent="0.3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8" x14ac:dyDescent="0.3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8" x14ac:dyDescent="0.3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8" x14ac:dyDescent="0.3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8" x14ac:dyDescent="0.3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8" x14ac:dyDescent="0.3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8" x14ac:dyDescent="0.3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8" x14ac:dyDescent="0.3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8" x14ac:dyDescent="0.3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8" x14ac:dyDescent="0.3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8" x14ac:dyDescent="0.3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8" x14ac:dyDescent="0.3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8" x14ac:dyDescent="0.3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8" x14ac:dyDescent="0.3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8" x14ac:dyDescent="0.3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8" x14ac:dyDescent="0.3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8" x14ac:dyDescent="0.3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8" x14ac:dyDescent="0.3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8" x14ac:dyDescent="0.3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8" x14ac:dyDescent="0.3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8" x14ac:dyDescent="0.3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8" x14ac:dyDescent="0.3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8" x14ac:dyDescent="0.3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8" x14ac:dyDescent="0.3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8" x14ac:dyDescent="0.3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8" x14ac:dyDescent="0.3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8" x14ac:dyDescent="0.3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8" x14ac:dyDescent="0.3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8" x14ac:dyDescent="0.3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8" x14ac:dyDescent="0.3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8" x14ac:dyDescent="0.3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8" x14ac:dyDescent="0.3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8" x14ac:dyDescent="0.3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8" x14ac:dyDescent="0.3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8" x14ac:dyDescent="0.3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8" x14ac:dyDescent="0.3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8" x14ac:dyDescent="0.3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8" x14ac:dyDescent="0.3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8" x14ac:dyDescent="0.3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8" x14ac:dyDescent="0.3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8" x14ac:dyDescent="0.3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8" x14ac:dyDescent="0.3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8" x14ac:dyDescent="0.3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8" x14ac:dyDescent="0.3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8" x14ac:dyDescent="0.3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8" x14ac:dyDescent="0.3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8" x14ac:dyDescent="0.3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8" x14ac:dyDescent="0.3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8" x14ac:dyDescent="0.3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8" x14ac:dyDescent="0.3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8" x14ac:dyDescent="0.3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8" x14ac:dyDescent="0.3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8" x14ac:dyDescent="0.3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8" x14ac:dyDescent="0.3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8" x14ac:dyDescent="0.3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8" x14ac:dyDescent="0.3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8" x14ac:dyDescent="0.3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8" x14ac:dyDescent="0.3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8" x14ac:dyDescent="0.3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8" x14ac:dyDescent="0.3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8" x14ac:dyDescent="0.3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8" x14ac:dyDescent="0.3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8" x14ac:dyDescent="0.3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8" x14ac:dyDescent="0.3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8" x14ac:dyDescent="0.3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8" x14ac:dyDescent="0.3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8" x14ac:dyDescent="0.3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8" x14ac:dyDescent="0.3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8" x14ac:dyDescent="0.3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8" x14ac:dyDescent="0.3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8" x14ac:dyDescent="0.3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8" x14ac:dyDescent="0.3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8" x14ac:dyDescent="0.3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8" x14ac:dyDescent="0.3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8" x14ac:dyDescent="0.3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8" x14ac:dyDescent="0.3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8" x14ac:dyDescent="0.3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8" x14ac:dyDescent="0.3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8" x14ac:dyDescent="0.3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8" x14ac:dyDescent="0.3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8" x14ac:dyDescent="0.3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8" x14ac:dyDescent="0.3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8" x14ac:dyDescent="0.3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8" x14ac:dyDescent="0.3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8" x14ac:dyDescent="0.3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8" x14ac:dyDescent="0.3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8" x14ac:dyDescent="0.3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8" x14ac:dyDescent="0.3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8" x14ac:dyDescent="0.3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8" x14ac:dyDescent="0.3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8" x14ac:dyDescent="0.3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8" x14ac:dyDescent="0.3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8" x14ac:dyDescent="0.3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8" x14ac:dyDescent="0.3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8" x14ac:dyDescent="0.3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8" x14ac:dyDescent="0.3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8" x14ac:dyDescent="0.3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8" x14ac:dyDescent="0.3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8" x14ac:dyDescent="0.3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8" x14ac:dyDescent="0.3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8" x14ac:dyDescent="0.3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8" x14ac:dyDescent="0.3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8" x14ac:dyDescent="0.3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8" x14ac:dyDescent="0.3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8" x14ac:dyDescent="0.3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8" x14ac:dyDescent="0.3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8" x14ac:dyDescent="0.3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8" x14ac:dyDescent="0.3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8" x14ac:dyDescent="0.3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8" x14ac:dyDescent="0.3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8" x14ac:dyDescent="0.3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8" x14ac:dyDescent="0.3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8" x14ac:dyDescent="0.3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8" x14ac:dyDescent="0.3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8" x14ac:dyDescent="0.3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8" x14ac:dyDescent="0.3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8" x14ac:dyDescent="0.3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8" x14ac:dyDescent="0.3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8" x14ac:dyDescent="0.3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8" x14ac:dyDescent="0.3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8" x14ac:dyDescent="0.3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8" x14ac:dyDescent="0.3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8" x14ac:dyDescent="0.3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8" x14ac:dyDescent="0.3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8" x14ac:dyDescent="0.3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8" x14ac:dyDescent="0.3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8" x14ac:dyDescent="0.3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8" x14ac:dyDescent="0.3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8" x14ac:dyDescent="0.3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8" x14ac:dyDescent="0.3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8" x14ac:dyDescent="0.3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8" x14ac:dyDescent="0.3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8" x14ac:dyDescent="0.3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8" x14ac:dyDescent="0.3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8" x14ac:dyDescent="0.3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8" x14ac:dyDescent="0.3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8" x14ac:dyDescent="0.3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8" x14ac:dyDescent="0.3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8" x14ac:dyDescent="0.3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8" x14ac:dyDescent="0.3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8" x14ac:dyDescent="0.3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8" x14ac:dyDescent="0.3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8" x14ac:dyDescent="0.3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8" x14ac:dyDescent="0.3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8" x14ac:dyDescent="0.3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8" x14ac:dyDescent="0.3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8" x14ac:dyDescent="0.3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8" x14ac:dyDescent="0.3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8" x14ac:dyDescent="0.3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8" x14ac:dyDescent="0.3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8" x14ac:dyDescent="0.3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8" x14ac:dyDescent="0.3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8" x14ac:dyDescent="0.3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8" x14ac:dyDescent="0.3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8" x14ac:dyDescent="0.3">
      <c r="A306" s="15"/>
      <c r="B306" s="15"/>
      <c r="C306" s="15"/>
      <c r="D306" s="15"/>
      <c r="E306" s="15"/>
      <c r="F306" s="16"/>
      <c r="G306" s="15"/>
      <c r="H306" s="15"/>
      <c r="I306" s="16"/>
    </row>
    <row r="307" spans="1:9" ht="13.8" x14ac:dyDescent="0.3">
      <c r="A307" s="15"/>
      <c r="B307" s="15"/>
      <c r="C307" s="15"/>
      <c r="D307" s="15"/>
      <c r="E307" s="15"/>
      <c r="F307" s="16"/>
      <c r="G307" s="15"/>
      <c r="H307" s="15"/>
      <c r="I307" s="16"/>
    </row>
  </sheetData>
  <mergeCells count="4">
    <mergeCell ref="G1:I1"/>
    <mergeCell ref="A1:C1"/>
    <mergeCell ref="D1:F1"/>
    <mergeCell ref="A2:B2"/>
  </mergeCells>
  <conditionalFormatting sqref="F2 I2 F4:F65 I4:I65">
    <cfRule type="cellIs" dxfId="27" priority="1" stopIfTrue="1" operator="lessThanOrEqual">
      <formula>-0.1</formula>
    </cfRule>
    <cfRule type="expression" dxfId="26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07"/>
  <sheetViews>
    <sheetView workbookViewId="0">
      <pane xSplit="2" ySplit="3" topLeftCell="C4" activePane="bottomRight" state="frozen"/>
      <selection pane="topRight" activeCell="A10" sqref="A10"/>
      <selection pane="bottomLeft" activeCell="A10" sqref="A10"/>
      <selection pane="bottomRight" activeCell="A10" sqref="A10"/>
    </sheetView>
  </sheetViews>
  <sheetFormatPr defaultRowHeight="13.2" x14ac:dyDescent="0.25"/>
  <cols>
    <col min="1" max="1" width="35.88671875" bestFit="1" customWidth="1"/>
    <col min="2" max="2" width="8.441406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</cols>
  <sheetData>
    <row r="1" spans="1:9" ht="19.5" customHeight="1" x14ac:dyDescent="0.25">
      <c r="A1" s="46" t="str" cm="1">
        <f t="array" ref="A1">portfolio</f>
        <v>Burt Process Equipment</v>
      </c>
      <c r="B1" s="46"/>
      <c r="C1" s="46"/>
      <c r="D1" s="47" t="s">
        <v>16</v>
      </c>
      <c r="E1" s="47"/>
      <c r="F1" s="47"/>
      <c r="G1" s="45" t="s">
        <v>17</v>
      </c>
      <c r="H1" s="45"/>
      <c r="I1" s="45"/>
    </row>
    <row r="2" spans="1:9" ht="19.5" customHeight="1" x14ac:dyDescent="0.25">
      <c r="A2" s="48" t="s">
        <v>2</v>
      </c>
      <c r="B2" s="48"/>
      <c r="C2" s="5">
        <f>SUM(C4:C65)</f>
        <v>0</v>
      </c>
      <c r="D2" s="5">
        <f>SUM(D4:D65)</f>
        <v>0</v>
      </c>
      <c r="E2" s="5">
        <f>C2-D2</f>
        <v>0</v>
      </c>
      <c r="F2" s="6">
        <f>IFERROR(E2/D2, 0)</f>
        <v>0</v>
      </c>
      <c r="G2" s="5">
        <f>SUM(G4:G65)</f>
        <v>0</v>
      </c>
      <c r="H2" s="7">
        <f>C2-G2</f>
        <v>0</v>
      </c>
      <c r="I2" s="6">
        <f>IFERROR(H2/G2, 0)</f>
        <v>0</v>
      </c>
    </row>
    <row r="3" spans="1:9" ht="14.25" customHeight="1" x14ac:dyDescent="0.25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 x14ac:dyDescent="0.25">
      <c r="A4" s="36" t="str" cm="1">
        <f t="array" ref="A4">Sites[Site]</f>
        <v>CT: Hamden - Burt Process Equipment</v>
      </c>
      <c r="B4" s="9" t="str" cm="1">
        <f t="array" ref="B4">Sites[State]</f>
        <v>CT</v>
      </c>
      <c r="C4" s="18">
        <f>SUM(Oct!C4, Nov!C4, Dec!C4)</f>
        <v>0</v>
      </c>
      <c r="D4" s="11">
        <f>SUM(Oct!D4, Nov!D4, Dec!D4)</f>
        <v>0</v>
      </c>
      <c r="E4" s="11">
        <f>IF(AND(ISNUMBER(C4),ISNUMBER(D4)), C4-D4, "")</f>
        <v>0</v>
      </c>
      <c r="F4" s="12" t="str">
        <f>IFERROR(E4/D4, "")</f>
        <v/>
      </c>
      <c r="G4" s="13"/>
      <c r="H4" s="13">
        <f>SUM(Oct!H4, Nov!H4, Dec!H4)</f>
        <v>0</v>
      </c>
      <c r="I4" s="14" t="str">
        <f>IFERROR(H4/G4, "")</f>
        <v/>
      </c>
    </row>
    <row r="5" spans="1:9" ht="13.8" x14ac:dyDescent="0.3">
      <c r="A5" s="15"/>
      <c r="B5" s="15"/>
      <c r="C5" s="15"/>
      <c r="D5" s="15"/>
      <c r="E5" s="15"/>
      <c r="F5" s="16"/>
      <c r="G5" s="15"/>
      <c r="H5" s="15"/>
      <c r="I5" s="16"/>
    </row>
    <row r="6" spans="1:9" ht="13.8" x14ac:dyDescent="0.3">
      <c r="A6" s="15"/>
      <c r="B6" s="15"/>
      <c r="C6" s="15"/>
      <c r="D6" s="15"/>
      <c r="E6" s="15"/>
      <c r="F6" s="16"/>
      <c r="G6" s="15"/>
      <c r="H6" s="15"/>
      <c r="I6" s="16"/>
    </row>
    <row r="7" spans="1:9" ht="13.8" x14ac:dyDescent="0.3">
      <c r="A7" s="15"/>
      <c r="B7" s="15"/>
      <c r="C7" s="15"/>
      <c r="D7" s="15"/>
      <c r="E7" s="15"/>
      <c r="F7" s="16"/>
      <c r="G7" s="15"/>
      <c r="H7" s="15"/>
      <c r="I7" s="16"/>
    </row>
    <row r="8" spans="1:9" ht="13.8" x14ac:dyDescent="0.3">
      <c r="A8" s="15"/>
      <c r="B8" s="15"/>
      <c r="C8" s="15"/>
      <c r="D8" s="15"/>
      <c r="E8" s="15"/>
      <c r="F8" s="16"/>
      <c r="G8" s="15"/>
      <c r="H8" s="15"/>
      <c r="I8" s="16"/>
    </row>
    <row r="9" spans="1:9" ht="13.8" x14ac:dyDescent="0.3">
      <c r="A9" s="15"/>
      <c r="B9" s="15"/>
      <c r="C9" s="15"/>
      <c r="D9" s="15"/>
      <c r="E9" s="15"/>
      <c r="F9" s="16"/>
      <c r="G9" s="15"/>
      <c r="H9" s="15"/>
      <c r="I9" s="16"/>
    </row>
    <row r="10" spans="1:9" ht="13.8" x14ac:dyDescent="0.3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8" x14ac:dyDescent="0.3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8" x14ac:dyDescent="0.3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8" x14ac:dyDescent="0.3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8" x14ac:dyDescent="0.3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8" x14ac:dyDescent="0.3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8" x14ac:dyDescent="0.3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8" x14ac:dyDescent="0.3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8" x14ac:dyDescent="0.3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8" x14ac:dyDescent="0.3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8" x14ac:dyDescent="0.3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8" x14ac:dyDescent="0.3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8" x14ac:dyDescent="0.3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8" x14ac:dyDescent="0.3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8" x14ac:dyDescent="0.3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8" x14ac:dyDescent="0.3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8" x14ac:dyDescent="0.3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8" x14ac:dyDescent="0.3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8" x14ac:dyDescent="0.3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8" x14ac:dyDescent="0.3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8" x14ac:dyDescent="0.3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8" x14ac:dyDescent="0.3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8" x14ac:dyDescent="0.3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8" x14ac:dyDescent="0.3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8" x14ac:dyDescent="0.3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8" x14ac:dyDescent="0.3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8" x14ac:dyDescent="0.3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8" x14ac:dyDescent="0.3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8" x14ac:dyDescent="0.3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8" x14ac:dyDescent="0.3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8" x14ac:dyDescent="0.3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8" x14ac:dyDescent="0.3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8" x14ac:dyDescent="0.3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8" x14ac:dyDescent="0.3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8" x14ac:dyDescent="0.3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8" x14ac:dyDescent="0.3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8" x14ac:dyDescent="0.3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8" x14ac:dyDescent="0.3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8" x14ac:dyDescent="0.3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8" x14ac:dyDescent="0.3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8" x14ac:dyDescent="0.3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8" x14ac:dyDescent="0.3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8" x14ac:dyDescent="0.3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8" x14ac:dyDescent="0.3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8" x14ac:dyDescent="0.3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8" x14ac:dyDescent="0.3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8" x14ac:dyDescent="0.3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8" x14ac:dyDescent="0.3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8" x14ac:dyDescent="0.3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8" x14ac:dyDescent="0.3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8" x14ac:dyDescent="0.3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8" x14ac:dyDescent="0.3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8" x14ac:dyDescent="0.3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8" x14ac:dyDescent="0.3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8" x14ac:dyDescent="0.3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8" x14ac:dyDescent="0.3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8" x14ac:dyDescent="0.3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8" x14ac:dyDescent="0.3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8" x14ac:dyDescent="0.3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8" x14ac:dyDescent="0.3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8" x14ac:dyDescent="0.3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8" x14ac:dyDescent="0.3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8" x14ac:dyDescent="0.3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8" x14ac:dyDescent="0.3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8" x14ac:dyDescent="0.3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8" x14ac:dyDescent="0.3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8" x14ac:dyDescent="0.3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8" x14ac:dyDescent="0.3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8" x14ac:dyDescent="0.3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8" x14ac:dyDescent="0.3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8" x14ac:dyDescent="0.3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8" x14ac:dyDescent="0.3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8" x14ac:dyDescent="0.3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8" x14ac:dyDescent="0.3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8" x14ac:dyDescent="0.3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8" x14ac:dyDescent="0.3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8" x14ac:dyDescent="0.3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8" x14ac:dyDescent="0.3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8" x14ac:dyDescent="0.3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8" x14ac:dyDescent="0.3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8" x14ac:dyDescent="0.3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8" x14ac:dyDescent="0.3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8" x14ac:dyDescent="0.3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8" x14ac:dyDescent="0.3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8" x14ac:dyDescent="0.3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8" x14ac:dyDescent="0.3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8" x14ac:dyDescent="0.3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8" x14ac:dyDescent="0.3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8" x14ac:dyDescent="0.3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8" x14ac:dyDescent="0.3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8" x14ac:dyDescent="0.3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8" x14ac:dyDescent="0.3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8" x14ac:dyDescent="0.3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8" x14ac:dyDescent="0.3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8" x14ac:dyDescent="0.3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8" x14ac:dyDescent="0.3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8" x14ac:dyDescent="0.3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8" x14ac:dyDescent="0.3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8" x14ac:dyDescent="0.3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8" x14ac:dyDescent="0.3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8" x14ac:dyDescent="0.3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8" x14ac:dyDescent="0.3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8" x14ac:dyDescent="0.3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8" x14ac:dyDescent="0.3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8" x14ac:dyDescent="0.3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8" x14ac:dyDescent="0.3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8" x14ac:dyDescent="0.3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8" x14ac:dyDescent="0.3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8" x14ac:dyDescent="0.3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8" x14ac:dyDescent="0.3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8" x14ac:dyDescent="0.3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8" x14ac:dyDescent="0.3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8" x14ac:dyDescent="0.3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8" x14ac:dyDescent="0.3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8" x14ac:dyDescent="0.3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8" x14ac:dyDescent="0.3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8" x14ac:dyDescent="0.3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8" x14ac:dyDescent="0.3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8" x14ac:dyDescent="0.3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8" x14ac:dyDescent="0.3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8" x14ac:dyDescent="0.3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8" x14ac:dyDescent="0.3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8" x14ac:dyDescent="0.3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8" x14ac:dyDescent="0.3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8" x14ac:dyDescent="0.3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8" x14ac:dyDescent="0.3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8" x14ac:dyDescent="0.3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8" x14ac:dyDescent="0.3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8" x14ac:dyDescent="0.3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8" x14ac:dyDescent="0.3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8" x14ac:dyDescent="0.3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8" x14ac:dyDescent="0.3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8" x14ac:dyDescent="0.3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8" x14ac:dyDescent="0.3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8" x14ac:dyDescent="0.3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8" x14ac:dyDescent="0.3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8" x14ac:dyDescent="0.3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8" x14ac:dyDescent="0.3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8" x14ac:dyDescent="0.3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8" x14ac:dyDescent="0.3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8" x14ac:dyDescent="0.3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8" x14ac:dyDescent="0.3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8" x14ac:dyDescent="0.3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8" x14ac:dyDescent="0.3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8" x14ac:dyDescent="0.3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8" x14ac:dyDescent="0.3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8" x14ac:dyDescent="0.3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8" x14ac:dyDescent="0.3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8" x14ac:dyDescent="0.3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8" x14ac:dyDescent="0.3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8" x14ac:dyDescent="0.3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8" x14ac:dyDescent="0.3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8" x14ac:dyDescent="0.3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8" x14ac:dyDescent="0.3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8" x14ac:dyDescent="0.3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8" x14ac:dyDescent="0.3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8" x14ac:dyDescent="0.3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8" x14ac:dyDescent="0.3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8" x14ac:dyDescent="0.3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8" x14ac:dyDescent="0.3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8" x14ac:dyDescent="0.3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8" x14ac:dyDescent="0.3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8" x14ac:dyDescent="0.3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8" x14ac:dyDescent="0.3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8" x14ac:dyDescent="0.3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8" x14ac:dyDescent="0.3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8" x14ac:dyDescent="0.3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8" x14ac:dyDescent="0.3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8" x14ac:dyDescent="0.3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8" x14ac:dyDescent="0.3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8" x14ac:dyDescent="0.3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8" x14ac:dyDescent="0.3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8" x14ac:dyDescent="0.3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8" x14ac:dyDescent="0.3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8" x14ac:dyDescent="0.3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8" x14ac:dyDescent="0.3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8" x14ac:dyDescent="0.3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8" x14ac:dyDescent="0.3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8" x14ac:dyDescent="0.3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8" x14ac:dyDescent="0.3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8" x14ac:dyDescent="0.3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8" x14ac:dyDescent="0.3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8" x14ac:dyDescent="0.3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8" x14ac:dyDescent="0.3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8" x14ac:dyDescent="0.3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8" x14ac:dyDescent="0.3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8" x14ac:dyDescent="0.3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8" x14ac:dyDescent="0.3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8" x14ac:dyDescent="0.3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8" x14ac:dyDescent="0.3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8" x14ac:dyDescent="0.3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8" x14ac:dyDescent="0.3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8" x14ac:dyDescent="0.3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8" x14ac:dyDescent="0.3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8" x14ac:dyDescent="0.3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8" x14ac:dyDescent="0.3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8" x14ac:dyDescent="0.3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8" x14ac:dyDescent="0.3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8" x14ac:dyDescent="0.3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8" x14ac:dyDescent="0.3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8" x14ac:dyDescent="0.3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8" x14ac:dyDescent="0.3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8" x14ac:dyDescent="0.3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8" x14ac:dyDescent="0.3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8" x14ac:dyDescent="0.3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8" x14ac:dyDescent="0.3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8" x14ac:dyDescent="0.3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8" x14ac:dyDescent="0.3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8" x14ac:dyDescent="0.3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8" x14ac:dyDescent="0.3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8" x14ac:dyDescent="0.3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8" x14ac:dyDescent="0.3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8" x14ac:dyDescent="0.3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8" x14ac:dyDescent="0.3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8" x14ac:dyDescent="0.3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8" x14ac:dyDescent="0.3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8" x14ac:dyDescent="0.3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8" x14ac:dyDescent="0.3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8" x14ac:dyDescent="0.3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8" x14ac:dyDescent="0.3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8" x14ac:dyDescent="0.3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8" x14ac:dyDescent="0.3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8" x14ac:dyDescent="0.3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8" x14ac:dyDescent="0.3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8" x14ac:dyDescent="0.3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8" x14ac:dyDescent="0.3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8" x14ac:dyDescent="0.3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8" x14ac:dyDescent="0.3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8" x14ac:dyDescent="0.3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8" x14ac:dyDescent="0.3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8" x14ac:dyDescent="0.3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8" x14ac:dyDescent="0.3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8" x14ac:dyDescent="0.3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8" x14ac:dyDescent="0.3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8" x14ac:dyDescent="0.3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8" x14ac:dyDescent="0.3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8" x14ac:dyDescent="0.3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8" x14ac:dyDescent="0.3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8" x14ac:dyDescent="0.3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8" x14ac:dyDescent="0.3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8" x14ac:dyDescent="0.3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8" x14ac:dyDescent="0.3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8" x14ac:dyDescent="0.3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8" x14ac:dyDescent="0.3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8" x14ac:dyDescent="0.3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8" x14ac:dyDescent="0.3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8" x14ac:dyDescent="0.3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8" x14ac:dyDescent="0.3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8" x14ac:dyDescent="0.3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8" x14ac:dyDescent="0.3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8" x14ac:dyDescent="0.3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8" x14ac:dyDescent="0.3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8" x14ac:dyDescent="0.3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8" x14ac:dyDescent="0.3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8" x14ac:dyDescent="0.3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8" x14ac:dyDescent="0.3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8" x14ac:dyDescent="0.3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8" x14ac:dyDescent="0.3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8" x14ac:dyDescent="0.3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8" x14ac:dyDescent="0.3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8" x14ac:dyDescent="0.3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8" x14ac:dyDescent="0.3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8" x14ac:dyDescent="0.3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8" x14ac:dyDescent="0.3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8" x14ac:dyDescent="0.3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8" x14ac:dyDescent="0.3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8" x14ac:dyDescent="0.3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8" x14ac:dyDescent="0.3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8" x14ac:dyDescent="0.3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8" x14ac:dyDescent="0.3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8" x14ac:dyDescent="0.3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8" x14ac:dyDescent="0.3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8" x14ac:dyDescent="0.3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8" x14ac:dyDescent="0.3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8" x14ac:dyDescent="0.3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8" x14ac:dyDescent="0.3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8" x14ac:dyDescent="0.3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8" x14ac:dyDescent="0.3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8" x14ac:dyDescent="0.3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8" x14ac:dyDescent="0.3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8" x14ac:dyDescent="0.3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8" x14ac:dyDescent="0.3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8" x14ac:dyDescent="0.3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8" x14ac:dyDescent="0.3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8" x14ac:dyDescent="0.3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8" x14ac:dyDescent="0.3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8" x14ac:dyDescent="0.3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8" x14ac:dyDescent="0.3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8" x14ac:dyDescent="0.3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8" x14ac:dyDescent="0.3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8" x14ac:dyDescent="0.3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8" x14ac:dyDescent="0.3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8" x14ac:dyDescent="0.3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8" x14ac:dyDescent="0.3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8" x14ac:dyDescent="0.3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8" x14ac:dyDescent="0.3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8" x14ac:dyDescent="0.3">
      <c r="A306" s="15"/>
      <c r="B306" s="15"/>
      <c r="C306" s="15"/>
      <c r="D306" s="15"/>
      <c r="E306" s="15"/>
      <c r="F306" s="16"/>
      <c r="G306" s="15"/>
      <c r="H306" s="15"/>
      <c r="I306" s="16"/>
    </row>
    <row r="307" spans="1:9" ht="13.8" x14ac:dyDescent="0.3">
      <c r="A307" s="15"/>
      <c r="B307" s="15"/>
      <c r="C307" s="15"/>
      <c r="D307" s="15"/>
      <c r="E307" s="15"/>
      <c r="F307" s="16"/>
      <c r="G307" s="15"/>
      <c r="H307" s="15"/>
      <c r="I307" s="16"/>
    </row>
  </sheetData>
  <mergeCells count="4">
    <mergeCell ref="G1:I1"/>
    <mergeCell ref="A1:C1"/>
    <mergeCell ref="D1:F1"/>
    <mergeCell ref="A2:B2"/>
  </mergeCells>
  <conditionalFormatting sqref="F2 I2 F4:F65 I4:I65">
    <cfRule type="cellIs" dxfId="25" priority="1" stopIfTrue="1" operator="lessThanOrEqual">
      <formula>-0.1</formula>
    </cfRule>
    <cfRule type="expression" dxfId="24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06"/>
  <sheetViews>
    <sheetView workbookViewId="0">
      <pane xSplit="2" ySplit="3" topLeftCell="C4" activePane="bottomRight" state="frozen"/>
      <selection pane="topRight" activeCell="A10" sqref="A10"/>
      <selection pane="bottomLeft" activeCell="A10" sqref="A10"/>
      <selection pane="bottomRight" activeCell="F10" sqref="F10"/>
    </sheetView>
  </sheetViews>
  <sheetFormatPr defaultRowHeight="13.8" x14ac:dyDescent="0.25"/>
  <cols>
    <col min="1" max="1" width="35.88671875" bestFit="1" customWidth="1"/>
    <col min="2" max="2" width="8.44140625" style="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46" t="str" cm="1">
        <f t="array" ref="A1">portfolio</f>
        <v>Burt Process Equipment</v>
      </c>
      <c r="B1" s="46"/>
      <c r="C1" s="46"/>
      <c r="D1" s="47" t="s">
        <v>18</v>
      </c>
      <c r="E1" s="47"/>
      <c r="F1" s="47"/>
      <c r="G1" s="45" t="s">
        <v>19</v>
      </c>
      <c r="H1" s="45"/>
      <c r="I1" s="45"/>
      <c r="J1" s="4"/>
      <c r="K1" s="4"/>
    </row>
    <row r="2" spans="1:11" ht="19.5" customHeight="1" x14ac:dyDescent="0.25">
      <c r="A2" s="48" t="s">
        <v>2</v>
      </c>
      <c r="B2" s="48"/>
      <c r="C2" s="5">
        <f>SUM(C4:C64)</f>
        <v>5651.2002929688897</v>
      </c>
      <c r="D2" s="5">
        <f>SUM(D4:D64)</f>
        <v>0</v>
      </c>
      <c r="E2" s="5">
        <f>C2-D2</f>
        <v>5651.2002929688897</v>
      </c>
      <c r="F2" s="6">
        <f>IFERROR(E2/D2, 0)</f>
        <v>0</v>
      </c>
      <c r="G2" s="5">
        <f>SUM(G4:G64)</f>
        <v>12999</v>
      </c>
      <c r="H2" s="7">
        <f>C2-G2</f>
        <v>-7347.7997070311103</v>
      </c>
      <c r="I2" s="6">
        <f>IFERROR(H2/G2, 0)</f>
        <v>-0.56525884352881839</v>
      </c>
      <c r="J2" s="20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25">
      <c r="A3" s="21" t="s">
        <v>3</v>
      </c>
      <c r="B3" s="8" t="s">
        <v>4</v>
      </c>
      <c r="C3" s="39" t="s">
        <v>5</v>
      </c>
      <c r="D3" s="40" t="s">
        <v>6</v>
      </c>
      <c r="E3" s="26" t="s">
        <v>7</v>
      </c>
      <c r="F3" s="27" t="s">
        <v>8</v>
      </c>
      <c r="G3" s="43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 x14ac:dyDescent="0.3">
      <c r="A4" s="38" t="str" cm="1">
        <f t="array" ref="A4">Sites[Site]</f>
        <v>CT: Hamden - Burt Process Equipment</v>
      </c>
      <c r="B4" s="22" t="str" cm="1">
        <f t="array" ref="B4">Sites[State]</f>
        <v>CT</v>
      </c>
      <c r="C4" s="41">
        <v>5651.2002929688897</v>
      </c>
      <c r="D4" s="42">
        <v>0</v>
      </c>
      <c r="E4" s="11">
        <f>IF(AND(ISNUMBER(C4),ISNUMBER(D4)), C4-D4, "")</f>
        <v>5651.2002929688897</v>
      </c>
      <c r="F4" s="33" t="str">
        <f>IFERROR(E4/D4, "")</f>
        <v/>
      </c>
      <c r="G4" s="44">
        <v>12999</v>
      </c>
      <c r="H4" s="13">
        <f>IF(AND(ISNUMBER(C4),ISNUMBER(G4)), C4-G4, "")</f>
        <v>-7347.7997070311103</v>
      </c>
      <c r="I4" s="14">
        <f>IFERROR(H4/G4, "")</f>
        <v>-0.56525884352881839</v>
      </c>
      <c r="J4" s="31"/>
      <c r="K4" s="31"/>
    </row>
    <row r="5" spans="1:11" ht="14.4" x14ac:dyDescent="0.3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" x14ac:dyDescent="0.3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" x14ac:dyDescent="0.3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" x14ac:dyDescent="0.3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" x14ac:dyDescent="0.3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" x14ac:dyDescent="0.3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" x14ac:dyDescent="0.3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" x14ac:dyDescent="0.3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" x14ac:dyDescent="0.3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" x14ac:dyDescent="0.3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" x14ac:dyDescent="0.3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" x14ac:dyDescent="0.3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" x14ac:dyDescent="0.3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" x14ac:dyDescent="0.3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" x14ac:dyDescent="0.3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" x14ac:dyDescent="0.3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" x14ac:dyDescent="0.3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" x14ac:dyDescent="0.3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" x14ac:dyDescent="0.3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" x14ac:dyDescent="0.3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" x14ac:dyDescent="0.3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" x14ac:dyDescent="0.3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" x14ac:dyDescent="0.3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" x14ac:dyDescent="0.3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" x14ac:dyDescent="0.3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" x14ac:dyDescent="0.3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" x14ac:dyDescent="0.3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" x14ac:dyDescent="0.3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" x14ac:dyDescent="0.3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" x14ac:dyDescent="0.3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" x14ac:dyDescent="0.3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" x14ac:dyDescent="0.3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" x14ac:dyDescent="0.3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" x14ac:dyDescent="0.3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" x14ac:dyDescent="0.3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" x14ac:dyDescent="0.3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" x14ac:dyDescent="0.3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" x14ac:dyDescent="0.3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" x14ac:dyDescent="0.3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" x14ac:dyDescent="0.3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" x14ac:dyDescent="0.3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" x14ac:dyDescent="0.3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" x14ac:dyDescent="0.3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" x14ac:dyDescent="0.3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" x14ac:dyDescent="0.3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" x14ac:dyDescent="0.3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" x14ac:dyDescent="0.3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" x14ac:dyDescent="0.3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" x14ac:dyDescent="0.3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" x14ac:dyDescent="0.3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" x14ac:dyDescent="0.3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" x14ac:dyDescent="0.3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" x14ac:dyDescent="0.3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" x14ac:dyDescent="0.3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" x14ac:dyDescent="0.3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" x14ac:dyDescent="0.3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" x14ac:dyDescent="0.3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" x14ac:dyDescent="0.3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" x14ac:dyDescent="0.3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" x14ac:dyDescent="0.3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" x14ac:dyDescent="0.3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" x14ac:dyDescent="0.3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" x14ac:dyDescent="0.3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" x14ac:dyDescent="0.3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" x14ac:dyDescent="0.3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" x14ac:dyDescent="0.3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" x14ac:dyDescent="0.3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" x14ac:dyDescent="0.3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" x14ac:dyDescent="0.3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" x14ac:dyDescent="0.3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" x14ac:dyDescent="0.3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" x14ac:dyDescent="0.3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" x14ac:dyDescent="0.3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" x14ac:dyDescent="0.3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" x14ac:dyDescent="0.3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" x14ac:dyDescent="0.3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" x14ac:dyDescent="0.3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" x14ac:dyDescent="0.3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" x14ac:dyDescent="0.3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" x14ac:dyDescent="0.3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" x14ac:dyDescent="0.3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" x14ac:dyDescent="0.3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" x14ac:dyDescent="0.3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" x14ac:dyDescent="0.3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" x14ac:dyDescent="0.3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" x14ac:dyDescent="0.3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" x14ac:dyDescent="0.3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" x14ac:dyDescent="0.3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" x14ac:dyDescent="0.3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" x14ac:dyDescent="0.3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" x14ac:dyDescent="0.3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" x14ac:dyDescent="0.3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" x14ac:dyDescent="0.3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" x14ac:dyDescent="0.3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" x14ac:dyDescent="0.3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" x14ac:dyDescent="0.3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" x14ac:dyDescent="0.3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" x14ac:dyDescent="0.3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" x14ac:dyDescent="0.3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" x14ac:dyDescent="0.3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" x14ac:dyDescent="0.3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" x14ac:dyDescent="0.3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" x14ac:dyDescent="0.3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" x14ac:dyDescent="0.3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" x14ac:dyDescent="0.3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" x14ac:dyDescent="0.3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" x14ac:dyDescent="0.3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" x14ac:dyDescent="0.3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" x14ac:dyDescent="0.3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" x14ac:dyDescent="0.3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" x14ac:dyDescent="0.3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" x14ac:dyDescent="0.3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" x14ac:dyDescent="0.3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" x14ac:dyDescent="0.3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" x14ac:dyDescent="0.3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" x14ac:dyDescent="0.3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" x14ac:dyDescent="0.3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" x14ac:dyDescent="0.3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" x14ac:dyDescent="0.3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" x14ac:dyDescent="0.3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" x14ac:dyDescent="0.3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" x14ac:dyDescent="0.3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" x14ac:dyDescent="0.3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" x14ac:dyDescent="0.3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" x14ac:dyDescent="0.3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" x14ac:dyDescent="0.3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" x14ac:dyDescent="0.3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" x14ac:dyDescent="0.3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" x14ac:dyDescent="0.3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" x14ac:dyDescent="0.3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" x14ac:dyDescent="0.3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" x14ac:dyDescent="0.3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" x14ac:dyDescent="0.3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" x14ac:dyDescent="0.3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" x14ac:dyDescent="0.3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" x14ac:dyDescent="0.3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" x14ac:dyDescent="0.3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" x14ac:dyDescent="0.3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" x14ac:dyDescent="0.3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" x14ac:dyDescent="0.3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" x14ac:dyDescent="0.3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" x14ac:dyDescent="0.3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" x14ac:dyDescent="0.3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" x14ac:dyDescent="0.3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" x14ac:dyDescent="0.3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" x14ac:dyDescent="0.3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" x14ac:dyDescent="0.3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" x14ac:dyDescent="0.3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" x14ac:dyDescent="0.3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" x14ac:dyDescent="0.3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" x14ac:dyDescent="0.3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" x14ac:dyDescent="0.3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" x14ac:dyDescent="0.3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" x14ac:dyDescent="0.3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" x14ac:dyDescent="0.3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" x14ac:dyDescent="0.3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" x14ac:dyDescent="0.3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" x14ac:dyDescent="0.3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" x14ac:dyDescent="0.3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" x14ac:dyDescent="0.3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" x14ac:dyDescent="0.3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" x14ac:dyDescent="0.3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" x14ac:dyDescent="0.3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" x14ac:dyDescent="0.3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" x14ac:dyDescent="0.3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" x14ac:dyDescent="0.3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" x14ac:dyDescent="0.3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" x14ac:dyDescent="0.3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" x14ac:dyDescent="0.3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" x14ac:dyDescent="0.3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" x14ac:dyDescent="0.3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" x14ac:dyDescent="0.3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" x14ac:dyDescent="0.3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" x14ac:dyDescent="0.3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" x14ac:dyDescent="0.3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" x14ac:dyDescent="0.3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" x14ac:dyDescent="0.3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" x14ac:dyDescent="0.3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" x14ac:dyDescent="0.3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" x14ac:dyDescent="0.3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" x14ac:dyDescent="0.3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" x14ac:dyDescent="0.3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" x14ac:dyDescent="0.3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" x14ac:dyDescent="0.3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" x14ac:dyDescent="0.3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" x14ac:dyDescent="0.3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" x14ac:dyDescent="0.3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" x14ac:dyDescent="0.3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" x14ac:dyDescent="0.3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" x14ac:dyDescent="0.3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" x14ac:dyDescent="0.3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" x14ac:dyDescent="0.3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" x14ac:dyDescent="0.3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" x14ac:dyDescent="0.3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" x14ac:dyDescent="0.3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" x14ac:dyDescent="0.3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" x14ac:dyDescent="0.3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" x14ac:dyDescent="0.3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" x14ac:dyDescent="0.3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" x14ac:dyDescent="0.3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" x14ac:dyDescent="0.3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" x14ac:dyDescent="0.3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" x14ac:dyDescent="0.3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" x14ac:dyDescent="0.3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" x14ac:dyDescent="0.3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" x14ac:dyDescent="0.3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" x14ac:dyDescent="0.3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" x14ac:dyDescent="0.3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" x14ac:dyDescent="0.3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" x14ac:dyDescent="0.3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" x14ac:dyDescent="0.3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" x14ac:dyDescent="0.3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" x14ac:dyDescent="0.3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" x14ac:dyDescent="0.3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" x14ac:dyDescent="0.3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" x14ac:dyDescent="0.3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" x14ac:dyDescent="0.3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" x14ac:dyDescent="0.3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" x14ac:dyDescent="0.3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" x14ac:dyDescent="0.3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" x14ac:dyDescent="0.3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" x14ac:dyDescent="0.3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" x14ac:dyDescent="0.3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" x14ac:dyDescent="0.3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" x14ac:dyDescent="0.3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" x14ac:dyDescent="0.3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" x14ac:dyDescent="0.3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" x14ac:dyDescent="0.3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" x14ac:dyDescent="0.3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" x14ac:dyDescent="0.3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" x14ac:dyDescent="0.3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" x14ac:dyDescent="0.3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" x14ac:dyDescent="0.3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" x14ac:dyDescent="0.3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" x14ac:dyDescent="0.3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" x14ac:dyDescent="0.3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" x14ac:dyDescent="0.3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" x14ac:dyDescent="0.3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" x14ac:dyDescent="0.3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" x14ac:dyDescent="0.3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" x14ac:dyDescent="0.3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" x14ac:dyDescent="0.3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" x14ac:dyDescent="0.3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" x14ac:dyDescent="0.3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" x14ac:dyDescent="0.3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" x14ac:dyDescent="0.3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" x14ac:dyDescent="0.3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" x14ac:dyDescent="0.3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" x14ac:dyDescent="0.3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" x14ac:dyDescent="0.3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" x14ac:dyDescent="0.3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" x14ac:dyDescent="0.3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" x14ac:dyDescent="0.3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" x14ac:dyDescent="0.3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" x14ac:dyDescent="0.3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" x14ac:dyDescent="0.3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" x14ac:dyDescent="0.3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" x14ac:dyDescent="0.3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" x14ac:dyDescent="0.3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" x14ac:dyDescent="0.3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" x14ac:dyDescent="0.3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" x14ac:dyDescent="0.3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" x14ac:dyDescent="0.3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" x14ac:dyDescent="0.3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" x14ac:dyDescent="0.3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" x14ac:dyDescent="0.3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" x14ac:dyDescent="0.3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" x14ac:dyDescent="0.3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" x14ac:dyDescent="0.3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" x14ac:dyDescent="0.3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" x14ac:dyDescent="0.3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" x14ac:dyDescent="0.3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" x14ac:dyDescent="0.3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" x14ac:dyDescent="0.3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" x14ac:dyDescent="0.3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" x14ac:dyDescent="0.3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" x14ac:dyDescent="0.3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" x14ac:dyDescent="0.3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" x14ac:dyDescent="0.3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" x14ac:dyDescent="0.3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" x14ac:dyDescent="0.3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" x14ac:dyDescent="0.3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" x14ac:dyDescent="0.3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" x14ac:dyDescent="0.3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" x14ac:dyDescent="0.3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" x14ac:dyDescent="0.3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" x14ac:dyDescent="0.3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" x14ac:dyDescent="0.3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" x14ac:dyDescent="0.3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" x14ac:dyDescent="0.3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" x14ac:dyDescent="0.3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" x14ac:dyDescent="0.3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" x14ac:dyDescent="0.3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" x14ac:dyDescent="0.3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" x14ac:dyDescent="0.3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" x14ac:dyDescent="0.3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" x14ac:dyDescent="0.3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" x14ac:dyDescent="0.3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" x14ac:dyDescent="0.3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" x14ac:dyDescent="0.3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" x14ac:dyDescent="0.3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" x14ac:dyDescent="0.3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</sheetData>
  <mergeCells count="4">
    <mergeCell ref="D1:F1"/>
    <mergeCell ref="A1:C1"/>
    <mergeCell ref="G1:I1"/>
    <mergeCell ref="A2:B2"/>
  </mergeCells>
  <conditionalFormatting sqref="F2 I2 I4:I64 F5:F64">
    <cfRule type="cellIs" dxfId="23" priority="4" stopIfTrue="1" operator="lessThanOrEqual">
      <formula>-0.1</formula>
    </cfRule>
    <cfRule type="expression" dxfId="22" priority="5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07"/>
  <sheetViews>
    <sheetView workbookViewId="0">
      <pane xSplit="2" ySplit="3" topLeftCell="C4" activePane="bottomRight" state="frozen"/>
      <selection pane="topRight" activeCell="A10" sqref="A10"/>
      <selection pane="bottomLeft" activeCell="A10" sqref="A10"/>
      <selection pane="bottomRight" activeCell="E8" sqref="E8"/>
    </sheetView>
  </sheetViews>
  <sheetFormatPr defaultRowHeight="13.8" x14ac:dyDescent="0.25"/>
  <cols>
    <col min="1" max="1" width="35.88671875" bestFit="1" customWidth="1"/>
    <col min="2" max="2" width="8.44140625" style="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46" t="str" cm="1">
        <f t="array" ref="A1">portfolio</f>
        <v>Burt Process Equipment</v>
      </c>
      <c r="B1" s="46"/>
      <c r="C1" s="46"/>
      <c r="D1" s="47" t="s">
        <v>22</v>
      </c>
      <c r="E1" s="47"/>
      <c r="F1" s="47"/>
      <c r="G1" s="45" t="s">
        <v>23</v>
      </c>
      <c r="H1" s="45"/>
      <c r="I1" s="45"/>
      <c r="J1" s="4"/>
      <c r="K1" s="4"/>
    </row>
    <row r="2" spans="1:11" ht="19.5" customHeight="1" x14ac:dyDescent="0.25">
      <c r="A2" s="48" t="s">
        <v>2</v>
      </c>
      <c r="B2" s="48"/>
      <c r="C2" s="5">
        <f>SUM(C4:C65)</f>
        <v>10070.834999999999</v>
      </c>
      <c r="D2" s="5">
        <f>SUM(D4:D65)</f>
        <v>0</v>
      </c>
      <c r="E2" s="5">
        <f>C2-D2</f>
        <v>10070.834999999999</v>
      </c>
      <c r="F2" s="6">
        <f>IFERROR(E2/D2, 0)</f>
        <v>0</v>
      </c>
      <c r="G2" s="5">
        <f>SUM(G4:G65)</f>
        <v>16998.150000000001</v>
      </c>
      <c r="H2" s="7">
        <f>C2-G2</f>
        <v>-6927.3150000000023</v>
      </c>
      <c r="I2" s="6">
        <f>IFERROR(H2/G2, 0)</f>
        <v>-0.40753346687727793</v>
      </c>
      <c r="J2" s="20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25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 x14ac:dyDescent="0.3">
      <c r="A4" s="38" t="str" cm="1">
        <f t="array" ref="A4">Sites[Site]</f>
        <v>CT: Hamden - Burt Process Equipment</v>
      </c>
      <c r="B4" s="22" t="str" cm="1">
        <f t="array" ref="B4">Sites[State]</f>
        <v>CT</v>
      </c>
      <c r="C4" s="18">
        <v>10070.834999999999</v>
      </c>
      <c r="D4" s="11">
        <v>0</v>
      </c>
      <c r="E4" s="11">
        <f>IF(AND(ISNUMBER(C4),ISNUMBER(D4)), C4-D4, "")</f>
        <v>10070.834999999999</v>
      </c>
      <c r="F4" s="12" t="str">
        <f>IFERROR(E4/D4, "")</f>
        <v/>
      </c>
      <c r="G4" s="13">
        <v>16998.150000000001</v>
      </c>
      <c r="H4" s="13">
        <f>IF(AND(ISNUMBER(C4),ISNUMBER(G4)), C4-G4, "")</f>
        <v>-6927.3150000000023</v>
      </c>
      <c r="I4" s="14">
        <f>IFERROR(H4/G4, "")</f>
        <v>-0.40753346687727793</v>
      </c>
      <c r="J4" s="31"/>
      <c r="K4" s="31"/>
    </row>
    <row r="5" spans="1:11" ht="14.4" x14ac:dyDescent="0.3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" x14ac:dyDescent="0.3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" x14ac:dyDescent="0.3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" x14ac:dyDescent="0.3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" x14ac:dyDescent="0.3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" x14ac:dyDescent="0.3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" x14ac:dyDescent="0.3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" x14ac:dyDescent="0.3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" x14ac:dyDescent="0.3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" x14ac:dyDescent="0.3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" x14ac:dyDescent="0.3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" x14ac:dyDescent="0.3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" x14ac:dyDescent="0.3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" x14ac:dyDescent="0.3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" x14ac:dyDescent="0.3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" x14ac:dyDescent="0.3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" x14ac:dyDescent="0.3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" x14ac:dyDescent="0.3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" x14ac:dyDescent="0.3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" x14ac:dyDescent="0.3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" x14ac:dyDescent="0.3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" x14ac:dyDescent="0.3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" x14ac:dyDescent="0.3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" x14ac:dyDescent="0.3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" x14ac:dyDescent="0.3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" x14ac:dyDescent="0.3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" x14ac:dyDescent="0.3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" x14ac:dyDescent="0.3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" x14ac:dyDescent="0.3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" x14ac:dyDescent="0.3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" x14ac:dyDescent="0.3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" x14ac:dyDescent="0.3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" x14ac:dyDescent="0.3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" x14ac:dyDescent="0.3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" x14ac:dyDescent="0.3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" x14ac:dyDescent="0.3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" x14ac:dyDescent="0.3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" x14ac:dyDescent="0.3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" x14ac:dyDescent="0.3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" x14ac:dyDescent="0.3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" x14ac:dyDescent="0.3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" x14ac:dyDescent="0.3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" x14ac:dyDescent="0.3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" x14ac:dyDescent="0.3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" x14ac:dyDescent="0.3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" x14ac:dyDescent="0.3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" x14ac:dyDescent="0.3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" x14ac:dyDescent="0.3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" x14ac:dyDescent="0.3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" x14ac:dyDescent="0.3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" x14ac:dyDescent="0.3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" x14ac:dyDescent="0.3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" x14ac:dyDescent="0.3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" x14ac:dyDescent="0.3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" x14ac:dyDescent="0.3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" x14ac:dyDescent="0.3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" x14ac:dyDescent="0.3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" x14ac:dyDescent="0.3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" x14ac:dyDescent="0.3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" x14ac:dyDescent="0.3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" x14ac:dyDescent="0.3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" x14ac:dyDescent="0.3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" x14ac:dyDescent="0.3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" x14ac:dyDescent="0.3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" x14ac:dyDescent="0.3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" x14ac:dyDescent="0.3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" x14ac:dyDescent="0.3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" x14ac:dyDescent="0.3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" x14ac:dyDescent="0.3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" x14ac:dyDescent="0.3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" x14ac:dyDescent="0.3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" x14ac:dyDescent="0.3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" x14ac:dyDescent="0.3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" x14ac:dyDescent="0.3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" x14ac:dyDescent="0.3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" x14ac:dyDescent="0.3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" x14ac:dyDescent="0.3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" x14ac:dyDescent="0.3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" x14ac:dyDescent="0.3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" x14ac:dyDescent="0.3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" x14ac:dyDescent="0.3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" x14ac:dyDescent="0.3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" x14ac:dyDescent="0.3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" x14ac:dyDescent="0.3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" x14ac:dyDescent="0.3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" x14ac:dyDescent="0.3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" x14ac:dyDescent="0.3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" x14ac:dyDescent="0.3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" x14ac:dyDescent="0.3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" x14ac:dyDescent="0.3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" x14ac:dyDescent="0.3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" x14ac:dyDescent="0.3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" x14ac:dyDescent="0.3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" x14ac:dyDescent="0.3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" x14ac:dyDescent="0.3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" x14ac:dyDescent="0.3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" x14ac:dyDescent="0.3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" x14ac:dyDescent="0.3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" x14ac:dyDescent="0.3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" x14ac:dyDescent="0.3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" x14ac:dyDescent="0.3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" x14ac:dyDescent="0.3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" x14ac:dyDescent="0.3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" x14ac:dyDescent="0.3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" x14ac:dyDescent="0.3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" x14ac:dyDescent="0.3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" x14ac:dyDescent="0.3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" x14ac:dyDescent="0.3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" x14ac:dyDescent="0.3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" x14ac:dyDescent="0.3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" x14ac:dyDescent="0.3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" x14ac:dyDescent="0.3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" x14ac:dyDescent="0.3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" x14ac:dyDescent="0.3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" x14ac:dyDescent="0.3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" x14ac:dyDescent="0.3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" x14ac:dyDescent="0.3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" x14ac:dyDescent="0.3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" x14ac:dyDescent="0.3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" x14ac:dyDescent="0.3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" x14ac:dyDescent="0.3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" x14ac:dyDescent="0.3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" x14ac:dyDescent="0.3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" x14ac:dyDescent="0.3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" x14ac:dyDescent="0.3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" x14ac:dyDescent="0.3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" x14ac:dyDescent="0.3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" x14ac:dyDescent="0.3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" x14ac:dyDescent="0.3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" x14ac:dyDescent="0.3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" x14ac:dyDescent="0.3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" x14ac:dyDescent="0.3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" x14ac:dyDescent="0.3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" x14ac:dyDescent="0.3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" x14ac:dyDescent="0.3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" x14ac:dyDescent="0.3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" x14ac:dyDescent="0.3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" x14ac:dyDescent="0.3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" x14ac:dyDescent="0.3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" x14ac:dyDescent="0.3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" x14ac:dyDescent="0.3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" x14ac:dyDescent="0.3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" x14ac:dyDescent="0.3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" x14ac:dyDescent="0.3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" x14ac:dyDescent="0.3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" x14ac:dyDescent="0.3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" x14ac:dyDescent="0.3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" x14ac:dyDescent="0.3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" x14ac:dyDescent="0.3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" x14ac:dyDescent="0.3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" x14ac:dyDescent="0.3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" x14ac:dyDescent="0.3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" x14ac:dyDescent="0.3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" x14ac:dyDescent="0.3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" x14ac:dyDescent="0.3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" x14ac:dyDescent="0.3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" x14ac:dyDescent="0.3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" x14ac:dyDescent="0.3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" x14ac:dyDescent="0.3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" x14ac:dyDescent="0.3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" x14ac:dyDescent="0.3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" x14ac:dyDescent="0.3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" x14ac:dyDescent="0.3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" x14ac:dyDescent="0.3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" x14ac:dyDescent="0.3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" x14ac:dyDescent="0.3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" x14ac:dyDescent="0.3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" x14ac:dyDescent="0.3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" x14ac:dyDescent="0.3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" x14ac:dyDescent="0.3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" x14ac:dyDescent="0.3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" x14ac:dyDescent="0.3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" x14ac:dyDescent="0.3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" x14ac:dyDescent="0.3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" x14ac:dyDescent="0.3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" x14ac:dyDescent="0.3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" x14ac:dyDescent="0.3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" x14ac:dyDescent="0.3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" x14ac:dyDescent="0.3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" x14ac:dyDescent="0.3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" x14ac:dyDescent="0.3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" x14ac:dyDescent="0.3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" x14ac:dyDescent="0.3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" x14ac:dyDescent="0.3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" x14ac:dyDescent="0.3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" x14ac:dyDescent="0.3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" x14ac:dyDescent="0.3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" x14ac:dyDescent="0.3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" x14ac:dyDescent="0.3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" x14ac:dyDescent="0.3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" x14ac:dyDescent="0.3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" x14ac:dyDescent="0.3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" x14ac:dyDescent="0.3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" x14ac:dyDescent="0.3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" x14ac:dyDescent="0.3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" x14ac:dyDescent="0.3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" x14ac:dyDescent="0.3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" x14ac:dyDescent="0.3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" x14ac:dyDescent="0.3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" x14ac:dyDescent="0.3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" x14ac:dyDescent="0.3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" x14ac:dyDescent="0.3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" x14ac:dyDescent="0.3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" x14ac:dyDescent="0.3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" x14ac:dyDescent="0.3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" x14ac:dyDescent="0.3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" x14ac:dyDescent="0.3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" x14ac:dyDescent="0.3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" x14ac:dyDescent="0.3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" x14ac:dyDescent="0.3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" x14ac:dyDescent="0.3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" x14ac:dyDescent="0.3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" x14ac:dyDescent="0.3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" x14ac:dyDescent="0.3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" x14ac:dyDescent="0.3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" x14ac:dyDescent="0.3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" x14ac:dyDescent="0.3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" x14ac:dyDescent="0.3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" x14ac:dyDescent="0.3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" x14ac:dyDescent="0.3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" x14ac:dyDescent="0.3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" x14ac:dyDescent="0.3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" x14ac:dyDescent="0.3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" x14ac:dyDescent="0.3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" x14ac:dyDescent="0.3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" x14ac:dyDescent="0.3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" x14ac:dyDescent="0.3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" x14ac:dyDescent="0.3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" x14ac:dyDescent="0.3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" x14ac:dyDescent="0.3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" x14ac:dyDescent="0.3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" x14ac:dyDescent="0.3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" x14ac:dyDescent="0.3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" x14ac:dyDescent="0.3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" x14ac:dyDescent="0.3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" x14ac:dyDescent="0.3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" x14ac:dyDescent="0.3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" x14ac:dyDescent="0.3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" x14ac:dyDescent="0.3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" x14ac:dyDescent="0.3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" x14ac:dyDescent="0.3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" x14ac:dyDescent="0.3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" x14ac:dyDescent="0.3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" x14ac:dyDescent="0.3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" x14ac:dyDescent="0.3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" x14ac:dyDescent="0.3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" x14ac:dyDescent="0.3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" x14ac:dyDescent="0.3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" x14ac:dyDescent="0.3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" x14ac:dyDescent="0.3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" x14ac:dyDescent="0.3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" x14ac:dyDescent="0.3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" x14ac:dyDescent="0.3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" x14ac:dyDescent="0.3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" x14ac:dyDescent="0.3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" x14ac:dyDescent="0.3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" x14ac:dyDescent="0.3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" x14ac:dyDescent="0.3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" x14ac:dyDescent="0.3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" x14ac:dyDescent="0.3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" x14ac:dyDescent="0.3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" x14ac:dyDescent="0.3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" x14ac:dyDescent="0.3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" x14ac:dyDescent="0.3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" x14ac:dyDescent="0.3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" x14ac:dyDescent="0.3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" x14ac:dyDescent="0.3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" x14ac:dyDescent="0.3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" x14ac:dyDescent="0.3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" x14ac:dyDescent="0.3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" x14ac:dyDescent="0.3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" x14ac:dyDescent="0.3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" x14ac:dyDescent="0.3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" x14ac:dyDescent="0.3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" x14ac:dyDescent="0.3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" x14ac:dyDescent="0.3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" x14ac:dyDescent="0.3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" x14ac:dyDescent="0.3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" x14ac:dyDescent="0.3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" x14ac:dyDescent="0.3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" x14ac:dyDescent="0.3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" x14ac:dyDescent="0.3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" x14ac:dyDescent="0.3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" x14ac:dyDescent="0.3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" x14ac:dyDescent="0.3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" x14ac:dyDescent="0.3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" x14ac:dyDescent="0.3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" x14ac:dyDescent="0.3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" x14ac:dyDescent="0.3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" x14ac:dyDescent="0.3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" x14ac:dyDescent="0.3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" x14ac:dyDescent="0.3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" x14ac:dyDescent="0.3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" x14ac:dyDescent="0.3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" x14ac:dyDescent="0.3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" x14ac:dyDescent="0.3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" x14ac:dyDescent="0.3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" x14ac:dyDescent="0.3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" x14ac:dyDescent="0.3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" x14ac:dyDescent="0.3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" x14ac:dyDescent="0.3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" x14ac:dyDescent="0.3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" x14ac:dyDescent="0.3">
      <c r="C307" s="15"/>
      <c r="D307" s="15"/>
      <c r="E307" s="15"/>
      <c r="F307" s="16"/>
      <c r="G307" s="15"/>
      <c r="H307" s="15"/>
      <c r="I307" s="16"/>
      <c r="J307" s="15"/>
      <c r="K307" s="15"/>
    </row>
  </sheetData>
  <mergeCells count="4">
    <mergeCell ref="G1:I1"/>
    <mergeCell ref="A1:C1"/>
    <mergeCell ref="D1:F1"/>
    <mergeCell ref="A2:B2"/>
  </mergeCells>
  <conditionalFormatting sqref="F2 I2 F4:F65 I4:I65">
    <cfRule type="cellIs" dxfId="21" priority="1" stopIfTrue="1" operator="lessThanOrEqual">
      <formula>-0.1</formula>
    </cfRule>
    <cfRule type="expression" dxfId="20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07"/>
  <sheetViews>
    <sheetView workbookViewId="0">
      <pane xSplit="2" ySplit="3" topLeftCell="C4" activePane="bottomRight" state="frozen"/>
      <selection pane="topRight" activeCell="A10" sqref="A10"/>
      <selection pane="bottomLeft" activeCell="A10" sqref="A10"/>
      <selection pane="bottomRight" activeCell="E8" sqref="E8"/>
    </sheetView>
  </sheetViews>
  <sheetFormatPr defaultRowHeight="13.8" x14ac:dyDescent="0.25"/>
  <cols>
    <col min="1" max="1" width="35.88671875" bestFit="1" customWidth="1"/>
    <col min="2" max="2" width="8.44140625" style="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46" t="str" cm="1">
        <f t="array" ref="A1">portfolio</f>
        <v>Burt Process Equipment</v>
      </c>
      <c r="B1" s="46"/>
      <c r="C1" s="46"/>
      <c r="D1" s="47" t="s">
        <v>24</v>
      </c>
      <c r="E1" s="47"/>
      <c r="F1" s="47"/>
      <c r="G1" s="45" t="s">
        <v>25</v>
      </c>
      <c r="H1" s="45"/>
      <c r="I1" s="45"/>
      <c r="J1" s="4"/>
      <c r="K1" s="4"/>
    </row>
    <row r="2" spans="1:11" ht="19.5" customHeight="1" x14ac:dyDescent="0.25">
      <c r="A2" s="48" t="s">
        <v>2</v>
      </c>
      <c r="B2" s="48"/>
      <c r="C2" s="5">
        <f>SUM(C4:C65)</f>
        <v>22953.934410000002</v>
      </c>
      <c r="D2" s="5">
        <f>SUM(D4:D65)</f>
        <v>0</v>
      </c>
      <c r="E2" s="5">
        <f>C2-D2</f>
        <v>22953.934410000002</v>
      </c>
      <c r="F2" s="6">
        <f>IFERROR(E2/D2, 0)</f>
        <v>0</v>
      </c>
      <c r="G2" s="5">
        <f>SUM(G4:G65)</f>
        <v>24192.720000000001</v>
      </c>
      <c r="H2" s="7">
        <f>C2-G2</f>
        <v>-1238.7855899999995</v>
      </c>
      <c r="I2" s="6">
        <f>IFERROR(H2/G2, 0)</f>
        <v>-5.1204890975466974E-2</v>
      </c>
      <c r="J2" s="20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25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 x14ac:dyDescent="0.3">
      <c r="A4" s="23" t="str" cm="1">
        <f t="array" ref="A4">Sites[Site]</f>
        <v>CT: Hamden - Burt Process Equipment</v>
      </c>
      <c r="B4" s="22" t="str" cm="1">
        <f t="array" ref="B4">Sites[State]</f>
        <v>CT</v>
      </c>
      <c r="C4" s="18">
        <v>22953.934410000002</v>
      </c>
      <c r="D4" s="11">
        <v>0</v>
      </c>
      <c r="E4" s="11">
        <f>IF(AND(ISNUMBER(C4),ISNUMBER(D4)), C4-D4, "")</f>
        <v>22953.934410000002</v>
      </c>
      <c r="F4" s="12" t="str">
        <f>IFERROR(E4/D4, "")</f>
        <v/>
      </c>
      <c r="G4" s="13">
        <v>24192.720000000001</v>
      </c>
      <c r="H4" s="13">
        <f>IF(AND(ISNUMBER(C4),ISNUMBER(G4)), C4-G4, "")</f>
        <v>-1238.7855899999995</v>
      </c>
      <c r="I4" s="14">
        <f>IFERROR(H4/G4, "")</f>
        <v>-5.1204890975466974E-2</v>
      </c>
      <c r="J4" s="31"/>
      <c r="K4" s="31"/>
    </row>
    <row r="5" spans="1:11" ht="14.4" x14ac:dyDescent="0.3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" x14ac:dyDescent="0.3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" x14ac:dyDescent="0.3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" x14ac:dyDescent="0.3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" x14ac:dyDescent="0.3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" x14ac:dyDescent="0.3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" x14ac:dyDescent="0.3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" x14ac:dyDescent="0.3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" x14ac:dyDescent="0.3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" x14ac:dyDescent="0.3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" x14ac:dyDescent="0.3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" x14ac:dyDescent="0.3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" x14ac:dyDescent="0.3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" x14ac:dyDescent="0.3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" x14ac:dyDescent="0.3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" x14ac:dyDescent="0.3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" x14ac:dyDescent="0.3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" x14ac:dyDescent="0.3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" x14ac:dyDescent="0.3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" x14ac:dyDescent="0.3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" x14ac:dyDescent="0.3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" x14ac:dyDescent="0.3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" x14ac:dyDescent="0.3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" x14ac:dyDescent="0.3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" x14ac:dyDescent="0.3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" x14ac:dyDescent="0.3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" x14ac:dyDescent="0.3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" x14ac:dyDescent="0.3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" x14ac:dyDescent="0.3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" x14ac:dyDescent="0.3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" x14ac:dyDescent="0.3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" x14ac:dyDescent="0.3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" x14ac:dyDescent="0.3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" x14ac:dyDescent="0.3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" x14ac:dyDescent="0.3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" x14ac:dyDescent="0.3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" x14ac:dyDescent="0.3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" x14ac:dyDescent="0.3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" x14ac:dyDescent="0.3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" x14ac:dyDescent="0.3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" x14ac:dyDescent="0.3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" x14ac:dyDescent="0.3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" x14ac:dyDescent="0.3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" x14ac:dyDescent="0.3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" x14ac:dyDescent="0.3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" x14ac:dyDescent="0.3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" x14ac:dyDescent="0.3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" x14ac:dyDescent="0.3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" x14ac:dyDescent="0.3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" x14ac:dyDescent="0.3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" x14ac:dyDescent="0.3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" x14ac:dyDescent="0.3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" x14ac:dyDescent="0.3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" x14ac:dyDescent="0.3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" x14ac:dyDescent="0.3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" x14ac:dyDescent="0.3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" x14ac:dyDescent="0.3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" x14ac:dyDescent="0.3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" x14ac:dyDescent="0.3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" x14ac:dyDescent="0.3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" x14ac:dyDescent="0.3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" x14ac:dyDescent="0.3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" x14ac:dyDescent="0.3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" x14ac:dyDescent="0.3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" x14ac:dyDescent="0.3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" x14ac:dyDescent="0.3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" x14ac:dyDescent="0.3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" x14ac:dyDescent="0.3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" x14ac:dyDescent="0.3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" x14ac:dyDescent="0.3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" x14ac:dyDescent="0.3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" x14ac:dyDescent="0.3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" x14ac:dyDescent="0.3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" x14ac:dyDescent="0.3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" x14ac:dyDescent="0.3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" x14ac:dyDescent="0.3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" x14ac:dyDescent="0.3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" x14ac:dyDescent="0.3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" x14ac:dyDescent="0.3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" x14ac:dyDescent="0.3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" x14ac:dyDescent="0.3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" x14ac:dyDescent="0.3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" x14ac:dyDescent="0.3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" x14ac:dyDescent="0.3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" x14ac:dyDescent="0.3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" x14ac:dyDescent="0.3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" x14ac:dyDescent="0.3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" x14ac:dyDescent="0.3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" x14ac:dyDescent="0.3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" x14ac:dyDescent="0.3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" x14ac:dyDescent="0.3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" x14ac:dyDescent="0.3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" x14ac:dyDescent="0.3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" x14ac:dyDescent="0.3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" x14ac:dyDescent="0.3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" x14ac:dyDescent="0.3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" x14ac:dyDescent="0.3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" x14ac:dyDescent="0.3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" x14ac:dyDescent="0.3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" x14ac:dyDescent="0.3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" x14ac:dyDescent="0.3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" x14ac:dyDescent="0.3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" x14ac:dyDescent="0.3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" x14ac:dyDescent="0.3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" x14ac:dyDescent="0.3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" x14ac:dyDescent="0.3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" x14ac:dyDescent="0.3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" x14ac:dyDescent="0.3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" x14ac:dyDescent="0.3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" x14ac:dyDescent="0.3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" x14ac:dyDescent="0.3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" x14ac:dyDescent="0.3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" x14ac:dyDescent="0.3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" x14ac:dyDescent="0.3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" x14ac:dyDescent="0.3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" x14ac:dyDescent="0.3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" x14ac:dyDescent="0.3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" x14ac:dyDescent="0.3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" x14ac:dyDescent="0.3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" x14ac:dyDescent="0.3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" x14ac:dyDescent="0.3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" x14ac:dyDescent="0.3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" x14ac:dyDescent="0.3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" x14ac:dyDescent="0.3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" x14ac:dyDescent="0.3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" x14ac:dyDescent="0.3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" x14ac:dyDescent="0.3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" x14ac:dyDescent="0.3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" x14ac:dyDescent="0.3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" x14ac:dyDescent="0.3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" x14ac:dyDescent="0.3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" x14ac:dyDescent="0.3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" x14ac:dyDescent="0.3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" x14ac:dyDescent="0.3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" x14ac:dyDescent="0.3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" x14ac:dyDescent="0.3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" x14ac:dyDescent="0.3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" x14ac:dyDescent="0.3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" x14ac:dyDescent="0.3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" x14ac:dyDescent="0.3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" x14ac:dyDescent="0.3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" x14ac:dyDescent="0.3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" x14ac:dyDescent="0.3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" x14ac:dyDescent="0.3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" x14ac:dyDescent="0.3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" x14ac:dyDescent="0.3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" x14ac:dyDescent="0.3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" x14ac:dyDescent="0.3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" x14ac:dyDescent="0.3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" x14ac:dyDescent="0.3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" x14ac:dyDescent="0.3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" x14ac:dyDescent="0.3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" x14ac:dyDescent="0.3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" x14ac:dyDescent="0.3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" x14ac:dyDescent="0.3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" x14ac:dyDescent="0.3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" x14ac:dyDescent="0.3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" x14ac:dyDescent="0.3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" x14ac:dyDescent="0.3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" x14ac:dyDescent="0.3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" x14ac:dyDescent="0.3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" x14ac:dyDescent="0.3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" x14ac:dyDescent="0.3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" x14ac:dyDescent="0.3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" x14ac:dyDescent="0.3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" x14ac:dyDescent="0.3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" x14ac:dyDescent="0.3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" x14ac:dyDescent="0.3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" x14ac:dyDescent="0.3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" x14ac:dyDescent="0.3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" x14ac:dyDescent="0.3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" x14ac:dyDescent="0.3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" x14ac:dyDescent="0.3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" x14ac:dyDescent="0.3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" x14ac:dyDescent="0.3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" x14ac:dyDescent="0.3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" x14ac:dyDescent="0.3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" x14ac:dyDescent="0.3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" x14ac:dyDescent="0.3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" x14ac:dyDescent="0.3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" x14ac:dyDescent="0.3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" x14ac:dyDescent="0.3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" x14ac:dyDescent="0.3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" x14ac:dyDescent="0.3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" x14ac:dyDescent="0.3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" x14ac:dyDescent="0.3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" x14ac:dyDescent="0.3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" x14ac:dyDescent="0.3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" x14ac:dyDescent="0.3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" x14ac:dyDescent="0.3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" x14ac:dyDescent="0.3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" x14ac:dyDescent="0.3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" x14ac:dyDescent="0.3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" x14ac:dyDescent="0.3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" x14ac:dyDescent="0.3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" x14ac:dyDescent="0.3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" x14ac:dyDescent="0.3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" x14ac:dyDescent="0.3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" x14ac:dyDescent="0.3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" x14ac:dyDescent="0.3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" x14ac:dyDescent="0.3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" x14ac:dyDescent="0.3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" x14ac:dyDescent="0.3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" x14ac:dyDescent="0.3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" x14ac:dyDescent="0.3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" x14ac:dyDescent="0.3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" x14ac:dyDescent="0.3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" x14ac:dyDescent="0.3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" x14ac:dyDescent="0.3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" x14ac:dyDescent="0.3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" x14ac:dyDescent="0.3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" x14ac:dyDescent="0.3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" x14ac:dyDescent="0.3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" x14ac:dyDescent="0.3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" x14ac:dyDescent="0.3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" x14ac:dyDescent="0.3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" x14ac:dyDescent="0.3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" x14ac:dyDescent="0.3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" x14ac:dyDescent="0.3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" x14ac:dyDescent="0.3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" x14ac:dyDescent="0.3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" x14ac:dyDescent="0.3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" x14ac:dyDescent="0.3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" x14ac:dyDescent="0.3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" x14ac:dyDescent="0.3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" x14ac:dyDescent="0.3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" x14ac:dyDescent="0.3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" x14ac:dyDescent="0.3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" x14ac:dyDescent="0.3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" x14ac:dyDescent="0.3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" x14ac:dyDescent="0.3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" x14ac:dyDescent="0.3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" x14ac:dyDescent="0.3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" x14ac:dyDescent="0.3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" x14ac:dyDescent="0.3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" x14ac:dyDescent="0.3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" x14ac:dyDescent="0.3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" x14ac:dyDescent="0.3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" x14ac:dyDescent="0.3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" x14ac:dyDescent="0.3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" x14ac:dyDescent="0.3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" x14ac:dyDescent="0.3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" x14ac:dyDescent="0.3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" x14ac:dyDescent="0.3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" x14ac:dyDescent="0.3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" x14ac:dyDescent="0.3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" x14ac:dyDescent="0.3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" x14ac:dyDescent="0.3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" x14ac:dyDescent="0.3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" x14ac:dyDescent="0.3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" x14ac:dyDescent="0.3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" x14ac:dyDescent="0.3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" x14ac:dyDescent="0.3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" x14ac:dyDescent="0.3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" x14ac:dyDescent="0.3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" x14ac:dyDescent="0.3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" x14ac:dyDescent="0.3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" x14ac:dyDescent="0.3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" x14ac:dyDescent="0.3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" x14ac:dyDescent="0.3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" x14ac:dyDescent="0.3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" x14ac:dyDescent="0.3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" x14ac:dyDescent="0.3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" x14ac:dyDescent="0.3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" x14ac:dyDescent="0.3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" x14ac:dyDescent="0.3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" x14ac:dyDescent="0.3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" x14ac:dyDescent="0.3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" x14ac:dyDescent="0.3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" x14ac:dyDescent="0.3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" x14ac:dyDescent="0.3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" x14ac:dyDescent="0.3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" x14ac:dyDescent="0.3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" x14ac:dyDescent="0.3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" x14ac:dyDescent="0.3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" x14ac:dyDescent="0.3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" x14ac:dyDescent="0.3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" x14ac:dyDescent="0.3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" x14ac:dyDescent="0.3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" x14ac:dyDescent="0.3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" x14ac:dyDescent="0.3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" x14ac:dyDescent="0.3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" x14ac:dyDescent="0.3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" x14ac:dyDescent="0.3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" x14ac:dyDescent="0.3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" x14ac:dyDescent="0.3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" x14ac:dyDescent="0.3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" x14ac:dyDescent="0.3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" x14ac:dyDescent="0.3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" x14ac:dyDescent="0.3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" x14ac:dyDescent="0.3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" x14ac:dyDescent="0.3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" x14ac:dyDescent="0.3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" x14ac:dyDescent="0.3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" x14ac:dyDescent="0.3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" x14ac:dyDescent="0.3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" x14ac:dyDescent="0.3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" x14ac:dyDescent="0.3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" x14ac:dyDescent="0.3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" x14ac:dyDescent="0.3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" x14ac:dyDescent="0.3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" x14ac:dyDescent="0.3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" x14ac:dyDescent="0.3">
      <c r="C307" s="15"/>
      <c r="D307" s="15"/>
      <c r="E307" s="15"/>
      <c r="F307" s="16"/>
      <c r="G307" s="15"/>
      <c r="H307" s="15"/>
      <c r="I307" s="16"/>
      <c r="J307" s="15"/>
      <c r="K307" s="15"/>
    </row>
  </sheetData>
  <mergeCells count="4">
    <mergeCell ref="G1:I1"/>
    <mergeCell ref="A1:C1"/>
    <mergeCell ref="D1:F1"/>
    <mergeCell ref="A2:B2"/>
  </mergeCells>
  <conditionalFormatting sqref="F2 I2 F4:F65 I4:I65">
    <cfRule type="cellIs" dxfId="19" priority="3" stopIfTrue="1" operator="lessThanOrEqual">
      <formula>-0.1</formula>
    </cfRule>
    <cfRule type="expression" dxfId="18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07"/>
  <sheetViews>
    <sheetView workbookViewId="0">
      <pane xSplit="2" ySplit="3" topLeftCell="D4" activePane="bottomRight" state="frozen"/>
      <selection pane="topRight" activeCell="A10" sqref="A10"/>
      <selection pane="bottomLeft" activeCell="A10" sqref="A10"/>
      <selection pane="bottomRight" activeCell="G5" sqref="G5"/>
    </sheetView>
  </sheetViews>
  <sheetFormatPr defaultRowHeight="13.8" x14ac:dyDescent="0.25"/>
  <cols>
    <col min="1" max="1" width="35.88671875" bestFit="1" customWidth="1"/>
    <col min="2" max="2" width="8.44140625" style="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46" t="str" cm="1">
        <f t="array" ref="A1">portfolio</f>
        <v>Burt Process Equipment</v>
      </c>
      <c r="B1" s="46"/>
      <c r="C1" s="46"/>
      <c r="D1" s="47" t="s">
        <v>28</v>
      </c>
      <c r="E1" s="47"/>
      <c r="F1" s="47"/>
      <c r="G1" s="45" t="s">
        <v>29</v>
      </c>
      <c r="H1" s="45"/>
      <c r="I1" s="45"/>
      <c r="J1" s="4"/>
      <c r="K1" s="4"/>
    </row>
    <row r="2" spans="1:11" ht="19.5" customHeight="1" x14ac:dyDescent="0.25">
      <c r="A2" s="48" t="s">
        <v>2</v>
      </c>
      <c r="B2" s="48"/>
      <c r="C2" s="5">
        <f>SUM(C4:C65)</f>
        <v>25240.4197856104</v>
      </c>
      <c r="D2" s="5">
        <f>SUM(D4:D65)</f>
        <v>0</v>
      </c>
      <c r="E2" s="5">
        <f>C2-D2</f>
        <v>25240.4197856104</v>
      </c>
      <c r="F2" s="6">
        <f>IFERROR(E2/D2, 0)</f>
        <v>0</v>
      </c>
      <c r="G2" s="5">
        <f>SUM(G4:G65)</f>
        <v>31609.98</v>
      </c>
      <c r="H2" s="7">
        <f>C2-G2</f>
        <v>-6369.5602143895994</v>
      </c>
      <c r="I2" s="6">
        <f>IFERROR(H2/G2, 0)</f>
        <v>-0.20150472143258552</v>
      </c>
      <c r="J2" s="20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25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 x14ac:dyDescent="0.3">
      <c r="A4" s="23" t="str" cm="1">
        <f t="array" ref="A4">Sites[Site]</f>
        <v>CT: Hamden - Burt Process Equipment</v>
      </c>
      <c r="B4" s="22" t="str" cm="1">
        <f t="array" ref="B4">Sites[State]</f>
        <v>CT</v>
      </c>
      <c r="C4" s="18">
        <v>25240.4197856104</v>
      </c>
      <c r="D4" s="11">
        <v>0</v>
      </c>
      <c r="E4" s="11">
        <f>IF(AND(ISNUMBER(C4),ISNUMBER(D4)), C4-D4, "")</f>
        <v>25240.4197856104</v>
      </c>
      <c r="F4" s="12" t="str">
        <f>IFERROR(E4/D4, "")</f>
        <v/>
      </c>
      <c r="G4" s="13">
        <v>31609.98</v>
      </c>
      <c r="H4" s="13">
        <f>IF(AND(ISNUMBER(C4),ISNUMBER(G4)), C4-G4, "")</f>
        <v>-6369.5602143895994</v>
      </c>
      <c r="I4" s="14">
        <f>IFERROR(H4/G4, "")</f>
        <v>-0.20150472143258552</v>
      </c>
      <c r="J4" s="31"/>
      <c r="K4" s="31"/>
    </row>
    <row r="5" spans="1:11" ht="14.4" x14ac:dyDescent="0.3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" x14ac:dyDescent="0.3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" x14ac:dyDescent="0.3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" x14ac:dyDescent="0.3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" x14ac:dyDescent="0.3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" x14ac:dyDescent="0.3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" x14ac:dyDescent="0.3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" x14ac:dyDescent="0.3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" x14ac:dyDescent="0.3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" x14ac:dyDescent="0.3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" x14ac:dyDescent="0.3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" x14ac:dyDescent="0.3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" x14ac:dyDescent="0.3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" x14ac:dyDescent="0.3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" x14ac:dyDescent="0.3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" x14ac:dyDescent="0.3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" x14ac:dyDescent="0.3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" x14ac:dyDescent="0.3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" x14ac:dyDescent="0.3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" x14ac:dyDescent="0.3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" x14ac:dyDescent="0.3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" x14ac:dyDescent="0.3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" x14ac:dyDescent="0.3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" x14ac:dyDescent="0.3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" x14ac:dyDescent="0.3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" x14ac:dyDescent="0.3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" x14ac:dyDescent="0.3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" x14ac:dyDescent="0.3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" x14ac:dyDescent="0.3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" x14ac:dyDescent="0.3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" x14ac:dyDescent="0.3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" x14ac:dyDescent="0.3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" x14ac:dyDescent="0.3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" x14ac:dyDescent="0.3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" x14ac:dyDescent="0.3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" x14ac:dyDescent="0.3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" x14ac:dyDescent="0.3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" x14ac:dyDescent="0.3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" x14ac:dyDescent="0.3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" x14ac:dyDescent="0.3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" x14ac:dyDescent="0.3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" x14ac:dyDescent="0.3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" x14ac:dyDescent="0.3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" x14ac:dyDescent="0.3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" x14ac:dyDescent="0.3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" x14ac:dyDescent="0.3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" x14ac:dyDescent="0.3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" x14ac:dyDescent="0.3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" x14ac:dyDescent="0.3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" x14ac:dyDescent="0.3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" x14ac:dyDescent="0.3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" x14ac:dyDescent="0.3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" x14ac:dyDescent="0.3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" x14ac:dyDescent="0.3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" x14ac:dyDescent="0.3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" x14ac:dyDescent="0.3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" x14ac:dyDescent="0.3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" x14ac:dyDescent="0.3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" x14ac:dyDescent="0.3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" x14ac:dyDescent="0.3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" x14ac:dyDescent="0.3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" x14ac:dyDescent="0.3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" x14ac:dyDescent="0.3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" x14ac:dyDescent="0.3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" x14ac:dyDescent="0.3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" x14ac:dyDescent="0.3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" x14ac:dyDescent="0.3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" x14ac:dyDescent="0.3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" x14ac:dyDescent="0.3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" x14ac:dyDescent="0.3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" x14ac:dyDescent="0.3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" x14ac:dyDescent="0.3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" x14ac:dyDescent="0.3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" x14ac:dyDescent="0.3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" x14ac:dyDescent="0.3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" x14ac:dyDescent="0.3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" x14ac:dyDescent="0.3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" x14ac:dyDescent="0.3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" x14ac:dyDescent="0.3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" x14ac:dyDescent="0.3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" x14ac:dyDescent="0.3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" x14ac:dyDescent="0.3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" x14ac:dyDescent="0.3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" x14ac:dyDescent="0.3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" x14ac:dyDescent="0.3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" x14ac:dyDescent="0.3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" x14ac:dyDescent="0.3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" x14ac:dyDescent="0.3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" x14ac:dyDescent="0.3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" x14ac:dyDescent="0.3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" x14ac:dyDescent="0.3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" x14ac:dyDescent="0.3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" x14ac:dyDescent="0.3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" x14ac:dyDescent="0.3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" x14ac:dyDescent="0.3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" x14ac:dyDescent="0.3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" x14ac:dyDescent="0.3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" x14ac:dyDescent="0.3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" x14ac:dyDescent="0.3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" x14ac:dyDescent="0.3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" x14ac:dyDescent="0.3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" x14ac:dyDescent="0.3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" x14ac:dyDescent="0.3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" x14ac:dyDescent="0.3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" x14ac:dyDescent="0.3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" x14ac:dyDescent="0.3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" x14ac:dyDescent="0.3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" x14ac:dyDescent="0.3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" x14ac:dyDescent="0.3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" x14ac:dyDescent="0.3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" x14ac:dyDescent="0.3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" x14ac:dyDescent="0.3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" x14ac:dyDescent="0.3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" x14ac:dyDescent="0.3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" x14ac:dyDescent="0.3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" x14ac:dyDescent="0.3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" x14ac:dyDescent="0.3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" x14ac:dyDescent="0.3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" x14ac:dyDescent="0.3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" x14ac:dyDescent="0.3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" x14ac:dyDescent="0.3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" x14ac:dyDescent="0.3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" x14ac:dyDescent="0.3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" x14ac:dyDescent="0.3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" x14ac:dyDescent="0.3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" x14ac:dyDescent="0.3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" x14ac:dyDescent="0.3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" x14ac:dyDescent="0.3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" x14ac:dyDescent="0.3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" x14ac:dyDescent="0.3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" x14ac:dyDescent="0.3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" x14ac:dyDescent="0.3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" x14ac:dyDescent="0.3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" x14ac:dyDescent="0.3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" x14ac:dyDescent="0.3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" x14ac:dyDescent="0.3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" x14ac:dyDescent="0.3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" x14ac:dyDescent="0.3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" x14ac:dyDescent="0.3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" x14ac:dyDescent="0.3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" x14ac:dyDescent="0.3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" x14ac:dyDescent="0.3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" x14ac:dyDescent="0.3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" x14ac:dyDescent="0.3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" x14ac:dyDescent="0.3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" x14ac:dyDescent="0.3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" x14ac:dyDescent="0.3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" x14ac:dyDescent="0.3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" x14ac:dyDescent="0.3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" x14ac:dyDescent="0.3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" x14ac:dyDescent="0.3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" x14ac:dyDescent="0.3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" x14ac:dyDescent="0.3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" x14ac:dyDescent="0.3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" x14ac:dyDescent="0.3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" x14ac:dyDescent="0.3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" x14ac:dyDescent="0.3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" x14ac:dyDescent="0.3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" x14ac:dyDescent="0.3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" x14ac:dyDescent="0.3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" x14ac:dyDescent="0.3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" x14ac:dyDescent="0.3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" x14ac:dyDescent="0.3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" x14ac:dyDescent="0.3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" x14ac:dyDescent="0.3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" x14ac:dyDescent="0.3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" x14ac:dyDescent="0.3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" x14ac:dyDescent="0.3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" x14ac:dyDescent="0.3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" x14ac:dyDescent="0.3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" x14ac:dyDescent="0.3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" x14ac:dyDescent="0.3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" x14ac:dyDescent="0.3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" x14ac:dyDescent="0.3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" x14ac:dyDescent="0.3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" x14ac:dyDescent="0.3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" x14ac:dyDescent="0.3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" x14ac:dyDescent="0.3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" x14ac:dyDescent="0.3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" x14ac:dyDescent="0.3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" x14ac:dyDescent="0.3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" x14ac:dyDescent="0.3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" x14ac:dyDescent="0.3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" x14ac:dyDescent="0.3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" x14ac:dyDescent="0.3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" x14ac:dyDescent="0.3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" x14ac:dyDescent="0.3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" x14ac:dyDescent="0.3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" x14ac:dyDescent="0.3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" x14ac:dyDescent="0.3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" x14ac:dyDescent="0.3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" x14ac:dyDescent="0.3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" x14ac:dyDescent="0.3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" x14ac:dyDescent="0.3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" x14ac:dyDescent="0.3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" x14ac:dyDescent="0.3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" x14ac:dyDescent="0.3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" x14ac:dyDescent="0.3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" x14ac:dyDescent="0.3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" x14ac:dyDescent="0.3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" x14ac:dyDescent="0.3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" x14ac:dyDescent="0.3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" x14ac:dyDescent="0.3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" x14ac:dyDescent="0.3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" x14ac:dyDescent="0.3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" x14ac:dyDescent="0.3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" x14ac:dyDescent="0.3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" x14ac:dyDescent="0.3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" x14ac:dyDescent="0.3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" x14ac:dyDescent="0.3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" x14ac:dyDescent="0.3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" x14ac:dyDescent="0.3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" x14ac:dyDescent="0.3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" x14ac:dyDescent="0.3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" x14ac:dyDescent="0.3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" x14ac:dyDescent="0.3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" x14ac:dyDescent="0.3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" x14ac:dyDescent="0.3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" x14ac:dyDescent="0.3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" x14ac:dyDescent="0.3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" x14ac:dyDescent="0.3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" x14ac:dyDescent="0.3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" x14ac:dyDescent="0.3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" x14ac:dyDescent="0.3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" x14ac:dyDescent="0.3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" x14ac:dyDescent="0.3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" x14ac:dyDescent="0.3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" x14ac:dyDescent="0.3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" x14ac:dyDescent="0.3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" x14ac:dyDescent="0.3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" x14ac:dyDescent="0.3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" x14ac:dyDescent="0.3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" x14ac:dyDescent="0.3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" x14ac:dyDescent="0.3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" x14ac:dyDescent="0.3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" x14ac:dyDescent="0.3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" x14ac:dyDescent="0.3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" x14ac:dyDescent="0.3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" x14ac:dyDescent="0.3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" x14ac:dyDescent="0.3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" x14ac:dyDescent="0.3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" x14ac:dyDescent="0.3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" x14ac:dyDescent="0.3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" x14ac:dyDescent="0.3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" x14ac:dyDescent="0.3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" x14ac:dyDescent="0.3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" x14ac:dyDescent="0.3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" x14ac:dyDescent="0.3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" x14ac:dyDescent="0.3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" x14ac:dyDescent="0.3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" x14ac:dyDescent="0.3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" x14ac:dyDescent="0.3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" x14ac:dyDescent="0.3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" x14ac:dyDescent="0.3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" x14ac:dyDescent="0.3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" x14ac:dyDescent="0.3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" x14ac:dyDescent="0.3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" x14ac:dyDescent="0.3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" x14ac:dyDescent="0.3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" x14ac:dyDescent="0.3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" x14ac:dyDescent="0.3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" x14ac:dyDescent="0.3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" x14ac:dyDescent="0.3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" x14ac:dyDescent="0.3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" x14ac:dyDescent="0.3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" x14ac:dyDescent="0.3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" x14ac:dyDescent="0.3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" x14ac:dyDescent="0.3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" x14ac:dyDescent="0.3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" x14ac:dyDescent="0.3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" x14ac:dyDescent="0.3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" x14ac:dyDescent="0.3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" x14ac:dyDescent="0.3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" x14ac:dyDescent="0.3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" x14ac:dyDescent="0.3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" x14ac:dyDescent="0.3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" x14ac:dyDescent="0.3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" x14ac:dyDescent="0.3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" x14ac:dyDescent="0.3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" x14ac:dyDescent="0.3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" x14ac:dyDescent="0.3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" x14ac:dyDescent="0.3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" x14ac:dyDescent="0.3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" x14ac:dyDescent="0.3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" x14ac:dyDescent="0.3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" x14ac:dyDescent="0.3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" x14ac:dyDescent="0.3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" x14ac:dyDescent="0.3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" x14ac:dyDescent="0.3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" x14ac:dyDescent="0.3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" x14ac:dyDescent="0.3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" x14ac:dyDescent="0.3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" x14ac:dyDescent="0.3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" x14ac:dyDescent="0.3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" x14ac:dyDescent="0.3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" x14ac:dyDescent="0.3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" x14ac:dyDescent="0.3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" x14ac:dyDescent="0.3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" x14ac:dyDescent="0.3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" x14ac:dyDescent="0.3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" x14ac:dyDescent="0.3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" x14ac:dyDescent="0.3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" x14ac:dyDescent="0.3">
      <c r="C307" s="15"/>
      <c r="D307" s="15"/>
      <c r="E307" s="15"/>
      <c r="F307" s="16"/>
      <c r="G307" s="15"/>
      <c r="H307" s="15"/>
      <c r="I307" s="16"/>
      <c r="J307" s="15"/>
      <c r="K307" s="15"/>
    </row>
  </sheetData>
  <mergeCells count="4">
    <mergeCell ref="G1:I1"/>
    <mergeCell ref="A1:C1"/>
    <mergeCell ref="D1:F1"/>
    <mergeCell ref="A2:B2"/>
  </mergeCells>
  <conditionalFormatting sqref="F2 I2 F4:F65 I4:I65">
    <cfRule type="cellIs" dxfId="15" priority="3" stopIfTrue="1" operator="lessThanOrEqual">
      <formula>-0.1</formula>
    </cfRule>
    <cfRule type="expression" dxfId="14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07"/>
  <sheetViews>
    <sheetView workbookViewId="0">
      <pane xSplit="2" ySplit="3" topLeftCell="D4" activePane="bottomRight" state="frozen"/>
      <selection pane="topRight" activeCell="A10" sqref="A10"/>
      <selection pane="bottomLeft" activeCell="A10" sqref="A10"/>
      <selection pane="bottomRight" activeCell="G4" sqref="G4"/>
    </sheetView>
  </sheetViews>
  <sheetFormatPr defaultRowHeight="13.8" x14ac:dyDescent="0.25"/>
  <cols>
    <col min="1" max="1" width="35.88671875" bestFit="1" customWidth="1"/>
    <col min="2" max="2" width="8.44140625" style="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46" t="str" cm="1">
        <f t="array" ref="A1">portfolio</f>
        <v>Burt Process Equipment</v>
      </c>
      <c r="B1" s="46"/>
      <c r="C1" s="46"/>
      <c r="D1" s="47" t="s">
        <v>26</v>
      </c>
      <c r="E1" s="47"/>
      <c r="F1" s="47"/>
      <c r="G1" s="45" t="s">
        <v>27</v>
      </c>
      <c r="H1" s="45"/>
      <c r="I1" s="45"/>
      <c r="J1" s="4"/>
      <c r="K1" s="4"/>
    </row>
    <row r="2" spans="1:11" ht="19.5" customHeight="1" x14ac:dyDescent="0.25">
      <c r="A2" s="48" t="s">
        <v>2</v>
      </c>
      <c r="B2" s="48"/>
      <c r="C2" s="5">
        <f>SUM(C4:C65)</f>
        <v>30040.23</v>
      </c>
      <c r="D2" s="5">
        <f>SUM(D4:D65)</f>
        <v>0</v>
      </c>
      <c r="E2" s="5">
        <f>C2-D2</f>
        <v>30040.23</v>
      </c>
      <c r="F2" s="6">
        <f>IFERROR(E2/D2, 0)</f>
        <v>0</v>
      </c>
      <c r="G2" s="5">
        <f>SUM(G4:G65)</f>
        <v>36237.879999999997</v>
      </c>
      <c r="H2" s="7">
        <f>C2-G2</f>
        <v>-6197.6499999999978</v>
      </c>
      <c r="I2" s="6">
        <f>IFERROR(H2/G2, 0)</f>
        <v>-0.17102683711078015</v>
      </c>
      <c r="J2" s="20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25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 x14ac:dyDescent="0.3">
      <c r="A4" s="23" t="str" cm="1">
        <f t="array" ref="A4">Sites[Site]</f>
        <v>CT: Hamden - Burt Process Equipment</v>
      </c>
      <c r="B4" s="22" t="str" cm="1">
        <f t="array" ref="B4">Sites[State]</f>
        <v>CT</v>
      </c>
      <c r="C4" s="18">
        <v>30040.23</v>
      </c>
      <c r="D4" s="11">
        <v>0</v>
      </c>
      <c r="E4" s="11">
        <f>IF(AND(ISNUMBER(C4),ISNUMBER(D4)), C4-D4, "")</f>
        <v>30040.23</v>
      </c>
      <c r="F4" s="12" t="str">
        <f>IFERROR(E4/D4, "")</f>
        <v/>
      </c>
      <c r="G4" s="13">
        <v>36237.879999999997</v>
      </c>
      <c r="H4" s="13">
        <f>IF(AND(ISNUMBER(C4),ISNUMBER(G4)), C4-G4, "")</f>
        <v>-6197.6499999999978</v>
      </c>
      <c r="I4" s="14">
        <f>IFERROR(H4/G4, "")</f>
        <v>-0.17102683711078015</v>
      </c>
      <c r="J4" s="31"/>
      <c r="K4" s="31"/>
    </row>
    <row r="5" spans="1:11" ht="14.4" x14ac:dyDescent="0.3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" x14ac:dyDescent="0.3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" x14ac:dyDescent="0.3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" x14ac:dyDescent="0.3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" x14ac:dyDescent="0.3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" x14ac:dyDescent="0.3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" x14ac:dyDescent="0.3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" x14ac:dyDescent="0.3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" x14ac:dyDescent="0.3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" x14ac:dyDescent="0.3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" x14ac:dyDescent="0.3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" x14ac:dyDescent="0.3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" x14ac:dyDescent="0.3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" x14ac:dyDescent="0.3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" x14ac:dyDescent="0.3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" x14ac:dyDescent="0.3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" x14ac:dyDescent="0.3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" x14ac:dyDescent="0.3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" x14ac:dyDescent="0.3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" x14ac:dyDescent="0.3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" x14ac:dyDescent="0.3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" x14ac:dyDescent="0.3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" x14ac:dyDescent="0.3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" x14ac:dyDescent="0.3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" x14ac:dyDescent="0.3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" x14ac:dyDescent="0.3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" x14ac:dyDescent="0.3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" x14ac:dyDescent="0.3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" x14ac:dyDescent="0.3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" x14ac:dyDescent="0.3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" x14ac:dyDescent="0.3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" x14ac:dyDescent="0.3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" x14ac:dyDescent="0.3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" x14ac:dyDescent="0.3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" x14ac:dyDescent="0.3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" x14ac:dyDescent="0.3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" x14ac:dyDescent="0.3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" x14ac:dyDescent="0.3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" x14ac:dyDescent="0.3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" x14ac:dyDescent="0.3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" x14ac:dyDescent="0.3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" x14ac:dyDescent="0.3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" x14ac:dyDescent="0.3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" x14ac:dyDescent="0.3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" x14ac:dyDescent="0.3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" x14ac:dyDescent="0.3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" x14ac:dyDescent="0.3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" x14ac:dyDescent="0.3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" x14ac:dyDescent="0.3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" x14ac:dyDescent="0.3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" x14ac:dyDescent="0.3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" x14ac:dyDescent="0.3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" x14ac:dyDescent="0.3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" x14ac:dyDescent="0.3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" x14ac:dyDescent="0.3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" x14ac:dyDescent="0.3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" x14ac:dyDescent="0.3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" x14ac:dyDescent="0.3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" x14ac:dyDescent="0.3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" x14ac:dyDescent="0.3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" x14ac:dyDescent="0.3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" x14ac:dyDescent="0.3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" x14ac:dyDescent="0.3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" x14ac:dyDescent="0.3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" x14ac:dyDescent="0.3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" x14ac:dyDescent="0.3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" x14ac:dyDescent="0.3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" x14ac:dyDescent="0.3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" x14ac:dyDescent="0.3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" x14ac:dyDescent="0.3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" x14ac:dyDescent="0.3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" x14ac:dyDescent="0.3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" x14ac:dyDescent="0.3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" x14ac:dyDescent="0.3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" x14ac:dyDescent="0.3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" x14ac:dyDescent="0.3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" x14ac:dyDescent="0.3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" x14ac:dyDescent="0.3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" x14ac:dyDescent="0.3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" x14ac:dyDescent="0.3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" x14ac:dyDescent="0.3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" x14ac:dyDescent="0.3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" x14ac:dyDescent="0.3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" x14ac:dyDescent="0.3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" x14ac:dyDescent="0.3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" x14ac:dyDescent="0.3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" x14ac:dyDescent="0.3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" x14ac:dyDescent="0.3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" x14ac:dyDescent="0.3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" x14ac:dyDescent="0.3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" x14ac:dyDescent="0.3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" x14ac:dyDescent="0.3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" x14ac:dyDescent="0.3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" x14ac:dyDescent="0.3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" x14ac:dyDescent="0.3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" x14ac:dyDescent="0.3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" x14ac:dyDescent="0.3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" x14ac:dyDescent="0.3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" x14ac:dyDescent="0.3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" x14ac:dyDescent="0.3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" x14ac:dyDescent="0.3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" x14ac:dyDescent="0.3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" x14ac:dyDescent="0.3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" x14ac:dyDescent="0.3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" x14ac:dyDescent="0.3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" x14ac:dyDescent="0.3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" x14ac:dyDescent="0.3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" x14ac:dyDescent="0.3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" x14ac:dyDescent="0.3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" x14ac:dyDescent="0.3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" x14ac:dyDescent="0.3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" x14ac:dyDescent="0.3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" x14ac:dyDescent="0.3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" x14ac:dyDescent="0.3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" x14ac:dyDescent="0.3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" x14ac:dyDescent="0.3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" x14ac:dyDescent="0.3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" x14ac:dyDescent="0.3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" x14ac:dyDescent="0.3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" x14ac:dyDescent="0.3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" x14ac:dyDescent="0.3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" x14ac:dyDescent="0.3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" x14ac:dyDescent="0.3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" x14ac:dyDescent="0.3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" x14ac:dyDescent="0.3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" x14ac:dyDescent="0.3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" x14ac:dyDescent="0.3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" x14ac:dyDescent="0.3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" x14ac:dyDescent="0.3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" x14ac:dyDescent="0.3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" x14ac:dyDescent="0.3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" x14ac:dyDescent="0.3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" x14ac:dyDescent="0.3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" x14ac:dyDescent="0.3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" x14ac:dyDescent="0.3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" x14ac:dyDescent="0.3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" x14ac:dyDescent="0.3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" x14ac:dyDescent="0.3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" x14ac:dyDescent="0.3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" x14ac:dyDescent="0.3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" x14ac:dyDescent="0.3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" x14ac:dyDescent="0.3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" x14ac:dyDescent="0.3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" x14ac:dyDescent="0.3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" x14ac:dyDescent="0.3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" x14ac:dyDescent="0.3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" x14ac:dyDescent="0.3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" x14ac:dyDescent="0.3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" x14ac:dyDescent="0.3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" x14ac:dyDescent="0.3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" x14ac:dyDescent="0.3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" x14ac:dyDescent="0.3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" x14ac:dyDescent="0.3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" x14ac:dyDescent="0.3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" x14ac:dyDescent="0.3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" x14ac:dyDescent="0.3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" x14ac:dyDescent="0.3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" x14ac:dyDescent="0.3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" x14ac:dyDescent="0.3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" x14ac:dyDescent="0.3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" x14ac:dyDescent="0.3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" x14ac:dyDescent="0.3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" x14ac:dyDescent="0.3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" x14ac:dyDescent="0.3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" x14ac:dyDescent="0.3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" x14ac:dyDescent="0.3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" x14ac:dyDescent="0.3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" x14ac:dyDescent="0.3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" x14ac:dyDescent="0.3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" x14ac:dyDescent="0.3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" x14ac:dyDescent="0.3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" x14ac:dyDescent="0.3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" x14ac:dyDescent="0.3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" x14ac:dyDescent="0.3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" x14ac:dyDescent="0.3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" x14ac:dyDescent="0.3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" x14ac:dyDescent="0.3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" x14ac:dyDescent="0.3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" x14ac:dyDescent="0.3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" x14ac:dyDescent="0.3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" x14ac:dyDescent="0.3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" x14ac:dyDescent="0.3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" x14ac:dyDescent="0.3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" x14ac:dyDescent="0.3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" x14ac:dyDescent="0.3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" x14ac:dyDescent="0.3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" x14ac:dyDescent="0.3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" x14ac:dyDescent="0.3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" x14ac:dyDescent="0.3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" x14ac:dyDescent="0.3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" x14ac:dyDescent="0.3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" x14ac:dyDescent="0.3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" x14ac:dyDescent="0.3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" x14ac:dyDescent="0.3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" x14ac:dyDescent="0.3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" x14ac:dyDescent="0.3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" x14ac:dyDescent="0.3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" x14ac:dyDescent="0.3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" x14ac:dyDescent="0.3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" x14ac:dyDescent="0.3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" x14ac:dyDescent="0.3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" x14ac:dyDescent="0.3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" x14ac:dyDescent="0.3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" x14ac:dyDescent="0.3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" x14ac:dyDescent="0.3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" x14ac:dyDescent="0.3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" x14ac:dyDescent="0.3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" x14ac:dyDescent="0.3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" x14ac:dyDescent="0.3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" x14ac:dyDescent="0.3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" x14ac:dyDescent="0.3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" x14ac:dyDescent="0.3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" x14ac:dyDescent="0.3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" x14ac:dyDescent="0.3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" x14ac:dyDescent="0.3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" x14ac:dyDescent="0.3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" x14ac:dyDescent="0.3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" x14ac:dyDescent="0.3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" x14ac:dyDescent="0.3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" x14ac:dyDescent="0.3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" x14ac:dyDescent="0.3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" x14ac:dyDescent="0.3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" x14ac:dyDescent="0.3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" x14ac:dyDescent="0.3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" x14ac:dyDescent="0.3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" x14ac:dyDescent="0.3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" x14ac:dyDescent="0.3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" x14ac:dyDescent="0.3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" x14ac:dyDescent="0.3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" x14ac:dyDescent="0.3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" x14ac:dyDescent="0.3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" x14ac:dyDescent="0.3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" x14ac:dyDescent="0.3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" x14ac:dyDescent="0.3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" x14ac:dyDescent="0.3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" x14ac:dyDescent="0.3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" x14ac:dyDescent="0.3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" x14ac:dyDescent="0.3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" x14ac:dyDescent="0.3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" x14ac:dyDescent="0.3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" x14ac:dyDescent="0.3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" x14ac:dyDescent="0.3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" x14ac:dyDescent="0.3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" x14ac:dyDescent="0.3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" x14ac:dyDescent="0.3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" x14ac:dyDescent="0.3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" x14ac:dyDescent="0.3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" x14ac:dyDescent="0.3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" x14ac:dyDescent="0.3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" x14ac:dyDescent="0.3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" x14ac:dyDescent="0.3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" x14ac:dyDescent="0.3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" x14ac:dyDescent="0.3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" x14ac:dyDescent="0.3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" x14ac:dyDescent="0.3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" x14ac:dyDescent="0.3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" x14ac:dyDescent="0.3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" x14ac:dyDescent="0.3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" x14ac:dyDescent="0.3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" x14ac:dyDescent="0.3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" x14ac:dyDescent="0.3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" x14ac:dyDescent="0.3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" x14ac:dyDescent="0.3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" x14ac:dyDescent="0.3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" x14ac:dyDescent="0.3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" x14ac:dyDescent="0.3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" x14ac:dyDescent="0.3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" x14ac:dyDescent="0.3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" x14ac:dyDescent="0.3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" x14ac:dyDescent="0.3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" x14ac:dyDescent="0.3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" x14ac:dyDescent="0.3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" x14ac:dyDescent="0.3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" x14ac:dyDescent="0.3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" x14ac:dyDescent="0.3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" x14ac:dyDescent="0.3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" x14ac:dyDescent="0.3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" x14ac:dyDescent="0.3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" x14ac:dyDescent="0.3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" x14ac:dyDescent="0.3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" x14ac:dyDescent="0.3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" x14ac:dyDescent="0.3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" x14ac:dyDescent="0.3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" x14ac:dyDescent="0.3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" x14ac:dyDescent="0.3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" x14ac:dyDescent="0.3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" x14ac:dyDescent="0.3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" x14ac:dyDescent="0.3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" x14ac:dyDescent="0.3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" x14ac:dyDescent="0.3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" x14ac:dyDescent="0.3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" x14ac:dyDescent="0.3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" x14ac:dyDescent="0.3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" x14ac:dyDescent="0.3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" x14ac:dyDescent="0.3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" x14ac:dyDescent="0.3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" x14ac:dyDescent="0.3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" x14ac:dyDescent="0.3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" x14ac:dyDescent="0.3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" x14ac:dyDescent="0.3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" x14ac:dyDescent="0.3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" x14ac:dyDescent="0.3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" x14ac:dyDescent="0.3">
      <c r="C307" s="15"/>
      <c r="D307" s="15"/>
      <c r="E307" s="15"/>
      <c r="F307" s="16"/>
      <c r="G307" s="15"/>
      <c r="H307" s="15"/>
      <c r="I307" s="16"/>
      <c r="J307" s="15"/>
      <c r="K307" s="15"/>
    </row>
  </sheetData>
  <mergeCells count="4">
    <mergeCell ref="G1:I1"/>
    <mergeCell ref="A1:C1"/>
    <mergeCell ref="D1:F1"/>
    <mergeCell ref="A2:B2"/>
  </mergeCells>
  <conditionalFormatting sqref="F2 I2 F4:F65 I4:I65">
    <cfRule type="cellIs" dxfId="17" priority="3" stopIfTrue="1" operator="lessThanOrEqual">
      <formula>-0.1</formula>
    </cfRule>
    <cfRule type="expression" dxfId="16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07"/>
  <sheetViews>
    <sheetView workbookViewId="0">
      <pane xSplit="2" ySplit="3" topLeftCell="E4" activePane="bottomRight" state="frozen"/>
      <selection pane="topRight" activeCell="A10" sqref="A10"/>
      <selection pane="bottomLeft" activeCell="A10" sqref="A10"/>
      <selection pane="bottomRight" activeCell="E11" sqref="E11"/>
    </sheetView>
  </sheetViews>
  <sheetFormatPr defaultRowHeight="13.8" x14ac:dyDescent="0.25"/>
  <cols>
    <col min="1" max="1" width="35.88671875" bestFit="1" customWidth="1"/>
    <col min="2" max="2" width="8.44140625" style="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46" t="str" cm="1">
        <f t="array" ref="A1">portfolio</f>
        <v>Burt Process Equipment</v>
      </c>
      <c r="B1" s="46"/>
      <c r="C1" s="46"/>
      <c r="D1" s="47" t="s">
        <v>30</v>
      </c>
      <c r="E1" s="47"/>
      <c r="F1" s="47"/>
      <c r="G1" s="45" t="s">
        <v>31</v>
      </c>
      <c r="H1" s="45"/>
      <c r="I1" s="45"/>
      <c r="J1" s="4"/>
      <c r="K1" s="4"/>
    </row>
    <row r="2" spans="1:11" ht="19.5" customHeight="1" x14ac:dyDescent="0.25">
      <c r="A2" s="48" t="s">
        <v>2</v>
      </c>
      <c r="B2" s="48"/>
      <c r="C2" s="5">
        <f>SUM(C4:C65)</f>
        <v>34113.06</v>
      </c>
      <c r="D2" s="5">
        <f>SUM(D4:D65)</f>
        <v>0</v>
      </c>
      <c r="E2" s="5">
        <f>C2-D2</f>
        <v>34113.06</v>
      </c>
      <c r="F2" s="6">
        <f>IFERROR(E2/D2, 0)</f>
        <v>0</v>
      </c>
      <c r="G2" s="5">
        <f>SUM(G4:G65)</f>
        <v>36867.46</v>
      </c>
      <c r="H2" s="7">
        <f>C2-G2</f>
        <v>-2754.4000000000015</v>
      </c>
      <c r="I2" s="6">
        <f>IFERROR(H2/G2, 0)</f>
        <v>-7.4710869693762505E-2</v>
      </c>
      <c r="J2" s="20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25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 x14ac:dyDescent="0.3">
      <c r="A4" s="23" t="str" cm="1">
        <f t="array" ref="A4">Sites[Site]</f>
        <v>CT: Hamden - Burt Process Equipment</v>
      </c>
      <c r="B4" s="22" t="str" cm="1">
        <f t="array" ref="B4">Sites[State]</f>
        <v>CT</v>
      </c>
      <c r="C4" s="18">
        <v>34113.06</v>
      </c>
      <c r="D4" s="11">
        <v>0</v>
      </c>
      <c r="E4" s="11">
        <f>IF(AND(ISNUMBER(C4),ISNUMBER(D4)), C4-D4, "")</f>
        <v>34113.06</v>
      </c>
      <c r="F4" s="12" t="str">
        <f>IFERROR(E4/D4, "")</f>
        <v/>
      </c>
      <c r="G4" s="13">
        <v>36867.46</v>
      </c>
      <c r="H4" s="13">
        <f>IF(AND(ISNUMBER(C4),ISNUMBER(G4)), C4-G4, "")</f>
        <v>-2754.4000000000015</v>
      </c>
      <c r="I4" s="14">
        <f>IFERROR(H4/G4, "")</f>
        <v>-7.4710869693762505E-2</v>
      </c>
      <c r="J4" s="31"/>
      <c r="K4" s="31"/>
    </row>
    <row r="5" spans="1:11" ht="14.4" x14ac:dyDescent="0.3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" x14ac:dyDescent="0.3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" x14ac:dyDescent="0.3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" x14ac:dyDescent="0.3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" x14ac:dyDescent="0.3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" x14ac:dyDescent="0.3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" x14ac:dyDescent="0.3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" x14ac:dyDescent="0.3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" x14ac:dyDescent="0.3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" x14ac:dyDescent="0.3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" x14ac:dyDescent="0.3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" x14ac:dyDescent="0.3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" x14ac:dyDescent="0.3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" x14ac:dyDescent="0.3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" x14ac:dyDescent="0.3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" x14ac:dyDescent="0.3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" x14ac:dyDescent="0.3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" x14ac:dyDescent="0.3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" x14ac:dyDescent="0.3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" x14ac:dyDescent="0.3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" x14ac:dyDescent="0.3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" x14ac:dyDescent="0.3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" x14ac:dyDescent="0.3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" x14ac:dyDescent="0.3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" x14ac:dyDescent="0.3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" x14ac:dyDescent="0.3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" x14ac:dyDescent="0.3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" x14ac:dyDescent="0.3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" x14ac:dyDescent="0.3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" x14ac:dyDescent="0.3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" x14ac:dyDescent="0.3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" x14ac:dyDescent="0.3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" x14ac:dyDescent="0.3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" x14ac:dyDescent="0.3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" x14ac:dyDescent="0.3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" x14ac:dyDescent="0.3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" x14ac:dyDescent="0.3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" x14ac:dyDescent="0.3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" x14ac:dyDescent="0.3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" x14ac:dyDescent="0.3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" x14ac:dyDescent="0.3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" x14ac:dyDescent="0.3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" x14ac:dyDescent="0.3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" x14ac:dyDescent="0.3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" x14ac:dyDescent="0.3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" x14ac:dyDescent="0.3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" x14ac:dyDescent="0.3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" x14ac:dyDescent="0.3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" x14ac:dyDescent="0.3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" x14ac:dyDescent="0.3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" x14ac:dyDescent="0.3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" x14ac:dyDescent="0.3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" x14ac:dyDescent="0.3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" x14ac:dyDescent="0.3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" x14ac:dyDescent="0.3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" x14ac:dyDescent="0.3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" x14ac:dyDescent="0.3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" x14ac:dyDescent="0.3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" x14ac:dyDescent="0.3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" x14ac:dyDescent="0.3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" x14ac:dyDescent="0.3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" x14ac:dyDescent="0.3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" x14ac:dyDescent="0.3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" x14ac:dyDescent="0.3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" x14ac:dyDescent="0.3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" x14ac:dyDescent="0.3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" x14ac:dyDescent="0.3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" x14ac:dyDescent="0.3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" x14ac:dyDescent="0.3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" x14ac:dyDescent="0.3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" x14ac:dyDescent="0.3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" x14ac:dyDescent="0.3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" x14ac:dyDescent="0.3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" x14ac:dyDescent="0.3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" x14ac:dyDescent="0.3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" x14ac:dyDescent="0.3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" x14ac:dyDescent="0.3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" x14ac:dyDescent="0.3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" x14ac:dyDescent="0.3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" x14ac:dyDescent="0.3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" x14ac:dyDescent="0.3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" x14ac:dyDescent="0.3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" x14ac:dyDescent="0.3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" x14ac:dyDescent="0.3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" x14ac:dyDescent="0.3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" x14ac:dyDescent="0.3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" x14ac:dyDescent="0.3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" x14ac:dyDescent="0.3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" x14ac:dyDescent="0.3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" x14ac:dyDescent="0.3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" x14ac:dyDescent="0.3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" x14ac:dyDescent="0.3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" x14ac:dyDescent="0.3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" x14ac:dyDescent="0.3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" x14ac:dyDescent="0.3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" x14ac:dyDescent="0.3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" x14ac:dyDescent="0.3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" x14ac:dyDescent="0.3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" x14ac:dyDescent="0.3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" x14ac:dyDescent="0.3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" x14ac:dyDescent="0.3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" x14ac:dyDescent="0.3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" x14ac:dyDescent="0.3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" x14ac:dyDescent="0.3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" x14ac:dyDescent="0.3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" x14ac:dyDescent="0.3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" x14ac:dyDescent="0.3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" x14ac:dyDescent="0.3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" x14ac:dyDescent="0.3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" x14ac:dyDescent="0.3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" x14ac:dyDescent="0.3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" x14ac:dyDescent="0.3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" x14ac:dyDescent="0.3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" x14ac:dyDescent="0.3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" x14ac:dyDescent="0.3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" x14ac:dyDescent="0.3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" x14ac:dyDescent="0.3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" x14ac:dyDescent="0.3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" x14ac:dyDescent="0.3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" x14ac:dyDescent="0.3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" x14ac:dyDescent="0.3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" x14ac:dyDescent="0.3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" x14ac:dyDescent="0.3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" x14ac:dyDescent="0.3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" x14ac:dyDescent="0.3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" x14ac:dyDescent="0.3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" x14ac:dyDescent="0.3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" x14ac:dyDescent="0.3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" x14ac:dyDescent="0.3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" x14ac:dyDescent="0.3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" x14ac:dyDescent="0.3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" x14ac:dyDescent="0.3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" x14ac:dyDescent="0.3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" x14ac:dyDescent="0.3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" x14ac:dyDescent="0.3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" x14ac:dyDescent="0.3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" x14ac:dyDescent="0.3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" x14ac:dyDescent="0.3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" x14ac:dyDescent="0.3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" x14ac:dyDescent="0.3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" x14ac:dyDescent="0.3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" x14ac:dyDescent="0.3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" x14ac:dyDescent="0.3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" x14ac:dyDescent="0.3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" x14ac:dyDescent="0.3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" x14ac:dyDescent="0.3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" x14ac:dyDescent="0.3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" x14ac:dyDescent="0.3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" x14ac:dyDescent="0.3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" x14ac:dyDescent="0.3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" x14ac:dyDescent="0.3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" x14ac:dyDescent="0.3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" x14ac:dyDescent="0.3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" x14ac:dyDescent="0.3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" x14ac:dyDescent="0.3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" x14ac:dyDescent="0.3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" x14ac:dyDescent="0.3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" x14ac:dyDescent="0.3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" x14ac:dyDescent="0.3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" x14ac:dyDescent="0.3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" x14ac:dyDescent="0.3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" x14ac:dyDescent="0.3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" x14ac:dyDescent="0.3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" x14ac:dyDescent="0.3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" x14ac:dyDescent="0.3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" x14ac:dyDescent="0.3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" x14ac:dyDescent="0.3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" x14ac:dyDescent="0.3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" x14ac:dyDescent="0.3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" x14ac:dyDescent="0.3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" x14ac:dyDescent="0.3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" x14ac:dyDescent="0.3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" x14ac:dyDescent="0.3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" x14ac:dyDescent="0.3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" x14ac:dyDescent="0.3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" x14ac:dyDescent="0.3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" x14ac:dyDescent="0.3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" x14ac:dyDescent="0.3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" x14ac:dyDescent="0.3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" x14ac:dyDescent="0.3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" x14ac:dyDescent="0.3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" x14ac:dyDescent="0.3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" x14ac:dyDescent="0.3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" x14ac:dyDescent="0.3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" x14ac:dyDescent="0.3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" x14ac:dyDescent="0.3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" x14ac:dyDescent="0.3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" x14ac:dyDescent="0.3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" x14ac:dyDescent="0.3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" x14ac:dyDescent="0.3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" x14ac:dyDescent="0.3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" x14ac:dyDescent="0.3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" x14ac:dyDescent="0.3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" x14ac:dyDescent="0.3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" x14ac:dyDescent="0.3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" x14ac:dyDescent="0.3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" x14ac:dyDescent="0.3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" x14ac:dyDescent="0.3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" x14ac:dyDescent="0.3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" x14ac:dyDescent="0.3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" x14ac:dyDescent="0.3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" x14ac:dyDescent="0.3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" x14ac:dyDescent="0.3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" x14ac:dyDescent="0.3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" x14ac:dyDescent="0.3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" x14ac:dyDescent="0.3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" x14ac:dyDescent="0.3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" x14ac:dyDescent="0.3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" x14ac:dyDescent="0.3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" x14ac:dyDescent="0.3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" x14ac:dyDescent="0.3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" x14ac:dyDescent="0.3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" x14ac:dyDescent="0.3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" x14ac:dyDescent="0.3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" x14ac:dyDescent="0.3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" x14ac:dyDescent="0.3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" x14ac:dyDescent="0.3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" x14ac:dyDescent="0.3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" x14ac:dyDescent="0.3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" x14ac:dyDescent="0.3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" x14ac:dyDescent="0.3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" x14ac:dyDescent="0.3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" x14ac:dyDescent="0.3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" x14ac:dyDescent="0.3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" x14ac:dyDescent="0.3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" x14ac:dyDescent="0.3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" x14ac:dyDescent="0.3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" x14ac:dyDescent="0.3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" x14ac:dyDescent="0.3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" x14ac:dyDescent="0.3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" x14ac:dyDescent="0.3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" x14ac:dyDescent="0.3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" x14ac:dyDescent="0.3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" x14ac:dyDescent="0.3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" x14ac:dyDescent="0.3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" x14ac:dyDescent="0.3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" x14ac:dyDescent="0.3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" x14ac:dyDescent="0.3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" x14ac:dyDescent="0.3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" x14ac:dyDescent="0.3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" x14ac:dyDescent="0.3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" x14ac:dyDescent="0.3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" x14ac:dyDescent="0.3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" x14ac:dyDescent="0.3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" x14ac:dyDescent="0.3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" x14ac:dyDescent="0.3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" x14ac:dyDescent="0.3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" x14ac:dyDescent="0.3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" x14ac:dyDescent="0.3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" x14ac:dyDescent="0.3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" x14ac:dyDescent="0.3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" x14ac:dyDescent="0.3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" x14ac:dyDescent="0.3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" x14ac:dyDescent="0.3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" x14ac:dyDescent="0.3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" x14ac:dyDescent="0.3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" x14ac:dyDescent="0.3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" x14ac:dyDescent="0.3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" x14ac:dyDescent="0.3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" x14ac:dyDescent="0.3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" x14ac:dyDescent="0.3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" x14ac:dyDescent="0.3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" x14ac:dyDescent="0.3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" x14ac:dyDescent="0.3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" x14ac:dyDescent="0.3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" x14ac:dyDescent="0.3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" x14ac:dyDescent="0.3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" x14ac:dyDescent="0.3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" x14ac:dyDescent="0.3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" x14ac:dyDescent="0.3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" x14ac:dyDescent="0.3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" x14ac:dyDescent="0.3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" x14ac:dyDescent="0.3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" x14ac:dyDescent="0.3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" x14ac:dyDescent="0.3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" x14ac:dyDescent="0.3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" x14ac:dyDescent="0.3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" x14ac:dyDescent="0.3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" x14ac:dyDescent="0.3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" x14ac:dyDescent="0.3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" x14ac:dyDescent="0.3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" x14ac:dyDescent="0.3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" x14ac:dyDescent="0.3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" x14ac:dyDescent="0.3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" x14ac:dyDescent="0.3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" x14ac:dyDescent="0.3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" x14ac:dyDescent="0.3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" x14ac:dyDescent="0.3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" x14ac:dyDescent="0.3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" x14ac:dyDescent="0.3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" x14ac:dyDescent="0.3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" x14ac:dyDescent="0.3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" x14ac:dyDescent="0.3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" x14ac:dyDescent="0.3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" x14ac:dyDescent="0.3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" x14ac:dyDescent="0.3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" x14ac:dyDescent="0.3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" x14ac:dyDescent="0.3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" x14ac:dyDescent="0.3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" x14ac:dyDescent="0.3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" x14ac:dyDescent="0.3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" x14ac:dyDescent="0.3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" x14ac:dyDescent="0.3">
      <c r="C307" s="15"/>
      <c r="D307" s="15"/>
      <c r="E307" s="15"/>
      <c r="F307" s="16"/>
      <c r="G307" s="15"/>
      <c r="H307" s="15"/>
      <c r="I307" s="16"/>
      <c r="J307" s="15"/>
      <c r="K307" s="15"/>
    </row>
  </sheetData>
  <mergeCells count="4">
    <mergeCell ref="G1:I1"/>
    <mergeCell ref="A1:C1"/>
    <mergeCell ref="D1:F1"/>
    <mergeCell ref="A2:B2"/>
  </mergeCells>
  <conditionalFormatting sqref="F2 I2 F4:F65 I4:I65">
    <cfRule type="cellIs" dxfId="13" priority="3" stopIfTrue="1" operator="lessThanOrEqual">
      <formula>-0.1</formula>
    </cfRule>
    <cfRule type="expression" dxfId="12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07"/>
  <sheetViews>
    <sheetView workbookViewId="0">
      <pane xSplit="2" ySplit="3" topLeftCell="C4" activePane="bottomRight" state="frozen"/>
      <selection pane="topRight" activeCell="A10" sqref="A10"/>
      <selection pane="bottomLeft" activeCell="A10" sqref="A10"/>
      <selection pane="bottomRight" activeCell="A10" sqref="A10"/>
    </sheetView>
  </sheetViews>
  <sheetFormatPr defaultRowHeight="13.8" x14ac:dyDescent="0.25"/>
  <cols>
    <col min="1" max="1" width="35.88671875" bestFit="1" customWidth="1"/>
    <col min="2" max="2" width="8.44140625" style="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46" t="str" cm="1">
        <f t="array" ref="A1">portfolio</f>
        <v>Burt Process Equipment</v>
      </c>
      <c r="B1" s="46"/>
      <c r="C1" s="46"/>
      <c r="D1" s="47" t="s">
        <v>32</v>
      </c>
      <c r="E1" s="47"/>
      <c r="F1" s="47"/>
      <c r="G1" s="45" t="s">
        <v>33</v>
      </c>
      <c r="H1" s="45"/>
      <c r="I1" s="45"/>
      <c r="J1" s="4"/>
      <c r="K1" s="4"/>
    </row>
    <row r="2" spans="1:11" ht="19.5" customHeight="1" x14ac:dyDescent="0.25">
      <c r="A2" s="48" t="s">
        <v>2</v>
      </c>
      <c r="B2" s="48"/>
      <c r="C2" s="5">
        <f>SUM(C4:C65)</f>
        <v>0</v>
      </c>
      <c r="D2" s="5">
        <f>SUM(D4:D65)</f>
        <v>0</v>
      </c>
      <c r="E2" s="5">
        <f>C2-D2</f>
        <v>0</v>
      </c>
      <c r="F2" s="6">
        <f>IFERROR(E2/D2, 0)</f>
        <v>0</v>
      </c>
      <c r="G2" s="5">
        <f>SUM(G4:G65)</f>
        <v>0</v>
      </c>
      <c r="H2" s="7">
        <f>C2-G2</f>
        <v>0</v>
      </c>
      <c r="I2" s="6">
        <f>IFERROR(H2/G2, 0)</f>
        <v>0</v>
      </c>
      <c r="J2" s="20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 x14ac:dyDescent="0.25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 x14ac:dyDescent="0.3">
      <c r="A4" s="23" t="str" cm="1">
        <f t="array" ref="A4">Sites[Site]</f>
        <v>CT: Hamden - Burt Process Equipment</v>
      </c>
      <c r="B4" s="22" t="str" cm="1">
        <f t="array" ref="B4">Sites[State]</f>
        <v>CT</v>
      </c>
      <c r="C4" s="18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1"/>
      <c r="K4" s="31"/>
    </row>
    <row r="5" spans="1:11" ht="14.4" x14ac:dyDescent="0.3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" x14ac:dyDescent="0.3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" x14ac:dyDescent="0.3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" x14ac:dyDescent="0.3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" x14ac:dyDescent="0.3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" x14ac:dyDescent="0.3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" x14ac:dyDescent="0.3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" x14ac:dyDescent="0.3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" x14ac:dyDescent="0.3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" x14ac:dyDescent="0.3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" x14ac:dyDescent="0.3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" x14ac:dyDescent="0.3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" x14ac:dyDescent="0.3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" x14ac:dyDescent="0.3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" x14ac:dyDescent="0.3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" x14ac:dyDescent="0.3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" x14ac:dyDescent="0.3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" x14ac:dyDescent="0.3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" x14ac:dyDescent="0.3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" x14ac:dyDescent="0.3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" x14ac:dyDescent="0.3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" x14ac:dyDescent="0.3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" x14ac:dyDescent="0.3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" x14ac:dyDescent="0.3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" x14ac:dyDescent="0.3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" x14ac:dyDescent="0.3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" x14ac:dyDescent="0.3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" x14ac:dyDescent="0.3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" x14ac:dyDescent="0.3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" x14ac:dyDescent="0.3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" x14ac:dyDescent="0.3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" x14ac:dyDescent="0.3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" x14ac:dyDescent="0.3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" x14ac:dyDescent="0.3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" x14ac:dyDescent="0.3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" x14ac:dyDescent="0.3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" x14ac:dyDescent="0.3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" x14ac:dyDescent="0.3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" x14ac:dyDescent="0.3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" x14ac:dyDescent="0.3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" x14ac:dyDescent="0.3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" x14ac:dyDescent="0.3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" x14ac:dyDescent="0.3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" x14ac:dyDescent="0.3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" x14ac:dyDescent="0.3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" x14ac:dyDescent="0.3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" x14ac:dyDescent="0.3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" x14ac:dyDescent="0.3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" x14ac:dyDescent="0.3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" x14ac:dyDescent="0.3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" x14ac:dyDescent="0.3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" x14ac:dyDescent="0.3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" x14ac:dyDescent="0.3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" x14ac:dyDescent="0.3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" x14ac:dyDescent="0.3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" x14ac:dyDescent="0.3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" x14ac:dyDescent="0.3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" x14ac:dyDescent="0.3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" x14ac:dyDescent="0.3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" x14ac:dyDescent="0.3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" x14ac:dyDescent="0.3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" x14ac:dyDescent="0.3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" x14ac:dyDescent="0.3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" x14ac:dyDescent="0.3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" x14ac:dyDescent="0.3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" x14ac:dyDescent="0.3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" x14ac:dyDescent="0.3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" x14ac:dyDescent="0.3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" x14ac:dyDescent="0.3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" x14ac:dyDescent="0.3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" x14ac:dyDescent="0.3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" x14ac:dyDescent="0.3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" x14ac:dyDescent="0.3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" x14ac:dyDescent="0.3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" x14ac:dyDescent="0.3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" x14ac:dyDescent="0.3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" x14ac:dyDescent="0.3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" x14ac:dyDescent="0.3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" x14ac:dyDescent="0.3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" x14ac:dyDescent="0.3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" x14ac:dyDescent="0.3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" x14ac:dyDescent="0.3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" x14ac:dyDescent="0.3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" x14ac:dyDescent="0.3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" x14ac:dyDescent="0.3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" x14ac:dyDescent="0.3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" x14ac:dyDescent="0.3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" x14ac:dyDescent="0.3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" x14ac:dyDescent="0.3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" x14ac:dyDescent="0.3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" x14ac:dyDescent="0.3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" x14ac:dyDescent="0.3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" x14ac:dyDescent="0.3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" x14ac:dyDescent="0.3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" x14ac:dyDescent="0.3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" x14ac:dyDescent="0.3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" x14ac:dyDescent="0.3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" x14ac:dyDescent="0.3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" x14ac:dyDescent="0.3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" x14ac:dyDescent="0.3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" x14ac:dyDescent="0.3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" x14ac:dyDescent="0.3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" x14ac:dyDescent="0.3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" x14ac:dyDescent="0.3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" x14ac:dyDescent="0.3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" x14ac:dyDescent="0.3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" x14ac:dyDescent="0.3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" x14ac:dyDescent="0.3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" x14ac:dyDescent="0.3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" x14ac:dyDescent="0.3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" x14ac:dyDescent="0.3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" x14ac:dyDescent="0.3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" x14ac:dyDescent="0.3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" x14ac:dyDescent="0.3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" x14ac:dyDescent="0.3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" x14ac:dyDescent="0.3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" x14ac:dyDescent="0.3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" x14ac:dyDescent="0.3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" x14ac:dyDescent="0.3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" x14ac:dyDescent="0.3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" x14ac:dyDescent="0.3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" x14ac:dyDescent="0.3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" x14ac:dyDescent="0.3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" x14ac:dyDescent="0.3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" x14ac:dyDescent="0.3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" x14ac:dyDescent="0.3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" x14ac:dyDescent="0.3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" x14ac:dyDescent="0.3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" x14ac:dyDescent="0.3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" x14ac:dyDescent="0.3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" x14ac:dyDescent="0.3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" x14ac:dyDescent="0.3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" x14ac:dyDescent="0.3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" x14ac:dyDescent="0.3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" x14ac:dyDescent="0.3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" x14ac:dyDescent="0.3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" x14ac:dyDescent="0.3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" x14ac:dyDescent="0.3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" x14ac:dyDescent="0.3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" x14ac:dyDescent="0.3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" x14ac:dyDescent="0.3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" x14ac:dyDescent="0.3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" x14ac:dyDescent="0.3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" x14ac:dyDescent="0.3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" x14ac:dyDescent="0.3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" x14ac:dyDescent="0.3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" x14ac:dyDescent="0.3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" x14ac:dyDescent="0.3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" x14ac:dyDescent="0.3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" x14ac:dyDescent="0.3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" x14ac:dyDescent="0.3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" x14ac:dyDescent="0.3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" x14ac:dyDescent="0.3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" x14ac:dyDescent="0.3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" x14ac:dyDescent="0.3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" x14ac:dyDescent="0.3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" x14ac:dyDescent="0.3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" x14ac:dyDescent="0.3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" x14ac:dyDescent="0.3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" x14ac:dyDescent="0.3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" x14ac:dyDescent="0.3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" x14ac:dyDescent="0.3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" x14ac:dyDescent="0.3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" x14ac:dyDescent="0.3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" x14ac:dyDescent="0.3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" x14ac:dyDescent="0.3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" x14ac:dyDescent="0.3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" x14ac:dyDescent="0.3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" x14ac:dyDescent="0.3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" x14ac:dyDescent="0.3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" x14ac:dyDescent="0.3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" x14ac:dyDescent="0.3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" x14ac:dyDescent="0.3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" x14ac:dyDescent="0.3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" x14ac:dyDescent="0.3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" x14ac:dyDescent="0.3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" x14ac:dyDescent="0.3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" x14ac:dyDescent="0.3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" x14ac:dyDescent="0.3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" x14ac:dyDescent="0.3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" x14ac:dyDescent="0.3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" x14ac:dyDescent="0.3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" x14ac:dyDescent="0.3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" x14ac:dyDescent="0.3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" x14ac:dyDescent="0.3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" x14ac:dyDescent="0.3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" x14ac:dyDescent="0.3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" x14ac:dyDescent="0.3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" x14ac:dyDescent="0.3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" x14ac:dyDescent="0.3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" x14ac:dyDescent="0.3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" x14ac:dyDescent="0.3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" x14ac:dyDescent="0.3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" x14ac:dyDescent="0.3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" x14ac:dyDescent="0.3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" x14ac:dyDescent="0.3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" x14ac:dyDescent="0.3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" x14ac:dyDescent="0.3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" x14ac:dyDescent="0.3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" x14ac:dyDescent="0.3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" x14ac:dyDescent="0.3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" x14ac:dyDescent="0.3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" x14ac:dyDescent="0.3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" x14ac:dyDescent="0.3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" x14ac:dyDescent="0.3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" x14ac:dyDescent="0.3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" x14ac:dyDescent="0.3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" x14ac:dyDescent="0.3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" x14ac:dyDescent="0.3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" x14ac:dyDescent="0.3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" x14ac:dyDescent="0.3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" x14ac:dyDescent="0.3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" x14ac:dyDescent="0.3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" x14ac:dyDescent="0.3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" x14ac:dyDescent="0.3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" x14ac:dyDescent="0.3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" x14ac:dyDescent="0.3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" x14ac:dyDescent="0.3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" x14ac:dyDescent="0.3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" x14ac:dyDescent="0.3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" x14ac:dyDescent="0.3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" x14ac:dyDescent="0.3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" x14ac:dyDescent="0.3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" x14ac:dyDescent="0.3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" x14ac:dyDescent="0.3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" x14ac:dyDescent="0.3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" x14ac:dyDescent="0.3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" x14ac:dyDescent="0.3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" x14ac:dyDescent="0.3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" x14ac:dyDescent="0.3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" x14ac:dyDescent="0.3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" x14ac:dyDescent="0.3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" x14ac:dyDescent="0.3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" x14ac:dyDescent="0.3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" x14ac:dyDescent="0.3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" x14ac:dyDescent="0.3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" x14ac:dyDescent="0.3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" x14ac:dyDescent="0.3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" x14ac:dyDescent="0.3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" x14ac:dyDescent="0.3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" x14ac:dyDescent="0.3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" x14ac:dyDescent="0.3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" x14ac:dyDescent="0.3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" x14ac:dyDescent="0.3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" x14ac:dyDescent="0.3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" x14ac:dyDescent="0.3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" x14ac:dyDescent="0.3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" x14ac:dyDescent="0.3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" x14ac:dyDescent="0.3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" x14ac:dyDescent="0.3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" x14ac:dyDescent="0.3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" x14ac:dyDescent="0.3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" x14ac:dyDescent="0.3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" x14ac:dyDescent="0.3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" x14ac:dyDescent="0.3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" x14ac:dyDescent="0.3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" x14ac:dyDescent="0.3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" x14ac:dyDescent="0.3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" x14ac:dyDescent="0.3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" x14ac:dyDescent="0.3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" x14ac:dyDescent="0.3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" x14ac:dyDescent="0.3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" x14ac:dyDescent="0.3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" x14ac:dyDescent="0.3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" x14ac:dyDescent="0.3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" x14ac:dyDescent="0.3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" x14ac:dyDescent="0.3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" x14ac:dyDescent="0.3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" x14ac:dyDescent="0.3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" x14ac:dyDescent="0.3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" x14ac:dyDescent="0.3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" x14ac:dyDescent="0.3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" x14ac:dyDescent="0.3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" x14ac:dyDescent="0.3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" x14ac:dyDescent="0.3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" x14ac:dyDescent="0.3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" x14ac:dyDescent="0.3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" x14ac:dyDescent="0.3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" x14ac:dyDescent="0.3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" x14ac:dyDescent="0.3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" x14ac:dyDescent="0.3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" x14ac:dyDescent="0.3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" x14ac:dyDescent="0.3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" x14ac:dyDescent="0.3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" x14ac:dyDescent="0.3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" x14ac:dyDescent="0.3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" x14ac:dyDescent="0.3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" x14ac:dyDescent="0.3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" x14ac:dyDescent="0.3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" x14ac:dyDescent="0.3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" x14ac:dyDescent="0.3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" x14ac:dyDescent="0.3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" x14ac:dyDescent="0.3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" x14ac:dyDescent="0.3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" x14ac:dyDescent="0.3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" x14ac:dyDescent="0.3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" x14ac:dyDescent="0.3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" x14ac:dyDescent="0.3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" x14ac:dyDescent="0.3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" x14ac:dyDescent="0.3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" x14ac:dyDescent="0.3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" x14ac:dyDescent="0.3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" x14ac:dyDescent="0.3">
      <c r="C307" s="15"/>
      <c r="D307" s="15"/>
      <c r="E307" s="15"/>
      <c r="F307" s="16"/>
      <c r="G307" s="15"/>
      <c r="H307" s="15"/>
      <c r="I307" s="16"/>
      <c r="J307" s="15"/>
      <c r="K307" s="15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65 I4:I65">
    <cfRule type="cellIs" dxfId="11" priority="3" stopIfTrue="1" operator="lessThanOrEqual">
      <formula>-0.1</formula>
    </cfRule>
    <cfRule type="expression" dxfId="10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07"/>
  <sheetViews>
    <sheetView workbookViewId="0">
      <pane xSplit="2" ySplit="3" topLeftCell="C4" activePane="bottomRight" state="frozen"/>
      <selection pane="topRight" activeCell="A10" sqref="A10"/>
      <selection pane="bottomLeft" activeCell="A10" sqref="A10"/>
      <selection pane="bottomRight" activeCell="A10" sqref="A10"/>
    </sheetView>
  </sheetViews>
  <sheetFormatPr defaultRowHeight="13.8" x14ac:dyDescent="0.25"/>
  <cols>
    <col min="1" max="1" width="35.88671875" bestFit="1" customWidth="1"/>
    <col min="2" max="2" width="8.44140625" style="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46" t="str" cm="1">
        <f t="array" ref="A1">portfolio</f>
        <v>Burt Process Equipment</v>
      </c>
      <c r="B1" s="46"/>
      <c r="C1" s="46"/>
      <c r="D1" s="47" t="s">
        <v>34</v>
      </c>
      <c r="E1" s="47"/>
      <c r="F1" s="47"/>
      <c r="G1" s="45" t="s">
        <v>35</v>
      </c>
      <c r="H1" s="45"/>
      <c r="I1" s="45"/>
      <c r="J1" s="4"/>
      <c r="K1" s="4"/>
    </row>
    <row r="2" spans="1:11" ht="19.5" customHeight="1" x14ac:dyDescent="0.25">
      <c r="A2" s="48" t="s">
        <v>2</v>
      </c>
      <c r="B2" s="48"/>
      <c r="C2" s="5">
        <f>SUM(C4:C65)</f>
        <v>0</v>
      </c>
      <c r="D2" s="5">
        <f>SUM(D4:D65)</f>
        <v>0</v>
      </c>
      <c r="E2" s="5">
        <f>C2-D2</f>
        <v>0</v>
      </c>
      <c r="F2" s="6">
        <f>IFERROR(E2/D2, 0)</f>
        <v>0</v>
      </c>
      <c r="G2" s="5">
        <f>SUM(G4:G65)</f>
        <v>0</v>
      </c>
      <c r="H2" s="7">
        <f>C2-G2</f>
        <v>0</v>
      </c>
      <c r="I2" s="6">
        <f>IFERROR(H2/G2, 0)</f>
        <v>0</v>
      </c>
      <c r="J2" s="20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25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 x14ac:dyDescent="0.3">
      <c r="A4" s="23" t="str" cm="1">
        <f t="array" ref="A4">Sites[Site]</f>
        <v>CT: Hamden - Burt Process Equipment</v>
      </c>
      <c r="B4" s="22" t="str" cm="1">
        <f t="array" ref="B4">Sites[State]</f>
        <v>CT</v>
      </c>
      <c r="C4" s="18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1"/>
      <c r="K4" s="31"/>
    </row>
    <row r="5" spans="1:11" ht="14.4" x14ac:dyDescent="0.3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" x14ac:dyDescent="0.3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" x14ac:dyDescent="0.3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" x14ac:dyDescent="0.3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" x14ac:dyDescent="0.3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" x14ac:dyDescent="0.3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" x14ac:dyDescent="0.3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" x14ac:dyDescent="0.3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" x14ac:dyDescent="0.3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" x14ac:dyDescent="0.3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" x14ac:dyDescent="0.3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" x14ac:dyDescent="0.3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" x14ac:dyDescent="0.3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" x14ac:dyDescent="0.3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" x14ac:dyDescent="0.3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" x14ac:dyDescent="0.3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" x14ac:dyDescent="0.3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" x14ac:dyDescent="0.3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" x14ac:dyDescent="0.3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" x14ac:dyDescent="0.3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" x14ac:dyDescent="0.3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" x14ac:dyDescent="0.3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" x14ac:dyDescent="0.3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" x14ac:dyDescent="0.3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" x14ac:dyDescent="0.3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" x14ac:dyDescent="0.3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" x14ac:dyDescent="0.3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" x14ac:dyDescent="0.3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" x14ac:dyDescent="0.3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" x14ac:dyDescent="0.3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" x14ac:dyDescent="0.3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" x14ac:dyDescent="0.3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" x14ac:dyDescent="0.3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" x14ac:dyDescent="0.3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" x14ac:dyDescent="0.3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" x14ac:dyDescent="0.3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" x14ac:dyDescent="0.3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" x14ac:dyDescent="0.3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" x14ac:dyDescent="0.3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" x14ac:dyDescent="0.3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" x14ac:dyDescent="0.3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" x14ac:dyDescent="0.3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" x14ac:dyDescent="0.3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" x14ac:dyDescent="0.3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" x14ac:dyDescent="0.3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" x14ac:dyDescent="0.3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" x14ac:dyDescent="0.3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" x14ac:dyDescent="0.3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" x14ac:dyDescent="0.3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" x14ac:dyDescent="0.3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" x14ac:dyDescent="0.3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" x14ac:dyDescent="0.3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" x14ac:dyDescent="0.3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" x14ac:dyDescent="0.3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" x14ac:dyDescent="0.3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" x14ac:dyDescent="0.3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" x14ac:dyDescent="0.3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" x14ac:dyDescent="0.3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" x14ac:dyDescent="0.3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" x14ac:dyDescent="0.3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" x14ac:dyDescent="0.3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" x14ac:dyDescent="0.3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" x14ac:dyDescent="0.3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" x14ac:dyDescent="0.3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" x14ac:dyDescent="0.3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" x14ac:dyDescent="0.3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" x14ac:dyDescent="0.3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" x14ac:dyDescent="0.3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" x14ac:dyDescent="0.3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" x14ac:dyDescent="0.3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" x14ac:dyDescent="0.3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" x14ac:dyDescent="0.3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" x14ac:dyDescent="0.3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" x14ac:dyDescent="0.3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" x14ac:dyDescent="0.3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" x14ac:dyDescent="0.3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" x14ac:dyDescent="0.3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" x14ac:dyDescent="0.3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" x14ac:dyDescent="0.3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" x14ac:dyDescent="0.3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" x14ac:dyDescent="0.3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" x14ac:dyDescent="0.3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" x14ac:dyDescent="0.3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" x14ac:dyDescent="0.3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" x14ac:dyDescent="0.3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" x14ac:dyDescent="0.3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" x14ac:dyDescent="0.3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" x14ac:dyDescent="0.3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" x14ac:dyDescent="0.3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" x14ac:dyDescent="0.3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" x14ac:dyDescent="0.3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" x14ac:dyDescent="0.3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" x14ac:dyDescent="0.3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" x14ac:dyDescent="0.3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" x14ac:dyDescent="0.3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" x14ac:dyDescent="0.3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" x14ac:dyDescent="0.3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" x14ac:dyDescent="0.3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" x14ac:dyDescent="0.3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" x14ac:dyDescent="0.3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" x14ac:dyDescent="0.3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" x14ac:dyDescent="0.3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" x14ac:dyDescent="0.3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" x14ac:dyDescent="0.3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" x14ac:dyDescent="0.3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" x14ac:dyDescent="0.3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" x14ac:dyDescent="0.3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" x14ac:dyDescent="0.3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" x14ac:dyDescent="0.3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" x14ac:dyDescent="0.3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" x14ac:dyDescent="0.3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" x14ac:dyDescent="0.3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" x14ac:dyDescent="0.3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" x14ac:dyDescent="0.3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" x14ac:dyDescent="0.3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" x14ac:dyDescent="0.3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" x14ac:dyDescent="0.3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" x14ac:dyDescent="0.3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" x14ac:dyDescent="0.3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" x14ac:dyDescent="0.3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" x14ac:dyDescent="0.3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" x14ac:dyDescent="0.3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" x14ac:dyDescent="0.3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" x14ac:dyDescent="0.3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" x14ac:dyDescent="0.3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" x14ac:dyDescent="0.3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" x14ac:dyDescent="0.3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" x14ac:dyDescent="0.3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" x14ac:dyDescent="0.3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" x14ac:dyDescent="0.3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" x14ac:dyDescent="0.3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" x14ac:dyDescent="0.3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" x14ac:dyDescent="0.3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" x14ac:dyDescent="0.3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" x14ac:dyDescent="0.3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" x14ac:dyDescent="0.3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" x14ac:dyDescent="0.3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" x14ac:dyDescent="0.3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" x14ac:dyDescent="0.3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" x14ac:dyDescent="0.3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" x14ac:dyDescent="0.3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" x14ac:dyDescent="0.3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" x14ac:dyDescent="0.3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" x14ac:dyDescent="0.3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" x14ac:dyDescent="0.3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" x14ac:dyDescent="0.3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" x14ac:dyDescent="0.3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" x14ac:dyDescent="0.3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" x14ac:dyDescent="0.3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" x14ac:dyDescent="0.3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" x14ac:dyDescent="0.3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" x14ac:dyDescent="0.3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" x14ac:dyDescent="0.3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" x14ac:dyDescent="0.3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" x14ac:dyDescent="0.3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" x14ac:dyDescent="0.3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" x14ac:dyDescent="0.3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" x14ac:dyDescent="0.3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" x14ac:dyDescent="0.3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" x14ac:dyDescent="0.3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" x14ac:dyDescent="0.3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" x14ac:dyDescent="0.3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" x14ac:dyDescent="0.3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" x14ac:dyDescent="0.3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" x14ac:dyDescent="0.3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" x14ac:dyDescent="0.3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" x14ac:dyDescent="0.3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" x14ac:dyDescent="0.3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" x14ac:dyDescent="0.3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" x14ac:dyDescent="0.3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" x14ac:dyDescent="0.3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" x14ac:dyDescent="0.3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" x14ac:dyDescent="0.3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" x14ac:dyDescent="0.3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" x14ac:dyDescent="0.3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" x14ac:dyDescent="0.3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" x14ac:dyDescent="0.3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" x14ac:dyDescent="0.3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" x14ac:dyDescent="0.3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" x14ac:dyDescent="0.3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" x14ac:dyDescent="0.3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" x14ac:dyDescent="0.3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" x14ac:dyDescent="0.3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" x14ac:dyDescent="0.3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" x14ac:dyDescent="0.3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" x14ac:dyDescent="0.3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" x14ac:dyDescent="0.3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" x14ac:dyDescent="0.3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" x14ac:dyDescent="0.3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" x14ac:dyDescent="0.3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" x14ac:dyDescent="0.3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" x14ac:dyDescent="0.3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" x14ac:dyDescent="0.3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" x14ac:dyDescent="0.3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" x14ac:dyDescent="0.3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" x14ac:dyDescent="0.3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" x14ac:dyDescent="0.3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" x14ac:dyDescent="0.3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" x14ac:dyDescent="0.3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" x14ac:dyDescent="0.3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" x14ac:dyDescent="0.3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" x14ac:dyDescent="0.3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" x14ac:dyDescent="0.3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" x14ac:dyDescent="0.3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" x14ac:dyDescent="0.3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" x14ac:dyDescent="0.3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" x14ac:dyDescent="0.3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" x14ac:dyDescent="0.3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" x14ac:dyDescent="0.3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" x14ac:dyDescent="0.3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" x14ac:dyDescent="0.3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" x14ac:dyDescent="0.3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" x14ac:dyDescent="0.3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" x14ac:dyDescent="0.3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" x14ac:dyDescent="0.3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" x14ac:dyDescent="0.3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" x14ac:dyDescent="0.3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" x14ac:dyDescent="0.3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" x14ac:dyDescent="0.3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" x14ac:dyDescent="0.3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" x14ac:dyDescent="0.3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" x14ac:dyDescent="0.3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" x14ac:dyDescent="0.3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" x14ac:dyDescent="0.3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" x14ac:dyDescent="0.3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" x14ac:dyDescent="0.3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" x14ac:dyDescent="0.3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" x14ac:dyDescent="0.3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" x14ac:dyDescent="0.3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" x14ac:dyDescent="0.3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" x14ac:dyDescent="0.3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" x14ac:dyDescent="0.3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" x14ac:dyDescent="0.3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" x14ac:dyDescent="0.3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" x14ac:dyDescent="0.3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" x14ac:dyDescent="0.3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" x14ac:dyDescent="0.3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" x14ac:dyDescent="0.3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" x14ac:dyDescent="0.3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" x14ac:dyDescent="0.3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" x14ac:dyDescent="0.3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" x14ac:dyDescent="0.3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" x14ac:dyDescent="0.3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" x14ac:dyDescent="0.3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" x14ac:dyDescent="0.3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" x14ac:dyDescent="0.3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" x14ac:dyDescent="0.3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" x14ac:dyDescent="0.3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" x14ac:dyDescent="0.3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" x14ac:dyDescent="0.3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" x14ac:dyDescent="0.3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" x14ac:dyDescent="0.3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" x14ac:dyDescent="0.3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" x14ac:dyDescent="0.3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" x14ac:dyDescent="0.3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" x14ac:dyDescent="0.3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" x14ac:dyDescent="0.3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" x14ac:dyDescent="0.3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" x14ac:dyDescent="0.3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" x14ac:dyDescent="0.3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" x14ac:dyDescent="0.3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" x14ac:dyDescent="0.3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" x14ac:dyDescent="0.3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" x14ac:dyDescent="0.3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" x14ac:dyDescent="0.3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" x14ac:dyDescent="0.3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" x14ac:dyDescent="0.3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" x14ac:dyDescent="0.3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" x14ac:dyDescent="0.3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" x14ac:dyDescent="0.3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" x14ac:dyDescent="0.3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" x14ac:dyDescent="0.3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" x14ac:dyDescent="0.3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" x14ac:dyDescent="0.3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" x14ac:dyDescent="0.3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" x14ac:dyDescent="0.3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" x14ac:dyDescent="0.3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" x14ac:dyDescent="0.3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" x14ac:dyDescent="0.3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" x14ac:dyDescent="0.3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" x14ac:dyDescent="0.3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" x14ac:dyDescent="0.3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" x14ac:dyDescent="0.3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" x14ac:dyDescent="0.3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" x14ac:dyDescent="0.3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" x14ac:dyDescent="0.3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" x14ac:dyDescent="0.3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" x14ac:dyDescent="0.3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" x14ac:dyDescent="0.3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" x14ac:dyDescent="0.3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" x14ac:dyDescent="0.3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" x14ac:dyDescent="0.3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" x14ac:dyDescent="0.3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" x14ac:dyDescent="0.3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" x14ac:dyDescent="0.3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" x14ac:dyDescent="0.3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" x14ac:dyDescent="0.3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" x14ac:dyDescent="0.3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" x14ac:dyDescent="0.3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" x14ac:dyDescent="0.3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" x14ac:dyDescent="0.3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" x14ac:dyDescent="0.3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" x14ac:dyDescent="0.3">
      <c r="C307" s="15"/>
      <c r="D307" s="15"/>
      <c r="E307" s="15"/>
      <c r="F307" s="16"/>
      <c r="G307" s="15"/>
      <c r="H307" s="15"/>
      <c r="I307" s="16"/>
      <c r="J307" s="15"/>
      <c r="K307" s="15"/>
    </row>
  </sheetData>
  <mergeCells count="4">
    <mergeCell ref="G1:I1"/>
    <mergeCell ref="A1:C1"/>
    <mergeCell ref="D1:F1"/>
    <mergeCell ref="A2:B2"/>
  </mergeCells>
  <conditionalFormatting sqref="F2 I2 F4:F65 I4:I65">
    <cfRule type="cellIs" dxfId="9" priority="3" stopIfTrue="1" operator="lessThanOrEqual">
      <formula>-0.1</formula>
    </cfRule>
    <cfRule type="expression" dxfId="8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07"/>
  <sheetViews>
    <sheetView workbookViewId="0">
      <pane xSplit="2" ySplit="3" topLeftCell="C4" activePane="bottomRight" state="frozen"/>
      <selection pane="topRight" activeCell="A10" sqref="A10"/>
      <selection pane="bottomLeft" activeCell="A10" sqref="A10"/>
      <selection pane="bottomRight" activeCell="A10" sqref="A10"/>
    </sheetView>
  </sheetViews>
  <sheetFormatPr defaultRowHeight="13.8" x14ac:dyDescent="0.25"/>
  <cols>
    <col min="1" max="1" width="35.88671875" bestFit="1" customWidth="1"/>
    <col min="2" max="2" width="8.44140625" style="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46" t="str" cm="1">
        <f t="array" ref="A1">portfolio</f>
        <v>Burt Process Equipment</v>
      </c>
      <c r="B1" s="46"/>
      <c r="C1" s="46"/>
      <c r="D1" s="47" t="s">
        <v>36</v>
      </c>
      <c r="E1" s="47"/>
      <c r="F1" s="47"/>
      <c r="G1" s="45" t="s">
        <v>37</v>
      </c>
      <c r="H1" s="45"/>
      <c r="I1" s="45"/>
      <c r="J1" s="4"/>
      <c r="K1" s="4"/>
    </row>
    <row r="2" spans="1:11" ht="19.5" customHeight="1" x14ac:dyDescent="0.25">
      <c r="A2" s="48" t="s">
        <v>2</v>
      </c>
      <c r="B2" s="48"/>
      <c r="C2" s="5">
        <f>SUM(C4:C65)</f>
        <v>0</v>
      </c>
      <c r="D2" s="5">
        <f>SUM(D4:D65)</f>
        <v>0</v>
      </c>
      <c r="E2" s="5">
        <f>C2-D2</f>
        <v>0</v>
      </c>
      <c r="F2" s="6">
        <f>IFERROR(E2/D2, 0)</f>
        <v>0</v>
      </c>
      <c r="G2" s="5">
        <f>SUM(G4:G65)</f>
        <v>0</v>
      </c>
      <c r="H2" s="7">
        <f>C2-G2</f>
        <v>0</v>
      </c>
      <c r="I2" s="6">
        <f>IFERROR(H2/G2, 0)</f>
        <v>0</v>
      </c>
      <c r="J2" s="20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25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 x14ac:dyDescent="0.3">
      <c r="A4" s="23" t="str" cm="1">
        <f t="array" ref="A4">Sites[Site]</f>
        <v>CT: Hamden - Burt Process Equipment</v>
      </c>
      <c r="B4" s="22" t="str" cm="1">
        <f t="array" ref="B4">Sites[State]</f>
        <v>CT</v>
      </c>
      <c r="C4" s="18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1"/>
      <c r="K4" s="31"/>
    </row>
    <row r="5" spans="1:11" ht="14.4" x14ac:dyDescent="0.3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" x14ac:dyDescent="0.3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" x14ac:dyDescent="0.3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" x14ac:dyDescent="0.3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" x14ac:dyDescent="0.3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" x14ac:dyDescent="0.3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" x14ac:dyDescent="0.3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" x14ac:dyDescent="0.3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" x14ac:dyDescent="0.3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" x14ac:dyDescent="0.3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" x14ac:dyDescent="0.3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" x14ac:dyDescent="0.3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" x14ac:dyDescent="0.3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" x14ac:dyDescent="0.3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" x14ac:dyDescent="0.3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" x14ac:dyDescent="0.3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" x14ac:dyDescent="0.3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" x14ac:dyDescent="0.3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" x14ac:dyDescent="0.3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" x14ac:dyDescent="0.3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" x14ac:dyDescent="0.3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" x14ac:dyDescent="0.3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" x14ac:dyDescent="0.3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" x14ac:dyDescent="0.3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" x14ac:dyDescent="0.3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" x14ac:dyDescent="0.3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" x14ac:dyDescent="0.3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" x14ac:dyDescent="0.3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" x14ac:dyDescent="0.3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" x14ac:dyDescent="0.3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" x14ac:dyDescent="0.3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" x14ac:dyDescent="0.3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" x14ac:dyDescent="0.3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" x14ac:dyDescent="0.3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" x14ac:dyDescent="0.3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" x14ac:dyDescent="0.3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" x14ac:dyDescent="0.3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" x14ac:dyDescent="0.3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" x14ac:dyDescent="0.3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" x14ac:dyDescent="0.3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" x14ac:dyDescent="0.3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" x14ac:dyDescent="0.3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" x14ac:dyDescent="0.3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" x14ac:dyDescent="0.3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" x14ac:dyDescent="0.3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" x14ac:dyDescent="0.3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" x14ac:dyDescent="0.3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" x14ac:dyDescent="0.3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" x14ac:dyDescent="0.3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" x14ac:dyDescent="0.3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" x14ac:dyDescent="0.3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" x14ac:dyDescent="0.3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" x14ac:dyDescent="0.3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" x14ac:dyDescent="0.3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" x14ac:dyDescent="0.3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" x14ac:dyDescent="0.3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" x14ac:dyDescent="0.3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" x14ac:dyDescent="0.3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" x14ac:dyDescent="0.3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" x14ac:dyDescent="0.3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" x14ac:dyDescent="0.3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" x14ac:dyDescent="0.3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" x14ac:dyDescent="0.3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" x14ac:dyDescent="0.3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" x14ac:dyDescent="0.3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" x14ac:dyDescent="0.3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" x14ac:dyDescent="0.3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" x14ac:dyDescent="0.3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" x14ac:dyDescent="0.3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" x14ac:dyDescent="0.3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" x14ac:dyDescent="0.3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" x14ac:dyDescent="0.3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" x14ac:dyDescent="0.3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" x14ac:dyDescent="0.3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" x14ac:dyDescent="0.3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" x14ac:dyDescent="0.3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" x14ac:dyDescent="0.3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" x14ac:dyDescent="0.3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" x14ac:dyDescent="0.3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" x14ac:dyDescent="0.3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" x14ac:dyDescent="0.3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" x14ac:dyDescent="0.3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" x14ac:dyDescent="0.3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" x14ac:dyDescent="0.3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" x14ac:dyDescent="0.3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" x14ac:dyDescent="0.3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" x14ac:dyDescent="0.3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" x14ac:dyDescent="0.3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" x14ac:dyDescent="0.3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" x14ac:dyDescent="0.3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" x14ac:dyDescent="0.3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" x14ac:dyDescent="0.3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" x14ac:dyDescent="0.3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" x14ac:dyDescent="0.3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" x14ac:dyDescent="0.3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" x14ac:dyDescent="0.3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" x14ac:dyDescent="0.3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" x14ac:dyDescent="0.3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" x14ac:dyDescent="0.3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" x14ac:dyDescent="0.3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" x14ac:dyDescent="0.3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" x14ac:dyDescent="0.3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" x14ac:dyDescent="0.3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" x14ac:dyDescent="0.3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" x14ac:dyDescent="0.3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" x14ac:dyDescent="0.3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" x14ac:dyDescent="0.3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" x14ac:dyDescent="0.3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" x14ac:dyDescent="0.3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" x14ac:dyDescent="0.3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" x14ac:dyDescent="0.3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" x14ac:dyDescent="0.3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" x14ac:dyDescent="0.3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" x14ac:dyDescent="0.3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" x14ac:dyDescent="0.3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" x14ac:dyDescent="0.3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" x14ac:dyDescent="0.3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" x14ac:dyDescent="0.3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" x14ac:dyDescent="0.3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" x14ac:dyDescent="0.3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" x14ac:dyDescent="0.3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" x14ac:dyDescent="0.3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" x14ac:dyDescent="0.3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" x14ac:dyDescent="0.3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" x14ac:dyDescent="0.3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" x14ac:dyDescent="0.3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" x14ac:dyDescent="0.3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" x14ac:dyDescent="0.3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" x14ac:dyDescent="0.3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" x14ac:dyDescent="0.3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" x14ac:dyDescent="0.3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" x14ac:dyDescent="0.3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" x14ac:dyDescent="0.3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" x14ac:dyDescent="0.3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" x14ac:dyDescent="0.3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" x14ac:dyDescent="0.3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" x14ac:dyDescent="0.3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" x14ac:dyDescent="0.3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" x14ac:dyDescent="0.3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" x14ac:dyDescent="0.3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" x14ac:dyDescent="0.3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" x14ac:dyDescent="0.3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" x14ac:dyDescent="0.3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" x14ac:dyDescent="0.3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" x14ac:dyDescent="0.3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" x14ac:dyDescent="0.3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" x14ac:dyDescent="0.3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" x14ac:dyDescent="0.3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" x14ac:dyDescent="0.3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" x14ac:dyDescent="0.3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" x14ac:dyDescent="0.3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" x14ac:dyDescent="0.3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" x14ac:dyDescent="0.3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" x14ac:dyDescent="0.3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" x14ac:dyDescent="0.3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" x14ac:dyDescent="0.3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" x14ac:dyDescent="0.3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" x14ac:dyDescent="0.3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" x14ac:dyDescent="0.3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" x14ac:dyDescent="0.3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" x14ac:dyDescent="0.3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" x14ac:dyDescent="0.3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" x14ac:dyDescent="0.3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" x14ac:dyDescent="0.3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" x14ac:dyDescent="0.3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" x14ac:dyDescent="0.3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" x14ac:dyDescent="0.3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" x14ac:dyDescent="0.3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" x14ac:dyDescent="0.3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" x14ac:dyDescent="0.3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" x14ac:dyDescent="0.3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" x14ac:dyDescent="0.3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" x14ac:dyDescent="0.3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" x14ac:dyDescent="0.3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" x14ac:dyDescent="0.3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" x14ac:dyDescent="0.3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" x14ac:dyDescent="0.3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" x14ac:dyDescent="0.3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" x14ac:dyDescent="0.3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" x14ac:dyDescent="0.3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" x14ac:dyDescent="0.3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" x14ac:dyDescent="0.3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" x14ac:dyDescent="0.3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" x14ac:dyDescent="0.3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" x14ac:dyDescent="0.3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" x14ac:dyDescent="0.3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" x14ac:dyDescent="0.3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" x14ac:dyDescent="0.3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" x14ac:dyDescent="0.3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" x14ac:dyDescent="0.3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" x14ac:dyDescent="0.3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" x14ac:dyDescent="0.3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" x14ac:dyDescent="0.3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" x14ac:dyDescent="0.3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" x14ac:dyDescent="0.3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" x14ac:dyDescent="0.3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" x14ac:dyDescent="0.3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" x14ac:dyDescent="0.3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" x14ac:dyDescent="0.3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" x14ac:dyDescent="0.3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" x14ac:dyDescent="0.3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" x14ac:dyDescent="0.3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" x14ac:dyDescent="0.3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" x14ac:dyDescent="0.3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" x14ac:dyDescent="0.3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" x14ac:dyDescent="0.3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" x14ac:dyDescent="0.3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" x14ac:dyDescent="0.3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" x14ac:dyDescent="0.3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" x14ac:dyDescent="0.3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" x14ac:dyDescent="0.3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" x14ac:dyDescent="0.3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" x14ac:dyDescent="0.3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" x14ac:dyDescent="0.3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" x14ac:dyDescent="0.3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" x14ac:dyDescent="0.3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" x14ac:dyDescent="0.3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" x14ac:dyDescent="0.3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" x14ac:dyDescent="0.3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" x14ac:dyDescent="0.3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" x14ac:dyDescent="0.3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" x14ac:dyDescent="0.3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" x14ac:dyDescent="0.3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" x14ac:dyDescent="0.3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" x14ac:dyDescent="0.3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" x14ac:dyDescent="0.3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" x14ac:dyDescent="0.3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" x14ac:dyDescent="0.3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" x14ac:dyDescent="0.3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" x14ac:dyDescent="0.3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" x14ac:dyDescent="0.3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" x14ac:dyDescent="0.3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" x14ac:dyDescent="0.3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" x14ac:dyDescent="0.3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" x14ac:dyDescent="0.3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" x14ac:dyDescent="0.3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" x14ac:dyDescent="0.3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" x14ac:dyDescent="0.3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" x14ac:dyDescent="0.3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" x14ac:dyDescent="0.3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" x14ac:dyDescent="0.3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" x14ac:dyDescent="0.3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" x14ac:dyDescent="0.3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" x14ac:dyDescent="0.3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" x14ac:dyDescent="0.3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" x14ac:dyDescent="0.3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" x14ac:dyDescent="0.3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" x14ac:dyDescent="0.3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" x14ac:dyDescent="0.3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" x14ac:dyDescent="0.3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" x14ac:dyDescent="0.3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" x14ac:dyDescent="0.3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" x14ac:dyDescent="0.3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" x14ac:dyDescent="0.3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" x14ac:dyDescent="0.3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" x14ac:dyDescent="0.3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" x14ac:dyDescent="0.3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" x14ac:dyDescent="0.3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" x14ac:dyDescent="0.3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" x14ac:dyDescent="0.3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" x14ac:dyDescent="0.3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" x14ac:dyDescent="0.3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" x14ac:dyDescent="0.3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" x14ac:dyDescent="0.3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" x14ac:dyDescent="0.3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" x14ac:dyDescent="0.3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" x14ac:dyDescent="0.3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" x14ac:dyDescent="0.3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" x14ac:dyDescent="0.3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" x14ac:dyDescent="0.3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" x14ac:dyDescent="0.3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" x14ac:dyDescent="0.3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" x14ac:dyDescent="0.3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" x14ac:dyDescent="0.3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" x14ac:dyDescent="0.3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" x14ac:dyDescent="0.3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" x14ac:dyDescent="0.3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" x14ac:dyDescent="0.3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" x14ac:dyDescent="0.3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" x14ac:dyDescent="0.3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" x14ac:dyDescent="0.3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" x14ac:dyDescent="0.3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" x14ac:dyDescent="0.3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" x14ac:dyDescent="0.3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" x14ac:dyDescent="0.3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" x14ac:dyDescent="0.3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" x14ac:dyDescent="0.3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" x14ac:dyDescent="0.3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" x14ac:dyDescent="0.3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" x14ac:dyDescent="0.3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" x14ac:dyDescent="0.3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" x14ac:dyDescent="0.3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" x14ac:dyDescent="0.3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" x14ac:dyDescent="0.3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" x14ac:dyDescent="0.3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" x14ac:dyDescent="0.3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" x14ac:dyDescent="0.3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" x14ac:dyDescent="0.3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" x14ac:dyDescent="0.3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" x14ac:dyDescent="0.3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" x14ac:dyDescent="0.3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" x14ac:dyDescent="0.3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" x14ac:dyDescent="0.3">
      <c r="C307" s="15"/>
      <c r="D307" s="15"/>
      <c r="E307" s="15"/>
      <c r="F307" s="16"/>
      <c r="G307" s="15"/>
      <c r="H307" s="15"/>
      <c r="I307" s="16"/>
      <c r="J307" s="15"/>
      <c r="K307" s="15"/>
    </row>
  </sheetData>
  <mergeCells count="4">
    <mergeCell ref="G1:I1"/>
    <mergeCell ref="A1:C1"/>
    <mergeCell ref="D1:F1"/>
    <mergeCell ref="A2:B2"/>
  </mergeCells>
  <conditionalFormatting sqref="F2 I2 F4:F65 I4:I65">
    <cfRule type="cellIs" dxfId="7" priority="3" stopIfTrue="1" operator="lessThanOrEqual">
      <formula>-0.1</formula>
    </cfRule>
    <cfRule type="expression" dxfId="6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07"/>
  <sheetViews>
    <sheetView workbookViewId="0">
      <pane xSplit="2" ySplit="3" topLeftCell="C4" activePane="bottomRight" state="frozen"/>
      <selection pane="topRight" activeCell="A10" sqref="A10"/>
      <selection pane="bottomLeft" activeCell="A10" sqref="A10"/>
      <selection pane="bottomRight" activeCell="A10" sqref="A10"/>
    </sheetView>
  </sheetViews>
  <sheetFormatPr defaultRowHeight="13.8" x14ac:dyDescent="0.25"/>
  <cols>
    <col min="1" max="1" width="35.88671875" bestFit="1" customWidth="1"/>
    <col min="2" max="2" width="8.44140625" style="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46" t="str" cm="1">
        <f t="array" ref="A1">portfolio</f>
        <v>Burt Process Equipment</v>
      </c>
      <c r="B1" s="46"/>
      <c r="C1" s="46"/>
      <c r="D1" s="47" t="s">
        <v>38</v>
      </c>
      <c r="E1" s="47"/>
      <c r="F1" s="47"/>
      <c r="G1" s="45" t="s">
        <v>39</v>
      </c>
      <c r="H1" s="45"/>
      <c r="I1" s="45"/>
      <c r="J1" s="4"/>
      <c r="K1" s="4"/>
    </row>
    <row r="2" spans="1:11" ht="19.5" customHeight="1" x14ac:dyDescent="0.25">
      <c r="A2" s="48" t="s">
        <v>2</v>
      </c>
      <c r="B2" s="48"/>
      <c r="C2" s="5">
        <f>SUM(C4:C65)</f>
        <v>0</v>
      </c>
      <c r="D2" s="5">
        <f>SUM(D4:D65)</f>
        <v>0</v>
      </c>
      <c r="E2" s="5">
        <f>C2-D2</f>
        <v>0</v>
      </c>
      <c r="F2" s="6">
        <f>IFERROR(E2/D2, 0)</f>
        <v>0</v>
      </c>
      <c r="G2" s="5">
        <f>SUM(G4:G65)</f>
        <v>0</v>
      </c>
      <c r="H2" s="7">
        <f>C2-G2</f>
        <v>0</v>
      </c>
      <c r="I2" s="6">
        <f>IFERROR(H2/G2, 0)</f>
        <v>0</v>
      </c>
      <c r="J2" s="20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25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 x14ac:dyDescent="0.3">
      <c r="A4" s="23" t="str" cm="1">
        <f t="array" ref="A4">Sites[Site]</f>
        <v>CT: Hamden - Burt Process Equipment</v>
      </c>
      <c r="B4" s="22" t="str" cm="1">
        <f t="array" ref="B4">Sites[State]</f>
        <v>CT</v>
      </c>
      <c r="C4" s="18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1"/>
      <c r="K4" s="31"/>
    </row>
    <row r="5" spans="1:11" ht="14.4" x14ac:dyDescent="0.3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" x14ac:dyDescent="0.3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" x14ac:dyDescent="0.3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" x14ac:dyDescent="0.3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" x14ac:dyDescent="0.3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" x14ac:dyDescent="0.3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" x14ac:dyDescent="0.3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" x14ac:dyDescent="0.3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" x14ac:dyDescent="0.3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" x14ac:dyDescent="0.3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" x14ac:dyDescent="0.3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" x14ac:dyDescent="0.3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" x14ac:dyDescent="0.3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" x14ac:dyDescent="0.3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" x14ac:dyDescent="0.3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" x14ac:dyDescent="0.3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" x14ac:dyDescent="0.3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" x14ac:dyDescent="0.3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" x14ac:dyDescent="0.3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" x14ac:dyDescent="0.3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" x14ac:dyDescent="0.3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" x14ac:dyDescent="0.3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" x14ac:dyDescent="0.3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" x14ac:dyDescent="0.3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" x14ac:dyDescent="0.3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" x14ac:dyDescent="0.3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" x14ac:dyDescent="0.3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" x14ac:dyDescent="0.3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" x14ac:dyDescent="0.3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" x14ac:dyDescent="0.3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" x14ac:dyDescent="0.3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" x14ac:dyDescent="0.3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" x14ac:dyDescent="0.3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" x14ac:dyDescent="0.3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" x14ac:dyDescent="0.3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" x14ac:dyDescent="0.3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" x14ac:dyDescent="0.3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" x14ac:dyDescent="0.3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" x14ac:dyDescent="0.3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" x14ac:dyDescent="0.3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" x14ac:dyDescent="0.3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" x14ac:dyDescent="0.3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" x14ac:dyDescent="0.3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" x14ac:dyDescent="0.3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" x14ac:dyDescent="0.3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" x14ac:dyDescent="0.3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" x14ac:dyDescent="0.3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" x14ac:dyDescent="0.3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" x14ac:dyDescent="0.3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" x14ac:dyDescent="0.3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" x14ac:dyDescent="0.3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" x14ac:dyDescent="0.3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" x14ac:dyDescent="0.3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" x14ac:dyDescent="0.3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" x14ac:dyDescent="0.3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" x14ac:dyDescent="0.3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" x14ac:dyDescent="0.3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" x14ac:dyDescent="0.3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" x14ac:dyDescent="0.3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" x14ac:dyDescent="0.3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" x14ac:dyDescent="0.3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" x14ac:dyDescent="0.3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" x14ac:dyDescent="0.3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" x14ac:dyDescent="0.3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" x14ac:dyDescent="0.3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" x14ac:dyDescent="0.3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" x14ac:dyDescent="0.3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" x14ac:dyDescent="0.3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" x14ac:dyDescent="0.3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" x14ac:dyDescent="0.3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" x14ac:dyDescent="0.3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" x14ac:dyDescent="0.3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" x14ac:dyDescent="0.3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" x14ac:dyDescent="0.3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" x14ac:dyDescent="0.3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" x14ac:dyDescent="0.3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" x14ac:dyDescent="0.3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" x14ac:dyDescent="0.3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" x14ac:dyDescent="0.3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" x14ac:dyDescent="0.3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" x14ac:dyDescent="0.3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" x14ac:dyDescent="0.3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" x14ac:dyDescent="0.3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" x14ac:dyDescent="0.3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" x14ac:dyDescent="0.3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" x14ac:dyDescent="0.3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" x14ac:dyDescent="0.3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" x14ac:dyDescent="0.3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" x14ac:dyDescent="0.3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" x14ac:dyDescent="0.3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" x14ac:dyDescent="0.3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" x14ac:dyDescent="0.3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" x14ac:dyDescent="0.3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" x14ac:dyDescent="0.3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" x14ac:dyDescent="0.3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" x14ac:dyDescent="0.3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" x14ac:dyDescent="0.3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" x14ac:dyDescent="0.3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" x14ac:dyDescent="0.3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" x14ac:dyDescent="0.3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" x14ac:dyDescent="0.3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" x14ac:dyDescent="0.3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" x14ac:dyDescent="0.3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" x14ac:dyDescent="0.3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" x14ac:dyDescent="0.3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" x14ac:dyDescent="0.3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" x14ac:dyDescent="0.3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" x14ac:dyDescent="0.3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" x14ac:dyDescent="0.3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" x14ac:dyDescent="0.3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" x14ac:dyDescent="0.3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" x14ac:dyDescent="0.3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" x14ac:dyDescent="0.3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" x14ac:dyDescent="0.3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" x14ac:dyDescent="0.3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" x14ac:dyDescent="0.3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" x14ac:dyDescent="0.3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" x14ac:dyDescent="0.3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" x14ac:dyDescent="0.3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" x14ac:dyDescent="0.3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" x14ac:dyDescent="0.3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" x14ac:dyDescent="0.3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" x14ac:dyDescent="0.3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" x14ac:dyDescent="0.3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" x14ac:dyDescent="0.3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" x14ac:dyDescent="0.3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" x14ac:dyDescent="0.3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" x14ac:dyDescent="0.3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" x14ac:dyDescent="0.3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" x14ac:dyDescent="0.3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" x14ac:dyDescent="0.3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" x14ac:dyDescent="0.3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" x14ac:dyDescent="0.3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" x14ac:dyDescent="0.3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" x14ac:dyDescent="0.3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" x14ac:dyDescent="0.3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" x14ac:dyDescent="0.3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" x14ac:dyDescent="0.3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" x14ac:dyDescent="0.3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" x14ac:dyDescent="0.3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" x14ac:dyDescent="0.3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" x14ac:dyDescent="0.3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" x14ac:dyDescent="0.3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" x14ac:dyDescent="0.3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" x14ac:dyDescent="0.3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" x14ac:dyDescent="0.3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" x14ac:dyDescent="0.3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" x14ac:dyDescent="0.3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" x14ac:dyDescent="0.3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" x14ac:dyDescent="0.3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" x14ac:dyDescent="0.3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" x14ac:dyDescent="0.3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" x14ac:dyDescent="0.3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" x14ac:dyDescent="0.3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" x14ac:dyDescent="0.3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" x14ac:dyDescent="0.3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" x14ac:dyDescent="0.3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" x14ac:dyDescent="0.3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" x14ac:dyDescent="0.3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" x14ac:dyDescent="0.3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" x14ac:dyDescent="0.3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" x14ac:dyDescent="0.3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" x14ac:dyDescent="0.3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" x14ac:dyDescent="0.3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" x14ac:dyDescent="0.3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" x14ac:dyDescent="0.3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" x14ac:dyDescent="0.3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" x14ac:dyDescent="0.3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" x14ac:dyDescent="0.3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" x14ac:dyDescent="0.3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" x14ac:dyDescent="0.3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" x14ac:dyDescent="0.3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" x14ac:dyDescent="0.3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" x14ac:dyDescent="0.3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" x14ac:dyDescent="0.3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" x14ac:dyDescent="0.3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" x14ac:dyDescent="0.3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" x14ac:dyDescent="0.3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" x14ac:dyDescent="0.3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" x14ac:dyDescent="0.3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" x14ac:dyDescent="0.3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" x14ac:dyDescent="0.3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" x14ac:dyDescent="0.3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" x14ac:dyDescent="0.3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" x14ac:dyDescent="0.3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" x14ac:dyDescent="0.3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" x14ac:dyDescent="0.3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" x14ac:dyDescent="0.3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" x14ac:dyDescent="0.3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" x14ac:dyDescent="0.3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" x14ac:dyDescent="0.3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" x14ac:dyDescent="0.3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" x14ac:dyDescent="0.3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" x14ac:dyDescent="0.3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" x14ac:dyDescent="0.3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" x14ac:dyDescent="0.3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" x14ac:dyDescent="0.3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" x14ac:dyDescent="0.3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" x14ac:dyDescent="0.3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" x14ac:dyDescent="0.3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" x14ac:dyDescent="0.3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" x14ac:dyDescent="0.3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" x14ac:dyDescent="0.3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" x14ac:dyDescent="0.3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" x14ac:dyDescent="0.3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" x14ac:dyDescent="0.3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" x14ac:dyDescent="0.3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" x14ac:dyDescent="0.3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" x14ac:dyDescent="0.3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" x14ac:dyDescent="0.3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" x14ac:dyDescent="0.3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" x14ac:dyDescent="0.3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" x14ac:dyDescent="0.3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" x14ac:dyDescent="0.3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" x14ac:dyDescent="0.3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" x14ac:dyDescent="0.3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" x14ac:dyDescent="0.3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" x14ac:dyDescent="0.3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" x14ac:dyDescent="0.3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" x14ac:dyDescent="0.3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" x14ac:dyDescent="0.3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" x14ac:dyDescent="0.3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" x14ac:dyDescent="0.3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" x14ac:dyDescent="0.3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" x14ac:dyDescent="0.3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" x14ac:dyDescent="0.3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" x14ac:dyDescent="0.3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" x14ac:dyDescent="0.3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" x14ac:dyDescent="0.3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" x14ac:dyDescent="0.3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" x14ac:dyDescent="0.3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" x14ac:dyDescent="0.3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" x14ac:dyDescent="0.3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" x14ac:dyDescent="0.3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" x14ac:dyDescent="0.3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" x14ac:dyDescent="0.3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" x14ac:dyDescent="0.3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" x14ac:dyDescent="0.3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" x14ac:dyDescent="0.3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" x14ac:dyDescent="0.3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" x14ac:dyDescent="0.3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" x14ac:dyDescent="0.3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" x14ac:dyDescent="0.3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" x14ac:dyDescent="0.3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" x14ac:dyDescent="0.3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" x14ac:dyDescent="0.3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" x14ac:dyDescent="0.3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" x14ac:dyDescent="0.3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" x14ac:dyDescent="0.3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" x14ac:dyDescent="0.3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" x14ac:dyDescent="0.3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" x14ac:dyDescent="0.3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" x14ac:dyDescent="0.3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" x14ac:dyDescent="0.3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" x14ac:dyDescent="0.3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" x14ac:dyDescent="0.3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" x14ac:dyDescent="0.3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" x14ac:dyDescent="0.3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" x14ac:dyDescent="0.3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" x14ac:dyDescent="0.3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" x14ac:dyDescent="0.3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" x14ac:dyDescent="0.3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" x14ac:dyDescent="0.3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" x14ac:dyDescent="0.3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" x14ac:dyDescent="0.3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" x14ac:dyDescent="0.3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" x14ac:dyDescent="0.3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" x14ac:dyDescent="0.3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" x14ac:dyDescent="0.3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" x14ac:dyDescent="0.3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" x14ac:dyDescent="0.3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" x14ac:dyDescent="0.3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" x14ac:dyDescent="0.3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" x14ac:dyDescent="0.3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" x14ac:dyDescent="0.3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" x14ac:dyDescent="0.3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" x14ac:dyDescent="0.3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" x14ac:dyDescent="0.3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" x14ac:dyDescent="0.3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" x14ac:dyDescent="0.3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" x14ac:dyDescent="0.3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" x14ac:dyDescent="0.3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" x14ac:dyDescent="0.3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" x14ac:dyDescent="0.3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" x14ac:dyDescent="0.3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" x14ac:dyDescent="0.3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" x14ac:dyDescent="0.3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" x14ac:dyDescent="0.3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" x14ac:dyDescent="0.3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" x14ac:dyDescent="0.3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" x14ac:dyDescent="0.3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" x14ac:dyDescent="0.3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" x14ac:dyDescent="0.3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" x14ac:dyDescent="0.3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" x14ac:dyDescent="0.3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" x14ac:dyDescent="0.3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" x14ac:dyDescent="0.3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" x14ac:dyDescent="0.3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" x14ac:dyDescent="0.3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" x14ac:dyDescent="0.3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" x14ac:dyDescent="0.3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" x14ac:dyDescent="0.3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" x14ac:dyDescent="0.3">
      <c r="C307" s="15"/>
      <c r="D307" s="15"/>
      <c r="E307" s="15"/>
      <c r="F307" s="16"/>
      <c r="G307" s="15"/>
      <c r="H307" s="15"/>
      <c r="I307" s="16"/>
      <c r="J307" s="15"/>
      <c r="K307" s="15"/>
    </row>
  </sheetData>
  <mergeCells count="4">
    <mergeCell ref="G1:I1"/>
    <mergeCell ref="A1:C1"/>
    <mergeCell ref="D1:F1"/>
    <mergeCell ref="A2:B2"/>
  </mergeCells>
  <conditionalFormatting sqref="F2 I2 F4:F65 I4:I65">
    <cfRule type="cellIs" dxfId="5" priority="3" stopIfTrue="1" operator="lessThanOrEqual">
      <formula>-0.1</formula>
    </cfRule>
    <cfRule type="expression" dxfId="4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07"/>
  <sheetViews>
    <sheetView workbookViewId="0">
      <pane xSplit="2" ySplit="3" topLeftCell="C4" activePane="bottomRight" state="frozen"/>
      <selection pane="topRight" activeCell="A10" sqref="A10"/>
      <selection pane="bottomLeft" activeCell="A10" sqref="A10"/>
      <selection pane="bottomRight" activeCell="A10" sqref="A10"/>
    </sheetView>
  </sheetViews>
  <sheetFormatPr defaultRowHeight="13.8" x14ac:dyDescent="0.25"/>
  <cols>
    <col min="1" max="1" width="35.88671875" bestFit="1" customWidth="1"/>
    <col min="2" max="2" width="8.44140625" style="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46" t="str" cm="1">
        <f t="array" ref="A1">portfolio</f>
        <v>Burt Process Equipment</v>
      </c>
      <c r="B1" s="46"/>
      <c r="C1" s="46"/>
      <c r="D1" s="47" t="s">
        <v>40</v>
      </c>
      <c r="E1" s="47"/>
      <c r="F1" s="47"/>
      <c r="G1" s="45" t="s">
        <v>41</v>
      </c>
      <c r="H1" s="45"/>
      <c r="I1" s="45"/>
      <c r="J1" s="4"/>
      <c r="K1" s="4"/>
    </row>
    <row r="2" spans="1:11" ht="19.5" customHeight="1" x14ac:dyDescent="0.25">
      <c r="A2" s="48" t="s">
        <v>2</v>
      </c>
      <c r="B2" s="48"/>
      <c r="C2" s="5">
        <f>SUM(C4:C65)</f>
        <v>0</v>
      </c>
      <c r="D2" s="5">
        <f>SUM(D4:D65)</f>
        <v>0</v>
      </c>
      <c r="E2" s="5">
        <f>C2-D2</f>
        <v>0</v>
      </c>
      <c r="F2" s="6">
        <f>IFERROR(E2/D2, 0)</f>
        <v>0</v>
      </c>
      <c r="G2" s="5">
        <f>SUM(G4:G65)</f>
        <v>0</v>
      </c>
      <c r="H2" s="7">
        <f>C2-G2</f>
        <v>0</v>
      </c>
      <c r="I2" s="6">
        <f>IFERROR(H2/G2, 0)</f>
        <v>0</v>
      </c>
      <c r="J2" s="20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25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 x14ac:dyDescent="0.3">
      <c r="A4" s="23" t="str" cm="1">
        <f t="array" ref="A4">Sites[Site]</f>
        <v>CT: Hamden - Burt Process Equipment</v>
      </c>
      <c r="B4" s="22" t="str" cm="1">
        <f t="array" ref="B4">Sites[State]</f>
        <v>CT</v>
      </c>
      <c r="C4" s="18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1"/>
      <c r="K4" s="31"/>
    </row>
    <row r="5" spans="1:11" ht="14.4" x14ac:dyDescent="0.3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" x14ac:dyDescent="0.3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" x14ac:dyDescent="0.3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" x14ac:dyDescent="0.3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" x14ac:dyDescent="0.3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" x14ac:dyDescent="0.3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" x14ac:dyDescent="0.3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" x14ac:dyDescent="0.3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" x14ac:dyDescent="0.3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" x14ac:dyDescent="0.3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" x14ac:dyDescent="0.3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" x14ac:dyDescent="0.3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" x14ac:dyDescent="0.3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" x14ac:dyDescent="0.3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" x14ac:dyDescent="0.3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" x14ac:dyDescent="0.3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" x14ac:dyDescent="0.3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" x14ac:dyDescent="0.3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" x14ac:dyDescent="0.3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" x14ac:dyDescent="0.3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" x14ac:dyDescent="0.3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" x14ac:dyDescent="0.3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" x14ac:dyDescent="0.3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" x14ac:dyDescent="0.3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" x14ac:dyDescent="0.3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" x14ac:dyDescent="0.3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" x14ac:dyDescent="0.3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" x14ac:dyDescent="0.3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" x14ac:dyDescent="0.3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" x14ac:dyDescent="0.3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" x14ac:dyDescent="0.3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" x14ac:dyDescent="0.3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" x14ac:dyDescent="0.3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" x14ac:dyDescent="0.3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" x14ac:dyDescent="0.3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" x14ac:dyDescent="0.3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" x14ac:dyDescent="0.3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" x14ac:dyDescent="0.3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" x14ac:dyDescent="0.3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" x14ac:dyDescent="0.3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" x14ac:dyDescent="0.3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" x14ac:dyDescent="0.3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" x14ac:dyDescent="0.3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" x14ac:dyDescent="0.3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" x14ac:dyDescent="0.3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" x14ac:dyDescent="0.3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" x14ac:dyDescent="0.3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" x14ac:dyDescent="0.3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" x14ac:dyDescent="0.3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" x14ac:dyDescent="0.3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" x14ac:dyDescent="0.3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" x14ac:dyDescent="0.3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" x14ac:dyDescent="0.3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" x14ac:dyDescent="0.3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" x14ac:dyDescent="0.3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" x14ac:dyDescent="0.3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" x14ac:dyDescent="0.3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" x14ac:dyDescent="0.3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" x14ac:dyDescent="0.3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" x14ac:dyDescent="0.3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" x14ac:dyDescent="0.3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" x14ac:dyDescent="0.3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" x14ac:dyDescent="0.3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" x14ac:dyDescent="0.3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" x14ac:dyDescent="0.3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" x14ac:dyDescent="0.3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" x14ac:dyDescent="0.3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" x14ac:dyDescent="0.3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" x14ac:dyDescent="0.3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" x14ac:dyDescent="0.3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" x14ac:dyDescent="0.3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" x14ac:dyDescent="0.3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" x14ac:dyDescent="0.3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" x14ac:dyDescent="0.3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" x14ac:dyDescent="0.3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" x14ac:dyDescent="0.3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" x14ac:dyDescent="0.3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" x14ac:dyDescent="0.3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" x14ac:dyDescent="0.3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" x14ac:dyDescent="0.3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" x14ac:dyDescent="0.3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" x14ac:dyDescent="0.3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" x14ac:dyDescent="0.3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" x14ac:dyDescent="0.3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" x14ac:dyDescent="0.3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" x14ac:dyDescent="0.3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" x14ac:dyDescent="0.3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" x14ac:dyDescent="0.3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" x14ac:dyDescent="0.3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" x14ac:dyDescent="0.3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" x14ac:dyDescent="0.3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" x14ac:dyDescent="0.3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" x14ac:dyDescent="0.3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" x14ac:dyDescent="0.3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" x14ac:dyDescent="0.3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" x14ac:dyDescent="0.3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" x14ac:dyDescent="0.3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" x14ac:dyDescent="0.3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" x14ac:dyDescent="0.3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" x14ac:dyDescent="0.3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" x14ac:dyDescent="0.3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" x14ac:dyDescent="0.3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" x14ac:dyDescent="0.3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" x14ac:dyDescent="0.3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" x14ac:dyDescent="0.3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" x14ac:dyDescent="0.3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" x14ac:dyDescent="0.3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" x14ac:dyDescent="0.3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" x14ac:dyDescent="0.3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" x14ac:dyDescent="0.3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" x14ac:dyDescent="0.3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" x14ac:dyDescent="0.3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" x14ac:dyDescent="0.3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" x14ac:dyDescent="0.3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" x14ac:dyDescent="0.3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" x14ac:dyDescent="0.3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" x14ac:dyDescent="0.3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" x14ac:dyDescent="0.3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" x14ac:dyDescent="0.3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" x14ac:dyDescent="0.3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" x14ac:dyDescent="0.3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" x14ac:dyDescent="0.3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" x14ac:dyDescent="0.3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" x14ac:dyDescent="0.3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" x14ac:dyDescent="0.3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" x14ac:dyDescent="0.3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" x14ac:dyDescent="0.3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" x14ac:dyDescent="0.3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" x14ac:dyDescent="0.3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" x14ac:dyDescent="0.3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" x14ac:dyDescent="0.3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" x14ac:dyDescent="0.3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" x14ac:dyDescent="0.3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" x14ac:dyDescent="0.3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" x14ac:dyDescent="0.3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" x14ac:dyDescent="0.3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" x14ac:dyDescent="0.3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" x14ac:dyDescent="0.3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" x14ac:dyDescent="0.3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" x14ac:dyDescent="0.3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" x14ac:dyDescent="0.3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" x14ac:dyDescent="0.3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" x14ac:dyDescent="0.3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" x14ac:dyDescent="0.3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" x14ac:dyDescent="0.3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" x14ac:dyDescent="0.3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" x14ac:dyDescent="0.3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" x14ac:dyDescent="0.3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" x14ac:dyDescent="0.3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" x14ac:dyDescent="0.3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" x14ac:dyDescent="0.3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" x14ac:dyDescent="0.3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" x14ac:dyDescent="0.3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" x14ac:dyDescent="0.3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" x14ac:dyDescent="0.3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" x14ac:dyDescent="0.3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" x14ac:dyDescent="0.3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" x14ac:dyDescent="0.3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" x14ac:dyDescent="0.3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" x14ac:dyDescent="0.3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" x14ac:dyDescent="0.3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" x14ac:dyDescent="0.3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" x14ac:dyDescent="0.3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" x14ac:dyDescent="0.3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" x14ac:dyDescent="0.3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" x14ac:dyDescent="0.3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" x14ac:dyDescent="0.3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" x14ac:dyDescent="0.3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" x14ac:dyDescent="0.3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" x14ac:dyDescent="0.3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" x14ac:dyDescent="0.3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" x14ac:dyDescent="0.3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" x14ac:dyDescent="0.3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" x14ac:dyDescent="0.3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" x14ac:dyDescent="0.3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" x14ac:dyDescent="0.3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" x14ac:dyDescent="0.3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" x14ac:dyDescent="0.3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" x14ac:dyDescent="0.3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" x14ac:dyDescent="0.3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" x14ac:dyDescent="0.3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" x14ac:dyDescent="0.3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" x14ac:dyDescent="0.3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" x14ac:dyDescent="0.3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" x14ac:dyDescent="0.3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" x14ac:dyDescent="0.3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" x14ac:dyDescent="0.3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" x14ac:dyDescent="0.3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" x14ac:dyDescent="0.3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" x14ac:dyDescent="0.3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" x14ac:dyDescent="0.3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" x14ac:dyDescent="0.3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" x14ac:dyDescent="0.3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" x14ac:dyDescent="0.3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" x14ac:dyDescent="0.3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" x14ac:dyDescent="0.3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" x14ac:dyDescent="0.3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" x14ac:dyDescent="0.3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" x14ac:dyDescent="0.3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" x14ac:dyDescent="0.3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" x14ac:dyDescent="0.3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" x14ac:dyDescent="0.3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" x14ac:dyDescent="0.3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" x14ac:dyDescent="0.3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" x14ac:dyDescent="0.3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" x14ac:dyDescent="0.3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" x14ac:dyDescent="0.3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" x14ac:dyDescent="0.3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" x14ac:dyDescent="0.3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" x14ac:dyDescent="0.3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" x14ac:dyDescent="0.3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" x14ac:dyDescent="0.3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" x14ac:dyDescent="0.3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" x14ac:dyDescent="0.3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" x14ac:dyDescent="0.3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" x14ac:dyDescent="0.3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" x14ac:dyDescent="0.3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" x14ac:dyDescent="0.3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" x14ac:dyDescent="0.3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" x14ac:dyDescent="0.3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" x14ac:dyDescent="0.3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" x14ac:dyDescent="0.3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" x14ac:dyDescent="0.3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" x14ac:dyDescent="0.3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" x14ac:dyDescent="0.3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" x14ac:dyDescent="0.3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" x14ac:dyDescent="0.3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" x14ac:dyDescent="0.3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" x14ac:dyDescent="0.3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" x14ac:dyDescent="0.3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" x14ac:dyDescent="0.3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" x14ac:dyDescent="0.3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" x14ac:dyDescent="0.3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" x14ac:dyDescent="0.3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" x14ac:dyDescent="0.3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" x14ac:dyDescent="0.3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" x14ac:dyDescent="0.3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" x14ac:dyDescent="0.3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" x14ac:dyDescent="0.3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" x14ac:dyDescent="0.3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" x14ac:dyDescent="0.3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" x14ac:dyDescent="0.3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" x14ac:dyDescent="0.3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" x14ac:dyDescent="0.3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" x14ac:dyDescent="0.3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" x14ac:dyDescent="0.3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" x14ac:dyDescent="0.3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" x14ac:dyDescent="0.3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" x14ac:dyDescent="0.3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" x14ac:dyDescent="0.3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" x14ac:dyDescent="0.3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" x14ac:dyDescent="0.3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" x14ac:dyDescent="0.3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" x14ac:dyDescent="0.3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" x14ac:dyDescent="0.3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" x14ac:dyDescent="0.3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" x14ac:dyDescent="0.3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" x14ac:dyDescent="0.3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" x14ac:dyDescent="0.3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" x14ac:dyDescent="0.3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" x14ac:dyDescent="0.3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" x14ac:dyDescent="0.3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" x14ac:dyDescent="0.3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" x14ac:dyDescent="0.3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" x14ac:dyDescent="0.3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" x14ac:dyDescent="0.3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" x14ac:dyDescent="0.3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" x14ac:dyDescent="0.3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" x14ac:dyDescent="0.3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" x14ac:dyDescent="0.3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" x14ac:dyDescent="0.3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" x14ac:dyDescent="0.3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" x14ac:dyDescent="0.3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" x14ac:dyDescent="0.3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" x14ac:dyDescent="0.3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" x14ac:dyDescent="0.3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" x14ac:dyDescent="0.3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" x14ac:dyDescent="0.3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" x14ac:dyDescent="0.3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" x14ac:dyDescent="0.3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" x14ac:dyDescent="0.3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" x14ac:dyDescent="0.3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" x14ac:dyDescent="0.3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" x14ac:dyDescent="0.3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" x14ac:dyDescent="0.3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" x14ac:dyDescent="0.3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" x14ac:dyDescent="0.3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" x14ac:dyDescent="0.3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" x14ac:dyDescent="0.3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" x14ac:dyDescent="0.3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" x14ac:dyDescent="0.3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" x14ac:dyDescent="0.3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" x14ac:dyDescent="0.3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" x14ac:dyDescent="0.3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" x14ac:dyDescent="0.3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" x14ac:dyDescent="0.3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" x14ac:dyDescent="0.3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" x14ac:dyDescent="0.3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" x14ac:dyDescent="0.3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" x14ac:dyDescent="0.3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" x14ac:dyDescent="0.3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" x14ac:dyDescent="0.3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" x14ac:dyDescent="0.3">
      <c r="C307" s="15"/>
      <c r="D307" s="15"/>
      <c r="E307" s="15"/>
      <c r="F307" s="16"/>
      <c r="G307" s="15"/>
      <c r="H307" s="15"/>
      <c r="I307" s="16"/>
      <c r="J307" s="15"/>
      <c r="K307" s="15"/>
    </row>
  </sheetData>
  <mergeCells count="4">
    <mergeCell ref="G1:I1"/>
    <mergeCell ref="A1:C1"/>
    <mergeCell ref="D1:F1"/>
    <mergeCell ref="A2:B2"/>
  </mergeCells>
  <conditionalFormatting sqref="F2 I2 F4:F65 I4:I65">
    <cfRule type="cellIs" dxfId="3" priority="3" stopIfTrue="1" operator="lessThanOrEqual">
      <formula>-0.1</formula>
    </cfRule>
    <cfRule type="expression" dxfId="2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07"/>
  <sheetViews>
    <sheetView workbookViewId="0">
      <pane xSplit="2" ySplit="3" topLeftCell="C4" activePane="bottomRight" state="frozen"/>
      <selection pane="topRight" activeCell="A10" sqref="A10"/>
      <selection pane="bottomLeft" activeCell="A10" sqref="A10"/>
      <selection pane="bottomRight" activeCell="A10" sqref="A10"/>
    </sheetView>
  </sheetViews>
  <sheetFormatPr defaultRowHeight="13.8" x14ac:dyDescent="0.25"/>
  <cols>
    <col min="1" max="1" width="35.88671875" bestFit="1" customWidth="1"/>
    <col min="2" max="2" width="8.44140625" style="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46" t="str" cm="1">
        <f t="array" ref="A1">portfolio</f>
        <v>Burt Process Equipment</v>
      </c>
      <c r="B1" s="46"/>
      <c r="C1" s="46"/>
      <c r="D1" s="47" t="s">
        <v>42</v>
      </c>
      <c r="E1" s="47"/>
      <c r="F1" s="47"/>
      <c r="G1" s="45" t="s">
        <v>43</v>
      </c>
      <c r="H1" s="45"/>
      <c r="I1" s="45"/>
      <c r="J1" s="4"/>
      <c r="K1" s="4"/>
    </row>
    <row r="2" spans="1:11" ht="19.5" customHeight="1" x14ac:dyDescent="0.25">
      <c r="A2" s="48" t="s">
        <v>2</v>
      </c>
      <c r="B2" s="48"/>
      <c r="C2" s="5">
        <f>SUM(C4:C65)</f>
        <v>0</v>
      </c>
      <c r="D2" s="5">
        <f>SUM(D4:D65)</f>
        <v>0</v>
      </c>
      <c r="E2" s="5">
        <f>C2-D2</f>
        <v>0</v>
      </c>
      <c r="F2" s="6">
        <f>IFERROR(E2/D2, 0)</f>
        <v>0</v>
      </c>
      <c r="G2" s="5">
        <f>SUM(G4:G65)</f>
        <v>0</v>
      </c>
      <c r="H2" s="7">
        <f>C2-G2</f>
        <v>0</v>
      </c>
      <c r="I2" s="6">
        <f>IFERROR(H2/G2, 0)</f>
        <v>0</v>
      </c>
      <c r="J2" s="20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25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 x14ac:dyDescent="0.3">
      <c r="A4" s="23" t="str" cm="1">
        <f t="array" ref="A4">Sites[Site]</f>
        <v>CT: Hamden - Burt Process Equipment</v>
      </c>
      <c r="B4" s="22" t="str" cm="1">
        <f t="array" ref="B4">Sites[State]</f>
        <v>CT</v>
      </c>
      <c r="C4" s="18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1"/>
      <c r="K4" s="31"/>
    </row>
    <row r="5" spans="1:11" ht="14.4" x14ac:dyDescent="0.3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" x14ac:dyDescent="0.3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" x14ac:dyDescent="0.3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" x14ac:dyDescent="0.3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" x14ac:dyDescent="0.3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" x14ac:dyDescent="0.3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" x14ac:dyDescent="0.3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" x14ac:dyDescent="0.3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" x14ac:dyDescent="0.3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" x14ac:dyDescent="0.3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" x14ac:dyDescent="0.3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" x14ac:dyDescent="0.3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" x14ac:dyDescent="0.3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" x14ac:dyDescent="0.3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" x14ac:dyDescent="0.3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" x14ac:dyDescent="0.3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" x14ac:dyDescent="0.3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" x14ac:dyDescent="0.3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" x14ac:dyDescent="0.3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" x14ac:dyDescent="0.3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" x14ac:dyDescent="0.3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" x14ac:dyDescent="0.3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" x14ac:dyDescent="0.3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" x14ac:dyDescent="0.3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" x14ac:dyDescent="0.3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" x14ac:dyDescent="0.3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" x14ac:dyDescent="0.3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" x14ac:dyDescent="0.3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" x14ac:dyDescent="0.3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" x14ac:dyDescent="0.3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" x14ac:dyDescent="0.3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" x14ac:dyDescent="0.3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" x14ac:dyDescent="0.3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" x14ac:dyDescent="0.3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" x14ac:dyDescent="0.3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" x14ac:dyDescent="0.3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" x14ac:dyDescent="0.3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" x14ac:dyDescent="0.3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" x14ac:dyDescent="0.3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" x14ac:dyDescent="0.3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" x14ac:dyDescent="0.3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" x14ac:dyDescent="0.3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" x14ac:dyDescent="0.3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" x14ac:dyDescent="0.3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" x14ac:dyDescent="0.3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" x14ac:dyDescent="0.3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" x14ac:dyDescent="0.3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" x14ac:dyDescent="0.3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" x14ac:dyDescent="0.3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" x14ac:dyDescent="0.3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" x14ac:dyDescent="0.3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" x14ac:dyDescent="0.3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" x14ac:dyDescent="0.3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" x14ac:dyDescent="0.3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" x14ac:dyDescent="0.3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" x14ac:dyDescent="0.3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" x14ac:dyDescent="0.3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" x14ac:dyDescent="0.3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" x14ac:dyDescent="0.3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" x14ac:dyDescent="0.3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" x14ac:dyDescent="0.3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" x14ac:dyDescent="0.3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" x14ac:dyDescent="0.3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" x14ac:dyDescent="0.3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" x14ac:dyDescent="0.3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" x14ac:dyDescent="0.3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" x14ac:dyDescent="0.3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" x14ac:dyDescent="0.3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" x14ac:dyDescent="0.3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" x14ac:dyDescent="0.3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" x14ac:dyDescent="0.3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" x14ac:dyDescent="0.3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" x14ac:dyDescent="0.3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" x14ac:dyDescent="0.3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" x14ac:dyDescent="0.3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" x14ac:dyDescent="0.3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" x14ac:dyDescent="0.3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" x14ac:dyDescent="0.3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" x14ac:dyDescent="0.3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" x14ac:dyDescent="0.3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" x14ac:dyDescent="0.3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" x14ac:dyDescent="0.3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" x14ac:dyDescent="0.3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" x14ac:dyDescent="0.3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" x14ac:dyDescent="0.3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" x14ac:dyDescent="0.3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" x14ac:dyDescent="0.3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" x14ac:dyDescent="0.3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" x14ac:dyDescent="0.3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" x14ac:dyDescent="0.3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" x14ac:dyDescent="0.3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" x14ac:dyDescent="0.3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" x14ac:dyDescent="0.3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" x14ac:dyDescent="0.3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" x14ac:dyDescent="0.3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" x14ac:dyDescent="0.3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" x14ac:dyDescent="0.3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" x14ac:dyDescent="0.3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" x14ac:dyDescent="0.3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" x14ac:dyDescent="0.3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" x14ac:dyDescent="0.3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" x14ac:dyDescent="0.3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" x14ac:dyDescent="0.3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" x14ac:dyDescent="0.3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" x14ac:dyDescent="0.3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" x14ac:dyDescent="0.3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" x14ac:dyDescent="0.3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" x14ac:dyDescent="0.3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" x14ac:dyDescent="0.3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" x14ac:dyDescent="0.3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" x14ac:dyDescent="0.3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" x14ac:dyDescent="0.3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" x14ac:dyDescent="0.3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" x14ac:dyDescent="0.3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" x14ac:dyDescent="0.3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" x14ac:dyDescent="0.3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" x14ac:dyDescent="0.3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" x14ac:dyDescent="0.3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" x14ac:dyDescent="0.3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" x14ac:dyDescent="0.3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" x14ac:dyDescent="0.3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" x14ac:dyDescent="0.3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" x14ac:dyDescent="0.3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" x14ac:dyDescent="0.3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" x14ac:dyDescent="0.3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" x14ac:dyDescent="0.3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" x14ac:dyDescent="0.3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" x14ac:dyDescent="0.3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" x14ac:dyDescent="0.3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" x14ac:dyDescent="0.3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" x14ac:dyDescent="0.3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" x14ac:dyDescent="0.3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" x14ac:dyDescent="0.3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" x14ac:dyDescent="0.3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" x14ac:dyDescent="0.3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" x14ac:dyDescent="0.3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" x14ac:dyDescent="0.3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" x14ac:dyDescent="0.3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" x14ac:dyDescent="0.3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" x14ac:dyDescent="0.3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" x14ac:dyDescent="0.3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" x14ac:dyDescent="0.3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" x14ac:dyDescent="0.3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" x14ac:dyDescent="0.3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" x14ac:dyDescent="0.3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" x14ac:dyDescent="0.3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" x14ac:dyDescent="0.3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" x14ac:dyDescent="0.3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" x14ac:dyDescent="0.3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" x14ac:dyDescent="0.3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" x14ac:dyDescent="0.3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" x14ac:dyDescent="0.3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" x14ac:dyDescent="0.3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" x14ac:dyDescent="0.3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" x14ac:dyDescent="0.3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" x14ac:dyDescent="0.3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" x14ac:dyDescent="0.3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" x14ac:dyDescent="0.3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" x14ac:dyDescent="0.3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" x14ac:dyDescent="0.3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" x14ac:dyDescent="0.3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" x14ac:dyDescent="0.3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" x14ac:dyDescent="0.3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" x14ac:dyDescent="0.3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" x14ac:dyDescent="0.3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" x14ac:dyDescent="0.3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" x14ac:dyDescent="0.3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" x14ac:dyDescent="0.3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" x14ac:dyDescent="0.3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" x14ac:dyDescent="0.3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" x14ac:dyDescent="0.3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" x14ac:dyDescent="0.3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" x14ac:dyDescent="0.3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" x14ac:dyDescent="0.3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" x14ac:dyDescent="0.3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" x14ac:dyDescent="0.3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" x14ac:dyDescent="0.3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" x14ac:dyDescent="0.3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" x14ac:dyDescent="0.3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" x14ac:dyDescent="0.3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" x14ac:dyDescent="0.3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" x14ac:dyDescent="0.3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" x14ac:dyDescent="0.3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" x14ac:dyDescent="0.3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" x14ac:dyDescent="0.3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" x14ac:dyDescent="0.3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" x14ac:dyDescent="0.3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" x14ac:dyDescent="0.3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" x14ac:dyDescent="0.3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" x14ac:dyDescent="0.3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" x14ac:dyDescent="0.3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" x14ac:dyDescent="0.3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" x14ac:dyDescent="0.3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" x14ac:dyDescent="0.3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" x14ac:dyDescent="0.3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" x14ac:dyDescent="0.3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" x14ac:dyDescent="0.3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" x14ac:dyDescent="0.3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" x14ac:dyDescent="0.3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" x14ac:dyDescent="0.3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" x14ac:dyDescent="0.3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" x14ac:dyDescent="0.3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" x14ac:dyDescent="0.3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" x14ac:dyDescent="0.3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" x14ac:dyDescent="0.3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" x14ac:dyDescent="0.3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" x14ac:dyDescent="0.3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" x14ac:dyDescent="0.3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" x14ac:dyDescent="0.3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" x14ac:dyDescent="0.3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" x14ac:dyDescent="0.3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" x14ac:dyDescent="0.3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" x14ac:dyDescent="0.3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" x14ac:dyDescent="0.3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" x14ac:dyDescent="0.3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" x14ac:dyDescent="0.3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" x14ac:dyDescent="0.3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" x14ac:dyDescent="0.3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" x14ac:dyDescent="0.3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" x14ac:dyDescent="0.3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" x14ac:dyDescent="0.3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" x14ac:dyDescent="0.3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" x14ac:dyDescent="0.3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" x14ac:dyDescent="0.3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" x14ac:dyDescent="0.3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" x14ac:dyDescent="0.3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" x14ac:dyDescent="0.3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" x14ac:dyDescent="0.3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" x14ac:dyDescent="0.3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" x14ac:dyDescent="0.3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" x14ac:dyDescent="0.3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" x14ac:dyDescent="0.3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" x14ac:dyDescent="0.3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" x14ac:dyDescent="0.3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" x14ac:dyDescent="0.3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" x14ac:dyDescent="0.3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" x14ac:dyDescent="0.3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" x14ac:dyDescent="0.3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" x14ac:dyDescent="0.3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" x14ac:dyDescent="0.3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" x14ac:dyDescent="0.3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" x14ac:dyDescent="0.3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" x14ac:dyDescent="0.3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" x14ac:dyDescent="0.3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" x14ac:dyDescent="0.3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" x14ac:dyDescent="0.3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" x14ac:dyDescent="0.3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" x14ac:dyDescent="0.3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" x14ac:dyDescent="0.3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" x14ac:dyDescent="0.3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" x14ac:dyDescent="0.3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" x14ac:dyDescent="0.3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" x14ac:dyDescent="0.3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" x14ac:dyDescent="0.3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" x14ac:dyDescent="0.3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" x14ac:dyDescent="0.3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" x14ac:dyDescent="0.3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" x14ac:dyDescent="0.3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" x14ac:dyDescent="0.3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" x14ac:dyDescent="0.3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" x14ac:dyDescent="0.3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" x14ac:dyDescent="0.3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" x14ac:dyDescent="0.3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" x14ac:dyDescent="0.3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" x14ac:dyDescent="0.3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" x14ac:dyDescent="0.3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" x14ac:dyDescent="0.3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" x14ac:dyDescent="0.3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" x14ac:dyDescent="0.3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" x14ac:dyDescent="0.3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" x14ac:dyDescent="0.3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" x14ac:dyDescent="0.3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" x14ac:dyDescent="0.3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" x14ac:dyDescent="0.3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" x14ac:dyDescent="0.3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" x14ac:dyDescent="0.3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" x14ac:dyDescent="0.3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" x14ac:dyDescent="0.3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" x14ac:dyDescent="0.3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" x14ac:dyDescent="0.3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" x14ac:dyDescent="0.3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" x14ac:dyDescent="0.3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" x14ac:dyDescent="0.3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" x14ac:dyDescent="0.3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" x14ac:dyDescent="0.3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" x14ac:dyDescent="0.3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" x14ac:dyDescent="0.3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" x14ac:dyDescent="0.3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" x14ac:dyDescent="0.3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" x14ac:dyDescent="0.3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" x14ac:dyDescent="0.3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" x14ac:dyDescent="0.3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" x14ac:dyDescent="0.3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" x14ac:dyDescent="0.3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" x14ac:dyDescent="0.3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" x14ac:dyDescent="0.3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" x14ac:dyDescent="0.3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" x14ac:dyDescent="0.3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" x14ac:dyDescent="0.3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" x14ac:dyDescent="0.3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" x14ac:dyDescent="0.3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" x14ac:dyDescent="0.3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" x14ac:dyDescent="0.3">
      <c r="C307" s="15"/>
      <c r="D307" s="15"/>
      <c r="E307" s="15"/>
      <c r="F307" s="16"/>
      <c r="G307" s="15"/>
      <c r="H307" s="15"/>
      <c r="I307" s="16"/>
      <c r="J307" s="15"/>
      <c r="K307" s="15"/>
    </row>
  </sheetData>
  <mergeCells count="4">
    <mergeCell ref="G1:I1"/>
    <mergeCell ref="A1:C1"/>
    <mergeCell ref="D1:F1"/>
    <mergeCell ref="A2:B2"/>
  </mergeCells>
  <conditionalFormatting sqref="F2 I2 F4:F65 I4:I65">
    <cfRule type="cellIs" dxfId="1" priority="3" stopIfTrue="1" operator="lessThanOrEqual">
      <formula>-0.1</formula>
    </cfRule>
    <cfRule type="expression" dxfId="0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C14" sqref="C14"/>
    </sheetView>
  </sheetViews>
  <sheetFormatPr defaultRowHeight="12.75" customHeight="1" x14ac:dyDescent="0.25"/>
  <cols>
    <col min="1" max="2" width="41.88671875" customWidth="1"/>
    <col min="4" max="4" width="9.109375" customWidth="1"/>
    <col min="5" max="5" width="24.109375" customWidth="1"/>
    <col min="6" max="10" width="9.109375" customWidth="1"/>
    <col min="11" max="12" width="22" bestFit="1" customWidth="1"/>
    <col min="13" max="14" width="9.109375" customWidth="1"/>
  </cols>
  <sheetData>
    <row r="1" spans="1:12" ht="12.75" customHeight="1" x14ac:dyDescent="0.25">
      <c r="A1" t="s">
        <v>44</v>
      </c>
      <c r="B1" t="s">
        <v>45</v>
      </c>
    </row>
    <row r="3" spans="1:12" ht="13.2" x14ac:dyDescent="0.25">
      <c r="A3" t="s">
        <v>46</v>
      </c>
      <c r="B3" t="s">
        <v>3</v>
      </c>
      <c r="C3" t="s">
        <v>4</v>
      </c>
      <c r="D3" t="s">
        <v>47</v>
      </c>
      <c r="E3" s="2" t="s">
        <v>48</v>
      </c>
    </row>
    <row r="4" spans="1:12" ht="14.4" x14ac:dyDescent="0.3">
      <c r="A4" s="37" t="s">
        <v>45</v>
      </c>
      <c r="B4" t="s">
        <v>49</v>
      </c>
      <c r="C4" s="35" t="s">
        <v>50</v>
      </c>
      <c r="D4" s="34" t="s">
        <v>51</v>
      </c>
      <c r="E4" t="s">
        <v>52</v>
      </c>
      <c r="G4" s="3"/>
    </row>
    <row r="5" spans="1:12" ht="14.4" x14ac:dyDescent="0.3">
      <c r="A5" s="37"/>
      <c r="C5" s="35"/>
      <c r="D5" s="34"/>
      <c r="G5" s="3"/>
    </row>
    <row r="6" spans="1:12" ht="14.4" x14ac:dyDescent="0.3">
      <c r="A6" s="37"/>
      <c r="C6" s="35"/>
      <c r="D6" s="34"/>
      <c r="G6" s="3"/>
    </row>
    <row r="7" spans="1:12" ht="12.75" customHeight="1" x14ac:dyDescent="0.25">
      <c r="A7" s="37"/>
      <c r="C7" s="35"/>
      <c r="D7" s="34"/>
    </row>
    <row r="8" spans="1:12" ht="12.75" customHeight="1" x14ac:dyDescent="0.25">
      <c r="A8" s="37"/>
      <c r="C8" s="35"/>
      <c r="D8" s="34"/>
    </row>
    <row r="9" spans="1:12" ht="12.75" customHeight="1" x14ac:dyDescent="0.25">
      <c r="A9" s="37"/>
      <c r="C9" s="35"/>
      <c r="D9" s="34"/>
    </row>
    <row r="10" spans="1:12" ht="12.75" customHeight="1" x14ac:dyDescent="0.25">
      <c r="A10" s="37"/>
      <c r="C10" s="35"/>
      <c r="D10" s="34"/>
      <c r="K10" s="32"/>
      <c r="L10" s="32"/>
    </row>
    <row r="11" spans="1:12" ht="12.75" customHeight="1" x14ac:dyDescent="0.25">
      <c r="A11" s="37"/>
      <c r="C11" s="35"/>
      <c r="D11" s="34"/>
      <c r="K11" s="32"/>
      <c r="L11" s="32"/>
    </row>
    <row r="12" spans="1:12" ht="12.75" customHeight="1" x14ac:dyDescent="0.25">
      <c r="A12" s="37"/>
      <c r="C12" s="35"/>
      <c r="D12" s="34"/>
      <c r="K12" s="32"/>
      <c r="L12" s="32"/>
    </row>
    <row r="13" spans="1:12" ht="12.75" customHeight="1" x14ac:dyDescent="0.25">
      <c r="A13" s="37"/>
      <c r="C13" s="35"/>
      <c r="D13" s="34"/>
      <c r="K13" s="32"/>
      <c r="L13" s="32"/>
    </row>
    <row r="14" spans="1:12" ht="12.75" customHeight="1" x14ac:dyDescent="0.25">
      <c r="A14" s="37"/>
      <c r="C14" s="35"/>
      <c r="D14" s="34"/>
      <c r="K14" s="32"/>
      <c r="L14" s="32"/>
    </row>
    <row r="15" spans="1:12" ht="12.75" customHeight="1" x14ac:dyDescent="0.25">
      <c r="A15" s="37"/>
      <c r="C15" s="35"/>
      <c r="D15" s="34"/>
      <c r="K15" s="32"/>
      <c r="L15" s="32"/>
    </row>
    <row r="16" spans="1:12" ht="12.75" customHeight="1" x14ac:dyDescent="0.25">
      <c r="A16" s="37"/>
      <c r="C16" s="35"/>
      <c r="D16" s="34"/>
      <c r="K16" s="32"/>
      <c r="L16" s="32"/>
    </row>
    <row r="17" spans="1:12" ht="12.75" customHeight="1" x14ac:dyDescent="0.25">
      <c r="A17" s="37"/>
      <c r="C17" s="35"/>
      <c r="D17" s="34"/>
      <c r="K17" s="32"/>
      <c r="L17" s="32"/>
    </row>
    <row r="18" spans="1:12" ht="12.75" customHeight="1" x14ac:dyDescent="0.25">
      <c r="A18" s="37"/>
      <c r="C18" s="35"/>
      <c r="D18" s="34"/>
      <c r="K18" s="32"/>
      <c r="L18" s="32"/>
    </row>
    <row r="19" spans="1:12" ht="12.75" customHeight="1" x14ac:dyDescent="0.25">
      <c r="A19" s="37"/>
      <c r="C19" s="35"/>
      <c r="D19" s="34"/>
      <c r="K19" s="32"/>
      <c r="L19" s="32"/>
    </row>
    <row r="20" spans="1:12" ht="12.75" customHeight="1" x14ac:dyDescent="0.25">
      <c r="A20" s="37"/>
      <c r="C20" s="35"/>
      <c r="D20" s="34"/>
      <c r="K20" s="32"/>
      <c r="L20" s="32"/>
    </row>
    <row r="21" spans="1:12" ht="12.75" customHeight="1" x14ac:dyDescent="0.25">
      <c r="A21" s="37"/>
      <c r="C21" s="35"/>
      <c r="D21" s="34"/>
      <c r="K21" s="32"/>
      <c r="L21" s="32"/>
    </row>
    <row r="22" spans="1:12" ht="12.75" customHeight="1" x14ac:dyDescent="0.25">
      <c r="A22" s="37"/>
      <c r="C22" s="35"/>
      <c r="D22" s="34"/>
      <c r="K22" s="32"/>
      <c r="L22" s="32"/>
    </row>
    <row r="23" spans="1:12" ht="12.75" customHeight="1" x14ac:dyDescent="0.25">
      <c r="A23" s="37"/>
      <c r="C23" s="35"/>
      <c r="D23" s="34"/>
      <c r="K23" s="32"/>
      <c r="L23" s="32"/>
    </row>
    <row r="24" spans="1:12" ht="12.75" customHeight="1" x14ac:dyDescent="0.25">
      <c r="A24" s="37"/>
      <c r="C24" s="35"/>
      <c r="D24" s="34"/>
      <c r="K24" s="32"/>
      <c r="L24" s="32"/>
    </row>
    <row r="25" spans="1:12" ht="12.75" customHeight="1" x14ac:dyDescent="0.25">
      <c r="A25" s="37"/>
      <c r="C25" s="35"/>
      <c r="D25" s="34"/>
      <c r="K25" s="32"/>
      <c r="L25" s="32"/>
    </row>
    <row r="26" spans="1:12" ht="12.75" customHeight="1" x14ac:dyDescent="0.25">
      <c r="K26" s="32"/>
      <c r="L26" s="32"/>
    </row>
    <row r="27" spans="1:12" ht="12.75" customHeight="1" x14ac:dyDescent="0.25">
      <c r="K27" s="32"/>
      <c r="L27" s="32"/>
    </row>
    <row r="28" spans="1:12" ht="12.75" customHeight="1" x14ac:dyDescent="0.25">
      <c r="K28" s="32"/>
      <c r="L28" s="32"/>
    </row>
    <row r="29" spans="1:12" ht="12.75" customHeight="1" x14ac:dyDescent="0.25">
      <c r="K29" s="32"/>
      <c r="L29" s="32"/>
    </row>
    <row r="30" spans="1:12" ht="12.75" customHeight="1" x14ac:dyDescent="0.25">
      <c r="K30" s="32"/>
      <c r="L30" s="32"/>
    </row>
    <row r="31" spans="1:12" ht="12.75" customHeight="1" x14ac:dyDescent="0.25">
      <c r="K31" s="32"/>
      <c r="L31" s="32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8D732231-4216-4543-A665-18A2886B0EB7}">
  <ds:schemaRefs>
    <ds:schemaRef ds:uri="http://schemas.microsoft.com/office/2006/metadata/properties"/>
    <ds:schemaRef ds:uri="http://schemas.microsoft.com/office/infopath/2007/PartnerControls"/>
    <ds:schemaRef ds:uri="ddcd8467-55ca-498e-a9f8-86795db5db7a"/>
    <ds:schemaRef ds:uri="http://schemas.microsoft.com/sharepoint/v3"/>
    <ds:schemaRef ds:uri="7f39bfab-6331-41a1-b6d4-5b974a316951"/>
  </ds:schemaRefs>
</ds:datastoreItem>
</file>

<file path=customXml/itemProps2.xml><?xml version="1.0" encoding="utf-8"?>
<ds:datastoreItem xmlns:ds="http://schemas.openxmlformats.org/officeDocument/2006/customXml" ds:itemID="{CB52044A-5C0B-44A2-99D0-C1C315EC302D}">
  <ds:schemaRefs>
    <ds:schemaRef ds:uri="http://gemini/pivotcustomization/TableXML_Sites"/>
  </ds:schemaRefs>
</ds:datastoreItem>
</file>

<file path=customXml/itemProps3.xml><?xml version="1.0" encoding="utf-8"?>
<ds:datastoreItem xmlns:ds="http://schemas.openxmlformats.org/officeDocument/2006/customXml" ds:itemID="{C0BCDC1E-6052-4E48-9BAF-94A40814E7C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f39bfab-6331-41a1-b6d4-5b974a316951"/>
    <ds:schemaRef ds:uri="ddcd8467-55ca-498e-a9f8-86795db5db7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D3A7101F-9A85-4235-8B03-415370C100B2}">
  <ds:schemaRefs>
    <ds:schemaRef ds:uri="http://gemini/pivotcustomization/SandboxNonEmpty"/>
  </ds:schemaRefs>
</ds:datastoreItem>
</file>

<file path=customXml/itemProps5.xml><?xml version="1.0" encoding="utf-8"?>
<ds:datastoreItem xmlns:ds="http://schemas.openxmlformats.org/officeDocument/2006/customXml" ds:itemID="{14966E4F-347B-477B-B74C-9DAC05405806}">
  <ds:schemaRefs>
    <ds:schemaRef ds:uri="http://gemini/pivotcustomization/ClientWindowXML"/>
  </ds:schemaRefs>
</ds:datastoreItem>
</file>

<file path=customXml/itemProps6.xml><?xml version="1.0" encoding="utf-8"?>
<ds:datastoreItem xmlns:ds="http://schemas.openxmlformats.org/officeDocument/2006/customXml" ds:itemID="{BE26B669-A686-459C-A5E9-FEC3409C4C81}">
  <ds:schemaRefs>
    <ds:schemaRef ds:uri="http://gemini/pivotcustomization/IsSandboxEmbedded"/>
  </ds:schemaRefs>
</ds:datastoreItem>
</file>

<file path=customXml/itemProps7.xml><?xml version="1.0" encoding="utf-8"?>
<ds:datastoreItem xmlns:ds="http://schemas.openxmlformats.org/officeDocument/2006/customXml" ds:itemID="{98A113BB-8B7A-453C-8BD4-8EFC67FC2D3F}">
  <ds:schemaRefs>
    <ds:schemaRef ds:uri="http://gemini/pivotcustomization/FormulaBarState"/>
  </ds:schemaRefs>
</ds:datastoreItem>
</file>

<file path=customXml/itemProps8.xml><?xml version="1.0" encoding="utf-8"?>
<ds:datastoreItem xmlns:ds="http://schemas.openxmlformats.org/officeDocument/2006/customXml" ds:itemID="{89CF5C07-45EB-4100-9AFB-2C6AF77FA787}">
  <ds:schemaRefs>
    <ds:schemaRef ds:uri="http://gemini/pivotcustomization/ErrorCache"/>
  </ds:schemaRefs>
</ds:datastoreItem>
</file>

<file path=customXml/itemProps9.xml><?xml version="1.0" encoding="utf-8"?>
<ds:datastoreItem xmlns:ds="http://schemas.openxmlformats.org/officeDocument/2006/customXml" ds:itemID="{66B09F59-6532-46F8-924A-9A02417E070D}">
  <ds:schemaRefs>
    <ds:schemaRef ds:uri="http://schemas.microsoft.com/DataMashup"/>
  </ds:schemaRefs>
</ds:datastoreItem>
</file>

<file path=customXml/itemProps10.xml><?xml version="1.0" encoding="utf-8"?>
<ds:datastoreItem xmlns:ds="http://schemas.openxmlformats.org/officeDocument/2006/customXml" ds:itemID="{F6B2B1A1-1C4B-4AC9-9A7D-7A102DD1C942}">
  <ds:schemaRefs>
    <ds:schemaRef ds:uri="http://gemini/pivotcustomization/ManualCalcMode"/>
  </ds:schemaRefs>
</ds:datastoreItem>
</file>

<file path=customXml/itemProps11.xml><?xml version="1.0" encoding="utf-8"?>
<ds:datastoreItem xmlns:ds="http://schemas.openxmlformats.org/officeDocument/2006/customXml" ds:itemID="{E3716282-BFD2-4ED2-BA47-BFA1123827F0}">
  <ds:schemaRefs>
    <ds:schemaRef ds:uri="http://gemini/pivotcustomization/ShowHidden"/>
  </ds:schemaRefs>
</ds:datastoreItem>
</file>

<file path=customXml/itemProps12.xml><?xml version="1.0" encoding="utf-8"?>
<ds:datastoreItem xmlns:ds="http://schemas.openxmlformats.org/officeDocument/2006/customXml" ds:itemID="{1954BBA4-0359-438C-B0EC-A756015F7C02}">
  <ds:schemaRefs>
    <ds:schemaRef ds:uri="http://gemini/pivotcustomization/MeasureGridState"/>
  </ds:schemaRefs>
</ds:datastoreItem>
</file>

<file path=customXml/itemProps13.xml><?xml version="1.0" encoding="utf-8"?>
<ds:datastoreItem xmlns:ds="http://schemas.openxmlformats.org/officeDocument/2006/customXml" ds:itemID="{078388C9-06F9-42F4-B857-EF76B5CAF1FD}">
  <ds:schemaRefs>
    <ds:schemaRef ds:uri="http://gemini/pivotcustomization/PowerPivotVersion"/>
  </ds:schemaRefs>
</ds:datastoreItem>
</file>

<file path=customXml/itemProps14.xml><?xml version="1.0" encoding="utf-8"?>
<ds:datastoreItem xmlns:ds="http://schemas.openxmlformats.org/officeDocument/2006/customXml" ds:itemID="{F12EFA50-0068-4A8C-85A0-F1B26389EBC3}">
  <ds:schemaRefs>
    <ds:schemaRef ds:uri="http://gemini/pivotcustomization/RelationshipAutoDetectionEnabled"/>
  </ds:schemaRefs>
</ds:datastoreItem>
</file>

<file path=customXml/itemProps15.xml><?xml version="1.0" encoding="utf-8"?>
<ds:datastoreItem xmlns:ds="http://schemas.openxmlformats.org/officeDocument/2006/customXml" ds:itemID="{E20E8303-6A67-485C-B6F4-303542CC295C}">
  <ds:schemaRefs>
    <ds:schemaRef ds:uri="http://gemini/pivotcustomization/LinkedTableUpdateMode"/>
  </ds:schemaRefs>
</ds:datastoreItem>
</file>

<file path=customXml/itemProps16.xml><?xml version="1.0" encoding="utf-8"?>
<ds:datastoreItem xmlns:ds="http://schemas.openxmlformats.org/officeDocument/2006/customXml" ds:itemID="{BF5C6359-7763-4C37-8EAF-2BC4698CB285}">
  <ds:schemaRefs>
    <ds:schemaRef ds:uri="http://gemini/pivotcustomization/TableOrder"/>
  </ds:schemaRefs>
</ds:datastoreItem>
</file>

<file path=customXml/itemProps17.xml><?xml version="1.0" encoding="utf-8"?>
<ds:datastoreItem xmlns:ds="http://schemas.openxmlformats.org/officeDocument/2006/customXml" ds:itemID="{7946C510-7D04-49D8-9B25-EEC04582A1CA}">
  <ds:schemaRefs>
    <ds:schemaRef ds:uri="http://schemas.microsoft.com/sharepoint/v3/contenttype/forms"/>
  </ds:schemaRefs>
</ds:datastoreItem>
</file>

<file path=customXml/itemProps18.xml><?xml version="1.0" encoding="utf-8"?>
<ds:datastoreItem xmlns:ds="http://schemas.openxmlformats.org/officeDocument/2006/customXml" ds:itemID="{0389C43E-394D-44C0-87DC-4780FCFCFB40}">
  <ds:schemaRefs>
    <ds:schemaRef ds:uri="http://gemini/pivotcustomization/Diagrams"/>
  </ds:schemaRefs>
</ds:datastoreItem>
</file>

<file path=customXml/itemProps19.xml><?xml version="1.0" encoding="utf-8"?>
<ds:datastoreItem xmlns:ds="http://schemas.openxmlformats.org/officeDocument/2006/customXml" ds:itemID="{2BC74AAC-D69B-4AF1-9649-B21EF3C1C463}">
  <ds:schemaRefs>
    <ds:schemaRef ds:uri="http://gemini/pivotcustomization/TableWidget"/>
  </ds:schemaRefs>
</ds:datastoreItem>
</file>

<file path=customXml/itemProps20.xml><?xml version="1.0" encoding="utf-8"?>
<ds:datastoreItem xmlns:ds="http://schemas.openxmlformats.org/officeDocument/2006/customXml" ds:itemID="{3AEAA9D8-2182-46BA-A58E-96C72DDA1C54}">
  <ds:schemaRefs>
    <ds:schemaRef ds:uri="http://gemini/pivotcustomization/ShowImplicitMeasur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</vt:i4>
      </vt:variant>
    </vt:vector>
  </HeadingPairs>
  <TitlesOfParts>
    <vt:vector size="19" baseType="lpstr">
      <vt:lpstr>Year to Date</vt:lpstr>
      <vt:lpstr>1st Qtr</vt:lpstr>
      <vt:lpstr>2nd Qtr</vt:lpstr>
      <vt:lpstr>3rd Qtr</vt:lpstr>
      <vt:lpstr>4th Qtr</vt:lpstr>
      <vt:lpstr>Jan</vt:lpstr>
      <vt:lpstr>Feb</vt:lpstr>
      <vt:lpstr>Mar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Sites</vt:lpstr>
      <vt:lpstr>portfolio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Solar Team 1</cp:lastModifiedBy>
  <cp:revision/>
  <dcterms:created xsi:type="dcterms:W3CDTF">2021-01-01T16:39:53Z</dcterms:created>
  <dcterms:modified xsi:type="dcterms:W3CDTF">2024-07-11T09:03:45Z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