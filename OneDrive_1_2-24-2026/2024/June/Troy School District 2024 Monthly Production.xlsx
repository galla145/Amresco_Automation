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6E359239-C145-4B40-BAFF-59699228A0B9}" xr6:coauthVersionLast="47" xr6:coauthVersionMax="47" xr10:uidLastSave="{00000000-0000-0000-0000-000000000000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H4" i="72"/>
  <c r="I4" i="72" s="1"/>
  <c r="E5" i="72"/>
  <c r="F5" i="72" s="1"/>
  <c r="H5" i="72"/>
  <c r="I5" i="72" s="1"/>
  <c r="E6" i="72"/>
  <c r="F6" i="72" s="1"/>
  <c r="H6" i="72"/>
  <c r="I6" i="72" s="1"/>
  <c r="E7" i="72"/>
  <c r="F7" i="72" s="1"/>
  <c r="H7" i="72"/>
  <c r="I7" i="72" s="1"/>
  <c r="E8" i="72"/>
  <c r="F8" i="72" s="1"/>
  <c r="H8" i="72"/>
  <c r="I8" i="72" s="1"/>
  <c r="E9" i="72"/>
  <c r="F9" i="72" s="1"/>
  <c r="H9" i="72"/>
  <c r="I9" i="72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G6" i="1"/>
  <c r="G6" i="34" s="1"/>
  <c r="G7" i="1"/>
  <c r="G7" i="34" s="1"/>
  <c r="G8" i="1"/>
  <c r="G8" i="34" s="1"/>
  <c r="G9" i="1"/>
  <c r="G9" i="34" s="1"/>
  <c r="G5" i="1"/>
  <c r="G5" i="34" s="1"/>
  <c r="G4" i="1"/>
  <c r="G4" i="34" s="1"/>
  <c r="D9" i="34"/>
  <c r="D8" i="34"/>
  <c r="D7" i="34"/>
  <c r="D6" i="34"/>
  <c r="D5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9" i="30"/>
  <c r="C9" i="30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9" i="18"/>
  <c r="C9" i="18"/>
  <c r="E9" i="18" s="1"/>
  <c r="F9" i="18" s="1"/>
  <c r="D8" i="18"/>
  <c r="C8" i="18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9" i="1"/>
  <c r="C8" i="1"/>
  <c r="C7" i="1"/>
  <c r="C6" i="1"/>
  <c r="C5" i="1"/>
  <c r="C4" i="1"/>
  <c r="D6" i="1"/>
  <c r="D7" i="1"/>
  <c r="D8" i="1"/>
  <c r="D9" i="1"/>
  <c r="D5" i="1"/>
  <c r="D4" i="1"/>
  <c r="B4" i="1" a="1"/>
  <c r="B4" i="1" s="1"/>
  <c r="A4" i="1" a="1"/>
  <c r="A4" i="1" s="1"/>
  <c r="A1" i="1" a="1"/>
  <c r="A1" i="1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D2" i="18" l="1"/>
  <c r="E8" i="18"/>
  <c r="F8" i="18" s="1"/>
  <c r="H6" i="30"/>
  <c r="I6" i="30" s="1"/>
  <c r="H6" i="29"/>
  <c r="I6" i="29" s="1"/>
  <c r="D4" i="34"/>
  <c r="D2" i="34" s="1"/>
  <c r="H7" i="29"/>
  <c r="I7" i="29" s="1"/>
  <c r="E9" i="30"/>
  <c r="F9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9" i="1"/>
  <c r="F9" i="1" s="1"/>
  <c r="E9" i="34"/>
  <c r="F9" i="34" s="1"/>
  <c r="E5" i="1"/>
  <c r="F5" i="1" s="1"/>
  <c r="E6" i="1"/>
  <c r="F6" i="1" s="1"/>
  <c r="H9" i="30"/>
  <c r="I9" i="30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H9" i="34"/>
  <c r="I9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tc={9A0E6939-2DAA-4B6E-A78A-AD3D0D55F9CE}</author>
    <author>tc={46C4B7E8-83D3-4961-9EF6-AF6D02352E63}</author>
    <author>tc={C490C181-98DA-4593-AE05-C732E1782985}</author>
    <author>tc={348E943D-2FDB-4DB4-B661-3833AFF342A8}</author>
    <author>tc={3B829DE0-21A9-460D-B27A-39F2E27C2902}</author>
  </authors>
  <commentList>
    <comment ref="D4" authorId="0" shapeId="0" xr:uid="{9A0E6939-2DAA-4B6E-A78A-AD3D0D55F9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
</t>
      </text>
    </comment>
    <comment ref="D5" authorId="1" shapeId="0" xr:uid="{46C4B7E8-83D3-4961-9EF6-AF6D02352E6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C490C181-98DA-4593-AE05-C732E178298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348E943D-2FDB-4DB4-B661-3833AFF3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3B829DE0-21A9-460D-B27A-39F2E27C290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<sst xmlns="http://schemas.openxmlformats.org/spreadsheetml/2006/main" count="281" uniqueCount="80">
  <si>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</si>
  <si>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</si>
  <si>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</si>
  <si>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</si>
  <si>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</si>
  <si>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</si>
  <si>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</si>
  <si>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</si>
  <si>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</si>
  <si>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</si>
  <si>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</si>
  <si>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</si>
  <si>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</si>
  <si>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</si>
  <si>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</si>
  <si>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</si>
  <si>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</si>
  <si>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</si>
  <si>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</si>
  <si>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</si>
  <si>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</si>
  <si>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</si>
  <si>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</si>
  <si>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</si>
  <si>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Meter damaged due to thermal event and inverter 1 is offline from 02/14 to 02/29</t>
  </si>
  <si>
    <t>1. SR081003</t>
  </si>
  <si>
    <t>March Actual v. Expected</t>
  </si>
  <si>
    <t>March Actual v. Forecasted</t>
  </si>
  <si>
    <t>1. Inverter 1 is offline from 02/14 to 03/18</t>
  </si>
  <si>
    <t>1. Inverter 7 is offline on 03/30 and back online on 03/31</t>
  </si>
  <si>
    <t>1. SR082935</t>
  </si>
  <si>
    <t>April Actual v. Expected</t>
  </si>
  <si>
    <t>April Actual v. Forecasted</t>
  </si>
  <si>
    <t>1. Inverter 2.2 was offline throughout the month</t>
  </si>
  <si>
    <t>1. SR077210</t>
  </si>
  <si>
    <t>1. Inverter 7 was offline from 04/29</t>
  </si>
  <si>
    <t>1. SR083982</t>
  </si>
  <si>
    <t>May Actual v. Expected</t>
  </si>
  <si>
    <t>May Actual v. Forecasted</t>
  </si>
  <si>
    <t>1. Inverter 2 was offline from 05/17 and issue continued throughout the month</t>
  </si>
  <si>
    <t>1. SR084831</t>
  </si>
  <si>
    <t>1. Inverter 7 was offline on 05/03,05/10,05/14, 05/27</t>
  </si>
  <si>
    <t>June Actual v. Expected</t>
  </si>
  <si>
    <t>June Actual v. Forecasted</t>
  </si>
  <si>
    <t>1. Inverter 2.2 was offline throughout the month
2. Inverter 1.2 was offline on 06/18, 06/28 &amp; 06/29</t>
  </si>
  <si>
    <t>1. SR077210
2. SR086359</t>
  </si>
  <si>
    <t>1. Inverter 3.1 was offline on 06/01,06/10,06/12,06/24,06/28</t>
  </si>
  <si>
    <t>1. SR085406</t>
  </si>
  <si>
    <t>1. Inverter 2 was offline throughout the month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</si>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</sst>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2A186F63-0C68-4C4D-8D29-062DB64B58AB}" userId="S::urn:spo:anon#e84203b1262b69a51109c13abdfdc0a0c7dc35435f99d8d59e7121f8ae246606::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07-10T07:08:42.39" personId="{2A186F63-0C68-4C4D-8D29-062DB64B58AB}" id="{9A0E6939-2DAA-4B6E-A78A-AD3D0D55F9CE}">
    <text xml:space="preserve">Expected Energy not available from April.
</text>
  </threadedComment>
  <threadedComment ref="D5" dT="2024-07-10T07:08:52.27" personId="{2A186F63-0C68-4C4D-8D29-062DB64B58AB}" id="{46C4B7E8-83D3-4961-9EF6-AF6D02352E63}">
    <text>Expected Energy not available from April.</text>
  </threadedComment>
  <threadedComment ref="D6" dT="2024-07-10T07:09:04.08" personId="{2A186F63-0C68-4C4D-8D29-062DB64B58AB}" id="{C490C181-98DA-4593-AE05-C732E1782985}">
    <text>Expected Energy not available from April.</text>
  </threadedComment>
  <threadedComment ref="D7" dT="2024-07-10T07:09:12.06" personId="{2A186F63-0C68-4C4D-8D29-062DB64B58AB}" id="{348E943D-2FDB-4DB4-B661-3833AFF342A8}">
    <text>Expected Energy not available from April.</text>
  </threadedComment>
  <threadedComment ref="D9" dT="2024-07-10T07:09:22.86" personId="{2A186F63-0C68-4C4D-8D29-062DB64B58AB}" id="{3B829DE0-21A9-460D-B27A-39F2E27C2902}">
    <text>Expected Energy not available from April.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C6" sqref="C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SUM(C4:C77)</f>
        <v>-2173690.6193999988</v>
      </c>
      <c r="D2" s="5">
        <f>SUM(D4:D77)</f>
        <v>543761.25160000019</v>
      </c>
      <c r="E2" s="5">
        <f>C2-D2</f>
        <v>-2717451.8709999989</v>
      </c>
      <c r="F2" s="6">
        <f>IFERROR(E2/D2, 0)</f>
        <v>-4.9975092248739372</v>
      </c>
      <c r="G2" s="5">
        <f>SUM(G4:G77)</f>
        <v>0</v>
      </c>
      <c r="H2" s="7">
        <f>C2-G2</f>
        <v>-2173690.6193999988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9">Sites[Site]</f>
        <v>Joliet - Craughwell</v>
      </c>
      <c r="B4" s="9" t="str" cm="1">
        <f t="array" ref="B4:B9">Sites[State]</f>
        <v>IL</v>
      </c>
      <c r="C4" s="24">
        <f>SUM('1st Qtr'!C4, '2nd Qtr'!C4, '3rd Qtr'!C4, '4th Qtr'!C4)</f>
        <v>193030.5</v>
      </c>
      <c r="D4" s="13">
        <f>SUM('1st Qtr'!D4, '2nd Qtr'!D4, '3rd Qtr'!D4, '4th Qtr'!D4)</f>
        <v>87540.72589999999</v>
      </c>
      <c r="E4" s="13">
        <f>IF(AND(ISNUMBER(C4),ISNUMBER(D4)), C4-D4, "")</f>
        <v>105489.77410000001</v>
      </c>
      <c r="F4" s="14">
        <f>IFERROR(E4/D4, "")</f>
        <v>1.2050365474522531</v>
      </c>
      <c r="G4" s="15">
        <f>SUM('1st Qtr'!G4, '2nd Qtr'!G4, '3rd Qtr'!G4, '4th Qtr'!G4)</f>
        <v>0</v>
      </c>
      <c r="H4" s="15">
        <f>SUM('1st Qtr'!H4, '2nd Qtr'!H4, '3rd Qtr'!H4, '4th Qtr'!H4)</f>
        <v>193030.5</v>
      </c>
      <c r="I4" s="16" t="str">
        <f>IFERROR(H4/G4, "")</f>
        <v/>
      </c>
    </row>
    <row r="5" spans="1:9" ht="15.75">
      <c r="A5" s="17" t="str">
        <v>Joliet - Heritage Trail</v>
      </c>
      <c r="B5" s="10" t="str">
        <v>IL</v>
      </c>
      <c r="C5" s="11">
        <f>SUM(Jan!C5, Feb!C5, Mar!C5)</f>
        <v>73363.000599999999</v>
      </c>
      <c r="D5" s="18">
        <f>SUM(Jan!D5, Feb!D5, Mar!D5)</f>
        <v>93318.709499999997</v>
      </c>
      <c r="E5" s="18">
        <f t="shared" ref="E5:E9" si="0">IF(AND(ISNUMBER(C5),ISNUMBER(D5)), C5-D5, "")</f>
        <v>-19955.708899999998</v>
      </c>
      <c r="F5" s="19">
        <f>IFERROR(E5/D5, "")</f>
        <v>-0.21384467280915409</v>
      </c>
      <c r="G5" s="20">
        <f>SUM('1st Qtr'!G5, '2nd Qtr'!G5, '3rd Qtr'!G5, '4th Qtr'!G5)</f>
        <v>0</v>
      </c>
      <c r="H5" s="20">
        <f>SUM(Jan!H5, Feb!H5, Mar!H5)</f>
        <v>73363.000599999999</v>
      </c>
      <c r="I5" s="19" t="str">
        <f>IFERROR(H5/G5, "")</f>
        <v/>
      </c>
    </row>
    <row r="6" spans="1:9" ht="15.75">
      <c r="A6" s="12" t="str">
        <v>Plainfield - Troy</v>
      </c>
      <c r="B6" s="9" t="str">
        <v>IL</v>
      </c>
      <c r="C6" s="24">
        <f>SUM(Jan!C6, Feb!C6, Mar!C6)</f>
        <v>-2673543.6199999987</v>
      </c>
      <c r="D6" s="13">
        <f>SUM(Jan!D6, Feb!D6, Mar!D6)</f>
        <v>72354.019500000155</v>
      </c>
      <c r="E6" s="13">
        <f t="shared" si="0"/>
        <v>-2745897.6394999987</v>
      </c>
      <c r="F6" s="14">
        <f t="shared" ref="F6:F9" si="1">IFERROR(E6/D6, "")</f>
        <v>-37.950865183101442</v>
      </c>
      <c r="G6" s="15">
        <f>SUM('1st Qtr'!G6, '2nd Qtr'!G6, '3rd Qtr'!G6, '4th Qtr'!G6)</f>
        <v>0</v>
      </c>
      <c r="H6" s="15">
        <f>SUM(Jan!H6, Feb!H6, Mar!H6)</f>
        <v>-2673543.6199999987</v>
      </c>
      <c r="I6" s="16" t="str">
        <f t="shared" ref="I6:I9" si="2">IFERROR(H6/G6, "")</f>
        <v/>
      </c>
    </row>
    <row r="7" spans="1:9" ht="15.75">
      <c r="A7" s="17" t="str">
        <v>Plainfield - William B Orenic</v>
      </c>
      <c r="B7" s="10" t="str">
        <v>IL</v>
      </c>
      <c r="C7" s="11">
        <f>SUM(Jan!C7, Feb!C7, Mar!C7)</f>
        <v>75380.75</v>
      </c>
      <c r="D7" s="18">
        <f>SUM(Jan!D7, Feb!D7, Mar!D7)</f>
        <v>91529.34440000006</v>
      </c>
      <c r="E7" s="18">
        <f t="shared" si="0"/>
        <v>-16148.59440000006</v>
      </c>
      <c r="F7" s="19">
        <f t="shared" si="1"/>
        <v>-0.17643078846307184</v>
      </c>
      <c r="G7" s="20">
        <f>SUM('1st Qtr'!G7, '2nd Qtr'!G7, '3rd Qtr'!G7, '4th Qtr'!G7)</f>
        <v>0</v>
      </c>
      <c r="H7" s="20">
        <f>SUM(Jan!H7, Feb!H7, Mar!H7)</f>
        <v>75380.75</v>
      </c>
      <c r="I7" s="19" t="str">
        <f t="shared" si="2"/>
        <v/>
      </c>
    </row>
    <row r="8" spans="1:9" ht="15.75">
      <c r="A8" s="12" t="str">
        <v>Shorewood - Cronin</v>
      </c>
      <c r="B8" s="9" t="str">
        <v>IL</v>
      </c>
      <c r="C8" s="24">
        <f>SUM(Jan!C8, Feb!C8, Mar!C8)</f>
        <v>85943.5</v>
      </c>
      <c r="D8" s="13">
        <f>SUM(Jan!D8, Feb!D8, Mar!D8)</f>
        <v>101280.88920000003</v>
      </c>
      <c r="E8" s="13">
        <f t="shared" si="0"/>
        <v>-15337.389200000034</v>
      </c>
      <c r="F8" s="14">
        <f t="shared" si="1"/>
        <v>-0.15143418784281398</v>
      </c>
      <c r="G8" s="15">
        <f>SUM('1st Qtr'!G8, '2nd Qtr'!G8, '3rd Qtr'!G8, '4th Qtr'!G8)</f>
        <v>0</v>
      </c>
      <c r="H8" s="15">
        <f>SUM(Jan!H8, Feb!H8, Mar!H8)</f>
        <v>85943.5</v>
      </c>
      <c r="I8" s="16" t="str">
        <f t="shared" si="2"/>
        <v/>
      </c>
    </row>
    <row r="9" spans="1:9" ht="15.75">
      <c r="A9" s="17" t="str">
        <v>Shorewood - Hofer</v>
      </c>
      <c r="B9" s="10" t="str">
        <v>IL</v>
      </c>
      <c r="C9" s="11">
        <f>SUM(Jan!C9, Feb!C9, Mar!C9)</f>
        <v>72135.25</v>
      </c>
      <c r="D9" s="18">
        <f>SUM(Jan!D9, Feb!D9, Mar!D9)</f>
        <v>97737.563100000014</v>
      </c>
      <c r="E9" s="18">
        <f t="shared" si="0"/>
        <v>-25602.313100000014</v>
      </c>
      <c r="F9" s="19">
        <f t="shared" si="1"/>
        <v>-0.26194957484058667</v>
      </c>
      <c r="G9" s="20">
        <f>SUM('1st Qtr'!G9, '2nd Qtr'!G9, '3rd Qtr'!G9, '4th Qtr'!G9)</f>
        <v>0</v>
      </c>
      <c r="H9" s="20">
        <f>SUM(Jan!H9, Feb!H9, Mar!H9)</f>
        <v>72135.25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D4" activePane="bottomRight" state="frozen"/>
      <selection pane="bottomRight" activeCell="D19" sqref="D19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SUM(C4:C77)</f>
        <v>-2300763.6193999988</v>
      </c>
      <c r="D2" s="5">
        <f>SUM(D4:D77)</f>
        <v>543761.25160000019</v>
      </c>
      <c r="E2" s="5">
        <f>C2-D2</f>
        <v>-2844524.8709999989</v>
      </c>
      <c r="F2" s="6">
        <f>IFERROR(E2/D2, 0)</f>
        <v>-5.2312018604306116</v>
      </c>
      <c r="G2" s="5">
        <f>SUM(G4:G77)</f>
        <v>0</v>
      </c>
      <c r="H2" s="7">
        <f>C2-G2</f>
        <v>-2300763.6193999988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SUM(Jan!C4, Feb!C4, Mar!C4)</f>
        <v>65957.5</v>
      </c>
      <c r="D4" s="13">
        <f>SUM(Jan!D4, Feb!D4, Mar!D4)</f>
        <v>87540.72589999999</v>
      </c>
      <c r="E4" s="13">
        <f>IF(AND(ISNUMBER(C4),ISNUMBER(D4)), C4-D4, "")</f>
        <v>-21583.22589999999</v>
      </c>
      <c r="F4" s="14">
        <f>IFERROR(E4/D4, "")</f>
        <v>-0.24655068458828022</v>
      </c>
      <c r="G4" s="15">
        <f>SUM(Jan!G4, Feb!G4, Mar!G4)</f>
        <v>0</v>
      </c>
      <c r="H4" s="15">
        <f>SUM(Jan!H4, Feb!H4, Mar!H4)</f>
        <v>65957.5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SUM(Jan!C5, Feb!C5, Mar!C5)</f>
        <v>73363.000599999999</v>
      </c>
      <c r="D5" s="18">
        <f>SUM(Jan!D5, Feb!D5, Mar!D5)</f>
        <v>93318.709499999997</v>
      </c>
      <c r="E5" s="18">
        <f t="shared" ref="E5:E9" si="0">IF(AND(ISNUMBER(C5),ISNUMBER(D5)), C5-D5, "")</f>
        <v>-19955.708899999998</v>
      </c>
      <c r="F5" s="19">
        <f>IFERROR(E5/D5, "")</f>
        <v>-0.21384467280915409</v>
      </c>
      <c r="G5" s="20">
        <f>SUM(Jan!G5, Feb!G5, Mar!G5)</f>
        <v>0</v>
      </c>
      <c r="H5" s="20">
        <f>SUM(Jan!H5, Feb!H5, Mar!H5)</f>
        <v>73363.000599999999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SUM(Jan!C6, Feb!C6, Mar!C6)</f>
        <v>-2673543.6199999987</v>
      </c>
      <c r="D6" s="13">
        <f>SUM(Jan!D6, Feb!D6, Mar!D6)</f>
        <v>72354.019500000155</v>
      </c>
      <c r="E6" s="13">
        <f t="shared" si="0"/>
        <v>-2745897.6394999987</v>
      </c>
      <c r="F6" s="14">
        <f t="shared" ref="F6:F9" si="1">IFERROR(E6/D6, "")</f>
        <v>-37.950865183101442</v>
      </c>
      <c r="G6" s="15">
        <f>SUM(Jan!G6, Feb!G6, Mar!G6)</f>
        <v>0</v>
      </c>
      <c r="H6" s="15">
        <f>SUM(Jan!H6, Feb!H6, Mar!H6)</f>
        <v>-2673543.6199999987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SUM(Jan!C7, Feb!C7, Mar!C7)</f>
        <v>75380.75</v>
      </c>
      <c r="D7" s="18">
        <f>SUM(Jan!D7, Feb!D7, Mar!D7)</f>
        <v>91529.34440000006</v>
      </c>
      <c r="E7" s="18">
        <f t="shared" si="0"/>
        <v>-16148.59440000006</v>
      </c>
      <c r="F7" s="19">
        <f t="shared" si="1"/>
        <v>-0.17643078846307184</v>
      </c>
      <c r="G7" s="20">
        <f>SUM(Jan!G7, Feb!G7, Mar!G7)</f>
        <v>0</v>
      </c>
      <c r="H7" s="20">
        <f>SUM(Jan!H7, Feb!H7, Mar!H7)</f>
        <v>75380.75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SUM(Jan!C8, Feb!C8, Mar!C8)</f>
        <v>85943.5</v>
      </c>
      <c r="D8" s="13">
        <f>SUM(Jan!D8, Feb!D8, Mar!D8)</f>
        <v>101280.88920000003</v>
      </c>
      <c r="E8" s="13">
        <f t="shared" si="0"/>
        <v>-15337.389200000034</v>
      </c>
      <c r="F8" s="14">
        <f t="shared" si="1"/>
        <v>-0.15143418784281398</v>
      </c>
      <c r="G8" s="15">
        <f>SUM(Jan!G8, Feb!G8, Mar!G8)</f>
        <v>0</v>
      </c>
      <c r="H8" s="15">
        <f>SUM(Jan!H8, Feb!H8, Mar!H8)</f>
        <v>85943.5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SUM(Jan!C9, Feb!C9, Mar!C9)</f>
        <v>72135.25</v>
      </c>
      <c r="D9" s="18">
        <f>SUM(Jan!D9, Feb!D9, Mar!D9)</f>
        <v>97737.563100000014</v>
      </c>
      <c r="E9" s="18">
        <f t="shared" si="0"/>
        <v>-25602.313100000014</v>
      </c>
      <c r="F9" s="19">
        <f t="shared" si="1"/>
        <v>-0.26194957484058667</v>
      </c>
      <c r="G9" s="20">
        <f>SUM(Jan!G9, Feb!G9, Mar!G9)</f>
        <v>0</v>
      </c>
      <c r="H9" s="20">
        <f>SUM(Jan!H9, Feb!H9, Mar!H9)</f>
        <v>72135.25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D4" sqref="D4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SUM(C4:C77)</f>
        <v>909941.25</v>
      </c>
      <c r="D2" s="5">
        <f>SUM(D4:D77)</f>
        <v>177342.34</v>
      </c>
      <c r="E2" s="5">
        <f>C2-D2</f>
        <v>732598.91</v>
      </c>
      <c r="F2" s="6">
        <f>IFERROR(E2/D2, 0)</f>
        <v>4.1309870502441779</v>
      </c>
      <c r="G2" s="5">
        <f>SUM(G4:G77)</f>
        <v>0</v>
      </c>
      <c r="H2" s="7">
        <f>C2-G2</f>
        <v>909941.25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SUM(Apr!C4, May!C4, Jun!C4)</f>
        <v>127073</v>
      </c>
      <c r="D4" s="13">
        <f>SUM(Apr!D4, May!D4, Jun!D4)</f>
        <v>0</v>
      </c>
      <c r="E4" s="13">
        <f>IF(AND(ISNUMBER(C4),ISNUMBER(D4)), C4-D4, "")</f>
        <v>127073</v>
      </c>
      <c r="F4" s="14" t="str">
        <f>IFERROR(E4/D4, "")</f>
        <v/>
      </c>
      <c r="G4" s="15"/>
      <c r="H4" s="15">
        <f>SUM(Apr!H4, May!H4, Jun!H4)</f>
        <v>127073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SUM(Apr!C5, May!C5, Jun!C5)</f>
        <v>154349</v>
      </c>
      <c r="D5" s="18">
        <f>SUM(Apr!D5, May!D5, Jun!D5)</f>
        <v>0</v>
      </c>
      <c r="E5" s="18">
        <f t="shared" ref="E5:E9" si="0">IF(AND(ISNUMBER(C5),ISNUMBER(D5)), C5-D5, "")</f>
        <v>154349</v>
      </c>
      <c r="F5" s="19" t="str">
        <f>IFERROR(E5/D5, "")</f>
        <v/>
      </c>
      <c r="G5" s="20"/>
      <c r="H5" s="20">
        <f>SUM(Apr!H5, May!H5, Jun!H5)</f>
        <v>154349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SUM(Apr!C6, May!C6, Jun!C6)</f>
        <v>150555</v>
      </c>
      <c r="D6" s="13">
        <f>SUM(Apr!D6, May!D6, Jun!D6)</f>
        <v>0</v>
      </c>
      <c r="E6" s="13">
        <f t="shared" si="0"/>
        <v>150555</v>
      </c>
      <c r="F6" s="14" t="str">
        <f t="shared" ref="F6:F9" si="1">IFERROR(E6/D6, "")</f>
        <v/>
      </c>
      <c r="G6" s="15"/>
      <c r="H6" s="15">
        <f>SUM(Apr!H6, May!H6, Jun!H6)</f>
        <v>150555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SUM(Apr!C7, May!C7, Jun!C7)</f>
        <v>150161</v>
      </c>
      <c r="D7" s="18">
        <f>SUM(Apr!D7, May!D7, Jun!D7)</f>
        <v>0</v>
      </c>
      <c r="E7" s="18">
        <f t="shared" si="0"/>
        <v>150161</v>
      </c>
      <c r="F7" s="19" t="str">
        <f t="shared" si="1"/>
        <v/>
      </c>
      <c r="G7" s="20"/>
      <c r="H7" s="20">
        <f>SUM(Apr!H7, May!H7, Jun!H7)</f>
        <v>150161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SUM(Apr!C8, May!C8, Jun!C8)</f>
        <v>172370.5</v>
      </c>
      <c r="D8" s="13">
        <f>SUM(Apr!D8, May!D8, Jun!D8)</f>
        <v>177342.34</v>
      </c>
      <c r="E8" s="13">
        <f t="shared" si="0"/>
        <v>-4971.8399999999965</v>
      </c>
      <c r="F8" s="14">
        <f t="shared" si="1"/>
        <v>-2.8035267832825464E-2</v>
      </c>
      <c r="G8" s="15"/>
      <c r="H8" s="15">
        <f>SUM(Apr!H8, May!H8, Jun!H8)</f>
        <v>172370.5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SUM(Apr!C9, May!C9, Jun!C9)</f>
        <v>155432.75</v>
      </c>
      <c r="D9" s="18">
        <f>SUM(Apr!D9, May!D9, Jun!D9)</f>
        <v>0</v>
      </c>
      <c r="E9" s="18">
        <f t="shared" si="0"/>
        <v>155432.75</v>
      </c>
      <c r="F9" s="19" t="str">
        <f t="shared" si="1"/>
        <v/>
      </c>
      <c r="G9" s="20"/>
      <c r="H9" s="20">
        <f>SUM(Apr!H9, May!H9, Jun!H9)</f>
        <v>155432.75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9" activePane="bottomRight" state="frozen"/>
      <selection pane="bottomRight" activeCell="A10" sqref="A10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SUM(Jul!C5, Aug!C5, Sep!C5)</f>
        <v>0</v>
      </c>
      <c r="D5" s="18">
        <f>SUM(Jul!D5, Aug!D5, Sep!D5)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SUM(Jul!H6, Aug!H6, Sep!H6)</f>
        <v>0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0" sqref="A10:XFD32"/>
      <selection pane="bottomLeft" activeCell="A10" sqref="A10:XFD32"/>
      <selection pane="topRight" activeCell="A10" sqref="A10:XF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Troy School District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6" t="str">
        <v>Joliet - Heritage Trail</v>
      </c>
      <c r="B5" s="10" t="str">
        <v>IL</v>
      </c>
      <c r="C5" s="11">
        <f>SUM(Oct!C5, Nov!C5, Dec!C5)</f>
        <v>0</v>
      </c>
      <c r="D5" s="18">
        <f>SUM(Oct!D5, Nov!D5, Dec!D5)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45" t="str">
        <v>Plainfield - Troy</v>
      </c>
      <c r="B6" s="9" t="str">
        <v>IL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SUM(Oct!H6, Nov!H6, Dec!H6)</f>
        <v>0</v>
      </c>
      <c r="I6" s="16" t="str">
        <f t="shared" ref="I6:I9" si="2">IFERROR(H6/G6, "")</f>
        <v/>
      </c>
    </row>
    <row r="7" spans="1:9" ht="15.75">
      <c r="A7" s="46" t="str">
        <v>Plainfield - William B Orenic</v>
      </c>
      <c r="B7" s="10" t="str">
        <v>IL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45" t="str">
        <v>Shorewood - Cronin</v>
      </c>
      <c r="B8" s="9" t="str">
        <v>IL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46" t="str">
        <v>Shorewood - Hofer</v>
      </c>
      <c r="B9" s="10" t="str">
        <v>IL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8" sqref="J18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SUM(C4:C76)</f>
        <v>25235</v>
      </c>
      <c r="D2" s="5">
        <f>SUM(D4:D76)</f>
        <v>102094</v>
      </c>
      <c r="E2" s="5">
        <f>C2-D2</f>
        <v>-76859</v>
      </c>
      <c r="F2" s="6">
        <f>IFERROR(E2/D2, 0)</f>
        <v>-0.75282582717887436</v>
      </c>
      <c r="G2" s="5">
        <f>SUM(G4:G76)</f>
        <v>0</v>
      </c>
      <c r="H2" s="7">
        <f>C2-G2</f>
        <v>25235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8" t="str" cm="1">
        <f t="array" ref="A4:A9">Sites[Site]</f>
        <v>Joliet - Craughwell</v>
      </c>
      <c r="B4" s="29" t="str" cm="1">
        <f t="array" ref="B4:B9">Sites[State]</f>
        <v>IL</v>
      </c>
      <c r="C4" s="13">
        <v>3467</v>
      </c>
      <c r="D4" s="13">
        <v>15948</v>
      </c>
      <c r="E4" s="13">
        <f>IF(AND(ISNUMBER(C4),ISNUMBER(D4)), C4-D4, "")</f>
        <v>-12481</v>
      </c>
      <c r="F4" s="42">
        <f>IFERROR(E4/D4, "")</f>
        <v>-0.78260596940055183</v>
      </c>
      <c r="G4" s="15">
        <v>0</v>
      </c>
      <c r="H4" s="15">
        <f>IF(AND(ISNUMBER(C4),ISNUMBER(G4)), C4-G4, "")</f>
        <v>3467</v>
      </c>
      <c r="I4" s="16" t="str">
        <f>IFERROR(H4/G4, "")</f>
        <v/>
      </c>
      <c r="J4" s="51"/>
      <c r="K4" s="51"/>
    </row>
    <row r="5" spans="1:11" ht="15.75">
      <c r="A5" s="49" t="str">
        <v>Joliet - Heritage Trail</v>
      </c>
      <c r="B5" s="31" t="str">
        <v>IL</v>
      </c>
      <c r="C5" s="18">
        <v>4288</v>
      </c>
      <c r="D5" s="18">
        <v>17449</v>
      </c>
      <c r="E5" s="18">
        <f t="shared" ref="E5:E9" si="0">IF(AND(ISNUMBER(C5),ISNUMBER(D5)), C5-D5, "")</f>
        <v>-13161</v>
      </c>
      <c r="F5" s="42">
        <f t="shared" ref="F5:F9" si="1">IFERROR(E5/D5, "")</f>
        <v>-0.7542552581809846</v>
      </c>
      <c r="G5" s="20">
        <v>0</v>
      </c>
      <c r="H5" s="20">
        <f t="shared" ref="H5:H6" si="2">IF(AND(ISNUMBER(C5),ISNUMBER(G5)), C5-G5, "")</f>
        <v>4288</v>
      </c>
      <c r="I5" s="19" t="str">
        <f t="shared" ref="I5:I6" si="3">IFERROR(H5/G5, "")</f>
        <v/>
      </c>
      <c r="J5" s="52"/>
      <c r="K5" s="52"/>
    </row>
    <row r="6" spans="1:11" ht="15.75">
      <c r="A6" s="50" t="str">
        <v>Plainfield - Troy</v>
      </c>
      <c r="B6" s="29" t="str">
        <v>IL</v>
      </c>
      <c r="C6" s="13">
        <v>4367</v>
      </c>
      <c r="D6" s="13">
        <v>14453</v>
      </c>
      <c r="E6" s="13">
        <f t="shared" si="0"/>
        <v>-10086</v>
      </c>
      <c r="F6" s="42">
        <f t="shared" si="1"/>
        <v>-0.69784819760603334</v>
      </c>
      <c r="G6" s="15">
        <v>0</v>
      </c>
      <c r="H6" s="15">
        <f t="shared" si="2"/>
        <v>4367</v>
      </c>
      <c r="I6" s="16" t="str">
        <f t="shared" si="3"/>
        <v/>
      </c>
      <c r="J6" s="51"/>
      <c r="K6" s="51"/>
    </row>
    <row r="7" spans="1:11" ht="15.75">
      <c r="A7" s="49" t="str">
        <v>Plainfield - William B Orenic</v>
      </c>
      <c r="B7" s="31" t="str">
        <v>IL</v>
      </c>
      <c r="C7" s="18">
        <v>4435</v>
      </c>
      <c r="D7" s="18">
        <v>17416</v>
      </c>
      <c r="E7" s="18">
        <f t="shared" si="0"/>
        <v>-12981</v>
      </c>
      <c r="F7" s="42">
        <f t="shared" si="1"/>
        <v>-0.7453491042719339</v>
      </c>
      <c r="G7" s="20">
        <v>0</v>
      </c>
      <c r="H7" s="20">
        <f t="shared" ref="H7:H9" si="4">IF(AND(ISNUMBER(C7),ISNUMBER(G7)), C7-G7, "")</f>
        <v>4435</v>
      </c>
      <c r="I7" s="19" t="str">
        <f t="shared" ref="I7:I9" si="5">IFERROR(H7/G7, "")</f>
        <v/>
      </c>
      <c r="J7" s="52"/>
      <c r="K7" s="52"/>
    </row>
    <row r="8" spans="1:11" ht="15.75">
      <c r="A8" s="50" t="str">
        <v>Shorewood - Cronin</v>
      </c>
      <c r="B8" s="29" t="str">
        <v>IL</v>
      </c>
      <c r="C8" s="13">
        <v>4681</v>
      </c>
      <c r="D8" s="13">
        <v>18468</v>
      </c>
      <c r="E8" s="13">
        <f t="shared" si="0"/>
        <v>-13787</v>
      </c>
      <c r="F8" s="42">
        <f t="shared" si="1"/>
        <v>-0.74653454624214854</v>
      </c>
      <c r="G8" s="15">
        <v>0</v>
      </c>
      <c r="H8" s="15">
        <f t="shared" si="4"/>
        <v>4681</v>
      </c>
      <c r="I8" s="16" t="str">
        <f t="shared" si="5"/>
        <v/>
      </c>
      <c r="J8" s="51"/>
      <c r="K8" s="51"/>
    </row>
    <row r="9" spans="1:11" ht="15.75">
      <c r="A9" s="49" t="str">
        <v>Shorewood - Hofer</v>
      </c>
      <c r="B9" s="31" t="str">
        <v>IL</v>
      </c>
      <c r="C9" s="18">
        <v>3997</v>
      </c>
      <c r="D9" s="18">
        <v>18360</v>
      </c>
      <c r="E9" s="18">
        <f t="shared" si="0"/>
        <v>-14363</v>
      </c>
      <c r="F9" s="42">
        <f t="shared" si="1"/>
        <v>-0.78229847494553373</v>
      </c>
      <c r="G9" s="20">
        <v>0</v>
      </c>
      <c r="H9" s="20">
        <f t="shared" si="4"/>
        <v>3997</v>
      </c>
      <c r="I9" s="19" t="str">
        <f t="shared" si="5"/>
        <v/>
      </c>
      <c r="J9" s="52"/>
      <c r="K9" s="52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</sheetData>
  <mergeCells count="4">
    <mergeCell ref="D1:F1"/>
    <mergeCell ref="A1:C1"/>
    <mergeCell ref="G1:I1"/>
    <mergeCell ref="A2:B2"/>
  </mergeCells>
  <conditionalFormatting sqref="F2 I2 I4:I76 F10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J6" sqref="J6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-2554905.2499999991</v>
      </c>
      <c r="D2" s="5">
        <f>SUM(D4:D77)</f>
        <v>195441.72309999994</v>
      </c>
      <c r="E2" s="5">
        <f>C2-D2</f>
        <v>-2750346.9730999991</v>
      </c>
      <c r="F2" s="6">
        <f>IFERROR(E2/D2, 0)</f>
        <v>-14.072465845446693</v>
      </c>
      <c r="G2" s="5">
        <f>SUM(G4:G77)</f>
        <v>0</v>
      </c>
      <c r="H2" s="7">
        <f>C2-G2</f>
        <v>-2554905.2499999991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8" t="str" cm="1">
        <f t="array" ref="A4:A9">Sites[Site]</f>
        <v>Joliet - Craughwell</v>
      </c>
      <c r="B4" s="29" t="str" cm="1">
        <f t="array" ref="B4:B9">Sites[State]</f>
        <v>IL</v>
      </c>
      <c r="C4" s="24">
        <v>27622.5</v>
      </c>
      <c r="D4" s="13">
        <v>33134.507199999993</v>
      </c>
      <c r="E4" s="13">
        <f>IF(AND(ISNUMBER(C4),ISNUMBER(D4)), C4-D4, "")</f>
        <v>-5512.0071999999927</v>
      </c>
      <c r="F4" s="14">
        <f>IFERROR(E4/D4, "")</f>
        <v>-0.16635247256672628</v>
      </c>
      <c r="G4" s="15">
        <v>0</v>
      </c>
      <c r="H4" s="15">
        <f>IF(AND(ISNUMBER(C4),ISNUMBER(G4)), C4-G4, "")</f>
        <v>27622.5</v>
      </c>
      <c r="I4" s="16" t="str">
        <f>IFERROR(H4/G4, "")</f>
        <v/>
      </c>
      <c r="J4" s="51"/>
      <c r="K4" s="51"/>
    </row>
    <row r="5" spans="1:11" ht="15.75">
      <c r="A5" s="49" t="str">
        <v>Joliet - Heritage Trail</v>
      </c>
      <c r="B5" s="31" t="str">
        <v>IL</v>
      </c>
      <c r="C5" s="11">
        <v>30818</v>
      </c>
      <c r="D5" s="18">
        <v>35701.063799999996</v>
      </c>
      <c r="E5" s="18">
        <f t="shared" ref="E5:E9" si="0">IF(AND(ISNUMBER(C5),ISNUMBER(D5)), C5-D5, "")</f>
        <v>-4883.0637999999963</v>
      </c>
      <c r="F5" s="19">
        <f>IFERROR(E5/D5, "")</f>
        <v>-0.13677642289191386</v>
      </c>
      <c r="G5" s="20">
        <v>0</v>
      </c>
      <c r="H5" s="20">
        <f t="shared" ref="H5:H9" si="1">IF(AND(ISNUMBER(C5),ISNUMBER(G5)), C5-G5, "")</f>
        <v>30818</v>
      </c>
      <c r="I5" s="19" t="str">
        <f t="shared" ref="I5:I9" si="2">IFERROR(H5/G5, "")</f>
        <v/>
      </c>
      <c r="J5" s="52"/>
      <c r="K5" s="52"/>
    </row>
    <row r="6" spans="1:11" ht="15.75">
      <c r="A6" s="50" t="str">
        <v>Plainfield - Troy</v>
      </c>
      <c r="B6" s="29" t="str">
        <v>IL</v>
      </c>
      <c r="C6" s="24">
        <v>-2714541.4999999991</v>
      </c>
      <c r="D6" s="13">
        <v>15739.583800000015</v>
      </c>
      <c r="E6" s="13">
        <f t="shared" si="0"/>
        <v>-2730281.0837999992</v>
      </c>
      <c r="F6" s="14">
        <f t="shared" ref="F6:F9" si="3">IFERROR(E6/D6, "")</f>
        <v>-173.46590090901873</v>
      </c>
      <c r="G6" s="15">
        <v>0</v>
      </c>
      <c r="H6" s="15">
        <f t="shared" si="1"/>
        <v>-2714541.4999999991</v>
      </c>
      <c r="I6" s="16" t="str">
        <f t="shared" si="2"/>
        <v/>
      </c>
      <c r="J6" s="51" t="s">
        <v>24</v>
      </c>
      <c r="K6" s="51" t="s">
        <v>25</v>
      </c>
    </row>
    <row r="7" spans="1:11" ht="15.75">
      <c r="A7" s="49" t="str">
        <v>Plainfield - William B Orenic</v>
      </c>
      <c r="B7" s="31" t="str">
        <v>IL</v>
      </c>
      <c r="C7" s="11">
        <v>32717.75</v>
      </c>
      <c r="D7" s="18">
        <v>34977.903900000041</v>
      </c>
      <c r="E7" s="18">
        <f t="shared" si="0"/>
        <v>-2260.1539000000412</v>
      </c>
      <c r="F7" s="19">
        <f t="shared" si="3"/>
        <v>-6.4616619293760433E-2</v>
      </c>
      <c r="G7" s="20">
        <v>0</v>
      </c>
      <c r="H7" s="20">
        <f t="shared" si="1"/>
        <v>32717.75</v>
      </c>
      <c r="I7" s="19" t="str">
        <f t="shared" si="2"/>
        <v/>
      </c>
      <c r="J7" s="52"/>
      <c r="K7" s="53"/>
    </row>
    <row r="8" spans="1:11" ht="15.75">
      <c r="A8" s="50" t="str">
        <v>Shorewood - Cronin</v>
      </c>
      <c r="B8" s="29" t="str">
        <v>IL</v>
      </c>
      <c r="C8" s="24">
        <v>37469.75</v>
      </c>
      <c r="D8" s="13">
        <v>38519.775499999982</v>
      </c>
      <c r="E8" s="13">
        <f t="shared" si="0"/>
        <v>-1050.0254999999815</v>
      </c>
      <c r="F8" s="14">
        <f t="shared" si="3"/>
        <v>-2.7259387843524219E-2</v>
      </c>
      <c r="G8" s="15">
        <v>0</v>
      </c>
      <c r="H8" s="15">
        <f t="shared" si="1"/>
        <v>37469.75</v>
      </c>
      <c r="I8" s="16" t="str">
        <f t="shared" si="2"/>
        <v/>
      </c>
      <c r="J8" s="51"/>
      <c r="K8" s="51"/>
    </row>
    <row r="9" spans="1:11" ht="15.75">
      <c r="A9" s="49" t="str">
        <v>Shorewood - Hofer</v>
      </c>
      <c r="B9" s="31" t="str">
        <v>IL</v>
      </c>
      <c r="C9" s="11">
        <v>31008.25</v>
      </c>
      <c r="D9" s="18">
        <v>37368.888899999918</v>
      </c>
      <c r="E9" s="18">
        <f t="shared" si="0"/>
        <v>-6360.6388999999181</v>
      </c>
      <c r="F9" s="19">
        <f t="shared" si="3"/>
        <v>-0.17021214939039656</v>
      </c>
      <c r="G9" s="20">
        <v>0</v>
      </c>
      <c r="H9" s="20">
        <f t="shared" si="1"/>
        <v>31008.25</v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D15" sqref="D15"/>
      <selection pane="bottomLeft" activeCell="A10" sqref="A10:XFD32"/>
      <selection pane="topRight" activeCell="A10" sqref="A10:XFD32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228906.63060000015</v>
      </c>
      <c r="D2" s="5">
        <f>SUM(D4:D77)</f>
        <v>246225.52850000034</v>
      </c>
      <c r="E2" s="5">
        <f>C2-D2</f>
        <v>-17318.897900000185</v>
      </c>
      <c r="F2" s="6">
        <f>IFERROR(E2/D2, 0)</f>
        <v>-7.0337539756768805E-2</v>
      </c>
      <c r="G2" s="5">
        <f>SUM(G4:G77)</f>
        <v>0</v>
      </c>
      <c r="H2" s="7">
        <f>C2-G2</f>
        <v>228906.63060000015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34868</v>
      </c>
      <c r="D4" s="13">
        <v>38458.218700000005</v>
      </c>
      <c r="E4" s="13">
        <f>IF(AND(ISNUMBER(C4),ISNUMBER(D4)), C4-D4, "")</f>
        <v>-3590.2187000000049</v>
      </c>
      <c r="F4" s="14">
        <f>IFERROR(E4/D4, "")</f>
        <v>-9.3353743916381765E-2</v>
      </c>
      <c r="G4" s="15">
        <v>0</v>
      </c>
      <c r="H4" s="15">
        <f>IF(AND(ISNUMBER(C4),ISNUMBER(G4)), C4-G4, "")</f>
        <v>34868</v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>
        <v>38257.000599999999</v>
      </c>
      <c r="D5" s="18">
        <v>40168.645699999994</v>
      </c>
      <c r="E5" s="18">
        <f t="shared" ref="E5:E9" si="0">IF(AND(ISNUMBER(C5),ISNUMBER(D5)), C5-D5, "")</f>
        <v>-1911.6450999999943</v>
      </c>
      <c r="F5" s="19">
        <f>IFERROR(E5/D5, "")</f>
        <v>-4.7590479257805664E-2</v>
      </c>
      <c r="G5" s="20">
        <v>0</v>
      </c>
      <c r="H5" s="20">
        <f t="shared" ref="H5:H9" si="1">IF(AND(ISNUMBER(C5),ISNUMBER(G5)), C5-G5, "")</f>
        <v>38257.000599999999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36630.88000000015</v>
      </c>
      <c r="D6" s="13">
        <v>42161.43570000014</v>
      </c>
      <c r="E6" s="13">
        <f t="shared" si="0"/>
        <v>-5530.5556999999899</v>
      </c>
      <c r="F6" s="14">
        <f t="shared" ref="F6:F9" si="3">IFERROR(E6/D6, "")</f>
        <v>-0.13117569665683779</v>
      </c>
      <c r="G6" s="15">
        <v>0</v>
      </c>
      <c r="H6" s="15">
        <f t="shared" si="1"/>
        <v>36630.88000000015</v>
      </c>
      <c r="I6" s="16" t="str">
        <f t="shared" si="2"/>
        <v/>
      </c>
      <c r="J6" s="51" t="s">
        <v>28</v>
      </c>
      <c r="K6" s="51" t="s">
        <v>25</v>
      </c>
    </row>
    <row r="7" spans="1:11" ht="15.75">
      <c r="A7" s="30" t="str">
        <v>Plainfield - William B Orenic</v>
      </c>
      <c r="B7" s="31" t="str">
        <v>IL</v>
      </c>
      <c r="C7" s="11">
        <v>38228</v>
      </c>
      <c r="D7" s="18">
        <v>39135.440500000026</v>
      </c>
      <c r="E7" s="18">
        <f t="shared" si="0"/>
        <v>-907.44050000002608</v>
      </c>
      <c r="F7" s="19">
        <f t="shared" si="3"/>
        <v>-2.3187179916884428E-2</v>
      </c>
      <c r="G7" s="20">
        <v>0</v>
      </c>
      <c r="H7" s="20">
        <f t="shared" si="1"/>
        <v>38228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43792.75</v>
      </c>
      <c r="D8" s="13">
        <v>44293.11370000006</v>
      </c>
      <c r="E8" s="13">
        <f t="shared" si="0"/>
        <v>-500.36370000005991</v>
      </c>
      <c r="F8" s="14">
        <f t="shared" si="3"/>
        <v>-1.1296647677312855E-2</v>
      </c>
      <c r="G8" s="15">
        <v>0</v>
      </c>
      <c r="H8" s="15">
        <f t="shared" si="1"/>
        <v>43792.75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37130</v>
      </c>
      <c r="D9" s="18">
        <v>42008.674200000096</v>
      </c>
      <c r="E9" s="18">
        <f t="shared" si="0"/>
        <v>-4878.6742000000959</v>
      </c>
      <c r="F9" s="19">
        <f t="shared" si="3"/>
        <v>-0.11613492434379385</v>
      </c>
      <c r="G9" s="20">
        <v>0</v>
      </c>
      <c r="H9" s="20">
        <f t="shared" si="1"/>
        <v>37130</v>
      </c>
      <c r="I9" s="19" t="str">
        <f t="shared" si="2"/>
        <v/>
      </c>
      <c r="J9" s="52" t="s">
        <v>29</v>
      </c>
      <c r="K9" s="53" t="s">
        <v>30</v>
      </c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D8" sqref="D8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31</v>
      </c>
      <c r="E1" s="56"/>
      <c r="F1" s="56"/>
      <c r="G1" s="54" t="s">
        <v>32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263649</v>
      </c>
      <c r="D2" s="5">
        <f>SUM(D4:D77)</f>
        <v>49433</v>
      </c>
      <c r="E2" s="5">
        <f>C2-D2</f>
        <v>214216</v>
      </c>
      <c r="F2" s="6">
        <f>IFERROR(E2/D2, 0)</f>
        <v>4.3334614528756097</v>
      </c>
      <c r="G2" s="5">
        <f>SUM(G4:G77)</f>
        <v>0</v>
      </c>
      <c r="H2" s="7">
        <f>C2-G2</f>
        <v>263649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40399</v>
      </c>
      <c r="D4" s="13">
        <v>0</v>
      </c>
      <c r="E4" s="13">
        <f>IF(AND(ISNUMBER(C4),ISNUMBER(D4)), C4-D4, "")</f>
        <v>40399</v>
      </c>
      <c r="F4" s="14" t="str">
        <f>IFERROR(E4/D4, "")</f>
        <v/>
      </c>
      <c r="G4" s="15">
        <v>0</v>
      </c>
      <c r="H4" s="15">
        <f>IF(AND(ISNUMBER(C4),ISNUMBER(G4)), C4-G4, "")</f>
        <v>40399</v>
      </c>
      <c r="I4" s="16" t="str">
        <f>IFERROR(H4/G4, "")</f>
        <v/>
      </c>
      <c r="J4" s="51" t="s">
        <v>33</v>
      </c>
      <c r="K4" s="51" t="s">
        <v>34</v>
      </c>
    </row>
    <row r="5" spans="1:11" ht="15.75">
      <c r="A5" s="30" t="str">
        <v>Joliet - Heritage Trail</v>
      </c>
      <c r="B5" s="31" t="str">
        <v>IL</v>
      </c>
      <c r="C5" s="11">
        <v>43972</v>
      </c>
      <c r="D5" s="18">
        <v>0</v>
      </c>
      <c r="E5" s="18">
        <f t="shared" ref="E5:E9" si="0">IF(AND(ISNUMBER(C5),ISNUMBER(D5)), C5-D5, "")</f>
        <v>43972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43972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45621</v>
      </c>
      <c r="D6" s="13">
        <v>0</v>
      </c>
      <c r="E6" s="13">
        <f t="shared" si="0"/>
        <v>45621</v>
      </c>
      <c r="F6" s="14" t="str">
        <f t="shared" ref="F6:F9" si="3">IFERROR(E6/D6, "")</f>
        <v/>
      </c>
      <c r="G6" s="15">
        <v>0</v>
      </c>
      <c r="H6" s="15">
        <f t="shared" si="1"/>
        <v>45621</v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>
        <v>42537</v>
      </c>
      <c r="D7" s="18">
        <v>0</v>
      </c>
      <c r="E7" s="18">
        <f t="shared" si="0"/>
        <v>42537</v>
      </c>
      <c r="F7" s="19" t="str">
        <f t="shared" si="3"/>
        <v/>
      </c>
      <c r="G7" s="20">
        <v>0</v>
      </c>
      <c r="H7" s="20">
        <f t="shared" si="1"/>
        <v>42537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49064.5</v>
      </c>
      <c r="D8" s="13">
        <v>49433</v>
      </c>
      <c r="E8" s="13">
        <f t="shared" si="0"/>
        <v>-368.5</v>
      </c>
      <c r="F8" s="14">
        <f t="shared" si="3"/>
        <v>-7.4545344203265024E-3</v>
      </c>
      <c r="G8" s="15">
        <v>0</v>
      </c>
      <c r="H8" s="15">
        <f t="shared" si="1"/>
        <v>49064.5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42055.5</v>
      </c>
      <c r="D9" s="18">
        <v>0</v>
      </c>
      <c r="E9" s="18">
        <f t="shared" si="0"/>
        <v>42055.5</v>
      </c>
      <c r="F9" s="19" t="str">
        <f t="shared" si="3"/>
        <v/>
      </c>
      <c r="G9" s="20">
        <v>0</v>
      </c>
      <c r="H9" s="20">
        <f t="shared" si="1"/>
        <v>42055.5</v>
      </c>
      <c r="I9" s="19" t="str">
        <f t="shared" si="2"/>
        <v/>
      </c>
      <c r="J9" s="52" t="s">
        <v>35</v>
      </c>
      <c r="K9" s="52" t="s">
        <v>36</v>
      </c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D9" sqref="D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37</v>
      </c>
      <c r="E1" s="56"/>
      <c r="F1" s="56"/>
      <c r="G1" s="54" t="s">
        <v>38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338091.75</v>
      </c>
      <c r="D2" s="5">
        <f>SUM(D4:D77)</f>
        <v>65584.36</v>
      </c>
      <c r="E2" s="5">
        <f>C2-D2</f>
        <v>272507.39</v>
      </c>
      <c r="F2" s="6">
        <f>IFERROR(E2/D2, 0)</f>
        <v>4.1550666957792988</v>
      </c>
      <c r="G2" s="5">
        <f>SUM(G4:G77)</f>
        <v>0</v>
      </c>
      <c r="H2" s="7">
        <f>C2-G2</f>
        <v>338091.75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47126</v>
      </c>
      <c r="D4" s="13">
        <v>0</v>
      </c>
      <c r="E4" s="13">
        <f>IF(AND(ISNUMBER(C4),ISNUMBER(D4)), C4-D4, "")</f>
        <v>47126</v>
      </c>
      <c r="F4" s="14" t="str">
        <f>IFERROR(E4/D4, "")</f>
        <v/>
      </c>
      <c r="G4" s="15">
        <v>0</v>
      </c>
      <c r="H4" s="15">
        <f>IF(AND(ISNUMBER(C4),ISNUMBER(G4)), C4-G4, "")</f>
        <v>47126</v>
      </c>
      <c r="I4" s="16" t="str">
        <f>IFERROR(H4/G4, "")</f>
        <v/>
      </c>
      <c r="J4" s="51" t="s">
        <v>33</v>
      </c>
      <c r="K4" s="51" t="s">
        <v>34</v>
      </c>
    </row>
    <row r="5" spans="1:11" ht="15.75">
      <c r="A5" s="30" t="str">
        <v>Joliet - Heritage Trail</v>
      </c>
      <c r="B5" s="31" t="str">
        <v>IL</v>
      </c>
      <c r="C5" s="11">
        <v>56820</v>
      </c>
      <c r="D5" s="18">
        <v>0</v>
      </c>
      <c r="E5" s="18">
        <f t="shared" ref="E5:E9" si="0">IF(AND(ISNUMBER(C5),ISNUMBER(D5)), C5-D5, "")</f>
        <v>56820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56820</v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>
        <v>56900</v>
      </c>
      <c r="D6" s="13">
        <v>0</v>
      </c>
      <c r="E6" s="13">
        <f t="shared" si="0"/>
        <v>56900</v>
      </c>
      <c r="F6" s="14" t="str">
        <f t="shared" ref="F6:F9" si="3">IFERROR(E6/D6, "")</f>
        <v/>
      </c>
      <c r="G6" s="15">
        <v>0</v>
      </c>
      <c r="H6" s="15">
        <f t="shared" si="1"/>
        <v>56900</v>
      </c>
      <c r="I6" s="16" t="str">
        <f t="shared" si="2"/>
        <v/>
      </c>
      <c r="J6" s="51" t="s">
        <v>39</v>
      </c>
      <c r="K6" s="51" t="s">
        <v>40</v>
      </c>
    </row>
    <row r="7" spans="1:11" ht="15.75">
      <c r="A7" s="30" t="str">
        <v>Plainfield - William B Orenic</v>
      </c>
      <c r="B7" s="31" t="str">
        <v>IL</v>
      </c>
      <c r="C7" s="11">
        <v>55554</v>
      </c>
      <c r="D7" s="18">
        <v>0</v>
      </c>
      <c r="E7" s="18">
        <f t="shared" si="0"/>
        <v>55554</v>
      </c>
      <c r="F7" s="19" t="str">
        <f t="shared" si="3"/>
        <v/>
      </c>
      <c r="G7" s="20">
        <v>0</v>
      </c>
      <c r="H7" s="20">
        <f t="shared" si="1"/>
        <v>55554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63684</v>
      </c>
      <c r="D8" s="13">
        <v>65584.36</v>
      </c>
      <c r="E8" s="13">
        <f t="shared" si="0"/>
        <v>-1900.3600000000006</v>
      </c>
      <c r="F8" s="14">
        <f t="shared" si="3"/>
        <v>-2.8975810696330657E-2</v>
      </c>
      <c r="G8" s="15">
        <v>0</v>
      </c>
      <c r="H8" s="15">
        <f t="shared" si="1"/>
        <v>63684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58007.75</v>
      </c>
      <c r="D9" s="18">
        <v>0</v>
      </c>
      <c r="E9" s="18">
        <f t="shared" si="0"/>
        <v>58007.75</v>
      </c>
      <c r="F9" s="19" t="str">
        <f t="shared" si="3"/>
        <v/>
      </c>
      <c r="G9" s="20">
        <v>0</v>
      </c>
      <c r="H9" s="20">
        <f t="shared" si="1"/>
        <v>58007.75</v>
      </c>
      <c r="I9" s="19" t="str">
        <f t="shared" si="2"/>
        <v/>
      </c>
      <c r="J9" s="52" t="s">
        <v>41</v>
      </c>
      <c r="K9" s="52" t="s">
        <v>36</v>
      </c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D9" sqref="D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308200.5</v>
      </c>
      <c r="D2" s="5">
        <f>SUM(D4:D77)</f>
        <v>62324.98</v>
      </c>
      <c r="E2" s="5">
        <f>C2-D2</f>
        <v>245875.52</v>
      </c>
      <c r="F2" s="6">
        <f>IFERROR(E2/D2, 0)</f>
        <v>3.9450557384855958</v>
      </c>
      <c r="G2" s="5">
        <f>SUM(G4:G77)</f>
        <v>0</v>
      </c>
      <c r="H2" s="7">
        <f>C2-G2</f>
        <v>308200.5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30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39548</v>
      </c>
      <c r="D4" s="13">
        <v>0</v>
      </c>
      <c r="E4" s="13">
        <f>IF(AND(ISNUMBER(C4),ISNUMBER(D4)), C4-D4, "")</f>
        <v>39548</v>
      </c>
      <c r="F4" s="14" t="str">
        <f>IFERROR(E4/D4, "")</f>
        <v/>
      </c>
      <c r="G4" s="15">
        <v>0</v>
      </c>
      <c r="H4" s="15">
        <f>IF(AND(ISNUMBER(C4),ISNUMBER(G4)), C4-G4, "")</f>
        <v>39548</v>
      </c>
      <c r="I4" s="16" t="str">
        <f>IFERROR(H4/G4, "")</f>
        <v/>
      </c>
      <c r="J4" s="51" t="s">
        <v>44</v>
      </c>
      <c r="K4" s="51" t="s">
        <v>45</v>
      </c>
    </row>
    <row r="5" spans="1:11" ht="15.75">
      <c r="A5" s="30" t="str">
        <v>Joliet - Heritage Trail</v>
      </c>
      <c r="B5" s="31" t="str">
        <v>IL</v>
      </c>
      <c r="C5" s="11">
        <v>53557</v>
      </c>
      <c r="D5" s="18">
        <v>0</v>
      </c>
      <c r="E5" s="18">
        <f t="shared" ref="E5:E9" si="0">IF(AND(ISNUMBER(C5),ISNUMBER(D5)), C5-D5, "")</f>
        <v>53557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53557</v>
      </c>
      <c r="I5" s="19" t="str">
        <f t="shared" ref="I5:I9" si="2">IFERROR(H5/G5, "")</f>
        <v/>
      </c>
      <c r="J5" s="52" t="s">
        <v>46</v>
      </c>
      <c r="K5" s="52" t="s">
        <v>47</v>
      </c>
    </row>
    <row r="6" spans="1:11" ht="15.75">
      <c r="A6" s="28" t="str">
        <v>Plainfield - Troy</v>
      </c>
      <c r="B6" s="29" t="str">
        <v>IL</v>
      </c>
      <c r="C6" s="24">
        <v>48034</v>
      </c>
      <c r="D6" s="13">
        <v>0</v>
      </c>
      <c r="E6" s="13">
        <f t="shared" si="0"/>
        <v>48034</v>
      </c>
      <c r="F6" s="14" t="str">
        <f t="shared" ref="F6:F9" si="3">IFERROR(E6/D6, "")</f>
        <v/>
      </c>
      <c r="G6" s="15">
        <v>0</v>
      </c>
      <c r="H6" s="15">
        <f t="shared" si="1"/>
        <v>48034</v>
      </c>
      <c r="I6" s="16" t="str">
        <f t="shared" si="2"/>
        <v/>
      </c>
      <c r="J6" s="51" t="s">
        <v>48</v>
      </c>
      <c r="K6" s="51" t="s">
        <v>40</v>
      </c>
    </row>
    <row r="7" spans="1:11" ht="15.75">
      <c r="A7" s="30" t="str">
        <v>Plainfield - William B Orenic</v>
      </c>
      <c r="B7" s="31" t="str">
        <v>IL</v>
      </c>
      <c r="C7" s="11">
        <v>52070</v>
      </c>
      <c r="D7" s="18">
        <v>0</v>
      </c>
      <c r="E7" s="18">
        <f t="shared" si="0"/>
        <v>52070</v>
      </c>
      <c r="F7" s="19" t="str">
        <f t="shared" si="3"/>
        <v/>
      </c>
      <c r="G7" s="20">
        <v>0</v>
      </c>
      <c r="H7" s="20">
        <f t="shared" si="1"/>
        <v>52070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59622</v>
      </c>
      <c r="D8" s="13">
        <v>62324.98</v>
      </c>
      <c r="E8" s="13">
        <f t="shared" si="0"/>
        <v>-2702.9800000000032</v>
      </c>
      <c r="F8" s="14">
        <f t="shared" si="3"/>
        <v>-4.3369127434938655E-2</v>
      </c>
      <c r="G8" s="15">
        <v>0</v>
      </c>
      <c r="H8" s="15">
        <f t="shared" si="1"/>
        <v>59622</v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>
        <v>55369.5</v>
      </c>
      <c r="D9" s="18">
        <v>0</v>
      </c>
      <c r="E9" s="18">
        <f t="shared" si="0"/>
        <v>55369.5</v>
      </c>
      <c r="F9" s="19" t="str">
        <f t="shared" si="3"/>
        <v/>
      </c>
      <c r="G9" s="20">
        <v>0</v>
      </c>
      <c r="H9" s="20">
        <f t="shared" si="1"/>
        <v>55369.5</v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49</v>
      </c>
      <c r="E1" s="56"/>
      <c r="F1" s="56"/>
      <c r="G1" s="54" t="s">
        <v>50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sortState xmlns:xlrd2="http://schemas.microsoft.com/office/spreadsheetml/2017/richdata2" ref="A3:K9">
    <sortCondition ref="A3:A9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J9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51</v>
      </c>
      <c r="E1" s="56"/>
      <c r="F1" s="56"/>
      <c r="G1" s="54" t="s">
        <v>52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53</v>
      </c>
      <c r="E1" s="56"/>
      <c r="F1" s="56"/>
      <c r="G1" s="54" t="s">
        <v>54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55</v>
      </c>
      <c r="E1" s="56"/>
      <c r="F1" s="56"/>
      <c r="G1" s="54" t="s">
        <v>56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57</v>
      </c>
      <c r="E1" s="56"/>
      <c r="F1" s="56"/>
      <c r="G1" s="54" t="s">
        <v>58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Troy School District</v>
      </c>
      <c r="B1" s="55"/>
      <c r="C1" s="55"/>
      <c r="D1" s="56" t="s">
        <v>59</v>
      </c>
      <c r="E1" s="56"/>
      <c r="F1" s="56"/>
      <c r="G1" s="54" t="s">
        <v>60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7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7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7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7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3.9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61</v>
      </c>
      <c r="B1" t="s">
        <v>62</v>
      </c>
    </row>
    <row r="3" spans="1:12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12" ht="14.25">
      <c r="A4" s="47" t="s">
        <v>66</v>
      </c>
      <c r="B4" t="s">
        <v>67</v>
      </c>
      <c r="C4" s="44" t="s">
        <v>68</v>
      </c>
      <c r="D4" s="43"/>
      <c r="E4" t="s">
        <v>69</v>
      </c>
      <c r="G4" s="3"/>
    </row>
    <row r="5" spans="1:12" ht="14.25">
      <c r="A5" s="47" t="s">
        <v>70</v>
      </c>
      <c r="B5" t="s">
        <v>71</v>
      </c>
      <c r="C5" s="44" t="s">
        <v>68</v>
      </c>
      <c r="D5" s="43"/>
      <c r="E5" t="s">
        <v>69</v>
      </c>
      <c r="G5" s="3"/>
    </row>
    <row r="6" spans="1:12" ht="14.25">
      <c r="A6" s="47" t="s">
        <v>72</v>
      </c>
      <c r="B6" t="s">
        <v>73</v>
      </c>
      <c r="C6" s="44" t="s">
        <v>68</v>
      </c>
      <c r="D6" s="43"/>
      <c r="E6" t="s">
        <v>69</v>
      </c>
      <c r="G6" s="3"/>
    </row>
    <row r="7" spans="1:12" ht="12.75" customHeight="1">
      <c r="A7" s="47" t="s">
        <v>74</v>
      </c>
      <c r="B7" t="s">
        <v>75</v>
      </c>
      <c r="C7" s="44" t="s">
        <v>68</v>
      </c>
      <c r="D7" s="43"/>
      <c r="E7" t="s">
        <v>69</v>
      </c>
    </row>
    <row r="8" spans="1:12" ht="12.75" customHeight="1">
      <c r="A8" s="47" t="s">
        <v>76</v>
      </c>
      <c r="B8" t="s">
        <v>77</v>
      </c>
      <c r="C8" s="44" t="s">
        <v>68</v>
      </c>
      <c r="D8" s="43"/>
      <c r="E8" t="s">
        <v>69</v>
      </c>
    </row>
    <row r="9" spans="1:12" ht="12.75" customHeight="1">
      <c r="A9" s="47" t="s">
        <v>78</v>
      </c>
      <c r="B9" t="s">
        <v>79</v>
      </c>
      <c r="C9" s="44" t="s">
        <v>68</v>
      </c>
      <c r="D9" s="43"/>
      <c r="E9" t="s">
        <v>69</v>
      </c>
    </row>
    <row r="10" spans="1:12" ht="12.75" customHeight="1">
      <c r="A10" s="47"/>
      <c r="C10" s="44"/>
      <c r="D10" s="43"/>
      <c r="K10" s="41"/>
      <c r="L10" s="41"/>
    </row>
    <row r="11" spans="1:12" ht="12.75" customHeight="1">
      <c r="A11" s="47"/>
      <c r="C11" s="44"/>
      <c r="D11" s="43"/>
      <c r="K11" s="41"/>
      <c r="L11" s="41"/>
    </row>
    <row r="12" spans="1:12" ht="12.75" customHeight="1">
      <c r="A12" s="47"/>
      <c r="C12" s="44"/>
      <c r="D12" s="43"/>
      <c r="K12" s="41"/>
      <c r="L12" s="41"/>
    </row>
    <row r="13" spans="1:12" ht="12.75" customHeight="1">
      <c r="A13" s="47"/>
      <c r="C13" s="44"/>
      <c r="D13" s="43"/>
      <c r="K13" s="41"/>
      <c r="L13" s="41"/>
    </row>
    <row r="14" spans="1:12" ht="12.75" customHeight="1">
      <c r="A14" s="47"/>
      <c r="C14" s="44"/>
      <c r="D14" s="43"/>
      <c r="K14" s="41"/>
      <c r="L14" s="41"/>
    </row>
    <row r="15" spans="1:12" ht="12.75" customHeight="1">
      <c r="A15" s="47"/>
      <c r="C15" s="44"/>
      <c r="D15" s="43"/>
      <c r="K15" s="41"/>
      <c r="L15" s="41"/>
    </row>
    <row r="16" spans="1:12" ht="12.75" customHeight="1">
      <c r="A16" s="47"/>
      <c r="C16" s="44"/>
      <c r="D16" s="43"/>
      <c r="K16" s="41"/>
      <c r="L16" s="41"/>
    </row>
    <row r="17" spans="1:12" ht="12.75" customHeight="1">
      <c r="A17" s="47"/>
      <c r="C17" s="44"/>
      <c r="D17" s="43"/>
      <c r="K17" s="41"/>
      <c r="L17" s="41"/>
    </row>
    <row r="18" spans="1:12" ht="12.75" customHeight="1">
      <c r="A18" s="47"/>
      <c r="C18" s="44"/>
      <c r="D18" s="43"/>
      <c r="K18" s="41"/>
      <c r="L18" s="41"/>
    </row>
    <row r="19" spans="1:12" ht="12.75" customHeight="1">
      <c r="A19" s="47"/>
      <c r="C19" s="44"/>
      <c r="D19" s="43"/>
      <c r="K19" s="41"/>
      <c r="L19" s="41"/>
    </row>
    <row r="20" spans="1:12" ht="12.75" customHeight="1">
      <c r="A20" s="47"/>
      <c r="C20" s="44"/>
      <c r="D20" s="43"/>
      <c r="K20" s="41"/>
      <c r="L20" s="41"/>
    </row>
    <row r="21" spans="1:12" ht="12.75" customHeight="1">
      <c r="A21" s="47"/>
      <c r="C21" s="44"/>
      <c r="D21" s="43"/>
      <c r="K21" s="41"/>
      <c r="L21" s="41"/>
    </row>
    <row r="22" spans="1:12" ht="12.75" customHeight="1">
      <c r="A22" s="47"/>
      <c r="C22" s="44"/>
      <c r="D22" s="43"/>
      <c r="K22" s="41"/>
      <c r="L22" s="41"/>
    </row>
    <row r="23" spans="1:12" ht="12.75" customHeight="1">
      <c r="A23" s="47"/>
      <c r="C23" s="44"/>
      <c r="D23" s="43"/>
      <c r="K23" s="41"/>
      <c r="L23" s="41"/>
    </row>
    <row r="24" spans="1:12" ht="12.75" customHeight="1">
      <c r="A24" s="47"/>
      <c r="C24" s="44"/>
      <c r="D24" s="43"/>
      <c r="K24" s="41"/>
      <c r="L24" s="41"/>
    </row>
    <row r="25" spans="1:12" ht="12.75" customHeight="1">
      <c r="A25" s="47"/>
      <c r="C25" s="44"/>
      <c r="D25" s="43"/>
      <c r="K25" s="41"/>
      <c r="L25" s="41"/>
    </row>
    <row r="26" spans="1:12" ht="12.75" customHeight="1">
      <c r="K26" s="41"/>
      <c r="L26" s="41"/>
    </row>
    <row r="27" spans="1:12" ht="12.75" customHeight="1">
      <c r="K27" s="41"/>
      <c r="L27" s="41"/>
    </row>
    <row r="28" spans="1:12" ht="12.75" customHeight="1">
      <c r="K28" s="41"/>
      <c r="L28" s="41"/>
    </row>
    <row r="29" spans="1:12" ht="12.75" customHeight="1">
      <c r="K29" s="41"/>
      <c r="L29" s="41"/>
    </row>
    <row r="30" spans="1:12" ht="12.75" customHeight="1">
      <c r="K30" s="41"/>
      <c r="L30" s="41"/>
    </row>
    <row r="31" spans="1:12" ht="12.75" customHeight="1">
      <c r="K31" s="41"/>
      <c r="L31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2024-07-15T03:44:54Z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