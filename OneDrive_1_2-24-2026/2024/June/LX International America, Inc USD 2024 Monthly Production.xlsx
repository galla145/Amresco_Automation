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Microsoft Teams Chat Files/"/>
    </mc:Choice>
  </mc:AlternateContent>
  <xr:revisionPtr revIDLastSave="26" documentId="13_ncr:1_{7F15EC3F-DB41-4620-9166-C7B86A7ACC29}" xr6:coauthVersionLast="47" xr6:coauthVersionMax="47" xr10:uidLastSave="{63759F32-85F6-42E7-AD3A-10B9FCBBEE78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E6" i="18" l="1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<sst xmlns="http://schemas.openxmlformats.org/spreadsheetml/2006/main" count="295" uniqueCount="69">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</sst>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E21" sqref="E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SUM(C4:C92)</f>
        <v>402532.65</v>
      </c>
      <c r="D2" s="6">
        <f>SUM(D4:D92)</f>
        <v>408090.40029999998</v>
      </c>
      <c r="E2" s="6">
        <f>C2-D2</f>
        <v>-5557.750299999956</v>
      </c>
      <c r="F2" s="7">
        <f>IFERROR(E2/D2, 0)</f>
        <v>-1.3618919474494574E-2</v>
      </c>
      <c r="G2" s="6">
        <f>SUM(G4:G92)</f>
        <v>0</v>
      </c>
      <c r="H2" s="8">
        <f>C2-G2</f>
        <v>402532.65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239929.13</v>
      </c>
      <c r="D4" s="14">
        <f>SUM('1st Qtr'!D4, '2nd Qtr'!D4, '3rd Qtr'!D4, '4th Qtr'!D4)</f>
        <v>357738.79639999999</v>
      </c>
      <c r="E4" s="14">
        <f>IF(AND(ISNUMBER(C4),ISNUMBER(D4)), C4-D4, "")</f>
        <v>-117809.66639999999</v>
      </c>
      <c r="F4" s="15">
        <f>IFERROR(E4/D4, "")</f>
        <v>-0.32931755679155628</v>
      </c>
      <c r="G4" s="16">
        <f>SUM('1st Qtr'!G4, '2nd Qtr'!G4, '3rd Qtr'!G4, '4th Qtr'!G4)</f>
        <v>0</v>
      </c>
      <c r="H4" s="16">
        <f>SUM('1st Qtr'!H4, '2nd Qtr'!H4, '3rd Qtr'!H4, '4th Qtr'!H4)</f>
        <v>239929.13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20" sqref="D2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/>
      <c r="H4" s="16">
        <f>SUM(Apr!H4, May!H4, Jun!H4)</f>
        <v>144342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/>
      <c r="H5" s="22">
        <f>SUM(Apr!H5, May!H5, Jun!H5)</f>
        <v>162858.5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/>
      <c r="H6" s="16">
        <f>SUM(Apr!H6, May!H6, Jun!H6)</f>
        <v>59647.75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/>
      <c r="H7" s="22">
        <f>SUM(Apr!H7, May!H7, Jun!H7)</f>
        <v>38531.839999999997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LX International America, Inc.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5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5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27</v>
      </c>
      <c r="E1" s="52"/>
      <c r="F1" s="52"/>
      <c r="G1" s="50" t="s">
        <v>28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7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36</v>
      </c>
      <c r="E1" s="52"/>
      <c r="F1" s="52"/>
      <c r="G1" s="50" t="s">
        <v>37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7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38</v>
      </c>
      <c r="E1" s="52"/>
      <c r="F1" s="52"/>
      <c r="G1" s="50" t="s">
        <v>39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7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7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42</v>
      </c>
      <c r="E1" s="52"/>
      <c r="F1" s="52"/>
      <c r="G1" s="50" t="s">
        <v>43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5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tabSelected="1" zoomScale="80" zoomScaleNormal="80" workbookViewId="0">
      <pane ySplit="2" topLeftCell="A3" activePane="bottomLeft" state="frozen"/>
      <selection pane="bottomLeft" activeCell="J9" sqref="J9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45</v>
      </c>
      <c r="E1" s="52"/>
      <c r="F1" s="52"/>
      <c r="G1" s="50" t="s">
        <v>46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5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5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51</v>
      </c>
      <c r="E1" s="52"/>
      <c r="F1" s="52"/>
      <c r="G1" s="50" t="s">
        <v>52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53</v>
      </c>
      <c r="E1" s="52"/>
      <c r="F1" s="52"/>
      <c r="G1" s="50" t="s">
        <v>54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55</v>
      </c>
      <c r="E1" s="52"/>
      <c r="F1" s="52"/>
      <c r="G1" s="50" t="s">
        <v>56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LX International America, Inc.</v>
      </c>
      <c r="B1" s="51"/>
      <c r="C1" s="51"/>
      <c r="D1" s="52" t="s">
        <v>57</v>
      </c>
      <c r="E1" s="52"/>
      <c r="F1" s="52"/>
      <c r="G1" s="50" t="s">
        <v>58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59</v>
      </c>
      <c r="B1" t="s">
        <v>60</v>
      </c>
    </row>
    <row r="3" spans="1:7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25">
      <c r="A4" t="s">
        <v>64</v>
      </c>
      <c r="B4" t="s">
        <v>64</v>
      </c>
      <c r="C4" s="4" t="s">
        <v>65</v>
      </c>
      <c r="G4" s="3"/>
    </row>
    <row r="5" spans="1:7" ht="14.25">
      <c r="A5" t="s">
        <v>66</v>
      </c>
      <c r="B5" t="s">
        <v>66</v>
      </c>
      <c r="C5" s="4" t="s">
        <v>65</v>
      </c>
      <c r="G5" s="3"/>
    </row>
    <row r="6" spans="1:7" ht="14.25">
      <c r="A6" t="s">
        <v>67</v>
      </c>
      <c r="B6" t="s">
        <v>67</v>
      </c>
      <c r="C6" s="4" t="s">
        <v>65</v>
      </c>
      <c r="G6" s="3"/>
    </row>
    <row r="7" spans="1:7" ht="12.75" customHeight="1">
      <c r="A7" t="s">
        <v>68</v>
      </c>
      <c r="B7" t="s">
        <v>68</v>
      </c>
      <c r="C7" s="4" t="s">
        <v>65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C0BCDC1E-6052-4E48-9BAF-94A40814E7C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2024-07-02T20:50:00Z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