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21666C0C-2005-4021-A88E-83EF35E0DE5C}" xr6:coauthVersionLast="47" xr6:coauthVersionMax="47" xr10:uidLastSave="{00000000-0000-0000-0000-000000000000}"/>
  <bookViews>
    <workbookView xWindow="-108" yWindow="-108" windowWidth="23256" windowHeight="12456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2" i="18" s="1"/>
  <c r="G4" i="18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G5" i="34" l="1"/>
  <c r="D2" i="18"/>
  <c r="E5" i="18"/>
  <c r="F5" i="18" s="1"/>
  <c r="E5" i="30"/>
  <c r="F5" i="30" s="1"/>
  <c r="D2" i="29"/>
  <c r="E5" i="29"/>
  <c r="F5" i="29" s="1"/>
  <c r="D4" i="34"/>
  <c r="D2" i="34" s="1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<sst xmlns="http://schemas.openxmlformats.org/spreadsheetml/2006/main" count="245" uniqueCount="56">
  <si>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</si>
  <si>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</si>
  <si>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</si>
  <si>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</si>
  <si>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</si>
  <si>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</si>
  <si>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</si>
  <si>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</si>
  <si>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</si>
  <si>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</si>
  <si>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</si>
  <si>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</si>
  <si>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</si>
  <si>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</si>
  <si>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</si>
  <si>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</si>
  <si>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</si>
  <si>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</si>
  <si>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</si>
  <si>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</si>
  <si>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</si>
  <si>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</si>
  <si>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</si>
  <si>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</si>
  <si>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</si>
  <si>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</si>
  <si>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</si>
  <si>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</si>
  <si>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</si>
  <si>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</si>
  <si>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</si>
  <si>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</si>
  <si>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</si>
  <si>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</si>
  <si>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</si>
  <si>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</si>
  <si>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</si>
  <si>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</si>
  <si>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</si>
  <si>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</si>
  <si>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</si>
  <si>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</si>
  <si>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</si>
  <si>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</si>
  <si>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</si>
  <si>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American Polyfilm, Inc.</t>
  </si>
  <si>
    <t>Site DAS Name</t>
  </si>
  <si>
    <t>Update</t>
  </si>
  <si>
    <t>DAS</t>
  </si>
  <si>
    <t>15 Baldwin</t>
  </si>
  <si>
    <t>15 Baldwin Dr</t>
  </si>
  <si>
    <t>CT</t>
  </si>
  <si>
    <t>A</t>
  </si>
  <si>
    <t>PowerTrack</t>
  </si>
  <si>
    <t>8 Sycamore Way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</si>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</sst>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2" fillId="0" borderId="0" xfId="43" applyFont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8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SUM(C4:C69)</f>
        <v>72916.2</v>
      </c>
      <c r="D2" s="5">
        <f>SUM(D4:D69)</f>
        <v>0</v>
      </c>
      <c r="E2" s="5">
        <f>C2-D2</f>
        <v>72916.2</v>
      </c>
      <c r="F2" s="6">
        <f>IFERROR(E2/D2, 0)</f>
        <v>0</v>
      </c>
      <c r="G2" s="5">
        <f>SUM(G4:G69)</f>
        <v>70679.561000000002</v>
      </c>
      <c r="H2" s="7">
        <f>C2-G2</f>
        <v>2236.6389999999956</v>
      </c>
      <c r="I2" s="6">
        <f>IFERROR(H2/G2, 0)</f>
        <v>3.1644777759725976E-2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15 Baldwin Dr</v>
      </c>
      <c r="B4" s="9" t="str" cm="1">
        <f t="array" ref="B4:B5">Sites[State]</f>
        <v>CT</v>
      </c>
      <c r="C4" s="24">
        <f>SUM('1st Qtr'!C4, '2nd Qtr'!C4, '3rd Qtr'!C4, '4th Qtr'!C4)</f>
        <v>46528</v>
      </c>
      <c r="D4" s="13">
        <f>SUM('1st Qtr'!D4, '2nd Qtr'!D4, '3rd Qtr'!D4, '4th Qtr'!D4)</f>
        <v>0</v>
      </c>
      <c r="E4" s="13">
        <f>IF(AND(ISNUMBER(C4),ISNUMBER(D4)), C4-D4, "")</f>
        <v>46528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46528</v>
      </c>
      <c r="I4" s="16" t="str">
        <f>IFERROR(H4/G4, "")</f>
        <v/>
      </c>
    </row>
    <row r="5" spans="1:9" ht="15.6">
      <c r="A5" s="17" t="str">
        <v>8 Sycamore Way</v>
      </c>
      <c r="B5" s="10" t="str">
        <v>CT</v>
      </c>
      <c r="C5" s="11">
        <f>SUM(Jan!C5, Feb!C5, Mar!C5)</f>
        <v>26388.2</v>
      </c>
      <c r="D5" s="18">
        <f>SUM(Jan!D5, Feb!D5, Mar!D5)</f>
        <v>0</v>
      </c>
      <c r="E5" s="18">
        <f t="shared" ref="E5" si="0">IF(AND(ISNUMBER(C5),ISNUMBER(D5)), C5-D5, "")</f>
        <v>26388.2</v>
      </c>
      <c r="F5" s="19" t="str">
        <f>IFERROR(E5/D5, "")</f>
        <v/>
      </c>
      <c r="G5" s="20">
        <f>SUM('1st Qtr'!G5, '2nd Qtr'!G5, '3rd Qtr'!G5, '4th Qtr'!G5)</f>
        <v>70679.561000000002</v>
      </c>
      <c r="H5" s="20">
        <f>SUM(Jan!H5, Feb!H5, Mar!H5)</f>
        <v>-2373.3609999999999</v>
      </c>
      <c r="I5" s="19">
        <f>IFERROR(H5/G5, "")</f>
        <v>-3.3579170080017894E-2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SUM(C4:C69)</f>
        <v>42161.2</v>
      </c>
      <c r="D2" s="5">
        <f>SUM(D4:D69)</f>
        <v>0</v>
      </c>
      <c r="E2" s="5">
        <f>C2-D2</f>
        <v>42161.2</v>
      </c>
      <c r="F2" s="6">
        <f>IFERROR(E2/D2, 0)</f>
        <v>0</v>
      </c>
      <c r="G2" s="5">
        <f>SUM(G4:G69)</f>
        <v>28761.561000000002</v>
      </c>
      <c r="H2" s="7">
        <f>C2-G2</f>
        <v>13399.638999999996</v>
      </c>
      <c r="I2" s="6">
        <f>IFERROR(H2/G2, 0)</f>
        <v>0.46588705668652669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SUM(Jan!C4, Feb!C4, Mar!C4)</f>
        <v>15773</v>
      </c>
      <c r="D4" s="13">
        <f>SUM(Jan!D4, Feb!D4, Mar!D4)</f>
        <v>0</v>
      </c>
      <c r="E4" s="13">
        <f>IF(AND(ISNUMBER(C4),ISNUMBER(D4)), C4-D4, "")</f>
        <v>15773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15773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SUM(Jan!C5, Feb!C5, Mar!C5)</f>
        <v>26388.2</v>
      </c>
      <c r="D5" s="18">
        <f>SUM(Jan!D5, Feb!D5, Mar!D5)</f>
        <v>0</v>
      </c>
      <c r="E5" s="18">
        <f t="shared" ref="E5" si="0">IF(AND(ISNUMBER(C5),ISNUMBER(D5)), C5-D5, "")</f>
        <v>26388.2</v>
      </c>
      <c r="F5" s="19" t="str">
        <f>IFERROR(E5/D5, "")</f>
        <v/>
      </c>
      <c r="G5" s="20">
        <f>SUM(Jan!G5, Feb!G5, Mar!G5)</f>
        <v>28761.561000000002</v>
      </c>
      <c r="H5" s="20">
        <f>SUM(Jan!H5, Feb!H5, Mar!H5)</f>
        <v>-2373.3609999999999</v>
      </c>
      <c r="I5" s="19">
        <f>IFERROR(H5/G5, "")</f>
        <v>-8.2518504471993007E-2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tabSelected="1" workbookViewId="0">
      <pane xSplit="2" ySplit="3" topLeftCell="C4" activePane="bottomRight" state="frozen"/>
      <selection pane="bottomRight" activeCell="G7" sqref="G7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SUM(C4:C69)</f>
        <v>84804.6</v>
      </c>
      <c r="D2" s="5">
        <f>SUM(D4:D69)</f>
        <v>0</v>
      </c>
      <c r="E2" s="5">
        <f>C2-D2</f>
        <v>84804.6</v>
      </c>
      <c r="F2" s="6">
        <f>IFERROR(E2/D2, 0)</f>
        <v>0</v>
      </c>
      <c r="G2" s="5">
        <f>SUM(G4:G69)</f>
        <v>41918</v>
      </c>
      <c r="H2" s="7">
        <f>C2-G2</f>
        <v>42886.600000000006</v>
      </c>
      <c r="I2" s="6">
        <f>IFERROR(H2/G2, 0)</f>
        <v>1.0231070184646216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SUM(Apr!C4, May!C4, Jun!C4)</f>
        <v>30755</v>
      </c>
      <c r="D4" s="13">
        <f>SUM(Apr!D4, May!D4, Jun!D4)</f>
        <v>0</v>
      </c>
      <c r="E4" s="13">
        <f>IF(AND(ISNUMBER(C4),ISNUMBER(D4)), C4-D4, "")</f>
        <v>30755</v>
      </c>
      <c r="F4" s="14" t="str">
        <f>IFERROR(E4/D4, "")</f>
        <v/>
      </c>
      <c r="G4" s="15">
        <f>SUM(Apr!G4,May!G4,Jun!G4)</f>
        <v>0</v>
      </c>
      <c r="H4" s="15">
        <f>SUM(Apr!H4, May!H4, Jun!H4)</f>
        <v>30755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SUM(Apr!C5, May!C5, Jun!C5)</f>
        <v>54049.599999999999</v>
      </c>
      <c r="D5" s="18">
        <f>SUM(Apr!D5, May!D5, Jun!D5)</f>
        <v>0</v>
      </c>
      <c r="E5" s="18">
        <f t="shared" ref="E5" si="0">IF(AND(ISNUMBER(C5),ISNUMBER(D5)), C5-D5, "")</f>
        <v>54049.599999999999</v>
      </c>
      <c r="F5" s="19" t="str">
        <f>IFERROR(E5/D5, "")</f>
        <v/>
      </c>
      <c r="G5" s="18">
        <f>SUM(Apr!G5,May!G5,Jun!G5)</f>
        <v>41918</v>
      </c>
      <c r="H5" s="20">
        <f>SUM(Apr!H5, May!H5, Jun!H5)</f>
        <v>12131.6</v>
      </c>
      <c r="I5" s="19">
        <f>IFERROR(H5/G5, "")</f>
        <v>0.28941266281788253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workbookViewId="0">
      <pane xSplit="2" ySplit="3" topLeftCell="C15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0"/>
  <sheetViews>
    <sheetView workbookViewId="0">
      <pane xSplit="2" ySplit="3" topLeftCell="C4" activePane="bottomRight" state="frozen"/>
      <selection pane="bottomRight" activeCell="K5" sqref="K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SUM(C4:C68)</f>
        <v>6829</v>
      </c>
      <c r="D2" s="5">
        <f>SUM(D4:D68)</f>
        <v>0</v>
      </c>
      <c r="E2" s="5">
        <f>C2-D2</f>
        <v>6829</v>
      </c>
      <c r="F2" s="6">
        <f>IFERROR(E2/D2, 0)</f>
        <v>0</v>
      </c>
      <c r="G2" s="5">
        <f>SUM(G4:G68)</f>
        <v>7721</v>
      </c>
      <c r="H2" s="7">
        <f>C2-G2</f>
        <v>-892</v>
      </c>
      <c r="I2" s="6">
        <f>IFERROR(H2/G2, 0)</f>
        <v>-0.11552907654448906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15 Baldwin Dr</v>
      </c>
      <c r="B4" s="28" t="str" cm="1">
        <f t="array" ref="B4:B5">Sites[State]</f>
        <v>CT</v>
      </c>
      <c r="C4" s="13">
        <v>2566</v>
      </c>
      <c r="D4" s="13">
        <v>0</v>
      </c>
      <c r="E4" s="13">
        <f>IF(AND(ISNUMBER(C4),ISNUMBER(D4)), C4-D4, "")</f>
        <v>2566</v>
      </c>
      <c r="F4" s="43" t="str">
        <f>IFERROR(E4/D4, "")</f>
        <v/>
      </c>
      <c r="G4" s="15">
        <v>0</v>
      </c>
      <c r="H4" s="15">
        <f>IF(AND(ISNUMBER(C4),ISNUMBER(G4)), C4-G4, "")</f>
        <v>2566</v>
      </c>
      <c r="I4" s="16" t="str">
        <f>IFERROR(H4/G4, "")</f>
        <v/>
      </c>
      <c r="J4" s="40"/>
      <c r="K4" s="40"/>
    </row>
    <row r="5" spans="1:11" ht="15.6">
      <c r="A5" s="50" t="str">
        <v>8 Sycamore Way</v>
      </c>
      <c r="B5" s="30" t="str">
        <v>CT</v>
      </c>
      <c r="C5" s="18">
        <v>4263</v>
      </c>
      <c r="D5" s="18">
        <v>0</v>
      </c>
      <c r="E5" s="18">
        <f t="shared" ref="E5" si="0">IF(AND(ISNUMBER(C5),ISNUMBER(D5)), C5-D5, "")</f>
        <v>4263</v>
      </c>
      <c r="F5" s="22" t="str">
        <f t="shared" ref="F5" si="1">IFERROR(E5/D5, "")</f>
        <v/>
      </c>
      <c r="G5" s="20">
        <v>7721</v>
      </c>
      <c r="H5" s="20">
        <f t="shared" ref="H5" si="2">IF(AND(ISNUMBER(C5),ISNUMBER(G5)), C5-G5, "")</f>
        <v>-3458</v>
      </c>
      <c r="I5" s="19">
        <f t="shared" ref="I5" si="3">IFERROR(H5/G5, "")</f>
        <v>-0.44786944696282865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 I4:I68 F5:F68">
    <cfRule type="cellIs" dxfId="27" priority="4" stopIfTrue="1" operator="lessThanOrEqual">
      <formula>-0.1</formula>
    </cfRule>
    <cfRule type="expression" dxfId="26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1"/>
  <sheetViews>
    <sheetView workbookViewId="0">
      <pane xSplit="2" ySplit="3" topLeftCell="C4" activePane="bottomRight" state="frozen"/>
      <selection pane="bottomRight" activeCell="C5" sqref="C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22</v>
      </c>
      <c r="E1" s="54"/>
      <c r="F1" s="54"/>
      <c r="G1" s="52" t="s">
        <v>23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12786.2</v>
      </c>
      <c r="D2" s="5">
        <f>SUM(D4:D69)</f>
        <v>0</v>
      </c>
      <c r="E2" s="5">
        <f>C2-D2</f>
        <v>12786.2</v>
      </c>
      <c r="F2" s="6">
        <f>IFERROR(E2/D2, 0)</f>
        <v>0</v>
      </c>
      <c r="G2" s="5">
        <f>SUM(G4:G69)</f>
        <v>9234.19</v>
      </c>
      <c r="H2" s="7">
        <f>C2-G2</f>
        <v>3552.01</v>
      </c>
      <c r="I2" s="6">
        <f>IFERROR(H2/G2, 0)</f>
        <v>0.38465853529113003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15 Baldwin Dr</v>
      </c>
      <c r="B4" s="28" t="str" cm="1">
        <f t="array" ref="B4:B5">Sites[State]</f>
        <v>CT</v>
      </c>
      <c r="C4" s="24">
        <v>4931</v>
      </c>
      <c r="D4" s="13">
        <v>0</v>
      </c>
      <c r="E4" s="13">
        <f>IF(AND(ISNUMBER(C4),ISNUMBER(D4)), C4-D4, "")</f>
        <v>4931</v>
      </c>
      <c r="F4" s="14" t="str">
        <f>IFERROR(E4/D4, "")</f>
        <v/>
      </c>
      <c r="G4" s="15">
        <v>0</v>
      </c>
      <c r="H4" s="15">
        <f>IF(AND(ISNUMBER(C4),ISNUMBER(G4)), C4-G4, "")</f>
        <v>4931</v>
      </c>
      <c r="I4" s="16" t="str">
        <f>IFERROR(H4/G4, "")</f>
        <v/>
      </c>
      <c r="J4" s="40"/>
      <c r="K4" s="40"/>
    </row>
    <row r="5" spans="1:11" ht="15.6">
      <c r="A5" s="50" t="str">
        <v>8 Sycamore Way</v>
      </c>
      <c r="B5" s="30" t="str">
        <v>CT</v>
      </c>
      <c r="C5" s="11">
        <v>7855.2</v>
      </c>
      <c r="D5" s="18">
        <v>0</v>
      </c>
      <c r="E5" s="18">
        <f t="shared" ref="E5" si="0">IF(AND(ISNUMBER(C5),ISNUMBER(D5)), C5-D5, "")</f>
        <v>7855.2</v>
      </c>
      <c r="F5" s="19" t="str">
        <f>IFERROR(E5/D5, "")</f>
        <v/>
      </c>
      <c r="G5" s="20">
        <v>9234.19</v>
      </c>
      <c r="H5" s="20">
        <f t="shared" ref="H5" si="1">IF(AND(ISNUMBER(C5),ISNUMBER(G5)), C5-G5, "")</f>
        <v>-1378.9900000000007</v>
      </c>
      <c r="I5" s="19">
        <f t="shared" ref="I5" si="2">IFERROR(H5/G5, "")</f>
        <v>-0.14933524218150163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1"/>
  <sheetViews>
    <sheetView workbookViewId="0">
      <pane xSplit="2" ySplit="3" topLeftCell="E4" activePane="bottomRight" state="frozen"/>
      <selection pane="bottomRight" activeCell="I10" sqref="I10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24</v>
      </c>
      <c r="E1" s="54"/>
      <c r="F1" s="54"/>
      <c r="G1" s="52" t="s">
        <v>25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22546</v>
      </c>
      <c r="D2" s="5">
        <f>SUM(D4:D69)</f>
        <v>0</v>
      </c>
      <c r="E2" s="5">
        <f>C2-D2</f>
        <v>22546</v>
      </c>
      <c r="F2" s="6">
        <f>IFERROR(E2/D2, 0)</f>
        <v>0</v>
      </c>
      <c r="G2" s="5">
        <f>SUM(G4:G69)</f>
        <v>11806.370999999999</v>
      </c>
      <c r="H2" s="7">
        <f>C2-G2</f>
        <v>10739.629000000001</v>
      </c>
      <c r="I2" s="6">
        <f>IFERROR(H2/G2, 0)</f>
        <v>0.90964691860013558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8276</v>
      </c>
      <c r="D4" s="13">
        <v>0</v>
      </c>
      <c r="E4" s="13">
        <f>IF(AND(ISNUMBER(C4),ISNUMBER(D4)), C4-D4, "")</f>
        <v>8276</v>
      </c>
      <c r="F4" s="14" t="str">
        <f>IFERROR(E4/D4, "")</f>
        <v/>
      </c>
      <c r="G4" s="15">
        <v>0</v>
      </c>
      <c r="H4" s="15">
        <f>IF(AND(ISNUMBER(C4),ISNUMBER(G4)), C4-G4, "")</f>
        <v>8276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14270</v>
      </c>
      <c r="D5" s="18">
        <v>0</v>
      </c>
      <c r="E5" s="18">
        <f t="shared" ref="E5" si="0">IF(AND(ISNUMBER(C5),ISNUMBER(D5)), C5-D5, "")</f>
        <v>14270</v>
      </c>
      <c r="F5" s="19" t="str">
        <f>IFERROR(E5/D5, "")</f>
        <v/>
      </c>
      <c r="G5" s="20">
        <v>11806.370999999999</v>
      </c>
      <c r="H5" s="20">
        <f t="shared" ref="H5" si="1">IF(AND(ISNUMBER(C5),ISNUMBER(G5)), C5-G5, "")</f>
        <v>2463.6290000000008</v>
      </c>
      <c r="I5" s="19">
        <f t="shared" ref="I5" si="2">IFERROR(H5/G5, "")</f>
        <v>0.20866945482231594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1"/>
  <sheetViews>
    <sheetView workbookViewId="0">
      <pane xSplit="2" ySplit="3" topLeftCell="E4" activePane="bottomRight" state="frozen"/>
      <selection pane="bottomRight" activeCell="H4" sqref="H4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26</v>
      </c>
      <c r="E1" s="54"/>
      <c r="F1" s="54"/>
      <c r="G1" s="52" t="s">
        <v>27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23638.1</v>
      </c>
      <c r="D2" s="5">
        <f>SUM(D4:D69)</f>
        <v>0</v>
      </c>
      <c r="E2" s="5">
        <f>C2-D2</f>
        <v>23638.1</v>
      </c>
      <c r="F2" s="6">
        <f>IFERROR(E2/D2, 0)</f>
        <v>0</v>
      </c>
      <c r="G2" s="5">
        <f>SUM(G4:G69)</f>
        <v>13203</v>
      </c>
      <c r="H2" s="7">
        <f>C2-G2</f>
        <v>10435.099999999999</v>
      </c>
      <c r="I2" s="6">
        <f>IFERROR(H2/G2, 0)</f>
        <v>0.79035825191244402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8649</v>
      </c>
      <c r="D4" s="13">
        <v>0</v>
      </c>
      <c r="E4" s="13">
        <f>IF(AND(ISNUMBER(C4),ISNUMBER(D4)), C4-D4, "")</f>
        <v>8649</v>
      </c>
      <c r="F4" s="14" t="str">
        <f>IFERROR(E4/D4, "")</f>
        <v/>
      </c>
      <c r="G4" s="15">
        <v>0</v>
      </c>
      <c r="H4" s="15">
        <f>IF(AND(ISNUMBER(C4),ISNUMBER(G4)), C4-G4, "")</f>
        <v>8649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14989.1</v>
      </c>
      <c r="D5" s="18">
        <v>0</v>
      </c>
      <c r="E5" s="18">
        <f t="shared" ref="E5" si="0">IF(AND(ISNUMBER(C5),ISNUMBER(D5)), C5-D5, "")</f>
        <v>14989.1</v>
      </c>
      <c r="F5" s="19" t="str">
        <f>IFERROR(E5/D5, "")</f>
        <v/>
      </c>
      <c r="G5" s="20">
        <v>13203</v>
      </c>
      <c r="H5" s="20">
        <f t="shared" ref="H5" si="1">IF(AND(ISNUMBER(C5),ISNUMBER(G5)), C5-G5, "")</f>
        <v>1786.1000000000004</v>
      </c>
      <c r="I5" s="19">
        <f t="shared" ref="I5" si="2">IFERROR(H5/G5, "")</f>
        <v>0.13527986063773387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1"/>
  <sheetViews>
    <sheetView workbookViewId="0">
      <pane xSplit="2" ySplit="3" topLeftCell="D4" activePane="bottomRight" state="frozen"/>
      <selection pane="bottomRight" activeCell="G5" sqref="G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28</v>
      </c>
      <c r="E1" s="54"/>
      <c r="F1" s="54"/>
      <c r="G1" s="52" t="s">
        <v>29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28960.400000000001</v>
      </c>
      <c r="D2" s="5">
        <f>SUM(D4:D69)</f>
        <v>0</v>
      </c>
      <c r="E2" s="5">
        <f>C2-D2</f>
        <v>28960.400000000001</v>
      </c>
      <c r="F2" s="6">
        <f>IFERROR(E2/D2, 0)</f>
        <v>0</v>
      </c>
      <c r="G2" s="5">
        <f>SUM(G4:G69)</f>
        <v>14156</v>
      </c>
      <c r="H2" s="7">
        <f>C2-G2</f>
        <v>14804.400000000001</v>
      </c>
      <c r="I2" s="6">
        <f>IFERROR(H2/G2, 0)</f>
        <v>1.0458038994066121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10465</v>
      </c>
      <c r="D4" s="13">
        <v>0</v>
      </c>
      <c r="E4" s="13">
        <f>IF(AND(ISNUMBER(C4),ISNUMBER(D4)), C4-D4, "")</f>
        <v>10465</v>
      </c>
      <c r="F4" s="14" t="str">
        <f>IFERROR(E4/D4, "")</f>
        <v/>
      </c>
      <c r="G4" s="15">
        <v>0</v>
      </c>
      <c r="H4" s="15">
        <f>IF(AND(ISNUMBER(C4),ISNUMBER(G4)), C4-G4, "")</f>
        <v>10465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18495.400000000001</v>
      </c>
      <c r="D5" s="18">
        <v>0</v>
      </c>
      <c r="E5" s="18">
        <f t="shared" ref="E5" si="0">IF(AND(ISNUMBER(C5),ISNUMBER(D5)), C5-D5, "")</f>
        <v>18495.400000000001</v>
      </c>
      <c r="F5" s="19" t="str">
        <f>IFERROR(E5/D5, "")</f>
        <v/>
      </c>
      <c r="G5" s="20">
        <v>14156</v>
      </c>
      <c r="H5" s="20">
        <f t="shared" ref="H5" si="1">IF(AND(ISNUMBER(C5),ISNUMBER(G5)), C5-G5, "")</f>
        <v>4339.4000000000015</v>
      </c>
      <c r="I5" s="19">
        <f t="shared" ref="I5" si="2">IFERROR(H5/G5, "")</f>
        <v>0.30654139587454093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1"/>
  <sheetViews>
    <sheetView workbookViewId="0">
      <pane xSplit="2" ySplit="3" topLeftCell="E4" activePane="bottomRight" state="frozen"/>
      <selection pane="bottomRight" activeCell="H4" sqref="H4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30</v>
      </c>
      <c r="E1" s="54"/>
      <c r="F1" s="54"/>
      <c r="G1" s="52" t="s">
        <v>31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32206.1</v>
      </c>
      <c r="D2" s="5">
        <f>SUM(D4:D69)</f>
        <v>0</v>
      </c>
      <c r="E2" s="5">
        <f>C2-D2</f>
        <v>32206.1</v>
      </c>
      <c r="F2" s="6">
        <f>IFERROR(E2/D2, 0)</f>
        <v>0</v>
      </c>
      <c r="G2" s="5">
        <f>SUM(G4:G69)</f>
        <v>14559</v>
      </c>
      <c r="H2" s="7">
        <f>C2-G2</f>
        <v>17647.099999999999</v>
      </c>
      <c r="I2" s="6">
        <f>IFERROR(H2/G2, 0)</f>
        <v>1.2121093481695171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11641</v>
      </c>
      <c r="D4" s="13">
        <v>0</v>
      </c>
      <c r="E4" s="13">
        <f>IF(AND(ISNUMBER(C4),ISNUMBER(D4)), C4-D4, "")</f>
        <v>11641</v>
      </c>
      <c r="F4" s="14" t="str">
        <f>IFERROR(E4/D4, "")</f>
        <v/>
      </c>
      <c r="G4" s="15">
        <v>0</v>
      </c>
      <c r="H4" s="15">
        <f>IF(AND(ISNUMBER(C4),ISNUMBER(G4)), C4-G4, "")</f>
        <v>11641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20565.099999999999</v>
      </c>
      <c r="D5" s="18">
        <v>0</v>
      </c>
      <c r="E5" s="18">
        <f t="shared" ref="E5" si="0">IF(AND(ISNUMBER(C5),ISNUMBER(D5)), C5-D5, "")</f>
        <v>20565.099999999999</v>
      </c>
      <c r="F5" s="19" t="str">
        <f>IFERROR(E5/D5, "")</f>
        <v/>
      </c>
      <c r="G5" s="20">
        <v>14559</v>
      </c>
      <c r="H5" s="20">
        <f t="shared" ref="H5" si="1">IF(AND(ISNUMBER(C5),ISNUMBER(G5)), C5-G5, "")</f>
        <v>6006.0999999999985</v>
      </c>
      <c r="I5" s="19">
        <f t="shared" ref="I5" si="2">IFERROR(H5/G5, "")</f>
        <v>0.41253520159351592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32</v>
      </c>
      <c r="E1" s="54"/>
      <c r="F1" s="54"/>
      <c r="G1" s="52" t="s">
        <v>33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34</v>
      </c>
      <c r="E1" s="54"/>
      <c r="F1" s="54"/>
      <c r="G1" s="52" t="s">
        <v>35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36</v>
      </c>
      <c r="E1" s="54"/>
      <c r="F1" s="54"/>
      <c r="G1" s="52" t="s">
        <v>37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38</v>
      </c>
      <c r="E1" s="54"/>
      <c r="F1" s="54"/>
      <c r="G1" s="52" t="s">
        <v>39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40</v>
      </c>
      <c r="E1" s="54"/>
      <c r="F1" s="54"/>
      <c r="G1" s="52" t="s">
        <v>41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42</v>
      </c>
      <c r="E1" s="54"/>
      <c r="F1" s="54"/>
      <c r="G1" s="52" t="s">
        <v>43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" t="s">
        <v>49</v>
      </c>
      <c r="B4" s="3" t="s">
        <v>50</v>
      </c>
      <c r="C4" s="51" t="s">
        <v>51</v>
      </c>
      <c r="D4" s="2" t="s">
        <v>52</v>
      </c>
      <c r="E4" t="s">
        <v>53</v>
      </c>
      <c r="G4" s="3"/>
    </row>
    <row r="5" spans="1:12" ht="14.45">
      <c r="A5" s="3" t="s">
        <v>54</v>
      </c>
      <c r="B5" s="3" t="s">
        <v>54</v>
      </c>
      <c r="C5" s="51" t="s">
        <v>51</v>
      </c>
      <c r="D5" s="2" t="s">
        <v>55</v>
      </c>
      <c r="E5" t="s">
        <v>53</v>
      </c>
      <c r="G5" s="3"/>
    </row>
    <row r="6" spans="1:12" ht="14.4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2024-07-19T17:42:45Z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