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4"/>
  <workbookPr codeName="ThisWorkbook" defaultThemeVersion="166925"/>
  <mc:AlternateContent xmlns:mc="http://schemas.openxmlformats.org/markup-compatibility/2006">
    <mc:Choice Requires="x15">
      <x15ac:absPath xmlns:x15ac="http://schemas.microsoft.com/office/spreadsheetml/2010/11/ac" url="https://libsysit-my.sharepoint.com/personal/sanjaykumarg_amgsol_com/Documents/Microsoft Teams Chat Files/"/>
    </mc:Choice>
  </mc:AlternateContent>
  <xr:revisionPtr revIDLastSave="0" documentId="8_{CF18B58F-E0F0-46DA-BAD9-4F532DE5607F}"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9" l="1"/>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E6" i="30" s="1"/>
  <c r="F6" i="30" s="1"/>
  <c r="D6" i="30"/>
  <c r="C7" i="30"/>
  <c r="D7" i="30"/>
  <c r="E7" i="30" s="1"/>
  <c r="F7" i="30" s="1"/>
  <c r="C8" i="30"/>
  <c r="D8" i="30"/>
  <c r="C9" i="30"/>
  <c r="E9" i="30" s="1"/>
  <c r="F9" i="30" s="1"/>
  <c r="D9" i="30"/>
  <c r="C10" i="30"/>
  <c r="E10" i="30" s="1"/>
  <c r="F10" i="30" s="1"/>
  <c r="D10" i="30"/>
  <c r="C11" i="30"/>
  <c r="D11" i="30"/>
  <c r="C12" i="30"/>
  <c r="D12" i="30"/>
  <c r="C13" i="30"/>
  <c r="D13" i="30"/>
  <c r="C6" i="29"/>
  <c r="D6" i="29"/>
  <c r="C7" i="29"/>
  <c r="E7" i="29" s="1"/>
  <c r="F7" i="29" s="1"/>
  <c r="D7" i="29"/>
  <c r="C8" i="29"/>
  <c r="E8" i="29" s="1"/>
  <c r="F8" i="29" s="1"/>
  <c r="D8" i="29"/>
  <c r="C9" i="29"/>
  <c r="D9" i="29"/>
  <c r="E9" i="29" s="1"/>
  <c r="F9" i="29" s="1"/>
  <c r="C10" i="29"/>
  <c r="E10" i="29" s="1"/>
  <c r="F10" i="29" s="1"/>
  <c r="D10" i="29"/>
  <c r="C11" i="29"/>
  <c r="E11" i="29" s="1"/>
  <c r="F11" i="29" s="1"/>
  <c r="D11" i="29"/>
  <c r="C12" i="29"/>
  <c r="E12" i="29" s="1"/>
  <c r="F12" i="29" s="1"/>
  <c r="D12" i="29"/>
  <c r="C13" i="29"/>
  <c r="D13" i="29"/>
  <c r="C6" i="18"/>
  <c r="D6" i="18"/>
  <c r="D6" i="34" s="1"/>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D10" i="34" s="1"/>
  <c r="C10" i="1"/>
  <c r="G9" i="1"/>
  <c r="D9" i="1"/>
  <c r="C9" i="1"/>
  <c r="G8" i="1"/>
  <c r="D8" i="1"/>
  <c r="C8" i="1"/>
  <c r="E8" i="1" s="1"/>
  <c r="F8" i="1" s="1"/>
  <c r="G7" i="1"/>
  <c r="D7" i="1"/>
  <c r="C7" i="1"/>
  <c r="G6" i="1"/>
  <c r="D6" i="1"/>
  <c r="C6" i="1"/>
  <c r="H13" i="34"/>
  <c r="I13" i="34" s="1"/>
  <c r="D13" i="34"/>
  <c r="C13" i="34"/>
  <c r="H11" i="34"/>
  <c r="I11" i="34" s="1"/>
  <c r="D11" i="34"/>
  <c r="C11" i="34"/>
  <c r="D9" i="34"/>
  <c r="C9" i="34"/>
  <c r="E9" i="34" s="1"/>
  <c r="F9" i="34" s="1"/>
  <c r="D7" i="34"/>
  <c r="C7"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D5" i="34"/>
  <c r="C5" i="34"/>
  <c r="B4" i="34" a="1"/>
  <c r="B4" i="34" s="1"/>
  <c r="A4" i="34" a="1"/>
  <c r="A4" i="34" s="1"/>
  <c r="G2" i="34"/>
  <c r="A1" i="34" a="1"/>
  <c r="A1" i="34" s="1"/>
  <c r="D5" i="30"/>
  <c r="C5" i="30"/>
  <c r="D4" i="30"/>
  <c r="C4" i="30"/>
  <c r="D5" i="29"/>
  <c r="C5" i="29"/>
  <c r="E5" i="29" s="1"/>
  <c r="F5" i="29" s="1"/>
  <c r="D4" i="29"/>
  <c r="C4" i="29"/>
  <c r="D5" i="18"/>
  <c r="C5" i="18"/>
  <c r="D4" i="18"/>
  <c r="C4" i="18"/>
  <c r="B4" i="30" a="1"/>
  <c r="B4" i="30" s="1"/>
  <c r="G2" i="30"/>
  <c r="A1" i="30" a="1"/>
  <c r="A1" i="30" s="1"/>
  <c r="B4" i="29" a="1"/>
  <c r="B4" i="29" s="1"/>
  <c r="A4" i="29" a="1"/>
  <c r="A4" i="29" s="1"/>
  <c r="G2" i="29"/>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I4" i="28"/>
  <c r="H4" i="28"/>
  <c r="E4" i="28"/>
  <c r="F4" i="28" s="1"/>
  <c r="B4" i="28" a="1"/>
  <c r="B4" i="28" s="1"/>
  <c r="A4" i="28" a="1"/>
  <c r="A4" i="28" s="1"/>
  <c r="G2" i="28"/>
  <c r="D2" i="28"/>
  <c r="C2" i="28"/>
  <c r="A1" i="28" a="1"/>
  <c r="A1" i="28" s="1"/>
  <c r="H15" i="27"/>
  <c r="I15" i="27" s="1"/>
  <c r="E15" i="27"/>
  <c r="F15" i="27" s="1"/>
  <c r="H14" i="27"/>
  <c r="I14" i="27" s="1"/>
  <c r="F14" i="27"/>
  <c r="E14" i="27"/>
  <c r="H13" i="27"/>
  <c r="I13" i="27" s="1"/>
  <c r="E13" i="27"/>
  <c r="F13" i="27" s="1"/>
  <c r="H12" i="27"/>
  <c r="I12" i="27" s="1"/>
  <c r="E12" i="27"/>
  <c r="F12" i="27" s="1"/>
  <c r="H11" i="27"/>
  <c r="I11" i="27" s="1"/>
  <c r="F11" i="27"/>
  <c r="E11" i="27"/>
  <c r="H10" i="27"/>
  <c r="I10" i="27" s="1"/>
  <c r="E10" i="27"/>
  <c r="F10" i="27" s="1"/>
  <c r="H9" i="27"/>
  <c r="I9" i="27" s="1"/>
  <c r="E9" i="27"/>
  <c r="F9" i="27" s="1"/>
  <c r="H8" i="27"/>
  <c r="I8" i="27" s="1"/>
  <c r="F8" i="27"/>
  <c r="E8" i="27"/>
  <c r="H7" i="27"/>
  <c r="I7" i="27" s="1"/>
  <c r="E7" i="27"/>
  <c r="F7" i="27" s="1"/>
  <c r="H6" i="27"/>
  <c r="I6" i="27" s="1"/>
  <c r="E6" i="27"/>
  <c r="F6" i="27" s="1"/>
  <c r="H5" i="27"/>
  <c r="I5" i="27" s="1"/>
  <c r="F5" i="27"/>
  <c r="E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E11" i="18" l="1"/>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C10" i="34"/>
  <c r="E10" i="34" s="1"/>
  <c r="F10" i="34" s="1"/>
  <c r="H6" i="29"/>
  <c r="I6" i="29" s="1"/>
  <c r="H13" i="29"/>
  <c r="I13" i="29" s="1"/>
  <c r="E13" i="29"/>
  <c r="F13" i="29" s="1"/>
  <c r="H8" i="29"/>
  <c r="I8" i="29" s="1"/>
  <c r="H10" i="29"/>
  <c r="I10" i="29" s="1"/>
  <c r="H7" i="18"/>
  <c r="I7" i="18" s="1"/>
  <c r="E10" i="18"/>
  <c r="F10" i="18" s="1"/>
  <c r="H12" i="18"/>
  <c r="H12" i="34" s="1"/>
  <c r="I12" i="34" s="1"/>
  <c r="H13" i="18"/>
  <c r="I13" i="18" s="1"/>
  <c r="H11" i="18"/>
  <c r="I11" i="18" s="1"/>
  <c r="E6" i="18"/>
  <c r="F6" i="18" s="1"/>
  <c r="H9" i="18"/>
  <c r="I9" i="18" s="1"/>
  <c r="C12" i="34"/>
  <c r="E12" i="18"/>
  <c r="F12" i="18" s="1"/>
  <c r="E7" i="18"/>
  <c r="F7" i="18" s="1"/>
  <c r="H8" i="18"/>
  <c r="I8" i="18" s="1"/>
  <c r="H6" i="18"/>
  <c r="I6" i="18" s="1"/>
  <c r="E8" i="18"/>
  <c r="F8" i="18" s="1"/>
  <c r="H9" i="1"/>
  <c r="H9" i="34"/>
  <c r="I9" i="34" s="1"/>
  <c r="E13" i="1"/>
  <c r="F13" i="1" s="1"/>
  <c r="H6" i="1"/>
  <c r="I6" i="1" s="1"/>
  <c r="H7" i="34"/>
  <c r="I7" i="34" s="1"/>
  <c r="H7" i="1"/>
  <c r="H8" i="1"/>
  <c r="I12" i="1"/>
  <c r="E11" i="34"/>
  <c r="F11" i="34" s="1"/>
  <c r="E13" i="34"/>
  <c r="F13" i="34" s="1"/>
  <c r="E7" i="34"/>
  <c r="F7" i="34" s="1"/>
  <c r="I9" i="1"/>
  <c r="I11" i="1"/>
  <c r="E10" i="1"/>
  <c r="F10" i="1" s="1"/>
  <c r="I8" i="72"/>
  <c r="I6" i="72"/>
  <c r="I10" i="1"/>
  <c r="E9" i="1"/>
  <c r="F9" i="1" s="1"/>
  <c r="E6" i="1"/>
  <c r="F6" i="1" s="1"/>
  <c r="I7" i="1"/>
  <c r="E11" i="1"/>
  <c r="F11" i="1" s="1"/>
  <c r="D8" i="34"/>
  <c r="E7" i="1"/>
  <c r="F7" i="1" s="1"/>
  <c r="E12" i="1"/>
  <c r="F12" i="1" s="1"/>
  <c r="I13" i="1"/>
  <c r="D12" i="34"/>
  <c r="C6" i="34"/>
  <c r="E6" i="34" s="1"/>
  <c r="F6" i="34" s="1"/>
  <c r="C8" i="34"/>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H5" i="34"/>
  <c r="I5" i="34" s="1"/>
  <c r="C2" i="29"/>
  <c r="E2" i="29" s="1"/>
  <c r="F2" i="29" s="1"/>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H10" i="34" l="1"/>
  <c r="I10" i="34" s="1"/>
  <c r="I12" i="18"/>
  <c r="E12" i="34"/>
  <c r="F12" i="34" s="1"/>
  <c r="H8" i="34"/>
  <c r="I8" i="34" s="1"/>
  <c r="H6" i="34"/>
  <c r="I6" i="34" s="1"/>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<sst xmlns="http://schemas.openxmlformats.org/spreadsheetml/2006/main" count="320" uniqueCount="118">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</sst>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56">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0</v>
      </c>
      <c r="E1" s="54"/>
      <c r="F1" s="54"/>
      <c r="G1" s="52" t="s">
        <v>1</v>
      </c>
      <c r="H1" s="52"/>
      <c r="I1" s="52"/>
    </row>
    <row r="2" spans="1:9" ht="19.5" customHeight="1">
      <c r="A2" s="55" t="s">
        <v>2</v>
      </c>
      <c r="B2" s="55"/>
      <c r="C2" s="6">
        <f>SUM(C4:C91)</f>
        <v>8557915.4000000004</v>
      </c>
      <c r="D2" s="6">
        <f>SUM(D4:D91)</f>
        <v>10057970.24953381</v>
      </c>
      <c r="E2" s="6">
        <f>C2-D2</f>
        <v>-1500054.8495338093</v>
      </c>
      <c r="F2" s="7">
        <f>IFERROR(E2/D2, 0)</f>
        <v>-0.14914091136860713</v>
      </c>
      <c r="G2" s="6">
        <f>SUM(G4:G91)</f>
        <v>0</v>
      </c>
      <c r="H2" s="8">
        <f>C2-G2</f>
        <v>8557915.4000000004</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460134</v>
      </c>
      <c r="D4" s="14">
        <f>SUM('1st Qtr'!D4, '2nd Qtr'!D4, '3rd Qtr'!D4, '4th Qtr'!D4)</f>
        <v>741295.83027385059</v>
      </c>
      <c r="E4" s="14">
        <f>IF(AND(ISNUMBER(C4),ISNUMBER(D4)), C4-D4, "")</f>
        <v>-281161.83027385059</v>
      </c>
      <c r="F4" s="15">
        <f>IFERROR(E4/D4, "")</f>
        <v>-0.37928424630418245</v>
      </c>
      <c r="G4" s="16"/>
      <c r="H4" s="16">
        <f>SUM('1st Qtr'!H4, '2nd Qtr'!H4, '3rd Qtr'!H4, '4th Qtr'!H4)</f>
        <v>-125201.65000000046</v>
      </c>
      <c r="I4" s="17" t="str">
        <f>IFERROR(H4/G4, "")</f>
        <v/>
      </c>
    </row>
    <row r="5" spans="1:9" ht="15.6">
      <c r="A5" s="18" t="str">
        <v>San Luis Valley</v>
      </c>
      <c r="B5" s="11" t="str">
        <v>CO</v>
      </c>
      <c r="C5" s="12">
        <f>SUM(Jan!C5, Feb!C5, Mar!C5)</f>
        <v>0</v>
      </c>
      <c r="D5" s="19">
        <f>SUM(Jan!D5, Feb!D5, Mar!D5)</f>
        <v>0</v>
      </c>
      <c r="E5" s="19">
        <f t="shared" ref="E5:E6" si="0">IF(AND(ISNUMBER(C5),ISNUMBER(D5)), C5-D5, "")</f>
        <v>0</v>
      </c>
      <c r="F5" s="20" t="str">
        <f>IFERROR(E5/D5, "")</f>
        <v/>
      </c>
      <c r="G5" s="21"/>
      <c r="H5" s="21">
        <f>SUM(Jan!H5, Feb!H5, Mar!H5)</f>
        <v>0</v>
      </c>
      <c r="I5" s="20" t="str">
        <f>IFERROR(H5/G5, "")</f>
        <v/>
      </c>
    </row>
    <row r="6" spans="1:9" ht="15.6">
      <c r="A6" s="13" t="str">
        <v>Golden NREL 2</v>
      </c>
      <c r="B6" s="10" t="str">
        <v>CO</v>
      </c>
      <c r="C6" s="25">
        <f>SUM('1st Qtr'!C6, '2nd Qtr'!C6, '3rd Qtr'!C6, '4th Qtr'!C6)</f>
        <v>63028</v>
      </c>
      <c r="D6" s="14">
        <f>SUM('1st Qtr'!D6, '2nd Qtr'!D6, '3rd Qtr'!D6, '4th Qtr'!D6)</f>
        <v>58309.109259959776</v>
      </c>
      <c r="E6" s="14">
        <f t="shared" si="0"/>
        <v>4718.890740040224</v>
      </c>
      <c r="F6" s="15">
        <f t="shared" ref="F6:F13" si="1">IFERROR(E6/D6, "")</f>
        <v>8.0928877150257456E-2</v>
      </c>
      <c r="G6" s="16"/>
      <c r="H6" s="16">
        <f>SUM('1st Qtr'!H6, '2nd Qtr'!H6, '3rd Qtr'!H6, '4th Qtr'!H6)</f>
        <v>-6219.6799999999912</v>
      </c>
      <c r="I6" s="17" t="str">
        <f t="shared" ref="I6:I13" si="2">IFERROR(H6/G6, "")</f>
        <v/>
      </c>
    </row>
    <row r="7" spans="1:9" ht="15.6">
      <c r="A7" s="18" t="str">
        <v>Golden NREL Wind 3</v>
      </c>
      <c r="B7" s="11" t="str">
        <v>CO</v>
      </c>
      <c r="C7" s="12">
        <f>SUM(Jan!C7, Feb!C7, Mar!C7)</f>
        <v>0</v>
      </c>
      <c r="D7" s="19">
        <f>SUM(Jan!D7, Feb!D7, Mar!D7)</f>
        <v>0</v>
      </c>
      <c r="E7" s="19">
        <f t="shared" ref="E7:E13" si="3">IF(AND(ISNUMBER(C7),ISNUMBER(D7)), C7-D7, "")</f>
        <v>0</v>
      </c>
      <c r="F7" s="20" t="str">
        <f t="shared" si="1"/>
        <v/>
      </c>
      <c r="G7" s="21"/>
      <c r="H7" s="21">
        <f>SUM(Jan!H7, Feb!H7, Mar!H7)</f>
        <v>0</v>
      </c>
      <c r="I7" s="20" t="str">
        <f t="shared" si="2"/>
        <v/>
      </c>
    </row>
    <row r="8" spans="1:9" ht="15.6">
      <c r="A8" s="13" t="str">
        <v>Pratt Solar Farm</v>
      </c>
      <c r="B8" s="10" t="str">
        <v>KS</v>
      </c>
      <c r="C8" s="25">
        <f>SUM('1st Qtr'!C8, '2nd Qtr'!C8, '3rd Qtr'!C8, '4th Qtr'!C8)</f>
        <v>4340000</v>
      </c>
      <c r="D8" s="14">
        <f>SUM('1st Qtr'!D8, '2nd Qtr'!D8, '3rd Qtr'!D8, '4th Qtr'!D8)</f>
        <v>5526980.659</v>
      </c>
      <c r="E8" s="14">
        <f t="shared" si="3"/>
        <v>-1186980.659</v>
      </c>
      <c r="F8" s="15">
        <f t="shared" si="1"/>
        <v>-0.21476113853721376</v>
      </c>
      <c r="G8" s="16"/>
      <c r="H8" s="16">
        <f>SUM('1st Qtr'!H8, '2nd Qtr'!H8, '3rd Qtr'!H8, '4th Qtr'!H8)</f>
        <v>-945286.54</v>
      </c>
      <c r="I8" s="17" t="str">
        <f t="shared" si="2"/>
        <v/>
      </c>
    </row>
    <row r="9" spans="1:9" ht="12.75" customHeight="1">
      <c r="A9" s="18" t="str">
        <v>Rochester - 5516 Valleyhigh NW</v>
      </c>
      <c r="B9" s="11" t="str">
        <v>MN</v>
      </c>
      <c r="C9" s="12">
        <f>SUM(Jan!C9, Feb!C9, Mar!C9)</f>
        <v>0</v>
      </c>
      <c r="D9" s="19">
        <f>SUM(Jan!D9, Feb!D9, Mar!D9)</f>
        <v>0</v>
      </c>
      <c r="E9" s="19">
        <f t="shared" si="3"/>
        <v>0</v>
      </c>
      <c r="F9" s="20" t="str">
        <f t="shared" si="1"/>
        <v/>
      </c>
      <c r="G9" s="21"/>
      <c r="H9" s="21">
        <f>SUM(Jan!H9, Feb!H9, Mar!H9)</f>
        <v>0</v>
      </c>
      <c r="I9" s="20" t="str">
        <f t="shared" si="2"/>
        <v/>
      </c>
    </row>
    <row r="10" spans="1:9" ht="15.6">
      <c r="A10" s="13" t="str">
        <v>Warsaw - 2201 Richmond</v>
      </c>
      <c r="B10" s="10" t="str">
        <v>VA</v>
      </c>
      <c r="C10" s="25">
        <f>SUM('1st Qtr'!C10, '2nd Qtr'!C10, '3rd Qtr'!C10, '4th Qtr'!C10)</f>
        <v>3142172.4000000004</v>
      </c>
      <c r="D10" s="14">
        <f>SUM('1st Qtr'!D10, '2nd Qtr'!D10, '3rd Qtr'!D10, '4th Qtr'!D10)</f>
        <v>3258789.4509999999</v>
      </c>
      <c r="E10" s="14">
        <f t="shared" si="3"/>
        <v>-116617.05099999951</v>
      </c>
      <c r="F10" s="15">
        <f t="shared" si="1"/>
        <v>-3.5785389867459563E-2</v>
      </c>
      <c r="G10" s="16"/>
      <c r="H10" s="16">
        <f>SUM('1st Qtr'!H10, '2nd Qtr'!H10, '3rd Qtr'!H10, '4th Qtr'!H10)</f>
        <v>-262774.02999999991</v>
      </c>
      <c r="I10" s="17" t="str">
        <f t="shared" si="2"/>
        <v/>
      </c>
    </row>
    <row r="11" spans="1:9" ht="15.6">
      <c r="A11" s="18" t="str">
        <v>Mount Jackson - Randolf</v>
      </c>
      <c r="B11" s="11" t="str">
        <v>VA</v>
      </c>
      <c r="C11" s="12">
        <f>SUM(Jan!C11, Feb!C11, Mar!C11)</f>
        <v>0</v>
      </c>
      <c r="D11" s="19">
        <f>SUM(Jan!D11, Feb!D11, Mar!D11)</f>
        <v>0</v>
      </c>
      <c r="E11" s="19">
        <f t="shared" si="3"/>
        <v>0</v>
      </c>
      <c r="F11" s="20" t="str">
        <f t="shared" si="1"/>
        <v/>
      </c>
      <c r="G11" s="21"/>
      <c r="H11" s="21">
        <f>SUM(Jan!H11, Feb!H11, Mar!H11)</f>
        <v>0</v>
      </c>
      <c r="I11" s="20" t="str">
        <f t="shared" si="2"/>
        <v/>
      </c>
    </row>
    <row r="12" spans="1:9" ht="15.6">
      <c r="A12" s="13" t="str">
        <v>Callands Gretna - Monroe</v>
      </c>
      <c r="B12" s="10" t="str">
        <v>VA</v>
      </c>
      <c r="C12" s="25">
        <f>SUM('1st Qtr'!C12, '2nd Qtr'!C12, '3rd Qtr'!C12, '4th Qtr'!C12)</f>
        <v>552581</v>
      </c>
      <c r="D12" s="14">
        <f>SUM('1st Qtr'!D12, '2nd Qtr'!D12, '3rd Qtr'!D12, '4th Qtr'!D12)</f>
        <v>472595.20000000001</v>
      </c>
      <c r="E12" s="14">
        <f t="shared" si="3"/>
        <v>79985.799999999988</v>
      </c>
      <c r="F12" s="15">
        <f t="shared" si="1"/>
        <v>0.16924801606110257</v>
      </c>
      <c r="G12" s="16"/>
      <c r="H12" s="16">
        <f>SUM('1st Qtr'!H12, '2nd Qtr'!H12, '3rd Qtr'!H12, '4th Qtr'!H12)</f>
        <v>-29919</v>
      </c>
      <c r="I12" s="17" t="str">
        <f t="shared" si="2"/>
        <v/>
      </c>
    </row>
    <row r="13" spans="1:9" ht="15.6">
      <c r="A13" s="18" t="str">
        <v>Rockbridge Baths - Small Mouth Bass</v>
      </c>
      <c r="B13" s="11" t="str">
        <v>VA</v>
      </c>
      <c r="C13" s="12">
        <f>SUM(Jan!C13, Feb!C13, Mar!C13)</f>
        <v>0</v>
      </c>
      <c r="D13" s="19">
        <f>SUM(Jan!D13, Feb!D13, Mar!D13)</f>
        <v>0</v>
      </c>
      <c r="E13" s="19">
        <f t="shared" si="3"/>
        <v>0</v>
      </c>
      <c r="F13" s="20" t="str">
        <f t="shared" si="1"/>
        <v/>
      </c>
      <c r="G13" s="21"/>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10</v>
      </c>
      <c r="E1" s="54"/>
      <c r="F1" s="54"/>
      <c r="G1" s="52" t="s">
        <v>11</v>
      </c>
      <c r="H1" s="52"/>
      <c r="I1" s="52"/>
    </row>
    <row r="2" spans="1:9" ht="19.5" customHeight="1">
      <c r="A2" s="55" t="s">
        <v>2</v>
      </c>
      <c r="B2" s="55"/>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6">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6">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6">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6">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6">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6">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6">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F5" sqref="F5"/>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12</v>
      </c>
      <c r="E1" s="54"/>
      <c r="F1" s="54"/>
      <c r="G1" s="52" t="s">
        <v>13</v>
      </c>
      <c r="H1" s="52"/>
      <c r="I1" s="52"/>
    </row>
    <row r="2" spans="1:9" ht="19.5" customHeight="1">
      <c r="A2" s="55" t="s">
        <v>2</v>
      </c>
      <c r="B2" s="55"/>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6">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6">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6">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6">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6">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6">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6">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6">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D22" sqref="D22"/>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14</v>
      </c>
      <c r="E1" s="54"/>
      <c r="F1" s="54"/>
      <c r="G1" s="52" t="s">
        <v>15</v>
      </c>
      <c r="H1" s="52"/>
      <c r="I1" s="52"/>
    </row>
    <row r="2" spans="1:9" ht="19.5" customHeight="1">
      <c r="A2" s="55" t="s">
        <v>2</v>
      </c>
      <c r="B2" s="55"/>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c r="H4" s="16">
        <f>SUM(Jul!H4, Aug!H4, Sep!H4)</f>
        <v>0</v>
      </c>
      <c r="I4" s="17" t="str">
        <f>IFERROR(H4/G4, "")</f>
        <v/>
      </c>
    </row>
    <row r="5" spans="1:9" ht="15.6">
      <c r="A5" s="18" t="str">
        <v>San Luis Valley</v>
      </c>
      <c r="B5" s="11" t="str">
        <v>CO</v>
      </c>
      <c r="C5" s="12">
        <f>SUM(Jul!C5, Aug!C5, Sep!C5)</f>
        <v>0</v>
      </c>
      <c r="D5" s="19">
        <f>SUM(Jul!D5, Aug!D5, Sep!D5)</f>
        <v>0</v>
      </c>
      <c r="E5" s="19">
        <f t="shared" ref="E5:E6" si="0">IF(AND(ISNUMBER(C5),ISNUMBER(D5)), C5-D5, "")</f>
        <v>0</v>
      </c>
      <c r="F5" s="20" t="str">
        <f>IFERROR(E5/D5, "")</f>
        <v/>
      </c>
      <c r="G5" s="21"/>
      <c r="H5" s="21">
        <f>SUM(Jul!H5, Aug!H5, Sep!H5)</f>
        <v>0</v>
      </c>
      <c r="I5" s="20" t="str">
        <f>IFERROR(H5/G5, "")</f>
        <v/>
      </c>
    </row>
    <row r="6" spans="1:9" ht="15.6">
      <c r="A6" s="13" t="str">
        <v>Golden NREL 2</v>
      </c>
      <c r="B6" s="10" t="str">
        <v>CO</v>
      </c>
      <c r="C6" s="25">
        <f>SUM(Jul!C6, Aug!C6, Sep!C6)</f>
        <v>0</v>
      </c>
      <c r="D6" s="14">
        <f>SUM(Jul!D6, Aug!D6, Sep!D6)</f>
        <v>0</v>
      </c>
      <c r="E6" s="14">
        <f t="shared" si="0"/>
        <v>0</v>
      </c>
      <c r="F6" s="15" t="str">
        <f t="shared" ref="F6:F13" si="1">IFERROR(E6/D6, "")</f>
        <v/>
      </c>
      <c r="G6" s="16"/>
      <c r="H6" s="16">
        <f>SUM(Jul!H6, Aug!H6, Sep!H6)</f>
        <v>0</v>
      </c>
      <c r="I6" s="17" t="str">
        <f t="shared" ref="I6:I13" si="2">IFERROR(H6/G6, "")</f>
        <v/>
      </c>
    </row>
    <row r="7" spans="1:9" ht="15.6">
      <c r="A7" s="18" t="str">
        <v>Golden NREL Wind 3</v>
      </c>
      <c r="B7" s="11" t="str">
        <v>CO</v>
      </c>
      <c r="C7" s="12">
        <f>SUM(Jul!C7, Aug!C7, Sep!C7)</f>
        <v>0</v>
      </c>
      <c r="D7" s="19">
        <f>SUM(Jul!D7, Aug!D7, Sep!D7)</f>
        <v>0</v>
      </c>
      <c r="E7" s="19">
        <f t="shared" ref="E7:E13" si="3">IF(AND(ISNUMBER(C7),ISNUMBER(D7)), C7-D7, "")</f>
        <v>0</v>
      </c>
      <c r="F7" s="20" t="str">
        <f t="shared" si="1"/>
        <v/>
      </c>
      <c r="G7" s="21"/>
      <c r="H7" s="21">
        <f>SUM(Jul!H7, Aug!H7, Sep!H7)</f>
        <v>0</v>
      </c>
      <c r="I7" s="20" t="str">
        <f t="shared" si="2"/>
        <v/>
      </c>
    </row>
    <row r="8" spans="1:9" ht="15.6">
      <c r="A8" s="13" t="str">
        <v>Pratt Solar Farm</v>
      </c>
      <c r="B8" s="10" t="str">
        <v>KS</v>
      </c>
      <c r="C8" s="25">
        <f>SUM(Jul!C8, Aug!C8, Sep!C8)</f>
        <v>0</v>
      </c>
      <c r="D8" s="14">
        <f>SUM(Jul!D8, Aug!D8, Sep!D8)</f>
        <v>0</v>
      </c>
      <c r="E8" s="14">
        <f t="shared" si="3"/>
        <v>0</v>
      </c>
      <c r="F8" s="15" t="str">
        <f t="shared" si="1"/>
        <v/>
      </c>
      <c r="G8" s="16"/>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21"/>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21"/>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21"/>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1" stopIfTrue="1" operator="lessThanOrEqual">
      <formula>-0.1</formula>
    </cfRule>
    <cfRule type="expression" dxfId="4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C4" sqref="C4:I13"/>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Ecofin</v>
      </c>
      <c r="B1" s="53"/>
      <c r="C1" s="53"/>
      <c r="D1" s="54" t="s">
        <v>16</v>
      </c>
      <c r="E1" s="54"/>
      <c r="F1" s="54"/>
      <c r="G1" s="52" t="s">
        <v>17</v>
      </c>
      <c r="H1" s="52"/>
      <c r="I1" s="52"/>
    </row>
    <row r="2" spans="1:9" ht="19.5" customHeight="1">
      <c r="A2" s="55" t="s">
        <v>2</v>
      </c>
      <c r="B2" s="55"/>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18</v>
      </c>
      <c r="E1" s="54"/>
      <c r="F1" s="54"/>
      <c r="G1" s="52" t="s">
        <v>19</v>
      </c>
      <c r="H1" s="52"/>
      <c r="I1" s="52"/>
      <c r="J1" s="5"/>
      <c r="K1" s="5"/>
    </row>
    <row r="2" spans="1:11" ht="19.5" customHeight="1">
      <c r="A2" s="55" t="s">
        <v>2</v>
      </c>
      <c r="B2" s="55"/>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6">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6">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6">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6">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6">
      <c r="A8" s="32" t="str">
        <v>Pratt Solar Farm</v>
      </c>
      <c r="B8" s="29" t="str">
        <v>KS</v>
      </c>
      <c r="C8" s="25"/>
      <c r="D8" s="14"/>
      <c r="E8" s="14" t="str">
        <f t="shared" si="0"/>
        <v/>
      </c>
      <c r="F8" s="15" t="str">
        <f t="shared" si="3"/>
        <v/>
      </c>
      <c r="G8" s="16"/>
      <c r="H8" s="16" t="str">
        <f t="shared" si="4"/>
        <v/>
      </c>
      <c r="I8" s="17" t="str">
        <f t="shared" si="5"/>
        <v/>
      </c>
      <c r="J8" s="41"/>
      <c r="K8" s="41"/>
    </row>
    <row r="9" spans="1:11" ht="15.6">
      <c r="A9" s="30" t="str">
        <v>Rochester - 5516 Valleyhigh NW</v>
      </c>
      <c r="B9" s="31" t="str">
        <v>MN</v>
      </c>
      <c r="C9" s="12"/>
      <c r="D9" s="19"/>
      <c r="E9" s="19"/>
      <c r="F9" s="20"/>
      <c r="G9" s="21"/>
      <c r="H9" s="21"/>
      <c r="I9" s="20"/>
      <c r="J9" s="42"/>
      <c r="K9" s="42"/>
    </row>
    <row r="10" spans="1:11" ht="15.6">
      <c r="A10" s="32" t="str">
        <v>Warsaw - 2201 Richmond</v>
      </c>
      <c r="B10" s="29" t="str">
        <v>VA</v>
      </c>
      <c r="C10" s="25"/>
      <c r="D10" s="14"/>
      <c r="E10" s="14"/>
      <c r="F10" s="15"/>
      <c r="G10" s="16"/>
      <c r="H10" s="16"/>
      <c r="I10" s="17"/>
      <c r="J10" s="41"/>
      <c r="K10" s="41"/>
    </row>
    <row r="11" spans="1:11" ht="15.6">
      <c r="A11" s="30" t="str">
        <v>Mount Jackson - Randolf</v>
      </c>
      <c r="B11" s="31" t="str">
        <v>VA</v>
      </c>
      <c r="C11" s="12"/>
      <c r="D11" s="19"/>
      <c r="E11" s="19"/>
      <c r="F11" s="20"/>
      <c r="G11" s="21"/>
      <c r="H11" s="21"/>
      <c r="I11" s="20"/>
      <c r="J11" s="42"/>
      <c r="K11" s="42"/>
    </row>
    <row r="12" spans="1:11" ht="15.6">
      <c r="A12" s="32" t="str">
        <v>Callands Gretna - Monroe</v>
      </c>
      <c r="B12" s="29" t="str">
        <v>VA</v>
      </c>
      <c r="C12" s="25"/>
      <c r="D12" s="14"/>
      <c r="E12" s="14"/>
      <c r="F12" s="15"/>
      <c r="G12" s="16"/>
      <c r="H12" s="16"/>
      <c r="I12" s="17"/>
      <c r="J12" s="41"/>
      <c r="K12" s="41"/>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3"/>
      <c r="G15" s="22"/>
      <c r="H15" s="22"/>
      <c r="I15" s="23"/>
      <c r="J15" s="22"/>
      <c r="K15" s="22"/>
    </row>
    <row r="16" spans="1:11"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C4" activePane="bottomRight" state="frozen"/>
      <selection pane="bottomRight" activeCell="D23" sqref="D23"/>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30</v>
      </c>
      <c r="E1" s="54"/>
      <c r="F1" s="54"/>
      <c r="G1" s="52" t="s">
        <v>31</v>
      </c>
      <c r="H1" s="52"/>
      <c r="I1" s="52"/>
      <c r="J1" s="5"/>
      <c r="K1" s="5"/>
    </row>
    <row r="2" spans="1:11" ht="19.5" customHeight="1">
      <c r="A2" s="55" t="s">
        <v>2</v>
      </c>
      <c r="B2" s="55"/>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6">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6">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6">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6">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6">
      <c r="A10" s="32" t="str">
        <v>Warsaw - 2201 Richmond</v>
      </c>
      <c r="B10" s="29" t="str">
        <v>VA</v>
      </c>
      <c r="C10" s="25"/>
      <c r="D10" s="14"/>
      <c r="E10" s="14"/>
      <c r="F10" s="15"/>
      <c r="G10" s="16"/>
      <c r="H10" s="16"/>
      <c r="I10" s="17"/>
      <c r="J10" s="45"/>
      <c r="K10" s="45"/>
    </row>
    <row r="11" spans="1:11" ht="15.6">
      <c r="A11" s="30" t="str">
        <v>Mount Jackson - Randolf</v>
      </c>
      <c r="B11" s="31" t="str">
        <v>VA</v>
      </c>
      <c r="C11" s="12"/>
      <c r="D11" s="44"/>
      <c r="E11" s="19"/>
      <c r="F11" s="20"/>
      <c r="G11" s="44"/>
      <c r="H11" s="21"/>
      <c r="I11" s="20"/>
      <c r="J11" s="49"/>
      <c r="K11" s="49"/>
    </row>
    <row r="12" spans="1:11" ht="15.6">
      <c r="A12" s="32" t="str">
        <v>Callands Gretna - Monroe</v>
      </c>
      <c r="B12" s="29" t="str">
        <v>VA</v>
      </c>
      <c r="C12" s="25"/>
      <c r="D12" s="14"/>
      <c r="E12" s="14"/>
      <c r="F12" s="15"/>
      <c r="G12" s="16"/>
      <c r="H12" s="16"/>
      <c r="I12" s="17"/>
      <c r="J12" s="45"/>
      <c r="K12" s="45"/>
    </row>
    <row r="13" spans="1:11" ht="15.6">
      <c r="A13" s="30" t="str">
        <v>Rockbridge Baths - Small Mouth Bass</v>
      </c>
      <c r="B13" s="31" t="str">
        <v>VA</v>
      </c>
      <c r="C13" s="12"/>
      <c r="D13" s="44"/>
      <c r="E13" s="19"/>
      <c r="F13" s="20"/>
      <c r="G13" s="44"/>
      <c r="H13" s="21"/>
      <c r="I13" s="20"/>
      <c r="J13" s="49"/>
      <c r="K13" s="49"/>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C4" activePane="bottomRight" state="frozen"/>
      <selection pane="bottomRight" activeCell="D24" sqref="D24"/>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36</v>
      </c>
      <c r="E1" s="54"/>
      <c r="F1" s="54"/>
      <c r="G1" s="52" t="s">
        <v>37</v>
      </c>
      <c r="H1" s="52"/>
      <c r="I1" s="52"/>
      <c r="J1" s="5"/>
      <c r="K1" s="5"/>
    </row>
    <row r="2" spans="1:11" ht="19.5" customHeight="1">
      <c r="A2" s="55" t="s">
        <v>2</v>
      </c>
      <c r="B2" s="55"/>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9">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6">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6">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6">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6">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46"/>
      <c r="D12" s="14"/>
      <c r="E12" s="14"/>
      <c r="F12" s="15"/>
      <c r="G12" s="47"/>
      <c r="H12" s="16"/>
      <c r="I12" s="17"/>
      <c r="J12" s="41"/>
      <c r="K12" s="41"/>
    </row>
    <row r="13" spans="1:11" ht="15.6">
      <c r="A13" s="30" t="str">
        <v>Rockbridge Baths - Small Mouth Bass</v>
      </c>
      <c r="B13" s="31" t="str">
        <v>VA</v>
      </c>
      <c r="C13" s="12"/>
      <c r="D13" s="19"/>
      <c r="E13" s="19"/>
      <c r="F13" s="20"/>
      <c r="G13" s="21"/>
      <c r="H13" s="21"/>
      <c r="I13" s="20"/>
      <c r="J13" s="48"/>
      <c r="K13" s="48"/>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40</v>
      </c>
      <c r="E1" s="54"/>
      <c r="F1" s="54"/>
      <c r="G1" s="52" t="s">
        <v>41</v>
      </c>
      <c r="H1" s="52"/>
      <c r="I1" s="52"/>
      <c r="J1" s="5"/>
      <c r="K1" s="5"/>
    </row>
    <row r="2" spans="1:11" ht="19.5" customHeight="1">
      <c r="A2" s="55" t="s">
        <v>2</v>
      </c>
      <c r="B2" s="55"/>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6">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6">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6">
      <c r="A7" s="30" t="str">
        <v>Golden NREL Wind 3</v>
      </c>
      <c r="B7" s="31" t="str">
        <v>CO</v>
      </c>
      <c r="C7" s="12">
        <v>0</v>
      </c>
      <c r="D7" s="19">
        <v>0</v>
      </c>
      <c r="E7" s="19"/>
      <c r="F7" s="20">
        <v>0</v>
      </c>
      <c r="G7" s="21">
        <v>0</v>
      </c>
      <c r="H7" s="21">
        <f t="shared" si="1"/>
        <v>0</v>
      </c>
      <c r="I7" s="20" t="str">
        <f t="shared" si="2"/>
        <v/>
      </c>
      <c r="J7" s="48" t="s">
        <v>28</v>
      </c>
      <c r="K7" s="48" t="s">
        <v>29</v>
      </c>
    </row>
    <row r="8" spans="1:11" ht="28.9">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1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28.9">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6">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6">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Ecofin</v>
      </c>
      <c r="B1" s="53"/>
      <c r="C1" s="53"/>
      <c r="D1" s="54" t="s">
        <v>48</v>
      </c>
      <c r="E1" s="54"/>
      <c r="F1" s="54"/>
      <c r="G1" s="52" t="s">
        <v>49</v>
      </c>
      <c r="H1" s="52"/>
      <c r="I1" s="52"/>
      <c r="J1" s="5"/>
      <c r="K1" s="5"/>
    </row>
    <row r="2" spans="1:11" ht="19.5" customHeight="1">
      <c r="A2" s="55" t="s">
        <v>2</v>
      </c>
      <c r="B2" s="55"/>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3.1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6">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6">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6">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9">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9">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25"/>
      <c r="D12" s="14"/>
      <c r="E12" s="14"/>
      <c r="F12" s="15"/>
      <c r="G12" s="16"/>
      <c r="H12" s="16"/>
      <c r="I12" s="17"/>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tabSelected="1" zoomScale="80" zoomScaleNormal="80" workbookViewId="0">
      <pane xSplit="2" ySplit="3" topLeftCell="C10" activePane="bottomRight" state="frozen"/>
      <selection pane="bottomRight" activeCell="J11" sqref="J11:J1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3" t="str" cm="1">
        <f t="array" ref="A1">portfolio</f>
        <v>Ecofin</v>
      </c>
      <c r="B1" s="53"/>
      <c r="C1" s="53"/>
      <c r="D1" s="54" t="s">
        <v>60</v>
      </c>
      <c r="E1" s="54"/>
      <c r="F1" s="54"/>
      <c r="G1" s="52" t="s">
        <v>61</v>
      </c>
      <c r="H1" s="52"/>
      <c r="I1" s="52"/>
      <c r="J1" s="5"/>
      <c r="K1" s="5"/>
    </row>
    <row r="2" spans="1:14" ht="19.5" customHeight="1">
      <c r="A2" s="55" t="s">
        <v>2</v>
      </c>
      <c r="B2" s="55"/>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6">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75">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75">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workbookViewId="0">
      <pane xSplit="2" ySplit="3" topLeftCell="C4" activePane="bottomRight" state="frozen"/>
      <selection pane="bottomRight" activeCell="A6" sqref="A6:K1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3" t="str" cm="1">
        <f t="array" ref="A1">portfolio</f>
        <v>Ecofin</v>
      </c>
      <c r="B1" s="53"/>
      <c r="C1" s="53"/>
      <c r="D1" s="54" t="s">
        <v>77</v>
      </c>
      <c r="E1" s="54"/>
      <c r="F1" s="54"/>
      <c r="G1" s="52" t="s">
        <v>78</v>
      </c>
      <c r="H1" s="52"/>
      <c r="I1" s="52"/>
      <c r="J1" s="5"/>
      <c r="K1" s="5"/>
    </row>
    <row r="2" spans="1:15" ht="19.5" customHeight="1">
      <c r="A2" s="55" t="s">
        <v>2</v>
      </c>
      <c r="B2" s="55"/>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c r="A7" s="30" t="str">
        <v>Golden NREL Wind 3</v>
      </c>
      <c r="B7" s="31" t="str">
        <v>CO</v>
      </c>
      <c r="C7" s="12"/>
      <c r="D7" s="19"/>
      <c r="E7" s="19" t="str">
        <f t="shared" si="0"/>
        <v/>
      </c>
      <c r="F7" s="20" t="str">
        <f t="shared" si="3"/>
        <v/>
      </c>
      <c r="G7" s="21"/>
      <c r="H7" s="21" t="str">
        <f t="shared" si="1"/>
        <v/>
      </c>
      <c r="I7" s="20" t="str">
        <f t="shared" si="2"/>
        <v/>
      </c>
      <c r="J7" s="42"/>
      <c r="K7" s="42"/>
    </row>
    <row r="8" spans="1:15" ht="15.6">
      <c r="A8" s="32" t="str">
        <v>Pratt Solar Farm</v>
      </c>
      <c r="B8" s="29" t="str">
        <v>KS</v>
      </c>
      <c r="C8" s="25"/>
      <c r="D8" s="14"/>
      <c r="E8" s="14" t="str">
        <f t="shared" si="0"/>
        <v/>
      </c>
      <c r="F8" s="15" t="str">
        <f t="shared" si="3"/>
        <v/>
      </c>
      <c r="G8" s="16"/>
      <c r="H8" s="16" t="str">
        <f t="shared" si="1"/>
        <v/>
      </c>
      <c r="I8" s="17" t="str">
        <f t="shared" si="2"/>
        <v/>
      </c>
      <c r="J8" s="41"/>
      <c r="K8" s="41"/>
    </row>
    <row r="9" spans="1:15" ht="15.6">
      <c r="A9" s="30" t="str">
        <v>Rochester - 5516 Valleyhigh NW</v>
      </c>
      <c r="B9" s="31" t="str">
        <v>MN</v>
      </c>
      <c r="C9" s="12"/>
      <c r="D9" s="19"/>
      <c r="E9" s="19" t="str">
        <f t="shared" si="0"/>
        <v/>
      </c>
      <c r="F9" s="20" t="str">
        <f t="shared" si="3"/>
        <v/>
      </c>
      <c r="G9" s="21"/>
      <c r="H9" s="21" t="str">
        <f t="shared" si="1"/>
        <v/>
      </c>
      <c r="I9" s="20" t="str">
        <f t="shared" si="2"/>
        <v/>
      </c>
      <c r="J9" s="42"/>
      <c r="K9" s="42"/>
      <c r="L9" s="22"/>
      <c r="M9" s="22"/>
      <c r="N9" s="22"/>
      <c r="O9" s="22"/>
    </row>
    <row r="10" spans="1:15"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c r="N11" s="22"/>
      <c r="O11" s="22"/>
    </row>
    <row r="12" spans="1:15"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workbookViewId="0">
      <pane xSplit="2" ySplit="3" topLeftCell="C4" activePane="bottomRight" state="frozen"/>
      <selection pane="bottomRight" activeCell="A6" sqref="A6:K1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79</v>
      </c>
      <c r="E1" s="54"/>
      <c r="F1" s="54"/>
      <c r="G1" s="52" t="s">
        <v>80</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6">
      <c r="A7" s="30" t="str">
        <v>Golden NREL Wind 3</v>
      </c>
      <c r="B7" s="31" t="str">
        <v>CO</v>
      </c>
      <c r="C7" s="12"/>
      <c r="D7" s="19"/>
      <c r="E7" s="19" t="str">
        <f t="shared" si="0"/>
        <v/>
      </c>
      <c r="F7" s="20" t="str">
        <f t="shared" si="3"/>
        <v/>
      </c>
      <c r="G7" s="21"/>
      <c r="H7" s="21" t="str">
        <f t="shared" si="1"/>
        <v/>
      </c>
      <c r="I7" s="20" t="str">
        <f t="shared" si="2"/>
        <v/>
      </c>
      <c r="J7" s="42"/>
      <c r="K7" s="42"/>
    </row>
    <row r="8" spans="1:12" ht="15.6">
      <c r="A8" s="32" t="str">
        <v>Pratt Solar Farm</v>
      </c>
      <c r="B8" s="29" t="str">
        <v>KS</v>
      </c>
      <c r="C8" s="25"/>
      <c r="D8" s="14"/>
      <c r="E8" s="14" t="str">
        <f t="shared" si="0"/>
        <v/>
      </c>
      <c r="F8" s="15" t="str">
        <f t="shared" si="3"/>
        <v/>
      </c>
      <c r="G8" s="16"/>
      <c r="H8" s="16" t="str">
        <f t="shared" si="1"/>
        <v/>
      </c>
      <c r="I8" s="17" t="str">
        <f t="shared" si="2"/>
        <v/>
      </c>
      <c r="J8" s="41"/>
      <c r="K8" s="41"/>
    </row>
    <row r="9" spans="1:12" ht="15.6">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workbookViewId="0">
      <pane xSplit="2" ySplit="3" topLeftCell="C4" activePane="bottomRight" state="frozen"/>
      <selection pane="bottomRight" activeCell="A6" sqref="A6:K1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3" t="str" cm="1">
        <f t="array" ref="A1">portfolio</f>
        <v>Ecofin</v>
      </c>
      <c r="B1" s="53"/>
      <c r="C1" s="53"/>
      <c r="D1" s="54" t="s">
        <v>81</v>
      </c>
      <c r="E1" s="54"/>
      <c r="F1" s="54"/>
      <c r="G1" s="52" t="s">
        <v>82</v>
      </c>
      <c r="H1" s="52"/>
      <c r="I1" s="52"/>
      <c r="J1" s="5"/>
      <c r="K1" s="5"/>
    </row>
    <row r="2" spans="1:13" ht="19.5" customHeight="1">
      <c r="A2" s="55" t="s">
        <v>2</v>
      </c>
      <c r="B2" s="55"/>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15.6">
      <c r="A9" s="30" t="str">
        <v>Rochester - 5516 Valleyhigh NW</v>
      </c>
      <c r="B9" s="31" t="str">
        <v>MN</v>
      </c>
      <c r="C9" s="12"/>
      <c r="D9" s="19"/>
      <c r="E9" s="19" t="str">
        <f t="shared" si="0"/>
        <v/>
      </c>
      <c r="F9" s="20" t="str">
        <f t="shared" si="3"/>
        <v/>
      </c>
      <c r="G9" s="21"/>
      <c r="H9" s="21" t="str">
        <f t="shared" si="1"/>
        <v/>
      </c>
      <c r="I9" s="20" t="str">
        <f t="shared" si="2"/>
        <v/>
      </c>
      <c r="J9" s="42"/>
      <c r="K9" s="42"/>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workbookViewId="0">
      <pane xSplit="2" ySplit="3" topLeftCell="D4" activePane="bottomRight" state="frozen"/>
      <selection pane="bottomRight" activeCell="J20" sqref="J20"/>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83</v>
      </c>
      <c r="E1" s="54"/>
      <c r="F1" s="54"/>
      <c r="G1" s="52" t="s">
        <v>84</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6">
      <c r="A7" s="30" t="str">
        <v>Golden NREL Wind 3</v>
      </c>
      <c r="B7" s="31" t="str">
        <v>CO</v>
      </c>
      <c r="C7" s="12"/>
      <c r="D7" s="19"/>
      <c r="E7" s="19" t="str">
        <f t="shared" si="0"/>
        <v/>
      </c>
      <c r="F7" s="20" t="str">
        <f t="shared" si="3"/>
        <v/>
      </c>
      <c r="G7" s="21"/>
      <c r="H7" s="21" t="str">
        <f t="shared" si="1"/>
        <v/>
      </c>
      <c r="I7" s="20" t="str">
        <f t="shared" si="2"/>
        <v/>
      </c>
      <c r="J7" s="42"/>
      <c r="K7" s="42"/>
    </row>
    <row r="8" spans="1:12" ht="15.6">
      <c r="A8" s="32" t="str">
        <v>Pratt Solar Farm</v>
      </c>
      <c r="B8" s="29" t="str">
        <v>KS</v>
      </c>
      <c r="C8" s="25"/>
      <c r="D8" s="14"/>
      <c r="E8" s="14" t="str">
        <f t="shared" si="0"/>
        <v/>
      </c>
      <c r="F8" s="15" t="str">
        <f t="shared" si="3"/>
        <v/>
      </c>
      <c r="G8" s="16"/>
      <c r="H8" s="16" t="str">
        <f t="shared" si="1"/>
        <v/>
      </c>
      <c r="I8" s="17" t="str">
        <f t="shared" si="2"/>
        <v/>
      </c>
      <c r="J8" s="41"/>
      <c r="K8" s="41"/>
    </row>
    <row r="9" spans="1:12" ht="15.6">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90" zoomScaleNormal="90" workbookViewId="0">
      <pane xSplit="2" ySplit="3" topLeftCell="C4" activePane="bottomRight" state="frozen"/>
      <selection pane="bottomRight" activeCell="D25" sqref="D25"/>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3" t="str" cm="1">
        <f t="array" ref="A1">portfolio</f>
        <v>Ecofin</v>
      </c>
      <c r="B1" s="53"/>
      <c r="C1" s="53"/>
      <c r="D1" s="54" t="s">
        <v>85</v>
      </c>
      <c r="E1" s="54"/>
      <c r="F1" s="54"/>
      <c r="G1" s="52" t="s">
        <v>86</v>
      </c>
      <c r="H1" s="52"/>
      <c r="I1" s="52"/>
      <c r="J1" s="5"/>
      <c r="K1" s="5"/>
    </row>
    <row r="2" spans="1:12" ht="19.5" customHeight="1">
      <c r="A2" s="55" t="s">
        <v>2</v>
      </c>
      <c r="B2" s="55"/>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6">
      <c r="A6" s="32" t="str">
        <v>Golden NREL 2</v>
      </c>
      <c r="B6" s="29" t="str">
        <v>CO</v>
      </c>
      <c r="C6" s="25"/>
      <c r="D6" s="14"/>
      <c r="E6" s="14" t="str">
        <f t="shared" si="0"/>
        <v/>
      </c>
      <c r="F6" s="15" t="str">
        <f t="shared" ref="F6:F13" si="3">IFERROR(E6/D6, "")</f>
        <v/>
      </c>
      <c r="G6" s="16"/>
      <c r="H6" s="16" t="str">
        <f t="shared" si="1"/>
        <v/>
      </c>
      <c r="I6" s="17" t="str">
        <f t="shared" si="2"/>
        <v/>
      </c>
      <c r="J6" s="41"/>
      <c r="K6" s="41"/>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2" ht="15.6">
      <c r="A8" s="32" t="str">
        <v>Pratt Solar Farm</v>
      </c>
      <c r="B8" s="29" t="str">
        <v>KS</v>
      </c>
      <c r="C8" s="25"/>
      <c r="D8" s="14"/>
      <c r="E8" s="14" t="str">
        <f t="shared" si="4"/>
        <v/>
      </c>
      <c r="F8" s="15" t="str">
        <f t="shared" si="3"/>
        <v/>
      </c>
      <c r="G8" s="16"/>
      <c r="H8" s="16" t="str">
        <f t="shared" si="5"/>
        <v/>
      </c>
      <c r="I8" s="17" t="str">
        <f t="shared" si="6"/>
        <v/>
      </c>
      <c r="J8" s="41"/>
      <c r="K8" s="41"/>
    </row>
    <row r="9" spans="1:12" ht="15.6">
      <c r="A9" s="30" t="str">
        <v>Rochester - 5516 Valleyhigh NW</v>
      </c>
      <c r="B9" s="31" t="str">
        <v>MN</v>
      </c>
      <c r="C9" s="12"/>
      <c r="D9" s="19"/>
      <c r="E9" s="19" t="str">
        <f t="shared" si="4"/>
        <v/>
      </c>
      <c r="F9" s="20" t="str">
        <f t="shared" si="3"/>
        <v/>
      </c>
      <c r="G9" s="21"/>
      <c r="H9" s="21" t="str">
        <f t="shared" si="5"/>
        <v/>
      </c>
      <c r="I9" s="20" t="str">
        <f t="shared" si="6"/>
        <v/>
      </c>
      <c r="J9" s="42"/>
      <c r="K9" s="42"/>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41"/>
      <c r="K10" s="41"/>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2"/>
      <c r="K11" s="42"/>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41"/>
      <c r="K12" s="41"/>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C4" activePane="bottomRight" state="frozen"/>
      <selection pane="bottomRight" activeCell="J23" sqref="J2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3" t="str" cm="1">
        <f t="array" ref="A1">portfolio</f>
        <v>Ecofin</v>
      </c>
      <c r="B1" s="53"/>
      <c r="C1" s="53"/>
      <c r="D1" s="54" t="s">
        <v>87</v>
      </c>
      <c r="E1" s="54"/>
      <c r="F1" s="54"/>
      <c r="G1" s="52" t="s">
        <v>88</v>
      </c>
      <c r="H1" s="52"/>
      <c r="I1" s="52"/>
      <c r="J1" s="5"/>
      <c r="K1" s="5"/>
    </row>
    <row r="2" spans="1:14" ht="19.5" customHeight="1">
      <c r="A2" s="55" t="s">
        <v>2</v>
      </c>
      <c r="B2" s="55"/>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6">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6">
      <c r="A8" s="32" t="str">
        <v>Pratt Solar Farm</v>
      </c>
      <c r="B8" s="29" t="str">
        <v>KS</v>
      </c>
      <c r="C8" s="25"/>
      <c r="D8" s="14"/>
      <c r="E8" s="14" t="str">
        <f t="shared" si="4"/>
        <v/>
      </c>
      <c r="F8" s="15" t="str">
        <f t="shared" si="3"/>
        <v/>
      </c>
      <c r="G8" s="16"/>
      <c r="H8" s="16" t="str">
        <f t="shared" si="5"/>
        <v/>
      </c>
      <c r="I8" s="17" t="str">
        <f t="shared" si="6"/>
        <v/>
      </c>
      <c r="J8" s="41"/>
      <c r="K8" s="41"/>
    </row>
    <row r="9" spans="1:14" ht="15.6">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4" sqref="A1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89</v>
      </c>
      <c r="B1" s="43" t="s">
        <v>90</v>
      </c>
    </row>
    <row r="3" spans="1:7" ht="13.15">
      <c r="A3" t="s">
        <v>91</v>
      </c>
      <c r="B3" t="s">
        <v>3</v>
      </c>
      <c r="C3" t="s">
        <v>4</v>
      </c>
      <c r="D3" t="s">
        <v>92</v>
      </c>
      <c r="E3" s="2" t="s">
        <v>93</v>
      </c>
    </row>
    <row r="4" spans="1:7" ht="14.45">
      <c r="A4" s="3" t="s">
        <v>94</v>
      </c>
      <c r="B4" t="s">
        <v>95</v>
      </c>
      <c r="C4" s="4" t="s">
        <v>96</v>
      </c>
      <c r="G4" s="3"/>
    </row>
    <row r="5" spans="1:7" ht="14.45">
      <c r="A5" s="3" t="s">
        <v>97</v>
      </c>
      <c r="B5" t="s">
        <v>98</v>
      </c>
      <c r="C5" s="4" t="s">
        <v>96</v>
      </c>
      <c r="G5" s="3"/>
    </row>
    <row r="6" spans="1:7" ht="14.45">
      <c r="A6" s="43" t="s">
        <v>99</v>
      </c>
      <c r="B6" t="s">
        <v>100</v>
      </c>
      <c r="C6" t="s">
        <v>96</v>
      </c>
      <c r="G6" s="3"/>
    </row>
    <row r="7" spans="1:7" ht="12.75" customHeight="1">
      <c r="A7" s="43" t="s">
        <v>101</v>
      </c>
      <c r="B7" t="s">
        <v>102</v>
      </c>
      <c r="C7" t="s">
        <v>96</v>
      </c>
    </row>
    <row r="8" spans="1:7" ht="12.75" customHeight="1">
      <c r="A8" s="4" t="s">
        <v>103</v>
      </c>
      <c r="B8" s="4" t="s">
        <v>104</v>
      </c>
      <c r="C8" s="4" t="s">
        <v>105</v>
      </c>
    </row>
    <row r="9" spans="1:7" ht="12.75" customHeight="1">
      <c r="A9" s="43" t="s">
        <v>106</v>
      </c>
      <c r="B9" t="s">
        <v>107</v>
      </c>
      <c r="C9" t="s">
        <v>108</v>
      </c>
    </row>
    <row r="10" spans="1:7" ht="12.75" customHeight="1">
      <c r="A10" s="4" t="s">
        <v>109</v>
      </c>
      <c r="B10" s="4" t="s">
        <v>110</v>
      </c>
      <c r="C10" s="4" t="s">
        <v>111</v>
      </c>
    </row>
    <row r="11" spans="1:7" ht="12.75" customHeight="1">
      <c r="A11" s="4" t="s">
        <v>112</v>
      </c>
      <c r="B11" s="4" t="s">
        <v>113</v>
      </c>
      <c r="C11" s="4" t="s">
        <v>111</v>
      </c>
    </row>
    <row r="12" spans="1:7" ht="12.75" customHeight="1">
      <c r="A12" s="4" t="s">
        <v>114</v>
      </c>
      <c r="B12" s="4" t="s">
        <v>115</v>
      </c>
      <c r="C12" s="4" t="s">
        <v>111</v>
      </c>
    </row>
    <row r="13" spans="1:7" ht="12.75" customHeight="1">
      <c r="A13" s="4" t="s">
        <v>116</v>
      </c>
      <c r="B13" s="4" t="s">
        <v>117</v>
      </c>
      <c r="C13" s="4" t="s">
        <v>111</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C0BCDC1E-6052-4E48-9BAF-94A40814E7C2}"/>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BF5C6359-7763-4C37-8EAF-2BC4698CB285}"/>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Sanjaykumar Gunde</cp:lastModifiedBy>
  <cp:revision/>
  <dcterms:created xsi:type="dcterms:W3CDTF">2021-01-01T16:39:53Z</dcterms:created>
  <dcterms:modified xsi:type="dcterms:W3CDTF">2024-08-07T11:08:48Z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