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8" documentId="13_ncr:1_{7149D386-12D9-4588-8A4E-F38F9E741ED2}" xr6:coauthVersionLast="47" xr6:coauthVersionMax="47" xr10:uidLastSave="{E7E961F5-2415-4A2B-BF21-84D11F249EFE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F5" i="34"/>
  <c r="G4" i="34"/>
  <c r="E4" i="4"/>
  <c r="E4" i="72"/>
  <c r="F4" i="72" s="1"/>
  <c r="E5" i="72"/>
  <c r="F5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D4" i="34" s="1"/>
  <c r="C4" i="18"/>
  <c r="C4" i="34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2" i="34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<sst xmlns="http://schemas.openxmlformats.org/spreadsheetml/2006/main" count="251" uniqueCount="62">
  <si>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</si>
  <si>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</si>
  <si>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</si>
  <si>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</si>
  <si>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</si>
  <si>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</si>
  <si>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</si>
  <si>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</si>
  <si>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</si>
  <si>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</si>
  <si>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</si>
  <si>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</si>
  <si>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</si>
  <si>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</si>
  <si>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</si>
  <si>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</si>
  <si>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</si>
  <si>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</si>
  <si>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</si>
  <si>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</si>
  <si>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</si>
  <si>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</si>
  <si>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</si>
  <si>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</si>
  <si>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</si>
  <si>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 xml:space="preserve">1. Inverter 2 tripped offline on 02/03 at 16:00 &amp; back online on 02/06 at 14:25. </t>
  </si>
  <si>
    <t>1. SR080701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</si>
  <si>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</si>
  <si>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</si>
  <si>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</si>
  <si>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</si>
  <si>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</si>
  <si>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</si>
  <si>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was offline due to utility outage from 05:15 to 10:15 AM on 05/28 but inverter 5 and 3 were not back online when site came back online. Inverter 5 was back online at 14:45 on 05/28 and inverter 3 was back online on next day</t>
  </si>
  <si>
    <t xml:space="preserve">1. SR085207	</t>
  </si>
  <si>
    <t>1. Site was offline on 05/28 due to utility outage and later came back online on 05/29.
2. Inverter 2 tripped offline at 16:45 on 05/22 and back online at 11:45 on 05/23</t>
  </si>
  <si>
    <t>1. SR085206
2. SR085049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</si>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</sst>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I4" sqref="I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ALIGNED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5">
        <f>SUM(C4:C77)</f>
        <v>110300.05399999999</v>
      </c>
      <c r="D2" s="5">
        <f>SUM(D4:D77)</f>
        <v>0</v>
      </c>
      <c r="E2" s="5">
        <f>C2-D2</f>
        <v>110300.05399999999</v>
      </c>
      <c r="F2" s="6">
        <f>IFERROR(E2/D2, 0)</f>
        <v>0</v>
      </c>
      <c r="G2" s="5">
        <f>SUM(G4:G77)</f>
        <v>114667.38</v>
      </c>
      <c r="H2" s="7">
        <f>C2-G2</f>
        <v>-4367.3260000000155</v>
      </c>
      <c r="I2" s="6">
        <f>IFERROR(H2/G2, 0)</f>
        <v>-3.8086908412837329E-2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96401.253999999986</v>
      </c>
      <c r="D4" s="12">
        <f>SUM('1st Qtr'!D4, '2nd Qtr'!D4, '3rd Qtr'!D4, '4th Qtr'!D4)</f>
        <v>0</v>
      </c>
      <c r="E4" s="12">
        <f>IF(AND(ISNUMBER(C4),ISNUMBER(D4)), C4-D4, "")</f>
        <v>96401.253999999986</v>
      </c>
      <c r="F4" s="13" t="str">
        <f>IFERROR(E4/D4, "")</f>
        <v/>
      </c>
      <c r="G4" s="14">
        <f>SUM('1st Qtr'!G4, '2nd Qtr'!G4, '3rd Qtr'!G4, '4th Qtr'!G4)</f>
        <v>114667.38</v>
      </c>
      <c r="H4" s="14">
        <f>SUM('1st Qtr'!H4, '2nd Qtr'!H4, '3rd Qtr'!H4, '4th Qtr'!H4)</f>
        <v>-18266.126000000004</v>
      </c>
      <c r="I4" s="15">
        <f>IFERROR(H4/G4, "")</f>
        <v>-0.15929661949196017</v>
      </c>
    </row>
    <row r="5" spans="1:9" ht="15.6">
      <c r="A5" s="28" t="str">
        <v>Yankee Phase 2</v>
      </c>
      <c r="B5" s="28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13898.8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ALIGNED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5">
        <f>SUM(C4:C77)</f>
        <v>41603.64</v>
      </c>
      <c r="D2" s="5">
        <f>SUM(D4:D77)</f>
        <v>0</v>
      </c>
      <c r="E2" s="5">
        <f>C2-D2</f>
        <v>41603.64</v>
      </c>
      <c r="F2" s="6">
        <f>IFERROR(E2/D2, 0)</f>
        <v>0</v>
      </c>
      <c r="G2" s="5">
        <f>SUM(G4:G77)</f>
        <v>40231.33</v>
      </c>
      <c r="H2" s="7">
        <f>C2-G2</f>
        <v>1372.3099999999977</v>
      </c>
      <c r="I2" s="6">
        <f>IFERROR(H2/G2, 0)</f>
        <v>3.4110480563282336E-2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27704.84</v>
      </c>
      <c r="D4" s="12">
        <f>SUM(Jan!D4, Feb!D4, Mar!D4)</f>
        <v>0</v>
      </c>
      <c r="E4" s="12">
        <f>IF(AND(ISNUMBER(C4),ISNUMBER(D4)), C4-D4, "")</f>
        <v>27704.84</v>
      </c>
      <c r="F4" s="13" t="str">
        <f>IFERROR(E4/D4, "")</f>
        <v/>
      </c>
      <c r="G4" s="14">
        <f>SUM(Jan!G4, Feb!G4, Mar!G4)</f>
        <v>40231.33</v>
      </c>
      <c r="H4" s="14">
        <f>SUM(Jan!H4, Feb!H4, Mar!H4)</f>
        <v>-12526.49</v>
      </c>
      <c r="I4" s="15">
        <f>IFERROR(H4/G4, "")</f>
        <v>-0.31136156821064576</v>
      </c>
    </row>
    <row r="5" spans="1:9" ht="15.6">
      <c r="A5" s="16" t="str">
        <v>Yankee Phase 2</v>
      </c>
      <c r="B5" s="10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SUM(Jan!G5, Feb!G5, Mar!G5)</f>
        <v>0</v>
      </c>
      <c r="H5" s="19">
        <f>SUM(Jan!H5, Feb!H5, Mar!H5)</f>
        <v>13898.8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11" sqref="G11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ALIGNED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5">
        <f>SUM(C4:C77)</f>
        <v>102361.96399999999</v>
      </c>
      <c r="D2" s="5">
        <f>SUM(D4:D77)</f>
        <v>0</v>
      </c>
      <c r="E2" s="5">
        <f>C2-D2</f>
        <v>102361.96399999999</v>
      </c>
      <c r="F2" s="6">
        <f>IFERROR(E2/D2, 0)</f>
        <v>0</v>
      </c>
      <c r="G2" s="5">
        <f>SUM(G4:G77)</f>
        <v>74436.05</v>
      </c>
      <c r="H2" s="7">
        <f>C2-G2</f>
        <v>27925.91399999999</v>
      </c>
      <c r="I2" s="6">
        <f>IFERROR(H2/G2, 0)</f>
        <v>0.3751665221354436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68696.41399999999</v>
      </c>
      <c r="D4" s="12">
        <f>SUM(Apr!D4, May!D4, Jun!D4)</f>
        <v>0</v>
      </c>
      <c r="E4" s="12">
        <f>IF(AND(ISNUMBER(C4),ISNUMBER(D4)), C4-D4, "")</f>
        <v>68696.41399999999</v>
      </c>
      <c r="F4" s="13" t="str">
        <f>IFERROR(E4/D4, "")</f>
        <v/>
      </c>
      <c r="G4" s="14">
        <f>SUM(Apr!G4,May!G4,Jun!G4)</f>
        <v>74436.05</v>
      </c>
      <c r="H4" s="14">
        <f>SUM(Apr!H4, May!H4, Jun!H4)</f>
        <v>-5739.6360000000059</v>
      </c>
      <c r="I4" s="15">
        <f>IFERROR(H4/G4, "")</f>
        <v>-7.710828288174891E-2</v>
      </c>
    </row>
    <row r="5" spans="1:9" ht="15.6">
      <c r="A5" s="16" t="str">
        <v>Yankee Phase 2</v>
      </c>
      <c r="B5" s="10" t="str">
        <v>MA</v>
      </c>
      <c r="C5" s="11">
        <f>SUM(Apr!C5, May!C5, Jun!C5)</f>
        <v>33665.550000000003</v>
      </c>
      <c r="D5" s="17">
        <f>SUM(Apr!D5, May!D5, Jun!D5)</f>
        <v>0</v>
      </c>
      <c r="E5" s="17">
        <f t="shared" ref="E5" si="0">IF(AND(ISNUMBER(C5),ISNUMBER(D5)), C5-D5, "")</f>
        <v>33665.550000000003</v>
      </c>
      <c r="F5" s="18" t="str">
        <f>IFERROR(E5/D5, "")</f>
        <v/>
      </c>
      <c r="G5" s="20">
        <f>SUM(Apr!G5,May!G5,Jun!G5)</f>
        <v>0</v>
      </c>
      <c r="H5" s="19">
        <f>SUM(Apr!H5, May!H5, Jun!H5)</f>
        <v>33665.550000000003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5">
    <cfRule type="cellIs" dxfId="34" priority="1" stopIfTrue="1" operator="lessThanOrEqual">
      <formula>-0.1</formula>
    </cfRule>
    <cfRule type="expression" dxfId="33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ALIGNED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ALIGNED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G4" activePane="bottomRight" state="frozen"/>
      <selection pane="bottomRight" activeCell="I4" sqref="I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SUM(C4:C76)</f>
        <v>5686.9</v>
      </c>
      <c r="D2" s="5">
        <f>SUM(D4:D76)</f>
        <v>0</v>
      </c>
      <c r="E2" s="5">
        <f>C2-D2</f>
        <v>5686.9</v>
      </c>
      <c r="F2" s="6">
        <f>IFERROR(E2/D2, 0)</f>
        <v>0</v>
      </c>
      <c r="G2" s="5">
        <f>SUM(G4:G76)</f>
        <v>9297.5300000000007</v>
      </c>
      <c r="H2" s="7">
        <f>C2-G2</f>
        <v>-3610.630000000001</v>
      </c>
      <c r="I2" s="6">
        <f>IFERROR(H2/G2, 0)</f>
        <v>-0.38834292548666161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3764</v>
      </c>
      <c r="D4" s="12">
        <v>0</v>
      </c>
      <c r="E4" s="12">
        <f>IF(AND(ISNUMBER(C4),ISNUMBER(D4)), C4-D4, "")</f>
        <v>3764</v>
      </c>
      <c r="F4" s="12" t="str">
        <f>IFERROR(E4/D4, "")</f>
        <v/>
      </c>
      <c r="G4" s="14">
        <v>9297.5300000000007</v>
      </c>
      <c r="H4" s="14">
        <f>IF(AND(ISNUMBER(C4),ISNUMBER(G4)), C4-G4, "")</f>
        <v>-5533.5300000000007</v>
      </c>
      <c r="I4" s="15">
        <f>IFERROR(H4/G4, "")</f>
        <v>-0.59516129552687658</v>
      </c>
      <c r="J4" s="39" t="s">
        <v>22</v>
      </c>
      <c r="K4" s="39" t="s">
        <v>22</v>
      </c>
    </row>
    <row r="5" spans="1:11" ht="15.6">
      <c r="A5" s="28" t="str">
        <v>Yankee Phase 2</v>
      </c>
      <c r="B5" s="29" t="str">
        <v>MA</v>
      </c>
      <c r="C5" s="11">
        <v>1922.9</v>
      </c>
      <c r="D5" s="17">
        <v>0</v>
      </c>
      <c r="E5" s="17">
        <f t="shared" ref="E5" si="0">IF(AND(ISNUMBER(C5),ISNUMBER(D5)), C5-D5, "")</f>
        <v>1922.9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1922.9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L9" sqref="L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12645.24</v>
      </c>
      <c r="D2" s="5">
        <f>SUM(D4:D77)</f>
        <v>0</v>
      </c>
      <c r="E2" s="5">
        <f>C2-D2</f>
        <v>12645.24</v>
      </c>
      <c r="F2" s="6">
        <f>IFERROR(E2/D2, 0)</f>
        <v>0</v>
      </c>
      <c r="G2" s="5">
        <f>SUM(G4:G77)</f>
        <v>12570</v>
      </c>
      <c r="H2" s="7">
        <f>C2-G2</f>
        <v>75.239999999999782</v>
      </c>
      <c r="I2" s="6">
        <f>IFERROR(H2/G2, 0)</f>
        <v>5.9856801909307705E-3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8538.14</v>
      </c>
      <c r="D4" s="12">
        <v>0</v>
      </c>
      <c r="E4" s="12">
        <f>IF(AND(ISNUMBER(C4),ISNUMBER(D4)), C4-D4, "")</f>
        <v>8538.14</v>
      </c>
      <c r="F4" s="12" t="str">
        <f>IFERROR(E4/D4, "")</f>
        <v/>
      </c>
      <c r="G4" s="14">
        <v>12570</v>
      </c>
      <c r="H4" s="14">
        <f>IF(AND(ISNUMBER(C4),ISNUMBER(G4)), C4-G4, "")</f>
        <v>-4031.8600000000006</v>
      </c>
      <c r="I4" s="15">
        <f>IFERROR(H4/G4, "")</f>
        <v>-0.32075258552108199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4107.1000000000004</v>
      </c>
      <c r="D5" s="17">
        <v>0</v>
      </c>
      <c r="E5" s="17">
        <f t="shared" ref="E5" si="0">IF(AND(ISNUMBER(C5),ISNUMBER(D5)), C5-D5, "")</f>
        <v>4107.1000000000004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4107.1000000000004</v>
      </c>
      <c r="I5" s="18" t="str">
        <f t="shared" ref="I5" si="3">IFERROR(H5/G5, "")</f>
        <v/>
      </c>
      <c r="J5" s="40" t="s">
        <v>25</v>
      </c>
      <c r="K5" s="40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27</v>
      </c>
      <c r="E1" s="48"/>
      <c r="F1" s="48"/>
      <c r="G1" s="46" t="s">
        <v>28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23271.5</v>
      </c>
      <c r="D2" s="5">
        <f>SUM(D4:D77)</f>
        <v>0</v>
      </c>
      <c r="E2" s="5">
        <f>C2-D2</f>
        <v>23271.5</v>
      </c>
      <c r="F2" s="6">
        <f>IFERROR(E2/D2, 0)</f>
        <v>0</v>
      </c>
      <c r="G2" s="5">
        <f>SUM(G4:G77)</f>
        <v>18363.8</v>
      </c>
      <c r="H2" s="7">
        <f>C2-G2</f>
        <v>4907.7000000000007</v>
      </c>
      <c r="I2" s="6">
        <f>IFERROR(H2/G2, 0)</f>
        <v>0.26724860867576433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15402.7</v>
      </c>
      <c r="D4" s="12">
        <v>0</v>
      </c>
      <c r="E4" s="12">
        <f t="shared" ref="E4:E5" si="0">IF(AND(ISNUMBER(C4),ISNUMBER(D4)), C4-D4, "")</f>
        <v>15402.7</v>
      </c>
      <c r="F4" s="12" t="str">
        <f>IFERROR(E4/D4, "")</f>
        <v/>
      </c>
      <c r="G4" s="14">
        <v>18363.8</v>
      </c>
      <c r="H4" s="14">
        <f>IF(AND(ISNUMBER(C4),ISNUMBER(G4)), C4-G4, "")</f>
        <v>-2961.0999999999985</v>
      </c>
      <c r="I4" s="15">
        <f>IFERROR(H4/G4, "")</f>
        <v>-0.16124658295124095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7868.8</v>
      </c>
      <c r="D5" s="17">
        <v>0</v>
      </c>
      <c r="E5" s="17">
        <f t="shared" si="0"/>
        <v>7868.8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7868.8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17" sqref="J17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30220.784</v>
      </c>
      <c r="D2" s="5">
        <f>SUM(D4:D77)</f>
        <v>0</v>
      </c>
      <c r="E2" s="5">
        <f>C2-D2</f>
        <v>30220.784</v>
      </c>
      <c r="F2" s="6">
        <f>IFERROR(E2/D2, 0)</f>
        <v>0</v>
      </c>
      <c r="G2" s="5">
        <f>SUM(G4:G77)</f>
        <v>21548.33</v>
      </c>
      <c r="H2" s="7">
        <f>C2-G2</f>
        <v>8672.4539999999979</v>
      </c>
      <c r="I2" s="6">
        <f>IFERROR(H2/G2, 0)</f>
        <v>0.40246524904714182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20103.083999999999</v>
      </c>
      <c r="D4" s="12">
        <v>0</v>
      </c>
      <c r="E4" s="12">
        <f>IF(AND(ISNUMBER(C4),ISNUMBER(D4)), C4-D4, "")</f>
        <v>20103.083999999999</v>
      </c>
      <c r="F4" s="13" t="str">
        <f>IFERROR(E4/D4, "")</f>
        <v/>
      </c>
      <c r="G4" s="14">
        <v>21548.33</v>
      </c>
      <c r="H4" s="14">
        <f>IF(AND(ISNUMBER(C4),ISNUMBER(G4)), C4-G4, "")</f>
        <v>-1445.2460000000028</v>
      </c>
      <c r="I4" s="15">
        <f>IFERROR(H4/G4, "")</f>
        <v>-6.7069977116556254E-2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10117.700000000001</v>
      </c>
      <c r="D5" s="17">
        <v>0</v>
      </c>
      <c r="E5" s="17">
        <f t="shared" ref="E5" si="0">IF(AND(ISNUMBER(C5),ISNUMBER(D5)), C5-D5, "")</f>
        <v>10117.700000000001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10117.700000000001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E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33683.699999999997</v>
      </c>
      <c r="D2" s="5">
        <f>SUM(D4:D77)</f>
        <v>0</v>
      </c>
      <c r="E2" s="5">
        <f>C2-D2</f>
        <v>33683.699999999997</v>
      </c>
      <c r="F2" s="6">
        <f>IFERROR(E2/D2, 0)</f>
        <v>0</v>
      </c>
      <c r="G2" s="5">
        <f>SUM(G4:G77)</f>
        <v>26153.75</v>
      </c>
      <c r="H2" s="7">
        <f>C2-G2</f>
        <v>7529.9499999999971</v>
      </c>
      <c r="I2" s="6">
        <f>IFERROR(H2/G2, 0)</f>
        <v>0.28791091143717429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3.1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22663.119999999999</v>
      </c>
      <c r="D4" s="12">
        <v>0</v>
      </c>
      <c r="E4" s="12">
        <f>IF(AND(ISNUMBER(C4),ISNUMBER(D4)), C4-D4, "")</f>
        <v>22663.119999999999</v>
      </c>
      <c r="F4" s="13" t="str">
        <f>IFERROR(E4/D4, "")</f>
        <v/>
      </c>
      <c r="G4" s="14">
        <v>26153.75</v>
      </c>
      <c r="H4" s="14">
        <f>IF(AND(ISNUMBER(C4),ISNUMBER(G4)), C4-G4, "")</f>
        <v>-3490.630000000001</v>
      </c>
      <c r="I4" s="15">
        <f>IFERROR(H4/G4, "")</f>
        <v>-0.13346575538880662</v>
      </c>
      <c r="J4" s="39" t="s">
        <v>33</v>
      </c>
      <c r="K4" s="39" t="s">
        <v>34</v>
      </c>
    </row>
    <row r="5" spans="1:11" ht="43.15">
      <c r="A5" s="28" t="str">
        <v>Yankee Phase 2</v>
      </c>
      <c r="B5" s="29" t="str">
        <v>MA</v>
      </c>
      <c r="C5" s="11">
        <v>11020.58</v>
      </c>
      <c r="D5" s="17">
        <v>0</v>
      </c>
      <c r="E5" s="17">
        <f t="shared" ref="E5" si="0">IF(AND(ISNUMBER(C5),ISNUMBER(D5)), C5-D5, "")</f>
        <v>11020.58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11020.58</v>
      </c>
      <c r="I5" s="18" t="str">
        <f t="shared" ref="I5" si="2">IFERROR(H5/G5, "")</f>
        <v/>
      </c>
      <c r="J5" s="45" t="s">
        <v>35</v>
      </c>
      <c r="K5" s="45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38457.479999999996</v>
      </c>
      <c r="D2" s="5">
        <f>SUM(D4:D77)</f>
        <v>0</v>
      </c>
      <c r="E2" s="5">
        <f>C2-D2</f>
        <v>38457.479999999996</v>
      </c>
      <c r="F2" s="6">
        <f>IFERROR(E2/D2, 0)</f>
        <v>0</v>
      </c>
      <c r="G2" s="5">
        <f>SUM(G4:G77)</f>
        <v>26733.97</v>
      </c>
      <c r="H2" s="7">
        <f>C2-G2</f>
        <v>11723.509999999995</v>
      </c>
      <c r="I2" s="6">
        <f>IFERROR(H2/G2, 0)</f>
        <v>0.43852484311159151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25930.21</v>
      </c>
      <c r="D4" s="12">
        <v>0</v>
      </c>
      <c r="E4" s="12">
        <f>IF(AND(ISNUMBER(C4),ISNUMBER(D4)), C4-D4, "")</f>
        <v>25930.21</v>
      </c>
      <c r="F4" s="13" t="str">
        <f>IFERROR(E4/D4, "")</f>
        <v/>
      </c>
      <c r="G4" s="14">
        <v>26733.97</v>
      </c>
      <c r="H4" s="14">
        <f>IF(AND(ISNUMBER(C4),ISNUMBER(G4)), C4-G4, "")</f>
        <v>-803.76000000000204</v>
      </c>
      <c r="I4" s="15">
        <f>IFERROR(H4/G4, "")</f>
        <v>-3.0065119396782521E-2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12527.27</v>
      </c>
      <c r="D5" s="17">
        <v>0</v>
      </c>
      <c r="E5" s="17">
        <f t="shared" ref="E5" si="0">IF(AND(ISNUMBER(C5),ISNUMBER(D5)), C5-D5, "")</f>
        <v>12527.27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12527.27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39</v>
      </c>
      <c r="E1" s="48"/>
      <c r="F1" s="48"/>
      <c r="G1" s="46" t="s">
        <v>40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ALIGNED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t="s">
        <v>56</v>
      </c>
      <c r="B4" t="s">
        <v>57</v>
      </c>
      <c r="C4" t="s">
        <v>58</v>
      </c>
      <c r="E4" t="s">
        <v>59</v>
      </c>
      <c r="G4" s="3"/>
    </row>
    <row r="5" spans="1:12" ht="14.45">
      <c r="A5" t="s">
        <v>60</v>
      </c>
      <c r="B5" t="s">
        <v>61</v>
      </c>
      <c r="C5" t="s">
        <v>58</v>
      </c>
      <c r="E5" t="s">
        <v>59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2024-07-12T03:42:54Z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