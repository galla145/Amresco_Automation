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_amgsol_com/Documents/Microsoft Teams Chat Files/"/>
    </mc:Choice>
  </mc:AlternateContent>
  <xr:revisionPtr revIDLastSave="24" documentId="13_ncr:1_{B2136D77-6AF2-486E-B111-09202637F255}" xr6:coauthVersionLast="47" xr6:coauthVersionMax="47" xr10:uidLastSave="{2F952CE9-AF15-4287-A345-F1D3BE095EBD}"/>
  <bookViews>
    <workbookView xWindow="-98" yWindow="-98" windowWidth="21795" windowHeight="12975" tabRatio="866" firstSheet="9" activeTab="9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8" l="1"/>
  <c r="G4" i="18"/>
  <c r="H4" i="4" l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G5" i="1"/>
  <c r="G5" i="34" s="1"/>
  <c r="G4" i="1"/>
  <c r="G4" i="34" s="1"/>
  <c r="D5" i="34"/>
  <c r="C5" i="34"/>
  <c r="B4" i="34" a="1"/>
  <c r="B4" i="34" s="1"/>
  <c r="A4" i="34" a="1"/>
  <c r="A4" i="34" s="1"/>
  <c r="A1" i="34" a="1"/>
  <c r="A1" i="34" s="1"/>
  <c r="D5" i="30"/>
  <c r="C5" i="30"/>
  <c r="D4" i="30"/>
  <c r="C4" i="30"/>
  <c r="D5" i="29"/>
  <c r="C5" i="29"/>
  <c r="D4" i="29"/>
  <c r="D2" i="29" s="1"/>
  <c r="C4" i="29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D5" i="1"/>
  <c r="D4" i="1"/>
  <c r="B4" i="1" a="1"/>
  <c r="B4" i="1" s="1"/>
  <c r="A4" i="1" a="1"/>
  <c r="A4" i="1" s="1"/>
  <c r="A1" i="1" a="1"/>
  <c r="A1" i="1" s="1"/>
  <c r="I5" i="33"/>
  <c r="H5" i="33"/>
  <c r="E5" i="33"/>
  <c r="F5" i="33" s="1"/>
  <c r="I4" i="33"/>
  <c r="H4" i="33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F5" i="27"/>
  <c r="E5" i="27"/>
  <c r="H4" i="27"/>
  <c r="I4" i="27" s="1"/>
  <c r="E4" i="27"/>
  <c r="F4" i="27" s="1"/>
  <c r="G2" i="27"/>
  <c r="D2" i="27"/>
  <c r="C2" i="27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I4" i="4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5" i="72"/>
  <c r="I5" i="72" s="1"/>
  <c r="H4" i="72"/>
  <c r="I4" i="72" s="1"/>
  <c r="G2" i="72"/>
  <c r="D2" i="72"/>
  <c r="C2" i="72"/>
  <c r="J2" i="72" s="1"/>
  <c r="A1" i="72" a="1"/>
  <c r="A1" i="72" s="1"/>
  <c r="D2" i="18" l="1"/>
  <c r="E5" i="18"/>
  <c r="F5" i="18" s="1"/>
  <c r="E5" i="30"/>
  <c r="F5" i="30" s="1"/>
  <c r="E5" i="29"/>
  <c r="F5" i="29" s="1"/>
  <c r="D4" i="34"/>
  <c r="E4" i="18"/>
  <c r="F4" i="18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5" i="34"/>
  <c r="F5" i="34" s="1"/>
  <c r="G2" i="1"/>
  <c r="D2" i="34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C4" i="34"/>
  <c r="E4" i="34" s="1"/>
  <c r="F4" i="34" s="1"/>
  <c r="H5" i="18"/>
  <c r="I5" i="18" s="1"/>
  <c r="H5" i="34"/>
  <c r="I5" i="34" s="1"/>
  <c r="C2" i="29"/>
  <c r="E2" i="29" s="1"/>
  <c r="F2" i="29" s="1"/>
  <c r="C2" i="30"/>
  <c r="E4" i="29"/>
  <c r="F4" i="29" s="1"/>
  <c r="C2" i="18"/>
  <c r="H4" i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G2" i="34" l="1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<sst xmlns="http://schemas.openxmlformats.org/spreadsheetml/2006/main" count="253" uniqueCount="65">
  <si>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</si>
  <si>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</si>
  <si>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</si>
  <si>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</si>
  <si>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</si>
  <si>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</si>
  <si>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</si>
  <si>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</si>
  <si>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</si>
  <si>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</si>
  <si>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</si>
  <si>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</si>
  <si>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</si>
  <si>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</si>
  <si>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</si>
  <si>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</si>
  <si>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</si>
  <si>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</si>
  <si>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</si>
  <si>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</si>
  <si>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</si>
  <si>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</si>
  <si>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</si>
  <si>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</si>
  <si>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</si>
  <si>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</si>
  <si>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</si>
  <si>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</si>
  <si>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</si>
  <si>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</si>
  <si>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1. Inverter 3 tripped offline at 13:45 from 05/28</t>
  </si>
  <si>
    <t>1. SR085236</t>
  </si>
  <si>
    <t>1.Site was offline due to utility outage at 07:00AM to 11:00AM on 05/30
2.Inverter 2 is derating by 2 kW on high irradiance days throughout the month</t>
  </si>
  <si>
    <t>1.SR085304
2.SR085289</t>
  </si>
  <si>
    <t>June Actual v. Expected</t>
  </si>
  <si>
    <t>June Actual v. Forecasted</t>
  </si>
  <si>
    <t>1. Inverter 3 tripped offline at 13:45 from 05/28 throughout the month</t>
  </si>
  <si>
    <t>1.SR085236</t>
  </si>
  <si>
    <t>1.Inverter 3 tripped offline at 8 pm on 6/4/24 throughout the month
2.inverter 2 is derating by 2 kW on high irradiance days throughout the month</t>
  </si>
  <si>
    <t>1.SR085598
2.SR085289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</si>
  <si>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</si>
  <si>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</si>
  <si>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</si>
  <si>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</si>
  <si>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</si>
  <si>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</si>
  <si>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</si>
  <si>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</si>
  <si>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</si>
  <si>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</si>
  <si>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</si>
  <si>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</si>
  <si>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</si>
  <si>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BRANDFON</t>
  </si>
  <si>
    <t>Site DAS Name</t>
  </si>
  <si>
    <t>Update</t>
  </si>
  <si>
    <t>DAS</t>
  </si>
  <si>
    <t>Brandfon Honda</t>
  </si>
  <si>
    <t>Branford - Brandfon Honda</t>
  </si>
  <si>
    <t>CT</t>
  </si>
  <si>
    <t>AF</t>
  </si>
  <si>
    <t>PoweTrack</t>
  </si>
  <si>
    <t>Brandfon Hyundai</t>
  </si>
  <si>
    <t>New Haven - Brandfon Hyundai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</si>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</sst>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rgb="FF8EA9DB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0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35" fillId="46" borderId="0" xfId="0" applyFont="1" applyFill="1" applyAlignment="1">
      <alignment horizontal="left"/>
    </xf>
    <xf numFmtId="0" fontId="35" fillId="46" borderId="12" xfId="0" applyFont="1" applyFill="1" applyBorder="1"/>
    <xf numFmtId="0" fontId="35" fillId="0" borderId="0" xfId="0" applyFont="1" applyAlignment="1">
      <alignment horizontal="left"/>
    </xf>
    <xf numFmtId="0" fontId="35" fillId="0" borderId="0" xfId="0" applyFont="1"/>
    <xf numFmtId="0" fontId="35" fillId="0" borderId="12" xfId="0" applyFont="1" applyBorder="1"/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7"/>
  <sheetViews>
    <sheetView workbookViewId="0">
      <pane xSplit="2" ySplit="3" topLeftCell="C4" activePane="bottomRight" state="frozen"/>
      <selection pane="bottomRight" activeCell="F15" sqref="F15"/>
      <selection pane="bottomLeft" activeCell="J9" sqref="J9"/>
      <selection pane="topRight" activeCell="J9" sqref="J9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BRANDFON</v>
      </c>
      <c r="B1" s="57"/>
      <c r="C1" s="57"/>
      <c r="D1" s="58" t="s">
        <v>0</v>
      </c>
      <c r="E1" s="58"/>
      <c r="F1" s="58"/>
      <c r="G1" s="56" t="s">
        <v>1</v>
      </c>
      <c r="H1" s="56"/>
      <c r="I1" s="56"/>
    </row>
    <row r="2" spans="1:9" ht="19.5" customHeight="1">
      <c r="A2" s="59" t="s">
        <v>2</v>
      </c>
      <c r="B2" s="59"/>
      <c r="C2" s="5">
        <f>SUM(C4:C65)</f>
        <v>103454.97</v>
      </c>
      <c r="D2" s="5">
        <f>SUM(D4:D65)</f>
        <v>0</v>
      </c>
      <c r="E2" s="5">
        <f>C2-D2</f>
        <v>103454.97</v>
      </c>
      <c r="F2" s="6">
        <f>IFERROR(E2/D2, 0)</f>
        <v>0</v>
      </c>
      <c r="G2" s="5">
        <f>SUM(G4:G65)</f>
        <v>416804.28499999997</v>
      </c>
      <c r="H2" s="7">
        <f>C2-G2</f>
        <v>-313349.31499999994</v>
      </c>
      <c r="I2" s="6">
        <f>IFERROR(H2/G2, 0)</f>
        <v>-0.75179005177453961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>
      <c r="A4" s="12" t="str" cm="1">
        <f t="array" ref="A4:A5">Sites[Site]</f>
        <v>Branford - Brandfon Honda</v>
      </c>
      <c r="B4" s="9" t="str" cm="1">
        <f t="array" ref="B4:B5">Sites[State]</f>
        <v>CT</v>
      </c>
      <c r="C4" s="24">
        <f>SUM('1st Qtr'!C4, '2nd Qtr'!C4, '3rd Qtr'!C4, '4th Qtr'!C4)</f>
        <v>78139.72</v>
      </c>
      <c r="D4" s="13">
        <f>SUM('1st Qtr'!D4, '2nd Qtr'!D4, '3rd Qtr'!D4, '4th Qtr'!D4)</f>
        <v>0</v>
      </c>
      <c r="E4" s="13">
        <f>IF(AND(ISNUMBER(C4),ISNUMBER(D4)), C4-D4, "")</f>
        <v>78139.72</v>
      </c>
      <c r="F4" s="14" t="str">
        <f>IFERROR(E4/D4, "")</f>
        <v/>
      </c>
      <c r="G4" s="15">
        <f>SUM('1st Qtr'!G4, '2nd Qtr'!G4, '3rd Qtr'!G4, '4th Qtr'!G4)</f>
        <v>85855.137000000002</v>
      </c>
      <c r="H4" s="15">
        <f>SUM('1st Qtr'!H4, '2nd Qtr'!H4, '3rd Qtr'!H4, '4th Qtr'!H4)</f>
        <v>-7715.4170000000013</v>
      </c>
      <c r="I4" s="16">
        <f>IFERROR(H4/G4, "")</f>
        <v>-8.9865525460637266E-2</v>
      </c>
    </row>
    <row r="5" spans="1:9" ht="15.75">
      <c r="A5" s="17" t="str">
        <v>New Haven - Brandfon Hyundai</v>
      </c>
      <c r="B5" s="10" t="str">
        <v>CT</v>
      </c>
      <c r="C5" s="11">
        <f>SUM(Jan!C5, Feb!C5, Mar!C5)</f>
        <v>25315.25</v>
      </c>
      <c r="D5" s="18">
        <f>SUM(Jan!D5, Feb!D5, Mar!D5)</f>
        <v>0</v>
      </c>
      <c r="E5" s="18">
        <f t="shared" ref="E5" si="0">IF(AND(ISNUMBER(C5),ISNUMBER(D5)), C5-D5, "")</f>
        <v>25315.25</v>
      </c>
      <c r="F5" s="19" t="str">
        <f>IFERROR(E5/D5, "")</f>
        <v/>
      </c>
      <c r="G5" s="20">
        <f>SUM('1st Qtr'!G5, '2nd Qtr'!G5, '3rd Qtr'!G5, '4th Qtr'!G5)</f>
        <v>330949.14799999999</v>
      </c>
      <c r="H5" s="20">
        <f>SUM(Jan!H5, Feb!H5, Mar!H5)</f>
        <v>25315.25</v>
      </c>
      <c r="I5" s="19">
        <f>IFERROR(H5/G5, "")</f>
        <v>7.6492869532935021E-2</v>
      </c>
    </row>
    <row r="6" spans="1:9" ht="13.15">
      <c r="A6" s="21"/>
      <c r="B6" s="21"/>
      <c r="C6" s="21"/>
      <c r="D6" s="21"/>
      <c r="E6" s="21"/>
      <c r="F6" s="22"/>
      <c r="G6" s="21"/>
      <c r="H6" s="21"/>
      <c r="I6" s="22"/>
    </row>
    <row r="7" spans="1:9" ht="13.15">
      <c r="A7" s="21"/>
      <c r="B7" s="21"/>
      <c r="C7" s="21"/>
      <c r="D7" s="21"/>
      <c r="E7" s="21"/>
      <c r="F7" s="22"/>
      <c r="G7" s="21"/>
      <c r="H7" s="21"/>
      <c r="I7" s="22"/>
    </row>
    <row r="8" spans="1:9" ht="13.15">
      <c r="A8" s="21"/>
      <c r="B8" s="21"/>
      <c r="C8" s="21"/>
      <c r="D8" s="21"/>
      <c r="E8" s="21"/>
      <c r="F8" s="22"/>
      <c r="G8" s="21"/>
      <c r="H8" s="21"/>
      <c r="I8" s="22"/>
    </row>
    <row r="9" spans="1:9" ht="13.15">
      <c r="A9" s="21"/>
      <c r="B9" s="21"/>
      <c r="C9" s="21"/>
      <c r="D9" s="21"/>
      <c r="E9" s="21"/>
      <c r="F9" s="22"/>
      <c r="G9" s="21"/>
      <c r="H9" s="21"/>
      <c r="I9" s="22"/>
    </row>
    <row r="10" spans="1:9" ht="13.15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15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15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15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15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15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15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15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15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15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15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15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15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15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15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15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15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15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1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1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1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1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5 I4:I65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07"/>
  <sheetViews>
    <sheetView workbookViewId="0">
      <pane xSplit="2" ySplit="3" topLeftCell="C4" activePane="bottomRight" state="frozen"/>
      <selection pane="bottomRight" activeCell="J9" sqref="J9"/>
      <selection pane="bottomLeft" activeCell="J9" sqref="J9"/>
      <selection pane="topRight" activeCell="J9" sqref="J9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BRANDFON</v>
      </c>
      <c r="B1" s="57"/>
      <c r="C1" s="57"/>
      <c r="D1" s="58" t="s">
        <v>10</v>
      </c>
      <c r="E1" s="58"/>
      <c r="F1" s="58"/>
      <c r="G1" s="56" t="s">
        <v>11</v>
      </c>
      <c r="H1" s="56"/>
      <c r="I1" s="56"/>
    </row>
    <row r="2" spans="1:9" ht="19.5" customHeight="1">
      <c r="A2" s="59" t="s">
        <v>2</v>
      </c>
      <c r="B2" s="59"/>
      <c r="C2" s="5">
        <f>SUM(C4:C65)</f>
        <v>52085.18</v>
      </c>
      <c r="D2" s="5">
        <f>SUM(D4:D65)</f>
        <v>0</v>
      </c>
      <c r="E2" s="5">
        <f>C2-D2</f>
        <v>52085.18</v>
      </c>
      <c r="F2" s="6">
        <f>IFERROR(E2/D2, 0)</f>
        <v>0</v>
      </c>
      <c r="G2" s="5">
        <f>SUM(G4:G65)</f>
        <v>30628.328999999998</v>
      </c>
      <c r="H2" s="7">
        <f>C2-G2</f>
        <v>21456.851000000002</v>
      </c>
      <c r="I2" s="6">
        <f>IFERROR(H2/G2, 0)</f>
        <v>0.70055571755155188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>
      <c r="A4" s="46" t="str" cm="1">
        <f t="array" ref="A4:A5">Sites[Site]</f>
        <v>Branford - Brandfon Honda</v>
      </c>
      <c r="B4" s="9" t="str" cm="1">
        <f t="array" ref="B4:B5">Sites[State]</f>
        <v>CT</v>
      </c>
      <c r="C4" s="24">
        <f>SUM(Jan!C4, Feb!C4, Mar!C4)</f>
        <v>26769.93</v>
      </c>
      <c r="D4" s="13">
        <f>SUM(Jan!D4, Feb!D4, Mar!D4)</f>
        <v>0</v>
      </c>
      <c r="E4" s="13">
        <f>IF(AND(ISNUMBER(C4),ISNUMBER(D4)), C4-D4, "")</f>
        <v>26769.93</v>
      </c>
      <c r="F4" s="14" t="str">
        <f>IFERROR(E4/D4, "")</f>
        <v/>
      </c>
      <c r="G4" s="15">
        <f>SUM(Jan!G4, Feb!G4, Mar!G4)</f>
        <v>30628.328999999998</v>
      </c>
      <c r="H4" s="15">
        <f>SUM(Jan!H4, Feb!H4, Mar!H4)</f>
        <v>-3858.3989999999994</v>
      </c>
      <c r="I4" s="16">
        <f>IFERROR(H4/G4, "")</f>
        <v>-0.12597484505276144</v>
      </c>
    </row>
    <row r="5" spans="1:9" ht="15.75">
      <c r="A5" s="47" t="str">
        <v>New Haven - Brandfon Hyundai</v>
      </c>
      <c r="B5" s="10" t="str">
        <v>CT</v>
      </c>
      <c r="C5" s="11">
        <f>SUM(Jan!C5, Feb!C5, Mar!C5)</f>
        <v>25315.25</v>
      </c>
      <c r="D5" s="18">
        <f>SUM(Jan!D5, Feb!D5, Mar!D5)</f>
        <v>0</v>
      </c>
      <c r="E5" s="18">
        <f t="shared" ref="E5" si="0">IF(AND(ISNUMBER(C5),ISNUMBER(D5)), C5-D5, "")</f>
        <v>25315.25</v>
      </c>
      <c r="F5" s="19" t="str">
        <f>IFERROR(E5/D5, "")</f>
        <v/>
      </c>
      <c r="G5" s="20">
        <f>SUM(Jan!G5, Feb!G5, Mar!G5)</f>
        <v>0</v>
      </c>
      <c r="H5" s="20">
        <f>SUM(Jan!H5, Feb!H5, Mar!H5)</f>
        <v>25315.25</v>
      </c>
      <c r="I5" s="19" t="str">
        <f>IFERROR(H5/G5, "")</f>
        <v/>
      </c>
    </row>
    <row r="6" spans="1:9" ht="13.15">
      <c r="A6" s="21"/>
      <c r="B6" s="21"/>
      <c r="C6" s="21"/>
      <c r="D6" s="21"/>
      <c r="E6" s="21"/>
      <c r="F6" s="22"/>
      <c r="G6" s="21"/>
      <c r="H6" s="21"/>
      <c r="I6" s="22"/>
    </row>
    <row r="7" spans="1:9" ht="13.15">
      <c r="A7" s="21"/>
      <c r="B7" s="21"/>
      <c r="C7" s="21"/>
      <c r="D7" s="21"/>
      <c r="E7" s="21"/>
      <c r="F7" s="22"/>
      <c r="G7" s="21"/>
      <c r="H7" s="21"/>
      <c r="I7" s="22"/>
    </row>
    <row r="8" spans="1:9" ht="13.15">
      <c r="A8" s="21"/>
      <c r="B8" s="21"/>
      <c r="C8" s="21"/>
      <c r="D8" s="21"/>
      <c r="E8" s="21"/>
      <c r="F8" s="22"/>
      <c r="G8" s="21"/>
      <c r="H8" s="21"/>
      <c r="I8" s="22"/>
    </row>
    <row r="9" spans="1:9" ht="13.15">
      <c r="A9" s="21"/>
      <c r="B9" s="21"/>
      <c r="C9" s="21"/>
      <c r="D9" s="21"/>
      <c r="E9" s="21"/>
      <c r="F9" s="22"/>
      <c r="G9" s="21"/>
      <c r="H9" s="21"/>
      <c r="I9" s="22"/>
    </row>
    <row r="10" spans="1:9" ht="13.15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15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15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15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15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15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15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15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15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15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15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15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15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15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15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15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15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15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1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1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1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1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5 I4:I65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07"/>
  <sheetViews>
    <sheetView workbookViewId="0">
      <pane xSplit="2" ySplit="3" topLeftCell="C4" activePane="bottomRight" state="frozen"/>
      <selection pane="bottomRight" activeCell="G14" sqref="G14"/>
      <selection pane="bottomLeft" activeCell="J9" sqref="J9"/>
      <selection pane="topRight" activeCell="J9" sqref="J9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BRANDFON</v>
      </c>
      <c r="B1" s="57"/>
      <c r="C1" s="57"/>
      <c r="D1" s="58" t="s">
        <v>12</v>
      </c>
      <c r="E1" s="58"/>
      <c r="F1" s="58"/>
      <c r="G1" s="56" t="s">
        <v>13</v>
      </c>
      <c r="H1" s="56"/>
      <c r="I1" s="56"/>
    </row>
    <row r="2" spans="1:9" ht="19.5" customHeight="1">
      <c r="A2" s="59" t="s">
        <v>2</v>
      </c>
      <c r="B2" s="59"/>
      <c r="C2" s="5">
        <f>SUM(C4:C65)</f>
        <v>92338.94</v>
      </c>
      <c r="D2" s="5">
        <f>SUM(D4:D65)</f>
        <v>0</v>
      </c>
      <c r="E2" s="5">
        <f>C2-D2</f>
        <v>92338.94</v>
      </c>
      <c r="F2" s="6">
        <f>IFERROR(E2/D2, 0)</f>
        <v>0</v>
      </c>
      <c r="G2" s="5">
        <f>SUM(G4:G65)</f>
        <v>386175.95600000001</v>
      </c>
      <c r="H2" s="7">
        <f>C2-G2</f>
        <v>-293837.016</v>
      </c>
      <c r="I2" s="6">
        <f>IFERROR(H2/G2, 0)</f>
        <v>-0.76088894565978626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>
      <c r="A4" s="46" t="str" cm="1">
        <f t="array" ref="A4:A5">Sites[Site]</f>
        <v>Branford - Brandfon Honda</v>
      </c>
      <c r="B4" s="9" t="str" cm="1">
        <f t="array" ref="B4:B5">Sites[State]</f>
        <v>CT</v>
      </c>
      <c r="C4" s="24">
        <f>SUM(Apr!C4, May!C4, Jun!C4)</f>
        <v>51369.79</v>
      </c>
      <c r="D4" s="13">
        <f>SUM(Apr!D4, May!D4, Jun!D4)</f>
        <v>0</v>
      </c>
      <c r="E4" s="13">
        <f>IF(AND(ISNUMBER(C4),ISNUMBER(D4)), C4-D4, "")</f>
        <v>51369.79</v>
      </c>
      <c r="F4" s="14" t="str">
        <f>IFERROR(E4/D4, "")</f>
        <v/>
      </c>
      <c r="G4" s="15">
        <f>SUM(Apr!G4,May!G4,Jun!G4)</f>
        <v>55226.808000000005</v>
      </c>
      <c r="H4" s="15">
        <f>SUM(Apr!H4, May!H4, Jun!H4)</f>
        <v>-3857.0180000000018</v>
      </c>
      <c r="I4" s="16">
        <f>IFERROR(H4/G4, "")</f>
        <v>-6.9839596740771281E-2</v>
      </c>
    </row>
    <row r="5" spans="1:9" ht="15.75">
      <c r="A5" s="47" t="str">
        <v>New Haven - Brandfon Hyundai</v>
      </c>
      <c r="B5" s="10" t="str">
        <v>CT</v>
      </c>
      <c r="C5" s="11">
        <f>SUM(Apr!C5, May!C5, Jun!C5)</f>
        <v>40969.15</v>
      </c>
      <c r="D5" s="18">
        <f>SUM(Apr!D5, May!D5, Jun!D5)</f>
        <v>0</v>
      </c>
      <c r="E5" s="18">
        <f t="shared" ref="E5" si="0">IF(AND(ISNUMBER(C5),ISNUMBER(D5)), C5-D5, "")</f>
        <v>40969.15</v>
      </c>
      <c r="F5" s="19" t="str">
        <f>IFERROR(E5/D5, "")</f>
        <v/>
      </c>
      <c r="G5" s="18">
        <f>SUM(Apr!G5,May!G5,Jun!G5)</f>
        <v>330949.14799999999</v>
      </c>
      <c r="H5" s="20">
        <f>SUM(Apr!H5, May!H5, Jun!H5)</f>
        <v>-289979.99800000002</v>
      </c>
      <c r="I5" s="19">
        <f>IFERROR(H5/G5, "")</f>
        <v>-0.87620711445372879</v>
      </c>
    </row>
    <row r="6" spans="1:9" ht="13.15">
      <c r="A6" s="21"/>
      <c r="B6" s="21"/>
      <c r="C6" s="21"/>
      <c r="D6" s="21"/>
      <c r="E6" s="21"/>
      <c r="F6" s="22"/>
      <c r="G6" s="21"/>
      <c r="H6" s="21"/>
      <c r="I6" s="22"/>
    </row>
    <row r="7" spans="1:9" ht="13.15">
      <c r="A7" s="21"/>
      <c r="B7" s="21"/>
      <c r="C7" s="21"/>
      <c r="D7" s="21"/>
      <c r="E7" s="21"/>
      <c r="F7" s="22"/>
      <c r="G7" s="21"/>
      <c r="H7" s="21"/>
      <c r="I7" s="22"/>
    </row>
    <row r="8" spans="1:9" ht="13.15">
      <c r="A8" s="21"/>
      <c r="B8" s="21"/>
      <c r="C8" s="21"/>
      <c r="D8" s="21"/>
      <c r="E8" s="21"/>
      <c r="F8" s="22"/>
      <c r="G8" s="21"/>
      <c r="H8" s="21"/>
      <c r="I8" s="22"/>
    </row>
    <row r="9" spans="1:9" ht="13.15">
      <c r="A9" s="21"/>
      <c r="B9" s="21"/>
      <c r="C9" s="21"/>
      <c r="D9" s="21"/>
      <c r="E9" s="21"/>
      <c r="F9" s="22"/>
      <c r="G9" s="21"/>
      <c r="H9" s="21"/>
      <c r="I9" s="22"/>
    </row>
    <row r="10" spans="1:9" ht="13.15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15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15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15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15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15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15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15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15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15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15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15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15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15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15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15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15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15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1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1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1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1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65 I4:I65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07"/>
  <sheetViews>
    <sheetView workbookViewId="0">
      <pane xSplit="2" ySplit="3" topLeftCell="C4" activePane="bottomRight" state="frozen"/>
      <selection pane="bottomRight" activeCell="J9" sqref="J9"/>
      <selection pane="bottomLeft" activeCell="J9" sqref="J9"/>
      <selection pane="topRight" activeCell="J9" sqref="J9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BRANDFON</v>
      </c>
      <c r="B1" s="57"/>
      <c r="C1" s="57"/>
      <c r="D1" s="58" t="s">
        <v>14</v>
      </c>
      <c r="E1" s="58"/>
      <c r="F1" s="58"/>
      <c r="G1" s="56" t="s">
        <v>15</v>
      </c>
      <c r="H1" s="56"/>
      <c r="I1" s="56"/>
    </row>
    <row r="2" spans="1:9" ht="19.5" customHeight="1">
      <c r="A2" s="59" t="s">
        <v>2</v>
      </c>
      <c r="B2" s="59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>
      <c r="A4" s="46" t="str" cm="1">
        <f t="array" ref="A4:A5">Sites[Site]</f>
        <v>Branford - Brandfon Honda</v>
      </c>
      <c r="B4" s="9" t="str" cm="1">
        <f t="array" ref="B4:B5">Sites[State]</f>
        <v>CT</v>
      </c>
      <c r="C4" s="24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SUM(Jul!H4, Aug!H4, Sep!H4)</f>
        <v>0</v>
      </c>
      <c r="I4" s="16" t="str">
        <f>IFERROR(H4/G4, "")</f>
        <v/>
      </c>
    </row>
    <row r="5" spans="1:9" ht="15.75">
      <c r="A5" s="47" t="str">
        <v>New Haven - Brandfon Hyundai</v>
      </c>
      <c r="B5" s="10" t="str">
        <v>CT</v>
      </c>
      <c r="C5" s="11">
        <f>SUM(Jul!C5, Aug!C5, Sep!C5)</f>
        <v>0</v>
      </c>
      <c r="D5" s="18">
        <f>SUM(Jul!D5, Aug!D5, Sep!D5)</f>
        <v>0</v>
      </c>
      <c r="E5" s="18">
        <f t="shared" ref="E5" si="0">IF(AND(ISNUMBER(C5),ISNUMBER(D5)), C5-D5, "")</f>
        <v>0</v>
      </c>
      <c r="F5" s="19" t="str">
        <f>IFERROR(E5/D5, "")</f>
        <v/>
      </c>
      <c r="G5" s="20"/>
      <c r="H5" s="20">
        <f>SUM(Jul!H5, Aug!H5, Sep!H5)</f>
        <v>0</v>
      </c>
      <c r="I5" s="19" t="str">
        <f>IFERROR(H5/G5, "")</f>
        <v/>
      </c>
    </row>
    <row r="6" spans="1:9" ht="13.15">
      <c r="A6" s="21"/>
      <c r="B6" s="21"/>
      <c r="C6" s="21"/>
      <c r="D6" s="21"/>
      <c r="E6" s="21"/>
      <c r="F6" s="22"/>
      <c r="G6" s="21"/>
      <c r="H6" s="21"/>
      <c r="I6" s="22"/>
    </row>
    <row r="7" spans="1:9" ht="13.15">
      <c r="A7" s="21"/>
      <c r="B7" s="21"/>
      <c r="C7" s="21"/>
      <c r="D7" s="21"/>
      <c r="E7" s="21"/>
      <c r="F7" s="22"/>
      <c r="G7" s="21"/>
      <c r="H7" s="21"/>
      <c r="I7" s="22"/>
    </row>
    <row r="8" spans="1:9" ht="13.15">
      <c r="A8" s="21"/>
      <c r="B8" s="21"/>
      <c r="C8" s="21"/>
      <c r="D8" s="21"/>
      <c r="E8" s="21"/>
      <c r="F8" s="22"/>
      <c r="G8" s="21"/>
      <c r="H8" s="21"/>
      <c r="I8" s="22"/>
    </row>
    <row r="9" spans="1:9" ht="13.15">
      <c r="A9" s="21"/>
      <c r="B9" s="21"/>
      <c r="C9" s="21"/>
      <c r="D9" s="21"/>
      <c r="E9" s="21"/>
      <c r="F9" s="22"/>
      <c r="G9" s="21"/>
      <c r="H9" s="21"/>
      <c r="I9" s="22"/>
    </row>
    <row r="10" spans="1:9" ht="13.15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15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15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15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15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15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15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15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15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15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15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15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15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15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15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15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15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15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1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1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1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1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</sheetData>
  <mergeCells count="4">
    <mergeCell ref="G1:I1"/>
    <mergeCell ref="A1:C1"/>
    <mergeCell ref="D1:F1"/>
    <mergeCell ref="A2:B2"/>
  </mergeCells>
  <conditionalFormatting sqref="F2 I2 F4:F65 I4:I65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07"/>
  <sheetViews>
    <sheetView workbookViewId="0">
      <pane xSplit="2" ySplit="3" topLeftCell="C4" activePane="bottomRight" state="frozen"/>
      <selection pane="bottomRight" activeCell="J9" sqref="J9"/>
      <selection pane="bottomLeft" activeCell="J9" sqref="J9"/>
      <selection pane="topRight" activeCell="J9" sqref="J9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BRANDFON</v>
      </c>
      <c r="B1" s="57"/>
      <c r="C1" s="57"/>
      <c r="D1" s="58" t="s">
        <v>16</v>
      </c>
      <c r="E1" s="58"/>
      <c r="F1" s="58"/>
      <c r="G1" s="56" t="s">
        <v>17</v>
      </c>
      <c r="H1" s="56"/>
      <c r="I1" s="56"/>
    </row>
    <row r="2" spans="1:9" ht="19.5" customHeight="1">
      <c r="A2" s="59" t="s">
        <v>2</v>
      </c>
      <c r="B2" s="59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>
      <c r="A4" s="46" t="str" cm="1">
        <f t="array" ref="A4:A5">Sites[Site]</f>
        <v>Branford - Brandfon Honda</v>
      </c>
      <c r="B4" s="9" t="str" cm="1">
        <f t="array" ref="B4:B5">Sites[State]</f>
        <v>CT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SUM(Oct!H4, Nov!H4, Dec!H4)</f>
        <v>0</v>
      </c>
      <c r="I4" s="16" t="str">
        <f>IFERROR(H4/G4, "")</f>
        <v/>
      </c>
    </row>
    <row r="5" spans="1:9" ht="15.75">
      <c r="A5" s="47" t="str">
        <v>New Haven - Brandfon Hyundai</v>
      </c>
      <c r="B5" s="10" t="str">
        <v>CT</v>
      </c>
      <c r="C5" s="11">
        <f>SUM(Oct!C5, Nov!C5, Dec!C5)</f>
        <v>0</v>
      </c>
      <c r="D5" s="18">
        <f>SUM(Oct!D5, Nov!D5, Dec!D5)</f>
        <v>0</v>
      </c>
      <c r="E5" s="18">
        <f t="shared" ref="E5" si="0">IF(AND(ISNUMBER(C5),ISNUMBER(D5)), C5-D5, "")</f>
        <v>0</v>
      </c>
      <c r="F5" s="19" t="str">
        <f>IFERROR(E5/D5, "")</f>
        <v/>
      </c>
      <c r="G5" s="20"/>
      <c r="H5" s="20">
        <f>SUM(Oct!H5, Nov!H5, Dec!H5)</f>
        <v>0</v>
      </c>
      <c r="I5" s="19" t="str">
        <f>IFERROR(H5/G5, "")</f>
        <v/>
      </c>
    </row>
    <row r="6" spans="1:9" ht="13.15">
      <c r="A6" s="21"/>
      <c r="B6" s="21"/>
      <c r="C6" s="21"/>
      <c r="D6" s="21"/>
      <c r="E6" s="21"/>
      <c r="F6" s="22"/>
      <c r="G6" s="21"/>
      <c r="H6" s="21"/>
      <c r="I6" s="22"/>
    </row>
    <row r="7" spans="1:9" ht="13.15">
      <c r="A7" s="21"/>
      <c r="B7" s="21"/>
      <c r="C7" s="21"/>
      <c r="D7" s="21"/>
      <c r="E7" s="21"/>
      <c r="F7" s="22"/>
      <c r="G7" s="21"/>
      <c r="H7" s="21"/>
      <c r="I7" s="22"/>
    </row>
    <row r="8" spans="1:9" ht="13.15">
      <c r="A8" s="21"/>
      <c r="B8" s="21"/>
      <c r="C8" s="21"/>
      <c r="D8" s="21"/>
      <c r="E8" s="21"/>
      <c r="F8" s="22"/>
      <c r="G8" s="21"/>
      <c r="H8" s="21"/>
      <c r="I8" s="22"/>
    </row>
    <row r="9" spans="1:9" ht="13.15">
      <c r="A9" s="21"/>
      <c r="B9" s="21"/>
      <c r="C9" s="21"/>
      <c r="D9" s="21"/>
      <c r="E9" s="21"/>
      <c r="F9" s="22"/>
      <c r="G9" s="21"/>
      <c r="H9" s="21"/>
      <c r="I9" s="22"/>
    </row>
    <row r="10" spans="1:9" ht="13.15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15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15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15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15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15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15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15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15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15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15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15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15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15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15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15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15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15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1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1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1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1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</sheetData>
  <mergeCells count="4">
    <mergeCell ref="G1:I1"/>
    <mergeCell ref="A1:C1"/>
    <mergeCell ref="D1:F1"/>
    <mergeCell ref="A2:B2"/>
  </mergeCells>
  <conditionalFormatting sqref="F2 I2 F4:F65 I4:I65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06"/>
  <sheetViews>
    <sheetView workbookViewId="0">
      <pane xSplit="2" ySplit="3" topLeftCell="C4" activePane="bottomRight" state="frozen"/>
      <selection pane="bottomRight" activeCell="G9" sqref="G9"/>
      <selection pane="bottomLeft" activeCell="B14" sqref="B14"/>
      <selection pane="topRight" activeCell="B14" sqref="B14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BRANDFON</v>
      </c>
      <c r="B1" s="57"/>
      <c r="C1" s="57"/>
      <c r="D1" s="58" t="s">
        <v>18</v>
      </c>
      <c r="E1" s="58"/>
      <c r="F1" s="58"/>
      <c r="G1" s="56" t="s">
        <v>19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SUM(C4:C64)</f>
        <v>8421</v>
      </c>
      <c r="D2" s="5">
        <f>SUM(D4:D64)</f>
        <v>0</v>
      </c>
      <c r="E2" s="5">
        <f>C2-D2</f>
        <v>8421</v>
      </c>
      <c r="F2" s="6">
        <f>IFERROR(E2/D2, 0)</f>
        <v>0</v>
      </c>
      <c r="G2" s="5">
        <f>SUM(G4:G64)</f>
        <v>6863</v>
      </c>
      <c r="H2" s="7">
        <f>C2-G2</f>
        <v>1558</v>
      </c>
      <c r="I2" s="6">
        <f>IFERROR(H2/G2, 0)</f>
        <v>0.22701442517849338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7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9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75">
      <c r="A4" s="49" t="str" cm="1">
        <f t="array" ref="A4:A5">Sites[Site]</f>
        <v>Branford - Brandfon Honda</v>
      </c>
      <c r="B4" s="28" t="str" cm="1">
        <f t="array" ref="B4:B5">Sites[State]</f>
        <v>CT</v>
      </c>
      <c r="C4" s="13">
        <v>4409</v>
      </c>
      <c r="D4" s="13">
        <v>0</v>
      </c>
      <c r="E4" s="13">
        <f>IF(AND(ISNUMBER(C4),ISNUMBER(D4)), C4-D4, "")</f>
        <v>4409</v>
      </c>
      <c r="F4" s="43" t="str">
        <f>IFERROR(E4/D4, "")</f>
        <v/>
      </c>
      <c r="G4" s="15">
        <v>6863</v>
      </c>
      <c r="H4" s="15">
        <f>IF(AND(ISNUMBER(C4),ISNUMBER(G4)), C4-G4, "")</f>
        <v>-2454</v>
      </c>
      <c r="I4" s="16">
        <f>IFERROR(H4/G4, "")</f>
        <v>-0.35756957598717765</v>
      </c>
      <c r="J4" s="40"/>
      <c r="K4" s="40"/>
    </row>
    <row r="5" spans="1:11" ht="15.75">
      <c r="A5" s="50" t="str">
        <v>New Haven - Brandfon Hyundai</v>
      </c>
      <c r="B5" s="30" t="str">
        <v>CT</v>
      </c>
      <c r="C5" s="18">
        <v>4012</v>
      </c>
      <c r="D5" s="18">
        <v>0</v>
      </c>
      <c r="E5" s="18">
        <f t="shared" ref="E5" si="0">IF(AND(ISNUMBER(C5),ISNUMBER(D5)), C5-D5, "")</f>
        <v>4012</v>
      </c>
      <c r="F5" s="22" t="str">
        <f t="shared" ref="F5" si="1">IFERROR(E5/D5, "")</f>
        <v/>
      </c>
      <c r="G5" s="20">
        <v>0</v>
      </c>
      <c r="H5" s="20">
        <f t="shared" ref="H5" si="2">IF(AND(ISNUMBER(C5),ISNUMBER(G5)), C5-G5, "")</f>
        <v>4012</v>
      </c>
      <c r="I5" s="19" t="str">
        <f t="shared" ref="I5" si="3">IFERROR(H5/G5, "")</f>
        <v/>
      </c>
      <c r="J5" s="41"/>
      <c r="K5" s="41"/>
    </row>
    <row r="6" spans="1:11" ht="14.2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2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2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2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2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</sheetData>
  <mergeCells count="4">
    <mergeCell ref="D1:F1"/>
    <mergeCell ref="A1:C1"/>
    <mergeCell ref="G1:I1"/>
    <mergeCell ref="A2:B2"/>
  </mergeCells>
  <conditionalFormatting sqref="F2 I2 I4:I64 F5:F64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07"/>
  <sheetViews>
    <sheetView workbookViewId="0">
      <pane xSplit="2" ySplit="3" topLeftCell="C4" activePane="bottomRight" state="frozen"/>
      <selection pane="bottomRight" activeCell="G9" sqref="G9"/>
      <selection pane="bottomLeft" activeCell="J9" sqref="J9"/>
      <selection pane="topRight" activeCell="J9" sqref="J9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BRANDFON</v>
      </c>
      <c r="B1" s="57"/>
      <c r="C1" s="57"/>
      <c r="D1" s="58" t="s">
        <v>22</v>
      </c>
      <c r="E1" s="58"/>
      <c r="F1" s="58"/>
      <c r="G1" s="56" t="s">
        <v>23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SUM(C4:C65)</f>
        <v>14779.49</v>
      </c>
      <c r="D2" s="5">
        <f>SUM(D4:D65)</f>
        <v>0</v>
      </c>
      <c r="E2" s="5">
        <f>C2-D2</f>
        <v>14779.49</v>
      </c>
      <c r="F2" s="6">
        <f>IFERROR(E2/D2, 0)</f>
        <v>0</v>
      </c>
      <c r="G2" s="5">
        <f>SUM(G4:G65)</f>
        <v>9306.8150000000005</v>
      </c>
      <c r="H2" s="7">
        <f>C2-G2</f>
        <v>5472.6749999999993</v>
      </c>
      <c r="I2" s="6">
        <f>IFERROR(H2/G2, 0)</f>
        <v>0.58802877246404905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75">
      <c r="A4" s="49" t="str" cm="1">
        <f t="array" ref="A4:A5">Sites[Site]</f>
        <v>Branford - Brandfon Honda</v>
      </c>
      <c r="B4" s="28" t="str" cm="1">
        <f t="array" ref="B4:B5">Sites[State]</f>
        <v>CT</v>
      </c>
      <c r="C4" s="24">
        <v>7602.41</v>
      </c>
      <c r="D4" s="13">
        <v>0</v>
      </c>
      <c r="E4" s="13">
        <f>IF(AND(ISNUMBER(C4),ISNUMBER(D4)), C4-D4, "")</f>
        <v>7602.41</v>
      </c>
      <c r="F4" s="14" t="str">
        <f>IFERROR(E4/D4, "")</f>
        <v/>
      </c>
      <c r="G4" s="15">
        <v>9306.8150000000005</v>
      </c>
      <c r="H4" s="15">
        <f>IF(AND(ISNUMBER(C4),ISNUMBER(G4)), C4-G4, "")</f>
        <v>-1704.4050000000007</v>
      </c>
      <c r="I4" s="16">
        <f>IFERROR(H4/G4, "")</f>
        <v>-0.18313515418540077</v>
      </c>
      <c r="J4" s="40"/>
      <c r="K4" s="40"/>
    </row>
    <row r="5" spans="1:11" ht="15.75">
      <c r="A5" s="50" t="str">
        <v>New Haven - Brandfon Hyundai</v>
      </c>
      <c r="B5" s="30" t="str">
        <v>CT</v>
      </c>
      <c r="C5" s="11">
        <v>7177.08</v>
      </c>
      <c r="D5" s="18">
        <v>0</v>
      </c>
      <c r="E5" s="18">
        <f t="shared" ref="E5" si="0">IF(AND(ISNUMBER(C5),ISNUMBER(D5)), C5-D5, "")</f>
        <v>7177.08</v>
      </c>
      <c r="F5" s="19" t="str">
        <f>IFERROR(E5/D5, "")</f>
        <v/>
      </c>
      <c r="G5" s="20">
        <v>0</v>
      </c>
      <c r="H5" s="20">
        <f t="shared" ref="H5" si="1">IF(AND(ISNUMBER(C5),ISNUMBER(G5)), C5-G5, "")</f>
        <v>7177.08</v>
      </c>
      <c r="I5" s="19" t="str">
        <f t="shared" ref="I5" si="2">IFERROR(H5/G5, "")</f>
        <v/>
      </c>
      <c r="J5" s="41"/>
      <c r="K5" s="41"/>
    </row>
    <row r="6" spans="1:11" ht="14.2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2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2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2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2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3.9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07"/>
  <sheetViews>
    <sheetView workbookViewId="0">
      <pane xSplit="2" ySplit="3" topLeftCell="C4" activePane="bottomRight" state="frozen"/>
      <selection pane="bottomRight" activeCell="D20" sqref="D20"/>
      <selection pane="bottomLeft" activeCell="J9" sqref="J9"/>
      <selection pane="topRight" activeCell="J9" sqref="J9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BRANDFON</v>
      </c>
      <c r="B1" s="57"/>
      <c r="C1" s="57"/>
      <c r="D1" s="58" t="s">
        <v>24</v>
      </c>
      <c r="E1" s="58"/>
      <c r="F1" s="58"/>
      <c r="G1" s="56" t="s">
        <v>25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SUM(C4:C65)</f>
        <v>28884.690000000002</v>
      </c>
      <c r="D2" s="5">
        <f>SUM(D4:D65)</f>
        <v>0</v>
      </c>
      <c r="E2" s="5">
        <f>C2-D2</f>
        <v>28884.690000000002</v>
      </c>
      <c r="F2" s="6">
        <f>IFERROR(E2/D2, 0)</f>
        <v>0</v>
      </c>
      <c r="G2" s="5">
        <f>SUM(G4:G65)</f>
        <v>14458.513999999999</v>
      </c>
      <c r="H2" s="7">
        <f>C2-G2</f>
        <v>14426.176000000003</v>
      </c>
      <c r="I2" s="6">
        <f>IFERROR(H2/G2, 0)</f>
        <v>0.99776339394214397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75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>
        <v>14758.52</v>
      </c>
      <c r="D4" s="13">
        <v>0</v>
      </c>
      <c r="E4" s="13">
        <f>IF(AND(ISNUMBER(C4),ISNUMBER(D4)), C4-D4, "")</f>
        <v>14758.52</v>
      </c>
      <c r="F4" s="14" t="str">
        <f>IFERROR(E4/D4, "")</f>
        <v/>
      </c>
      <c r="G4" s="15">
        <v>14458.513999999999</v>
      </c>
      <c r="H4" s="15">
        <f>IF(AND(ISNUMBER(C4),ISNUMBER(G4)), C4-G4, "")</f>
        <v>300.00600000000122</v>
      </c>
      <c r="I4" s="16">
        <f>IFERROR(H4/G4, "")</f>
        <v>2.0749435246250149E-2</v>
      </c>
      <c r="J4" s="40"/>
      <c r="K4" s="40"/>
    </row>
    <row r="5" spans="1:11" ht="15.75">
      <c r="A5" s="29" t="str">
        <v>New Haven - Brandfon Hyundai</v>
      </c>
      <c r="B5" s="30" t="str">
        <v>CT</v>
      </c>
      <c r="C5" s="11">
        <v>14126.17</v>
      </c>
      <c r="D5" s="18">
        <v>0</v>
      </c>
      <c r="E5" s="18">
        <f t="shared" ref="E5" si="0">IF(AND(ISNUMBER(C5),ISNUMBER(D5)), C5-D5, "")</f>
        <v>14126.17</v>
      </c>
      <c r="F5" s="19" t="str">
        <f>IFERROR(E5/D5, "")</f>
        <v/>
      </c>
      <c r="G5" s="20">
        <v>0</v>
      </c>
      <c r="H5" s="20">
        <f t="shared" ref="H5" si="1">IF(AND(ISNUMBER(C5),ISNUMBER(G5)), C5-G5, "")</f>
        <v>14126.17</v>
      </c>
      <c r="I5" s="19" t="str">
        <f t="shared" ref="I5" si="2">IFERROR(H5/G5, "")</f>
        <v/>
      </c>
      <c r="J5" s="41"/>
      <c r="K5" s="41"/>
    </row>
    <row r="6" spans="1:11" ht="14.2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2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2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2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2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3.9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07"/>
  <sheetViews>
    <sheetView workbookViewId="0">
      <pane xSplit="2" ySplit="3" topLeftCell="C4" activePane="bottomRight" state="frozen"/>
      <selection pane="bottomRight" activeCell="I10" sqref="I10"/>
      <selection pane="bottomLeft" activeCell="J9" sqref="J9"/>
      <selection pane="topRight" activeCell="J9" sqref="J9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BRANDFON</v>
      </c>
      <c r="B1" s="57"/>
      <c r="C1" s="57"/>
      <c r="D1" s="58" t="s">
        <v>26</v>
      </c>
      <c r="E1" s="58"/>
      <c r="F1" s="58"/>
      <c r="G1" s="56" t="s">
        <v>27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SUM(C4:C65)</f>
        <v>27367.41</v>
      </c>
      <c r="D2" s="5">
        <f>SUM(D4:D65)</f>
        <v>0</v>
      </c>
      <c r="E2" s="5">
        <f>C2-D2</f>
        <v>27367.41</v>
      </c>
      <c r="F2" s="6">
        <f>IFERROR(E2/D2, 0)</f>
        <v>0</v>
      </c>
      <c r="G2" s="5">
        <f>SUM(G4:G65)</f>
        <v>115226.95999999999</v>
      </c>
      <c r="H2" s="7">
        <f>C2-G2</f>
        <v>-87859.549999999988</v>
      </c>
      <c r="I2" s="6">
        <f>IFERROR(H2/G2, 0)</f>
        <v>-0.76249126072578843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75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>
        <v>15867.97</v>
      </c>
      <c r="D4" s="13">
        <v>0</v>
      </c>
      <c r="E4" s="13">
        <f>IF(AND(ISNUMBER(C4),ISNUMBER(D4)), C4-D4, "")</f>
        <v>15867.97</v>
      </c>
      <c r="F4" s="14" t="str">
        <f>IFERROR(E4/D4, "")</f>
        <v/>
      </c>
      <c r="G4" s="15">
        <v>16433.060000000001</v>
      </c>
      <c r="H4" s="15">
        <f>IF(AND(ISNUMBER(C4),ISNUMBER(G4)), C4-G4, "")</f>
        <v>-565.09000000000196</v>
      </c>
      <c r="I4" s="16">
        <f>IFERROR(H4/G4, "")</f>
        <v>-3.4387387376423009E-2</v>
      </c>
      <c r="J4" s="40"/>
      <c r="K4" s="40"/>
    </row>
    <row r="5" spans="1:11" ht="15.75">
      <c r="A5" s="29" t="str">
        <v>New Haven - Brandfon Hyundai</v>
      </c>
      <c r="B5" s="30" t="str">
        <v>CT</v>
      </c>
      <c r="C5" s="11">
        <v>11499.44</v>
      </c>
      <c r="D5" s="18">
        <v>0</v>
      </c>
      <c r="E5" s="18">
        <f t="shared" ref="E5" si="0">IF(AND(ISNUMBER(C5),ISNUMBER(D5)), C5-D5, "")</f>
        <v>11499.44</v>
      </c>
      <c r="F5" s="19" t="str">
        <f>IFERROR(E5/D5, "")</f>
        <v/>
      </c>
      <c r="G5" s="20">
        <v>98793.9</v>
      </c>
      <c r="H5" s="20">
        <f t="shared" ref="H5" si="1">IF(AND(ISNUMBER(C5),ISNUMBER(G5)), C5-G5, "")</f>
        <v>-87294.459999999992</v>
      </c>
      <c r="I5" s="19">
        <f t="shared" ref="I5" si="2">IFERROR(H5/G5, "")</f>
        <v>-0.88360172034913087</v>
      </c>
      <c r="J5" s="41"/>
      <c r="K5" s="41"/>
    </row>
    <row r="6" spans="1:11" ht="14.2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2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2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2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2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3.9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07"/>
  <sheetViews>
    <sheetView tabSelected="1" workbookViewId="0">
      <pane xSplit="2" ySplit="3" topLeftCell="G4" activePane="bottomRight" state="frozen"/>
      <selection pane="bottomRight" activeCell="J10" sqref="J10"/>
      <selection pane="bottomLeft" activeCell="J9" sqref="J9"/>
      <selection pane="topRight" activeCell="J9" sqref="J9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BRANDFON</v>
      </c>
      <c r="B1" s="57"/>
      <c r="C1" s="57"/>
      <c r="D1" s="58" t="s">
        <v>28</v>
      </c>
      <c r="E1" s="58"/>
      <c r="F1" s="58"/>
      <c r="G1" s="56" t="s">
        <v>29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SUM(C4:C65)</f>
        <v>32452.03</v>
      </c>
      <c r="D2" s="5">
        <f>SUM(D4:D65)</f>
        <v>0</v>
      </c>
      <c r="E2" s="5">
        <f>C2-D2</f>
        <v>32452.03</v>
      </c>
      <c r="F2" s="6">
        <f>IFERROR(E2/D2, 0)</f>
        <v>0</v>
      </c>
      <c r="G2" s="5">
        <f>SUM(G4:G65)</f>
        <v>134489.04199999999</v>
      </c>
      <c r="H2" s="7">
        <f>C2-G2</f>
        <v>-102037.01199999999</v>
      </c>
      <c r="I2" s="6">
        <f>IFERROR(H2/G2, 0)</f>
        <v>-0.75870130742696495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75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>
        <v>18582.64</v>
      </c>
      <c r="D4" s="13">
        <v>0</v>
      </c>
      <c r="E4" s="13">
        <f>IF(AND(ISNUMBER(C4),ISNUMBER(D4)), C4-D4, "")</f>
        <v>18582.64</v>
      </c>
      <c r="F4" s="14" t="str">
        <f>IFERROR(E4/D4, "")</f>
        <v/>
      </c>
      <c r="G4" s="15">
        <v>19224.766</v>
      </c>
      <c r="H4" s="15">
        <f>IF(AND(ISNUMBER(C4),ISNUMBER(G4)), C4-G4, "")</f>
        <v>-642.1260000000002</v>
      </c>
      <c r="I4" s="16">
        <f>IFERROR(H4/G4, "")</f>
        <v>-3.3400978716724053E-2</v>
      </c>
      <c r="J4" s="40" t="s">
        <v>30</v>
      </c>
      <c r="K4" s="40" t="s">
        <v>31</v>
      </c>
    </row>
    <row r="5" spans="1:11" ht="28.5">
      <c r="A5" s="29" t="str">
        <v>New Haven - Brandfon Hyundai</v>
      </c>
      <c r="B5" s="30" t="str">
        <v>CT</v>
      </c>
      <c r="C5" s="11">
        <v>13869.39</v>
      </c>
      <c r="D5" s="18">
        <v>0</v>
      </c>
      <c r="E5" s="18">
        <f t="shared" ref="E5" si="0">IF(AND(ISNUMBER(C5),ISNUMBER(D5)), C5-D5, "")</f>
        <v>13869.39</v>
      </c>
      <c r="F5" s="19" t="str">
        <f>IFERROR(E5/D5, "")</f>
        <v/>
      </c>
      <c r="G5" s="20">
        <v>115264.276</v>
      </c>
      <c r="H5" s="20">
        <f t="shared" ref="H5" si="1">IF(AND(ISNUMBER(C5),ISNUMBER(G5)), C5-G5, "")</f>
        <v>-101394.886</v>
      </c>
      <c r="I5" s="19">
        <f t="shared" ref="I5" si="2">IFERROR(H5/G5, "")</f>
        <v>-0.87967312612972992</v>
      </c>
      <c r="J5" s="41" t="s">
        <v>32</v>
      </c>
      <c r="K5" s="41" t="s">
        <v>33</v>
      </c>
    </row>
    <row r="6" spans="1:11" ht="14.2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2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2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2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2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3.9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07"/>
  <sheetViews>
    <sheetView zoomScale="90" zoomScaleNormal="90" workbookViewId="0">
      <pane xSplit="2" ySplit="3" topLeftCell="E4" activePane="bottomRight" state="frozen"/>
      <selection pane="bottomRight" activeCell="J12" sqref="J12"/>
      <selection pane="bottomLeft" activeCell="J9" sqref="J9"/>
      <selection pane="topRight" activeCell="J9" sqref="J9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BRANDFON</v>
      </c>
      <c r="B1" s="57"/>
      <c r="C1" s="57"/>
      <c r="D1" s="58" t="s">
        <v>34</v>
      </c>
      <c r="E1" s="58"/>
      <c r="F1" s="58"/>
      <c r="G1" s="56" t="s">
        <v>35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SUM(C4:C65)</f>
        <v>32519.5</v>
      </c>
      <c r="D2" s="5">
        <f>SUM(D4:D65)</f>
        <v>0</v>
      </c>
      <c r="E2" s="5">
        <f>C2-D2</f>
        <v>32519.5</v>
      </c>
      <c r="F2" s="6">
        <f>IFERROR(E2/D2, 0)</f>
        <v>0</v>
      </c>
      <c r="G2" s="5">
        <f>SUM(G4:G65)</f>
        <v>136459.954</v>
      </c>
      <c r="H2" s="7">
        <f>C2-G2</f>
        <v>-103940.454</v>
      </c>
      <c r="I2" s="6">
        <f>IFERROR(H2/G2, 0)</f>
        <v>-0.76169199060407133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75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>
        <v>16919.18</v>
      </c>
      <c r="D4" s="13">
        <v>0</v>
      </c>
      <c r="E4" s="13">
        <f>IF(AND(ISNUMBER(C4),ISNUMBER(D4)), C4-D4, "")</f>
        <v>16919.18</v>
      </c>
      <c r="F4" s="14" t="str">
        <f>IFERROR(E4/D4, "")</f>
        <v/>
      </c>
      <c r="G4" s="15">
        <v>19568.982</v>
      </c>
      <c r="H4" s="15">
        <f>IF(AND(ISNUMBER(C4),ISNUMBER(G4)), C4-G4, "")</f>
        <v>-2649.8019999999997</v>
      </c>
      <c r="I4" s="16">
        <f>IFERROR(H4/G4, "")</f>
        <v>-0.13540827008783593</v>
      </c>
      <c r="J4" s="40" t="s">
        <v>36</v>
      </c>
      <c r="K4" s="40" t="s">
        <v>37</v>
      </c>
    </row>
    <row r="5" spans="1:11" ht="28.5">
      <c r="A5" s="29" t="str">
        <v>New Haven - Brandfon Hyundai</v>
      </c>
      <c r="B5" s="30" t="str">
        <v>CT</v>
      </c>
      <c r="C5" s="11">
        <v>15600.32</v>
      </c>
      <c r="D5" s="18">
        <v>0</v>
      </c>
      <c r="E5" s="18">
        <f t="shared" ref="E5" si="0">IF(AND(ISNUMBER(C5),ISNUMBER(D5)), C5-D5, "")</f>
        <v>15600.32</v>
      </c>
      <c r="F5" s="19" t="str">
        <f>IFERROR(E5/D5, "")</f>
        <v/>
      </c>
      <c r="G5" s="20">
        <v>116890.97199999999</v>
      </c>
      <c r="H5" s="20">
        <f t="shared" ref="H5" si="1">IF(AND(ISNUMBER(C5),ISNUMBER(G5)), C5-G5, "")</f>
        <v>-101290.652</v>
      </c>
      <c r="I5" s="19">
        <f t="shared" ref="I5" si="2">IFERROR(H5/G5, "")</f>
        <v>-0.86653956474927774</v>
      </c>
      <c r="J5" s="41" t="s">
        <v>38</v>
      </c>
      <c r="K5" s="41" t="s">
        <v>39</v>
      </c>
    </row>
    <row r="6" spans="1:11" ht="14.2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2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2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2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2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3.9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07"/>
  <sheetViews>
    <sheetView workbookViewId="0">
      <pane xSplit="2" ySplit="3" topLeftCell="C4" activePane="bottomRight" state="frozen"/>
      <selection pane="bottomRight" activeCell="J9" sqref="J9"/>
      <selection pane="bottomLeft" activeCell="J9" sqref="J9"/>
      <selection pane="topRight" activeCell="J9" sqref="J9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BRANDFON</v>
      </c>
      <c r="B1" s="57"/>
      <c r="C1" s="57"/>
      <c r="D1" s="58" t="s">
        <v>40</v>
      </c>
      <c r="E1" s="58"/>
      <c r="F1" s="58"/>
      <c r="G1" s="56" t="s">
        <v>41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75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75">
      <c r="A5" s="29" t="str">
        <v>New Haven - Brandfon Hyundai</v>
      </c>
      <c r="B5" s="30" t="str">
        <v>CT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2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2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2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2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2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3.9">
      <c r="C307" s="21"/>
      <c r="D307" s="21"/>
      <c r="E307" s="21"/>
      <c r="F307" s="22"/>
      <c r="G307" s="21"/>
      <c r="H307" s="21"/>
      <c r="I307" s="22"/>
      <c r="J307" s="21"/>
      <c r="K307" s="21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65 I4:I65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07"/>
  <sheetViews>
    <sheetView workbookViewId="0">
      <pane xSplit="2" ySplit="3" topLeftCell="C4" activePane="bottomRight" state="frozen"/>
      <selection pane="bottomRight" activeCell="J9" sqref="J9"/>
      <selection pane="bottomLeft" activeCell="J9" sqref="J9"/>
      <selection pane="topRight" activeCell="J9" sqref="J9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BRANDFON</v>
      </c>
      <c r="B1" s="57"/>
      <c r="C1" s="57"/>
      <c r="D1" s="58" t="s">
        <v>42</v>
      </c>
      <c r="E1" s="58"/>
      <c r="F1" s="58"/>
      <c r="G1" s="56" t="s">
        <v>43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75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75">
      <c r="A5" s="29" t="str">
        <v>New Haven - Brandfon Hyundai</v>
      </c>
      <c r="B5" s="30" t="str">
        <v>CT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2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2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2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2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2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3.9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07"/>
  <sheetViews>
    <sheetView workbookViewId="0">
      <pane xSplit="2" ySplit="3" topLeftCell="C4" activePane="bottomRight" state="frozen"/>
      <selection pane="bottomRight" activeCell="J9" sqref="J9"/>
      <selection pane="bottomLeft" activeCell="J9" sqref="J9"/>
      <selection pane="topRight" activeCell="J9" sqref="J9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BRANDFON</v>
      </c>
      <c r="B1" s="57"/>
      <c r="C1" s="57"/>
      <c r="D1" s="58" t="s">
        <v>44</v>
      </c>
      <c r="E1" s="58"/>
      <c r="F1" s="58"/>
      <c r="G1" s="56" t="s">
        <v>45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75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75">
      <c r="A5" s="29" t="str">
        <v>New Haven - Brandfon Hyundai</v>
      </c>
      <c r="B5" s="30" t="str">
        <v>CT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2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2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2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2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2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3.9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07"/>
  <sheetViews>
    <sheetView workbookViewId="0">
      <pane xSplit="2" ySplit="3" topLeftCell="C4" activePane="bottomRight" state="frozen"/>
      <selection pane="bottomRight" activeCell="J9" sqref="J9"/>
      <selection pane="bottomLeft" activeCell="J9" sqref="J9"/>
      <selection pane="topRight" activeCell="J9" sqref="J9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BRANDFON</v>
      </c>
      <c r="B1" s="57"/>
      <c r="C1" s="57"/>
      <c r="D1" s="58" t="s">
        <v>46</v>
      </c>
      <c r="E1" s="58"/>
      <c r="F1" s="58"/>
      <c r="G1" s="56" t="s">
        <v>47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75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75">
      <c r="A5" s="29" t="str">
        <v>New Haven - Brandfon Hyundai</v>
      </c>
      <c r="B5" s="30" t="str">
        <v>CT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2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2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2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2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2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3.9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07"/>
  <sheetViews>
    <sheetView workbookViewId="0">
      <pane xSplit="2" ySplit="3" topLeftCell="C4" activePane="bottomRight" state="frozen"/>
      <selection pane="bottomRight" activeCell="J9" sqref="J9"/>
      <selection pane="bottomLeft" activeCell="J9" sqref="J9"/>
      <selection pane="topRight" activeCell="J9" sqref="J9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BRANDFON</v>
      </c>
      <c r="B1" s="57"/>
      <c r="C1" s="57"/>
      <c r="D1" s="58" t="s">
        <v>48</v>
      </c>
      <c r="E1" s="58"/>
      <c r="F1" s="58"/>
      <c r="G1" s="56" t="s">
        <v>49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75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75">
      <c r="A5" s="29" t="str">
        <v>New Haven - Brandfon Hyundai</v>
      </c>
      <c r="B5" s="30" t="str">
        <v>CT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2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2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2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2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2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3.9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07"/>
  <sheetViews>
    <sheetView workbookViewId="0">
      <pane xSplit="2" ySplit="3" topLeftCell="C4" activePane="bottomRight" state="frozen"/>
      <selection pane="bottomRight" activeCell="J9" sqref="J9"/>
      <selection pane="bottomLeft" activeCell="J9" sqref="J9"/>
      <selection pane="topRight" activeCell="J9" sqref="J9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BRANDFON</v>
      </c>
      <c r="B1" s="57"/>
      <c r="C1" s="57"/>
      <c r="D1" s="58" t="s">
        <v>50</v>
      </c>
      <c r="E1" s="58"/>
      <c r="F1" s="58"/>
      <c r="G1" s="56" t="s">
        <v>51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75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75">
      <c r="A5" s="29" t="str">
        <v>New Haven - Brandfon Hyundai</v>
      </c>
      <c r="B5" s="30" t="str">
        <v>CT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2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2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2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2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2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3.9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D10" sqref="D10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52</v>
      </c>
      <c r="B1" t="s">
        <v>53</v>
      </c>
    </row>
    <row r="3" spans="1:12">
      <c r="A3" t="s">
        <v>54</v>
      </c>
      <c r="B3" t="s">
        <v>3</v>
      </c>
      <c r="C3" t="s">
        <v>4</v>
      </c>
      <c r="D3" t="s">
        <v>55</v>
      </c>
      <c r="E3" s="2" t="s">
        <v>56</v>
      </c>
    </row>
    <row r="4" spans="1:12" ht="14.25">
      <c r="A4" s="51" t="s">
        <v>57</v>
      </c>
      <c r="B4" s="52" t="s">
        <v>58</v>
      </c>
      <c r="C4" s="52" t="s">
        <v>59</v>
      </c>
      <c r="D4" t="s">
        <v>60</v>
      </c>
      <c r="E4" t="s">
        <v>61</v>
      </c>
      <c r="G4" s="3"/>
    </row>
    <row r="5" spans="1:12" ht="14.25">
      <c r="A5" s="53" t="s">
        <v>62</v>
      </c>
      <c r="B5" s="54" t="s">
        <v>63</v>
      </c>
      <c r="C5" s="55" t="s">
        <v>59</v>
      </c>
      <c r="D5" t="s">
        <v>64</v>
      </c>
      <c r="E5" t="s">
        <v>61</v>
      </c>
      <c r="G5" s="3"/>
    </row>
    <row r="6" spans="1:12" ht="14.25">
      <c r="A6" s="48"/>
      <c r="C6" s="45"/>
      <c r="D6" s="44"/>
      <c r="G6" s="3"/>
    </row>
    <row r="7" spans="1:12" ht="12.75" customHeight="1">
      <c r="A7" s="48"/>
      <c r="C7" s="45"/>
      <c r="D7" s="44"/>
    </row>
    <row r="8" spans="1:12" ht="12.75" customHeight="1">
      <c r="A8" s="48"/>
      <c r="C8" s="45"/>
      <c r="D8" s="44"/>
    </row>
    <row r="9" spans="1:12" ht="12.75" customHeight="1">
      <c r="A9" s="48"/>
      <c r="C9" s="45"/>
      <c r="D9" s="44"/>
    </row>
    <row r="10" spans="1:12" ht="12.75" customHeight="1">
      <c r="A10" s="48"/>
      <c r="C10" s="45"/>
      <c r="D10" s="44"/>
      <c r="K10" s="42"/>
      <c r="L10" s="42"/>
    </row>
    <row r="11" spans="1:12" ht="12.75" customHeight="1">
      <c r="A11" s="48"/>
      <c r="C11" s="45"/>
      <c r="D11" s="44"/>
      <c r="K11" s="42"/>
      <c r="L11" s="42"/>
    </row>
    <row r="12" spans="1:12" ht="12.75" customHeight="1">
      <c r="A12" s="48"/>
      <c r="C12" s="45"/>
      <c r="D12" s="44"/>
      <c r="K12" s="42"/>
      <c r="L12" s="42"/>
    </row>
    <row r="13" spans="1:12" ht="12.75" customHeight="1">
      <c r="A13" s="48"/>
      <c r="C13" s="45"/>
      <c r="D13" s="44"/>
      <c r="K13" s="42"/>
      <c r="L13" s="42"/>
    </row>
    <row r="14" spans="1:12" ht="12.75" customHeight="1">
      <c r="A14" s="48"/>
      <c r="C14" s="45"/>
      <c r="D14" s="44"/>
      <c r="K14" s="42"/>
      <c r="L14" s="42"/>
    </row>
    <row r="15" spans="1:12" ht="12.75" customHeight="1">
      <c r="A15" s="48"/>
      <c r="C15" s="45"/>
      <c r="D15" s="44"/>
      <c r="K15" s="42"/>
      <c r="L15" s="42"/>
    </row>
    <row r="16" spans="1:12" ht="12.75" customHeight="1">
      <c r="A16" s="48"/>
      <c r="C16" s="45"/>
      <c r="D16" s="44"/>
      <c r="K16" s="42"/>
      <c r="L16" s="42"/>
    </row>
    <row r="17" spans="1:12" ht="12.75" customHeight="1">
      <c r="A17" s="48"/>
      <c r="C17" s="45"/>
      <c r="D17" s="44"/>
      <c r="K17" s="42"/>
      <c r="L17" s="42"/>
    </row>
    <row r="18" spans="1:12" ht="12.75" customHeight="1">
      <c r="A18" s="48"/>
      <c r="C18" s="45"/>
      <c r="D18" s="44"/>
      <c r="K18" s="42"/>
      <c r="L18" s="42"/>
    </row>
    <row r="19" spans="1:12" ht="12.75" customHeight="1">
      <c r="A19" s="48"/>
      <c r="C19" s="45"/>
      <c r="D19" s="44"/>
      <c r="K19" s="42"/>
      <c r="L19" s="42"/>
    </row>
    <row r="20" spans="1:12" ht="12.75" customHeight="1">
      <c r="A20" s="48"/>
      <c r="C20" s="45"/>
      <c r="D20" s="44"/>
      <c r="K20" s="42"/>
      <c r="L20" s="42"/>
    </row>
    <row r="21" spans="1:12" ht="12.75" customHeight="1">
      <c r="A21" s="48"/>
      <c r="C21" s="45"/>
      <c r="D21" s="44"/>
      <c r="K21" s="42"/>
      <c r="L21" s="42"/>
    </row>
    <row r="22" spans="1:12" ht="12.75" customHeight="1">
      <c r="A22" s="48"/>
      <c r="C22" s="45"/>
      <c r="D22" s="44"/>
      <c r="K22" s="42"/>
      <c r="L22" s="42"/>
    </row>
    <row r="23" spans="1:12" ht="12.75" customHeight="1">
      <c r="A23" s="48"/>
      <c r="C23" s="45"/>
      <c r="D23" s="44"/>
      <c r="K23" s="42"/>
      <c r="L23" s="42"/>
    </row>
    <row r="24" spans="1:12" ht="12.75" customHeight="1">
      <c r="A24" s="48"/>
      <c r="C24" s="45"/>
      <c r="D24" s="44"/>
      <c r="K24" s="42"/>
      <c r="L24" s="42"/>
    </row>
    <row r="25" spans="1:12" ht="12.75" customHeight="1">
      <c r="A25" s="48"/>
      <c r="C25" s="45"/>
      <c r="D25" s="44"/>
      <c r="K25" s="42"/>
      <c r="L25" s="42"/>
    </row>
    <row r="26" spans="1:12" ht="12.75" customHeight="1">
      <c r="K26" s="42"/>
      <c r="L26" s="42"/>
    </row>
    <row r="27" spans="1:12" ht="12.75" customHeight="1">
      <c r="K27" s="42"/>
      <c r="L27" s="42"/>
    </row>
    <row r="28" spans="1:12" ht="12.75" customHeight="1">
      <c r="K28" s="42"/>
      <c r="L28" s="42"/>
    </row>
    <row r="29" spans="1:12" ht="12.75" customHeight="1">
      <c r="K29" s="42"/>
      <c r="L29" s="42"/>
    </row>
    <row r="30" spans="1:12" ht="12.75" customHeight="1">
      <c r="K30" s="42"/>
      <c r="L30" s="42"/>
    </row>
    <row r="31" spans="1:12" ht="12.75" customHeight="1">
      <c r="K31" s="42"/>
      <c r="L31" s="4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4.xml>��
</file>

<file path=customXml/item15.xml>��
</file>

<file path=customXml/item1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7.xml>��
</file>

<file path=customXml/item1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E26B669-A686-459C-A5E9-FEC3409C4C81}"/>
</file>

<file path=customXml/itemProps2.xml><?xml version="1.0" encoding="utf-8"?>
<ds:datastoreItem xmlns:ds="http://schemas.openxmlformats.org/officeDocument/2006/customXml" ds:itemID="{CB52044A-5C0B-44A2-99D0-C1C315EC302D}"/>
</file>

<file path=customXml/itemProps3.xml><?xml version="1.0" encoding="utf-8"?>
<ds:datastoreItem xmlns:ds="http://schemas.openxmlformats.org/officeDocument/2006/customXml" ds:itemID="{F12EFA50-0068-4A8C-85A0-F1B26389EBC3}"/>
</file>

<file path=customXml/itemProps4.xml><?xml version="1.0" encoding="utf-8"?>
<ds:datastoreItem xmlns:ds="http://schemas.openxmlformats.org/officeDocument/2006/customXml" ds:itemID="{3AEAA9D8-2182-46BA-A58E-96C72DDA1C54}"/>
</file>

<file path=customXml/itemProps5.xml><?xml version="1.0" encoding="utf-8"?>
<ds:datastoreItem xmlns:ds="http://schemas.openxmlformats.org/officeDocument/2006/customXml" ds:itemID="{F6B2B1A1-1C4B-4AC9-9A7D-7A102DD1C942}"/>
</file>

<file path=customXml/itemProps6.xml><?xml version="1.0" encoding="utf-8"?>
<ds:datastoreItem xmlns:ds="http://schemas.openxmlformats.org/officeDocument/2006/customXml" ds:itemID="{E20E8303-6A67-485C-B6F4-303542CC295C}"/>
</file>

<file path=customXml/itemProps7.xml><?xml version="1.0" encoding="utf-8"?>
<ds:datastoreItem xmlns:ds="http://schemas.openxmlformats.org/officeDocument/2006/customXml" ds:itemID="{66B09F59-6532-46F8-924A-9A02417E070D}"/>
</file>

<file path=customXml/itemProps8.xml><?xml version="1.0" encoding="utf-8"?>
<ds:datastoreItem xmlns:ds="http://schemas.openxmlformats.org/officeDocument/2006/customXml" ds:itemID="{2BC74AAC-D69B-4AF1-9649-B21EF3C1C463}"/>
</file>

<file path=customXml/itemProps9.xml><?xml version="1.0" encoding="utf-8"?>
<ds:datastoreItem xmlns:ds="http://schemas.openxmlformats.org/officeDocument/2006/customXml" ds:itemID="{89CF5C07-45EB-4100-9AFB-2C6AF77FA787}"/>
</file>

<file path=customXml/itemProps10.xml><?xml version="1.0" encoding="utf-8"?>
<ds:datastoreItem xmlns:ds="http://schemas.openxmlformats.org/officeDocument/2006/customXml" ds:itemID="{BF5C6359-7763-4C37-8EAF-2BC4698CB285}"/>
</file>

<file path=customXml/itemProps11.xml><?xml version="1.0" encoding="utf-8"?>
<ds:datastoreItem xmlns:ds="http://schemas.openxmlformats.org/officeDocument/2006/customXml" ds:itemID="{E3716282-BFD2-4ED2-BA47-BFA1123827F0}"/>
</file>

<file path=customXml/itemProps12.xml><?xml version="1.0" encoding="utf-8"?>
<ds:datastoreItem xmlns:ds="http://schemas.openxmlformats.org/officeDocument/2006/customXml" ds:itemID="{98A113BB-8B7A-453C-8BD4-8EFC67FC2D3F}"/>
</file>

<file path=customXml/itemProps13.xml><?xml version="1.0" encoding="utf-8"?>
<ds:datastoreItem xmlns:ds="http://schemas.openxmlformats.org/officeDocument/2006/customXml" ds:itemID="{7946C510-7D04-49D8-9B25-EEC04582A1CA}"/>
</file>

<file path=customXml/itemProps14.xml><?xml version="1.0" encoding="utf-8"?>
<ds:datastoreItem xmlns:ds="http://schemas.openxmlformats.org/officeDocument/2006/customXml" ds:itemID="{0389C43E-394D-44C0-87DC-4780FCFCFB40}"/>
</file>

<file path=customXml/itemProps15.xml><?xml version="1.0" encoding="utf-8"?>
<ds:datastoreItem xmlns:ds="http://schemas.openxmlformats.org/officeDocument/2006/customXml" ds:itemID="{1954BBA4-0359-438C-B0EC-A756015F7C02}"/>
</file>

<file path=customXml/itemProps16.xml><?xml version="1.0" encoding="utf-8"?>
<ds:datastoreItem xmlns:ds="http://schemas.openxmlformats.org/officeDocument/2006/customXml" ds:itemID="{C0BCDC1E-6052-4E48-9BAF-94A40814E7C2}"/>
</file>

<file path=customXml/itemProps17.xml><?xml version="1.0" encoding="utf-8"?>
<ds:datastoreItem xmlns:ds="http://schemas.openxmlformats.org/officeDocument/2006/customXml" ds:itemID="{14966E4F-347B-477B-B74C-9DAC05405806}"/>
</file>

<file path=customXml/itemProps18.xml><?xml version="1.0" encoding="utf-8"?>
<ds:datastoreItem xmlns:ds="http://schemas.openxmlformats.org/officeDocument/2006/customXml" ds:itemID="{8D732231-4216-4543-A665-18A2886B0EB7}"/>
</file>

<file path=customXml/itemProps19.xml><?xml version="1.0" encoding="utf-8"?>
<ds:datastoreItem xmlns:ds="http://schemas.openxmlformats.org/officeDocument/2006/customXml" ds:itemID="{078388C9-06F9-42F4-B857-EF76B5CAF1FD}"/>
</file>

<file path=customXml/itemProps20.xml><?xml version="1.0" encoding="utf-8"?>
<ds:datastoreItem xmlns:ds="http://schemas.openxmlformats.org/officeDocument/2006/customXml" ds:itemID="{D3A7101F-9A85-4235-8B03-415370C100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[AGS]</cp:lastModifiedBy>
  <cp:revision/>
  <dcterms:created xsi:type="dcterms:W3CDTF">2021-01-01T16:39:53Z</dcterms:created>
  <dcterms:modified xsi:type="dcterms:W3CDTF">2024-11-05T11:26:51Z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