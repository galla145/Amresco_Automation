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Microsoft Teams Chat Files/"/>
    </mc:Choice>
  </mc:AlternateContent>
  <xr:revisionPtr revIDLastSave="86" documentId="13_ncr:1_{F5FC4E0A-BDF9-4637-91F3-B5AD7C80A522}" xr6:coauthVersionLast="47" xr6:coauthVersionMax="47" xr10:uidLastSave="{F35A878E-694E-4E7A-A79F-0A597EDF5B1E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0" l="1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8" i="3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78" i="33"/>
  <c r="I78" i="33" s="1"/>
  <c r="E78" i="33"/>
  <c r="F78" i="33" s="1"/>
  <c r="H77" i="33"/>
  <c r="I77" i="33" s="1"/>
  <c r="E77" i="33"/>
  <c r="F77" i="33" s="1"/>
  <c r="H76" i="33"/>
  <c r="I76" i="33" s="1"/>
  <c r="E76" i="33"/>
  <c r="F76" i="33" s="1"/>
  <c r="H75" i="33"/>
  <c r="I75" i="33" s="1"/>
  <c r="E75" i="33"/>
  <c r="F75" i="33" s="1"/>
  <c r="H74" i="33"/>
  <c r="I74" i="33" s="1"/>
  <c r="E74" i="33"/>
  <c r="F74" i="33" s="1"/>
  <c r="H73" i="33"/>
  <c r="I73" i="33" s="1"/>
  <c r="E73" i="33"/>
  <c r="F73" i="33" s="1"/>
  <c r="H72" i="33"/>
  <c r="I72" i="33" s="1"/>
  <c r="E72" i="33"/>
  <c r="F72" i="33" s="1"/>
  <c r="H71" i="33"/>
  <c r="I71" i="33" s="1"/>
  <c r="E71" i="33"/>
  <c r="F71" i="33" s="1"/>
  <c r="H70" i="33"/>
  <c r="I70" i="33" s="1"/>
  <c r="E70" i="33"/>
  <c r="F70" i="33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78" i="32"/>
  <c r="I78" i="32" s="1"/>
  <c r="E78" i="32"/>
  <c r="F78" i="32" s="1"/>
  <c r="H77" i="32"/>
  <c r="I77" i="32" s="1"/>
  <c r="E77" i="32"/>
  <c r="F77" i="32" s="1"/>
  <c r="H76" i="32"/>
  <c r="I76" i="32" s="1"/>
  <c r="E76" i="32"/>
  <c r="F76" i="32" s="1"/>
  <c r="H75" i="32"/>
  <c r="I75" i="32" s="1"/>
  <c r="E75" i="32"/>
  <c r="F75" i="32" s="1"/>
  <c r="H74" i="32"/>
  <c r="I74" i="32" s="1"/>
  <c r="E74" i="32"/>
  <c r="F74" i="32" s="1"/>
  <c r="H73" i="32"/>
  <c r="I73" i="32" s="1"/>
  <c r="E73" i="32"/>
  <c r="F73" i="32" s="1"/>
  <c r="H72" i="32"/>
  <c r="I72" i="32" s="1"/>
  <c r="E72" i="32"/>
  <c r="F72" i="32" s="1"/>
  <c r="H71" i="32"/>
  <c r="I71" i="32" s="1"/>
  <c r="E71" i="32"/>
  <c r="F71" i="32" s="1"/>
  <c r="H70" i="32"/>
  <c r="I70" i="32" s="1"/>
  <c r="E70" i="32"/>
  <c r="F70" i="32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B4" i="32" a="1"/>
  <c r="B4" i="32" s="1"/>
  <c r="A4" i="32" a="1"/>
  <c r="A4" i="32" s="1"/>
  <c r="I78" i="31"/>
  <c r="H78" i="31"/>
  <c r="E78" i="31"/>
  <c r="F78" i="31" s="1"/>
  <c r="H77" i="31"/>
  <c r="I77" i="31" s="1"/>
  <c r="E77" i="31"/>
  <c r="F77" i="31" s="1"/>
  <c r="H76" i="31"/>
  <c r="I76" i="31" s="1"/>
  <c r="E76" i="31"/>
  <c r="F76" i="31" s="1"/>
  <c r="I75" i="31"/>
  <c r="H75" i="31"/>
  <c r="E75" i="31"/>
  <c r="F75" i="31" s="1"/>
  <c r="H74" i="31"/>
  <c r="I74" i="31" s="1"/>
  <c r="E74" i="31"/>
  <c r="F74" i="31" s="1"/>
  <c r="H73" i="31"/>
  <c r="I73" i="31" s="1"/>
  <c r="E73" i="31"/>
  <c r="F73" i="31" s="1"/>
  <c r="I72" i="31"/>
  <c r="H72" i="31"/>
  <c r="E72" i="31"/>
  <c r="F72" i="31" s="1"/>
  <c r="H71" i="31"/>
  <c r="I71" i="31" s="1"/>
  <c r="E71" i="31"/>
  <c r="F71" i="31" s="1"/>
  <c r="H70" i="31"/>
  <c r="I70" i="31" s="1"/>
  <c r="E70" i="31"/>
  <c r="F70" i="31" s="1"/>
  <c r="I69" i="31"/>
  <c r="H69" i="31"/>
  <c r="E69" i="31"/>
  <c r="F69" i="31" s="1"/>
  <c r="H68" i="31"/>
  <c r="I68" i="31" s="1"/>
  <c r="E68" i="31"/>
  <c r="F68" i="31" s="1"/>
  <c r="H67" i="31"/>
  <c r="I67" i="31" s="1"/>
  <c r="E67" i="31"/>
  <c r="F67" i="31" s="1"/>
  <c r="I66" i="31"/>
  <c r="H66" i="31"/>
  <c r="E66" i="31"/>
  <c r="F66" i="31" s="1"/>
  <c r="H65" i="31"/>
  <c r="I65" i="31" s="1"/>
  <c r="E65" i="31"/>
  <c r="F65" i="31" s="1"/>
  <c r="H64" i="31"/>
  <c r="I64" i="31" s="1"/>
  <c r="E64" i="31"/>
  <c r="F64" i="31" s="1"/>
  <c r="I63" i="31"/>
  <c r="H63" i="31"/>
  <c r="E63" i="31"/>
  <c r="F63" i="31" s="1"/>
  <c r="H62" i="31"/>
  <c r="I62" i="31" s="1"/>
  <c r="E62" i="31"/>
  <c r="F62" i="31" s="1"/>
  <c r="H61" i="31"/>
  <c r="I61" i="31" s="1"/>
  <c r="E61" i="31"/>
  <c r="F61" i="31" s="1"/>
  <c r="I60" i="31"/>
  <c r="H60" i="31"/>
  <c r="E60" i="31"/>
  <c r="F60" i="31" s="1"/>
  <c r="H59" i="31"/>
  <c r="I59" i="31" s="1"/>
  <c r="E59" i="31"/>
  <c r="F59" i="31" s="1"/>
  <c r="H58" i="31"/>
  <c r="I58" i="31" s="1"/>
  <c r="E58" i="31"/>
  <c r="F58" i="31" s="1"/>
  <c r="I57" i="31"/>
  <c r="H57" i="31"/>
  <c r="E57" i="31"/>
  <c r="F57" i="31" s="1"/>
  <c r="H56" i="31"/>
  <c r="I56" i="31" s="1"/>
  <c r="E56" i="31"/>
  <c r="F56" i="31" s="1"/>
  <c r="H55" i="31"/>
  <c r="I55" i="31" s="1"/>
  <c r="E55" i="31"/>
  <c r="F55" i="31" s="1"/>
  <c r="I54" i="31"/>
  <c r="H54" i="31"/>
  <c r="E54" i="31"/>
  <c r="F54" i="31" s="1"/>
  <c r="H53" i="31"/>
  <c r="I53" i="31" s="1"/>
  <c r="E53" i="31"/>
  <c r="F53" i="31" s="1"/>
  <c r="H52" i="31"/>
  <c r="I52" i="31" s="1"/>
  <c r="E52" i="31"/>
  <c r="F52" i="31" s="1"/>
  <c r="I51" i="31"/>
  <c r="H51" i="31"/>
  <c r="E51" i="31"/>
  <c r="F51" i="31" s="1"/>
  <c r="H50" i="31"/>
  <c r="I50" i="31" s="1"/>
  <c r="E50" i="31"/>
  <c r="F50" i="31" s="1"/>
  <c r="H49" i="31"/>
  <c r="I49" i="31" s="1"/>
  <c r="E49" i="31"/>
  <c r="F49" i="31" s="1"/>
  <c r="I48" i="31"/>
  <c r="H48" i="31"/>
  <c r="E48" i="31"/>
  <c r="F48" i="31" s="1"/>
  <c r="H47" i="31"/>
  <c r="I47" i="31" s="1"/>
  <c r="E47" i="31"/>
  <c r="F47" i="31" s="1"/>
  <c r="H46" i="31"/>
  <c r="I46" i="31" s="1"/>
  <c r="E46" i="31"/>
  <c r="F46" i="31" s="1"/>
  <c r="I45" i="31"/>
  <c r="H45" i="31"/>
  <c r="E45" i="31"/>
  <c r="F45" i="31" s="1"/>
  <c r="H44" i="31"/>
  <c r="I44" i="31" s="1"/>
  <c r="E44" i="31"/>
  <c r="F44" i="31" s="1"/>
  <c r="H43" i="31"/>
  <c r="I43" i="31" s="1"/>
  <c r="E43" i="31"/>
  <c r="F43" i="31" s="1"/>
  <c r="I42" i="31"/>
  <c r="H42" i="31"/>
  <c r="E42" i="31"/>
  <c r="F42" i="31" s="1"/>
  <c r="H41" i="31"/>
  <c r="I41" i="31" s="1"/>
  <c r="E41" i="31"/>
  <c r="F41" i="31" s="1"/>
  <c r="H40" i="31"/>
  <c r="I40" i="31" s="1"/>
  <c r="E40" i="31"/>
  <c r="F40" i="31" s="1"/>
  <c r="I39" i="31"/>
  <c r="H39" i="31"/>
  <c r="E39" i="31"/>
  <c r="F39" i="31" s="1"/>
  <c r="H38" i="31"/>
  <c r="I38" i="31" s="1"/>
  <c r="E38" i="31"/>
  <c r="F38" i="31" s="1"/>
  <c r="H37" i="31"/>
  <c r="I37" i="31" s="1"/>
  <c r="E37" i="31"/>
  <c r="F37" i="31" s="1"/>
  <c r="I36" i="31"/>
  <c r="H36" i="31"/>
  <c r="E36" i="31"/>
  <c r="F36" i="31" s="1"/>
  <c r="H35" i="31"/>
  <c r="I35" i="31" s="1"/>
  <c r="E35" i="31"/>
  <c r="F35" i="31" s="1"/>
  <c r="H34" i="31"/>
  <c r="I34" i="31" s="1"/>
  <c r="E34" i="31"/>
  <c r="F34" i="31" s="1"/>
  <c r="I33" i="31"/>
  <c r="H33" i="31"/>
  <c r="E33" i="31"/>
  <c r="F33" i="31" s="1"/>
  <c r="H32" i="31"/>
  <c r="I32" i="31" s="1"/>
  <c r="E32" i="31"/>
  <c r="F32" i="31" s="1"/>
  <c r="H31" i="31"/>
  <c r="I31" i="31" s="1"/>
  <c r="E31" i="31"/>
  <c r="F31" i="31" s="1"/>
  <c r="I30" i="31"/>
  <c r="H30" i="31"/>
  <c r="E30" i="31"/>
  <c r="F30" i="31" s="1"/>
  <c r="H29" i="31"/>
  <c r="I29" i="31" s="1"/>
  <c r="E29" i="31"/>
  <c r="F29" i="31" s="1"/>
  <c r="H28" i="31"/>
  <c r="I28" i="31" s="1"/>
  <c r="E28" i="31"/>
  <c r="F28" i="31" s="1"/>
  <c r="I27" i="31"/>
  <c r="H27" i="31"/>
  <c r="E27" i="31"/>
  <c r="F27" i="31" s="1"/>
  <c r="H26" i="31"/>
  <c r="I26" i="31" s="1"/>
  <c r="E26" i="31"/>
  <c r="F26" i="31" s="1"/>
  <c r="H25" i="31"/>
  <c r="I25" i="31" s="1"/>
  <c r="E25" i="31"/>
  <c r="F25" i="31" s="1"/>
  <c r="I24" i="31"/>
  <c r="H24" i="31"/>
  <c r="E24" i="31"/>
  <c r="F24" i="31" s="1"/>
  <c r="H23" i="31"/>
  <c r="I23" i="31" s="1"/>
  <c r="E23" i="31"/>
  <c r="F23" i="31" s="1"/>
  <c r="H22" i="31"/>
  <c r="I22" i="31" s="1"/>
  <c r="E22" i="31"/>
  <c r="F22" i="31" s="1"/>
  <c r="I21" i="31"/>
  <c r="H21" i="31"/>
  <c r="E21" i="31"/>
  <c r="F21" i="31" s="1"/>
  <c r="H20" i="31"/>
  <c r="I20" i="31" s="1"/>
  <c r="E20" i="31"/>
  <c r="F20" i="31" s="1"/>
  <c r="H19" i="31"/>
  <c r="I19" i="31" s="1"/>
  <c r="E19" i="31"/>
  <c r="F19" i="31" s="1"/>
  <c r="I18" i="31"/>
  <c r="H18" i="31"/>
  <c r="E18" i="31"/>
  <c r="F18" i="31" s="1"/>
  <c r="H17" i="31"/>
  <c r="I17" i="31" s="1"/>
  <c r="E17" i="31"/>
  <c r="F17" i="31" s="1"/>
  <c r="H16" i="31"/>
  <c r="I16" i="31" s="1"/>
  <c r="E16" i="31"/>
  <c r="F16" i="31" s="1"/>
  <c r="I15" i="31"/>
  <c r="H15" i="31"/>
  <c r="E15" i="31"/>
  <c r="F15" i="31" s="1"/>
  <c r="H14" i="31"/>
  <c r="I14" i="31" s="1"/>
  <c r="E14" i="31"/>
  <c r="F14" i="31" s="1"/>
  <c r="H13" i="31"/>
  <c r="I13" i="31" s="1"/>
  <c r="E13" i="31"/>
  <c r="F13" i="31" s="1"/>
  <c r="I12" i="31"/>
  <c r="H12" i="31"/>
  <c r="E12" i="31"/>
  <c r="F12" i="31" s="1"/>
  <c r="H11" i="31"/>
  <c r="I11" i="31" s="1"/>
  <c r="E11" i="31"/>
  <c r="F11" i="31" s="1"/>
  <c r="H10" i="31"/>
  <c r="I10" i="31" s="1"/>
  <c r="E10" i="31"/>
  <c r="F10" i="31" s="1"/>
  <c r="I9" i="31"/>
  <c r="H9" i="31"/>
  <c r="E9" i="31"/>
  <c r="F9" i="31" s="1"/>
  <c r="H8" i="31"/>
  <c r="I8" i="31" s="1"/>
  <c r="E8" i="31"/>
  <c r="F8" i="31" s="1"/>
  <c r="H7" i="31"/>
  <c r="I7" i="31" s="1"/>
  <c r="E7" i="31"/>
  <c r="F7" i="31" s="1"/>
  <c r="I6" i="31"/>
  <c r="H6" i="3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78" i="28"/>
  <c r="I78" i="28" s="1"/>
  <c r="E78" i="28"/>
  <c r="F78" i="28" s="1"/>
  <c r="H77" i="28"/>
  <c r="I77" i="28" s="1"/>
  <c r="E77" i="28"/>
  <c r="F77" i="28" s="1"/>
  <c r="H76" i="28"/>
  <c r="I76" i="28" s="1"/>
  <c r="E76" i="28"/>
  <c r="F76" i="28" s="1"/>
  <c r="H75" i="28"/>
  <c r="I75" i="28" s="1"/>
  <c r="E75" i="28"/>
  <c r="F75" i="28" s="1"/>
  <c r="H74" i="28"/>
  <c r="I74" i="28" s="1"/>
  <c r="E74" i="28"/>
  <c r="F74" i="28" s="1"/>
  <c r="H73" i="28"/>
  <c r="I73" i="28" s="1"/>
  <c r="E73" i="28"/>
  <c r="F73" i="28" s="1"/>
  <c r="H72" i="28"/>
  <c r="I72" i="28" s="1"/>
  <c r="E72" i="28"/>
  <c r="F72" i="28" s="1"/>
  <c r="H71" i="28"/>
  <c r="I71" i="28" s="1"/>
  <c r="E71" i="28"/>
  <c r="F71" i="28" s="1"/>
  <c r="H70" i="28"/>
  <c r="I70" i="28" s="1"/>
  <c r="E70" i="28"/>
  <c r="F70" i="28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I30" i="28"/>
  <c r="H30" i="28"/>
  <c r="E30" i="28"/>
  <c r="F30" i="28" s="1"/>
  <c r="H29" i="28"/>
  <c r="I29" i="28" s="1"/>
  <c r="E29" i="28"/>
  <c r="F29" i="28" s="1"/>
  <c r="H28" i="28"/>
  <c r="I28" i="28" s="1"/>
  <c r="E28" i="28"/>
  <c r="F28" i="28" s="1"/>
  <c r="I27" i="28"/>
  <c r="H27" i="28"/>
  <c r="E27" i="28"/>
  <c r="F27" i="28" s="1"/>
  <c r="H26" i="28"/>
  <c r="I26" i="28" s="1"/>
  <c r="E26" i="28"/>
  <c r="F26" i="28" s="1"/>
  <c r="H25" i="28"/>
  <c r="I25" i="28" s="1"/>
  <c r="E25" i="28"/>
  <c r="F25" i="28" s="1"/>
  <c r="I24" i="28"/>
  <c r="H24" i="28"/>
  <c r="E24" i="28"/>
  <c r="F24" i="28" s="1"/>
  <c r="H23" i="28"/>
  <c r="I23" i="28" s="1"/>
  <c r="E23" i="28"/>
  <c r="F23" i="28" s="1"/>
  <c r="H22" i="28"/>
  <c r="I22" i="28" s="1"/>
  <c r="E22" i="28"/>
  <c r="F22" i="28" s="1"/>
  <c r="I21" i="28"/>
  <c r="H21" i="28"/>
  <c r="E21" i="28"/>
  <c r="F21" i="28" s="1"/>
  <c r="H20" i="28"/>
  <c r="I20" i="28" s="1"/>
  <c r="E20" i="28"/>
  <c r="F20" i="28" s="1"/>
  <c r="H19" i="28"/>
  <c r="I19" i="28" s="1"/>
  <c r="E19" i="28"/>
  <c r="F19" i="28" s="1"/>
  <c r="I18" i="28"/>
  <c r="H18" i="28"/>
  <c r="E18" i="28"/>
  <c r="F18" i="28" s="1"/>
  <c r="H17" i="28"/>
  <c r="I17" i="28" s="1"/>
  <c r="E17" i="28"/>
  <c r="F17" i="28" s="1"/>
  <c r="H16" i="28"/>
  <c r="I16" i="28" s="1"/>
  <c r="E16" i="28"/>
  <c r="F16" i="28" s="1"/>
  <c r="I15" i="28"/>
  <c r="H15" i="28"/>
  <c r="E15" i="28"/>
  <c r="F15" i="28" s="1"/>
  <c r="H14" i="28"/>
  <c r="I14" i="28" s="1"/>
  <c r="E14" i="28"/>
  <c r="F14" i="28" s="1"/>
  <c r="H13" i="28"/>
  <c r="I13" i="28" s="1"/>
  <c r="E13" i="28"/>
  <c r="F13" i="28" s="1"/>
  <c r="I12" i="28"/>
  <c r="H12" i="28"/>
  <c r="E12" i="28"/>
  <c r="F12" i="28" s="1"/>
  <c r="H11" i="28"/>
  <c r="I11" i="28" s="1"/>
  <c r="E11" i="28"/>
  <c r="F11" i="28" s="1"/>
  <c r="H10" i="28"/>
  <c r="I10" i="28" s="1"/>
  <c r="E10" i="28"/>
  <c r="F10" i="28" s="1"/>
  <c r="I9" i="28"/>
  <c r="H9" i="28"/>
  <c r="E9" i="28"/>
  <c r="F9" i="28" s="1"/>
  <c r="H8" i="28"/>
  <c r="I8" i="28" s="1"/>
  <c r="E8" i="28"/>
  <c r="F8" i="28" s="1"/>
  <c r="H7" i="28"/>
  <c r="I7" i="28" s="1"/>
  <c r="E7" i="28"/>
  <c r="F7" i="28" s="1"/>
  <c r="I6" i="28"/>
  <c r="H6" i="28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I78" i="27"/>
  <c r="H78" i="27"/>
  <c r="E78" i="27"/>
  <c r="F78" i="27" s="1"/>
  <c r="H77" i="27"/>
  <c r="I77" i="27" s="1"/>
  <c r="F77" i="27"/>
  <c r="E77" i="27"/>
  <c r="H76" i="27"/>
  <c r="I76" i="27" s="1"/>
  <c r="E76" i="27"/>
  <c r="F76" i="27" s="1"/>
  <c r="I75" i="27"/>
  <c r="H75" i="27"/>
  <c r="E75" i="27"/>
  <c r="F75" i="27" s="1"/>
  <c r="H74" i="27"/>
  <c r="I74" i="27" s="1"/>
  <c r="F74" i="27"/>
  <c r="E74" i="27"/>
  <c r="H73" i="27"/>
  <c r="I73" i="27" s="1"/>
  <c r="E73" i="27"/>
  <c r="F73" i="27" s="1"/>
  <c r="I72" i="27"/>
  <c r="H72" i="27"/>
  <c r="E72" i="27"/>
  <c r="F72" i="27" s="1"/>
  <c r="H71" i="27"/>
  <c r="I71" i="27" s="1"/>
  <c r="F71" i="27"/>
  <c r="E71" i="27"/>
  <c r="H70" i="27"/>
  <c r="I70" i="27" s="1"/>
  <c r="E70" i="27"/>
  <c r="F70" i="27" s="1"/>
  <c r="I69" i="27"/>
  <c r="H69" i="27"/>
  <c r="E69" i="27"/>
  <c r="F69" i="27" s="1"/>
  <c r="H68" i="27"/>
  <c r="I68" i="27" s="1"/>
  <c r="F68" i="27"/>
  <c r="E68" i="27"/>
  <c r="H67" i="27"/>
  <c r="I67" i="27" s="1"/>
  <c r="E67" i="27"/>
  <c r="F67" i="27" s="1"/>
  <c r="I66" i="27"/>
  <c r="H66" i="27"/>
  <c r="E66" i="27"/>
  <c r="F66" i="27" s="1"/>
  <c r="H65" i="27"/>
  <c r="I65" i="27" s="1"/>
  <c r="F65" i="27"/>
  <c r="E65" i="27"/>
  <c r="H64" i="27"/>
  <c r="I64" i="27" s="1"/>
  <c r="E64" i="27"/>
  <c r="F64" i="27" s="1"/>
  <c r="I63" i="27"/>
  <c r="H63" i="27"/>
  <c r="E63" i="27"/>
  <c r="F63" i="27" s="1"/>
  <c r="H62" i="27"/>
  <c r="I62" i="27" s="1"/>
  <c r="F62" i="27"/>
  <c r="E62" i="27"/>
  <c r="H61" i="27"/>
  <c r="I61" i="27" s="1"/>
  <c r="E61" i="27"/>
  <c r="F61" i="27" s="1"/>
  <c r="I60" i="27"/>
  <c r="H60" i="27"/>
  <c r="E60" i="27"/>
  <c r="F60" i="27" s="1"/>
  <c r="H59" i="27"/>
  <c r="I59" i="27" s="1"/>
  <c r="F59" i="27"/>
  <c r="E59" i="27"/>
  <c r="H58" i="27"/>
  <c r="I58" i="27" s="1"/>
  <c r="E58" i="27"/>
  <c r="F58" i="27" s="1"/>
  <c r="I57" i="27"/>
  <c r="H57" i="27"/>
  <c r="E57" i="27"/>
  <c r="F57" i="27" s="1"/>
  <c r="H56" i="27"/>
  <c r="I56" i="27" s="1"/>
  <c r="F56" i="27"/>
  <c r="E56" i="27"/>
  <c r="H55" i="27"/>
  <c r="I55" i="27" s="1"/>
  <c r="E55" i="27"/>
  <c r="F55" i="27" s="1"/>
  <c r="I54" i="27"/>
  <c r="H54" i="27"/>
  <c r="E54" i="27"/>
  <c r="F54" i="27" s="1"/>
  <c r="H53" i="27"/>
  <c r="I53" i="27" s="1"/>
  <c r="F53" i="27"/>
  <c r="E53" i="27"/>
  <c r="H52" i="27"/>
  <c r="I52" i="27" s="1"/>
  <c r="E52" i="27"/>
  <c r="F52" i="27" s="1"/>
  <c r="I51" i="27"/>
  <c r="H51" i="27"/>
  <c r="E51" i="27"/>
  <c r="F51" i="27" s="1"/>
  <c r="H50" i="27"/>
  <c r="I50" i="27" s="1"/>
  <c r="F50" i="27"/>
  <c r="E50" i="27"/>
  <c r="H49" i="27"/>
  <c r="I49" i="27" s="1"/>
  <c r="E49" i="27"/>
  <c r="F49" i="27" s="1"/>
  <c r="I48" i="27"/>
  <c r="H48" i="27"/>
  <c r="E48" i="27"/>
  <c r="F48" i="27" s="1"/>
  <c r="H47" i="27"/>
  <c r="I47" i="27" s="1"/>
  <c r="F47" i="27"/>
  <c r="E47" i="27"/>
  <c r="H46" i="27"/>
  <c r="I46" i="27" s="1"/>
  <c r="E46" i="27"/>
  <c r="F46" i="27" s="1"/>
  <c r="I45" i="27"/>
  <c r="H45" i="27"/>
  <c r="E45" i="27"/>
  <c r="F45" i="27" s="1"/>
  <c r="H44" i="27"/>
  <c r="I44" i="27" s="1"/>
  <c r="F44" i="27"/>
  <c r="E44" i="27"/>
  <c r="H43" i="27"/>
  <c r="I43" i="27" s="1"/>
  <c r="E43" i="27"/>
  <c r="F43" i="27" s="1"/>
  <c r="I42" i="27"/>
  <c r="H42" i="27"/>
  <c r="E42" i="27"/>
  <c r="F42" i="27" s="1"/>
  <c r="H41" i="27"/>
  <c r="I41" i="27" s="1"/>
  <c r="F41" i="27"/>
  <c r="E41" i="27"/>
  <c r="H40" i="27"/>
  <c r="I40" i="27" s="1"/>
  <c r="E40" i="27"/>
  <c r="F40" i="27" s="1"/>
  <c r="I39" i="27"/>
  <c r="H39" i="27"/>
  <c r="E39" i="27"/>
  <c r="F39" i="27" s="1"/>
  <c r="H38" i="27"/>
  <c r="I38" i="27" s="1"/>
  <c r="F38" i="27"/>
  <c r="E38" i="27"/>
  <c r="H37" i="27"/>
  <c r="I37" i="27" s="1"/>
  <c r="E37" i="27"/>
  <c r="F37" i="27" s="1"/>
  <c r="I36" i="27"/>
  <c r="H36" i="27"/>
  <c r="E36" i="27"/>
  <c r="F36" i="27" s="1"/>
  <c r="H35" i="27"/>
  <c r="I35" i="27" s="1"/>
  <c r="F35" i="27"/>
  <c r="E35" i="27"/>
  <c r="H34" i="27"/>
  <c r="I34" i="27" s="1"/>
  <c r="E34" i="27"/>
  <c r="F34" i="27" s="1"/>
  <c r="I33" i="27"/>
  <c r="H33" i="27"/>
  <c r="E33" i="27"/>
  <c r="F33" i="27" s="1"/>
  <c r="H32" i="27"/>
  <c r="I32" i="27" s="1"/>
  <c r="F32" i="27"/>
  <c r="E32" i="27"/>
  <c r="H31" i="27"/>
  <c r="I31" i="27" s="1"/>
  <c r="E31" i="27"/>
  <c r="F31" i="27" s="1"/>
  <c r="I30" i="27"/>
  <c r="H30" i="27"/>
  <c r="E30" i="27"/>
  <c r="F30" i="27" s="1"/>
  <c r="H29" i="27"/>
  <c r="I29" i="27" s="1"/>
  <c r="F29" i="27"/>
  <c r="E29" i="27"/>
  <c r="H28" i="27"/>
  <c r="I28" i="27" s="1"/>
  <c r="E28" i="27"/>
  <c r="F28" i="27" s="1"/>
  <c r="I27" i="27"/>
  <c r="H27" i="27"/>
  <c r="E27" i="27"/>
  <c r="F27" i="27" s="1"/>
  <c r="H26" i="27"/>
  <c r="I26" i="27" s="1"/>
  <c r="F26" i="27"/>
  <c r="E26" i="27"/>
  <c r="H25" i="27"/>
  <c r="I25" i="27" s="1"/>
  <c r="E25" i="27"/>
  <c r="F25" i="27" s="1"/>
  <c r="I24" i="27"/>
  <c r="H24" i="27"/>
  <c r="E24" i="27"/>
  <c r="F24" i="27" s="1"/>
  <c r="H23" i="27"/>
  <c r="I23" i="27" s="1"/>
  <c r="F23" i="27"/>
  <c r="E23" i="27"/>
  <c r="H22" i="27"/>
  <c r="I22" i="27" s="1"/>
  <c r="E22" i="27"/>
  <c r="F22" i="27" s="1"/>
  <c r="I21" i="27"/>
  <c r="H21" i="27"/>
  <c r="E21" i="27"/>
  <c r="F21" i="27" s="1"/>
  <c r="H20" i="27"/>
  <c r="I20" i="27" s="1"/>
  <c r="F20" i="27"/>
  <c r="E20" i="27"/>
  <c r="H19" i="27"/>
  <c r="I19" i="27" s="1"/>
  <c r="E19" i="27"/>
  <c r="F19" i="27" s="1"/>
  <c r="I18" i="27"/>
  <c r="H18" i="27"/>
  <c r="E18" i="27"/>
  <c r="F18" i="27" s="1"/>
  <c r="H17" i="27"/>
  <c r="I17" i="27" s="1"/>
  <c r="F17" i="27"/>
  <c r="E17" i="27"/>
  <c r="H16" i="27"/>
  <c r="I16" i="27" s="1"/>
  <c r="E16" i="27"/>
  <c r="F16" i="27" s="1"/>
  <c r="I15" i="27"/>
  <c r="H15" i="27"/>
  <c r="E15" i="27"/>
  <c r="F15" i="27" s="1"/>
  <c r="H14" i="27"/>
  <c r="I14" i="27" s="1"/>
  <c r="F14" i="27"/>
  <c r="E14" i="27"/>
  <c r="H13" i="27"/>
  <c r="I13" i="27" s="1"/>
  <c r="E13" i="27"/>
  <c r="F13" i="27" s="1"/>
  <c r="I12" i="27"/>
  <c r="H12" i="27"/>
  <c r="E12" i="27"/>
  <c r="F12" i="27" s="1"/>
  <c r="H11" i="27"/>
  <c r="I11" i="27" s="1"/>
  <c r="F11" i="27"/>
  <c r="E11" i="27"/>
  <c r="H10" i="27"/>
  <c r="I10" i="27" s="1"/>
  <c r="E10" i="27"/>
  <c r="F10" i="27" s="1"/>
  <c r="I9" i="27"/>
  <c r="H9" i="27"/>
  <c r="E9" i="27"/>
  <c r="F9" i="27" s="1"/>
  <c r="H8" i="27"/>
  <c r="I8" i="27" s="1"/>
  <c r="F8" i="27"/>
  <c r="E8" i="27"/>
  <c r="H7" i="27"/>
  <c r="I7" i="27" s="1"/>
  <c r="E7" i="27"/>
  <c r="F7" i="27" s="1"/>
  <c r="I6" i="27"/>
  <c r="H6" i="27"/>
  <c r="E6" i="27"/>
  <c r="F6" i="27" s="1"/>
  <c r="H5" i="27"/>
  <c r="I5" i="27" s="1"/>
  <c r="F5" i="27"/>
  <c r="E5" i="27"/>
  <c r="H4" i="27"/>
  <c r="I4" i="27" s="1"/>
  <c r="E4" i="27"/>
  <c r="F4" i="27" s="1"/>
  <c r="B4" i="27" a="1"/>
  <c r="B4" i="27" s="1"/>
  <c r="A4" i="27" a="1"/>
  <c r="A4" i="27" s="1"/>
  <c r="H78" i="26"/>
  <c r="I78" i="26" s="1"/>
  <c r="E78" i="26"/>
  <c r="F78" i="26" s="1"/>
  <c r="H77" i="26"/>
  <c r="I77" i="26" s="1"/>
  <c r="E77" i="26"/>
  <c r="F77" i="26" s="1"/>
  <c r="H76" i="26"/>
  <c r="I76" i="26" s="1"/>
  <c r="E76" i="26"/>
  <c r="F76" i="26" s="1"/>
  <c r="H75" i="26"/>
  <c r="I75" i="26" s="1"/>
  <c r="E75" i="26"/>
  <c r="F75" i="26" s="1"/>
  <c r="H74" i="26"/>
  <c r="I74" i="26" s="1"/>
  <c r="E74" i="26"/>
  <c r="F74" i="26" s="1"/>
  <c r="H73" i="26"/>
  <c r="I73" i="26" s="1"/>
  <c r="E73" i="26"/>
  <c r="F73" i="26" s="1"/>
  <c r="H72" i="26"/>
  <c r="I72" i="26" s="1"/>
  <c r="E72" i="26"/>
  <c r="F72" i="26" s="1"/>
  <c r="H71" i="26"/>
  <c r="I71" i="26" s="1"/>
  <c r="E71" i="26"/>
  <c r="F71" i="26" s="1"/>
  <c r="H70" i="26"/>
  <c r="I70" i="26" s="1"/>
  <c r="E70" i="26"/>
  <c r="F70" i="26" s="1"/>
  <c r="H69" i="26"/>
  <c r="I69" i="26" s="1"/>
  <c r="E69" i="26"/>
  <c r="F69" i="26" s="1"/>
  <c r="H68" i="26"/>
  <c r="I68" i="26" s="1"/>
  <c r="E68" i="26"/>
  <c r="F68" i="26" s="1"/>
  <c r="H67" i="26"/>
  <c r="I67" i="26" s="1"/>
  <c r="E67" i="26"/>
  <c r="F67" i="26" s="1"/>
  <c r="H66" i="26"/>
  <c r="I66" i="26" s="1"/>
  <c r="E66" i="26"/>
  <c r="F66" i="26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E77" i="21"/>
  <c r="F77" i="21" s="1"/>
  <c r="H76" i="21"/>
  <c r="I76" i="21" s="1"/>
  <c r="E76" i="21"/>
  <c r="F76" i="21" s="1"/>
  <c r="H75" i="21"/>
  <c r="I75" i="21" s="1"/>
  <c r="E75" i="21"/>
  <c r="F75" i="21" s="1"/>
  <c r="H74" i="21"/>
  <c r="I74" i="21" s="1"/>
  <c r="E74" i="21"/>
  <c r="F74" i="21" s="1"/>
  <c r="H73" i="21"/>
  <c r="I73" i="21" s="1"/>
  <c r="E73" i="21"/>
  <c r="F73" i="21" s="1"/>
  <c r="H72" i="21"/>
  <c r="I72" i="21" s="1"/>
  <c r="E72" i="21"/>
  <c r="F72" i="21" s="1"/>
  <c r="H71" i="21"/>
  <c r="I71" i="21" s="1"/>
  <c r="E71" i="21"/>
  <c r="F71" i="21" s="1"/>
  <c r="H70" i="21"/>
  <c r="I70" i="21" s="1"/>
  <c r="E70" i="21"/>
  <c r="F70" i="21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D8" i="30" s="1"/>
  <c r="E8" i="30" s="1"/>
  <c r="B11" i="30"/>
  <c r="G11" i="30" s="1"/>
  <c r="H11" i="30" s="1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G9" i="30" s="1"/>
  <c r="H9" i="30" s="1"/>
  <c r="G7" i="30"/>
  <c r="H7" i="30" s="1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7" i="18" l="1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<sst xmlns="http://schemas.openxmlformats.org/spreadsheetml/2006/main" count="656" uniqueCount="264">
  <si>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</si>
  <si>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</si>
  <si>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</si>
  <si>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</si>
  <si>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</si>
  <si>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</si>
  <si>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</si>
  <si>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</si>
  <si>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</si>
  <si>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</si>
  <si>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</si>
  <si>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</si>
  <si>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</si>
  <si>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</si>
  <si>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</si>
  <si>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</si>
  <si>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</si>
  <si>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</si>
  <si>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</si>
  <si>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</si>
  <si>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</si>
  <si>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</si>
  <si>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</si>
  <si>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</si>
  <si>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</si>
  <si>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</si>
  <si>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</si>
  <si>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</si>
  <si>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</si>
  <si>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</si>
  <si>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</si>
  <si>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</si>
  <si>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</si>
  <si>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</si>
  <si>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</si>
  <si>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</si>
  <si>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</si>
  <si>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</si>
  <si>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</si>
  <si>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</si>
  <si>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</si>
  <si>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</si>
  <si>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</si>
  <si>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</si>
  <si>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</si>
  <si>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</si>
  <si>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</si>
  <si>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</si>
  <si>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</si>
  <si>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</si>
  <si>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</si>
  <si>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</si>
  <si>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</si>
  <si>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</si>
  <si>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</si>
  <si>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</si>
  <si>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</si>
  <si>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</si>
  <si>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</si>
  <si>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</si>
  <si>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</si>
  <si>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</si>
  <si>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</si>
  <si>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</si>
  <si>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</si>
  <si>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</si>
  <si>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</si>
  <si>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</si>
  <si>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</si>
  <si>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</si>
  <si>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</si>
  <si>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</si>
  <si>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</si>
  <si>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 xml:space="preserve">1. Site is offline from 04/01 &amp; back online at 04/26 at 15:00. </t>
  </si>
  <si>
    <t>1. Site stopped communicating on 03/14 at 07:00. Cannot verify production</t>
  </si>
  <si>
    <t>1. SR081942</t>
  </si>
  <si>
    <t xml:space="preserve">1. Site production is  droping consistently from the mid of the day.  </t>
  </si>
  <si>
    <t>1.SR081410</t>
  </si>
  <si>
    <t>1. Utill 04/19 all inverters were producing 0.8 kW except 2, which began operating at rated capacity from 04/18 and Inverter 10 is offline since 04/27</t>
  </si>
  <si>
    <t>1.SR078173</t>
  </si>
  <si>
    <t>1. Production meter reporting less than actual production due to phase A voltage dropping to zero throughout the month</t>
  </si>
  <si>
    <t>1. SR075812</t>
  </si>
  <si>
    <t xml:space="preserve">1. Inverter 2 tripped offline on 04/11 at 12:30, came back online at 15:00, and started derating untill 04/29. </t>
  </si>
  <si>
    <t>1.SR078163</t>
  </si>
  <si>
    <t xml:space="preserve">1. Inverter 3 is underperforming ~16kW till 04/14. </t>
  </si>
  <si>
    <t xml:space="preserve">1.Site was offline from 06/02/2023 to 04/16/2024, but inverters 1 &amp; 2 remainied offline even after the site resumed. </t>
  </si>
  <si>
    <t xml:space="preserve">1. Site was offline from 06/02/2023 to 04/02/2024, but inverters 4 remainied offline till 04/17 &amp; started underproducing till 04/28. </t>
  </si>
  <si>
    <t xml:space="preserve">1. Site was offline from 06/02/2023 to 04/10/2024. But Inverters 1, 3 &amp; 5 remained offline till 04/18 and came online on 04/19 at 11:00 am &amp; inverter 4 tripped offline on 04/19 at 10:00 am &amp; continued. </t>
  </si>
  <si>
    <t>1.SR078160</t>
  </si>
  <si>
    <t xml:space="preserve">1. Inverter 2,3 &amp; 5 are underperforming throughout the month. </t>
  </si>
  <si>
    <t>May Actual v. Expected</t>
  </si>
  <si>
    <t>May Actual v. Forecasted</t>
  </si>
  <si>
    <t>1. Inverters 2,4 &amp; 9 are underperforming approximately 4kW each compared to peers possibly string down from 05/13</t>
  </si>
  <si>
    <t>1. SR084620</t>
  </si>
  <si>
    <t>1. Intermittent meter phase C/power factor issue slightly impacting reported energy production</t>
  </si>
  <si>
    <t>1. SR077700</t>
  </si>
  <si>
    <t>1. Site production is dropping consistently from the mid of the day due to fan fault.</t>
  </si>
  <si>
    <t xml:space="preserve">1. Inverter 10 is offline from 04/27 to 05/17 and inverter 2 is offline since 05/16
</t>
  </si>
  <si>
    <t>1. Production meter reporting low production due to phase A voltage dropped to zero from 04/27</t>
  </si>
  <si>
    <t>1. Inverter 2 is derating by 25kW from 05/11/2024. Inverter 8 is underperforming approximately 50kW compared to its peers from 05/10/2024.
2. Inverter 17 is derating by 75kW from 05/28/2024.</t>
  </si>
  <si>
    <t>1. SR084558
2. SR085239</t>
  </si>
  <si>
    <t>1. Inverters 1 and 2 are offline from 05/01 to 05/20.</t>
  </si>
  <si>
    <t xml:space="preserve"> </t>
  </si>
  <si>
    <t>1. Inverter 4 is offline from 04/19 to 05/21.</t>
  </si>
  <si>
    <t>June Actual v. Expected</t>
  </si>
  <si>
    <t>June Actual v. Forecasted</t>
  </si>
  <si>
    <t>1. Site offline from 14:45 on 06/28 due to fire accident
2. Inverters 2,4 &amp; 9 are underperforming approximately 4kW each compared to peers possibly string down from 05/13</t>
  </si>
  <si>
    <t>1. 	SR087113
2.  SR084620</t>
  </si>
  <si>
    <t>1. Inverter 13 is underperforming by 5kW compared to peers possibly string down
2. Weather station reporting zero value from 05/24 due to that expected value is reporting zero</t>
  </si>
  <si>
    <t>1. SR086520
2. SR087337</t>
  </si>
  <si>
    <t>1. Inverter 5 is underperforming approximately 20kW compared to peers possibly string down</t>
  </si>
  <si>
    <t>1. 	SR085492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</si>
  <si>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</si>
  <si>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</si>
  <si>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</si>
  <si>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</si>
  <si>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</si>
  <si>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</si>
  <si>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</si>
  <si>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</si>
  <si>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</si>
  <si>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</si>
  <si>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</si>
  <si>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</si>
  <si>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</si>
  <si>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</si>
  <si>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</si>
  <si>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</si>
  <si>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</si>
  <si>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</si>
  <si>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</si>
  <si>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</si>
  <si>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</si>
  <si>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</si>
  <si>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</si>
  <si>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</si>
  <si>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</si>
  <si>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</si>
  <si>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</si>
  <si>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</si>
  <si>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</si>
  <si>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</si>
  <si>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</si>
  <si>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</si>
  <si>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</si>
  <si>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</si>
  <si>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</si>
  <si>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</si>
  <si>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</si>
  <si>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</si>
  <si>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</si>
  <si>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</si>
  <si>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</si>
  <si>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</si>
  <si>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</si>
  <si>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</si>
  <si>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</si>
  <si>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</si>
  <si>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</si>
  <si>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</si>
  <si>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</si>
  <si>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</si>
  <si>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</si>
  <si>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</si>
  <si>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</si>
  <si>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</si>
  <si>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</si>
  <si>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</si>
  <si>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</si>
  <si>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</si>
  <si>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</si>
  <si>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</si>
  <si>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</si>
  <si>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- East</t>
  </si>
  <si>
    <t>W. Des Moines Campus EAST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</si>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</sst>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/>
    <xf numFmtId="43" fontId="2" fillId="0" borderId="0" applyFont="0" applyFill="0" applyBorder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3" fontId="23" fillId="36" borderId="1" xfId="0" applyNumberFormat="1" applyFont="1" applyFill="1" applyBorder="1" applyAlignment="1">
      <alignment horizontal="center" vertical="center"/>
    </xf>
    <xf numFmtId="9" fontId="23" fillId="36" borderId="1" xfId="0" applyNumberFormat="1" applyFont="1" applyFill="1" applyBorder="1" applyAlignment="1">
      <alignment horizontal="center" vertical="center"/>
    </xf>
    <xf numFmtId="3" fontId="23" fillId="36" borderId="1" xfId="1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49" fontId="26" fillId="40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4" fontId="26" fillId="0" borderId="0" xfId="1" applyNumberFormat="1" applyFont="1" applyBorder="1" applyAlignment="1">
      <alignment horizontal="center" vertical="center"/>
    </xf>
    <xf numFmtId="3" fontId="28" fillId="3" borderId="0" xfId="0" applyNumberFormat="1" applyFont="1" applyFill="1" applyAlignment="1">
      <alignment horizontal="right" vertical="center"/>
    </xf>
    <xf numFmtId="9" fontId="28" fillId="3" borderId="0" xfId="2" applyFont="1" applyFill="1" applyBorder="1" applyAlignment="1">
      <alignment horizontal="center" vertical="center"/>
    </xf>
    <xf numFmtId="3" fontId="28" fillId="4" borderId="0" xfId="1" applyNumberFormat="1" applyFont="1" applyFill="1" applyBorder="1" applyAlignment="1">
      <alignment vertical="center"/>
    </xf>
    <xf numFmtId="9" fontId="28" fillId="37" borderId="0" xfId="2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center" vertical="center"/>
    </xf>
    <xf numFmtId="3" fontId="28" fillId="0" borderId="0" xfId="1" applyNumberFormat="1" applyFont="1" applyFill="1" applyBorder="1" applyAlignment="1">
      <alignment vertical="center"/>
    </xf>
    <xf numFmtId="0" fontId="30" fillId="0" borderId="0" xfId="0" applyFont="1"/>
    <xf numFmtId="9" fontId="29" fillId="0" borderId="0" xfId="2" applyFont="1" applyAlignment="1">
      <alignment horizontal="center"/>
    </xf>
    <xf numFmtId="0" fontId="27" fillId="43" borderId="1" xfId="0" applyFont="1" applyFill="1" applyBorder="1" applyAlignment="1">
      <alignment horizontal="center" vertical="center" wrapText="1"/>
    </xf>
    <xf numFmtId="164" fontId="26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7" fillId="2" borderId="11" xfId="0" applyFont="1" applyFill="1" applyBorder="1" applyAlignment="1">
      <alignment horizontal="center" vertical="center" wrapText="1"/>
    </xf>
    <xf numFmtId="0" fontId="25" fillId="40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40" borderId="0" xfId="0" applyFont="1" applyFill="1" applyAlignment="1">
      <alignment horizontal="center"/>
    </xf>
    <xf numFmtId="0" fontId="28" fillId="0" borderId="0" xfId="0" applyFont="1"/>
    <xf numFmtId="0" fontId="23" fillId="0" borderId="0" xfId="0" applyFont="1"/>
    <xf numFmtId="0" fontId="22" fillId="41" borderId="1" xfId="0" applyFont="1" applyFill="1" applyBorder="1" applyAlignment="1">
      <alignment horizontal="center" vertical="center" wrapText="1"/>
    </xf>
    <xf numFmtId="9" fontId="22" fillId="41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/>
    </xf>
    <xf numFmtId="0" fontId="22" fillId="42" borderId="1" xfId="0" applyFont="1" applyFill="1" applyBorder="1" applyAlignment="1">
      <alignment horizontal="center" vertical="center" wrapText="1"/>
    </xf>
    <xf numFmtId="9" fontId="22" fillId="42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/>
    </xf>
    <xf numFmtId="49" fontId="28" fillId="38" borderId="0" xfId="2" applyNumberFormat="1" applyFont="1" applyFill="1" applyBorder="1" applyAlignment="1">
      <alignment vertical="top" wrapText="1"/>
    </xf>
    <xf numFmtId="49" fontId="26" fillId="0" borderId="0" xfId="0" applyNumberFormat="1" applyFont="1" applyAlignment="1">
      <alignment vertical="center" wrapText="1"/>
    </xf>
    <xf numFmtId="49" fontId="25" fillId="0" borderId="0" xfId="0" applyNumberFormat="1" applyFont="1" applyAlignment="1">
      <alignment vertical="center" wrapText="1"/>
    </xf>
    <xf numFmtId="0" fontId="22" fillId="39" borderId="1" xfId="0" applyFont="1" applyFill="1" applyBorder="1" applyAlignment="1">
      <alignment horizontal="center" vertical="center"/>
    </xf>
    <xf numFmtId="0" fontId="2" fillId="0" borderId="0" xfId="0" applyFont="1"/>
    <xf numFmtId="164" fontId="26" fillId="44" borderId="0" xfId="1" applyNumberFormat="1" applyFont="1" applyFill="1" applyBorder="1" applyAlignment="1">
      <alignment horizontal="center" vertical="center" indent="1"/>
    </xf>
    <xf numFmtId="0" fontId="33" fillId="46" borderId="15" xfId="0" applyFont="1" applyFill="1" applyBorder="1"/>
    <xf numFmtId="0" fontId="33" fillId="0" borderId="0" xfId="0" applyFont="1"/>
    <xf numFmtId="0" fontId="33" fillId="46" borderId="0" xfId="0" applyFont="1" applyFill="1"/>
    <xf numFmtId="0" fontId="33" fillId="0" borderId="16" xfId="0" applyFont="1" applyBorder="1"/>
    <xf numFmtId="0" fontId="33" fillId="46" borderId="16" xfId="0" applyFont="1" applyFill="1" applyBorder="1"/>
    <xf numFmtId="0" fontId="33" fillId="0" borderId="16" xfId="0" applyFont="1" applyBorder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6" fillId="0" borderId="0" xfId="1" applyNumberFormat="1" applyFont="1" applyFill="1" applyBorder="1" applyAlignment="1">
      <alignment horizontal="center" vertical="center"/>
    </xf>
    <xf numFmtId="164" fontId="26" fillId="47" borderId="0" xfId="1" applyNumberFormat="1" applyFont="1" applyFill="1" applyBorder="1" applyAlignment="1">
      <alignment horizontal="center" vertical="center"/>
    </xf>
    <xf numFmtId="49" fontId="35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top" wrapText="1"/>
    </xf>
    <xf numFmtId="49" fontId="25" fillId="0" borderId="0" xfId="0" applyNumberFormat="1" applyFon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164" fontId="26" fillId="44" borderId="0" xfId="1" applyNumberFormat="1" applyFont="1" applyFill="1" applyAlignment="1">
      <alignment horizontal="center" vertical="center"/>
    </xf>
    <xf numFmtId="164" fontId="26" fillId="48" borderId="0" xfId="1" applyNumberFormat="1" applyFont="1" applyFill="1" applyBorder="1" applyAlignment="1">
      <alignment horizontal="center" vertical="center"/>
    </xf>
    <xf numFmtId="9" fontId="28" fillId="3" borderId="0" xfId="2" applyFont="1" applyFill="1" applyAlignment="1">
      <alignment horizontal="center" vertical="center"/>
    </xf>
    <xf numFmtId="49" fontId="28" fillId="38" borderId="0" xfId="2" applyNumberFormat="1" applyFont="1" applyFill="1" applyAlignment="1">
      <alignment vertical="top" wrapText="1"/>
    </xf>
    <xf numFmtId="49" fontId="28" fillId="38" borderId="0" xfId="2" applyNumberFormat="1" applyFont="1" applyFill="1" applyBorder="1" applyAlignment="1">
      <alignment horizontal="left" vertical="top" wrapText="1"/>
    </xf>
    <xf numFmtId="49" fontId="28" fillId="38" borderId="0" xfId="2" applyNumberFormat="1" applyFont="1" applyFill="1" applyAlignment="1">
      <alignment horizontal="left" vertical="top" wrapText="1"/>
    </xf>
    <xf numFmtId="0" fontId="3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5" totalsRowShown="0">
  <autoFilter ref="A3:E65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B11" sqref="B11"/>
      <selection pane="bottomLeft"/>
      <selection pane="topRight"/>
    </sheetView>
  </sheetViews>
  <sheetFormatPr defaultRowHeight="13.1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68" t="str" cm="1">
        <f t="array" ref="A1">portfolio</f>
        <v>Wells Fargo</v>
      </c>
      <c r="B1" s="68"/>
      <c r="C1" s="69" t="s">
        <v>0</v>
      </c>
      <c r="D1" s="69"/>
      <c r="E1" s="69"/>
      <c r="F1" s="67" t="s">
        <v>1</v>
      </c>
      <c r="G1" s="67"/>
      <c r="H1" s="67"/>
    </row>
    <row r="2" spans="1:8" ht="19.5" customHeight="1">
      <c r="A2" s="42" t="s">
        <v>2</v>
      </c>
      <c r="B2" s="4">
        <f>SUM(B4:B94)</f>
        <v>6084260.8589286394</v>
      </c>
      <c r="C2" s="4">
        <f>SUM(C4:C94)</f>
        <v>6101784.3868000004</v>
      </c>
      <c r="D2" s="4">
        <f>B2-C2</f>
        <v>-17523.527871361002</v>
      </c>
      <c r="E2" s="5">
        <f>IFERROR(D2/C2, 0)</f>
        <v>-2.8718694009033942E-3</v>
      </c>
      <c r="F2" s="4">
        <f>SUM(F4:F94)</f>
        <v>7778331.0326000005</v>
      </c>
      <c r="G2" s="6">
        <f>B2-F2</f>
        <v>-1694070.1736713611</v>
      </c>
      <c r="H2" s="5">
        <f>IFERROR(G2/F2, 0)</f>
        <v>-0.21779353007364843</v>
      </c>
    </row>
    <row r="3" spans="1:8" ht="14.25" customHeight="1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SUM('1st Qtr'!B4, '2nd Qtr'!B4, '3rd Qtr'!B4, '4th Qtr'!B4)</f>
        <v>275630.62416919484</v>
      </c>
      <c r="C4" s="11">
        <f>SUM('1st Qtr'!C4, '2nd Qtr'!C4, '3rd Qtr'!C4, '4th Qtr'!C4)</f>
        <v>246504.03999999998</v>
      </c>
      <c r="D4" s="11">
        <f>IF(AND(ISNUMBER($B4),ISNUMBER(C4)), $B4-C4, "")</f>
        <v>29126.584169194859</v>
      </c>
      <c r="E4" s="12">
        <f>IFERROR(D4/C4, "")</f>
        <v>0.11815864830935371</v>
      </c>
      <c r="F4" s="13">
        <f>SUM('1st Qtr'!F4, '2nd Qtr'!F4, '3rd Qtr'!F4, '4th Qtr'!F4)</f>
        <v>250729.57500000001</v>
      </c>
      <c r="G4" s="13">
        <f>IF(AND(ISNUMBER($B4),ISNUMBER(F4)), $B4-F4, "")</f>
        <v>24901.049169194826</v>
      </c>
      <c r="H4" s="14">
        <f>IFERROR(G4/F4, "")</f>
        <v>9.9314367557934977E-2</v>
      </c>
    </row>
    <row r="5" spans="1:8" ht="15.6">
      <c r="A5" s="28" t="str">
        <v>CO</v>
      </c>
      <c r="B5" s="10">
        <f>SUM('1st Qtr'!B5, '2nd Qtr'!B5, '3rd Qtr'!B5, '4th Qtr'!B5)</f>
        <v>140206.60325611412</v>
      </c>
      <c r="C5" s="16">
        <f>SUM('1st Qtr'!C5, '2nd Qtr'!C5, '3rd Qtr'!C5, '4th Qtr'!C5)</f>
        <v>0</v>
      </c>
      <c r="D5" s="16">
        <f>IF(AND(ISNUMBER($B5),ISNUMBER(C5)), $B5-C5, "")</f>
        <v>140206.60325611412</v>
      </c>
      <c r="E5" s="17" t="str">
        <f>IFERROR(D5/C5, "")</f>
        <v/>
      </c>
      <c r="F5" s="18">
        <f>SUM('1st Qtr'!F5, '2nd Qtr'!F5, '3rd Qtr'!F5, '4th Qtr'!F5)</f>
        <v>146722.95199999999</v>
      </c>
      <c r="G5" s="18">
        <f>IF(AND(ISNUMBER($B5),ISNUMBER(F5)), $B5-F5, "")</f>
        <v>-6516.348743885872</v>
      </c>
      <c r="H5" s="17">
        <f>IFERROR(G5/F5, "")</f>
        <v>-4.4412606583091867E-2</v>
      </c>
    </row>
    <row r="6" spans="1:8" ht="15.6">
      <c r="A6" s="26" t="str">
        <v>CT</v>
      </c>
      <c r="B6" s="22">
        <f>SUM('1st Qtr'!B6, '2nd Qtr'!B6, '3rd Qtr'!B6, '4th Qtr'!B6)</f>
        <v>6479.1230086224059</v>
      </c>
      <c r="C6" s="11">
        <f>SUM('1st Qtr'!C6, '2nd Qtr'!C6, '3rd Qtr'!C6, '4th Qtr'!C6)</f>
        <v>8235.4596999999994</v>
      </c>
      <c r="D6" s="11">
        <f t="shared" ref="D6:D11" si="0">IF(AND(ISNUMBER($B6),ISNUMBER(C6)), $B6-C6, "")</f>
        <v>-1756.3366913775935</v>
      </c>
      <c r="E6" s="12">
        <f t="shared" ref="E6:E11" si="1">IFERROR(D6/C6, "")</f>
        <v>-0.21326516738071022</v>
      </c>
      <c r="F6" s="13">
        <f>SUM('1st Qtr'!F6, '2nd Qtr'!F6, '3rd Qtr'!F6, '4th Qtr'!F6)</f>
        <v>8937.6081000000013</v>
      </c>
      <c r="G6" s="13">
        <f t="shared" ref="G6:G11" si="2">IF(AND(ISNUMBER($B6),ISNUMBER(F6)), $B6-F6, "")</f>
        <v>-2458.4850913775954</v>
      </c>
      <c r="H6" s="14">
        <f t="shared" ref="H6:H11" si="3">IFERROR(G6/F6, "")</f>
        <v>-0.27507192795548902</v>
      </c>
    </row>
    <row r="7" spans="1:8" ht="15.6">
      <c r="A7" s="28" t="str">
        <v>FL</v>
      </c>
      <c r="B7" s="10">
        <f>SUM('1st Qtr'!B7, '2nd Qtr'!B7, '3rd Qtr'!B7, '4th Qtr'!B7)</f>
        <v>5803.340732145276</v>
      </c>
      <c r="C7" s="16">
        <f>SUM('1st Qtr'!C7, '2nd Qtr'!C7, '3rd Qtr'!C7, '4th Qtr'!C7)</f>
        <v>22371.514999999999</v>
      </c>
      <c r="D7" s="16">
        <f t="shared" si="0"/>
        <v>-16568.174267854723</v>
      </c>
      <c r="E7" s="17">
        <f t="shared" si="1"/>
        <v>-0.74059241262179709</v>
      </c>
      <c r="F7" s="18">
        <f>SUM('1st Qtr'!F7, '2nd Qtr'!F7, '3rd Qtr'!F7, '4th Qtr'!F7)</f>
        <v>28414.661</v>
      </c>
      <c r="G7" s="18">
        <f t="shared" si="2"/>
        <v>-22611.320267854724</v>
      </c>
      <c r="H7" s="17">
        <f t="shared" si="3"/>
        <v>-0.79576245051294903</v>
      </c>
    </row>
    <row r="8" spans="1:8" ht="15.6">
      <c r="A8" s="26" t="str">
        <v>IA</v>
      </c>
      <c r="B8" s="22">
        <f>SUM('1st Qtr'!B8, '2nd Qtr'!B8, '3rd Qtr'!B8, '4th Qtr'!B8)</f>
        <v>1440274.02</v>
      </c>
      <c r="C8" s="11">
        <f>SUM('1st Qtr'!C8, '2nd Qtr'!C8, '3rd Qtr'!C8, '4th Qtr'!C8)</f>
        <v>1391527.574</v>
      </c>
      <c r="D8" s="11">
        <f t="shared" si="0"/>
        <v>48746.445999999996</v>
      </c>
      <c r="E8" s="12">
        <f t="shared" si="1"/>
        <v>3.5030887573342467E-2</v>
      </c>
      <c r="F8" s="13">
        <f>SUM('1st Qtr'!F8, '2nd Qtr'!F8, '3rd Qtr'!F8, '4th Qtr'!F8)</f>
        <v>1498874.027</v>
      </c>
      <c r="G8" s="13">
        <f t="shared" si="2"/>
        <v>-58600.006999999983</v>
      </c>
      <c r="H8" s="14">
        <f t="shared" si="3"/>
        <v>-3.9096018707648193E-2</v>
      </c>
    </row>
    <row r="9" spans="1:8" ht="15.6">
      <c r="A9" s="28" t="str">
        <v>NC</v>
      </c>
      <c r="B9" s="10">
        <f>SUM('1st Qtr'!B9, '2nd Qtr'!B9, '3rd Qtr'!B9, '4th Qtr'!B9)</f>
        <v>1118312</v>
      </c>
      <c r="C9" s="16">
        <f>SUM('1st Qtr'!C9, '2nd Qtr'!C9, '3rd Qtr'!C9, '4th Qtr'!C9)</f>
        <v>1126287.3640000001</v>
      </c>
      <c r="D9" s="16">
        <f t="shared" si="0"/>
        <v>-7975.3640000000596</v>
      </c>
      <c r="E9" s="17">
        <f t="shared" si="1"/>
        <v>-7.0811093641995788E-3</v>
      </c>
      <c r="F9" s="18">
        <f>SUM('1st Qtr'!F9, '2nd Qtr'!F9, '3rd Qtr'!F9, '4th Qtr'!F9)</f>
        <v>1517654.1</v>
      </c>
      <c r="G9" s="18">
        <f t="shared" si="2"/>
        <v>-399342.10000000009</v>
      </c>
      <c r="H9" s="17">
        <f t="shared" si="3"/>
        <v>-0.26313117066662295</v>
      </c>
    </row>
    <row r="10" spans="1:8" ht="15.6">
      <c r="A10" s="26" t="str">
        <v>NJ</v>
      </c>
      <c r="B10" s="22">
        <f>SUM('1st Qtr'!B10, '2nd Qtr'!B10, '3rd Qtr'!B10, '4th Qtr'!B10)</f>
        <v>430245.58004256256</v>
      </c>
      <c r="C10" s="11">
        <f>SUM('1st Qtr'!C10, '2nd Qtr'!C10, '3rd Qtr'!C10, '4th Qtr'!C10)</f>
        <v>430948.48609999998</v>
      </c>
      <c r="D10" s="11">
        <f t="shared" si="0"/>
        <v>-702.90605743741617</v>
      </c>
      <c r="E10" s="12">
        <f t="shared" si="1"/>
        <v>-1.6310674711926228E-3</v>
      </c>
      <c r="F10" s="13">
        <f>SUM('1st Qtr'!F10, '2nd Qtr'!F10, '3rd Qtr'!F10, '4th Qtr'!F10)</f>
        <v>463917.15549999999</v>
      </c>
      <c r="G10" s="13">
        <f t="shared" si="2"/>
        <v>-33671.57545743743</v>
      </c>
      <c r="H10" s="14">
        <f t="shared" si="3"/>
        <v>-7.2581009471716834E-2</v>
      </c>
    </row>
    <row r="11" spans="1:8" ht="15.6">
      <c r="A11" s="28" t="str">
        <v>TX</v>
      </c>
      <c r="B11" s="10">
        <f>SUM('1st Qtr'!B11, '2nd Qtr'!B11, '3rd Qtr'!B11, '4th Qtr'!B11)</f>
        <v>2667309.5677200002</v>
      </c>
      <c r="C11" s="16">
        <f>SUM('1st Qtr'!C11, '2nd Qtr'!C11, '3rd Qtr'!C11, '4th Qtr'!C11)</f>
        <v>2875909.9479999999</v>
      </c>
      <c r="D11" s="16">
        <f t="shared" si="0"/>
        <v>-208600.38027999969</v>
      </c>
      <c r="E11" s="17">
        <f t="shared" si="1"/>
        <v>-7.253369683048215E-2</v>
      </c>
      <c r="F11" s="18">
        <f>SUM('1st Qtr'!F11, '2nd Qtr'!F11, '3rd Qtr'!F11, '4th Qtr'!F11)</f>
        <v>3863080.9539999999</v>
      </c>
      <c r="G11" s="18">
        <f t="shared" si="2"/>
        <v>-1195771.3862799997</v>
      </c>
      <c r="H11" s="17">
        <f t="shared" si="3"/>
        <v>-0.30953826764666859</v>
      </c>
    </row>
    <row r="12" spans="1:8" ht="12.75" customHeight="1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19"/>
      <c r="F23" s="19"/>
      <c r="G23" s="19"/>
      <c r="H23" s="19"/>
    </row>
    <row r="24" spans="1:8" ht="13.9">
      <c r="A24" s="19"/>
      <c r="B24" s="19"/>
      <c r="C24" s="19"/>
      <c r="D24" s="19"/>
      <c r="E24" s="19"/>
      <c r="F24" s="19"/>
      <c r="G24" s="19"/>
      <c r="H24" s="19"/>
    </row>
    <row r="25" spans="1:8" ht="13.9">
      <c r="A25" s="19"/>
      <c r="B25" s="19"/>
      <c r="C25" s="19"/>
      <c r="D25" s="19"/>
      <c r="E25" s="19"/>
      <c r="F25" s="19"/>
      <c r="G25" s="19"/>
      <c r="H25" s="19"/>
    </row>
    <row r="26" spans="1:8" ht="13.9">
      <c r="A26" s="19"/>
      <c r="B26" s="19"/>
      <c r="C26" s="19"/>
      <c r="D26" s="19"/>
      <c r="E26" s="19"/>
      <c r="F26" s="19"/>
      <c r="G26" s="19"/>
      <c r="H26" s="19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  <row r="333" spans="1:8" ht="13.9">
      <c r="A333" s="19"/>
      <c r="B333" s="19"/>
      <c r="C333" s="19"/>
      <c r="D333" s="19"/>
      <c r="E333" s="20"/>
      <c r="F333" s="19"/>
      <c r="G333" s="19"/>
      <c r="H333" s="20"/>
    </row>
    <row r="334" spans="1:8" ht="13.9">
      <c r="A334" s="19"/>
      <c r="B334" s="19"/>
      <c r="C334" s="19"/>
      <c r="D334" s="19"/>
      <c r="E334" s="20"/>
      <c r="F334" s="19"/>
      <c r="G334" s="19"/>
      <c r="H334" s="20"/>
    </row>
    <row r="335" spans="1:8" ht="13.9">
      <c r="A335" s="19"/>
      <c r="B335" s="19"/>
      <c r="C335" s="19"/>
      <c r="D335" s="19"/>
      <c r="E335" s="20"/>
      <c r="F335" s="19"/>
      <c r="G335" s="19"/>
      <c r="H335" s="20"/>
    </row>
    <row r="336" spans="1:8" ht="13.9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54" priority="1" stopIfTrue="1" operator="lessThanOrEqual">
      <formula>-0.1</formula>
    </cfRule>
    <cfRule type="expression" dxfId="53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B8" sqref="B8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0" t="str" cm="1">
        <f t="array" ref="A1">portfolio</f>
        <v>Wells Fargo</v>
      </c>
      <c r="B1" s="71"/>
      <c r="C1" s="72" t="s">
        <v>9</v>
      </c>
      <c r="D1" s="73"/>
      <c r="E1" s="74"/>
      <c r="F1" s="75" t="s">
        <v>10</v>
      </c>
      <c r="G1" s="76"/>
      <c r="H1" s="77"/>
    </row>
    <row r="2" spans="1:8" ht="19.5" customHeight="1">
      <c r="A2" s="42" t="s">
        <v>2</v>
      </c>
      <c r="B2" s="4">
        <f>SUM(B4:B90)</f>
        <v>2022284.6485849586</v>
      </c>
      <c r="C2" s="4">
        <f>SUM(C4:C90)</f>
        <v>2259425.2582999999</v>
      </c>
      <c r="D2" s="4">
        <f>B2-C2</f>
        <v>-237140.60971504124</v>
      </c>
      <c r="E2" s="5">
        <f>IFERROR(D2/C2, 0)</f>
        <v>-0.1049561647785892</v>
      </c>
      <c r="F2" s="4">
        <f>SUM(F4:F90)</f>
        <v>3056274.5467999997</v>
      </c>
      <c r="G2" s="6">
        <f>B2-F2</f>
        <v>-1033989.898215041</v>
      </c>
      <c r="H2" s="5">
        <f>IFERROR(G2/F2, 0)</f>
        <v>-0.3383170858448093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44">
        <f>SUM(SUMIF(_xlfn.ANCHORARRAY(Jan!$B$4), $A4, Jan!C$4:C$65), SUMIF(_xlfn.ANCHORARRAY(Feb!$B$4), $A4, Feb!C$4:C$78), SUMIF(_xlfn.ANCHORARRAY(Mar!$B$4), $A4, Mar!C$4:C$65))</f>
        <v>96460.874169194838</v>
      </c>
      <c r="C4" s="11">
        <f>SUM(SUMIF(_xlfn.ANCHORARRAY(Jan!$B$4), $A4, Jan!D$4:D$65), SUMIF(_xlfn.ANCHORARRAY(Feb!$B$4), $A4, Feb!D$4:D$78), SUMIF(_xlfn.ANCHORARRAY(Mar!$B$4), $A4, Mar!D$4:D$65))</f>
        <v>98630.98</v>
      </c>
      <c r="D4" s="11">
        <f>IF(AND(ISNUMBER(B4),ISNUMBER(C4)), B4-C4, "")</f>
        <v>-2170.1058308051579</v>
      </c>
      <c r="E4" s="12">
        <f>IFERROR(D4/C4, "")</f>
        <v>-2.2002273837339527E-2</v>
      </c>
      <c r="F4" s="13">
        <f>SUM(SUMIF(_xlfn.ANCHORARRAY(Jan!$B$4), $A4, Jan!G$4:G$65), SUMIF(_xlfn.ANCHORARRAY(Feb!$B$4), $A4, Feb!G$4:G$78), SUMIF(_xlfn.ANCHORARRAY(Mar!$B$4), $A4, Mar!G$4:G$65))</f>
        <v>92937.790000000008</v>
      </c>
      <c r="G4" s="13">
        <f>IF(AND(ISNUMBER(B4),ISNUMBER(F4)), B4-F4, "")</f>
        <v>3523.0841691948299</v>
      </c>
      <c r="H4" s="14">
        <f>IFERROR(G4/F4, "")</f>
        <v>3.7907983062593048E-2</v>
      </c>
    </row>
    <row r="5" spans="1:8" ht="14.45">
      <c r="A5" s="9" t="str">
        <v>CO</v>
      </c>
      <c r="B5" s="10">
        <f>SUM(SUMIF(_xlfn.ANCHORARRAY(Jan!$B$4), $A5, Jan!C$4:C$65), SUMIF(_xlfn.ANCHORARRAY(Feb!$B$4), $A5, Feb!C$4:C$78), SUMIF(_xlfn.ANCHORARRAY(Mar!$B$4), $A5, Mar!C$4:C$65))</f>
        <v>49254.600362056226</v>
      </c>
      <c r="C5" s="16">
        <f>SUM(SUMIF(_xlfn.ANCHORARRAY(Jan!$B$4), $A5, Jan!D$4:D$65), SUMIF(_xlfn.ANCHORARRAY(Feb!$B$4), $A5, Feb!D$4:D$78), SUMIF(_xlfn.ANCHORARRAY(Mar!$B$4), $A5, Mar!D$4:D$65))</f>
        <v>0</v>
      </c>
      <c r="D5" s="16">
        <f t="shared" ref="D5:D6" si="0">IF(AND(ISNUMBER(B5),ISNUMBER(C5)), B5-C5, "")</f>
        <v>49254.600362056226</v>
      </c>
      <c r="E5" s="17" t="str">
        <f>IFERROR(D5/C5, "")</f>
        <v/>
      </c>
      <c r="F5" s="16">
        <f>SUM(SUMIF(_xlfn.ANCHORARRAY(Jan!$B$4), $A5, Jan!G$4:G$65), SUMIF(_xlfn.ANCHORARRAY(Feb!$B$4), $A5, Feb!G$4:G$78), SUMIF(_xlfn.ANCHORARRAY(Mar!$B$4), $A5, Mar!G$4:G$65))</f>
        <v>58983.134999999995</v>
      </c>
      <c r="G5" s="16">
        <f>IF(AND(ISNUMBER(B5),ISNUMBER(F5)), B5-F5, "")</f>
        <v>-9728.5346379437688</v>
      </c>
      <c r="H5" s="17">
        <f>IFERROR(G5/F5, "")</f>
        <v>-0.16493756457576847</v>
      </c>
    </row>
    <row r="6" spans="1:8" ht="14.45">
      <c r="A6" s="8" t="str">
        <v>CT</v>
      </c>
      <c r="B6" s="22">
        <f>SUM(SUMIF(_xlfn.ANCHORARRAY(Jan!$B$4), $A6, Jan!C$4:C$65), SUMIF(_xlfn.ANCHORARRAY(Feb!$B$4), $A6, Feb!C$4:C$78), SUMIF(_xlfn.ANCHORARRAY(Mar!$B$4), $A6, Mar!C$4:C$65))</f>
        <v>1437.15027175254</v>
      </c>
      <c r="C6" s="11">
        <f>SUM(SUMIF(_xlfn.ANCHORARRAY(Jan!$B$4), $A6, Jan!D$4:D$65), SUMIF(_xlfn.ANCHORARRAY(Feb!$B$4), $A6, Feb!D$4:D$78), SUMIF(_xlfn.ANCHORARRAY(Mar!$B$4), $A6, Mar!D$4:D$65))</f>
        <v>3198.4032999999999</v>
      </c>
      <c r="D6" s="11">
        <f t="shared" si="0"/>
        <v>-1761.25302824746</v>
      </c>
      <c r="E6" s="12">
        <f t="shared" ref="E6:E11" si="1">IFERROR(D6/C6, "")</f>
        <v>-0.55066633662098208</v>
      </c>
      <c r="F6" s="13">
        <f>SUM(SUMIF(_xlfn.ANCHORARRAY(Jan!$B$4), $A6, Jan!G$4:G$65), SUMIF(_xlfn.ANCHORARRAY(Feb!$B$4), $A6, Feb!G$4:G$78), SUMIF(_xlfn.ANCHORARRAY(Mar!$B$4), $A6, Mar!G$4:G$65))</f>
        <v>2904.6053000000002</v>
      </c>
      <c r="G6" s="13">
        <f t="shared" ref="G6:G11" si="2">IF(AND(ISNUMBER(B6),ISNUMBER(F6)), B6-F6, "")</f>
        <v>-1467.4550282474602</v>
      </c>
      <c r="H6" s="14">
        <f t="shared" ref="H6:H11" si="3">IFERROR(G6/F6, "")</f>
        <v>-0.50521667375855162</v>
      </c>
    </row>
    <row r="7" spans="1:8" ht="14.45">
      <c r="A7" s="9" t="str">
        <v>FL</v>
      </c>
      <c r="B7" s="10">
        <f>SUM(SUMIF(_xlfn.ANCHORARRAY(Jan!$B$4), $A7, Jan!C$4:C$65), SUMIF(_xlfn.ANCHORARRAY(Feb!$B$4), $A7, Feb!C$4:C$78), SUMIF(_xlfn.ANCHORARRAY(Mar!$B$4), $A7, Mar!C$4:C$65))</f>
        <v>3427.8034604549398</v>
      </c>
      <c r="C7" s="16">
        <f>SUM(SUMIF(_xlfn.ANCHORARRAY(Jan!$B$4), $A7, Jan!D$4:D$65), SUMIF(_xlfn.ANCHORARRAY(Feb!$B$4), $A7, Feb!D$4:D$78), SUMIF(_xlfn.ANCHORARRAY(Mar!$B$4), $A7, Mar!D$4:D$65))</f>
        <v>9472.91</v>
      </c>
      <c r="D7" s="16">
        <f t="shared" ref="D7:D11" si="4">IF(AND(ISNUMBER(B7),ISNUMBER(C7)), B7-C7, "")</f>
        <v>-6045.1065395450605</v>
      </c>
      <c r="E7" s="17">
        <f t="shared" si="1"/>
        <v>-0.63814672994307564</v>
      </c>
      <c r="F7" s="16">
        <f>SUM(SUMIF(_xlfn.ANCHORARRAY(Jan!$B$4), $A7, Jan!G$4:G$65), SUMIF(_xlfn.ANCHORARRAY(Feb!$B$4), $A7, Feb!G$4:G$78), SUMIF(_xlfn.ANCHORARRAY(Mar!$B$4), $A7, Mar!G$4:G$65))</f>
        <v>12229.661</v>
      </c>
      <c r="G7" s="16">
        <f t="shared" si="2"/>
        <v>-8801.8575395450607</v>
      </c>
      <c r="H7" s="17">
        <f t="shared" si="3"/>
        <v>-0.71971394297397617</v>
      </c>
    </row>
    <row r="8" spans="1:8" ht="12.75" customHeight="1">
      <c r="A8" s="8" t="str">
        <v>IA</v>
      </c>
      <c r="B8" s="22">
        <f>SUM(SUMIF(_xlfn.ANCHORARRAY(Jan!$B$4), $A8, Jan!C$4:C$65), SUMIF(_xlfn.ANCHORARRAY(Feb!$B$4), $A8, Feb!C$4:C$78), SUMIF(_xlfn.ANCHORARRAY(Mar!$B$4), $A8, Mar!C$4:C$65))</f>
        <v>600256.9375</v>
      </c>
      <c r="C8" s="11">
        <f>SUM(SUMIF(_xlfn.ANCHORARRAY(Jan!$B$4), $A8, Jan!D$4:D$65), SUMIF(_xlfn.ANCHORARRAY(Feb!$B$4), $A8, Feb!D$4:D$78), SUMIF(_xlfn.ANCHORARRAY(Mar!$B$4), $A8, Mar!D$4:D$65))</f>
        <v>573354.79399999999</v>
      </c>
      <c r="D8" s="11">
        <f t="shared" si="4"/>
        <v>26902.143500000006</v>
      </c>
      <c r="E8" s="12">
        <f t="shared" si="1"/>
        <v>4.6920587010911091E-2</v>
      </c>
      <c r="F8" s="13">
        <f>SUM(SUMIF(_xlfn.ANCHORARRAY(Jan!$B$4), $A8, Jan!G$4:G$65), SUMIF(_xlfn.ANCHORARRAY(Feb!$B$4), $A8, Feb!G$4:G$78), SUMIF(_xlfn.ANCHORARRAY(Mar!$B$4), $A8, Mar!G$4:G$65))</f>
        <v>641026.38699999999</v>
      </c>
      <c r="G8" s="13">
        <f t="shared" si="2"/>
        <v>-40769.449499999988</v>
      </c>
      <c r="H8" s="14">
        <f t="shared" si="3"/>
        <v>-6.3600267207097022E-2</v>
      </c>
    </row>
    <row r="9" spans="1:8" ht="14.45">
      <c r="A9" s="9" t="str">
        <v>NC</v>
      </c>
      <c r="B9" s="10">
        <f>SUM(SUMIF(_xlfn.ANCHORARRAY(Jan!$B$4), $A9, Jan!C$4:C$65), SUMIF(_xlfn.ANCHORARRAY(Feb!$B$4), $A9, Feb!C$4:C$78), SUMIF(_xlfn.ANCHORARRAY(Mar!$B$4), $A9, Mar!C$4:C$65))</f>
        <v>102107</v>
      </c>
      <c r="C9" s="16">
        <f>SUM(SUMIF(_xlfn.ANCHORARRAY(Jan!$B$4), $A9, Jan!D$4:D$65), SUMIF(_xlfn.ANCHORARRAY(Feb!$B$4), $A9, Feb!D$4:D$78), SUMIF(_xlfn.ANCHORARRAY(Mar!$B$4), $A9, Mar!D$4:D$65))</f>
        <v>266710</v>
      </c>
      <c r="D9" s="16">
        <f t="shared" si="4"/>
        <v>-164603</v>
      </c>
      <c r="E9" s="17">
        <f t="shared" si="1"/>
        <v>-0.61716096134378162</v>
      </c>
      <c r="F9" s="16">
        <f>SUM(SUMIF(_xlfn.ANCHORARRAY(Jan!$B$4), $A9, Jan!G$4:G$65), SUMIF(_xlfn.ANCHORARRAY(Feb!$B$4), $A9, Feb!G$4:G$78), SUMIF(_xlfn.ANCHORARRAY(Mar!$B$4), $A9, Mar!G$4:G$65))</f>
        <v>336745</v>
      </c>
      <c r="G9" s="16">
        <f t="shared" si="2"/>
        <v>-234638</v>
      </c>
      <c r="H9" s="17">
        <f t="shared" si="3"/>
        <v>-0.69678243181042032</v>
      </c>
    </row>
    <row r="10" spans="1:8" ht="14.45">
      <c r="A10" s="8" t="str">
        <v>NJ</v>
      </c>
      <c r="B10" s="22">
        <f>SUM(SUMIF(_xlfn.ANCHORARRAY(Jan!$B$4), $A10, Jan!C$4:C$65), SUMIF(_xlfn.ANCHORARRAY(Feb!$B$4), $A10, Feb!C$4:C$78), SUMIF(_xlfn.ANCHORARRAY(Mar!$B$4), $A10, Mar!C$4:C$65))</f>
        <v>152779.90282149997</v>
      </c>
      <c r="C10" s="11">
        <f>SUM(SUMIF(_xlfn.ANCHORARRAY(Jan!$B$4), $A10, Jan!D$4:D$65), SUMIF(_xlfn.ANCHORARRAY(Feb!$B$4), $A10, Feb!D$4:D$78), SUMIF(_xlfn.ANCHORARRAY(Mar!$B$4), $A10, Mar!D$4:D$65))</f>
        <v>157231.97099999999</v>
      </c>
      <c r="D10" s="11">
        <f t="shared" si="4"/>
        <v>-4452.0681785000197</v>
      </c>
      <c r="E10" s="12">
        <f t="shared" si="1"/>
        <v>-2.8315285690211311E-2</v>
      </c>
      <c r="F10" s="13">
        <f>SUM(SUMIF(_xlfn.ANCHORARRAY(Jan!$B$4), $A10, Jan!G$4:G$65), SUMIF(_xlfn.ANCHORARRAY(Feb!$B$4), $A10, Feb!G$4:G$78), SUMIF(_xlfn.ANCHORARRAY(Mar!$B$4), $A10, Mar!G$4:G$65))</f>
        <v>166141.62250000003</v>
      </c>
      <c r="G10" s="13">
        <f t="shared" si="2"/>
        <v>-13361.719678500056</v>
      </c>
      <c r="H10" s="14">
        <f t="shared" si="3"/>
        <v>-8.0423673956236064E-2</v>
      </c>
    </row>
    <row r="11" spans="1:8" ht="14.45">
      <c r="A11" s="9" t="str">
        <v>TX</v>
      </c>
      <c r="B11" s="10">
        <f>SUM(SUMIF(_xlfn.ANCHORARRAY(Jan!$B$4), $A11, Jan!C$4:C$65), SUMIF(_xlfn.ANCHORARRAY(Feb!$B$4), $A11, Feb!C$4:C$78), SUMIF(_xlfn.ANCHORARRAY(Mar!$B$4), $A11, Mar!C$4:C$65))</f>
        <v>1016560.38</v>
      </c>
      <c r="C11" s="16">
        <f>SUM(SUMIF(_xlfn.ANCHORARRAY(Jan!$B$4), $A11, Jan!D$4:D$65), SUMIF(_xlfn.ANCHORARRAY(Feb!$B$4), $A11, Feb!D$4:D$78), SUMIF(_xlfn.ANCHORARRAY(Mar!$B$4), $A11, Mar!D$4:D$65))</f>
        <v>1150826.2</v>
      </c>
      <c r="D11" s="16">
        <f t="shared" si="4"/>
        <v>-134265.81999999995</v>
      </c>
      <c r="E11" s="17">
        <f t="shared" si="1"/>
        <v>-0.11666906784013081</v>
      </c>
      <c r="F11" s="16">
        <f>SUM(SUMIF(_xlfn.ANCHORARRAY(Jan!$B$4), $A11, Jan!G$4:G$65), SUMIF(_xlfn.ANCHORARRAY(Feb!$B$4), $A11, Feb!G$4:G$78), SUMIF(_xlfn.ANCHORARRAY(Mar!$B$4), $A11, Mar!G$4:G$65))</f>
        <v>1745306.3459999999</v>
      </c>
      <c r="G11" s="16">
        <f t="shared" si="2"/>
        <v>-728745.9659999999</v>
      </c>
      <c r="H11" s="17">
        <f t="shared" si="3"/>
        <v>-0.41754616183582016</v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52" priority="1" stopIfTrue="1" operator="lessThanOrEqual">
      <formula>-0.1</formula>
    </cfRule>
    <cfRule type="expression" dxfId="51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5" sqref="B5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1.8554687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70" t="str" cm="1">
        <f t="array" ref="A1">portfolio</f>
        <v>Wells Fargo</v>
      </c>
      <c r="B1" s="71"/>
      <c r="C1" s="72" t="s">
        <v>12</v>
      </c>
      <c r="D1" s="73"/>
      <c r="E1" s="74"/>
      <c r="F1" s="75" t="s">
        <v>13</v>
      </c>
      <c r="G1" s="76"/>
      <c r="H1" s="77"/>
    </row>
    <row r="2" spans="1:8" ht="19.5" customHeight="1">
      <c r="A2" s="42" t="s">
        <v>2</v>
      </c>
      <c r="B2" s="4">
        <f>SUM(B4:B85)</f>
        <v>4061976.2103436808</v>
      </c>
      <c r="C2" s="4">
        <f>SUM(C4:C85)</f>
        <v>3842359.1284999996</v>
      </c>
      <c r="D2" s="4">
        <f>B2-C2</f>
        <v>219617.08184368117</v>
      </c>
      <c r="E2" s="5">
        <f>IFERROR(D2/C2, 0)</f>
        <v>5.7156833731316636E-2</v>
      </c>
      <c r="F2" s="4">
        <f>SUM(F4:F85)</f>
        <v>4722056.4857999999</v>
      </c>
      <c r="G2" s="6">
        <f>B2-F2</f>
        <v>-660080.2754563191</v>
      </c>
      <c r="H2" s="5">
        <f>IFERROR(G2/F2, 0)</f>
        <v>-0.13978661149888591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SUM(SUMIF(_xlfn.ANCHORARRAY(Apr!$B$4), $A4, Apr!C$4:C$78), SUMIF(_xlfn.ANCHORARRAY(May!$B$4), $A4, May!C$4:C$65), SUMIF(_xlfn.ANCHORARRAY(Jun!$B$4), $A4, Jun!C$4:C$65))</f>
        <v>179169.75</v>
      </c>
      <c r="C4" s="11">
        <f>SUM(SUMIF(_xlfn.ANCHORARRAY(Apr!$B$4), $A4, Apr!D$4:D$78), SUMIF(_xlfn.ANCHORARRAY(May!$B$4), $A4, May!D$4:D$65), SUMIF(_xlfn.ANCHORARRAY(Jun!$B$4), $A4, Jun!D$4:D$65))</f>
        <v>147873.06</v>
      </c>
      <c r="D4" s="11">
        <f>IF(AND(ISNUMBER(B4),ISNUMBER(C4)), B4-C4, "")</f>
        <v>31296.690000000002</v>
      </c>
      <c r="E4" s="12">
        <f>IFERROR(D4/C4, "")</f>
        <v>0.21164565066821503</v>
      </c>
      <c r="F4" s="13">
        <f>SUM(SUMIF(_xlfn.ANCHORARRAY(Apr!$B$4), $A4, Apr!G$4:G$78), SUMIF(_xlfn.ANCHORARRAY(May!$B$4), $A4, May!G$4:G$65), SUMIF(_xlfn.ANCHORARRAY(Jun!$B$4), $A4, Jun!G$4:G$65))</f>
        <v>157791.785</v>
      </c>
      <c r="G4" s="13">
        <f>IF(AND(ISNUMBER(B4),ISNUMBER(F4)), B4-F4, "")</f>
        <v>21377.964999999997</v>
      </c>
      <c r="H4" s="14">
        <f>IFERROR(G4/F4, "")</f>
        <v>0.13548211651195907</v>
      </c>
    </row>
    <row r="5" spans="1:8" ht="14.45">
      <c r="A5" s="9" t="str">
        <v>CO</v>
      </c>
      <c r="B5" s="10">
        <f>SUM(SUMIF(_xlfn.ANCHORARRAY(Apr!$B$4), $A5, Apr!C$4:C$78), SUMIF(_xlfn.ANCHORARRAY(May!$B$4), $A5, May!C$4:C$65), SUMIF(_xlfn.ANCHORARRAY(Jun!$B$4), $A5, Jun!C$4:C$65))</f>
        <v>90952.002894057892</v>
      </c>
      <c r="C5" s="16">
        <f>SUM(SUMIF(_xlfn.ANCHORARRAY(Apr!$B$4), $A5, Apr!D$4:D$78), SUMIF(_xlfn.ANCHORARRAY(May!$B$4), $A5, May!D$4:D$65), SUMIF(_xlfn.ANCHORARRAY(Jun!$B$4), $A5, Jun!D$4:D$65))</f>
        <v>0</v>
      </c>
      <c r="D5" s="16">
        <f t="shared" ref="D5:D11" si="0">IF(AND(ISNUMBER(B5),ISNUMBER(C5)), B5-C5, "")</f>
        <v>90952.002894057892</v>
      </c>
      <c r="E5" s="17" t="str">
        <f>IFERROR(D5/C5, "")</f>
        <v/>
      </c>
      <c r="F5" s="16">
        <f>SUM(SUMIF(_xlfn.ANCHORARRAY(Apr!$B$4), $A5, Apr!G$4:G$78), SUMIF(_xlfn.ANCHORARRAY(May!$B$4), $A5, May!G$4:G$65), SUMIF(_xlfn.ANCHORARRAY(Jun!$B$4), $A5, Jun!G$4:G$65))</f>
        <v>87739.816999999995</v>
      </c>
      <c r="G5" s="16">
        <f>IF(AND(ISNUMBER(B5),ISNUMBER(F5)), B5-F5, "")</f>
        <v>3212.1858940578968</v>
      </c>
      <c r="H5" s="17">
        <f>IFERROR(G5/F5, "")</f>
        <v>3.6610355524879852E-2</v>
      </c>
    </row>
    <row r="6" spans="1:8" ht="14.45">
      <c r="A6" s="8" t="str">
        <v>CT</v>
      </c>
      <c r="B6" s="22">
        <f>SUM(SUMIF(_xlfn.ANCHORARRAY(Apr!$B$4), $A6, Apr!C$4:C$78), SUMIF(_xlfn.ANCHORARRAY(May!$B$4), $A6, May!C$4:C$65), SUMIF(_xlfn.ANCHORARRAY(Jun!$B$4), $A6, Jun!C$4:C$65))</f>
        <v>5041.9727368698659</v>
      </c>
      <c r="C6" s="11">
        <f>SUM(SUMIF(_xlfn.ANCHORARRAY(Apr!$B$4), $A6, Apr!D$4:D$78), SUMIF(_xlfn.ANCHORARRAY(May!$B$4), $A6, May!D$4:D$65), SUMIF(_xlfn.ANCHORARRAY(Jun!$B$4), $A6, Jun!D$4:D$65))</f>
        <v>5037.0563999999995</v>
      </c>
      <c r="D6" s="11">
        <f t="shared" si="0"/>
        <v>4.9163368698664272</v>
      </c>
      <c r="E6" s="12">
        <f t="shared" ref="E6:E11" si="1">IFERROR(D6/C6, "")</f>
        <v>9.7603371482328993E-4</v>
      </c>
      <c r="F6" s="13">
        <f>SUM(SUMIF(_xlfn.ANCHORARRAY(Apr!$B$4), $A6, Apr!G$4:G$78), SUMIF(_xlfn.ANCHORARRAY(May!$B$4), $A6, May!G$4:G$65), SUMIF(_xlfn.ANCHORARRAY(Jun!$B$4), $A6, Jun!G$4:G$65))</f>
        <v>6033.0028000000002</v>
      </c>
      <c r="G6" s="13">
        <f t="shared" ref="G6:G11" si="2">IF(AND(ISNUMBER(B6),ISNUMBER(F6)), B6-F6, "")</f>
        <v>-991.03006313013429</v>
      </c>
      <c r="H6" s="14">
        <f t="shared" ref="H6:H11" si="3">IFERROR(G6/F6, "")</f>
        <v>-0.16426812583778916</v>
      </c>
    </row>
    <row r="7" spans="1:8" ht="14.45">
      <c r="A7" s="9" t="str">
        <v>FL</v>
      </c>
      <c r="B7" s="10">
        <f>SUM(SUMIF(_xlfn.ANCHORARRAY(Apr!$B$4), $A7, Apr!C$4:C$78), SUMIF(_xlfn.ANCHORARRAY(May!$B$4), $A7, May!C$4:C$65), SUMIF(_xlfn.ANCHORARRAY(Jun!$B$4), $A7, Jun!C$4:C$65))</f>
        <v>2375.5372716903357</v>
      </c>
      <c r="C7" s="16">
        <f>SUM(SUMIF(_xlfn.ANCHORARRAY(Apr!$B$4), $A7, Apr!D$4:D$78), SUMIF(_xlfn.ANCHORARRAY(May!$B$4), $A7, May!D$4:D$65), SUMIF(_xlfn.ANCHORARRAY(Jun!$B$4), $A7, Jun!D$4:D$65))</f>
        <v>12898.605</v>
      </c>
      <c r="D7" s="16">
        <f t="shared" si="0"/>
        <v>-10523.067728309663</v>
      </c>
      <c r="E7" s="17">
        <f t="shared" si="1"/>
        <v>-0.81582990783186737</v>
      </c>
      <c r="F7" s="16">
        <f>SUM(SUMIF(_xlfn.ANCHORARRAY(Apr!$B$4), $A7, Apr!G$4:G$78), SUMIF(_xlfn.ANCHORARRAY(May!$B$4), $A7, May!G$4:G$65), SUMIF(_xlfn.ANCHORARRAY(Jun!$B$4), $A7, Jun!G$4:G$65))</f>
        <v>16185</v>
      </c>
      <c r="G7" s="16">
        <f t="shared" si="2"/>
        <v>-13809.462728309663</v>
      </c>
      <c r="H7" s="17">
        <f t="shared" si="3"/>
        <v>-0.85322599495271323</v>
      </c>
    </row>
    <row r="8" spans="1:8" ht="14.45">
      <c r="A8" s="8" t="str">
        <v>IA</v>
      </c>
      <c r="B8" s="22">
        <f>SUM(SUMIF(_xlfn.ANCHORARRAY(Apr!$B$4), $A8, Apr!C$4:C$78), SUMIF(_xlfn.ANCHORARRAY(May!$B$4), $A8, May!C$4:C$65), SUMIF(_xlfn.ANCHORARRAY(Jun!$B$4), $A8, Jun!C$4:C$65))</f>
        <v>840017.08250000002</v>
      </c>
      <c r="C8" s="11">
        <f>SUM(SUMIF(_xlfn.ANCHORARRAY(Apr!$B$4), $A8, Apr!D$4:D$78), SUMIF(_xlfn.ANCHORARRAY(May!$B$4), $A8, May!D$4:D$65), SUMIF(_xlfn.ANCHORARRAY(Jun!$B$4), $A8, Jun!D$4:D$65))</f>
        <v>818172.78</v>
      </c>
      <c r="D8" s="11">
        <f t="shared" si="0"/>
        <v>21844.302499999991</v>
      </c>
      <c r="E8" s="12">
        <f t="shared" si="1"/>
        <v>2.6698886878148146E-2</v>
      </c>
      <c r="F8" s="13">
        <f>SUM(SUMIF(_xlfn.ANCHORARRAY(Apr!$B$4), $A8, Apr!G$4:G$78), SUMIF(_xlfn.ANCHORARRAY(May!$B$4), $A8, May!G$4:G$65), SUMIF(_xlfn.ANCHORARRAY(Jun!$B$4), $A8, Jun!G$4:G$65))</f>
        <v>857847.64</v>
      </c>
      <c r="G8" s="13">
        <f t="shared" si="2"/>
        <v>-17830.557499999995</v>
      </c>
      <c r="H8" s="14">
        <f t="shared" si="3"/>
        <v>-2.0785226500127686E-2</v>
      </c>
    </row>
    <row r="9" spans="1:8" ht="14.45">
      <c r="A9" s="9" t="str">
        <v>NC</v>
      </c>
      <c r="B9" s="10">
        <f>SUM(SUMIF(_xlfn.ANCHORARRAY(Apr!$B$4), $A9, Apr!C$4:C$78), SUMIF(_xlfn.ANCHORARRAY(May!$B$4), $A9, May!C$4:C$65), SUMIF(_xlfn.ANCHORARRAY(Jun!$B$4), $A9, Jun!C$4:C$65))</f>
        <v>1016205</v>
      </c>
      <c r="C9" s="16">
        <f>SUM(SUMIF(_xlfn.ANCHORARRAY(Apr!$B$4), $A9, Apr!D$4:D$78), SUMIF(_xlfn.ANCHORARRAY(May!$B$4), $A9, May!D$4:D$65), SUMIF(_xlfn.ANCHORARRAY(Jun!$B$4), $A9, Jun!D$4:D$65))</f>
        <v>859577.36400000006</v>
      </c>
      <c r="D9" s="16">
        <f t="shared" si="0"/>
        <v>156627.63599999994</v>
      </c>
      <c r="E9" s="17">
        <f t="shared" si="1"/>
        <v>0.1822147052257648</v>
      </c>
      <c r="F9" s="16">
        <f>SUM(SUMIF(_xlfn.ANCHORARRAY(Apr!$B$4), $A9, Apr!G$4:G$78), SUMIF(_xlfn.ANCHORARRAY(May!$B$4), $A9, May!G$4:G$65), SUMIF(_xlfn.ANCHORARRAY(Jun!$B$4), $A9, Jun!G$4:G$65))</f>
        <v>1180909.1000000001</v>
      </c>
      <c r="G9" s="16">
        <f t="shared" si="2"/>
        <v>-164704.10000000009</v>
      </c>
      <c r="H9" s="17">
        <f t="shared" si="3"/>
        <v>-0.13947229299867372</v>
      </c>
    </row>
    <row r="10" spans="1:8" ht="14.45">
      <c r="A10" s="8" t="str">
        <v>NJ</v>
      </c>
      <c r="B10" s="22">
        <f>SUM(SUMIF(_xlfn.ANCHORARRAY(Apr!$B$4), $A10, Apr!C$4:C$78), SUMIF(_xlfn.ANCHORARRAY(May!$B$4), $A10, May!C$4:C$65), SUMIF(_xlfn.ANCHORARRAY(Jun!$B$4), $A10, Jun!C$4:C$65))</f>
        <v>277465.67722106259</v>
      </c>
      <c r="C10" s="11">
        <f>SUM(SUMIF(_xlfn.ANCHORARRAY(Apr!$B$4), $A10, Apr!D$4:D$78), SUMIF(_xlfn.ANCHORARRAY(May!$B$4), $A10, May!D$4:D$65), SUMIF(_xlfn.ANCHORARRAY(Jun!$B$4), $A10, Jun!D$4:D$65))</f>
        <v>273716.51510000002</v>
      </c>
      <c r="D10" s="11">
        <f t="shared" si="0"/>
        <v>3749.1621210625744</v>
      </c>
      <c r="E10" s="12">
        <f t="shared" si="1"/>
        <v>1.3697244828989767E-2</v>
      </c>
      <c r="F10" s="13">
        <f>SUM(SUMIF(_xlfn.ANCHORARRAY(Apr!$B$4), $A10, Apr!G$4:G$78), SUMIF(_xlfn.ANCHORARRAY(May!$B$4), $A10, May!G$4:G$65), SUMIF(_xlfn.ANCHORARRAY(Jun!$B$4), $A10, Jun!G$4:G$65))</f>
        <v>297775.533</v>
      </c>
      <c r="G10" s="13">
        <f t="shared" si="2"/>
        <v>-20309.855778937403</v>
      </c>
      <c r="H10" s="14">
        <f t="shared" si="3"/>
        <v>-6.8205253716857261E-2</v>
      </c>
    </row>
    <row r="11" spans="1:8" ht="14.45">
      <c r="A11" s="9" t="str">
        <v>TX</v>
      </c>
      <c r="B11" s="10">
        <f>SUM(SUMIF(_xlfn.ANCHORARRAY(Apr!$B$4), $A11, Apr!C$4:C$78), SUMIF(_xlfn.ANCHORARRAY(May!$B$4), $A11, May!C$4:C$65), SUMIF(_xlfn.ANCHORARRAY(Jun!$B$4), $A11, Jun!C$4:C$65))</f>
        <v>1650749.1877200003</v>
      </c>
      <c r="C11" s="16">
        <f>SUM(SUMIF(_xlfn.ANCHORARRAY(Apr!$B$4), $A11, Apr!D$4:D$78), SUMIF(_xlfn.ANCHORARRAY(May!$B$4), $A11, May!D$4:D$65), SUMIF(_xlfn.ANCHORARRAY(Jun!$B$4), $A11, Jun!D$4:D$65))</f>
        <v>1725083.7479999997</v>
      </c>
      <c r="D11" s="16">
        <f t="shared" si="0"/>
        <v>-74334.560279999394</v>
      </c>
      <c r="E11" s="17">
        <f t="shared" si="1"/>
        <v>-4.3090406692533174E-2</v>
      </c>
      <c r="F11" s="16">
        <f>SUM(SUMIF(_xlfn.ANCHORARRAY(Apr!$B$4), $A11, Apr!G$4:G$78), SUMIF(_xlfn.ANCHORARRAY(May!$B$4), $A11, May!G$4:G$65), SUMIF(_xlfn.ANCHORARRAY(Jun!$B$4), $A11, Jun!G$4:G$65))</f>
        <v>2117774.608</v>
      </c>
      <c r="G11" s="16">
        <f t="shared" si="2"/>
        <v>-467025.42027999973</v>
      </c>
      <c r="H11" s="17">
        <f t="shared" si="3"/>
        <v>-0.22052649914480404</v>
      </c>
    </row>
    <row r="12" spans="1:8" ht="15.6">
      <c r="A12" s="15"/>
      <c r="B12" s="9"/>
      <c r="C12" s="10"/>
      <c r="D12" s="16"/>
      <c r="E12" s="16"/>
      <c r="F12" s="17"/>
      <c r="G12" s="18"/>
      <c r="H12" s="18"/>
    </row>
    <row r="13" spans="1:8" ht="12.75" customHeight="1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19"/>
      <c r="F23" s="19"/>
      <c r="G23" s="19"/>
      <c r="H23" s="19"/>
    </row>
    <row r="24" spans="1:8" ht="13.9">
      <c r="A24" s="19"/>
      <c r="B24" s="19"/>
      <c r="C24" s="19"/>
      <c r="D24" s="19"/>
      <c r="E24" s="19"/>
      <c r="F24" s="19"/>
      <c r="G24" s="19"/>
      <c r="H24" s="19"/>
    </row>
    <row r="25" spans="1:8" ht="13.9">
      <c r="A25" s="19"/>
      <c r="B25" s="19"/>
      <c r="C25" s="19"/>
      <c r="D25" s="19"/>
      <c r="E25" s="19"/>
      <c r="F25" s="19"/>
      <c r="G25" s="19"/>
      <c r="H25" s="19"/>
    </row>
    <row r="26" spans="1:8" ht="13.9">
      <c r="A26" s="19"/>
      <c r="B26" s="19"/>
      <c r="C26" s="19"/>
      <c r="D26" s="19"/>
      <c r="E26" s="19"/>
      <c r="F26" s="19"/>
      <c r="G26" s="19"/>
      <c r="H26" s="19"/>
    </row>
    <row r="27" spans="1:8" ht="13.9">
      <c r="A27" s="19"/>
      <c r="B27" s="19"/>
      <c r="C27" s="19"/>
      <c r="D27" s="19"/>
      <c r="E27" s="19"/>
      <c r="F27" s="19"/>
      <c r="G27" s="19"/>
      <c r="H27" s="19"/>
    </row>
    <row r="28" spans="1:8" ht="13.9">
      <c r="A28" s="19"/>
      <c r="B28" s="19"/>
      <c r="C28" s="19"/>
      <c r="D28" s="19"/>
      <c r="E28" s="19"/>
      <c r="F28" s="20"/>
      <c r="G28" s="19"/>
      <c r="H28" s="19"/>
    </row>
    <row r="29" spans="1:8" ht="13.9">
      <c r="A29" s="19"/>
      <c r="B29" s="19"/>
      <c r="C29" s="19"/>
      <c r="D29" s="19"/>
      <c r="E29" s="19"/>
      <c r="F29" s="20"/>
      <c r="G29" s="19"/>
      <c r="H29" s="19"/>
    </row>
    <row r="30" spans="1:8" ht="13.9">
      <c r="A30" s="19"/>
      <c r="B30" s="19"/>
      <c r="C30" s="19"/>
      <c r="D30" s="19"/>
      <c r="E30" s="19"/>
      <c r="F30" s="20"/>
      <c r="G30" s="19"/>
      <c r="H30" s="19"/>
    </row>
    <row r="31" spans="1:8" ht="13.9">
      <c r="A31" s="19"/>
      <c r="B31" s="19"/>
      <c r="C31" s="19"/>
      <c r="D31" s="19"/>
      <c r="E31" s="19"/>
      <c r="F31" s="20"/>
      <c r="G31" s="19"/>
      <c r="H31" s="19"/>
    </row>
    <row r="32" spans="1:8" ht="13.9">
      <c r="A32" s="19"/>
      <c r="B32" s="19"/>
      <c r="C32" s="19"/>
      <c r="D32" s="19"/>
      <c r="E32" s="19"/>
      <c r="F32" s="20"/>
      <c r="G32" s="19"/>
      <c r="H32" s="19"/>
    </row>
    <row r="33" spans="1:8" ht="13.9">
      <c r="A33" s="19"/>
      <c r="B33" s="19"/>
      <c r="C33" s="19"/>
      <c r="D33" s="19"/>
      <c r="E33" s="19"/>
      <c r="F33" s="20"/>
      <c r="G33" s="19"/>
      <c r="H33" s="19"/>
    </row>
    <row r="34" spans="1:8" ht="13.9">
      <c r="A34" s="19"/>
      <c r="B34" s="19"/>
      <c r="C34" s="19"/>
      <c r="D34" s="19"/>
      <c r="E34" s="19"/>
      <c r="F34" s="20"/>
      <c r="G34" s="19"/>
      <c r="H34" s="19"/>
    </row>
    <row r="35" spans="1:8" ht="13.9">
      <c r="A35" s="19"/>
      <c r="B35" s="19"/>
      <c r="C35" s="19"/>
      <c r="D35" s="19"/>
      <c r="E35" s="19"/>
      <c r="F35" s="20"/>
      <c r="G35" s="19"/>
      <c r="H35" s="19"/>
    </row>
    <row r="36" spans="1:8" ht="13.9">
      <c r="A36" s="19"/>
      <c r="B36" s="19"/>
      <c r="C36" s="19"/>
      <c r="D36" s="19"/>
      <c r="E36" s="19"/>
      <c r="F36" s="20"/>
      <c r="G36" s="19"/>
      <c r="H36" s="19"/>
    </row>
    <row r="37" spans="1:8" ht="13.9">
      <c r="A37" s="19"/>
      <c r="B37" s="19"/>
      <c r="C37" s="19"/>
      <c r="D37" s="19"/>
      <c r="E37" s="19"/>
      <c r="F37" s="20"/>
      <c r="G37" s="19"/>
      <c r="H37" s="19"/>
    </row>
    <row r="38" spans="1:8" ht="13.9">
      <c r="A38" s="19"/>
      <c r="B38" s="19"/>
      <c r="C38" s="19"/>
      <c r="D38" s="19"/>
      <c r="E38" s="19"/>
      <c r="F38" s="20"/>
      <c r="G38" s="19"/>
      <c r="H38" s="19"/>
    </row>
    <row r="39" spans="1:8" ht="13.9">
      <c r="A39" s="19"/>
      <c r="B39" s="19"/>
      <c r="C39" s="19"/>
      <c r="D39" s="19"/>
      <c r="E39" s="19"/>
      <c r="F39" s="20"/>
      <c r="G39" s="19"/>
      <c r="H39" s="19"/>
    </row>
    <row r="40" spans="1:8" ht="13.9">
      <c r="A40" s="19"/>
      <c r="B40" s="19"/>
      <c r="C40" s="19"/>
      <c r="D40" s="19"/>
      <c r="E40" s="19"/>
      <c r="F40" s="20"/>
      <c r="G40" s="19"/>
      <c r="H40" s="19"/>
    </row>
    <row r="41" spans="1:8" ht="13.9">
      <c r="A41" s="19"/>
      <c r="B41" s="19"/>
      <c r="C41" s="19"/>
      <c r="D41" s="19"/>
      <c r="E41" s="19"/>
      <c r="F41" s="20"/>
      <c r="G41" s="19"/>
      <c r="H41" s="19"/>
    </row>
    <row r="42" spans="1:8" ht="13.9">
      <c r="A42" s="19"/>
      <c r="B42" s="19"/>
      <c r="C42" s="19"/>
      <c r="D42" s="19"/>
      <c r="E42" s="19"/>
      <c r="F42" s="20"/>
      <c r="G42" s="19"/>
      <c r="H42" s="19"/>
    </row>
    <row r="43" spans="1:8" ht="13.9">
      <c r="A43" s="19"/>
      <c r="B43" s="19"/>
      <c r="C43" s="19"/>
      <c r="D43" s="19"/>
      <c r="E43" s="19"/>
      <c r="F43" s="20"/>
      <c r="G43" s="19"/>
      <c r="H43" s="19"/>
    </row>
    <row r="44" spans="1:8" ht="13.9">
      <c r="A44" s="19"/>
      <c r="B44" s="19"/>
      <c r="C44" s="19"/>
      <c r="D44" s="19"/>
      <c r="E44" s="19"/>
      <c r="F44" s="20"/>
      <c r="G44" s="19"/>
      <c r="H44" s="19"/>
    </row>
    <row r="45" spans="1:8" ht="13.9">
      <c r="A45" s="19"/>
      <c r="B45" s="19"/>
      <c r="C45" s="19"/>
      <c r="D45" s="19"/>
      <c r="E45" s="19"/>
      <c r="F45" s="20"/>
      <c r="G45" s="19"/>
      <c r="H45" s="19"/>
    </row>
    <row r="46" spans="1:8" ht="13.9">
      <c r="A46" s="19"/>
      <c r="B46" s="19"/>
      <c r="C46" s="19"/>
      <c r="D46" s="19"/>
      <c r="E46" s="19"/>
      <c r="F46" s="20"/>
      <c r="G46" s="19"/>
      <c r="H46" s="19"/>
    </row>
    <row r="47" spans="1:8" ht="13.9">
      <c r="A47" s="19"/>
      <c r="B47" s="19"/>
      <c r="C47" s="19"/>
      <c r="D47" s="19"/>
      <c r="E47" s="19"/>
      <c r="F47" s="20"/>
      <c r="G47" s="19"/>
      <c r="H47" s="19"/>
    </row>
    <row r="48" spans="1:8" ht="13.9">
      <c r="A48" s="19"/>
      <c r="B48" s="19"/>
      <c r="C48" s="19"/>
      <c r="D48" s="19"/>
      <c r="E48" s="19"/>
      <c r="F48" s="20"/>
      <c r="G48" s="19"/>
      <c r="H48" s="19"/>
    </row>
    <row r="49" spans="1:8" ht="13.9">
      <c r="A49" s="19"/>
      <c r="B49" s="19"/>
      <c r="C49" s="19"/>
      <c r="D49" s="19"/>
      <c r="E49" s="19"/>
      <c r="F49" s="20"/>
      <c r="G49" s="19"/>
      <c r="H49" s="19"/>
    </row>
    <row r="50" spans="1:8" ht="13.9">
      <c r="A50" s="19"/>
      <c r="B50" s="19"/>
      <c r="C50" s="19"/>
      <c r="D50" s="19"/>
      <c r="E50" s="19"/>
      <c r="F50" s="20"/>
      <c r="G50" s="19"/>
      <c r="H50" s="19"/>
    </row>
    <row r="51" spans="1:8" ht="13.9">
      <c r="A51" s="19"/>
      <c r="B51" s="19"/>
      <c r="C51" s="19"/>
      <c r="D51" s="19"/>
      <c r="E51" s="19"/>
      <c r="F51" s="20"/>
      <c r="G51" s="19"/>
      <c r="H51" s="19"/>
    </row>
    <row r="52" spans="1:8" ht="13.9">
      <c r="A52" s="19"/>
      <c r="B52" s="19"/>
      <c r="C52" s="19"/>
      <c r="D52" s="19"/>
      <c r="E52" s="19"/>
      <c r="F52" s="20"/>
      <c r="G52" s="19"/>
      <c r="H52" s="19"/>
    </row>
    <row r="53" spans="1:8" ht="13.9">
      <c r="A53" s="19"/>
      <c r="B53" s="19"/>
      <c r="C53" s="19"/>
      <c r="D53" s="19"/>
      <c r="E53" s="19"/>
      <c r="F53" s="20"/>
      <c r="G53" s="19"/>
      <c r="H53" s="19"/>
    </row>
    <row r="54" spans="1:8" ht="13.9">
      <c r="A54" s="19"/>
      <c r="B54" s="19"/>
      <c r="C54" s="19"/>
      <c r="D54" s="19"/>
      <c r="E54" s="19"/>
      <c r="F54" s="20"/>
      <c r="G54" s="19"/>
      <c r="H54" s="19"/>
    </row>
    <row r="55" spans="1:8" ht="13.9">
      <c r="A55" s="19"/>
      <c r="B55" s="19"/>
      <c r="C55" s="19"/>
      <c r="D55" s="19"/>
      <c r="E55" s="19"/>
      <c r="F55" s="20"/>
      <c r="G55" s="19"/>
      <c r="H55" s="19"/>
    </row>
    <row r="56" spans="1:8" ht="13.9">
      <c r="A56" s="19"/>
      <c r="B56" s="19"/>
      <c r="C56" s="19"/>
      <c r="D56" s="19"/>
      <c r="E56" s="19"/>
      <c r="F56" s="20"/>
      <c r="G56" s="19"/>
      <c r="H56" s="19"/>
    </row>
    <row r="57" spans="1:8" ht="13.9">
      <c r="A57" s="19"/>
      <c r="B57" s="19"/>
      <c r="C57" s="19"/>
      <c r="D57" s="19"/>
      <c r="E57" s="19"/>
      <c r="F57" s="20"/>
      <c r="G57" s="19"/>
      <c r="H57" s="19"/>
    </row>
    <row r="58" spans="1:8" ht="13.9">
      <c r="A58" s="19"/>
      <c r="B58" s="19"/>
      <c r="C58" s="19"/>
      <c r="D58" s="19"/>
      <c r="E58" s="19"/>
      <c r="F58" s="20"/>
      <c r="G58" s="19"/>
      <c r="H58" s="19"/>
    </row>
    <row r="59" spans="1:8" ht="13.9">
      <c r="A59" s="19"/>
      <c r="B59" s="19"/>
      <c r="C59" s="19"/>
      <c r="D59" s="19"/>
      <c r="E59" s="19"/>
      <c r="F59" s="20"/>
      <c r="G59" s="19"/>
      <c r="H59" s="19"/>
    </row>
    <row r="60" spans="1:8" ht="13.9">
      <c r="A60" s="19"/>
      <c r="B60" s="19"/>
      <c r="C60" s="19"/>
      <c r="D60" s="19"/>
      <c r="E60" s="19"/>
      <c r="F60" s="20"/>
      <c r="G60" s="19"/>
      <c r="H60" s="19"/>
    </row>
    <row r="61" spans="1:8" ht="13.9">
      <c r="A61" s="19"/>
      <c r="B61" s="19"/>
      <c r="C61" s="19"/>
      <c r="D61" s="19"/>
      <c r="E61" s="19"/>
      <c r="F61" s="20"/>
      <c r="G61" s="19"/>
      <c r="H61" s="19"/>
    </row>
    <row r="62" spans="1:8" ht="13.9">
      <c r="A62" s="19"/>
      <c r="B62" s="19"/>
      <c r="C62" s="19"/>
      <c r="D62" s="19"/>
      <c r="E62" s="19"/>
      <c r="F62" s="20"/>
      <c r="G62" s="19"/>
      <c r="H62" s="19"/>
    </row>
    <row r="63" spans="1:8" ht="13.9">
      <c r="A63" s="19"/>
      <c r="B63" s="19"/>
      <c r="C63" s="19"/>
      <c r="D63" s="19"/>
      <c r="E63" s="19"/>
      <c r="F63" s="20"/>
      <c r="G63" s="19"/>
      <c r="H63" s="19"/>
    </row>
    <row r="64" spans="1:8" ht="13.9">
      <c r="A64" s="19"/>
      <c r="B64" s="19"/>
      <c r="C64" s="19"/>
      <c r="D64" s="19"/>
      <c r="E64" s="19"/>
      <c r="F64" s="20"/>
      <c r="G64" s="19"/>
      <c r="H64" s="19"/>
    </row>
    <row r="65" spans="1:8" ht="13.9">
      <c r="A65" s="19"/>
      <c r="B65" s="19"/>
      <c r="C65" s="19"/>
      <c r="D65" s="19"/>
      <c r="E65" s="19"/>
      <c r="F65" s="20"/>
      <c r="G65" s="19"/>
      <c r="H65" s="19"/>
    </row>
    <row r="66" spans="1:8" ht="13.9">
      <c r="A66" s="19"/>
      <c r="B66" s="19"/>
      <c r="C66" s="19"/>
      <c r="D66" s="19"/>
      <c r="E66" s="19"/>
      <c r="F66" s="20"/>
      <c r="G66" s="19"/>
      <c r="H66" s="19"/>
    </row>
    <row r="67" spans="1:8" ht="13.9">
      <c r="A67" s="19"/>
      <c r="B67" s="19"/>
      <c r="C67" s="19"/>
      <c r="D67" s="19"/>
      <c r="E67" s="19"/>
      <c r="F67" s="20"/>
      <c r="G67" s="19"/>
      <c r="H67" s="19"/>
    </row>
    <row r="68" spans="1:8" ht="13.9">
      <c r="A68" s="19"/>
      <c r="B68" s="19"/>
      <c r="C68" s="19"/>
      <c r="D68" s="19"/>
      <c r="E68" s="19"/>
      <c r="F68" s="20"/>
      <c r="G68" s="19"/>
      <c r="H68" s="19"/>
    </row>
    <row r="69" spans="1:8" ht="13.9">
      <c r="A69" s="19"/>
      <c r="B69" s="19"/>
      <c r="C69" s="19"/>
      <c r="D69" s="19"/>
      <c r="E69" s="19"/>
      <c r="F69" s="20"/>
      <c r="G69" s="19"/>
      <c r="H69" s="19"/>
    </row>
    <row r="70" spans="1:8" ht="13.9">
      <c r="A70" s="19"/>
      <c r="B70" s="19"/>
      <c r="C70" s="19"/>
      <c r="D70" s="19"/>
      <c r="E70" s="19"/>
      <c r="F70" s="20"/>
      <c r="G70" s="19"/>
      <c r="H70" s="19"/>
    </row>
    <row r="71" spans="1:8" ht="13.9">
      <c r="A71" s="19"/>
      <c r="B71" s="19"/>
      <c r="C71" s="19"/>
      <c r="D71" s="19"/>
      <c r="E71" s="19"/>
      <c r="F71" s="20"/>
      <c r="G71" s="19"/>
      <c r="H71" s="19"/>
    </row>
    <row r="72" spans="1:8" ht="13.9">
      <c r="A72" s="19"/>
      <c r="B72" s="19"/>
      <c r="C72" s="19"/>
      <c r="D72" s="19"/>
      <c r="E72" s="19"/>
      <c r="F72" s="20"/>
      <c r="G72" s="19"/>
      <c r="H72" s="19"/>
    </row>
    <row r="73" spans="1:8" ht="13.9">
      <c r="A73" s="19"/>
      <c r="B73" s="19"/>
      <c r="C73" s="19"/>
      <c r="D73" s="19"/>
      <c r="E73" s="19"/>
      <c r="F73" s="20"/>
      <c r="G73" s="19"/>
      <c r="H73" s="19"/>
    </row>
    <row r="74" spans="1:8" ht="13.9">
      <c r="A74" s="19"/>
      <c r="B74" s="19"/>
      <c r="C74" s="19"/>
      <c r="D74" s="19"/>
      <c r="E74" s="19"/>
      <c r="F74" s="20"/>
      <c r="G74" s="19"/>
      <c r="H74" s="19"/>
    </row>
    <row r="75" spans="1:8" ht="13.9">
      <c r="A75" s="19"/>
      <c r="B75" s="19"/>
      <c r="C75" s="19"/>
      <c r="D75" s="19"/>
      <c r="E75" s="19"/>
      <c r="F75" s="20"/>
      <c r="G75" s="19"/>
      <c r="H75" s="19"/>
    </row>
    <row r="76" spans="1:8" ht="13.9">
      <c r="A76" s="19"/>
      <c r="B76" s="19"/>
      <c r="C76" s="19"/>
      <c r="D76" s="19"/>
      <c r="E76" s="19"/>
      <c r="F76" s="20"/>
      <c r="G76" s="19"/>
      <c r="H76" s="19"/>
    </row>
    <row r="77" spans="1:8" ht="13.9">
      <c r="A77" s="19"/>
      <c r="B77" s="19"/>
      <c r="C77" s="19"/>
      <c r="D77" s="19"/>
      <c r="E77" s="19"/>
      <c r="F77" s="20"/>
      <c r="G77" s="19"/>
      <c r="H77" s="19"/>
    </row>
    <row r="78" spans="1:8" ht="13.9">
      <c r="A78" s="19"/>
      <c r="B78" s="19"/>
      <c r="C78" s="19"/>
      <c r="D78" s="19"/>
      <c r="E78" s="19"/>
      <c r="F78" s="20"/>
      <c r="G78" s="19"/>
      <c r="H78" s="19"/>
    </row>
    <row r="79" spans="1:8" ht="13.9">
      <c r="A79" s="19"/>
      <c r="B79" s="19"/>
      <c r="C79" s="19"/>
      <c r="D79" s="19"/>
      <c r="E79" s="19"/>
      <c r="F79" s="20"/>
      <c r="G79" s="19"/>
      <c r="H79" s="19"/>
    </row>
    <row r="80" spans="1:8" ht="13.9">
      <c r="A80" s="19"/>
      <c r="B80" s="19"/>
      <c r="C80" s="19"/>
      <c r="D80" s="19"/>
      <c r="E80" s="19"/>
      <c r="F80" s="20"/>
      <c r="G80" s="19"/>
      <c r="H80" s="19"/>
    </row>
    <row r="81" spans="1:8" ht="13.9">
      <c r="A81" s="19"/>
      <c r="B81" s="19"/>
      <c r="C81" s="19"/>
      <c r="D81" s="19"/>
      <c r="E81" s="19"/>
      <c r="F81" s="20"/>
      <c r="G81" s="19"/>
      <c r="H81" s="19"/>
    </row>
    <row r="82" spans="1:8" ht="13.9">
      <c r="A82" s="19"/>
      <c r="B82" s="19"/>
      <c r="C82" s="19"/>
      <c r="D82" s="19"/>
      <c r="E82" s="19"/>
      <c r="F82" s="20"/>
      <c r="G82" s="19"/>
      <c r="H82" s="19"/>
    </row>
    <row r="83" spans="1:8" ht="13.9">
      <c r="A83" s="19"/>
      <c r="B83" s="19"/>
      <c r="C83" s="19"/>
      <c r="D83" s="19"/>
      <c r="E83" s="19"/>
      <c r="F83" s="20"/>
      <c r="G83" s="19"/>
      <c r="H83" s="19"/>
    </row>
    <row r="84" spans="1:8" ht="13.9">
      <c r="A84" s="19"/>
      <c r="B84" s="19"/>
      <c r="C84" s="19"/>
      <c r="D84" s="19"/>
      <c r="E84" s="19"/>
      <c r="F84" s="20"/>
      <c r="G84" s="19"/>
      <c r="H84" s="19"/>
    </row>
    <row r="85" spans="1:8" ht="13.9">
      <c r="A85" s="19"/>
      <c r="B85" s="19"/>
      <c r="C85" s="19"/>
      <c r="D85" s="19"/>
      <c r="E85" s="19"/>
      <c r="F85" s="20"/>
      <c r="G85" s="19"/>
      <c r="H85" s="19"/>
    </row>
    <row r="86" spans="1:8" ht="13.9">
      <c r="A86" s="19"/>
      <c r="B86" s="19"/>
      <c r="C86" s="19"/>
      <c r="D86" s="19"/>
      <c r="E86" s="19"/>
      <c r="F86" s="20"/>
      <c r="G86" s="19"/>
      <c r="H86" s="19"/>
    </row>
    <row r="87" spans="1:8" ht="13.9">
      <c r="A87" s="19"/>
      <c r="B87" s="19"/>
      <c r="C87" s="19"/>
      <c r="D87" s="19"/>
      <c r="E87" s="19"/>
      <c r="F87" s="20"/>
      <c r="G87" s="19"/>
      <c r="H87" s="19"/>
    </row>
    <row r="88" spans="1:8" ht="13.9">
      <c r="A88" s="19"/>
      <c r="B88" s="19"/>
      <c r="C88" s="19"/>
      <c r="D88" s="19"/>
      <c r="E88" s="19"/>
      <c r="F88" s="20"/>
      <c r="G88" s="19"/>
      <c r="H88" s="19"/>
    </row>
    <row r="89" spans="1:8" ht="13.9">
      <c r="A89" s="19"/>
      <c r="B89" s="19"/>
      <c r="C89" s="19"/>
      <c r="D89" s="19"/>
      <c r="E89" s="19"/>
      <c r="F89" s="20"/>
      <c r="G89" s="19"/>
      <c r="H89" s="19"/>
    </row>
    <row r="90" spans="1:8" ht="13.9">
      <c r="A90" s="19"/>
      <c r="B90" s="19"/>
      <c r="C90" s="19"/>
      <c r="D90" s="19"/>
      <c r="E90" s="19"/>
      <c r="F90" s="20"/>
      <c r="G90" s="19"/>
      <c r="H90" s="19"/>
    </row>
    <row r="91" spans="1:8" ht="13.9">
      <c r="A91" s="19"/>
      <c r="B91" s="19"/>
      <c r="C91" s="19"/>
      <c r="D91" s="19"/>
      <c r="E91" s="19"/>
      <c r="F91" s="20"/>
      <c r="G91" s="19"/>
      <c r="H91" s="19"/>
    </row>
    <row r="92" spans="1:8" ht="13.9">
      <c r="A92" s="19"/>
      <c r="B92" s="19"/>
      <c r="C92" s="19"/>
      <c r="D92" s="19"/>
      <c r="E92" s="19"/>
      <c r="F92" s="20"/>
      <c r="G92" s="19"/>
      <c r="H92" s="19"/>
    </row>
    <row r="93" spans="1:8" ht="13.9">
      <c r="A93" s="19"/>
      <c r="B93" s="19"/>
      <c r="C93" s="19"/>
      <c r="D93" s="19"/>
      <c r="E93" s="19"/>
      <c r="F93" s="20"/>
      <c r="G93" s="19"/>
      <c r="H93" s="19"/>
    </row>
    <row r="94" spans="1:8" ht="13.9">
      <c r="A94" s="19"/>
      <c r="B94" s="19"/>
      <c r="C94" s="19"/>
      <c r="D94" s="19"/>
      <c r="E94" s="19"/>
      <c r="F94" s="20"/>
      <c r="G94" s="19"/>
      <c r="H94" s="19"/>
    </row>
    <row r="95" spans="1:8" ht="13.9">
      <c r="A95" s="19"/>
      <c r="B95" s="19"/>
      <c r="C95" s="19"/>
      <c r="D95" s="19"/>
      <c r="E95" s="19"/>
      <c r="F95" s="20"/>
      <c r="G95" s="19"/>
      <c r="H95" s="19"/>
    </row>
    <row r="96" spans="1:8" ht="13.9">
      <c r="A96" s="19"/>
      <c r="B96" s="19"/>
      <c r="C96" s="19"/>
      <c r="D96" s="19"/>
      <c r="E96" s="19"/>
      <c r="F96" s="20"/>
      <c r="G96" s="19"/>
      <c r="H96" s="19"/>
    </row>
    <row r="97" spans="1:8" ht="13.9">
      <c r="A97" s="19"/>
      <c r="B97" s="19"/>
      <c r="C97" s="19"/>
      <c r="D97" s="19"/>
      <c r="E97" s="19"/>
      <c r="F97" s="20"/>
      <c r="G97" s="19"/>
      <c r="H97" s="19"/>
    </row>
    <row r="98" spans="1:8" ht="13.9">
      <c r="A98" s="19"/>
      <c r="B98" s="19"/>
      <c r="C98" s="19"/>
      <c r="D98" s="19"/>
      <c r="E98" s="19"/>
      <c r="F98" s="20"/>
      <c r="G98" s="19"/>
      <c r="H98" s="19"/>
    </row>
    <row r="99" spans="1:8" ht="13.9">
      <c r="A99" s="19"/>
      <c r="B99" s="19"/>
      <c r="C99" s="19"/>
      <c r="D99" s="19"/>
      <c r="E99" s="19"/>
      <c r="F99" s="20"/>
      <c r="G99" s="19"/>
      <c r="H99" s="19"/>
    </row>
    <row r="100" spans="1:8" ht="13.9">
      <c r="A100" s="19"/>
      <c r="B100" s="19"/>
      <c r="C100" s="19"/>
      <c r="D100" s="19"/>
      <c r="E100" s="19"/>
      <c r="F100" s="20"/>
      <c r="G100" s="19"/>
      <c r="H100" s="19"/>
    </row>
    <row r="101" spans="1:8" ht="13.9">
      <c r="A101" s="19"/>
      <c r="B101" s="19"/>
      <c r="C101" s="19"/>
      <c r="D101" s="19"/>
      <c r="E101" s="19"/>
      <c r="F101" s="20"/>
      <c r="G101" s="19"/>
      <c r="H101" s="19"/>
    </row>
    <row r="102" spans="1:8" ht="13.9">
      <c r="A102" s="19"/>
      <c r="B102" s="19"/>
      <c r="C102" s="19"/>
      <c r="D102" s="19"/>
      <c r="E102" s="19"/>
      <c r="F102" s="20"/>
      <c r="G102" s="19"/>
      <c r="H102" s="19"/>
    </row>
    <row r="103" spans="1:8" ht="13.9">
      <c r="A103" s="19"/>
      <c r="B103" s="19"/>
      <c r="C103" s="19"/>
      <c r="D103" s="19"/>
      <c r="E103" s="19"/>
      <c r="F103" s="20"/>
      <c r="G103" s="19"/>
      <c r="H103" s="19"/>
    </row>
    <row r="104" spans="1:8" ht="13.9">
      <c r="A104" s="19"/>
      <c r="B104" s="19"/>
      <c r="C104" s="19"/>
      <c r="D104" s="19"/>
      <c r="E104" s="19"/>
      <c r="F104" s="20"/>
      <c r="G104" s="19"/>
      <c r="H104" s="19"/>
    </row>
    <row r="105" spans="1:8" ht="13.9">
      <c r="A105" s="19"/>
      <c r="B105" s="19"/>
      <c r="C105" s="19"/>
      <c r="D105" s="19"/>
      <c r="E105" s="19"/>
      <c r="F105" s="20"/>
      <c r="G105" s="19"/>
      <c r="H105" s="19"/>
    </row>
    <row r="106" spans="1:8" ht="13.9">
      <c r="A106" s="19"/>
      <c r="B106" s="19"/>
      <c r="C106" s="19"/>
      <c r="D106" s="19"/>
      <c r="E106" s="19"/>
      <c r="F106" s="20"/>
      <c r="G106" s="19"/>
      <c r="H106" s="19"/>
    </row>
    <row r="107" spans="1:8" ht="13.9">
      <c r="A107" s="19"/>
      <c r="B107" s="19"/>
      <c r="C107" s="19"/>
      <c r="D107" s="19"/>
      <c r="E107" s="19"/>
      <c r="F107" s="20"/>
      <c r="G107" s="19"/>
      <c r="H107" s="19"/>
    </row>
    <row r="108" spans="1:8" ht="13.9">
      <c r="A108" s="19"/>
      <c r="B108" s="19"/>
      <c r="C108" s="19"/>
      <c r="D108" s="19"/>
      <c r="E108" s="19"/>
      <c r="F108" s="20"/>
      <c r="G108" s="19"/>
      <c r="H108" s="19"/>
    </row>
    <row r="109" spans="1:8" ht="13.9">
      <c r="A109" s="19"/>
      <c r="B109" s="19"/>
      <c r="C109" s="19"/>
      <c r="D109" s="19"/>
      <c r="E109" s="19"/>
      <c r="F109" s="20"/>
      <c r="G109" s="19"/>
      <c r="H109" s="19"/>
    </row>
    <row r="110" spans="1:8" ht="13.9">
      <c r="A110" s="19"/>
      <c r="B110" s="19"/>
      <c r="C110" s="19"/>
      <c r="D110" s="19"/>
      <c r="E110" s="19"/>
      <c r="F110" s="20"/>
      <c r="G110" s="19"/>
      <c r="H110" s="19"/>
    </row>
    <row r="111" spans="1:8" ht="13.9">
      <c r="A111" s="19"/>
      <c r="B111" s="19"/>
      <c r="C111" s="19"/>
      <c r="D111" s="19"/>
      <c r="E111" s="19"/>
      <c r="F111" s="20"/>
      <c r="G111" s="19"/>
      <c r="H111" s="19"/>
    </row>
    <row r="112" spans="1:8" ht="13.9">
      <c r="A112" s="19"/>
      <c r="B112" s="19"/>
      <c r="C112" s="19"/>
      <c r="D112" s="19"/>
      <c r="E112" s="19"/>
      <c r="F112" s="20"/>
      <c r="G112" s="19"/>
      <c r="H112" s="19"/>
    </row>
    <row r="113" spans="1:8" ht="13.9">
      <c r="A113" s="19"/>
      <c r="B113" s="19"/>
      <c r="C113" s="19"/>
      <c r="D113" s="19"/>
      <c r="E113" s="19"/>
      <c r="F113" s="20"/>
      <c r="G113" s="19"/>
      <c r="H113" s="19"/>
    </row>
    <row r="114" spans="1:8" ht="13.9">
      <c r="A114" s="19"/>
      <c r="B114" s="19"/>
      <c r="C114" s="19"/>
      <c r="D114" s="19"/>
      <c r="E114" s="19"/>
      <c r="F114" s="20"/>
      <c r="G114" s="19"/>
      <c r="H114" s="19"/>
    </row>
    <row r="115" spans="1:8" ht="13.9">
      <c r="A115" s="19"/>
      <c r="B115" s="19"/>
      <c r="C115" s="19"/>
      <c r="D115" s="19"/>
      <c r="E115" s="19"/>
      <c r="F115" s="20"/>
      <c r="G115" s="19"/>
      <c r="H115" s="19"/>
    </row>
    <row r="116" spans="1:8" ht="13.9">
      <c r="A116" s="19"/>
      <c r="B116" s="19"/>
      <c r="C116" s="19"/>
      <c r="D116" s="19"/>
      <c r="E116" s="19"/>
      <c r="F116" s="20"/>
      <c r="G116" s="19"/>
      <c r="H116" s="19"/>
    </row>
    <row r="117" spans="1:8" ht="13.9">
      <c r="A117" s="19"/>
      <c r="B117" s="19"/>
      <c r="C117" s="19"/>
      <c r="D117" s="19"/>
      <c r="E117" s="19"/>
      <c r="F117" s="20"/>
      <c r="G117" s="19"/>
      <c r="H117" s="19"/>
    </row>
    <row r="118" spans="1:8" ht="13.9">
      <c r="A118" s="19"/>
      <c r="B118" s="19"/>
      <c r="C118" s="19"/>
      <c r="D118" s="19"/>
      <c r="E118" s="19"/>
      <c r="F118" s="20"/>
      <c r="G118" s="19"/>
      <c r="H118" s="19"/>
    </row>
    <row r="119" spans="1:8" ht="13.9">
      <c r="A119" s="19"/>
      <c r="B119" s="19"/>
      <c r="C119" s="19"/>
      <c r="D119" s="19"/>
      <c r="E119" s="19"/>
      <c r="F119" s="20"/>
      <c r="G119" s="19"/>
      <c r="H119" s="19"/>
    </row>
    <row r="120" spans="1:8" ht="13.9">
      <c r="A120" s="19"/>
      <c r="B120" s="19"/>
      <c r="C120" s="19"/>
      <c r="D120" s="19"/>
      <c r="E120" s="19"/>
      <c r="F120" s="20"/>
      <c r="G120" s="19"/>
      <c r="H120" s="19"/>
    </row>
    <row r="121" spans="1:8" ht="13.9">
      <c r="A121" s="19"/>
      <c r="B121" s="19"/>
      <c r="C121" s="19"/>
      <c r="D121" s="19"/>
      <c r="E121" s="19"/>
      <c r="F121" s="20"/>
      <c r="G121" s="19"/>
      <c r="H121" s="19"/>
    </row>
    <row r="122" spans="1:8" ht="13.9">
      <c r="A122" s="19"/>
      <c r="B122" s="19"/>
      <c r="C122" s="19"/>
      <c r="D122" s="19"/>
      <c r="E122" s="19"/>
      <c r="F122" s="20"/>
      <c r="G122" s="19"/>
      <c r="H122" s="19"/>
    </row>
    <row r="123" spans="1:8" ht="13.9">
      <c r="A123" s="19"/>
      <c r="B123" s="19"/>
      <c r="C123" s="19"/>
      <c r="D123" s="19"/>
      <c r="E123" s="19"/>
      <c r="F123" s="20"/>
      <c r="G123" s="19"/>
      <c r="H123" s="19"/>
    </row>
    <row r="124" spans="1:8" ht="13.9">
      <c r="A124" s="19"/>
      <c r="B124" s="19"/>
      <c r="C124" s="19"/>
      <c r="D124" s="19"/>
      <c r="E124" s="19"/>
      <c r="F124" s="20"/>
      <c r="G124" s="19"/>
      <c r="H124" s="19"/>
    </row>
    <row r="125" spans="1:8" ht="13.9">
      <c r="A125" s="19"/>
      <c r="B125" s="19"/>
      <c r="C125" s="19"/>
      <c r="D125" s="19"/>
      <c r="E125" s="19"/>
      <c r="F125" s="20"/>
      <c r="G125" s="19"/>
      <c r="H125" s="19"/>
    </row>
    <row r="126" spans="1:8" ht="13.9">
      <c r="A126" s="19"/>
      <c r="B126" s="19"/>
      <c r="C126" s="19"/>
      <c r="D126" s="19"/>
      <c r="E126" s="19"/>
      <c r="F126" s="20"/>
      <c r="G126" s="19"/>
      <c r="H126" s="19"/>
    </row>
    <row r="127" spans="1:8" ht="13.9">
      <c r="A127" s="19"/>
      <c r="B127" s="19"/>
      <c r="C127" s="19"/>
      <c r="D127" s="19"/>
      <c r="E127" s="19"/>
      <c r="F127" s="20"/>
      <c r="G127" s="19"/>
      <c r="H127" s="19"/>
    </row>
    <row r="128" spans="1:8" ht="13.9">
      <c r="A128" s="19"/>
      <c r="B128" s="19"/>
      <c r="C128" s="19"/>
      <c r="D128" s="19"/>
      <c r="E128" s="19"/>
      <c r="F128" s="20"/>
      <c r="G128" s="19"/>
      <c r="H128" s="19"/>
    </row>
    <row r="129" spans="1:8" ht="13.9">
      <c r="A129" s="19"/>
      <c r="B129" s="19"/>
      <c r="C129" s="19"/>
      <c r="D129" s="19"/>
      <c r="E129" s="19"/>
      <c r="F129" s="20"/>
      <c r="G129" s="19"/>
      <c r="H129" s="19"/>
    </row>
    <row r="130" spans="1:8" ht="13.9">
      <c r="A130" s="19"/>
      <c r="B130" s="19"/>
      <c r="C130" s="19"/>
      <c r="D130" s="19"/>
      <c r="E130" s="19"/>
      <c r="F130" s="20"/>
      <c r="G130" s="19"/>
      <c r="H130" s="19"/>
    </row>
    <row r="131" spans="1:8" ht="13.9">
      <c r="A131" s="19"/>
      <c r="B131" s="19"/>
      <c r="C131" s="19"/>
      <c r="D131" s="19"/>
      <c r="E131" s="19"/>
      <c r="F131" s="20"/>
      <c r="G131" s="19"/>
      <c r="H131" s="19"/>
    </row>
    <row r="132" spans="1:8" ht="13.9">
      <c r="A132" s="19"/>
      <c r="B132" s="19"/>
      <c r="C132" s="19"/>
      <c r="D132" s="19"/>
      <c r="E132" s="19"/>
      <c r="F132" s="20"/>
      <c r="G132" s="19"/>
      <c r="H132" s="19"/>
    </row>
    <row r="133" spans="1:8" ht="13.9">
      <c r="A133" s="19"/>
      <c r="B133" s="19"/>
      <c r="C133" s="19"/>
      <c r="D133" s="19"/>
      <c r="E133" s="19"/>
      <c r="F133" s="20"/>
      <c r="G133" s="19"/>
      <c r="H133" s="19"/>
    </row>
    <row r="134" spans="1:8" ht="13.9">
      <c r="A134" s="19"/>
      <c r="B134" s="19"/>
      <c r="C134" s="19"/>
      <c r="D134" s="19"/>
      <c r="E134" s="19"/>
      <c r="F134" s="20"/>
      <c r="G134" s="19"/>
      <c r="H134" s="19"/>
    </row>
    <row r="135" spans="1:8" ht="13.9">
      <c r="A135" s="19"/>
      <c r="B135" s="19"/>
      <c r="C135" s="19"/>
      <c r="D135" s="19"/>
      <c r="E135" s="19"/>
      <c r="F135" s="20"/>
      <c r="G135" s="19"/>
      <c r="H135" s="19"/>
    </row>
    <row r="136" spans="1:8" ht="13.9">
      <c r="A136" s="19"/>
      <c r="B136" s="19"/>
      <c r="C136" s="19"/>
      <c r="D136" s="19"/>
      <c r="E136" s="19"/>
      <c r="F136" s="20"/>
      <c r="G136" s="19"/>
      <c r="H136" s="19"/>
    </row>
    <row r="137" spans="1:8" ht="13.9">
      <c r="A137" s="19"/>
      <c r="B137" s="19"/>
      <c r="C137" s="19"/>
      <c r="D137" s="19"/>
      <c r="E137" s="19"/>
      <c r="F137" s="20"/>
      <c r="G137" s="19"/>
      <c r="H137" s="19"/>
    </row>
    <row r="138" spans="1:8" ht="13.9">
      <c r="A138" s="19"/>
      <c r="B138" s="19"/>
      <c r="C138" s="19"/>
      <c r="D138" s="19"/>
      <c r="E138" s="19"/>
      <c r="F138" s="20"/>
      <c r="G138" s="19"/>
      <c r="H138" s="19"/>
    </row>
    <row r="139" spans="1:8" ht="13.9">
      <c r="A139" s="19"/>
      <c r="B139" s="19"/>
      <c r="C139" s="19"/>
      <c r="D139" s="19"/>
      <c r="E139" s="19"/>
      <c r="F139" s="20"/>
      <c r="G139" s="19"/>
      <c r="H139" s="19"/>
    </row>
    <row r="140" spans="1:8" ht="13.9">
      <c r="A140" s="19"/>
      <c r="B140" s="19"/>
      <c r="C140" s="19"/>
      <c r="D140" s="19"/>
      <c r="E140" s="19"/>
      <c r="F140" s="20"/>
      <c r="G140" s="19"/>
      <c r="H140" s="19"/>
    </row>
    <row r="141" spans="1:8" ht="13.9">
      <c r="A141" s="19"/>
      <c r="B141" s="19"/>
      <c r="C141" s="19"/>
      <c r="D141" s="19"/>
      <c r="E141" s="19"/>
      <c r="F141" s="20"/>
      <c r="G141" s="19"/>
      <c r="H141" s="19"/>
    </row>
    <row r="142" spans="1:8" ht="13.9">
      <c r="A142" s="19"/>
      <c r="B142" s="19"/>
      <c r="C142" s="19"/>
      <c r="D142" s="19"/>
      <c r="E142" s="19"/>
      <c r="F142" s="20"/>
      <c r="G142" s="19"/>
      <c r="H142" s="19"/>
    </row>
    <row r="143" spans="1:8" ht="13.9">
      <c r="A143" s="19"/>
      <c r="B143" s="19"/>
      <c r="C143" s="19"/>
      <c r="D143" s="19"/>
      <c r="E143" s="19"/>
      <c r="F143" s="20"/>
      <c r="G143" s="19"/>
      <c r="H143" s="19"/>
    </row>
    <row r="144" spans="1:8" ht="13.9">
      <c r="A144" s="19"/>
      <c r="B144" s="19"/>
      <c r="C144" s="19"/>
      <c r="D144" s="19"/>
      <c r="E144" s="19"/>
      <c r="F144" s="20"/>
      <c r="G144" s="19"/>
      <c r="H144" s="19"/>
    </row>
    <row r="145" spans="1:8" ht="13.9">
      <c r="A145" s="19"/>
      <c r="B145" s="19"/>
      <c r="C145" s="19"/>
      <c r="D145" s="19"/>
      <c r="E145" s="19"/>
      <c r="F145" s="20"/>
      <c r="G145" s="19"/>
      <c r="H145" s="19"/>
    </row>
    <row r="146" spans="1:8" ht="13.9">
      <c r="A146" s="19"/>
      <c r="B146" s="19"/>
      <c r="C146" s="19"/>
      <c r="D146" s="19"/>
      <c r="E146" s="19"/>
      <c r="F146" s="20"/>
      <c r="G146" s="19"/>
      <c r="H146" s="19"/>
    </row>
    <row r="147" spans="1:8" ht="13.9">
      <c r="A147" s="19"/>
      <c r="B147" s="19"/>
      <c r="C147" s="19"/>
      <c r="D147" s="19"/>
      <c r="E147" s="19"/>
      <c r="F147" s="20"/>
      <c r="G147" s="19"/>
      <c r="H147" s="19"/>
    </row>
    <row r="148" spans="1:8" ht="13.9">
      <c r="A148" s="19"/>
      <c r="B148" s="19"/>
      <c r="C148" s="19"/>
      <c r="D148" s="19"/>
      <c r="E148" s="19"/>
      <c r="F148" s="20"/>
      <c r="G148" s="19"/>
      <c r="H148" s="19"/>
    </row>
    <row r="149" spans="1:8" ht="13.9">
      <c r="A149" s="19"/>
      <c r="B149" s="19"/>
      <c r="C149" s="19"/>
      <c r="D149" s="19"/>
      <c r="E149" s="19"/>
      <c r="F149" s="20"/>
      <c r="G149" s="19"/>
      <c r="H149" s="19"/>
    </row>
    <row r="150" spans="1:8" ht="13.9">
      <c r="A150" s="19"/>
      <c r="B150" s="19"/>
      <c r="C150" s="19"/>
      <c r="D150" s="19"/>
      <c r="E150" s="19"/>
      <c r="F150" s="20"/>
      <c r="G150" s="19"/>
      <c r="H150" s="19"/>
    </row>
    <row r="151" spans="1:8" ht="13.9">
      <c r="A151" s="19"/>
      <c r="B151" s="19"/>
      <c r="C151" s="19"/>
      <c r="D151" s="19"/>
      <c r="E151" s="19"/>
      <c r="F151" s="20"/>
      <c r="G151" s="19"/>
      <c r="H151" s="19"/>
    </row>
    <row r="152" spans="1:8" ht="13.9">
      <c r="A152" s="19"/>
      <c r="B152" s="19"/>
      <c r="C152" s="19"/>
      <c r="D152" s="19"/>
      <c r="E152" s="19"/>
      <c r="F152" s="20"/>
      <c r="G152" s="19"/>
      <c r="H152" s="19"/>
    </row>
    <row r="153" spans="1:8" ht="13.9">
      <c r="A153" s="19"/>
      <c r="B153" s="19"/>
      <c r="C153" s="19"/>
      <c r="D153" s="19"/>
      <c r="E153" s="19"/>
      <c r="F153" s="20"/>
      <c r="G153" s="19"/>
      <c r="H153" s="19"/>
    </row>
    <row r="154" spans="1:8" ht="13.9">
      <c r="A154" s="19"/>
      <c r="B154" s="19"/>
      <c r="C154" s="19"/>
      <c r="D154" s="19"/>
      <c r="E154" s="19"/>
      <c r="F154" s="20"/>
      <c r="G154" s="19"/>
      <c r="H154" s="19"/>
    </row>
    <row r="155" spans="1:8" ht="13.9">
      <c r="A155" s="19"/>
      <c r="B155" s="19"/>
      <c r="C155" s="19"/>
      <c r="D155" s="19"/>
      <c r="E155" s="19"/>
      <c r="F155" s="20"/>
      <c r="G155" s="19"/>
      <c r="H155" s="19"/>
    </row>
    <row r="156" spans="1:8" ht="13.9">
      <c r="A156" s="19"/>
      <c r="B156" s="19"/>
      <c r="C156" s="19"/>
      <c r="D156" s="19"/>
      <c r="E156" s="19"/>
      <c r="F156" s="20"/>
      <c r="G156" s="19"/>
      <c r="H156" s="19"/>
    </row>
    <row r="157" spans="1:8" ht="13.9">
      <c r="A157" s="19"/>
      <c r="B157" s="19"/>
      <c r="C157" s="19"/>
      <c r="D157" s="19"/>
      <c r="E157" s="19"/>
      <c r="F157" s="20"/>
      <c r="G157" s="19"/>
      <c r="H157" s="19"/>
    </row>
    <row r="158" spans="1:8" ht="13.9">
      <c r="A158" s="19"/>
      <c r="B158" s="19"/>
      <c r="C158" s="19"/>
      <c r="D158" s="19"/>
      <c r="E158" s="19"/>
      <c r="F158" s="20"/>
      <c r="G158" s="19"/>
      <c r="H158" s="19"/>
    </row>
    <row r="159" spans="1:8" ht="13.9">
      <c r="A159" s="19"/>
      <c r="B159" s="19"/>
      <c r="C159" s="19"/>
      <c r="D159" s="19"/>
      <c r="E159" s="19"/>
      <c r="F159" s="20"/>
      <c r="G159" s="19"/>
      <c r="H159" s="19"/>
    </row>
    <row r="160" spans="1:8" ht="13.9">
      <c r="A160" s="19"/>
      <c r="B160" s="19"/>
      <c r="C160" s="19"/>
      <c r="D160" s="19"/>
      <c r="E160" s="19"/>
      <c r="F160" s="20"/>
      <c r="G160" s="19"/>
      <c r="H160" s="19"/>
    </row>
    <row r="161" spans="1:8" ht="13.9">
      <c r="A161" s="19"/>
      <c r="B161" s="19"/>
      <c r="C161" s="19"/>
      <c r="D161" s="19"/>
      <c r="E161" s="19"/>
      <c r="F161" s="20"/>
      <c r="G161" s="19"/>
      <c r="H161" s="19"/>
    </row>
    <row r="162" spans="1:8" ht="13.9">
      <c r="A162" s="19"/>
      <c r="B162" s="19"/>
      <c r="C162" s="19"/>
      <c r="D162" s="19"/>
      <c r="E162" s="19"/>
      <c r="F162" s="20"/>
      <c r="G162" s="19"/>
      <c r="H162" s="19"/>
    </row>
    <row r="163" spans="1:8" ht="13.9">
      <c r="A163" s="19"/>
      <c r="B163" s="19"/>
      <c r="C163" s="19"/>
      <c r="D163" s="19"/>
      <c r="E163" s="19"/>
      <c r="F163" s="20"/>
      <c r="G163" s="19"/>
      <c r="H163" s="19"/>
    </row>
    <row r="164" spans="1:8" ht="13.9">
      <c r="A164" s="19"/>
      <c r="B164" s="19"/>
      <c r="C164" s="19"/>
      <c r="D164" s="19"/>
      <c r="E164" s="19"/>
      <c r="F164" s="20"/>
      <c r="G164" s="19"/>
      <c r="H164" s="19"/>
    </row>
    <row r="165" spans="1:8" ht="13.9">
      <c r="A165" s="19"/>
      <c r="B165" s="19"/>
      <c r="C165" s="19"/>
      <c r="D165" s="19"/>
      <c r="E165" s="19"/>
      <c r="F165" s="20"/>
      <c r="G165" s="19"/>
      <c r="H165" s="19"/>
    </row>
    <row r="166" spans="1:8" ht="13.9">
      <c r="A166" s="19"/>
      <c r="B166" s="19"/>
      <c r="C166" s="19"/>
      <c r="D166" s="19"/>
      <c r="E166" s="19"/>
      <c r="F166" s="20"/>
      <c r="G166" s="19"/>
      <c r="H166" s="19"/>
    </row>
    <row r="167" spans="1:8" ht="13.9">
      <c r="A167" s="19"/>
      <c r="B167" s="19"/>
      <c r="C167" s="19"/>
      <c r="D167" s="19"/>
      <c r="E167" s="19"/>
      <c r="F167" s="20"/>
      <c r="G167" s="19"/>
      <c r="H167" s="19"/>
    </row>
    <row r="168" spans="1:8" ht="13.9">
      <c r="A168" s="19"/>
      <c r="B168" s="19"/>
      <c r="C168" s="19"/>
      <c r="D168" s="19"/>
      <c r="E168" s="19"/>
      <c r="F168" s="20"/>
      <c r="G168" s="19"/>
      <c r="H168" s="19"/>
    </row>
    <row r="169" spans="1:8" ht="13.9">
      <c r="A169" s="19"/>
      <c r="B169" s="19"/>
      <c r="C169" s="19"/>
      <c r="D169" s="19"/>
      <c r="E169" s="19"/>
      <c r="F169" s="20"/>
      <c r="G169" s="19"/>
      <c r="H169" s="19"/>
    </row>
    <row r="170" spans="1:8" ht="13.9">
      <c r="A170" s="19"/>
      <c r="B170" s="19"/>
      <c r="C170" s="19"/>
      <c r="D170" s="19"/>
      <c r="E170" s="19"/>
      <c r="F170" s="20"/>
      <c r="G170" s="19"/>
      <c r="H170" s="19"/>
    </row>
    <row r="171" spans="1:8" ht="13.9">
      <c r="A171" s="19"/>
      <c r="B171" s="19"/>
      <c r="C171" s="19"/>
      <c r="D171" s="19"/>
      <c r="E171" s="19"/>
      <c r="F171" s="20"/>
      <c r="G171" s="19"/>
      <c r="H171" s="19"/>
    </row>
    <row r="172" spans="1:8" ht="13.9">
      <c r="A172" s="19"/>
      <c r="B172" s="19"/>
      <c r="C172" s="19"/>
      <c r="D172" s="19"/>
      <c r="E172" s="19"/>
      <c r="F172" s="20"/>
      <c r="G172" s="19"/>
      <c r="H172" s="19"/>
    </row>
    <row r="173" spans="1:8" ht="13.9">
      <c r="A173" s="19"/>
      <c r="B173" s="19"/>
      <c r="C173" s="19"/>
      <c r="D173" s="19"/>
      <c r="E173" s="19"/>
      <c r="F173" s="20"/>
      <c r="G173" s="19"/>
      <c r="H173" s="19"/>
    </row>
    <row r="174" spans="1:8" ht="13.9">
      <c r="A174" s="19"/>
      <c r="B174" s="19"/>
      <c r="C174" s="19"/>
      <c r="D174" s="19"/>
      <c r="E174" s="19"/>
      <c r="F174" s="20"/>
      <c r="G174" s="19"/>
      <c r="H174" s="19"/>
    </row>
    <row r="175" spans="1:8" ht="13.9">
      <c r="A175" s="19"/>
      <c r="B175" s="19"/>
      <c r="C175" s="19"/>
      <c r="D175" s="19"/>
      <c r="E175" s="19"/>
      <c r="F175" s="20"/>
      <c r="G175" s="19"/>
      <c r="H175" s="19"/>
    </row>
    <row r="176" spans="1:8" ht="13.9">
      <c r="A176" s="19"/>
      <c r="B176" s="19"/>
      <c r="C176" s="19"/>
      <c r="D176" s="19"/>
      <c r="E176" s="19"/>
      <c r="F176" s="20"/>
      <c r="G176" s="19"/>
      <c r="H176" s="19"/>
    </row>
    <row r="177" spans="1:8" ht="13.9">
      <c r="A177" s="19"/>
      <c r="B177" s="19"/>
      <c r="C177" s="19"/>
      <c r="D177" s="19"/>
      <c r="E177" s="19"/>
      <c r="F177" s="20"/>
      <c r="G177" s="19"/>
      <c r="H177" s="19"/>
    </row>
    <row r="178" spans="1:8" ht="13.9">
      <c r="A178" s="19"/>
      <c r="B178" s="19"/>
      <c r="C178" s="19"/>
      <c r="D178" s="19"/>
      <c r="E178" s="19"/>
      <c r="F178" s="20"/>
      <c r="G178" s="19"/>
      <c r="H178" s="19"/>
    </row>
    <row r="179" spans="1:8" ht="13.9">
      <c r="A179" s="19"/>
      <c r="B179" s="19"/>
      <c r="C179" s="19"/>
      <c r="D179" s="19"/>
      <c r="E179" s="19"/>
      <c r="F179" s="20"/>
      <c r="G179" s="19"/>
      <c r="H179" s="19"/>
    </row>
    <row r="180" spans="1:8" ht="13.9">
      <c r="A180" s="19"/>
      <c r="B180" s="19"/>
      <c r="C180" s="19"/>
      <c r="D180" s="19"/>
      <c r="E180" s="19"/>
      <c r="F180" s="20"/>
      <c r="G180" s="19"/>
      <c r="H180" s="19"/>
    </row>
    <row r="181" spans="1:8" ht="13.9">
      <c r="A181" s="19"/>
      <c r="B181" s="19"/>
      <c r="C181" s="19"/>
      <c r="D181" s="19"/>
      <c r="E181" s="19"/>
      <c r="F181" s="20"/>
      <c r="G181" s="19"/>
      <c r="H181" s="19"/>
    </row>
    <row r="182" spans="1:8" ht="13.9">
      <c r="A182" s="19"/>
      <c r="B182" s="19"/>
      <c r="C182" s="19"/>
      <c r="D182" s="19"/>
      <c r="E182" s="19"/>
      <c r="F182" s="20"/>
      <c r="G182" s="19"/>
      <c r="H182" s="19"/>
    </row>
    <row r="183" spans="1:8" ht="13.9">
      <c r="A183" s="19"/>
      <c r="B183" s="19"/>
      <c r="C183" s="19"/>
      <c r="D183" s="19"/>
      <c r="E183" s="19"/>
      <c r="F183" s="20"/>
      <c r="G183" s="19"/>
      <c r="H183" s="19"/>
    </row>
    <row r="184" spans="1:8" ht="13.9">
      <c r="A184" s="19"/>
      <c r="B184" s="19"/>
      <c r="C184" s="19"/>
      <c r="D184" s="19"/>
      <c r="E184" s="19"/>
      <c r="F184" s="20"/>
      <c r="G184" s="19"/>
      <c r="H184" s="19"/>
    </row>
    <row r="185" spans="1:8" ht="13.9">
      <c r="A185" s="19"/>
      <c r="B185" s="19"/>
      <c r="C185" s="19"/>
      <c r="D185" s="19"/>
      <c r="E185" s="19"/>
      <c r="F185" s="20"/>
      <c r="G185" s="19"/>
      <c r="H185" s="19"/>
    </row>
    <row r="186" spans="1:8" ht="13.9">
      <c r="A186" s="19"/>
      <c r="B186" s="19"/>
      <c r="C186" s="19"/>
      <c r="D186" s="19"/>
      <c r="E186" s="19"/>
      <c r="F186" s="20"/>
      <c r="G186" s="19"/>
      <c r="H186" s="19"/>
    </row>
    <row r="187" spans="1:8" ht="13.9">
      <c r="A187" s="19"/>
      <c r="B187" s="19"/>
      <c r="C187" s="19"/>
      <c r="D187" s="19"/>
      <c r="E187" s="19"/>
      <c r="F187" s="20"/>
      <c r="G187" s="19"/>
      <c r="H187" s="19"/>
    </row>
    <row r="188" spans="1:8" ht="13.9">
      <c r="A188" s="19"/>
      <c r="B188" s="19"/>
      <c r="C188" s="19"/>
      <c r="D188" s="19"/>
      <c r="E188" s="19"/>
      <c r="F188" s="20"/>
      <c r="G188" s="19"/>
      <c r="H188" s="19"/>
    </row>
    <row r="189" spans="1:8" ht="13.9">
      <c r="A189" s="19"/>
      <c r="B189" s="19"/>
      <c r="C189" s="19"/>
      <c r="D189" s="19"/>
      <c r="E189" s="19"/>
      <c r="F189" s="20"/>
      <c r="G189" s="19"/>
      <c r="H189" s="19"/>
    </row>
    <row r="190" spans="1:8" ht="13.9">
      <c r="A190" s="19"/>
      <c r="B190" s="19"/>
      <c r="C190" s="19"/>
      <c r="D190" s="19"/>
      <c r="E190" s="19"/>
      <c r="F190" s="20"/>
      <c r="G190" s="19"/>
      <c r="H190" s="19"/>
    </row>
    <row r="191" spans="1:8" ht="13.9">
      <c r="A191" s="19"/>
      <c r="B191" s="19"/>
      <c r="C191" s="19"/>
      <c r="D191" s="19"/>
      <c r="E191" s="19"/>
      <c r="F191" s="20"/>
      <c r="G191" s="19"/>
      <c r="H191" s="19"/>
    </row>
    <row r="192" spans="1:8" ht="13.9">
      <c r="A192" s="19"/>
      <c r="B192" s="19"/>
      <c r="C192" s="19"/>
      <c r="D192" s="19"/>
      <c r="E192" s="19"/>
      <c r="F192" s="20"/>
      <c r="G192" s="19"/>
      <c r="H192" s="19"/>
    </row>
    <row r="193" spans="1:8" ht="13.9">
      <c r="A193" s="19"/>
      <c r="B193" s="19"/>
      <c r="C193" s="19"/>
      <c r="D193" s="19"/>
      <c r="E193" s="19"/>
      <c r="F193" s="20"/>
      <c r="G193" s="19"/>
      <c r="H193" s="19"/>
    </row>
    <row r="194" spans="1:8" ht="13.9">
      <c r="A194" s="19"/>
      <c r="B194" s="19"/>
      <c r="C194" s="19"/>
      <c r="D194" s="19"/>
      <c r="E194" s="19"/>
      <c r="F194" s="20"/>
      <c r="G194" s="19"/>
      <c r="H194" s="19"/>
    </row>
    <row r="195" spans="1:8" ht="13.9">
      <c r="A195" s="19"/>
      <c r="B195" s="19"/>
      <c r="C195" s="19"/>
      <c r="D195" s="19"/>
      <c r="E195" s="19"/>
      <c r="F195" s="20"/>
      <c r="G195" s="19"/>
      <c r="H195" s="19"/>
    </row>
    <row r="196" spans="1:8" ht="13.9">
      <c r="A196" s="19"/>
      <c r="B196" s="19"/>
      <c r="C196" s="19"/>
      <c r="D196" s="19"/>
      <c r="E196" s="19"/>
      <c r="F196" s="20"/>
      <c r="G196" s="19"/>
      <c r="H196" s="19"/>
    </row>
    <row r="197" spans="1:8" ht="13.9">
      <c r="A197" s="19"/>
      <c r="B197" s="19"/>
      <c r="C197" s="19"/>
      <c r="D197" s="19"/>
      <c r="E197" s="19"/>
      <c r="F197" s="20"/>
      <c r="G197" s="19"/>
      <c r="H197" s="19"/>
    </row>
    <row r="198" spans="1:8" ht="13.9">
      <c r="A198" s="19"/>
      <c r="B198" s="19"/>
      <c r="C198" s="19"/>
      <c r="D198" s="19"/>
      <c r="E198" s="19"/>
      <c r="F198" s="20"/>
      <c r="G198" s="19"/>
      <c r="H198" s="19"/>
    </row>
    <row r="199" spans="1:8" ht="13.9">
      <c r="A199" s="19"/>
      <c r="B199" s="19"/>
      <c r="C199" s="19"/>
      <c r="D199" s="19"/>
      <c r="E199" s="19"/>
      <c r="F199" s="20"/>
      <c r="G199" s="19"/>
      <c r="H199" s="19"/>
    </row>
    <row r="200" spans="1:8" ht="13.9">
      <c r="A200" s="19"/>
      <c r="B200" s="19"/>
      <c r="C200" s="19"/>
      <c r="D200" s="19"/>
      <c r="E200" s="19"/>
      <c r="F200" s="20"/>
      <c r="G200" s="19"/>
      <c r="H200" s="19"/>
    </row>
    <row r="201" spans="1:8" ht="13.9">
      <c r="A201" s="19"/>
      <c r="B201" s="19"/>
      <c r="C201" s="19"/>
      <c r="D201" s="19"/>
      <c r="E201" s="19"/>
      <c r="F201" s="20"/>
      <c r="G201" s="19"/>
      <c r="H201" s="19"/>
    </row>
    <row r="202" spans="1:8" ht="13.9">
      <c r="A202" s="19"/>
      <c r="B202" s="19"/>
      <c r="C202" s="19"/>
      <c r="D202" s="19"/>
      <c r="E202" s="19"/>
      <c r="F202" s="20"/>
      <c r="G202" s="19"/>
      <c r="H202" s="19"/>
    </row>
    <row r="203" spans="1:8" ht="13.9">
      <c r="A203" s="19"/>
      <c r="B203" s="19"/>
      <c r="C203" s="19"/>
      <c r="D203" s="19"/>
      <c r="E203" s="19"/>
      <c r="F203" s="20"/>
      <c r="G203" s="19"/>
      <c r="H203" s="19"/>
    </row>
    <row r="204" spans="1:8" ht="13.9">
      <c r="A204" s="19"/>
      <c r="B204" s="19"/>
      <c r="C204" s="19"/>
      <c r="D204" s="19"/>
      <c r="E204" s="19"/>
      <c r="F204" s="20"/>
      <c r="G204" s="19"/>
      <c r="H204" s="19"/>
    </row>
    <row r="205" spans="1:8" ht="13.9">
      <c r="A205" s="19"/>
      <c r="B205" s="19"/>
      <c r="C205" s="19"/>
      <c r="D205" s="19"/>
      <c r="E205" s="19"/>
      <c r="F205" s="20"/>
      <c r="G205" s="19"/>
      <c r="H205" s="19"/>
    </row>
    <row r="206" spans="1:8" ht="13.9">
      <c r="A206" s="19"/>
      <c r="B206" s="19"/>
      <c r="C206" s="19"/>
      <c r="D206" s="19"/>
      <c r="E206" s="19"/>
      <c r="F206" s="20"/>
      <c r="G206" s="19"/>
      <c r="H206" s="19"/>
    </row>
    <row r="207" spans="1:8" ht="13.9">
      <c r="A207" s="19"/>
      <c r="B207" s="19"/>
      <c r="C207" s="19"/>
      <c r="D207" s="19"/>
      <c r="E207" s="19"/>
      <c r="F207" s="20"/>
      <c r="G207" s="19"/>
      <c r="H207" s="19"/>
    </row>
    <row r="208" spans="1:8" ht="13.9">
      <c r="A208" s="19"/>
      <c r="B208" s="19"/>
      <c r="C208" s="19"/>
      <c r="D208" s="19"/>
      <c r="E208" s="19"/>
      <c r="F208" s="20"/>
      <c r="G208" s="19"/>
      <c r="H208" s="19"/>
    </row>
    <row r="209" spans="1:8" ht="13.9">
      <c r="A209" s="19"/>
      <c r="B209" s="19"/>
      <c r="C209" s="19"/>
      <c r="D209" s="19"/>
      <c r="E209" s="19"/>
      <c r="F209" s="20"/>
      <c r="G209" s="19"/>
      <c r="H209" s="19"/>
    </row>
    <row r="210" spans="1:8" ht="13.9">
      <c r="A210" s="19"/>
      <c r="B210" s="19"/>
      <c r="C210" s="19"/>
      <c r="D210" s="19"/>
      <c r="E210" s="19"/>
      <c r="F210" s="20"/>
      <c r="G210" s="19"/>
      <c r="H210" s="19"/>
    </row>
    <row r="211" spans="1:8" ht="13.9">
      <c r="A211" s="19"/>
      <c r="B211" s="19"/>
      <c r="C211" s="19"/>
      <c r="D211" s="19"/>
      <c r="E211" s="19"/>
      <c r="F211" s="20"/>
      <c r="G211" s="19"/>
      <c r="H211" s="19"/>
    </row>
    <row r="212" spans="1:8" ht="13.9">
      <c r="A212" s="19"/>
      <c r="B212" s="19"/>
      <c r="C212" s="19"/>
      <c r="D212" s="19"/>
      <c r="E212" s="19"/>
      <c r="F212" s="20"/>
      <c r="G212" s="19"/>
      <c r="H212" s="19"/>
    </row>
    <row r="213" spans="1:8" ht="13.9">
      <c r="A213" s="19"/>
      <c r="B213" s="19"/>
      <c r="C213" s="19"/>
      <c r="D213" s="19"/>
      <c r="E213" s="19"/>
      <c r="F213" s="20"/>
      <c r="G213" s="19"/>
      <c r="H213" s="19"/>
    </row>
    <row r="214" spans="1:8" ht="13.9">
      <c r="A214" s="19"/>
      <c r="B214" s="19"/>
      <c r="C214" s="19"/>
      <c r="D214" s="19"/>
      <c r="E214" s="19"/>
      <c r="F214" s="20"/>
      <c r="G214" s="19"/>
      <c r="H214" s="19"/>
    </row>
    <row r="215" spans="1:8" ht="13.9">
      <c r="A215" s="19"/>
      <c r="B215" s="19"/>
      <c r="C215" s="19"/>
      <c r="D215" s="19"/>
      <c r="E215" s="19"/>
      <c r="F215" s="20"/>
      <c r="G215" s="19"/>
      <c r="H215" s="19"/>
    </row>
    <row r="216" spans="1:8" ht="13.9">
      <c r="A216" s="19"/>
      <c r="B216" s="19"/>
      <c r="C216" s="19"/>
      <c r="D216" s="19"/>
      <c r="E216" s="19"/>
      <c r="F216" s="20"/>
      <c r="G216" s="19"/>
      <c r="H216" s="19"/>
    </row>
    <row r="217" spans="1:8" ht="13.9">
      <c r="A217" s="19"/>
      <c r="B217" s="19"/>
      <c r="C217" s="19"/>
      <c r="D217" s="19"/>
      <c r="E217" s="19"/>
      <c r="F217" s="20"/>
      <c r="G217" s="19"/>
      <c r="H217" s="19"/>
    </row>
    <row r="218" spans="1:8" ht="13.9">
      <c r="A218" s="19"/>
      <c r="B218" s="19"/>
      <c r="C218" s="19"/>
      <c r="D218" s="19"/>
      <c r="E218" s="19"/>
      <c r="F218" s="20"/>
      <c r="G218" s="19"/>
      <c r="H218" s="19"/>
    </row>
    <row r="219" spans="1:8" ht="13.9">
      <c r="A219" s="19"/>
      <c r="B219" s="19"/>
      <c r="C219" s="19"/>
      <c r="D219" s="19"/>
      <c r="E219" s="19"/>
      <c r="F219" s="20"/>
      <c r="G219" s="19"/>
      <c r="H219" s="19"/>
    </row>
    <row r="220" spans="1:8" ht="13.9">
      <c r="A220" s="19"/>
      <c r="B220" s="19"/>
      <c r="C220" s="19"/>
      <c r="D220" s="19"/>
      <c r="E220" s="19"/>
      <c r="F220" s="20"/>
      <c r="G220" s="19"/>
      <c r="H220" s="19"/>
    </row>
    <row r="221" spans="1:8" ht="13.9">
      <c r="A221" s="19"/>
      <c r="B221" s="19"/>
      <c r="C221" s="19"/>
      <c r="D221" s="19"/>
      <c r="E221" s="19"/>
      <c r="F221" s="20"/>
      <c r="G221" s="19"/>
      <c r="H221" s="19"/>
    </row>
    <row r="222" spans="1:8" ht="13.9">
      <c r="A222" s="19"/>
      <c r="B222" s="19"/>
      <c r="C222" s="19"/>
      <c r="D222" s="19"/>
      <c r="E222" s="19"/>
      <c r="F222" s="20"/>
      <c r="G222" s="19"/>
      <c r="H222" s="19"/>
    </row>
    <row r="223" spans="1:8" ht="13.9">
      <c r="A223" s="19"/>
      <c r="B223" s="19"/>
      <c r="C223" s="19"/>
      <c r="D223" s="19"/>
      <c r="E223" s="19"/>
      <c r="F223" s="20"/>
      <c r="G223" s="19"/>
      <c r="H223" s="19"/>
    </row>
    <row r="224" spans="1:8" ht="13.9">
      <c r="A224" s="19"/>
      <c r="B224" s="19"/>
      <c r="C224" s="19"/>
      <c r="D224" s="19"/>
      <c r="E224" s="19"/>
      <c r="F224" s="20"/>
      <c r="G224" s="19"/>
      <c r="H224" s="19"/>
    </row>
    <row r="225" spans="1:8" ht="13.9">
      <c r="A225" s="19"/>
      <c r="B225" s="19"/>
      <c r="C225" s="19"/>
      <c r="D225" s="19"/>
      <c r="E225" s="19"/>
      <c r="F225" s="20"/>
      <c r="G225" s="19"/>
      <c r="H225" s="19"/>
    </row>
    <row r="226" spans="1:8" ht="13.9">
      <c r="A226" s="19"/>
      <c r="B226" s="19"/>
      <c r="C226" s="19"/>
      <c r="D226" s="19"/>
      <c r="E226" s="19"/>
      <c r="F226" s="20"/>
      <c r="G226" s="19"/>
      <c r="H226" s="19"/>
    </row>
    <row r="227" spans="1:8" ht="13.9">
      <c r="A227" s="19"/>
      <c r="B227" s="19"/>
      <c r="C227" s="19"/>
      <c r="D227" s="19"/>
      <c r="E227" s="19"/>
      <c r="F227" s="20"/>
      <c r="G227" s="19"/>
      <c r="H227" s="19"/>
    </row>
    <row r="228" spans="1:8" ht="13.9">
      <c r="A228" s="19"/>
      <c r="B228" s="19"/>
      <c r="C228" s="19"/>
      <c r="D228" s="19"/>
      <c r="E228" s="19"/>
      <c r="F228" s="20"/>
      <c r="G228" s="19"/>
      <c r="H228" s="19"/>
    </row>
    <row r="229" spans="1:8" ht="13.9">
      <c r="A229" s="19"/>
      <c r="B229" s="19"/>
      <c r="C229" s="19"/>
      <c r="D229" s="19"/>
      <c r="E229" s="19"/>
      <c r="F229" s="20"/>
      <c r="G229" s="19"/>
      <c r="H229" s="19"/>
    </row>
    <row r="230" spans="1:8" ht="13.9">
      <c r="A230" s="19"/>
      <c r="B230" s="19"/>
      <c r="C230" s="19"/>
      <c r="D230" s="19"/>
      <c r="E230" s="19"/>
      <c r="F230" s="20"/>
      <c r="G230" s="19"/>
      <c r="H230" s="19"/>
    </row>
    <row r="231" spans="1:8" ht="13.9">
      <c r="A231" s="19"/>
      <c r="B231" s="19"/>
      <c r="C231" s="19"/>
      <c r="D231" s="19"/>
      <c r="E231" s="19"/>
      <c r="F231" s="20"/>
      <c r="G231" s="19"/>
      <c r="H231" s="19"/>
    </row>
    <row r="232" spans="1:8" ht="13.9">
      <c r="A232" s="19"/>
      <c r="B232" s="19"/>
      <c r="C232" s="19"/>
      <c r="D232" s="19"/>
      <c r="E232" s="19"/>
      <c r="F232" s="20"/>
      <c r="G232" s="19"/>
      <c r="H232" s="19"/>
    </row>
    <row r="233" spans="1:8" ht="13.9">
      <c r="A233" s="19"/>
      <c r="B233" s="19"/>
      <c r="C233" s="19"/>
      <c r="D233" s="19"/>
      <c r="E233" s="19"/>
      <c r="F233" s="20"/>
      <c r="G233" s="19"/>
      <c r="H233" s="19"/>
    </row>
    <row r="234" spans="1:8" ht="13.9">
      <c r="A234" s="19"/>
      <c r="B234" s="19"/>
      <c r="C234" s="19"/>
      <c r="D234" s="19"/>
      <c r="E234" s="19"/>
      <c r="F234" s="20"/>
      <c r="G234" s="19"/>
      <c r="H234" s="19"/>
    </row>
    <row r="235" spans="1:8" ht="13.9">
      <c r="A235" s="19"/>
      <c r="B235" s="19"/>
      <c r="C235" s="19"/>
      <c r="D235" s="19"/>
      <c r="E235" s="19"/>
      <c r="F235" s="20"/>
      <c r="G235" s="19"/>
      <c r="H235" s="19"/>
    </row>
    <row r="236" spans="1:8" ht="13.9">
      <c r="A236" s="19"/>
      <c r="B236" s="19"/>
      <c r="C236" s="19"/>
      <c r="D236" s="19"/>
      <c r="E236" s="19"/>
      <c r="F236" s="20"/>
      <c r="G236" s="19"/>
      <c r="H236" s="19"/>
    </row>
    <row r="237" spans="1:8" ht="13.9">
      <c r="A237" s="19"/>
      <c r="B237" s="19"/>
      <c r="C237" s="19"/>
      <c r="D237" s="19"/>
      <c r="E237" s="19"/>
      <c r="F237" s="20"/>
      <c r="G237" s="19"/>
      <c r="H237" s="19"/>
    </row>
    <row r="238" spans="1:8" ht="13.9">
      <c r="A238" s="19"/>
      <c r="B238" s="19"/>
      <c r="C238" s="19"/>
      <c r="D238" s="19"/>
      <c r="E238" s="19"/>
      <c r="F238" s="20"/>
      <c r="G238" s="19"/>
      <c r="H238" s="19"/>
    </row>
    <row r="239" spans="1:8" ht="13.9">
      <c r="A239" s="19"/>
      <c r="B239" s="19"/>
      <c r="C239" s="19"/>
      <c r="D239" s="19"/>
      <c r="E239" s="19"/>
      <c r="F239" s="20"/>
      <c r="G239" s="19"/>
      <c r="H239" s="19"/>
    </row>
    <row r="240" spans="1:8" ht="13.9">
      <c r="A240" s="19"/>
      <c r="B240" s="19"/>
      <c r="C240" s="19"/>
      <c r="D240" s="19"/>
      <c r="E240" s="19"/>
      <c r="F240" s="20"/>
      <c r="G240" s="19"/>
      <c r="H240" s="19"/>
    </row>
    <row r="241" spans="1:8" ht="13.9">
      <c r="A241" s="19"/>
      <c r="B241" s="19"/>
      <c r="C241" s="19"/>
      <c r="D241" s="19"/>
      <c r="E241" s="19"/>
      <c r="F241" s="20"/>
      <c r="G241" s="19"/>
      <c r="H241" s="19"/>
    </row>
    <row r="242" spans="1:8" ht="13.9">
      <c r="A242" s="19"/>
      <c r="B242" s="19"/>
      <c r="C242" s="19"/>
      <c r="D242" s="19"/>
      <c r="E242" s="19"/>
      <c r="F242" s="20"/>
      <c r="G242" s="19"/>
      <c r="H242" s="19"/>
    </row>
    <row r="243" spans="1:8" ht="13.9">
      <c r="A243" s="19"/>
      <c r="B243" s="19"/>
      <c r="C243" s="19"/>
      <c r="D243" s="19"/>
      <c r="E243" s="19"/>
      <c r="F243" s="20"/>
      <c r="G243" s="19"/>
      <c r="H243" s="19"/>
    </row>
    <row r="244" spans="1:8" ht="13.9">
      <c r="A244" s="19"/>
      <c r="B244" s="19"/>
      <c r="C244" s="19"/>
      <c r="D244" s="19"/>
      <c r="E244" s="19"/>
      <c r="F244" s="20"/>
      <c r="G244" s="19"/>
      <c r="H244" s="19"/>
    </row>
    <row r="245" spans="1:8" ht="13.9">
      <c r="A245" s="19"/>
      <c r="B245" s="19"/>
      <c r="C245" s="19"/>
      <c r="D245" s="19"/>
      <c r="E245" s="19"/>
      <c r="F245" s="20"/>
      <c r="G245" s="19"/>
      <c r="H245" s="19"/>
    </row>
    <row r="246" spans="1:8" ht="13.9">
      <c r="A246" s="19"/>
      <c r="B246" s="19"/>
      <c r="C246" s="19"/>
      <c r="D246" s="19"/>
      <c r="E246" s="19"/>
      <c r="F246" s="20"/>
      <c r="G246" s="19"/>
      <c r="H246" s="19"/>
    </row>
    <row r="247" spans="1:8" ht="13.9">
      <c r="A247" s="19"/>
      <c r="B247" s="19"/>
      <c r="C247" s="19"/>
      <c r="D247" s="19"/>
      <c r="E247" s="19"/>
      <c r="F247" s="20"/>
      <c r="G247" s="19"/>
      <c r="H247" s="19"/>
    </row>
    <row r="248" spans="1:8" ht="13.9">
      <c r="A248" s="19"/>
      <c r="B248" s="19"/>
      <c r="C248" s="19"/>
      <c r="D248" s="19"/>
      <c r="E248" s="19"/>
      <c r="F248" s="20"/>
      <c r="G248" s="19"/>
      <c r="H248" s="19"/>
    </row>
    <row r="249" spans="1:8" ht="13.9">
      <c r="A249" s="19"/>
      <c r="B249" s="19"/>
      <c r="C249" s="19"/>
      <c r="D249" s="19"/>
      <c r="E249" s="19"/>
      <c r="F249" s="20"/>
      <c r="G249" s="19"/>
      <c r="H249" s="19"/>
    </row>
    <row r="250" spans="1:8" ht="13.9">
      <c r="A250" s="19"/>
      <c r="B250" s="19"/>
      <c r="C250" s="19"/>
      <c r="D250" s="19"/>
      <c r="E250" s="19"/>
      <c r="F250" s="20"/>
      <c r="G250" s="19"/>
      <c r="H250" s="19"/>
    </row>
    <row r="251" spans="1:8" ht="13.9">
      <c r="A251" s="19"/>
      <c r="B251" s="19"/>
      <c r="C251" s="19"/>
      <c r="D251" s="19"/>
      <c r="E251" s="19"/>
      <c r="F251" s="20"/>
      <c r="G251" s="19"/>
      <c r="H251" s="19"/>
    </row>
    <row r="252" spans="1:8" ht="13.9">
      <c r="A252" s="19"/>
      <c r="B252" s="19"/>
      <c r="C252" s="19"/>
      <c r="D252" s="19"/>
      <c r="E252" s="19"/>
      <c r="F252" s="20"/>
      <c r="G252" s="19"/>
      <c r="H252" s="19"/>
    </row>
    <row r="253" spans="1:8" ht="13.9">
      <c r="A253" s="19"/>
      <c r="B253" s="19"/>
      <c r="C253" s="19"/>
      <c r="D253" s="19"/>
      <c r="E253" s="19"/>
      <c r="F253" s="20"/>
      <c r="G253" s="19"/>
      <c r="H253" s="19"/>
    </row>
    <row r="254" spans="1:8" ht="13.9">
      <c r="A254" s="19"/>
      <c r="B254" s="19"/>
      <c r="C254" s="19"/>
      <c r="D254" s="19"/>
      <c r="E254" s="19"/>
      <c r="F254" s="20"/>
      <c r="G254" s="19"/>
      <c r="H254" s="19"/>
    </row>
    <row r="255" spans="1:8" ht="13.9">
      <c r="A255" s="19"/>
      <c r="B255" s="19"/>
      <c r="C255" s="19"/>
      <c r="D255" s="19"/>
      <c r="E255" s="19"/>
      <c r="F255" s="20"/>
      <c r="G255" s="19"/>
      <c r="H255" s="19"/>
    </row>
    <row r="256" spans="1:8" ht="13.9">
      <c r="A256" s="19"/>
      <c r="B256" s="19"/>
      <c r="C256" s="19"/>
      <c r="D256" s="19"/>
      <c r="E256" s="19"/>
      <c r="F256" s="20"/>
      <c r="G256" s="19"/>
      <c r="H256" s="19"/>
    </row>
    <row r="257" spans="1:8" ht="13.9">
      <c r="A257" s="19"/>
      <c r="B257" s="19"/>
      <c r="C257" s="19"/>
      <c r="D257" s="19"/>
      <c r="E257" s="19"/>
      <c r="F257" s="20"/>
      <c r="G257" s="19"/>
      <c r="H257" s="19"/>
    </row>
    <row r="258" spans="1:8" ht="13.9">
      <c r="A258" s="19"/>
      <c r="B258" s="19"/>
      <c r="C258" s="19"/>
      <c r="D258" s="19"/>
      <c r="E258" s="19"/>
      <c r="F258" s="20"/>
      <c r="G258" s="19"/>
      <c r="H258" s="19"/>
    </row>
    <row r="259" spans="1:8" ht="13.9">
      <c r="A259" s="19"/>
      <c r="B259" s="19"/>
      <c r="C259" s="19"/>
      <c r="D259" s="19"/>
      <c r="E259" s="19"/>
      <c r="F259" s="20"/>
      <c r="G259" s="19"/>
      <c r="H259" s="19"/>
    </row>
    <row r="260" spans="1:8" ht="13.9">
      <c r="A260" s="19"/>
      <c r="B260" s="19"/>
      <c r="C260" s="19"/>
      <c r="D260" s="19"/>
      <c r="E260" s="19"/>
      <c r="F260" s="20"/>
      <c r="G260" s="19"/>
      <c r="H260" s="19"/>
    </row>
    <row r="261" spans="1:8" ht="13.9">
      <c r="A261" s="19"/>
      <c r="B261" s="19"/>
      <c r="C261" s="19"/>
      <c r="D261" s="19"/>
      <c r="E261" s="19"/>
      <c r="F261" s="20"/>
      <c r="G261" s="19"/>
      <c r="H261" s="19"/>
    </row>
    <row r="262" spans="1:8" ht="13.9">
      <c r="A262" s="19"/>
      <c r="B262" s="19"/>
      <c r="C262" s="19"/>
      <c r="D262" s="19"/>
      <c r="E262" s="19"/>
      <c r="F262" s="20"/>
      <c r="G262" s="19"/>
      <c r="H262" s="19"/>
    </row>
    <row r="263" spans="1:8" ht="13.9">
      <c r="A263" s="19"/>
      <c r="B263" s="19"/>
      <c r="C263" s="19"/>
      <c r="D263" s="19"/>
      <c r="E263" s="19"/>
      <c r="F263" s="20"/>
      <c r="G263" s="19"/>
      <c r="H263" s="19"/>
    </row>
    <row r="264" spans="1:8" ht="13.9">
      <c r="A264" s="19"/>
      <c r="B264" s="19"/>
      <c r="C264" s="19"/>
      <c r="D264" s="19"/>
      <c r="E264" s="19"/>
      <c r="F264" s="20"/>
      <c r="G264" s="19"/>
      <c r="H264" s="19"/>
    </row>
    <row r="265" spans="1:8" ht="13.9">
      <c r="A265" s="19"/>
      <c r="B265" s="19"/>
      <c r="C265" s="19"/>
      <c r="D265" s="19"/>
      <c r="E265" s="19"/>
      <c r="F265" s="20"/>
      <c r="G265" s="19"/>
      <c r="H265" s="19"/>
    </row>
    <row r="266" spans="1:8" ht="13.9">
      <c r="A266" s="19"/>
      <c r="B266" s="19"/>
      <c r="C266" s="19"/>
      <c r="D266" s="19"/>
      <c r="E266" s="19"/>
      <c r="F266" s="20"/>
      <c r="G266" s="19"/>
      <c r="H266" s="19"/>
    </row>
    <row r="267" spans="1:8" ht="13.9">
      <c r="A267" s="19"/>
      <c r="B267" s="19"/>
      <c r="C267" s="19"/>
      <c r="D267" s="19"/>
      <c r="E267" s="19"/>
      <c r="F267" s="20"/>
      <c r="G267" s="19"/>
      <c r="H267" s="19"/>
    </row>
    <row r="268" spans="1:8" ht="13.9">
      <c r="A268" s="19"/>
      <c r="B268" s="19"/>
      <c r="C268" s="19"/>
      <c r="D268" s="19"/>
      <c r="E268" s="19"/>
      <c r="F268" s="20"/>
      <c r="G268" s="19"/>
      <c r="H268" s="19"/>
    </row>
    <row r="269" spans="1:8" ht="13.9">
      <c r="A269" s="19"/>
      <c r="B269" s="19"/>
      <c r="C269" s="19"/>
      <c r="D269" s="19"/>
      <c r="E269" s="19"/>
      <c r="F269" s="20"/>
      <c r="G269" s="19"/>
      <c r="H269" s="19"/>
    </row>
    <row r="270" spans="1:8" ht="13.9">
      <c r="A270" s="19"/>
      <c r="B270" s="19"/>
      <c r="C270" s="19"/>
      <c r="D270" s="19"/>
      <c r="E270" s="19"/>
      <c r="F270" s="20"/>
      <c r="G270" s="19"/>
      <c r="H270" s="19"/>
    </row>
    <row r="271" spans="1:8" ht="13.9">
      <c r="A271" s="19"/>
      <c r="B271" s="19"/>
      <c r="C271" s="19"/>
      <c r="D271" s="19"/>
      <c r="E271" s="19"/>
      <c r="F271" s="20"/>
      <c r="G271" s="19"/>
      <c r="H271" s="19"/>
    </row>
    <row r="272" spans="1:8" ht="13.9">
      <c r="A272" s="19"/>
      <c r="B272" s="19"/>
      <c r="C272" s="19"/>
      <c r="D272" s="19"/>
      <c r="E272" s="19"/>
      <c r="F272" s="20"/>
      <c r="G272" s="19"/>
      <c r="H272" s="19"/>
    </row>
    <row r="273" spans="1:8" ht="13.9">
      <c r="A273" s="19"/>
      <c r="B273" s="19"/>
      <c r="C273" s="19"/>
      <c r="D273" s="19"/>
      <c r="E273" s="19"/>
      <c r="F273" s="20"/>
      <c r="G273" s="19"/>
      <c r="H273" s="19"/>
    </row>
    <row r="274" spans="1:8" ht="13.9">
      <c r="A274" s="19"/>
      <c r="B274" s="19"/>
      <c r="C274" s="19"/>
      <c r="D274" s="19"/>
      <c r="E274" s="19"/>
      <c r="F274" s="20"/>
      <c r="G274" s="19"/>
      <c r="H274" s="19"/>
    </row>
    <row r="275" spans="1:8" ht="13.9">
      <c r="A275" s="19"/>
      <c r="B275" s="19"/>
      <c r="C275" s="19"/>
      <c r="D275" s="19"/>
      <c r="E275" s="19"/>
      <c r="F275" s="20"/>
      <c r="G275" s="19"/>
      <c r="H275" s="19"/>
    </row>
    <row r="276" spans="1:8" ht="13.9">
      <c r="A276" s="19"/>
      <c r="B276" s="19"/>
      <c r="C276" s="19"/>
      <c r="D276" s="19"/>
      <c r="E276" s="19"/>
      <c r="F276" s="20"/>
      <c r="G276" s="19"/>
      <c r="H276" s="19"/>
    </row>
    <row r="277" spans="1:8" ht="13.9">
      <c r="A277" s="19"/>
      <c r="B277" s="19"/>
      <c r="C277" s="19"/>
      <c r="D277" s="19"/>
      <c r="E277" s="19"/>
      <c r="F277" s="20"/>
      <c r="G277" s="19"/>
      <c r="H277" s="19"/>
    </row>
    <row r="278" spans="1:8" ht="13.9">
      <c r="A278" s="19"/>
      <c r="B278" s="19"/>
      <c r="C278" s="19"/>
      <c r="D278" s="19"/>
      <c r="E278" s="19"/>
      <c r="F278" s="20"/>
      <c r="G278" s="19"/>
      <c r="H278" s="19"/>
    </row>
    <row r="279" spans="1:8" ht="13.9">
      <c r="A279" s="19"/>
      <c r="B279" s="19"/>
      <c r="C279" s="19"/>
      <c r="D279" s="19"/>
      <c r="E279" s="19"/>
      <c r="F279" s="20"/>
      <c r="G279" s="19"/>
      <c r="H279" s="19"/>
    </row>
    <row r="280" spans="1:8" ht="13.9">
      <c r="A280" s="19"/>
      <c r="B280" s="19"/>
      <c r="C280" s="19"/>
      <c r="D280" s="19"/>
      <c r="E280" s="19"/>
      <c r="F280" s="20"/>
      <c r="G280" s="19"/>
      <c r="H280" s="19"/>
    </row>
    <row r="281" spans="1:8" ht="13.9">
      <c r="A281" s="19"/>
      <c r="B281" s="19"/>
      <c r="C281" s="19"/>
      <c r="D281" s="19"/>
      <c r="E281" s="19"/>
      <c r="F281" s="20"/>
      <c r="G281" s="19"/>
      <c r="H281" s="19"/>
    </row>
    <row r="282" spans="1:8" ht="13.9">
      <c r="A282" s="19"/>
      <c r="B282" s="19"/>
      <c r="C282" s="19"/>
      <c r="D282" s="19"/>
      <c r="E282" s="19"/>
      <c r="F282" s="20"/>
      <c r="G282" s="19"/>
      <c r="H282" s="19"/>
    </row>
    <row r="283" spans="1:8" ht="13.9">
      <c r="A283" s="19"/>
      <c r="B283" s="19"/>
      <c r="C283" s="19"/>
      <c r="D283" s="19"/>
      <c r="E283" s="19"/>
      <c r="F283" s="20"/>
      <c r="G283" s="19"/>
      <c r="H283" s="19"/>
    </row>
    <row r="284" spans="1:8" ht="13.9">
      <c r="A284" s="19"/>
      <c r="B284" s="19"/>
      <c r="C284" s="19"/>
      <c r="D284" s="19"/>
      <c r="E284" s="19"/>
      <c r="F284" s="20"/>
      <c r="G284" s="19"/>
      <c r="H284" s="19"/>
    </row>
    <row r="285" spans="1:8" ht="13.9">
      <c r="A285" s="19"/>
      <c r="B285" s="19"/>
      <c r="C285" s="19"/>
      <c r="D285" s="19"/>
      <c r="E285" s="19"/>
      <c r="F285" s="20"/>
      <c r="G285" s="19"/>
      <c r="H285" s="19"/>
    </row>
    <row r="286" spans="1:8" ht="13.9">
      <c r="A286" s="19"/>
      <c r="B286" s="19"/>
      <c r="C286" s="19"/>
      <c r="D286" s="19"/>
      <c r="E286" s="19"/>
      <c r="F286" s="20"/>
      <c r="G286" s="19"/>
      <c r="H286" s="19"/>
    </row>
    <row r="287" spans="1:8" ht="13.9">
      <c r="A287" s="19"/>
      <c r="B287" s="19"/>
      <c r="C287" s="19"/>
      <c r="D287" s="19"/>
      <c r="E287" s="19"/>
      <c r="F287" s="20"/>
      <c r="G287" s="19"/>
      <c r="H287" s="19"/>
    </row>
    <row r="288" spans="1:8" ht="13.9">
      <c r="A288" s="19"/>
      <c r="B288" s="19"/>
      <c r="C288" s="19"/>
      <c r="D288" s="19"/>
      <c r="E288" s="19"/>
      <c r="F288" s="20"/>
      <c r="G288" s="19"/>
      <c r="H288" s="19"/>
    </row>
    <row r="289" spans="1:8" ht="13.9">
      <c r="A289" s="19"/>
      <c r="B289" s="19"/>
      <c r="C289" s="19"/>
      <c r="D289" s="19"/>
      <c r="E289" s="19"/>
      <c r="F289" s="20"/>
      <c r="G289" s="19"/>
      <c r="H289" s="19"/>
    </row>
    <row r="290" spans="1:8" ht="13.9">
      <c r="A290" s="19"/>
      <c r="B290" s="19"/>
      <c r="C290" s="19"/>
      <c r="D290" s="19"/>
      <c r="E290" s="19"/>
      <c r="F290" s="20"/>
      <c r="G290" s="19"/>
      <c r="H290" s="19"/>
    </row>
    <row r="291" spans="1:8" ht="13.9">
      <c r="A291" s="19"/>
      <c r="B291" s="19"/>
      <c r="C291" s="19"/>
      <c r="D291" s="19"/>
      <c r="E291" s="19"/>
      <c r="F291" s="20"/>
      <c r="G291" s="19"/>
      <c r="H291" s="19"/>
    </row>
    <row r="292" spans="1:8" ht="13.9">
      <c r="A292" s="19"/>
      <c r="B292" s="19"/>
      <c r="C292" s="19"/>
      <c r="D292" s="19"/>
      <c r="E292" s="19"/>
      <c r="F292" s="20"/>
      <c r="G292" s="19"/>
      <c r="H292" s="19"/>
    </row>
    <row r="293" spans="1:8" ht="13.9">
      <c r="A293" s="19"/>
      <c r="B293" s="19"/>
      <c r="C293" s="19"/>
      <c r="D293" s="19"/>
      <c r="E293" s="19"/>
      <c r="F293" s="20"/>
      <c r="G293" s="19"/>
      <c r="H293" s="19"/>
    </row>
    <row r="294" spans="1:8" ht="13.9">
      <c r="A294" s="19"/>
      <c r="B294" s="19"/>
      <c r="C294" s="19"/>
      <c r="D294" s="19"/>
      <c r="E294" s="19"/>
      <c r="F294" s="20"/>
      <c r="G294" s="19"/>
      <c r="H294" s="19"/>
    </row>
    <row r="295" spans="1:8" ht="13.9">
      <c r="A295" s="19"/>
      <c r="B295" s="19"/>
      <c r="C295" s="19"/>
      <c r="D295" s="19"/>
      <c r="E295" s="19"/>
      <c r="F295" s="20"/>
      <c r="G295" s="19"/>
      <c r="H295" s="19"/>
    </row>
    <row r="296" spans="1:8" ht="13.9">
      <c r="A296" s="19"/>
      <c r="B296" s="19"/>
      <c r="C296" s="19"/>
      <c r="D296" s="19"/>
      <c r="E296" s="19"/>
      <c r="F296" s="20"/>
      <c r="G296" s="19"/>
      <c r="H296" s="19"/>
    </row>
    <row r="297" spans="1:8" ht="13.9">
      <c r="A297" s="19"/>
      <c r="B297" s="19"/>
      <c r="C297" s="19"/>
      <c r="D297" s="19"/>
      <c r="E297" s="19"/>
      <c r="F297" s="20"/>
      <c r="G297" s="19"/>
      <c r="H297" s="19"/>
    </row>
    <row r="298" spans="1:8" ht="13.9">
      <c r="A298" s="19"/>
      <c r="B298" s="19"/>
      <c r="C298" s="19"/>
      <c r="D298" s="19"/>
      <c r="E298" s="19"/>
      <c r="F298" s="20"/>
      <c r="G298" s="19"/>
      <c r="H298" s="19"/>
    </row>
    <row r="299" spans="1:8" ht="13.9">
      <c r="A299" s="19"/>
      <c r="B299" s="19"/>
      <c r="C299" s="19"/>
      <c r="D299" s="19"/>
      <c r="E299" s="19"/>
      <c r="F299" s="20"/>
      <c r="G299" s="19"/>
      <c r="H299" s="19"/>
    </row>
    <row r="300" spans="1:8" ht="13.9">
      <c r="A300" s="19"/>
      <c r="B300" s="19"/>
      <c r="C300" s="19"/>
      <c r="D300" s="19"/>
      <c r="E300" s="19"/>
      <c r="F300" s="20"/>
      <c r="G300" s="19"/>
      <c r="H300" s="19"/>
    </row>
    <row r="301" spans="1:8" ht="13.9">
      <c r="A301" s="19"/>
      <c r="B301" s="19"/>
      <c r="C301" s="19"/>
      <c r="D301" s="19"/>
      <c r="E301" s="19"/>
      <c r="F301" s="20"/>
      <c r="G301" s="19"/>
      <c r="H301" s="19"/>
    </row>
    <row r="302" spans="1:8" ht="13.9">
      <c r="A302" s="19"/>
      <c r="B302" s="19"/>
      <c r="C302" s="19"/>
      <c r="D302" s="19"/>
      <c r="E302" s="19"/>
      <c r="F302" s="20"/>
      <c r="G302" s="19"/>
      <c r="H302" s="19"/>
    </row>
    <row r="303" spans="1:8" ht="13.9">
      <c r="A303" s="19"/>
      <c r="B303" s="19"/>
      <c r="C303" s="19"/>
      <c r="D303" s="19"/>
      <c r="E303" s="19"/>
      <c r="F303" s="20"/>
      <c r="G303" s="19"/>
      <c r="H303" s="19"/>
    </row>
    <row r="304" spans="1:8" ht="13.9">
      <c r="A304" s="19"/>
      <c r="B304" s="19"/>
      <c r="C304" s="19"/>
      <c r="D304" s="19"/>
      <c r="E304" s="19"/>
      <c r="F304" s="20"/>
      <c r="G304" s="19"/>
      <c r="H304" s="19"/>
    </row>
    <row r="305" spans="1:8" ht="13.9">
      <c r="A305" s="19"/>
      <c r="B305" s="19"/>
      <c r="C305" s="19"/>
      <c r="D305" s="19"/>
      <c r="E305" s="19"/>
      <c r="F305" s="20"/>
      <c r="G305" s="19"/>
      <c r="H305" s="19"/>
    </row>
    <row r="306" spans="1:8" ht="13.9">
      <c r="A306" s="19"/>
      <c r="B306" s="19"/>
      <c r="C306" s="19"/>
      <c r="D306" s="19"/>
      <c r="E306" s="19"/>
      <c r="F306" s="20"/>
      <c r="G306" s="19"/>
      <c r="H306" s="19"/>
    </row>
    <row r="307" spans="1:8" ht="13.9">
      <c r="A307" s="19"/>
      <c r="B307" s="19"/>
      <c r="C307" s="19"/>
      <c r="D307" s="19"/>
      <c r="E307" s="19"/>
      <c r="F307" s="20"/>
      <c r="G307" s="19"/>
      <c r="H307" s="19"/>
    </row>
    <row r="308" spans="1:8" ht="13.9">
      <c r="A308" s="19"/>
      <c r="B308" s="19"/>
      <c r="C308" s="19"/>
      <c r="D308" s="19"/>
      <c r="E308" s="19"/>
      <c r="F308" s="20"/>
      <c r="G308" s="19"/>
      <c r="H308" s="19"/>
    </row>
    <row r="309" spans="1:8" ht="13.9">
      <c r="A309" s="19"/>
      <c r="B309" s="19"/>
      <c r="C309" s="19"/>
      <c r="D309" s="19"/>
      <c r="E309" s="19"/>
      <c r="F309" s="20"/>
      <c r="G309" s="19"/>
      <c r="H309" s="19"/>
    </row>
    <row r="310" spans="1:8" ht="13.9">
      <c r="A310" s="19"/>
      <c r="B310" s="19"/>
      <c r="C310" s="19"/>
      <c r="D310" s="19"/>
      <c r="E310" s="19"/>
      <c r="F310" s="20"/>
      <c r="G310" s="19"/>
      <c r="H310" s="19"/>
    </row>
    <row r="311" spans="1:8" ht="13.9">
      <c r="A311" s="19"/>
      <c r="B311" s="19"/>
      <c r="C311" s="19"/>
      <c r="D311" s="19"/>
      <c r="E311" s="19"/>
      <c r="F311" s="20"/>
      <c r="G311" s="19"/>
      <c r="H311" s="19"/>
    </row>
    <row r="312" spans="1:8" ht="13.9">
      <c r="A312" s="19"/>
      <c r="B312" s="19"/>
      <c r="C312" s="19"/>
      <c r="D312" s="19"/>
      <c r="E312" s="19"/>
      <c r="F312" s="20"/>
      <c r="G312" s="19"/>
      <c r="H312" s="19"/>
    </row>
    <row r="313" spans="1:8" ht="13.9">
      <c r="A313" s="19"/>
      <c r="B313" s="19"/>
      <c r="C313" s="19"/>
      <c r="D313" s="19"/>
      <c r="E313" s="19"/>
      <c r="F313" s="20"/>
      <c r="G313" s="19"/>
      <c r="H313" s="19"/>
    </row>
    <row r="314" spans="1:8" ht="13.9">
      <c r="A314" s="19"/>
      <c r="B314" s="19"/>
      <c r="C314" s="19"/>
      <c r="D314" s="19"/>
      <c r="E314" s="19"/>
      <c r="F314" s="20"/>
      <c r="G314" s="19"/>
      <c r="H314" s="19"/>
    </row>
    <row r="315" spans="1:8" ht="13.9">
      <c r="A315" s="19"/>
      <c r="B315" s="19"/>
      <c r="C315" s="19"/>
      <c r="D315" s="19"/>
      <c r="E315" s="19"/>
      <c r="F315" s="20"/>
      <c r="G315" s="19"/>
      <c r="H315" s="19"/>
    </row>
    <row r="316" spans="1:8" ht="13.9">
      <c r="A316" s="19"/>
      <c r="B316" s="19"/>
      <c r="C316" s="19"/>
      <c r="D316" s="19"/>
      <c r="E316" s="19"/>
      <c r="F316" s="20"/>
      <c r="G316" s="19"/>
      <c r="H316" s="19"/>
    </row>
    <row r="317" spans="1:8" ht="13.9">
      <c r="A317" s="19"/>
      <c r="B317" s="19"/>
      <c r="C317" s="19"/>
      <c r="D317" s="19"/>
      <c r="E317" s="19"/>
      <c r="F317" s="20"/>
      <c r="G317" s="19"/>
      <c r="H317" s="19"/>
    </row>
    <row r="318" spans="1:8" ht="13.9">
      <c r="A318" s="19"/>
      <c r="B318" s="19"/>
      <c r="C318" s="19"/>
      <c r="D318" s="19"/>
      <c r="E318" s="19"/>
      <c r="F318" s="20"/>
      <c r="G318" s="19"/>
      <c r="H318" s="19"/>
    </row>
    <row r="319" spans="1:8" ht="13.9">
      <c r="A319" s="19"/>
      <c r="B319" s="19"/>
      <c r="C319" s="19"/>
      <c r="D319" s="19"/>
      <c r="E319" s="19"/>
      <c r="F319" s="20"/>
      <c r="G319" s="19"/>
      <c r="H319" s="19"/>
    </row>
    <row r="320" spans="1:8" ht="13.9">
      <c r="A320" s="19"/>
      <c r="B320" s="19"/>
      <c r="C320" s="19"/>
      <c r="D320" s="19"/>
      <c r="E320" s="19"/>
      <c r="F320" s="20"/>
      <c r="G320" s="19"/>
      <c r="H320" s="19"/>
    </row>
    <row r="321" spans="1:8" ht="13.9">
      <c r="A321" s="19"/>
      <c r="B321" s="19"/>
      <c r="C321" s="19"/>
      <c r="D321" s="19"/>
      <c r="E321" s="19"/>
      <c r="F321" s="20"/>
      <c r="G321" s="19"/>
      <c r="H321" s="19"/>
    </row>
    <row r="322" spans="1:8" ht="13.9">
      <c r="A322" s="19"/>
      <c r="B322" s="19"/>
      <c r="C322" s="19"/>
      <c r="D322" s="19"/>
      <c r="E322" s="19"/>
      <c r="F322" s="20"/>
      <c r="G322" s="19"/>
      <c r="H322" s="19"/>
    </row>
    <row r="323" spans="1:8" ht="13.9">
      <c r="A323" s="19"/>
      <c r="B323" s="19"/>
      <c r="C323" s="19"/>
      <c r="D323" s="19"/>
      <c r="E323" s="19"/>
      <c r="F323" s="20"/>
      <c r="G323" s="19"/>
      <c r="H323" s="19"/>
    </row>
    <row r="324" spans="1:8" ht="13.9">
      <c r="A324" s="19"/>
      <c r="B324" s="19"/>
      <c r="C324" s="19"/>
      <c r="D324" s="19"/>
      <c r="E324" s="19"/>
      <c r="F324" s="20"/>
      <c r="G324" s="19"/>
      <c r="H324" s="19"/>
    </row>
    <row r="325" spans="1:8" ht="13.9">
      <c r="A325" s="19"/>
      <c r="B325" s="19"/>
      <c r="C325" s="19"/>
      <c r="D325" s="19"/>
      <c r="E325" s="19"/>
      <c r="F325" s="20"/>
      <c r="G325" s="19"/>
      <c r="H325" s="19"/>
    </row>
    <row r="326" spans="1:8" ht="13.9">
      <c r="A326" s="19"/>
      <c r="B326" s="19"/>
      <c r="C326" s="19"/>
      <c r="D326" s="19"/>
      <c r="E326" s="19"/>
      <c r="F326" s="20"/>
      <c r="G326" s="19"/>
      <c r="H326" s="19"/>
    </row>
    <row r="327" spans="1:8" ht="13.9">
      <c r="A327" s="19"/>
      <c r="B327" s="19"/>
      <c r="C327" s="19"/>
      <c r="D327" s="19"/>
      <c r="E327" s="19"/>
      <c r="F327" s="20"/>
      <c r="G327" s="19"/>
      <c r="H327" s="19"/>
    </row>
    <row r="328" spans="1:8" ht="13.9">
      <c r="A328" s="19"/>
      <c r="B328" s="19"/>
      <c r="C328" s="19"/>
      <c r="D328" s="19"/>
      <c r="E328" s="19"/>
      <c r="F328" s="20"/>
      <c r="G328" s="19"/>
      <c r="H328" s="19"/>
    </row>
    <row r="329" spans="1:8" ht="13.9">
      <c r="A329" s="19"/>
      <c r="B329" s="19"/>
      <c r="C329" s="19"/>
      <c r="D329" s="19"/>
      <c r="E329" s="19"/>
      <c r="F329" s="20"/>
      <c r="G329" s="19"/>
      <c r="H329" s="19"/>
    </row>
    <row r="330" spans="1:8" ht="13.9">
      <c r="A330" s="19"/>
      <c r="B330" s="19"/>
      <c r="C330" s="19"/>
      <c r="D330" s="19"/>
      <c r="E330" s="19"/>
      <c r="F330" s="20"/>
      <c r="G330" s="19"/>
      <c r="H330" s="19"/>
    </row>
    <row r="331" spans="1:8" ht="13.9">
      <c r="A331" s="19"/>
      <c r="B331" s="19"/>
      <c r="C331" s="19"/>
      <c r="D331" s="19"/>
      <c r="E331" s="19"/>
      <c r="F331" s="20"/>
      <c r="G331" s="19"/>
      <c r="H331" s="19"/>
    </row>
    <row r="332" spans="1:8" ht="13.9">
      <c r="A332" s="19"/>
      <c r="B332" s="19"/>
      <c r="C332" s="19"/>
      <c r="D332" s="19"/>
      <c r="E332" s="19"/>
      <c r="F332" s="20"/>
      <c r="G332" s="19"/>
      <c r="H332" s="19"/>
    </row>
    <row r="333" spans="1:8" ht="13.9">
      <c r="A333" s="19"/>
      <c r="B333" s="19"/>
      <c r="C333" s="19"/>
      <c r="D333" s="19"/>
      <c r="E333" s="19"/>
      <c r="F333" s="20"/>
      <c r="G333" s="19"/>
      <c r="H333" s="19"/>
    </row>
    <row r="334" spans="1:8" ht="13.9">
      <c r="A334" s="19"/>
      <c r="B334" s="19"/>
      <c r="C334" s="19"/>
      <c r="D334" s="19"/>
      <c r="E334" s="19"/>
      <c r="F334" s="20"/>
      <c r="G334" s="19"/>
      <c r="H334" s="19"/>
    </row>
    <row r="335" spans="1:8" ht="13.9">
      <c r="A335" s="19"/>
      <c r="B335" s="19"/>
      <c r="C335" s="19"/>
      <c r="D335" s="19"/>
      <c r="E335" s="19"/>
      <c r="F335" s="20"/>
      <c r="G335" s="19"/>
      <c r="H335" s="19"/>
    </row>
    <row r="336" spans="1:8" ht="13.9">
      <c r="A336" s="19"/>
      <c r="B336" s="19"/>
      <c r="C336" s="19"/>
      <c r="D336" s="19"/>
      <c r="E336" s="19"/>
      <c r="F336" s="20"/>
      <c r="G336" s="19"/>
      <c r="H336" s="19"/>
    </row>
    <row r="337" spans="1:8" ht="13.9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50" priority="1" stopIfTrue="1" operator="lessThanOrEqual">
      <formula>-0.1</formula>
    </cfRule>
    <cfRule type="expression" dxfId="49" priority="2">
      <formula>AND(ISNUMBER(E2), E2&gt;=0.1)</formula>
    </cfRule>
  </conditionalFormatting>
  <conditionalFormatting sqref="F12:F95">
    <cfRule type="cellIs" dxfId="48" priority="3" stopIfTrue="1" operator="lessThanOrEqual">
      <formula>-0.1</formula>
    </cfRule>
    <cfRule type="expression" dxfId="47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0" t="str" cm="1">
        <f t="array" ref="A1">portfolio</f>
        <v>Wells Fargo</v>
      </c>
      <c r="B1" s="71"/>
      <c r="C1" s="72" t="s">
        <v>14</v>
      </c>
      <c r="D1" s="73"/>
      <c r="E1" s="74"/>
      <c r="F1" s="75" t="s">
        <v>15</v>
      </c>
      <c r="G1" s="76"/>
      <c r="H1" s="77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SUM(SUMIF(_xlfn.ANCHORARRAY(Jul!$B$4), $A4, Jul!C$4:C$78), SUMIF(_xlfn.ANCHORARRAY(Aug!$B$4), $A4, Aug!C$4:C$78), SUMIF(_xlfn.ANCHORARRAY(Sep!$B$4), $A4, Sep!C$4:C$78))</f>
        <v>0</v>
      </c>
      <c r="C4" s="11">
        <f>SUM(SUMIF(_xlfn.ANCHORARRAY(Jul!$B$4), $A4, Jul!D$4:D$78), SUMIF(_xlfn.ANCHORARRAY(Aug!$B$4), $A4, Aug!D$4:D$78), SUMIF(_xlfn.ANCHORARRAY(Sep!$B$4), $A4, Sep!D$4:D$78))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SUM(SUMIF(_xlfn.ANCHORARRAY(Jul!$B$4), $A4, Jul!G$4:G$78), SUMIF(_xlfn.ANCHORARRAY(Aug!$B$4), $A4, Aug!G$4:G$78), SUMIF(_xlfn.ANCHORARRAY(Sep!$B$4), $A4, Sep!G$4:G$78))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4.45">
      <c r="A5" s="9" t="str">
        <v>CO</v>
      </c>
      <c r="B5" s="10">
        <f>SUM(SUMIF(_xlfn.ANCHORARRAY(Jul!$B$4), $A5, Jul!C$4:C$78), SUMIF(_xlfn.ANCHORARRAY(Aug!$B$4), $A5, Aug!C$4:C$78), SUMIF(_xlfn.ANCHORARRAY(Sep!$B$4), $A5, Sep!C$4:C$78))</f>
        <v>0</v>
      </c>
      <c r="C5" s="16">
        <f>SUM(SUMIF(_xlfn.ANCHORARRAY(Jul!$B$4), $A5, Jul!D$4:D$78), SUMIF(_xlfn.ANCHORARRAY(Aug!$B$4), $A5, Aug!D$4:D$78), SUMIF(_xlfn.ANCHORARRAY(Sep!$B$4), $A5, Sep!D$4:D$78))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SUM(SUMIF(_xlfn.ANCHORARRAY(Jul!$B$4), $A5, Jul!G$4:G$78), SUMIF(_xlfn.ANCHORARRAY(Aug!$B$4), $A5, Aug!G$4:G$78), SUMIF(_xlfn.ANCHORARRAY(Sep!$B$4), $A5, Sep!G$4:G$78))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4.45">
      <c r="A6" s="8" t="str">
        <v>CT</v>
      </c>
      <c r="B6" s="22">
        <f>SUM(SUMIF(_xlfn.ANCHORARRAY(Jul!$B$4), $A6, Jul!C$4:C$78), SUMIF(_xlfn.ANCHORARRAY(Aug!$B$4), $A6, Aug!C$4:C$78), SUMIF(_xlfn.ANCHORARRAY(Sep!$B$4), $A6, Sep!C$4:C$78))</f>
        <v>0</v>
      </c>
      <c r="C6" s="11">
        <f>SUM(SUMIF(_xlfn.ANCHORARRAY(Jul!$B$4), $A6, Jul!D$4:D$78), SUMIF(_xlfn.ANCHORARRAY(Aug!$B$4), $A6, Aug!D$4:D$78), SUMIF(_xlfn.ANCHORARRAY(Sep!$B$4), $A6, Sep!D$4:D$78))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SUM(SUMIF(_xlfn.ANCHORARRAY(Jul!$B$4), $A6, Jul!G$4:G$78), SUMIF(_xlfn.ANCHORARRAY(Aug!$B$4), $A6, Aug!G$4:G$78), SUMIF(_xlfn.ANCHORARRAY(Sep!$B$4), $A6, Sep!G$4:G$78))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4.45">
      <c r="A7" s="9" t="str">
        <v>FL</v>
      </c>
      <c r="B7" s="10">
        <f>SUM(SUMIF(_xlfn.ANCHORARRAY(Jul!$B$4), $A7, Jul!C$4:C$78), SUMIF(_xlfn.ANCHORARRAY(Aug!$B$4), $A7, Aug!C$4:C$78), SUMIF(_xlfn.ANCHORARRAY(Sep!$B$4), $A7, Sep!C$4:C$78))</f>
        <v>0</v>
      </c>
      <c r="C7" s="16">
        <f>SUM(SUMIF(_xlfn.ANCHORARRAY(Jul!$B$4), $A7, Jul!D$4:D$78), SUMIF(_xlfn.ANCHORARRAY(Aug!$B$4), $A7, Aug!D$4:D$78), SUMIF(_xlfn.ANCHORARRAY(Sep!$B$4), $A7, Sep!D$4:D$78))</f>
        <v>0</v>
      </c>
      <c r="D7" s="16">
        <f t="shared" si="0"/>
        <v>0</v>
      </c>
      <c r="E7" s="17" t="str">
        <f t="shared" si="1"/>
        <v/>
      </c>
      <c r="F7" s="16">
        <f>SUM(SUMIF(_xlfn.ANCHORARRAY(Jul!$B$4), $A7, Jul!G$4:G$78), SUMIF(_xlfn.ANCHORARRAY(Aug!$B$4), $A7, Aug!G$4:G$78), SUMIF(_xlfn.ANCHORARRAY(Sep!$B$4), $A7, Sep!G$4:G$78))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SUM(SUMIF(_xlfn.ANCHORARRAY(Jul!$B$4), $A8, Jul!C$4:C$78), SUMIF(_xlfn.ANCHORARRAY(Aug!$B$4), $A8, Aug!C$4:C$78), SUMIF(_xlfn.ANCHORARRAY(Sep!$B$4), $A8, Sep!C$4:C$78))</f>
        <v>0</v>
      </c>
      <c r="C8" s="11">
        <f>SUM(SUMIF(_xlfn.ANCHORARRAY(Jul!$B$4), $A8, Jul!D$4:D$78), SUMIF(_xlfn.ANCHORARRAY(Aug!$B$4), $A8, Aug!D$4:D$78), SUMIF(_xlfn.ANCHORARRAY(Sep!$B$4), $A8, Sep!D$4:D$78))</f>
        <v>0</v>
      </c>
      <c r="D8" s="11">
        <f t="shared" si="0"/>
        <v>0</v>
      </c>
      <c r="E8" s="12" t="str">
        <f t="shared" si="1"/>
        <v/>
      </c>
      <c r="F8" s="13">
        <f>SUM(SUMIF(_xlfn.ANCHORARRAY(Jul!$B$4), $A8, Jul!G$4:G$78), SUMIF(_xlfn.ANCHORARRAY(Aug!$B$4), $A8, Aug!G$4:G$78), SUMIF(_xlfn.ANCHORARRAY(Sep!$B$4), $A8, Sep!G$4:G$78))</f>
        <v>0</v>
      </c>
      <c r="G8" s="13">
        <f t="shared" si="2"/>
        <v>0</v>
      </c>
      <c r="H8" s="14" t="str">
        <f t="shared" si="3"/>
        <v/>
      </c>
    </row>
    <row r="9" spans="1:8" ht="14.45">
      <c r="A9" s="9" t="str">
        <v>NC</v>
      </c>
      <c r="B9" s="10">
        <f>SUM(SUMIF(_xlfn.ANCHORARRAY(Jul!$B$4), $A9, Jul!C$4:C$78), SUMIF(_xlfn.ANCHORARRAY(Aug!$B$4), $A9, Aug!C$4:C$78), SUMIF(_xlfn.ANCHORARRAY(Sep!$B$4), $A9, Sep!C$4:C$78))</f>
        <v>0</v>
      </c>
      <c r="C9" s="16">
        <f>SUM(SUMIF(_xlfn.ANCHORARRAY(Jul!$B$4), $A9, Jul!D$4:D$78), SUMIF(_xlfn.ANCHORARRAY(Aug!$B$4), $A9, Aug!D$4:D$78), SUMIF(_xlfn.ANCHORARRAY(Sep!$B$4), $A9, Sep!D$4:D$78))</f>
        <v>0</v>
      </c>
      <c r="D9" s="16">
        <f t="shared" si="0"/>
        <v>0</v>
      </c>
      <c r="E9" s="17" t="str">
        <f t="shared" si="1"/>
        <v/>
      </c>
      <c r="F9" s="16">
        <f>SUM(SUMIF(_xlfn.ANCHORARRAY(Jul!$B$4), $A9, Jul!G$4:G$78), SUMIF(_xlfn.ANCHORARRAY(Aug!$B$4), $A9, Aug!G$4:G$78), SUMIF(_xlfn.ANCHORARRAY(Sep!$B$4), $A9, Sep!G$4:G$78))</f>
        <v>0</v>
      </c>
      <c r="G9" s="16">
        <f t="shared" si="2"/>
        <v>0</v>
      </c>
      <c r="H9" s="17" t="str">
        <f t="shared" si="3"/>
        <v/>
      </c>
    </row>
    <row r="10" spans="1:8" ht="14.45">
      <c r="A10" s="8" t="str">
        <v>NJ</v>
      </c>
      <c r="B10" s="22">
        <f>SUM(SUMIF(_xlfn.ANCHORARRAY(Jul!$B$4), $A10, Jul!C$4:C$78), SUMIF(_xlfn.ANCHORARRAY(Aug!$B$4), $A10, Aug!C$4:C$78), SUMIF(_xlfn.ANCHORARRAY(Sep!$B$4), $A10, Sep!C$4:C$78))</f>
        <v>0</v>
      </c>
      <c r="C10" s="11">
        <f>SUM(SUMIF(_xlfn.ANCHORARRAY(Jul!$B$4), $A10, Jul!D$4:D$78), SUMIF(_xlfn.ANCHORARRAY(Aug!$B$4), $A10, Aug!D$4:D$78), SUMIF(_xlfn.ANCHORARRAY(Sep!$B$4), $A10, Sep!D$4:D$78))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SUM(SUMIF(_xlfn.ANCHORARRAY(Jul!$B$4), $A10, Jul!G$4:G$78), SUMIF(_xlfn.ANCHORARRAY(Aug!$B$4), $A10, Aug!G$4:G$78), SUMIF(_xlfn.ANCHORARRAY(Sep!$B$4), $A10, Sep!G$4:G$78))</f>
        <v>0</v>
      </c>
      <c r="G10" s="13">
        <f t="shared" si="2"/>
        <v>0</v>
      </c>
      <c r="H10" s="14" t="str">
        <f t="shared" si="3"/>
        <v/>
      </c>
    </row>
    <row r="11" spans="1:8" ht="14.45">
      <c r="A11" s="9" t="str">
        <v>TX</v>
      </c>
      <c r="B11" s="10">
        <f>SUM(SUMIF(_xlfn.ANCHORARRAY(Jul!$B$4), $A11, Jul!C$4:C$78), SUMIF(_xlfn.ANCHORARRAY(Aug!$B$4), $A11, Aug!C$4:C$78), SUMIF(_xlfn.ANCHORARRAY(Sep!$B$4), $A11, Sep!C$4:C$78))</f>
        <v>0</v>
      </c>
      <c r="C11" s="16">
        <f>SUM(SUMIF(_xlfn.ANCHORARRAY(Jul!$B$4), $A11, Jul!D$4:D$78), SUMIF(_xlfn.ANCHORARRAY(Aug!$B$4), $A11, Aug!D$4:D$78), SUMIF(_xlfn.ANCHORARRAY(Sep!$B$4), $A11, Sep!D$4:D$78))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SUM(SUMIF(_xlfn.ANCHORARRAY(Jul!$B$4), $A11, Jul!G$4:G$78), SUMIF(_xlfn.ANCHORARRAY(Aug!$B$4), $A11, Aug!G$4:G$78), SUMIF(_xlfn.ANCHORARRAY(Sep!$B$4), $A11, Sep!G$4:G$78))</f>
        <v>0</v>
      </c>
      <c r="G11" s="16">
        <f t="shared" si="2"/>
        <v>0</v>
      </c>
      <c r="H11" s="17" t="str">
        <f t="shared" si="3"/>
        <v/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6" priority="1" stopIfTrue="1" operator="lessThanOrEqual">
      <formula>-0.1</formula>
    </cfRule>
    <cfRule type="expression" dxfId="4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0" t="str" cm="1">
        <f t="array" ref="A1">portfolio</f>
        <v>Wells Fargo</v>
      </c>
      <c r="B1" s="71"/>
      <c r="C1" s="72" t="s">
        <v>16</v>
      </c>
      <c r="D1" s="73"/>
      <c r="E1" s="74"/>
      <c r="F1" s="75" t="s">
        <v>17</v>
      </c>
      <c r="G1" s="76"/>
      <c r="H1" s="77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SUM(SUMIF(_xlfn.ANCHORARRAY(Oct!$B$4), $A4, Oct!C$4:C$78), SUMIF(_xlfn.ANCHORARRAY(Nov!$B$4), $A4, Nov!C$4:C$78), SUMIF(_xlfn.ANCHORARRAY(Dec!$B$4), $A4, Dec!C$4:C$78))</f>
        <v>0</v>
      </c>
      <c r="C4" s="11">
        <f>SUM(SUMIF(_xlfn.ANCHORARRAY(Oct!$B$4), $A4, Oct!D$4:D$78), SUMIF(_xlfn.ANCHORARRAY(Nov!$B$4), $A4, Nov!D$4:D$78), SUMIF(_xlfn.ANCHORARRAY(Dec!$B$4), $A4, Dec!D$4:D$78))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SUM(SUMIF(_xlfn.ANCHORARRAY(Oct!$B$4), $A4, Oct!G$4:G$78), SUMIF(_xlfn.ANCHORARRAY(Nov!$B$4), $A4, Nov!G$4:G$78), SUMIF(_xlfn.ANCHORARRAY(Dec!$B$4), $A4, Dec!G$4:G$78))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4.45">
      <c r="A5" s="9" t="str">
        <v>CO</v>
      </c>
      <c r="B5" s="10">
        <f>SUM(SUMIF(_xlfn.ANCHORARRAY(Oct!$B$4), $A5, Oct!C$4:C$78), SUMIF(_xlfn.ANCHORARRAY(Nov!$B$4), $A5, Nov!C$4:C$78), SUMIF(_xlfn.ANCHORARRAY(Dec!$B$4), $A5, Dec!C$4:C$78))</f>
        <v>0</v>
      </c>
      <c r="C5" s="16">
        <f>SUM(SUMIF(_xlfn.ANCHORARRAY(Oct!$B$4), $A5, Oct!D$4:D$78), SUMIF(_xlfn.ANCHORARRAY(Nov!$B$4), $A5, Nov!D$4:D$78), SUMIF(_xlfn.ANCHORARRAY(Dec!$B$4), $A5, Dec!D$4:D$78))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SUM(SUMIF(_xlfn.ANCHORARRAY(Oct!$B$4), $A5, Oct!G$4:G$78), SUMIF(_xlfn.ANCHORARRAY(Nov!$B$4), $A5, Nov!G$4:G$78), SUMIF(_xlfn.ANCHORARRAY(Dec!$B$4), $A5, Dec!G$4:G$78))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4.45">
      <c r="A6" s="8" t="str">
        <v>CT</v>
      </c>
      <c r="B6" s="22">
        <f>SUM(SUMIF(_xlfn.ANCHORARRAY(Oct!$B$4), $A6, Oct!C$4:C$78), SUMIF(_xlfn.ANCHORARRAY(Nov!$B$4), $A6, Nov!C$4:C$78), SUMIF(_xlfn.ANCHORARRAY(Dec!$B$4), $A6, Dec!C$4:C$78))</f>
        <v>0</v>
      </c>
      <c r="C6" s="11">
        <f>SUM(SUMIF(_xlfn.ANCHORARRAY(Oct!$B$4), $A6, Oct!D$4:D$78), SUMIF(_xlfn.ANCHORARRAY(Nov!$B$4), $A6, Nov!D$4:D$78), SUMIF(_xlfn.ANCHORARRAY(Dec!$B$4), $A6, Dec!D$4:D$78))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SUM(SUMIF(_xlfn.ANCHORARRAY(Oct!$B$4), $A6, Oct!G$4:G$78), SUMIF(_xlfn.ANCHORARRAY(Nov!$B$4), $A6, Nov!G$4:G$78), SUMIF(_xlfn.ANCHORARRAY(Dec!$B$4), $A6, Dec!G$4:G$78))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4.45">
      <c r="A7" s="9" t="str">
        <v>FL</v>
      </c>
      <c r="B7" s="10">
        <f>SUM(SUMIF(_xlfn.ANCHORARRAY(Oct!$B$4), $A7, Oct!C$4:C$78), SUMIF(_xlfn.ANCHORARRAY(Nov!$B$4), $A7, Nov!C$4:C$78), SUMIF(_xlfn.ANCHORARRAY(Dec!$B$4), $A7, Dec!C$4:C$78))</f>
        <v>0</v>
      </c>
      <c r="C7" s="16">
        <f>SUM(SUMIF(_xlfn.ANCHORARRAY(Oct!$B$4), $A7, Oct!D$4:D$78), SUMIF(_xlfn.ANCHORARRAY(Nov!$B$4), $A7, Nov!D$4:D$78), SUMIF(_xlfn.ANCHORARRAY(Dec!$B$4), $A7, Dec!D$4:D$78))</f>
        <v>0</v>
      </c>
      <c r="D7" s="16">
        <f t="shared" si="0"/>
        <v>0</v>
      </c>
      <c r="E7" s="17" t="str">
        <f t="shared" si="1"/>
        <v/>
      </c>
      <c r="F7" s="16">
        <f>SUM(SUMIF(_xlfn.ANCHORARRAY(Oct!$B$4), $A7, Oct!G$4:G$78), SUMIF(_xlfn.ANCHORARRAY(Nov!$B$4), $A7, Nov!G$4:G$78), SUMIF(_xlfn.ANCHORARRAY(Dec!$B$4), $A7, Dec!G$4:G$78))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SUM(SUMIF(_xlfn.ANCHORARRAY(Oct!$B$4), $A8, Oct!C$4:C$78), SUMIF(_xlfn.ANCHORARRAY(Nov!$B$4), $A8, Nov!C$4:C$78), SUMIF(_xlfn.ANCHORARRAY(Dec!$B$4), $A8, Dec!C$4:C$78))</f>
        <v>0</v>
      </c>
      <c r="C8" s="11">
        <f>SUM(SUMIF(_xlfn.ANCHORARRAY(Oct!$B$4), $A8, Oct!D$4:D$78), SUMIF(_xlfn.ANCHORARRAY(Nov!$B$4), $A8, Nov!D$4:D$78), SUMIF(_xlfn.ANCHORARRAY(Dec!$B$4), $A8, Dec!D$4:D$78))</f>
        <v>0</v>
      </c>
      <c r="D8" s="11">
        <f t="shared" si="0"/>
        <v>0</v>
      </c>
      <c r="E8" s="12" t="str">
        <f t="shared" si="1"/>
        <v/>
      </c>
      <c r="F8" s="13">
        <f>SUM(SUMIF(_xlfn.ANCHORARRAY(Oct!$B$4), $A8, Oct!G$4:G$78), SUMIF(_xlfn.ANCHORARRAY(Nov!$B$4), $A8, Nov!G$4:G$78), SUMIF(_xlfn.ANCHORARRAY(Dec!$B$4), $A8, Dec!G$4:G$78))</f>
        <v>0</v>
      </c>
      <c r="G8" s="13">
        <f t="shared" si="2"/>
        <v>0</v>
      </c>
      <c r="H8" s="14" t="str">
        <f t="shared" si="3"/>
        <v/>
      </c>
    </row>
    <row r="9" spans="1:8" ht="14.45">
      <c r="A9" s="9" t="str">
        <v>NC</v>
      </c>
      <c r="B9" s="10">
        <f>SUM(SUMIF(_xlfn.ANCHORARRAY(Oct!$B$4), $A9, Oct!C$4:C$78), SUMIF(_xlfn.ANCHORARRAY(Nov!$B$4), $A9, Nov!C$4:C$78), SUMIF(_xlfn.ANCHORARRAY(Dec!$B$4), $A9, Dec!C$4:C$78))</f>
        <v>0</v>
      </c>
      <c r="C9" s="16">
        <f>SUM(SUMIF(_xlfn.ANCHORARRAY(Oct!$B$4), $A9, Oct!D$4:D$78), SUMIF(_xlfn.ANCHORARRAY(Nov!$B$4), $A9, Nov!D$4:D$78), SUMIF(_xlfn.ANCHORARRAY(Dec!$B$4), $A9, Dec!D$4:D$78))</f>
        <v>0</v>
      </c>
      <c r="D9" s="16">
        <f t="shared" si="0"/>
        <v>0</v>
      </c>
      <c r="E9" s="17" t="str">
        <f t="shared" si="1"/>
        <v/>
      </c>
      <c r="F9" s="16">
        <f>SUM(SUMIF(_xlfn.ANCHORARRAY(Oct!$B$4), $A9, Oct!G$4:G$78), SUMIF(_xlfn.ANCHORARRAY(Nov!$B$4), $A9, Nov!G$4:G$78), SUMIF(_xlfn.ANCHORARRAY(Dec!$B$4), $A9, Dec!G$4:G$78))</f>
        <v>0</v>
      </c>
      <c r="G9" s="16">
        <f t="shared" si="2"/>
        <v>0</v>
      </c>
      <c r="H9" s="17" t="str">
        <f t="shared" si="3"/>
        <v/>
      </c>
    </row>
    <row r="10" spans="1:8" ht="14.45">
      <c r="A10" s="8" t="str">
        <v>NJ</v>
      </c>
      <c r="B10" s="22">
        <f>SUM(SUMIF(_xlfn.ANCHORARRAY(Oct!$B$4), $A10, Oct!C$4:C$78), SUMIF(_xlfn.ANCHORARRAY(Nov!$B$4), $A10, Nov!C$4:C$78), SUMIF(_xlfn.ANCHORARRAY(Dec!$B$4), $A10, Dec!C$4:C$78))</f>
        <v>0</v>
      </c>
      <c r="C10" s="11">
        <f>SUM(SUMIF(_xlfn.ANCHORARRAY(Oct!$B$4), $A10, Oct!D$4:D$78), SUMIF(_xlfn.ANCHORARRAY(Nov!$B$4), $A10, Nov!D$4:D$78), SUMIF(_xlfn.ANCHORARRAY(Dec!$B$4), $A10, Dec!D$4:D$78))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SUM(SUMIF(_xlfn.ANCHORARRAY(Oct!$B$4), $A10, Oct!G$4:G$78), SUMIF(_xlfn.ANCHORARRAY(Nov!$B$4), $A10, Nov!G$4:G$78), SUMIF(_xlfn.ANCHORARRAY(Dec!$B$4), $A10, Dec!G$4:G$78))</f>
        <v>0</v>
      </c>
      <c r="G10" s="13">
        <f t="shared" si="2"/>
        <v>0</v>
      </c>
      <c r="H10" s="14" t="str">
        <f t="shared" si="3"/>
        <v/>
      </c>
    </row>
    <row r="11" spans="1:8" ht="14.45">
      <c r="A11" s="9" t="str">
        <v>TX</v>
      </c>
      <c r="B11" s="10">
        <f>SUM(SUMIF(_xlfn.ANCHORARRAY(Oct!$B$4), $A11, Oct!C$4:C$78), SUMIF(_xlfn.ANCHORARRAY(Nov!$B$4), $A11, Nov!C$4:C$78), SUMIF(_xlfn.ANCHORARRAY(Dec!$B$4), $A11, Dec!C$4:C$78))</f>
        <v>0</v>
      </c>
      <c r="C11" s="16">
        <f>SUM(SUMIF(_xlfn.ANCHORARRAY(Oct!$B$4), $A11, Oct!D$4:D$78), SUMIF(_xlfn.ANCHORARRAY(Nov!$B$4), $A11, Nov!D$4:D$78), SUMIF(_xlfn.ANCHORARRAY(Dec!$B$4), $A11, Dec!D$4:D$78))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SUM(SUMIF(_xlfn.ANCHORARRAY(Oct!$B$4), $A11, Oct!G$4:G$78), SUMIF(_xlfn.ANCHORARRAY(Nov!$B$4), $A11, Nov!G$4:G$78), SUMIF(_xlfn.ANCHORARRAY(Dec!$B$4), $A11, Dec!G$4:G$78))</f>
        <v>0</v>
      </c>
      <c r="G11" s="16">
        <f t="shared" si="2"/>
        <v>0</v>
      </c>
      <c r="H11" s="17" t="str">
        <f t="shared" si="3"/>
        <v/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4" priority="1" stopIfTrue="1" operator="lessThanOrEqual">
      <formula>-0.1</formula>
    </cfRule>
    <cfRule type="expression" dxfId="43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18</v>
      </c>
      <c r="E1" s="69"/>
      <c r="F1" s="69"/>
      <c r="G1" s="67" t="s">
        <v>19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6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6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6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6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6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6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6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6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6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6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28.9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6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6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6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6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6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6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6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6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6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6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6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6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6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6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6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6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6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6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6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6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6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</sheetData>
  <mergeCells count="4">
    <mergeCell ref="D1:F1"/>
    <mergeCell ref="A1:C1"/>
    <mergeCell ref="G1:I1"/>
    <mergeCell ref="A2:B2"/>
  </mergeCells>
  <conditionalFormatting sqref="F2 I2 F4:F65 I4:I65">
    <cfRule type="cellIs" dxfId="42" priority="6" stopIfTrue="1" operator="lessThanOrEqual">
      <formula>-0.1</formula>
    </cfRule>
    <cfRule type="expression" dxfId="41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workbookViewId="0">
      <pane xSplit="2" ySplit="3" topLeftCell="C8" activePane="bottomRight" state="frozen"/>
      <selection pane="bottomRight" activeCell="L52" sqref="L5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68" t="str" cm="1">
        <f t="array" ref="A1">portfolio</f>
        <v>Wells Fargo</v>
      </c>
      <c r="B1" s="68"/>
      <c r="C1" s="68"/>
      <c r="D1" s="69" t="s">
        <v>45</v>
      </c>
      <c r="E1" s="69"/>
      <c r="F1" s="69"/>
      <c r="G1" s="67" t="s">
        <v>46</v>
      </c>
      <c r="H1" s="67"/>
      <c r="I1" s="67"/>
      <c r="J1" s="3"/>
      <c r="K1" s="3"/>
    </row>
    <row r="2" spans="1:12" ht="19.5" customHeight="1">
      <c r="A2" s="78" t="s">
        <v>2</v>
      </c>
      <c r="B2" s="78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3"/>
    </row>
    <row r="3" spans="1:12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5" si="0">IFERROR(H5/G5, "")</f>
        <v/>
      </c>
      <c r="J5" s="40"/>
      <c r="K5" s="40"/>
    </row>
    <row r="6" spans="1:12" ht="15.6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5" si="1">IF(AND(ISNUMBER(C6),ISNUMBER(D6)), C6-D6, "")</f>
        <v>-3253.4975000000013</v>
      </c>
      <c r="F6" s="12">
        <f t="shared" ref="F6:F65" si="2">IFERROR(E6/D6, "")</f>
        <v>-0.10451556748286425</v>
      </c>
      <c r="G6" s="13">
        <v>25298.6</v>
      </c>
      <c r="H6" s="13">
        <f t="shared" ref="H6:H65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6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6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6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6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6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6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6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6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6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6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6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28.9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6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6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6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6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6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6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28.9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6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3.15">
      <c r="B66"/>
      <c r="F66"/>
      <c r="I66"/>
    </row>
    <row r="67" spans="1:11" ht="13.15">
      <c r="B67"/>
      <c r="F67"/>
      <c r="I67"/>
    </row>
    <row r="68" spans="1:11" ht="13.15">
      <c r="B68"/>
      <c r="F68"/>
      <c r="I68"/>
    </row>
    <row r="69" spans="1:11" ht="13.15">
      <c r="B69"/>
      <c r="F69"/>
      <c r="I69"/>
    </row>
    <row r="70" spans="1:11" ht="13.15">
      <c r="B70"/>
      <c r="F70"/>
      <c r="I70"/>
    </row>
    <row r="71" spans="1:11" ht="13.15">
      <c r="B71"/>
      <c r="F71"/>
      <c r="I71"/>
    </row>
    <row r="72" spans="1:11" ht="13.15">
      <c r="B72"/>
      <c r="F72"/>
      <c r="I72"/>
    </row>
    <row r="73" spans="1:11" ht="13.15">
      <c r="B73"/>
      <c r="F73"/>
      <c r="I73"/>
    </row>
    <row r="74" spans="1:11" ht="13.15">
      <c r="B74"/>
      <c r="F74"/>
      <c r="I74"/>
    </row>
    <row r="75" spans="1:11" ht="13.15">
      <c r="B75"/>
      <c r="F75"/>
      <c r="I75"/>
    </row>
    <row r="76" spans="1:11" ht="13.15">
      <c r="B76"/>
      <c r="F76"/>
      <c r="I76"/>
    </row>
    <row r="77" spans="1:11" ht="13.15">
      <c r="B77"/>
      <c r="F77"/>
      <c r="I77"/>
    </row>
    <row r="78" spans="1:11" ht="13.15">
      <c r="B78"/>
      <c r="F78"/>
      <c r="I78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40" priority="7" stopIfTrue="1" operator="lessThanOrEqual">
      <formula>-0.1</formula>
    </cfRule>
    <cfRule type="expression" dxfId="39" priority="8">
      <formula>AND(ISNUMBER(F2), F2&gt;=0.1)</formula>
    </cfRule>
  </conditionalFormatting>
  <conditionalFormatting sqref="F4:F100 I4:I100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4" activePane="bottomRight" state="frozen"/>
      <selection pane="bottomRight" activeCell="F20" sqref="F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59</v>
      </c>
      <c r="E1" s="69"/>
      <c r="F1" s="69"/>
      <c r="G1" s="67" t="s">
        <v>60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9"/>
      <c r="K4" s="39"/>
    </row>
    <row r="5" spans="1:11" ht="15.6">
      <c r="A5" s="28" t="str">
        <v>Otay Mesa</v>
      </c>
      <c r="B5" s="29" t="str">
        <v>CA</v>
      </c>
      <c r="C5" s="60"/>
      <c r="D5" s="16">
        <v>0</v>
      </c>
      <c r="E5" s="16" t="str">
        <f t="shared" ref="E5:E65" si="0">IF(AND(ISNUMBER(C5),ISNUMBER(D5)), C5-D5, "")</f>
        <v/>
      </c>
      <c r="F5" s="17" t="str">
        <f>IFERROR(E5/D5, "")</f>
        <v/>
      </c>
      <c r="G5" s="18"/>
      <c r="H5" s="18" t="str">
        <f t="shared" ref="H5:H65" si="1">IF(AND(ISNUMBER(C5),ISNUMBER(G5)), C5-G5, "")</f>
        <v/>
      </c>
      <c r="I5" s="17" t="str">
        <f t="shared" ref="I5:I65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9" t="s">
        <v>61</v>
      </c>
      <c r="K6" s="39" t="s">
        <v>62</v>
      </c>
    </row>
    <row r="7" spans="1:11" ht="15.6">
      <c r="A7" s="28" t="str">
        <v>Van Nuys</v>
      </c>
      <c r="B7" s="29" t="str">
        <v>CA</v>
      </c>
      <c r="C7" s="10">
        <v>1947</v>
      </c>
      <c r="D7" s="16">
        <v>0</v>
      </c>
      <c r="E7" s="16">
        <f t="shared" si="0"/>
        <v>1947</v>
      </c>
      <c r="F7" s="17" t="str">
        <f t="shared" si="3"/>
        <v/>
      </c>
      <c r="G7" s="18">
        <v>2127</v>
      </c>
      <c r="H7" s="18">
        <f t="shared" si="1"/>
        <v>-180</v>
      </c>
      <c r="I7" s="17">
        <f t="shared" si="2"/>
        <v>-8.4626234132581094E-2</v>
      </c>
      <c r="J7" s="40"/>
      <c r="K7" s="40"/>
    </row>
    <row r="8" spans="1:11" ht="15.6">
      <c r="A8" s="26" t="str">
        <v>98th &amp; Grant</v>
      </c>
      <c r="B8" s="27" t="str">
        <v>CO</v>
      </c>
      <c r="C8" s="22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3183.3997760000002</v>
      </c>
      <c r="D9" s="16">
        <v>0</v>
      </c>
      <c r="E9" s="16">
        <f t="shared" si="0"/>
        <v>3183.3997760000002</v>
      </c>
      <c r="F9" s="17" t="str">
        <f t="shared" si="3"/>
        <v/>
      </c>
      <c r="G9" s="18">
        <v>3628.808</v>
      </c>
      <c r="H9" s="18">
        <f t="shared" si="1"/>
        <v>-445.40822399999979</v>
      </c>
      <c r="I9" s="17">
        <f t="shared" si="2"/>
        <v>-0.12274229554167644</v>
      </c>
      <c r="J9" s="40"/>
      <c r="K9" s="40"/>
    </row>
    <row r="10" spans="1:11" ht="15.6">
      <c r="A10" s="26" t="str">
        <v>Aurora City Center</v>
      </c>
      <c r="B10" s="27" t="str">
        <v>CO</v>
      </c>
      <c r="C10" s="22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-2.9959822790000001</v>
      </c>
      <c r="D11" s="16">
        <v>0</v>
      </c>
      <c r="E11" s="16">
        <f t="shared" si="0"/>
        <v>-2.9959822790000001</v>
      </c>
      <c r="F11" s="17" t="str">
        <f t="shared" si="3"/>
        <v/>
      </c>
      <c r="G11" s="18">
        <v>2153</v>
      </c>
      <c r="H11" s="18">
        <f t="shared" si="1"/>
        <v>-2155.9959822790001</v>
      </c>
      <c r="I11" s="17">
        <f t="shared" si="2"/>
        <v>-1.0013915384482119</v>
      </c>
      <c r="J11" s="40" t="s">
        <v>63</v>
      </c>
      <c r="K11" s="40" t="s">
        <v>25</v>
      </c>
    </row>
    <row r="12" spans="1:11" ht="15.6">
      <c r="A12" s="26" t="str">
        <v>Highlands Ranch S.</v>
      </c>
      <c r="B12" s="27" t="str">
        <v>CO</v>
      </c>
      <c r="C12" s="22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2352</v>
      </c>
      <c r="D13" s="16">
        <v>0</v>
      </c>
      <c r="E13" s="16">
        <f t="shared" si="0"/>
        <v>2352</v>
      </c>
      <c r="F13" s="17" t="str">
        <f t="shared" si="3"/>
        <v/>
      </c>
      <c r="G13" s="18">
        <v>4580</v>
      </c>
      <c r="H13" s="18">
        <f t="shared" si="1"/>
        <v>-2228</v>
      </c>
      <c r="I13" s="17">
        <f t="shared" si="2"/>
        <v>-0.48646288209606986</v>
      </c>
      <c r="J13" s="40"/>
      <c r="K13" s="40"/>
    </row>
    <row r="14" spans="1:11" ht="15.6">
      <c r="A14" s="26" t="str">
        <v>Meridian</v>
      </c>
      <c r="B14" s="27" t="str">
        <v>CO</v>
      </c>
      <c r="C14" s="22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2486</v>
      </c>
      <c r="D15" s="16">
        <v>0</v>
      </c>
      <c r="E15" s="16">
        <f t="shared" si="0"/>
        <v>2486</v>
      </c>
      <c r="F15" s="17" t="str">
        <f t="shared" si="3"/>
        <v/>
      </c>
      <c r="G15" s="18">
        <v>2762</v>
      </c>
      <c r="H15" s="18">
        <f t="shared" si="1"/>
        <v>-276</v>
      </c>
      <c r="I15" s="17">
        <f t="shared" si="2"/>
        <v>-9.9927588703837805E-2</v>
      </c>
      <c r="J15" s="40"/>
      <c r="K15" s="40"/>
    </row>
    <row r="16" spans="1:11" ht="15.6">
      <c r="A16" s="26" t="str">
        <v>Standley Lake</v>
      </c>
      <c r="B16" s="27" t="str">
        <v>CO</v>
      </c>
      <c r="C16" s="22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2966</v>
      </c>
      <c r="D17" s="16">
        <v>0</v>
      </c>
      <c r="E17" s="16">
        <f t="shared" si="0"/>
        <v>2966</v>
      </c>
      <c r="F17" s="17" t="str">
        <f t="shared" si="3"/>
        <v/>
      </c>
      <c r="G17" s="18">
        <v>1436</v>
      </c>
      <c r="H17" s="18">
        <f t="shared" si="1"/>
        <v>1530</v>
      </c>
      <c r="I17" s="17">
        <f t="shared" si="2"/>
        <v>1.0654596100278551</v>
      </c>
      <c r="J17" s="40"/>
      <c r="K17" s="55"/>
    </row>
    <row r="18" spans="1:11" ht="12.75" customHeight="1">
      <c r="A18" s="26" t="str">
        <v>East Hartford</v>
      </c>
      <c r="B18" s="27" t="str">
        <v>CT</v>
      </c>
      <c r="C18" s="60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710</v>
      </c>
      <c r="D19" s="16">
        <v>863</v>
      </c>
      <c r="E19" s="16">
        <f t="shared" si="0"/>
        <v>-153</v>
      </c>
      <c r="F19" s="17">
        <f t="shared" si="3"/>
        <v>-0.17728852838933951</v>
      </c>
      <c r="G19" s="18">
        <v>734</v>
      </c>
      <c r="H19" s="18">
        <f t="shared" si="1"/>
        <v>-24</v>
      </c>
      <c r="I19" s="17">
        <f t="shared" si="2"/>
        <v>-3.2697547683923703E-2</v>
      </c>
      <c r="J19" s="40"/>
      <c r="K19" s="40"/>
    </row>
    <row r="20" spans="1:11" ht="15.6">
      <c r="A20" s="26" t="str">
        <v>Hialeah Gardens</v>
      </c>
      <c r="B20" s="27" t="str">
        <v>FL</v>
      </c>
      <c r="C20" s="22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9" t="s">
        <v>64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0"/>
    </row>
    <row r="22" spans="1:11" ht="15.6">
      <c r="A22" s="26" t="str">
        <v>W. Des Moines Campus EAST</v>
      </c>
      <c r="B22" s="27" t="str">
        <v>IA</v>
      </c>
      <c r="C22" s="22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80355</v>
      </c>
      <c r="D23" s="16">
        <v>88290</v>
      </c>
      <c r="E23" s="16">
        <f t="shared" si="0"/>
        <v>-7935</v>
      </c>
      <c r="F23" s="17">
        <f t="shared" si="3"/>
        <v>-8.9874277947672443E-2</v>
      </c>
      <c r="G23" s="18">
        <v>79031</v>
      </c>
      <c r="H23" s="18">
        <f t="shared" si="1"/>
        <v>1324</v>
      </c>
      <c r="I23" s="17">
        <f t="shared" si="2"/>
        <v>1.675291974035505E-2</v>
      </c>
      <c r="J23" s="40"/>
      <c r="K23" s="40"/>
    </row>
    <row r="24" spans="1:11" ht="28.9">
      <c r="A24" s="26" t="str">
        <v>WF - CIC</v>
      </c>
      <c r="B24" s="27" t="str">
        <v>NC</v>
      </c>
      <c r="C24" s="22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9" t="s">
        <v>65</v>
      </c>
      <c r="K24" s="39" t="s">
        <v>32</v>
      </c>
    </row>
    <row r="25" spans="1:11" ht="28.9">
      <c r="A25" s="28" t="str">
        <v>Charlotte - Wells Fargo - DUC</v>
      </c>
      <c r="B25" s="29" t="str">
        <v>NC</v>
      </c>
      <c r="C25" s="10">
        <v>1019</v>
      </c>
      <c r="D25" s="16">
        <v>155244</v>
      </c>
      <c r="E25" s="16">
        <f t="shared" si="0"/>
        <v>-154225</v>
      </c>
      <c r="F25" s="17">
        <f t="shared" si="3"/>
        <v>-0.99343613923887553</v>
      </c>
      <c r="G25" s="18">
        <v>165416</v>
      </c>
      <c r="H25" s="18">
        <f t="shared" si="1"/>
        <v>-164397</v>
      </c>
      <c r="I25" s="17">
        <f t="shared" si="2"/>
        <v>-0.99383977366155629</v>
      </c>
      <c r="J25" s="40" t="s">
        <v>66</v>
      </c>
      <c r="K25" s="56" t="s">
        <v>33</v>
      </c>
    </row>
    <row r="26" spans="1:11" ht="15.6">
      <c r="A26" s="26" t="str">
        <v>East Windsor</v>
      </c>
      <c r="B26" s="27" t="str">
        <v>NJ</v>
      </c>
      <c r="C26" s="22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2271</v>
      </c>
      <c r="D27" s="16">
        <v>2117</v>
      </c>
      <c r="E27" s="16">
        <f t="shared" si="0"/>
        <v>154</v>
      </c>
      <c r="F27" s="17">
        <f t="shared" si="3"/>
        <v>7.2744449692961732E-2</v>
      </c>
      <c r="G27" s="18">
        <v>1975</v>
      </c>
      <c r="H27" s="18">
        <f t="shared" si="1"/>
        <v>296</v>
      </c>
      <c r="I27" s="17">
        <f t="shared" si="2"/>
        <v>0.14987341772151899</v>
      </c>
      <c r="J27" s="40"/>
      <c r="K27" s="40"/>
    </row>
    <row r="28" spans="1:11" ht="15.6">
      <c r="A28" s="26" t="str">
        <v>Bayonne</v>
      </c>
      <c r="B28" s="27" t="str">
        <v>NJ</v>
      </c>
      <c r="C28" s="22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3452</v>
      </c>
      <c r="D29" s="16">
        <v>3504</v>
      </c>
      <c r="E29" s="16">
        <f t="shared" si="0"/>
        <v>-52</v>
      </c>
      <c r="F29" s="17">
        <f t="shared" si="3"/>
        <v>-1.4840182648401826E-2</v>
      </c>
      <c r="G29" s="18">
        <v>3881</v>
      </c>
      <c r="H29" s="18">
        <f t="shared" si="1"/>
        <v>-429</v>
      </c>
      <c r="I29" s="17">
        <f t="shared" si="2"/>
        <v>-0.11053852099974233</v>
      </c>
      <c r="J29" s="40"/>
      <c r="K29" s="40"/>
    </row>
    <row r="30" spans="1:11" ht="15.6">
      <c r="A30" s="26" t="str">
        <v>North Elizabeth</v>
      </c>
      <c r="B30" s="27" t="str">
        <v>NJ</v>
      </c>
      <c r="C30" s="22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2120</v>
      </c>
      <c r="D31" s="16">
        <v>2028</v>
      </c>
      <c r="E31" s="16">
        <f t="shared" si="0"/>
        <v>92</v>
      </c>
      <c r="F31" s="17">
        <f t="shared" si="3"/>
        <v>4.5364891518737675E-2</v>
      </c>
      <c r="G31" s="18">
        <v>1901</v>
      </c>
      <c r="H31" s="18">
        <f t="shared" si="1"/>
        <v>219</v>
      </c>
      <c r="I31" s="17">
        <f t="shared" si="2"/>
        <v>0.11520252498684903</v>
      </c>
      <c r="J31" s="40"/>
      <c r="K31" s="40"/>
    </row>
    <row r="32" spans="1:11" ht="15.6">
      <c r="A32" s="26" t="str">
        <v>Parsippany</v>
      </c>
      <c r="B32" s="27" t="str">
        <v>NJ</v>
      </c>
      <c r="C32" s="22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2177</v>
      </c>
      <c r="D33" s="16">
        <v>1988</v>
      </c>
      <c r="E33" s="16">
        <f t="shared" si="0"/>
        <v>189</v>
      </c>
      <c r="F33" s="17">
        <f t="shared" si="3"/>
        <v>9.5070422535211266E-2</v>
      </c>
      <c r="G33" s="18">
        <v>1843</v>
      </c>
      <c r="H33" s="18">
        <f t="shared" si="1"/>
        <v>334</v>
      </c>
      <c r="I33" s="17">
        <f t="shared" si="2"/>
        <v>0.18122626153011395</v>
      </c>
      <c r="J33" s="40"/>
      <c r="K33" s="40"/>
    </row>
    <row r="34" spans="1:11" ht="15.6">
      <c r="A34" s="26" t="str">
        <v>Closter</v>
      </c>
      <c r="B34" s="27" t="str">
        <v>NJ</v>
      </c>
      <c r="C34" s="22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1858</v>
      </c>
      <c r="D35" s="16">
        <v>1620</v>
      </c>
      <c r="E35" s="16">
        <f t="shared" si="0"/>
        <v>238</v>
      </c>
      <c r="F35" s="17">
        <f t="shared" si="3"/>
        <v>0.14691358024691359</v>
      </c>
      <c r="G35" s="18">
        <v>1596</v>
      </c>
      <c r="H35" s="18">
        <f t="shared" si="1"/>
        <v>262</v>
      </c>
      <c r="I35" s="17">
        <f t="shared" si="2"/>
        <v>0.16416040100250626</v>
      </c>
      <c r="J35" s="40"/>
      <c r="K35" s="40"/>
    </row>
    <row r="36" spans="1:11" ht="15.6">
      <c r="A36" s="26" t="str">
        <v>Ellisburg Circle Center</v>
      </c>
      <c r="B36" s="27" t="str">
        <v>NJ</v>
      </c>
      <c r="C36" s="22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2974</v>
      </c>
      <c r="D37" s="16">
        <v>2777</v>
      </c>
      <c r="E37" s="16">
        <f t="shared" si="0"/>
        <v>197</v>
      </c>
      <c r="F37" s="17">
        <f t="shared" si="3"/>
        <v>7.0939863161685268E-2</v>
      </c>
      <c r="G37" s="18">
        <v>3135</v>
      </c>
      <c r="H37" s="18">
        <f t="shared" si="1"/>
        <v>-161</v>
      </c>
      <c r="I37" s="17">
        <f t="shared" si="2"/>
        <v>-5.1355661881977668E-2</v>
      </c>
      <c r="J37" s="40"/>
      <c r="K37" s="40"/>
    </row>
    <row r="38" spans="1:11" ht="15.6">
      <c r="A38" s="26" t="str">
        <v>Marlton</v>
      </c>
      <c r="B38" s="27" t="str">
        <v>NJ</v>
      </c>
      <c r="C38" s="22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2867</v>
      </c>
      <c r="D39" s="16">
        <v>2409</v>
      </c>
      <c r="E39" s="16">
        <f t="shared" si="0"/>
        <v>458</v>
      </c>
      <c r="F39" s="17">
        <f t="shared" si="3"/>
        <v>0.19012038190120381</v>
      </c>
      <c r="G39" s="18">
        <v>2632</v>
      </c>
      <c r="H39" s="18">
        <f t="shared" si="1"/>
        <v>235</v>
      </c>
      <c r="I39" s="17">
        <f t="shared" si="2"/>
        <v>8.9285714285714288E-2</v>
      </c>
      <c r="J39" s="40"/>
      <c r="K39" s="40"/>
    </row>
    <row r="40" spans="1:11" ht="15.6">
      <c r="A40" s="26" t="str">
        <v>Whiting Crestwood</v>
      </c>
      <c r="B40" s="27" t="str">
        <v>NJ</v>
      </c>
      <c r="C40" s="22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4807</v>
      </c>
      <c r="D41" s="16">
        <v>4116</v>
      </c>
      <c r="E41" s="16">
        <f t="shared" si="0"/>
        <v>691</v>
      </c>
      <c r="F41" s="17">
        <f t="shared" si="3"/>
        <v>0.16788143828960156</v>
      </c>
      <c r="G41" s="18">
        <v>4404</v>
      </c>
      <c r="H41" s="18">
        <f t="shared" si="1"/>
        <v>403</v>
      </c>
      <c r="I41" s="17">
        <f t="shared" si="2"/>
        <v>9.1507720254314265E-2</v>
      </c>
      <c r="J41" s="40"/>
      <c r="K41" s="40"/>
    </row>
    <row r="42" spans="1:11" ht="15.6">
      <c r="A42" s="26" t="str">
        <v>Manchester</v>
      </c>
      <c r="B42" s="27" t="str">
        <v>NJ</v>
      </c>
      <c r="C42" s="22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3319</v>
      </c>
      <c r="D43" s="16">
        <v>3314</v>
      </c>
      <c r="E43" s="16">
        <f t="shared" si="0"/>
        <v>5</v>
      </c>
      <c r="F43" s="17">
        <f t="shared" si="3"/>
        <v>1.5087507543753772E-3</v>
      </c>
      <c r="G43" s="18">
        <v>2972</v>
      </c>
      <c r="H43" s="18">
        <f t="shared" si="1"/>
        <v>347</v>
      </c>
      <c r="I43" s="17">
        <f t="shared" si="2"/>
        <v>0.1167563930013459</v>
      </c>
      <c r="J43" s="40"/>
      <c r="K43" s="40"/>
    </row>
    <row r="44" spans="1:11" ht="15.6">
      <c r="A44" s="26" t="str">
        <v>Edison</v>
      </c>
      <c r="B44" s="27" t="str">
        <v>NJ</v>
      </c>
      <c r="C44" s="22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2630</v>
      </c>
      <c r="D45" s="16">
        <v>2285</v>
      </c>
      <c r="E45" s="16">
        <f t="shared" si="0"/>
        <v>345</v>
      </c>
      <c r="F45" s="17">
        <f t="shared" si="3"/>
        <v>0.15098468271334792</v>
      </c>
      <c r="G45" s="18">
        <v>2337</v>
      </c>
      <c r="H45" s="18">
        <f t="shared" si="1"/>
        <v>293</v>
      </c>
      <c r="I45" s="17">
        <f t="shared" si="2"/>
        <v>0.12537441163885324</v>
      </c>
      <c r="J45" s="40"/>
      <c r="K45" s="40"/>
    </row>
    <row r="46" spans="1:11" ht="15.6">
      <c r="A46" s="26" t="str">
        <v>Route 22</v>
      </c>
      <c r="B46" s="27" t="str">
        <v>NJ</v>
      </c>
      <c r="C46" s="22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2040</v>
      </c>
      <c r="D47" s="16">
        <v>2082</v>
      </c>
      <c r="E47" s="16">
        <f t="shared" si="0"/>
        <v>-42</v>
      </c>
      <c r="F47" s="17">
        <f t="shared" si="3"/>
        <v>-2.0172910662824207E-2</v>
      </c>
      <c r="G47" s="18">
        <v>2166</v>
      </c>
      <c r="H47" s="18">
        <f t="shared" si="1"/>
        <v>-126</v>
      </c>
      <c r="I47" s="17">
        <f t="shared" si="2"/>
        <v>-5.817174515235457E-2</v>
      </c>
      <c r="J47" s="40"/>
      <c r="K47" s="40"/>
    </row>
    <row r="48" spans="1:11" ht="15.6">
      <c r="A48" s="26" t="str">
        <v>Mahwah</v>
      </c>
      <c r="B48" s="27" t="str">
        <v>NJ</v>
      </c>
      <c r="C48" s="22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2433</v>
      </c>
      <c r="D49" s="16">
        <v>2215</v>
      </c>
      <c r="E49" s="16">
        <f t="shared" si="0"/>
        <v>218</v>
      </c>
      <c r="F49" s="17">
        <f t="shared" si="3"/>
        <v>9.8419864559819409E-2</v>
      </c>
      <c r="G49" s="18">
        <v>2742</v>
      </c>
      <c r="H49" s="18">
        <f t="shared" si="1"/>
        <v>-309</v>
      </c>
      <c r="I49" s="17">
        <f t="shared" si="2"/>
        <v>-0.11269146608315099</v>
      </c>
      <c r="J49" s="40"/>
      <c r="K49" s="40"/>
    </row>
    <row r="50" spans="1:11" ht="15.6">
      <c r="A50" s="26" t="str">
        <v>Bordentown</v>
      </c>
      <c r="B50" s="27" t="str">
        <v>NJ</v>
      </c>
      <c r="C50" s="22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1416</v>
      </c>
      <c r="D51" s="16">
        <v>1280</v>
      </c>
      <c r="E51" s="16">
        <f t="shared" si="0"/>
        <v>136</v>
      </c>
      <c r="F51" s="17">
        <f t="shared" si="3"/>
        <v>0.10625</v>
      </c>
      <c r="G51" s="18">
        <v>1227</v>
      </c>
      <c r="H51" s="18">
        <f t="shared" si="1"/>
        <v>189</v>
      </c>
      <c r="I51" s="17">
        <f t="shared" si="2"/>
        <v>0.15403422982885084</v>
      </c>
      <c r="J51" s="40"/>
      <c r="K51" s="40"/>
    </row>
    <row r="52" spans="1:11" ht="15.6">
      <c r="A52" s="26" t="str">
        <v>Somerset</v>
      </c>
      <c r="B52" s="27" t="str">
        <v>NJ</v>
      </c>
      <c r="C52" s="22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2481</v>
      </c>
      <c r="D53" s="16">
        <v>2488</v>
      </c>
      <c r="E53" s="16">
        <f t="shared" si="0"/>
        <v>-7</v>
      </c>
      <c r="F53" s="17">
        <f t="shared" si="3"/>
        <v>-2.8135048231511255E-3</v>
      </c>
      <c r="G53" s="18">
        <v>2163</v>
      </c>
      <c r="H53" s="18">
        <f t="shared" si="1"/>
        <v>318</v>
      </c>
      <c r="I53" s="17">
        <f t="shared" si="2"/>
        <v>0.14701803051317613</v>
      </c>
      <c r="J53" s="40"/>
      <c r="K53" s="40"/>
    </row>
    <row r="54" spans="1:11" ht="15.6">
      <c r="A54" s="26" t="str">
        <v>North Brunswick</v>
      </c>
      <c r="B54" s="27" t="str">
        <v>NJ</v>
      </c>
      <c r="C54" s="22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1739</v>
      </c>
      <c r="D55" s="16">
        <v>1729</v>
      </c>
      <c r="E55" s="16">
        <f t="shared" si="0"/>
        <v>10</v>
      </c>
      <c r="F55" s="17">
        <f t="shared" si="3"/>
        <v>5.7836899942163098E-3</v>
      </c>
      <c r="G55" s="18">
        <v>1658</v>
      </c>
      <c r="H55" s="18">
        <f t="shared" si="1"/>
        <v>81</v>
      </c>
      <c r="I55" s="17">
        <f t="shared" si="2"/>
        <v>4.8854041013268998E-2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39844</v>
      </c>
      <c r="D57" s="16">
        <v>24128</v>
      </c>
      <c r="E57" s="16">
        <f t="shared" si="0"/>
        <v>15716</v>
      </c>
      <c r="F57" s="17">
        <f t="shared" si="3"/>
        <v>0.65135941644562334</v>
      </c>
      <c r="G57" s="18">
        <v>50913</v>
      </c>
      <c r="H57" s="18">
        <f t="shared" si="1"/>
        <v>-11069</v>
      </c>
      <c r="I57" s="17">
        <f t="shared" si="2"/>
        <v>-0.21741009172509967</v>
      </c>
      <c r="J57" s="40"/>
      <c r="K57" s="40"/>
    </row>
    <row r="58" spans="1:11" ht="15.6">
      <c r="A58" s="26" t="str">
        <v>San Antonio - Ops Ctr GM</v>
      </c>
      <c r="B58" s="27" t="str">
        <v>TX</v>
      </c>
      <c r="C58" s="22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31737</v>
      </c>
      <c r="D59" s="16">
        <v>23935</v>
      </c>
      <c r="E59" s="16">
        <f t="shared" si="0"/>
        <v>7802</v>
      </c>
      <c r="F59" s="17">
        <f t="shared" si="3"/>
        <v>0.32596615834551912</v>
      </c>
      <c r="G59" s="18">
        <v>50950</v>
      </c>
      <c r="H59" s="18">
        <f t="shared" si="1"/>
        <v>-19213</v>
      </c>
      <c r="I59" s="17">
        <f t="shared" si="2"/>
        <v>-0.37709519136408243</v>
      </c>
      <c r="J59" s="40" t="s">
        <v>67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9" t="s">
        <v>68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21809</v>
      </c>
      <c r="E61" s="16">
        <f t="shared" si="0"/>
        <v>-21809</v>
      </c>
      <c r="F61" s="17">
        <f t="shared" si="3"/>
        <v>-1</v>
      </c>
      <c r="G61" s="18">
        <v>48185</v>
      </c>
      <c r="H61" s="18">
        <f t="shared" si="1"/>
        <v>-48185</v>
      </c>
      <c r="I61" s="17">
        <f t="shared" si="2"/>
        <v>-1</v>
      </c>
      <c r="J61" s="40" t="s">
        <v>69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9" t="s">
        <v>69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23168</v>
      </c>
      <c r="E63" s="16">
        <f t="shared" si="0"/>
        <v>-23168</v>
      </c>
      <c r="F63" s="17">
        <f t="shared" si="3"/>
        <v>-1</v>
      </c>
      <c r="G63" s="18">
        <v>47944</v>
      </c>
      <c r="H63" s="18">
        <f t="shared" si="1"/>
        <v>-47944</v>
      </c>
      <c r="I63" s="17">
        <f t="shared" si="2"/>
        <v>-1</v>
      </c>
      <c r="J63" s="40" t="s">
        <v>69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38265</v>
      </c>
      <c r="D65" s="16">
        <v>22454</v>
      </c>
      <c r="E65" s="16">
        <f t="shared" si="0"/>
        <v>15811</v>
      </c>
      <c r="F65" s="17">
        <f t="shared" si="3"/>
        <v>0.7041507081143672</v>
      </c>
      <c r="G65" s="18">
        <v>53647</v>
      </c>
      <c r="H65" s="18">
        <f t="shared" si="1"/>
        <v>-15382</v>
      </c>
      <c r="I65" s="17">
        <f t="shared" si="2"/>
        <v>-0.28672619158573637</v>
      </c>
      <c r="J65" s="40" t="s">
        <v>70</v>
      </c>
      <c r="K65" s="40" t="s">
        <v>44</v>
      </c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9" stopIfTrue="1" operator="lessThanOrEqual">
      <formula>-0.1</formula>
    </cfRule>
    <cfRule type="expression" dxfId="35" priority="1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12" activePane="bottomRight" state="frozen"/>
      <selection pane="bottomRight" activeCell="S46" sqref="S46"/>
      <selection pane="bottomLeft"/>
      <selection pane="topRight"/>
    </sheetView>
  </sheetViews>
  <sheetFormatPr defaultRowHeight="13.9"/>
  <cols>
    <col min="1" max="1" width="29.7109375" customWidth="1"/>
    <col min="2" max="2" width="8.42578125" style="32" customWidth="1"/>
    <col min="3" max="3" width="13.85546875" bestFit="1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71</v>
      </c>
      <c r="E1" s="69"/>
      <c r="F1" s="69"/>
      <c r="G1" s="67" t="s">
        <v>72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967630.93699389999</v>
      </c>
      <c r="D2" s="4">
        <f>SUM(D4:D100)</f>
        <v>1046571.4263000001</v>
      </c>
      <c r="E2" s="4">
        <f>C2-D2</f>
        <v>-78940.489306100062</v>
      </c>
      <c r="F2" s="5">
        <f>IFERROR(E2/D2, 0)</f>
        <v>-7.5427713123396273E-2</v>
      </c>
      <c r="G2" s="4">
        <f>SUM(G4:G100)</f>
        <v>1235173.4840000002</v>
      </c>
      <c r="H2" s="6">
        <f>C2-G2</f>
        <v>-267542.54700610018</v>
      </c>
      <c r="I2" s="5">
        <f>IFERROR(H2/G2, 0)</f>
        <v>-0.21660321442433114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1295.8</v>
      </c>
      <c r="D4" s="11">
        <v>0</v>
      </c>
      <c r="E4" s="11">
        <f>IF(AND(ISNUMBER(C4),ISNUMBER(D4)), C4-D4, "")</f>
        <v>1295.8</v>
      </c>
      <c r="F4" s="12" t="str">
        <f>IFERROR(E4/D4, "")</f>
        <v/>
      </c>
      <c r="G4" s="13">
        <v>1189</v>
      </c>
      <c r="H4" s="13">
        <f>IF(AND(ISNUMBER(C4),ISNUMBER(G4)), C4-G4, "")</f>
        <v>106.79999999999995</v>
      </c>
      <c r="I4" s="14">
        <f>IFERROR(H4/G4, "")</f>
        <v>8.9823380992430576E-2</v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>
        <v>0</v>
      </c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52633.125</v>
      </c>
      <c r="D6" s="11">
        <v>47100.36</v>
      </c>
      <c r="E6" s="11">
        <f t="shared" si="0"/>
        <v>5532.7649999999994</v>
      </c>
      <c r="F6" s="12">
        <f t="shared" ref="F6:F69" si="3">IFERROR(E6/D6, "")</f>
        <v>0.11746757349625352</v>
      </c>
      <c r="G6" s="13">
        <v>44943.77</v>
      </c>
      <c r="H6" s="13">
        <f t="shared" si="1"/>
        <v>7689.3550000000032</v>
      </c>
      <c r="I6" s="14">
        <f t="shared" si="2"/>
        <v>0.17108833994121997</v>
      </c>
      <c r="J6" s="39"/>
      <c r="K6" s="39"/>
    </row>
    <row r="7" spans="1:11" ht="15.6">
      <c r="A7" s="28" t="str">
        <v>Van Nuys</v>
      </c>
      <c r="B7" s="29" t="str">
        <v>CA</v>
      </c>
      <c r="C7" s="10">
        <v>2145.5</v>
      </c>
      <c r="D7" s="16">
        <v>0</v>
      </c>
      <c r="E7" s="16">
        <f t="shared" si="0"/>
        <v>2145.5</v>
      </c>
      <c r="F7" s="17" t="str">
        <f t="shared" si="3"/>
        <v/>
      </c>
      <c r="G7" s="18">
        <v>2383.0320000000002</v>
      </c>
      <c r="H7" s="18">
        <f t="shared" si="1"/>
        <v>-237.53200000000015</v>
      </c>
      <c r="I7" s="17">
        <f t="shared" si="2"/>
        <v>-9.9676378663819926E-2</v>
      </c>
      <c r="J7" s="40"/>
      <c r="K7" s="41"/>
    </row>
    <row r="8" spans="1:11" ht="15.6">
      <c r="A8" s="26" t="str">
        <v>98th &amp; Grant</v>
      </c>
      <c r="B8" s="27" t="str">
        <v>CO</v>
      </c>
      <c r="C8" s="22">
        <v>1577.4</v>
      </c>
      <c r="D8" s="11">
        <v>0</v>
      </c>
      <c r="E8" s="11">
        <f t="shared" si="0"/>
        <v>1577.4</v>
      </c>
      <c r="F8" s="12" t="str">
        <f t="shared" si="3"/>
        <v/>
      </c>
      <c r="G8" s="13">
        <v>2136</v>
      </c>
      <c r="H8" s="13">
        <f t="shared" si="1"/>
        <v>-558.59999999999991</v>
      </c>
      <c r="I8" s="14">
        <f t="shared" si="2"/>
        <v>-0.26151685393258423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4133.5045280000004</v>
      </c>
      <c r="D9" s="16">
        <v>0</v>
      </c>
      <c r="E9" s="16">
        <f t="shared" si="0"/>
        <v>4133.5045280000004</v>
      </c>
      <c r="F9" s="17" t="str">
        <f t="shared" si="3"/>
        <v/>
      </c>
      <c r="G9" s="18">
        <v>3918.4670000000001</v>
      </c>
      <c r="H9" s="18">
        <f t="shared" si="1"/>
        <v>215.03752800000029</v>
      </c>
      <c r="I9" s="17">
        <f t="shared" si="2"/>
        <v>5.4877973452373156E-2</v>
      </c>
      <c r="J9" s="40"/>
      <c r="K9" s="41"/>
    </row>
    <row r="10" spans="1:11" ht="15.6">
      <c r="A10" s="26" t="str">
        <v>Aurora City Center</v>
      </c>
      <c r="B10" s="27" t="str">
        <v>CO</v>
      </c>
      <c r="C10" s="22">
        <v>1935.5</v>
      </c>
      <c r="D10" s="11">
        <v>0</v>
      </c>
      <c r="E10" s="11">
        <f t="shared" si="0"/>
        <v>1935.5</v>
      </c>
      <c r="F10" s="12" t="str">
        <f t="shared" si="3"/>
        <v/>
      </c>
      <c r="G10" s="13">
        <v>1830</v>
      </c>
      <c r="H10" s="13">
        <f t="shared" si="1"/>
        <v>105.5</v>
      </c>
      <c r="I10" s="14">
        <f t="shared" si="2"/>
        <v>5.7650273224043716E-2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256.10000000000002</v>
      </c>
      <c r="D11" s="16">
        <v>0</v>
      </c>
      <c r="E11" s="16">
        <f t="shared" si="0"/>
        <v>256.10000000000002</v>
      </c>
      <c r="F11" s="17" t="str">
        <f t="shared" si="3"/>
        <v/>
      </c>
      <c r="G11" s="18">
        <v>2326</v>
      </c>
      <c r="H11" s="18">
        <f t="shared" si="1"/>
        <v>-2069.9</v>
      </c>
      <c r="I11" s="17">
        <f t="shared" si="2"/>
        <v>-0.88989681857265701</v>
      </c>
      <c r="J11" s="40" t="s">
        <v>73</v>
      </c>
      <c r="K11" s="41" t="s">
        <v>25</v>
      </c>
    </row>
    <row r="12" spans="1:11" ht="15.6">
      <c r="A12" s="26" t="str">
        <v>Highlands Ranch S.</v>
      </c>
      <c r="B12" s="27" t="str">
        <v>CO</v>
      </c>
      <c r="C12" s="22">
        <v>2045.9</v>
      </c>
      <c r="D12" s="11">
        <v>0</v>
      </c>
      <c r="E12" s="11">
        <f t="shared" si="0"/>
        <v>2045.9</v>
      </c>
      <c r="F12" s="12" t="str">
        <f t="shared" si="3"/>
        <v/>
      </c>
      <c r="G12" s="13">
        <v>2208</v>
      </c>
      <c r="H12" s="13">
        <f t="shared" si="1"/>
        <v>-162.09999999999991</v>
      </c>
      <c r="I12" s="14">
        <f t="shared" si="2"/>
        <v>-7.3414855072463731E-2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3089.5</v>
      </c>
      <c r="D13" s="16">
        <v>0</v>
      </c>
      <c r="E13" s="16">
        <f t="shared" si="0"/>
        <v>3089.5</v>
      </c>
      <c r="F13" s="17" t="str">
        <f t="shared" si="3"/>
        <v/>
      </c>
      <c r="G13" s="18">
        <v>5022</v>
      </c>
      <c r="H13" s="18">
        <f t="shared" si="1"/>
        <v>-1932.5</v>
      </c>
      <c r="I13" s="17">
        <f t="shared" si="2"/>
        <v>-0.38480684986061331</v>
      </c>
      <c r="J13" s="40"/>
      <c r="K13" s="41"/>
    </row>
    <row r="14" spans="1:11" ht="15.6">
      <c r="A14" s="26" t="str">
        <v>Meridian</v>
      </c>
      <c r="B14" s="27" t="str">
        <v>CO</v>
      </c>
      <c r="C14" s="22">
        <v>3105.7</v>
      </c>
      <c r="D14" s="11">
        <v>0</v>
      </c>
      <c r="E14" s="11">
        <f t="shared" si="0"/>
        <v>3105.7</v>
      </c>
      <c r="F14" s="12" t="str">
        <f t="shared" si="3"/>
        <v/>
      </c>
      <c r="G14" s="13">
        <v>2914</v>
      </c>
      <c r="H14" s="13">
        <f t="shared" si="1"/>
        <v>191.69999999999982</v>
      </c>
      <c r="I14" s="14">
        <f t="shared" si="2"/>
        <v>6.5785861358956699E-2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3252.2</v>
      </c>
      <c r="D15" s="16">
        <v>0</v>
      </c>
      <c r="E15" s="16">
        <f t="shared" si="0"/>
        <v>3252.2</v>
      </c>
      <c r="F15" s="17" t="str">
        <f t="shared" si="3"/>
        <v/>
      </c>
      <c r="G15" s="18">
        <v>2987</v>
      </c>
      <c r="H15" s="18">
        <f t="shared" si="1"/>
        <v>265.19999999999982</v>
      </c>
      <c r="I15" s="17">
        <f t="shared" si="2"/>
        <v>8.8784733846668837E-2</v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 t="s">
        <v>74</v>
      </c>
      <c r="K16" s="39" t="s">
        <v>75</v>
      </c>
    </row>
    <row r="17" spans="1:11" ht="15.6">
      <c r="A17" s="28" t="str">
        <v>Havana Gardens</v>
      </c>
      <c r="B17" s="29" t="str">
        <v>CO</v>
      </c>
      <c r="C17" s="10">
        <v>3662.8</v>
      </c>
      <c r="D17" s="16"/>
      <c r="E17" s="16" t="str">
        <f t="shared" si="0"/>
        <v/>
      </c>
      <c r="F17" s="17" t="str">
        <f t="shared" si="3"/>
        <v/>
      </c>
      <c r="G17" s="18">
        <v>1550</v>
      </c>
      <c r="H17" s="18">
        <f t="shared" si="1"/>
        <v>2112.8000000000002</v>
      </c>
      <c r="I17" s="17">
        <f t="shared" si="2"/>
        <v>1.3630967741935485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684.8</v>
      </c>
      <c r="D18" s="11">
        <v>607.37369999999999</v>
      </c>
      <c r="E18" s="11">
        <f t="shared" si="0"/>
        <v>77.426299999999969</v>
      </c>
      <c r="F18" s="12">
        <f t="shared" si="3"/>
        <v>0.12747720225620565</v>
      </c>
      <c r="G18" s="13">
        <v>800.53700000000003</v>
      </c>
      <c r="H18" s="13">
        <f t="shared" si="1"/>
        <v>-115.73700000000008</v>
      </c>
      <c r="I18" s="14">
        <f t="shared" si="2"/>
        <v>-0.14457420456518572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807.5727369</v>
      </c>
      <c r="D19" s="16">
        <v>875.31089999999995</v>
      </c>
      <c r="E19" s="16">
        <f t="shared" si="0"/>
        <v>-67.738163099999952</v>
      </c>
      <c r="F19" s="17">
        <f t="shared" si="3"/>
        <v>-7.7387546641998803E-2</v>
      </c>
      <c r="G19" s="18">
        <v>993.77</v>
      </c>
      <c r="H19" s="18">
        <f t="shared" si="1"/>
        <v>-186.19726309999999</v>
      </c>
      <c r="I19" s="17">
        <f t="shared" si="2"/>
        <v>-0.18736454421043097</v>
      </c>
      <c r="J19" s="40"/>
      <c r="K19" s="41"/>
    </row>
    <row r="20" spans="1:11" ht="15.6">
      <c r="A20" s="26" t="str">
        <v>Hialeah Gardens</v>
      </c>
      <c r="B20" s="27" t="str">
        <v>FL</v>
      </c>
      <c r="C20" s="22">
        <v>869.93799999999999</v>
      </c>
      <c r="D20" s="11">
        <v>4597.8069999999998</v>
      </c>
      <c r="E20" s="11">
        <f t="shared" si="0"/>
        <v>-3727.8689999999997</v>
      </c>
      <c r="F20" s="12">
        <f t="shared" si="3"/>
        <v>-0.81079284102181759</v>
      </c>
      <c r="G20" s="13">
        <v>5532</v>
      </c>
      <c r="H20" s="13">
        <f t="shared" si="1"/>
        <v>-4662.0619999999999</v>
      </c>
      <c r="I20" s="14">
        <f t="shared" si="2"/>
        <v>-0.84274439624005781</v>
      </c>
      <c r="J20" s="39" t="s">
        <v>76</v>
      </c>
      <c r="K20" s="39" t="s">
        <v>77</v>
      </c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180086.75</v>
      </c>
      <c r="D22" s="11">
        <v>177234.7</v>
      </c>
      <c r="E22" s="11">
        <f t="shared" si="0"/>
        <v>2852.0499999999884</v>
      </c>
      <c r="F22" s="12">
        <f t="shared" si="3"/>
        <v>1.6091939106732418E-2</v>
      </c>
      <c r="G22" s="13">
        <v>177300</v>
      </c>
      <c r="H22" s="13">
        <f t="shared" si="1"/>
        <v>2786.75</v>
      </c>
      <c r="I22" s="14">
        <f t="shared" si="2"/>
        <v>1.5717710095882683E-2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85747.5</v>
      </c>
      <c r="D23" s="16">
        <v>89118.94</v>
      </c>
      <c r="E23" s="16">
        <f t="shared" si="0"/>
        <v>-3371.4400000000023</v>
      </c>
      <c r="F23" s="17">
        <f t="shared" si="3"/>
        <v>-3.7830791075387595E-2</v>
      </c>
      <c r="G23" s="18">
        <v>88010.12</v>
      </c>
      <c r="H23" s="18">
        <f t="shared" si="1"/>
        <v>-2262.6199999999953</v>
      </c>
      <c r="I23" s="17">
        <f t="shared" si="2"/>
        <v>-2.5708634416133001E-2</v>
      </c>
      <c r="J23" s="40"/>
      <c r="K23" s="41"/>
    </row>
    <row r="24" spans="1:11" ht="15.6">
      <c r="A24" s="26" t="str">
        <v>WF - CIC</v>
      </c>
      <c r="B24" s="27" t="str">
        <v>NC</v>
      </c>
      <c r="C24" s="59">
        <v>178890</v>
      </c>
      <c r="D24" s="11">
        <v>129343.5</v>
      </c>
      <c r="E24" s="11">
        <f t="shared" si="0"/>
        <v>49546.5</v>
      </c>
      <c r="F24" s="12">
        <f t="shared" si="3"/>
        <v>0.38306138306138304</v>
      </c>
      <c r="G24" s="13">
        <v>194273</v>
      </c>
      <c r="H24" s="13">
        <f t="shared" si="1"/>
        <v>-15383</v>
      </c>
      <c r="I24" s="14">
        <f t="shared" si="2"/>
        <v>-7.9182387670957879E-2</v>
      </c>
      <c r="J24" s="39"/>
      <c r="K24" s="39"/>
    </row>
    <row r="25" spans="1:11" ht="28.9">
      <c r="A25" s="28" t="str">
        <v>Charlotte - Wells Fargo - DUC</v>
      </c>
      <c r="B25" s="29" t="str">
        <v>NC</v>
      </c>
      <c r="C25" s="10">
        <v>73190</v>
      </c>
      <c r="D25" s="16">
        <v>171337.2</v>
      </c>
      <c r="E25" s="16">
        <f t="shared" si="0"/>
        <v>-98147.200000000012</v>
      </c>
      <c r="F25" s="17">
        <f t="shared" si="3"/>
        <v>-0.57283065207088713</v>
      </c>
      <c r="G25" s="18">
        <v>173188</v>
      </c>
      <c r="H25" s="18">
        <f t="shared" si="1"/>
        <v>-99998</v>
      </c>
      <c r="I25" s="17">
        <f t="shared" si="2"/>
        <v>-0.57739566251703356</v>
      </c>
      <c r="J25" s="40" t="s">
        <v>78</v>
      </c>
      <c r="K25" s="57" t="s">
        <v>79</v>
      </c>
    </row>
    <row r="26" spans="1:11" ht="15.6">
      <c r="A26" s="26" t="str">
        <v>East Windsor</v>
      </c>
      <c r="B26" s="27" t="str">
        <v>NJ</v>
      </c>
      <c r="C26" s="22">
        <v>952.4</v>
      </c>
      <c r="D26" s="11">
        <v>959.24630000000002</v>
      </c>
      <c r="E26" s="11">
        <f t="shared" si="0"/>
        <v>-6.846300000000042</v>
      </c>
      <c r="F26" s="12">
        <f t="shared" si="3"/>
        <v>-7.1371659187010068E-3</v>
      </c>
      <c r="G26" s="13">
        <v>1088.3140000000001</v>
      </c>
      <c r="H26" s="13">
        <f t="shared" si="1"/>
        <v>-135.9140000000001</v>
      </c>
      <c r="I26" s="14">
        <f t="shared" si="2"/>
        <v>-0.12488491372894228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2447.5</v>
      </c>
      <c r="D27" s="16">
        <v>2421.4090000000001</v>
      </c>
      <c r="E27" s="16">
        <f t="shared" si="0"/>
        <v>26.090999999999894</v>
      </c>
      <c r="F27" s="17">
        <f t="shared" si="3"/>
        <v>1.0775131338819627E-2</v>
      </c>
      <c r="G27" s="18">
        <v>2751.473</v>
      </c>
      <c r="H27" s="18">
        <f t="shared" si="1"/>
        <v>-303.97299999999996</v>
      </c>
      <c r="I27" s="17">
        <f t="shared" si="2"/>
        <v>-0.11047646115371657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3186.9</v>
      </c>
      <c r="D28" s="11">
        <v>3081.7429999999999</v>
      </c>
      <c r="E28" s="11">
        <f t="shared" si="0"/>
        <v>105.15700000000015</v>
      </c>
      <c r="F28" s="12">
        <f t="shared" si="3"/>
        <v>3.412257284270627E-2</v>
      </c>
      <c r="G28" s="13">
        <v>3318.21</v>
      </c>
      <c r="H28" s="13">
        <f t="shared" si="1"/>
        <v>-131.30999999999995</v>
      </c>
      <c r="I28" s="14">
        <f t="shared" si="2"/>
        <v>-3.9572540616778305E-2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3670.453125</v>
      </c>
      <c r="D29" s="16">
        <v>3807.6219999999998</v>
      </c>
      <c r="E29" s="16">
        <f t="shared" si="0"/>
        <v>-137.16887499999984</v>
      </c>
      <c r="F29" s="17">
        <f t="shared" si="3"/>
        <v>-3.6024814175356655E-2</v>
      </c>
      <c r="G29" s="18">
        <v>4401.7650000000003</v>
      </c>
      <c r="H29" s="18">
        <f t="shared" si="1"/>
        <v>-731.31187500000033</v>
      </c>
      <c r="I29" s="17">
        <f t="shared" si="2"/>
        <v>-0.16614059928233341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3363.6</v>
      </c>
      <c r="D30" s="11">
        <v>2506.8910000000001</v>
      </c>
      <c r="E30" s="11">
        <f t="shared" si="0"/>
        <v>856.70899999999983</v>
      </c>
      <c r="F30" s="12">
        <f t="shared" si="3"/>
        <v>0.34174162338928971</v>
      </c>
      <c r="G30" s="13">
        <v>3662.3290000000002</v>
      </c>
      <c r="H30" s="13">
        <f t="shared" si="1"/>
        <v>-298.72900000000027</v>
      </c>
      <c r="I30" s="14">
        <f t="shared" si="2"/>
        <v>-8.1568040446393611E-2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2326.4</v>
      </c>
      <c r="D31" s="16">
        <v>2294.1509999999998</v>
      </c>
      <c r="E31" s="16">
        <f t="shared" si="0"/>
        <v>32.249000000000251</v>
      </c>
      <c r="F31" s="17">
        <f t="shared" si="3"/>
        <v>1.4057052042346059E-2</v>
      </c>
      <c r="G31" s="18">
        <v>2665.607</v>
      </c>
      <c r="H31" s="18">
        <f t="shared" si="1"/>
        <v>-339.20699999999988</v>
      </c>
      <c r="I31" s="17">
        <f t="shared" si="2"/>
        <v>-0.12725319223726525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2697.5</v>
      </c>
      <c r="D32" s="11">
        <v>2760.886</v>
      </c>
      <c r="E32" s="11">
        <f t="shared" si="0"/>
        <v>-63.385999999999967</v>
      </c>
      <c r="F32" s="12">
        <f t="shared" si="3"/>
        <v>-2.2958571994642289E-2</v>
      </c>
      <c r="G32" s="13">
        <v>3034.2069999999999</v>
      </c>
      <c r="H32" s="13">
        <f t="shared" si="1"/>
        <v>-336.70699999999988</v>
      </c>
      <c r="I32" s="14">
        <f t="shared" si="2"/>
        <v>-0.11097034579381033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2421.6</v>
      </c>
      <c r="D33" s="16">
        <v>2316.5619999999999</v>
      </c>
      <c r="E33" s="16">
        <f t="shared" si="0"/>
        <v>105.03800000000001</v>
      </c>
      <c r="F33" s="17">
        <f t="shared" si="3"/>
        <v>4.5342192438622413E-2</v>
      </c>
      <c r="G33" s="18">
        <v>2537.3760000000002</v>
      </c>
      <c r="H33" s="18">
        <f t="shared" si="1"/>
        <v>-115.77600000000029</v>
      </c>
      <c r="I33" s="17">
        <f t="shared" si="2"/>
        <v>-4.5628239567175023E-2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1220.5</v>
      </c>
      <c r="D34" s="11">
        <v>959.81240000000003</v>
      </c>
      <c r="E34" s="11">
        <f t="shared" si="0"/>
        <v>260.68759999999997</v>
      </c>
      <c r="F34" s="12">
        <f t="shared" si="3"/>
        <v>0.27160265901961672</v>
      </c>
      <c r="G34" s="13">
        <v>1509.8969999999999</v>
      </c>
      <c r="H34" s="13">
        <f t="shared" si="1"/>
        <v>-289.39699999999993</v>
      </c>
      <c r="I34" s="14">
        <f t="shared" si="2"/>
        <v>-0.19166671633892904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2017.6</v>
      </c>
      <c r="D35" s="16">
        <v>1842.106</v>
      </c>
      <c r="E35" s="16">
        <f t="shared" si="0"/>
        <v>175.49399999999991</v>
      </c>
      <c r="F35" s="17">
        <f t="shared" si="3"/>
        <v>9.526813332131806E-2</v>
      </c>
      <c r="G35" s="18">
        <v>2190.279</v>
      </c>
      <c r="H35" s="18">
        <f t="shared" si="1"/>
        <v>-172.67900000000009</v>
      </c>
      <c r="I35" s="17">
        <f t="shared" si="2"/>
        <v>-7.883881459850553E-2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1052.5</v>
      </c>
      <c r="D36" s="11">
        <v>1031.0039999999999</v>
      </c>
      <c r="E36" s="11">
        <f t="shared" si="0"/>
        <v>21.496000000000095</v>
      </c>
      <c r="F36" s="12">
        <f t="shared" si="3"/>
        <v>2.0849579633056805E-2</v>
      </c>
      <c r="G36" s="13">
        <v>1221.8</v>
      </c>
      <c r="H36" s="13">
        <f t="shared" si="1"/>
        <v>-169.29999999999995</v>
      </c>
      <c r="I36" s="14">
        <f t="shared" si="2"/>
        <v>-0.13856605009003106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3239.2</v>
      </c>
      <c r="D37" s="16">
        <v>3139.5210000000002</v>
      </c>
      <c r="E37" s="16">
        <f t="shared" si="0"/>
        <v>99.678999999999633</v>
      </c>
      <c r="F37" s="17">
        <f t="shared" si="3"/>
        <v>3.1749747811847612E-2</v>
      </c>
      <c r="G37" s="18">
        <v>4284.4949999999999</v>
      </c>
      <c r="H37" s="18">
        <f t="shared" si="1"/>
        <v>-1045.2950000000001</v>
      </c>
      <c r="I37" s="17">
        <f t="shared" si="2"/>
        <v>-0.24397157658020377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3663.8</v>
      </c>
      <c r="D38" s="11">
        <v>3352.9209999999998</v>
      </c>
      <c r="E38" s="11">
        <f t="shared" si="0"/>
        <v>310.87900000000036</v>
      </c>
      <c r="F38" s="12">
        <f t="shared" si="3"/>
        <v>9.2718856185397866E-2</v>
      </c>
      <c r="G38" s="13">
        <v>4197.6030000000001</v>
      </c>
      <c r="H38" s="13">
        <f t="shared" si="1"/>
        <v>-533.80299999999988</v>
      </c>
      <c r="I38" s="14">
        <f t="shared" si="2"/>
        <v>-0.12716852927730418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2967.5</v>
      </c>
      <c r="D39" s="16">
        <v>2619.1689999999999</v>
      </c>
      <c r="E39" s="16">
        <f t="shared" si="0"/>
        <v>348.33100000000013</v>
      </c>
      <c r="F39" s="17">
        <f t="shared" si="3"/>
        <v>0.1329929454723999</v>
      </c>
      <c r="G39" s="18">
        <v>3501.3</v>
      </c>
      <c r="H39" s="18">
        <f t="shared" si="1"/>
        <v>-533.80000000000018</v>
      </c>
      <c r="I39" s="17">
        <f t="shared" si="2"/>
        <v>-0.15245765858395458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3911.8</v>
      </c>
      <c r="D40" s="11">
        <v>3669.9870000000001</v>
      </c>
      <c r="E40" s="11">
        <f t="shared" si="0"/>
        <v>241.8130000000001</v>
      </c>
      <c r="F40" s="12">
        <f t="shared" si="3"/>
        <v>6.5889334212900511E-2</v>
      </c>
      <c r="G40" s="13">
        <v>4703.7700000000004</v>
      </c>
      <c r="H40" s="13">
        <f t="shared" si="1"/>
        <v>-791.97000000000025</v>
      </c>
      <c r="I40" s="14">
        <f t="shared" si="2"/>
        <v>-0.16836920172542455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5506.8169310000003</v>
      </c>
      <c r="D41" s="16">
        <v>4964.3109999999997</v>
      </c>
      <c r="E41" s="16">
        <f t="shared" si="0"/>
        <v>542.5059310000006</v>
      </c>
      <c r="F41" s="17">
        <f t="shared" si="3"/>
        <v>0.10928121364676803</v>
      </c>
      <c r="G41" s="18">
        <v>6090.8590000000004</v>
      </c>
      <c r="H41" s="18">
        <f t="shared" si="1"/>
        <v>-584.04206900000008</v>
      </c>
      <c r="I41" s="17">
        <f t="shared" si="2"/>
        <v>-9.5888292439539322E-2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2850.7</v>
      </c>
      <c r="D42" s="11">
        <v>2600.038</v>
      </c>
      <c r="E42" s="11">
        <f t="shared" si="0"/>
        <v>250.66199999999981</v>
      </c>
      <c r="F42" s="12">
        <f t="shared" si="3"/>
        <v>9.6407052512309355E-2</v>
      </c>
      <c r="G42" s="13">
        <v>3965.7950000000001</v>
      </c>
      <c r="H42" s="13">
        <f t="shared" si="1"/>
        <v>-1115.0950000000003</v>
      </c>
      <c r="I42" s="14">
        <f t="shared" si="2"/>
        <v>-0.28117817486783864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3342.7</v>
      </c>
      <c r="D43" s="16">
        <v>3514.0230000000001</v>
      </c>
      <c r="E43" s="16">
        <f t="shared" si="0"/>
        <v>-171.32300000000032</v>
      </c>
      <c r="F43" s="17">
        <f t="shared" si="3"/>
        <v>-4.8754091820116238E-2</v>
      </c>
      <c r="G43" s="18">
        <v>3793.855</v>
      </c>
      <c r="H43" s="18">
        <f t="shared" si="1"/>
        <v>-451.1550000000002</v>
      </c>
      <c r="I43" s="17">
        <f t="shared" si="2"/>
        <v>-0.11891730179461266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3057.9</v>
      </c>
      <c r="D44" s="11">
        <v>2972.998</v>
      </c>
      <c r="E44" s="11">
        <f t="shared" si="0"/>
        <v>84.902000000000044</v>
      </c>
      <c r="F44" s="12">
        <f t="shared" si="3"/>
        <v>2.8557705050592044E-2</v>
      </c>
      <c r="G44" s="13">
        <v>3326.0639999999999</v>
      </c>
      <c r="H44" s="13">
        <f t="shared" si="1"/>
        <v>-268.16399999999976</v>
      </c>
      <c r="I44" s="14">
        <f t="shared" si="2"/>
        <v>-8.0625027059010215E-2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2860.7</v>
      </c>
      <c r="D45" s="16">
        <v>2705.1</v>
      </c>
      <c r="E45" s="16">
        <f t="shared" si="0"/>
        <v>155.59999999999991</v>
      </c>
      <c r="F45" s="17">
        <f t="shared" si="3"/>
        <v>5.7520978891723008E-2</v>
      </c>
      <c r="G45" s="18">
        <v>3300.3969999999999</v>
      </c>
      <c r="H45" s="18">
        <f t="shared" si="1"/>
        <v>-439.69700000000012</v>
      </c>
      <c r="I45" s="17">
        <f t="shared" si="2"/>
        <v>-0.13322548772162868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2803.4</v>
      </c>
      <c r="D46" s="11">
        <v>2968.078</v>
      </c>
      <c r="E46" s="11">
        <f t="shared" si="0"/>
        <v>-164.67799999999988</v>
      </c>
      <c r="F46" s="12">
        <f t="shared" si="3"/>
        <v>-5.548304323538663E-2</v>
      </c>
      <c r="G46" s="13">
        <v>3059.2820000000002</v>
      </c>
      <c r="H46" s="13">
        <f t="shared" si="1"/>
        <v>-255.88200000000006</v>
      </c>
      <c r="I46" s="14">
        <f t="shared" si="2"/>
        <v>-8.3641194241001665E-2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2089</v>
      </c>
      <c r="D47" s="16">
        <v>2447.6170000000002</v>
      </c>
      <c r="E47" s="16">
        <f t="shared" si="0"/>
        <v>-358.61700000000019</v>
      </c>
      <c r="F47" s="17">
        <f t="shared" si="3"/>
        <v>-0.1465167957241677</v>
      </c>
      <c r="G47" s="18">
        <v>2858.875</v>
      </c>
      <c r="H47" s="18">
        <f t="shared" si="1"/>
        <v>-769.875</v>
      </c>
      <c r="I47" s="17">
        <f t="shared" si="2"/>
        <v>-0.26929299112413102</v>
      </c>
      <c r="J47" s="51" t="s">
        <v>80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2236.3000000000002</v>
      </c>
      <c r="D48" s="11">
        <v>2020.069</v>
      </c>
      <c r="E48" s="11">
        <f t="shared" si="0"/>
        <v>216.23100000000022</v>
      </c>
      <c r="F48" s="12">
        <f t="shared" si="3"/>
        <v>0.10704139314053145</v>
      </c>
      <c r="G48" s="13">
        <v>2605.2159999999999</v>
      </c>
      <c r="H48" s="13">
        <f t="shared" si="1"/>
        <v>-368.91599999999971</v>
      </c>
      <c r="I48" s="14">
        <f t="shared" si="2"/>
        <v>-0.14160668443614646</v>
      </c>
      <c r="J48" s="64"/>
      <c r="K48" s="63"/>
    </row>
    <row r="49" spans="1:11" ht="15.6">
      <c r="A49" s="28" t="str">
        <v>Franklin Township WF</v>
      </c>
      <c r="B49" s="29" t="str">
        <v>NJ</v>
      </c>
      <c r="C49" s="10">
        <v>2627.4</v>
      </c>
      <c r="D49" s="16">
        <v>2556.7950000000001</v>
      </c>
      <c r="E49" s="16">
        <f t="shared" si="0"/>
        <v>70.605000000000018</v>
      </c>
      <c r="F49" s="17">
        <f t="shared" si="3"/>
        <v>2.7614650372830053E-2</v>
      </c>
      <c r="G49" s="18">
        <v>3147.511</v>
      </c>
      <c r="H49" s="18">
        <f t="shared" si="1"/>
        <v>-520.11099999999988</v>
      </c>
      <c r="I49" s="17">
        <f t="shared" si="2"/>
        <v>-0.16524517309073739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2017.5</v>
      </c>
      <c r="D50" s="11">
        <v>1816.2249999999999</v>
      </c>
      <c r="E50" s="11">
        <f t="shared" si="0"/>
        <v>201.27500000000009</v>
      </c>
      <c r="F50" s="12">
        <f t="shared" si="3"/>
        <v>0.11082052058527997</v>
      </c>
      <c r="G50" s="13">
        <v>2256.1489999999999</v>
      </c>
      <c r="H50" s="13">
        <f t="shared" si="1"/>
        <v>-238.64899999999989</v>
      </c>
      <c r="I50" s="14">
        <f t="shared" si="2"/>
        <v>-0.10577714503784985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1495.1</v>
      </c>
      <c r="D51" s="16">
        <v>1454.835</v>
      </c>
      <c r="E51" s="16">
        <f t="shared" si="0"/>
        <v>40.264999999999873</v>
      </c>
      <c r="F51" s="17">
        <f t="shared" si="3"/>
        <v>2.7676678111263387E-2</v>
      </c>
      <c r="G51" s="18">
        <v>1595.567</v>
      </c>
      <c r="H51" s="18">
        <f t="shared" si="1"/>
        <v>-100.4670000000001</v>
      </c>
      <c r="I51" s="17">
        <f t="shared" si="2"/>
        <v>-6.2966331091079283E-2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1716.5</v>
      </c>
      <c r="D52" s="11">
        <v>2166.3539999999998</v>
      </c>
      <c r="E52" s="11">
        <f t="shared" si="0"/>
        <v>-449.85399999999981</v>
      </c>
      <c r="F52" s="12">
        <f t="shared" si="3"/>
        <v>-0.20765488927479067</v>
      </c>
      <c r="G52" s="13">
        <v>1719.0930000000001</v>
      </c>
      <c r="H52" s="13">
        <f t="shared" si="1"/>
        <v>-2.5930000000000746</v>
      </c>
      <c r="I52" s="14">
        <f t="shared" si="2"/>
        <v>-1.5083535329386336E-3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2811.1759999999999</v>
      </c>
      <c r="D53" s="16">
        <v>2787.123</v>
      </c>
      <c r="E53" s="16">
        <f t="shared" si="0"/>
        <v>24.052999999999884</v>
      </c>
      <c r="F53" s="17">
        <f t="shared" si="3"/>
        <v>8.6300461084781264E-3</v>
      </c>
      <c r="G53" s="18">
        <v>3006.942</v>
      </c>
      <c r="H53" s="18">
        <f t="shared" si="1"/>
        <v>-195.76600000000008</v>
      </c>
      <c r="I53" s="17">
        <f t="shared" si="2"/>
        <v>-6.5104681101265036E-2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2769.7</v>
      </c>
      <c r="D54" s="11">
        <v>2582.6469999999999</v>
      </c>
      <c r="E54" s="11">
        <f t="shared" si="0"/>
        <v>187.05299999999988</v>
      </c>
      <c r="F54" s="12">
        <f t="shared" si="3"/>
        <v>7.2426855083176242E-2</v>
      </c>
      <c r="G54" s="13">
        <v>3330.864</v>
      </c>
      <c r="H54" s="13">
        <f t="shared" si="1"/>
        <v>-561.16400000000021</v>
      </c>
      <c r="I54" s="14">
        <f t="shared" si="2"/>
        <v>-0.16847400554330655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1831.4453129999999</v>
      </c>
      <c r="D55" s="16">
        <v>1826.9870000000001</v>
      </c>
      <c r="E55" s="16">
        <f t="shared" si="0"/>
        <v>4.4583129999998619</v>
      </c>
      <c r="F55" s="17">
        <f t="shared" si="3"/>
        <v>2.4402543641524879E-3</v>
      </c>
      <c r="G55" s="18">
        <v>2170.223</v>
      </c>
      <c r="H55" s="18">
        <f t="shared" si="1"/>
        <v>-338.77768700000001</v>
      </c>
      <c r="I55" s="17">
        <f t="shared" si="2"/>
        <v>-0.15610270787840697</v>
      </c>
      <c r="J55" s="40"/>
      <c r="K55" s="41"/>
    </row>
    <row r="56" spans="1:11" ht="15.6">
      <c r="A56" s="26" t="str">
        <v>Hainesport</v>
      </c>
      <c r="B56" s="27" t="str">
        <v>NJ</v>
      </c>
      <c r="C56" s="22">
        <v>1967.5</v>
      </c>
      <c r="D56" s="11">
        <v>2178.0039999999999</v>
      </c>
      <c r="E56" s="11">
        <f t="shared" si="0"/>
        <v>-210.50399999999991</v>
      </c>
      <c r="F56" s="12">
        <f t="shared" si="3"/>
        <v>-9.6649960238824134E-2</v>
      </c>
      <c r="G56" s="13">
        <v>2189.5410000000002</v>
      </c>
      <c r="H56" s="13">
        <f t="shared" si="1"/>
        <v>-222.04100000000017</v>
      </c>
      <c r="I56" s="14">
        <f t="shared" si="2"/>
        <v>-0.10140983886577148</v>
      </c>
      <c r="J56" s="39"/>
      <c r="K56" s="39"/>
    </row>
    <row r="57" spans="1:11" ht="28.9">
      <c r="A57" s="28" t="str">
        <v>San Antonio - Ops Ctr (Bldg 106)</v>
      </c>
      <c r="B57" s="29" t="str">
        <v>TX</v>
      </c>
      <c r="C57" s="10">
        <v>40699.3125</v>
      </c>
      <c r="D57" s="16">
        <v>42002.400000000001</v>
      </c>
      <c r="E57" s="16">
        <f t="shared" si="0"/>
        <v>-1303.0875000000015</v>
      </c>
      <c r="F57" s="17">
        <f t="shared" si="3"/>
        <v>-3.1024120050282874E-2</v>
      </c>
      <c r="G57" s="18">
        <v>54117.97</v>
      </c>
      <c r="H57" s="18">
        <f t="shared" si="1"/>
        <v>-13418.657500000001</v>
      </c>
      <c r="I57" s="17">
        <f t="shared" si="2"/>
        <v>-0.24795197417789325</v>
      </c>
      <c r="J57" s="40" t="s">
        <v>82</v>
      </c>
      <c r="K57" s="57" t="s">
        <v>83</v>
      </c>
    </row>
    <row r="58" spans="1:11" ht="15.6">
      <c r="A58" s="26" t="str">
        <v>San Antonio - Ops Ctr GM</v>
      </c>
      <c r="B58" s="27" t="str">
        <v>TX</v>
      </c>
      <c r="C58" s="22">
        <v>52633.125</v>
      </c>
      <c r="D58" s="11">
        <v>47100.36</v>
      </c>
      <c r="E58" s="11">
        <f t="shared" si="0"/>
        <v>5532.7649999999994</v>
      </c>
      <c r="F58" s="12">
        <f t="shared" si="3"/>
        <v>0.11746757349625352</v>
      </c>
      <c r="G58" s="13">
        <v>44943.77</v>
      </c>
      <c r="H58" s="13">
        <f t="shared" si="1"/>
        <v>7689.3550000000032</v>
      </c>
      <c r="I58" s="14">
        <f t="shared" si="2"/>
        <v>0.17108833994121997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42554.875</v>
      </c>
      <c r="D59" s="16">
        <v>41679.99</v>
      </c>
      <c r="E59" s="16">
        <f t="shared" si="0"/>
        <v>874.88500000000204</v>
      </c>
      <c r="F59" s="17">
        <f t="shared" si="3"/>
        <v>2.0990528068744789E-2</v>
      </c>
      <c r="G59" s="18">
        <v>52156.83</v>
      </c>
      <c r="H59" s="18">
        <f t="shared" si="1"/>
        <v>-9601.9550000000017</v>
      </c>
      <c r="I59" s="17">
        <f t="shared" si="2"/>
        <v>-0.1840977490388124</v>
      </c>
      <c r="J59" s="40" t="s">
        <v>84</v>
      </c>
      <c r="K59" s="41" t="s">
        <v>38</v>
      </c>
    </row>
    <row r="60" spans="1:11" ht="15.6">
      <c r="A60" s="26" t="str">
        <v>San Antonio - Ops Ctr (Bldg 203)</v>
      </c>
      <c r="B60" s="27" t="str">
        <v>TX</v>
      </c>
      <c r="C60" s="22">
        <v>44657.033349999998</v>
      </c>
      <c r="D60" s="11">
        <v>45221.17</v>
      </c>
      <c r="E60" s="11">
        <f t="shared" si="0"/>
        <v>-564.13665000000037</v>
      </c>
      <c r="F60" s="12">
        <f t="shared" si="3"/>
        <v>-1.2475056483500989E-2</v>
      </c>
      <c r="G60" s="13">
        <v>53254.52</v>
      </c>
      <c r="H60" s="13">
        <f t="shared" si="1"/>
        <v>-8597.4866499999989</v>
      </c>
      <c r="I60" s="14">
        <f t="shared" si="2"/>
        <v>-0.16144144478252737</v>
      </c>
      <c r="J60" s="39"/>
      <c r="K60" s="39"/>
    </row>
    <row r="61" spans="1:11" ht="28.9">
      <c r="A61" s="28" t="str">
        <v>San Antonio - Ops Ctr (Bldg 205)</v>
      </c>
      <c r="B61" s="29" t="str">
        <v>TX</v>
      </c>
      <c r="C61" s="10">
        <v>8224.34375</v>
      </c>
      <c r="D61" s="16">
        <v>37986.76</v>
      </c>
      <c r="E61" s="16">
        <f t="shared" si="0"/>
        <v>-29762.416250000002</v>
      </c>
      <c r="F61" s="17">
        <f t="shared" si="3"/>
        <v>-0.78349446622981267</v>
      </c>
      <c r="G61" s="18">
        <v>51076.02</v>
      </c>
      <c r="H61" s="18">
        <f t="shared" si="1"/>
        <v>-42851.676249999997</v>
      </c>
      <c r="I61" s="17">
        <f t="shared" si="2"/>
        <v>-0.83897837478331316</v>
      </c>
      <c r="J61" s="58" t="s">
        <v>85</v>
      </c>
      <c r="K61" s="57" t="s">
        <v>40</v>
      </c>
    </row>
    <row r="62" spans="1:11" ht="28.9">
      <c r="A62" s="26" t="str">
        <v>San Antonio - Ops Ctr (Bldg 307)</v>
      </c>
      <c r="B62" s="27" t="str">
        <v>TX</v>
      </c>
      <c r="C62" s="22">
        <v>34702.46875</v>
      </c>
      <c r="D62" s="11">
        <v>41309.93</v>
      </c>
      <c r="E62" s="11">
        <f t="shared" si="0"/>
        <v>-6607.4612500000003</v>
      </c>
      <c r="F62" s="12">
        <f t="shared" si="3"/>
        <v>-0.1599484978551162</v>
      </c>
      <c r="G62" s="13">
        <v>51882.91</v>
      </c>
      <c r="H62" s="13">
        <f t="shared" si="1"/>
        <v>-17180.441250000003</v>
      </c>
      <c r="I62" s="14">
        <f t="shared" si="2"/>
        <v>-0.33113873624282064</v>
      </c>
      <c r="J62" s="39" t="s">
        <v>86</v>
      </c>
      <c r="K62" s="39" t="s">
        <v>41</v>
      </c>
    </row>
    <row r="63" spans="1:11" ht="43.15">
      <c r="A63" s="28" t="str">
        <v>San Antonio - Ctr (Bldg 308)</v>
      </c>
      <c r="B63" s="29" t="str">
        <v>TX</v>
      </c>
      <c r="C63" s="10">
        <v>14864.125309999999</v>
      </c>
      <c r="D63" s="16">
        <v>40358.800000000003</v>
      </c>
      <c r="E63" s="16">
        <f t="shared" si="0"/>
        <v>-25494.674690000003</v>
      </c>
      <c r="F63" s="17">
        <f t="shared" si="3"/>
        <v>-0.63170051364262569</v>
      </c>
      <c r="G63" s="18">
        <v>49286.58</v>
      </c>
      <c r="H63" s="18">
        <f t="shared" si="1"/>
        <v>-34422.454689999999</v>
      </c>
      <c r="I63" s="17">
        <f t="shared" si="2"/>
        <v>-0.6984143490986795</v>
      </c>
      <c r="J63" s="40" t="s">
        <v>87</v>
      </c>
      <c r="K63" s="57" t="s">
        <v>88</v>
      </c>
    </row>
    <row r="64" spans="1:11" ht="15.6">
      <c r="A64" s="26" t="str">
        <v>San Antonio - Ops Ctr (Bldg 104)</v>
      </c>
      <c r="B64" s="27" t="str">
        <v>TX</v>
      </c>
      <c r="C64" s="22">
        <v>10116.266390000001</v>
      </c>
      <c r="D64" s="11">
        <v>12644.16</v>
      </c>
      <c r="E64" s="11">
        <f t="shared" si="0"/>
        <v>-2527.8936099999992</v>
      </c>
      <c r="F64" s="12">
        <f t="shared" si="3"/>
        <v>-0.19992578471009534</v>
      </c>
      <c r="G64" s="13">
        <v>15675.24</v>
      </c>
      <c r="H64" s="13">
        <f t="shared" si="1"/>
        <v>-5558.9736099999991</v>
      </c>
      <c r="I64" s="14">
        <f t="shared" si="2"/>
        <v>-0.35463403494938511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38646.705309999998</v>
      </c>
      <c r="D65" s="16">
        <v>39728.43</v>
      </c>
      <c r="E65" s="16">
        <f t="shared" si="0"/>
        <v>-1081.7246900000027</v>
      </c>
      <c r="F65" s="17">
        <f t="shared" si="3"/>
        <v>-2.7227974777759976E-2</v>
      </c>
      <c r="G65" s="18">
        <v>55790.29</v>
      </c>
      <c r="H65" s="18">
        <f t="shared" si="1"/>
        <v>-17143.584690000003</v>
      </c>
      <c r="I65" s="17">
        <f t="shared" si="2"/>
        <v>-0.30728617273722725</v>
      </c>
      <c r="J65" s="40" t="s">
        <v>89</v>
      </c>
      <c r="K65" s="40" t="s">
        <v>44</v>
      </c>
    </row>
    <row r="66" spans="1:11">
      <c r="A66" s="19"/>
      <c r="B66" s="19"/>
      <c r="C66" s="19"/>
      <c r="D66" s="19"/>
      <c r="E66" s="19" t="str">
        <f t="shared" si="0"/>
        <v/>
      </c>
      <c r="F66" s="19" t="str">
        <f t="shared" si="3"/>
        <v/>
      </c>
      <c r="G66" s="19"/>
      <c r="H66" s="19" t="str">
        <f t="shared" si="1"/>
        <v/>
      </c>
      <c r="I66" s="19" t="str">
        <f t="shared" si="2"/>
        <v/>
      </c>
      <c r="J66" s="19"/>
      <c r="K66" s="19"/>
    </row>
    <row r="67" spans="1:11">
      <c r="A67" s="19"/>
      <c r="B67" s="19"/>
      <c r="C67" s="19"/>
      <c r="D67" s="19"/>
      <c r="E67" s="19" t="str">
        <f t="shared" si="0"/>
        <v/>
      </c>
      <c r="F67" s="19" t="str">
        <f t="shared" si="3"/>
        <v/>
      </c>
      <c r="G67" s="19"/>
      <c r="H67" s="19" t="str">
        <f t="shared" si="1"/>
        <v/>
      </c>
      <c r="I67" s="19" t="str">
        <f t="shared" si="2"/>
        <v/>
      </c>
      <c r="J67" s="19"/>
      <c r="K67" s="19"/>
    </row>
    <row r="68" spans="1:11">
      <c r="A68" s="19"/>
      <c r="B68" s="19"/>
      <c r="C68" s="19"/>
      <c r="D68" s="19"/>
      <c r="E68" s="19" t="str">
        <f t="shared" si="0"/>
        <v/>
      </c>
      <c r="F68" s="19" t="str">
        <f t="shared" si="3"/>
        <v/>
      </c>
      <c r="G68" s="19"/>
      <c r="H68" s="19" t="str">
        <f t="shared" si="1"/>
        <v/>
      </c>
      <c r="I68" s="19" t="str">
        <f t="shared" si="2"/>
        <v/>
      </c>
      <c r="J68" s="19"/>
      <c r="K68" s="19"/>
    </row>
    <row r="69" spans="1:11">
      <c r="A69" s="19"/>
      <c r="B69" s="19"/>
      <c r="C69" s="19"/>
      <c r="D69" s="19"/>
      <c r="E69" s="19" t="str">
        <f t="shared" ref="E69:E78" si="4">IF(AND(ISNUMBER(C69),ISNUMBER(D69)), C69-D69, "")</f>
        <v/>
      </c>
      <c r="F69" s="19" t="str">
        <f t="shared" si="3"/>
        <v/>
      </c>
      <c r="G69" s="19"/>
      <c r="H69" s="19" t="str">
        <f t="shared" ref="H69:H78" si="5">IF(AND(ISNUMBER(C69),ISNUMBER(G69)), C69-G69, "")</f>
        <v/>
      </c>
      <c r="I69" s="19" t="str">
        <f t="shared" ref="I69:I78" si="6">IFERROR(H69/G69, "")</f>
        <v/>
      </c>
      <c r="J69" s="19"/>
      <c r="K69" s="19"/>
    </row>
    <row r="70" spans="1:11">
      <c r="A70" s="19"/>
      <c r="B70" s="19"/>
      <c r="C70" s="19"/>
      <c r="D70" s="19"/>
      <c r="E70" s="19" t="str">
        <f t="shared" si="4"/>
        <v/>
      </c>
      <c r="F70" s="19" t="str">
        <f t="shared" ref="F70:F78" si="7">IFERROR(E70/D70, "")</f>
        <v/>
      </c>
      <c r="G70" s="19"/>
      <c r="H70" s="19" t="str">
        <f t="shared" si="5"/>
        <v/>
      </c>
      <c r="I70" s="19" t="str">
        <f t="shared" si="6"/>
        <v/>
      </c>
      <c r="J70" s="19"/>
      <c r="K70" s="19"/>
    </row>
    <row r="71" spans="1:11">
      <c r="A71" s="19"/>
      <c r="B71" s="19"/>
      <c r="C71" s="19"/>
      <c r="D71" s="19"/>
      <c r="E71" s="19" t="str">
        <f t="shared" si="4"/>
        <v/>
      </c>
      <c r="F71" s="19" t="str">
        <f t="shared" si="7"/>
        <v/>
      </c>
      <c r="G71" s="19"/>
      <c r="H71" s="19" t="str">
        <f t="shared" si="5"/>
        <v/>
      </c>
      <c r="I71" s="19" t="str">
        <f t="shared" si="6"/>
        <v/>
      </c>
      <c r="J71" s="19"/>
      <c r="K71" s="19"/>
    </row>
    <row r="72" spans="1:11">
      <c r="A72" s="19"/>
      <c r="B72" s="19"/>
      <c r="C72" s="19"/>
      <c r="D72" s="19"/>
      <c r="E72" s="19" t="str">
        <f t="shared" si="4"/>
        <v/>
      </c>
      <c r="F72" s="19" t="str">
        <f t="shared" si="7"/>
        <v/>
      </c>
      <c r="G72" s="19"/>
      <c r="H72" s="19" t="str">
        <f t="shared" si="5"/>
        <v/>
      </c>
      <c r="I72" s="19" t="str">
        <f t="shared" si="6"/>
        <v/>
      </c>
      <c r="J72" s="19"/>
      <c r="K72" s="19"/>
    </row>
    <row r="73" spans="1:11">
      <c r="A73" s="19"/>
      <c r="B73" s="19"/>
      <c r="C73" s="19"/>
      <c r="D73" s="19"/>
      <c r="E73" s="19" t="str">
        <f t="shared" si="4"/>
        <v/>
      </c>
      <c r="F73" s="19" t="str">
        <f t="shared" si="7"/>
        <v/>
      </c>
      <c r="G73" s="19"/>
      <c r="H73" s="19" t="str">
        <f t="shared" si="5"/>
        <v/>
      </c>
      <c r="I73" s="19" t="str">
        <f t="shared" si="6"/>
        <v/>
      </c>
      <c r="J73" s="19"/>
      <c r="K73" s="19"/>
    </row>
    <row r="74" spans="1:11">
      <c r="A74" s="19"/>
      <c r="B74" s="19"/>
      <c r="C74" s="19"/>
      <c r="D74" s="19"/>
      <c r="E74" s="19" t="str">
        <f t="shared" si="4"/>
        <v/>
      </c>
      <c r="F74" s="19" t="str">
        <f t="shared" si="7"/>
        <v/>
      </c>
      <c r="G74" s="19"/>
      <c r="H74" s="19" t="str">
        <f t="shared" si="5"/>
        <v/>
      </c>
      <c r="I74" s="19" t="str">
        <f t="shared" si="6"/>
        <v/>
      </c>
      <c r="J74" s="19"/>
      <c r="K74" s="19"/>
    </row>
    <row r="75" spans="1:11">
      <c r="A75" s="19"/>
      <c r="B75" s="19"/>
      <c r="C75" s="19"/>
      <c r="D75" s="19"/>
      <c r="E75" s="19" t="str">
        <f t="shared" si="4"/>
        <v/>
      </c>
      <c r="F75" s="19" t="str">
        <f t="shared" si="7"/>
        <v/>
      </c>
      <c r="G75" s="19"/>
      <c r="H75" s="19" t="str">
        <f t="shared" si="5"/>
        <v/>
      </c>
      <c r="I75" s="19" t="str">
        <f t="shared" si="6"/>
        <v/>
      </c>
      <c r="J75" s="19"/>
      <c r="K75" s="19"/>
    </row>
    <row r="76" spans="1:11">
      <c r="A76" s="19"/>
      <c r="B76" s="19"/>
      <c r="C76" s="19"/>
      <c r="D76" s="19"/>
      <c r="E76" s="19" t="str">
        <f t="shared" si="4"/>
        <v/>
      </c>
      <c r="F76" s="19" t="str">
        <f t="shared" si="7"/>
        <v/>
      </c>
      <c r="G76" s="19"/>
      <c r="H76" s="19" t="str">
        <f t="shared" si="5"/>
        <v/>
      </c>
      <c r="I76" s="19" t="str">
        <f t="shared" si="6"/>
        <v/>
      </c>
      <c r="J76" s="19"/>
      <c r="K76" s="19"/>
    </row>
    <row r="77" spans="1:11">
      <c r="A77" s="19"/>
      <c r="B77" s="19"/>
      <c r="C77" s="19"/>
      <c r="D77" s="19"/>
      <c r="E77" s="19" t="str">
        <f t="shared" si="4"/>
        <v/>
      </c>
      <c r="F77" s="19" t="str">
        <f t="shared" si="7"/>
        <v/>
      </c>
      <c r="G77" s="19"/>
      <c r="H77" s="19" t="str">
        <f t="shared" si="5"/>
        <v/>
      </c>
      <c r="I77" s="19" t="str">
        <f t="shared" si="6"/>
        <v/>
      </c>
      <c r="J77" s="19"/>
      <c r="K77" s="19"/>
    </row>
    <row r="78" spans="1:11">
      <c r="A78" s="19"/>
      <c r="B78" s="19"/>
      <c r="C78" s="19"/>
      <c r="D78" s="19"/>
      <c r="E78" s="19" t="str">
        <f t="shared" si="4"/>
        <v/>
      </c>
      <c r="F78" s="19" t="str">
        <f t="shared" si="7"/>
        <v/>
      </c>
      <c r="G78" s="19"/>
      <c r="H78" s="19" t="str">
        <f t="shared" si="5"/>
        <v/>
      </c>
      <c r="I78" s="19" t="str">
        <f t="shared" si="6"/>
        <v/>
      </c>
      <c r="J78" s="19"/>
      <c r="K78" s="19"/>
    </row>
    <row r="79" spans="1:1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34" priority="9" stopIfTrue="1" operator="lessThanOrEqual">
      <formula>-0.1</formula>
    </cfRule>
    <cfRule type="expression" dxfId="33" priority="10">
      <formula>AND(ISNUMBER(F2), F2&gt;=0.1)</formula>
    </cfRule>
  </conditionalFormatting>
  <conditionalFormatting sqref="F4:F65 I4:I65 F80:F100 I80:I10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tabSelected="1" workbookViewId="0">
      <pane xSplit="2" ySplit="3" topLeftCell="C17" activePane="bottomRight" state="frozen"/>
      <selection pane="bottomRight" activeCell="F71" sqref="F71"/>
      <selection pane="bottomLeft"/>
      <selection pane="topRight"/>
    </sheetView>
  </sheetViews>
  <sheetFormatPr defaultRowHeight="13.9"/>
  <cols>
    <col min="1" max="1" width="35.85546875" bestFit="1" customWidth="1"/>
    <col min="2" max="2" width="11.5703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90</v>
      </c>
      <c r="E1" s="69"/>
      <c r="F1" s="69"/>
      <c r="G1" s="67" t="s">
        <v>91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SUM(C4:C87)</f>
        <v>1446903.5275289998</v>
      </c>
      <c r="D2" s="4">
        <f>SUM(D4:D87)</f>
        <v>1318940.0186000001</v>
      </c>
      <c r="E2" s="4">
        <f>C2-D2</f>
        <v>127963.50892899977</v>
      </c>
      <c r="F2" s="5">
        <f>IFERROR(E2/D2, 0)</f>
        <v>9.7019960820377338E-2</v>
      </c>
      <c r="G2" s="4">
        <f>SUM(G4:G87)</f>
        <v>1703692.7450000001</v>
      </c>
      <c r="H2" s="6">
        <f>C2-G2</f>
        <v>-256789.21747100027</v>
      </c>
      <c r="I2" s="5">
        <f>IFERROR(H2/G2, 0)</f>
        <v>-0.15072507541317273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1168.0999999999999</v>
      </c>
      <c r="D4" s="11">
        <v>0</v>
      </c>
      <c r="E4" s="11">
        <f>IF(AND(ISNUMBER(C4),ISNUMBER(D4)), C4-D4, "")</f>
        <v>1168.0999999999999</v>
      </c>
      <c r="F4" s="12" t="str">
        <f>IFERROR(E4/D4, "")</f>
        <v/>
      </c>
      <c r="G4" s="13">
        <v>1376</v>
      </c>
      <c r="H4" s="13">
        <f>IF(AND(ISNUMBER(C4),ISNUMBER(G4)), C4-G4, "")</f>
        <v>-207.90000000000009</v>
      </c>
      <c r="I4" s="14">
        <f>IFERROR(H4/G4, "")</f>
        <v>-0.15109011627906985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8"/>
      <c r="K5" s="58"/>
    </row>
    <row r="6" spans="1:11" ht="28.9">
      <c r="A6" s="26" t="str">
        <v>San Leandro</v>
      </c>
      <c r="B6" s="27" t="str">
        <v>CA</v>
      </c>
      <c r="C6" s="22">
        <v>60879.625</v>
      </c>
      <c r="D6" s="11">
        <v>52276.36</v>
      </c>
      <c r="E6" s="11">
        <f t="shared" si="0"/>
        <v>8603.2649999999994</v>
      </c>
      <c r="F6" s="12">
        <f t="shared" ref="F6:F65" si="3">IFERROR(E6/D6, "")</f>
        <v>0.16457276290851161</v>
      </c>
      <c r="G6" s="13">
        <v>49505.85</v>
      </c>
      <c r="H6" s="13">
        <f t="shared" si="1"/>
        <v>11373.775000000001</v>
      </c>
      <c r="I6" s="14">
        <f t="shared" si="2"/>
        <v>0.22974608051371709</v>
      </c>
      <c r="J6" s="63" t="s">
        <v>92</v>
      </c>
      <c r="K6" s="63" t="s">
        <v>93</v>
      </c>
    </row>
    <row r="7" spans="1:11" ht="15.6">
      <c r="A7" s="28" t="str">
        <v>Van Nuys</v>
      </c>
      <c r="B7" s="29" t="str">
        <v>CA</v>
      </c>
      <c r="C7" s="10">
        <v>2108.1</v>
      </c>
      <c r="D7" s="16">
        <v>0</v>
      </c>
      <c r="E7" s="16">
        <f t="shared" si="0"/>
        <v>2108.1</v>
      </c>
      <c r="F7" s="61" t="str">
        <f>IFERROR(E7/D7, "")</f>
        <v/>
      </c>
      <c r="G7" s="18">
        <v>2808.835</v>
      </c>
      <c r="H7" s="18">
        <f t="shared" si="1"/>
        <v>-700.73500000000013</v>
      </c>
      <c r="I7" s="17">
        <f t="shared" si="2"/>
        <v>-0.24947531627881314</v>
      </c>
      <c r="J7" s="58"/>
      <c r="K7" s="58"/>
    </row>
    <row r="8" spans="1:11" ht="15.6">
      <c r="A8" s="26" t="str">
        <v>98th &amp; Grant</v>
      </c>
      <c r="B8" s="27" t="str">
        <v>CO</v>
      </c>
      <c r="C8" s="22">
        <v>1849.3</v>
      </c>
      <c r="D8" s="11">
        <v>0</v>
      </c>
      <c r="E8" s="11">
        <f t="shared" si="0"/>
        <v>1849.3</v>
      </c>
      <c r="F8" s="12" t="str">
        <f t="shared" si="3"/>
        <v/>
      </c>
      <c r="G8" s="13">
        <v>2339</v>
      </c>
      <c r="H8" s="13">
        <f t="shared" si="1"/>
        <v>-489.70000000000005</v>
      </c>
      <c r="I8" s="14">
        <f t="shared" si="2"/>
        <v>-0.2093629756306114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4776.0047569999997</v>
      </c>
      <c r="D9" s="16">
        <v>0</v>
      </c>
      <c r="E9" s="16">
        <f t="shared" si="0"/>
        <v>4776.0047569999997</v>
      </c>
      <c r="F9" s="17" t="str">
        <f t="shared" si="3"/>
        <v/>
      </c>
      <c r="G9" s="18">
        <v>4285.1769999999997</v>
      </c>
      <c r="H9" s="18">
        <f t="shared" si="1"/>
        <v>490.82775700000002</v>
      </c>
      <c r="I9" s="17">
        <f t="shared" si="2"/>
        <v>0.11454083623616949</v>
      </c>
      <c r="J9" s="58"/>
      <c r="K9" s="58"/>
    </row>
    <row r="10" spans="1:11" ht="15.6">
      <c r="A10" s="26" t="str">
        <v>Aurora City Center</v>
      </c>
      <c r="B10" s="27" t="str">
        <v>CO</v>
      </c>
      <c r="C10" s="22">
        <v>2316.4</v>
      </c>
      <c r="D10" s="11">
        <v>0</v>
      </c>
      <c r="E10" s="11">
        <f t="shared" si="0"/>
        <v>2316.4</v>
      </c>
      <c r="F10" s="12" t="str">
        <f t="shared" si="3"/>
        <v/>
      </c>
      <c r="G10" s="13">
        <v>1972</v>
      </c>
      <c r="H10" s="13">
        <f t="shared" si="1"/>
        <v>344.40000000000009</v>
      </c>
      <c r="I10" s="14">
        <f t="shared" si="2"/>
        <v>0.17464503042596352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2142.5</v>
      </c>
      <c r="D11" s="16">
        <v>0</v>
      </c>
      <c r="E11" s="16">
        <f t="shared" si="0"/>
        <v>2142.5</v>
      </c>
      <c r="F11" s="17" t="str">
        <f t="shared" si="3"/>
        <v/>
      </c>
      <c r="G11" s="18">
        <v>2551</v>
      </c>
      <c r="H11" s="18">
        <f t="shared" si="1"/>
        <v>-408.5</v>
      </c>
      <c r="I11" s="17">
        <f t="shared" si="2"/>
        <v>-0.16013328106624852</v>
      </c>
      <c r="J11" s="58"/>
      <c r="K11" s="58"/>
    </row>
    <row r="12" spans="1:11" ht="15.6">
      <c r="A12" s="26" t="str">
        <v>Highlands Ranch S.</v>
      </c>
      <c r="B12" s="27" t="str">
        <v>CO</v>
      </c>
      <c r="C12" s="22">
        <v>2464.9</v>
      </c>
      <c r="D12" s="11">
        <v>0</v>
      </c>
      <c r="E12" s="11">
        <f t="shared" si="0"/>
        <v>2464.9</v>
      </c>
      <c r="F12" s="12" t="str">
        <f t="shared" si="3"/>
        <v/>
      </c>
      <c r="G12" s="13">
        <v>2417</v>
      </c>
      <c r="H12" s="13">
        <f t="shared" si="1"/>
        <v>47.900000000000091</v>
      </c>
      <c r="I12" s="14">
        <f t="shared" si="2"/>
        <v>1.981795614398018E-2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3854</v>
      </c>
      <c r="D13" s="16">
        <v>0</v>
      </c>
      <c r="E13" s="16">
        <f t="shared" si="0"/>
        <v>3854</v>
      </c>
      <c r="F13" s="17" t="str">
        <f t="shared" si="3"/>
        <v/>
      </c>
      <c r="G13" s="18">
        <v>5500</v>
      </c>
      <c r="H13" s="18">
        <f t="shared" si="1"/>
        <v>-1646</v>
      </c>
      <c r="I13" s="17">
        <f t="shared" si="2"/>
        <v>-0.29927272727272725</v>
      </c>
      <c r="J13" s="58"/>
      <c r="K13" s="58"/>
    </row>
    <row r="14" spans="1:11" ht="15.6">
      <c r="A14" s="26" t="str">
        <v>Meridian</v>
      </c>
      <c r="B14" s="27" t="str">
        <v>CO</v>
      </c>
      <c r="C14" s="22">
        <v>3791.4</v>
      </c>
      <c r="D14" s="11">
        <v>0</v>
      </c>
      <c r="E14" s="11">
        <f t="shared" si="0"/>
        <v>3791.4</v>
      </c>
      <c r="F14" s="12" t="str">
        <f t="shared" si="3"/>
        <v/>
      </c>
      <c r="G14" s="13">
        <v>3150</v>
      </c>
      <c r="H14" s="13">
        <f t="shared" si="1"/>
        <v>641.40000000000009</v>
      </c>
      <c r="I14" s="14">
        <f t="shared" si="2"/>
        <v>0.20361904761904764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3690.8999999999901</v>
      </c>
      <c r="D15" s="16">
        <v>0</v>
      </c>
      <c r="E15" s="16">
        <f t="shared" si="0"/>
        <v>3690.8999999999901</v>
      </c>
      <c r="F15" s="17" t="str">
        <f t="shared" si="3"/>
        <v/>
      </c>
      <c r="G15" s="18">
        <v>3267</v>
      </c>
      <c r="H15" s="18">
        <f t="shared" si="1"/>
        <v>423.89999999999009</v>
      </c>
      <c r="I15" s="17">
        <f t="shared" si="2"/>
        <v>0.12975206611569945</v>
      </c>
      <c r="J15" s="58"/>
      <c r="K15" s="58"/>
    </row>
    <row r="16" spans="1:11" ht="15.6">
      <c r="A16" s="26" t="str">
        <v>Standley Lake</v>
      </c>
      <c r="B16" s="27" t="str">
        <v>CO</v>
      </c>
      <c r="C16" s="22">
        <v>5029.7</v>
      </c>
      <c r="D16" s="11">
        <v>0</v>
      </c>
      <c r="E16" s="11">
        <f t="shared" si="0"/>
        <v>5029.7</v>
      </c>
      <c r="F16" s="12" t="str">
        <f t="shared" si="3"/>
        <v/>
      </c>
      <c r="G16" s="13">
        <v>4357</v>
      </c>
      <c r="H16" s="13">
        <f t="shared" si="1"/>
        <v>672.69999999999982</v>
      </c>
      <c r="I16" s="14">
        <f t="shared" si="2"/>
        <v>0.15439522607298595</v>
      </c>
      <c r="J16" s="62"/>
      <c r="K16" s="39"/>
    </row>
    <row r="17" spans="1:11" ht="15.6">
      <c r="A17" s="28" t="str">
        <v>Havana Gardens</v>
      </c>
      <c r="B17" s="29" t="str">
        <v>CO</v>
      </c>
      <c r="C17" s="10">
        <v>4375.3</v>
      </c>
      <c r="D17" s="16">
        <v>0</v>
      </c>
      <c r="E17" s="16">
        <f t="shared" si="0"/>
        <v>4375.3</v>
      </c>
      <c r="F17" s="17" t="str">
        <f t="shared" si="3"/>
        <v/>
      </c>
      <c r="G17" s="18">
        <v>1695</v>
      </c>
      <c r="H17" s="18">
        <f t="shared" si="1"/>
        <v>2680.3</v>
      </c>
      <c r="I17" s="17">
        <f t="shared" si="2"/>
        <v>1.581297935103245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845</v>
      </c>
      <c r="D18" s="11">
        <v>680.50509999999997</v>
      </c>
      <c r="E18" s="11">
        <f t="shared" si="0"/>
        <v>164.49490000000003</v>
      </c>
      <c r="F18" s="12">
        <f t="shared" si="3"/>
        <v>0.24172471301096793</v>
      </c>
      <c r="G18" s="13">
        <v>1052.49</v>
      </c>
      <c r="H18" s="13">
        <f t="shared" si="1"/>
        <v>-207.49</v>
      </c>
      <c r="I18" s="14">
        <f t="shared" si="2"/>
        <v>-0.19714201560109834</v>
      </c>
      <c r="J18" s="39"/>
      <c r="K18" s="39"/>
    </row>
    <row r="19" spans="1:11" ht="28.9">
      <c r="A19" s="28" t="str">
        <v>Norwalk</v>
      </c>
      <c r="B19" s="29" t="str">
        <v>CT</v>
      </c>
      <c r="C19" s="10">
        <v>844.88990339999998</v>
      </c>
      <c r="D19" s="16">
        <v>991.61509999999998</v>
      </c>
      <c r="E19" s="16">
        <f t="shared" si="0"/>
        <v>-146.7251966</v>
      </c>
      <c r="F19" s="17">
        <f t="shared" si="3"/>
        <v>-0.14796587567091304</v>
      </c>
      <c r="G19" s="18">
        <v>1241.701</v>
      </c>
      <c r="H19" s="18">
        <f t="shared" si="1"/>
        <v>-396.81109660000004</v>
      </c>
      <c r="I19" s="17">
        <f t="shared" si="2"/>
        <v>-0.3195705702097365</v>
      </c>
      <c r="J19" s="56" t="s">
        <v>94</v>
      </c>
      <c r="K19" s="56" t="s">
        <v>95</v>
      </c>
    </row>
    <row r="20" spans="1:11" ht="16.5" customHeight="1">
      <c r="A20" s="26" t="str">
        <v>Hialeah Gardens</v>
      </c>
      <c r="B20" s="27" t="str">
        <v>FL</v>
      </c>
      <c r="C20" s="22">
        <v>771.39819560000001</v>
      </c>
      <c r="D20" s="11">
        <v>4721.5879999999997</v>
      </c>
      <c r="E20" s="11">
        <f t="shared" si="0"/>
        <v>-3950.1898044</v>
      </c>
      <c r="F20" s="12">
        <f t="shared" si="3"/>
        <v>-0.836623145517991</v>
      </c>
      <c r="G20" s="13">
        <v>5552</v>
      </c>
      <c r="H20" s="13">
        <f t="shared" si="1"/>
        <v>-4780.6018044000002</v>
      </c>
      <c r="I20" s="14">
        <f t="shared" si="2"/>
        <v>-0.86105940280979831</v>
      </c>
      <c r="J20" s="39" t="s">
        <v>96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6"/>
      <c r="K21" s="56"/>
    </row>
    <row r="22" spans="1:11" ht="15.6">
      <c r="A22" s="26" t="str">
        <v>W. Des Moines Campus EAST</v>
      </c>
      <c r="B22" s="27" t="str">
        <v>IA</v>
      </c>
      <c r="C22" s="22">
        <v>195594.75</v>
      </c>
      <c r="D22" s="11">
        <v>188012.9</v>
      </c>
      <c r="E22" s="11">
        <f t="shared" si="0"/>
        <v>7581.8500000000058</v>
      </c>
      <c r="F22" s="12">
        <f t="shared" si="3"/>
        <v>4.032622229644884E-2</v>
      </c>
      <c r="G22" s="13">
        <v>192800</v>
      </c>
      <c r="H22" s="13">
        <f t="shared" si="1"/>
        <v>2794.75</v>
      </c>
      <c r="I22" s="14">
        <f t="shared" si="2"/>
        <v>1.4495591286307053E-2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92136</v>
      </c>
      <c r="D23" s="16">
        <v>92247.49</v>
      </c>
      <c r="E23" s="16">
        <f t="shared" si="0"/>
        <v>-111.49000000000524</v>
      </c>
      <c r="F23" s="17">
        <f t="shared" si="3"/>
        <v>-1.20859656994467E-3</v>
      </c>
      <c r="G23" s="18">
        <v>95417.42</v>
      </c>
      <c r="H23" s="18">
        <f t="shared" si="1"/>
        <v>-3281.4199999999983</v>
      </c>
      <c r="I23" s="17">
        <f t="shared" si="2"/>
        <v>-3.4390156430555326E-2</v>
      </c>
      <c r="J23" s="56"/>
      <c r="K23" s="56"/>
    </row>
    <row r="24" spans="1:11" ht="15.6">
      <c r="A24" s="26" t="str">
        <v>WF - CIC</v>
      </c>
      <c r="B24" s="27" t="str">
        <v>NC</v>
      </c>
      <c r="C24" s="22">
        <v>187961</v>
      </c>
      <c r="D24" s="11">
        <v>137400.20000000001</v>
      </c>
      <c r="E24" s="11">
        <f t="shared" si="0"/>
        <v>50560.799999999988</v>
      </c>
      <c r="F24" s="12">
        <f t="shared" si="3"/>
        <v>0.36798199711499679</v>
      </c>
      <c r="G24" s="13">
        <v>205438</v>
      </c>
      <c r="H24" s="13">
        <f t="shared" si="1"/>
        <v>-17477</v>
      </c>
      <c r="I24" s="14">
        <f t="shared" si="2"/>
        <v>-8.5071895170319031E-2</v>
      </c>
      <c r="J24" s="63"/>
      <c r="K24" s="63"/>
    </row>
    <row r="25" spans="1:11" ht="28.9">
      <c r="A25" s="28" t="str">
        <v>Charlotte - Wells Fargo - DUC</v>
      </c>
      <c r="B25" s="29" t="str">
        <v>NC</v>
      </c>
      <c r="C25" s="10">
        <v>180424</v>
      </c>
      <c r="D25" s="16">
        <v>134257.70000000001</v>
      </c>
      <c r="E25" s="16">
        <f t="shared" si="0"/>
        <v>46166.299999999988</v>
      </c>
      <c r="F25" s="17">
        <f t="shared" si="3"/>
        <v>0.34386333148862214</v>
      </c>
      <c r="G25" s="18">
        <v>186177.1</v>
      </c>
      <c r="H25" s="18">
        <f t="shared" si="1"/>
        <v>-5753.1000000000058</v>
      </c>
      <c r="I25" s="17">
        <f t="shared" si="2"/>
        <v>-3.0901222545629971E-2</v>
      </c>
      <c r="J25" s="58" t="s">
        <v>97</v>
      </c>
      <c r="K25" s="58" t="s">
        <v>33</v>
      </c>
    </row>
    <row r="26" spans="1:11" ht="15.6">
      <c r="A26" s="26" t="str">
        <v>East Windsor</v>
      </c>
      <c r="B26" s="27" t="str">
        <v>NJ</v>
      </c>
      <c r="C26" s="22">
        <v>1017</v>
      </c>
      <c r="D26" s="11">
        <v>997.25940000000003</v>
      </c>
      <c r="E26" s="11">
        <f t="shared" si="0"/>
        <v>19.740599999999972</v>
      </c>
      <c r="F26" s="12">
        <f t="shared" si="3"/>
        <v>1.9794849765266662E-2</v>
      </c>
      <c r="G26" s="13">
        <v>1301.6769999999999</v>
      </c>
      <c r="H26" s="13">
        <f t="shared" si="1"/>
        <v>-284.67699999999991</v>
      </c>
      <c r="I26" s="14">
        <f t="shared" si="2"/>
        <v>-0.21870018445436151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2570</v>
      </c>
      <c r="D27" s="16">
        <v>2598.0160000000001</v>
      </c>
      <c r="E27" s="16">
        <f t="shared" si="0"/>
        <v>-28.016000000000076</v>
      </c>
      <c r="F27" s="17">
        <f t="shared" si="3"/>
        <v>-1.0783613341873213E-2</v>
      </c>
      <c r="G27" s="18">
        <v>3348.4549999999999</v>
      </c>
      <c r="H27" s="18">
        <f t="shared" si="1"/>
        <v>-778.45499999999993</v>
      </c>
      <c r="I27" s="17">
        <f t="shared" si="2"/>
        <v>-0.232481846105144</v>
      </c>
      <c r="J27" s="58"/>
      <c r="K27" s="58"/>
    </row>
    <row r="28" spans="1:11" ht="15.6">
      <c r="A28" s="26" t="str">
        <v>Bayonne</v>
      </c>
      <c r="B28" s="27" t="str">
        <v>NJ</v>
      </c>
      <c r="C28" s="22">
        <v>3563.8</v>
      </c>
      <c r="D28" s="11">
        <v>3409.6039999999998</v>
      </c>
      <c r="E28" s="11">
        <f t="shared" si="0"/>
        <v>154.19600000000037</v>
      </c>
      <c r="F28" s="12">
        <f t="shared" si="3"/>
        <v>4.5224020150140716E-2</v>
      </c>
      <c r="G28" s="13">
        <v>3794.636</v>
      </c>
      <c r="H28" s="13">
        <f t="shared" si="1"/>
        <v>-230.83599999999979</v>
      </c>
      <c r="I28" s="14">
        <f t="shared" si="2"/>
        <v>-6.083218522145465E-2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4377.5078130000002</v>
      </c>
      <c r="D29" s="16">
        <v>4537.442</v>
      </c>
      <c r="E29" s="16">
        <f t="shared" si="0"/>
        <v>-159.93418699999984</v>
      </c>
      <c r="F29" s="17">
        <f t="shared" si="3"/>
        <v>-3.5247654295085168E-2</v>
      </c>
      <c r="G29" s="18">
        <v>4475.1490000000003</v>
      </c>
      <c r="H29" s="18">
        <f t="shared" si="1"/>
        <v>-97.641187000000173</v>
      </c>
      <c r="I29" s="17">
        <f t="shared" si="2"/>
        <v>-2.1818533192973052E-2</v>
      </c>
      <c r="J29" s="58"/>
      <c r="K29" s="58"/>
    </row>
    <row r="30" spans="1:11" ht="15.6">
      <c r="A30" s="26" t="str">
        <v>North Elizabeth</v>
      </c>
      <c r="B30" s="27" t="str">
        <v>NJ</v>
      </c>
      <c r="C30" s="22">
        <v>3763.2</v>
      </c>
      <c r="D30" s="11">
        <v>3321.67</v>
      </c>
      <c r="E30" s="11">
        <f t="shared" si="0"/>
        <v>441.52999999999975</v>
      </c>
      <c r="F30" s="12">
        <f t="shared" si="3"/>
        <v>0.13292410143090666</v>
      </c>
      <c r="G30" s="13">
        <v>4156.6499999999996</v>
      </c>
      <c r="H30" s="13">
        <f t="shared" si="1"/>
        <v>-393.44999999999982</v>
      </c>
      <c r="I30" s="14">
        <f t="shared" si="2"/>
        <v>-9.4655551946880259E-2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2500.8999999999901</v>
      </c>
      <c r="D31" s="16">
        <v>2470.4259999999999</v>
      </c>
      <c r="E31" s="16">
        <f t="shared" si="0"/>
        <v>30.473999999990156</v>
      </c>
      <c r="F31" s="17">
        <f t="shared" si="3"/>
        <v>1.2335524318473881E-2</v>
      </c>
      <c r="G31" s="18">
        <v>3078.087</v>
      </c>
      <c r="H31" s="18">
        <f t="shared" si="1"/>
        <v>-577.1870000000099</v>
      </c>
      <c r="I31" s="17">
        <f t="shared" si="2"/>
        <v>-0.1875148428228344</v>
      </c>
      <c r="J31" s="58"/>
      <c r="K31" s="58"/>
    </row>
    <row r="32" spans="1:11" ht="15.6">
      <c r="A32" s="26" t="str">
        <v>Parsippany</v>
      </c>
      <c r="B32" s="27" t="str">
        <v>NJ</v>
      </c>
      <c r="C32" s="22">
        <v>3162.7</v>
      </c>
      <c r="D32" s="11">
        <v>3126.6</v>
      </c>
      <c r="E32" s="11">
        <f t="shared" si="0"/>
        <v>36.099999999999909</v>
      </c>
      <c r="F32" s="12">
        <f t="shared" si="3"/>
        <v>1.154608840273777E-2</v>
      </c>
      <c r="G32" s="13">
        <v>3553.6289999999999</v>
      </c>
      <c r="H32" s="13">
        <f t="shared" si="1"/>
        <v>-390.92900000000009</v>
      </c>
      <c r="I32" s="14">
        <f t="shared" si="2"/>
        <v>-0.11000838860781474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2667.4</v>
      </c>
      <c r="D33" s="16">
        <v>2624.0830000000001</v>
      </c>
      <c r="E33" s="16">
        <f t="shared" si="0"/>
        <v>43.317000000000007</v>
      </c>
      <c r="F33" s="17">
        <f t="shared" si="3"/>
        <v>1.6507480899041686E-2</v>
      </c>
      <c r="G33" s="18">
        <v>2892.308</v>
      </c>
      <c r="H33" s="18">
        <f t="shared" si="1"/>
        <v>-224.9079999999999</v>
      </c>
      <c r="I33" s="17">
        <f t="shared" si="2"/>
        <v>-7.7760736408432257E-2</v>
      </c>
      <c r="J33" s="58"/>
      <c r="K33" s="58"/>
    </row>
    <row r="34" spans="1:11" ht="15.6">
      <c r="A34" s="26" t="str">
        <v>Closter</v>
      </c>
      <c r="B34" s="27" t="str">
        <v>NJ</v>
      </c>
      <c r="C34" s="22">
        <v>1489.1</v>
      </c>
      <c r="D34" s="11">
        <v>1192.2239999999999</v>
      </c>
      <c r="E34" s="11">
        <f t="shared" si="0"/>
        <v>296.87599999999998</v>
      </c>
      <c r="F34" s="12">
        <f t="shared" si="3"/>
        <v>0.24901025310679872</v>
      </c>
      <c r="G34" s="13">
        <v>1810.933</v>
      </c>
      <c r="H34" s="13">
        <f t="shared" si="1"/>
        <v>-321.83300000000008</v>
      </c>
      <c r="I34" s="14">
        <f t="shared" si="2"/>
        <v>-0.17771667974463998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2282.9</v>
      </c>
      <c r="D35" s="16">
        <v>2123.9760000000001</v>
      </c>
      <c r="E35" s="16">
        <f t="shared" si="0"/>
        <v>158.92399999999998</v>
      </c>
      <c r="F35" s="17">
        <f t="shared" si="3"/>
        <v>7.4823820984794537E-2</v>
      </c>
      <c r="G35" s="18">
        <v>2552.46</v>
      </c>
      <c r="H35" s="18">
        <f t="shared" si="1"/>
        <v>-269.55999999999995</v>
      </c>
      <c r="I35" s="17">
        <f t="shared" si="2"/>
        <v>-0.1056079233367026</v>
      </c>
      <c r="J35" s="58"/>
      <c r="K35" s="58"/>
    </row>
    <row r="36" spans="1:11" ht="15.6">
      <c r="A36" s="26" t="str">
        <v>Ellisburg Circle Center</v>
      </c>
      <c r="B36" s="27" t="str">
        <v>NJ</v>
      </c>
      <c r="C36" s="22">
        <v>1111.0999999999999</v>
      </c>
      <c r="D36" s="11">
        <v>1130.588</v>
      </c>
      <c r="E36" s="11">
        <f t="shared" si="0"/>
        <v>-19.488000000000056</v>
      </c>
      <c r="F36" s="12">
        <f t="shared" si="3"/>
        <v>-1.7237048332372232E-2</v>
      </c>
      <c r="G36" s="13">
        <v>1424.1869999999999</v>
      </c>
      <c r="H36" s="13">
        <f t="shared" si="1"/>
        <v>-313.08699999999999</v>
      </c>
      <c r="I36" s="14">
        <f t="shared" si="2"/>
        <v>-0.21983559743207881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3783.2</v>
      </c>
      <c r="D37" s="16">
        <v>3705.6489999999999</v>
      </c>
      <c r="E37" s="16">
        <f t="shared" si="0"/>
        <v>77.550999999999931</v>
      </c>
      <c r="F37" s="17">
        <f t="shared" si="3"/>
        <v>2.0927778103106889E-2</v>
      </c>
      <c r="G37" s="18">
        <v>4989.1000000000004</v>
      </c>
      <c r="H37" s="18">
        <f t="shared" si="1"/>
        <v>-1205.9000000000005</v>
      </c>
      <c r="I37" s="17">
        <f t="shared" si="2"/>
        <v>-0.24170692108797187</v>
      </c>
      <c r="J37" s="58"/>
      <c r="K37" s="58"/>
    </row>
    <row r="38" spans="1:11" ht="15.6">
      <c r="A38" s="26" t="str">
        <v>Marlton</v>
      </c>
      <c r="B38" s="27" t="str">
        <v>NJ</v>
      </c>
      <c r="C38" s="22">
        <v>3893.5</v>
      </c>
      <c r="D38" s="11">
        <v>3640.529</v>
      </c>
      <c r="E38" s="11">
        <f t="shared" si="0"/>
        <v>252.971</v>
      </c>
      <c r="F38" s="12">
        <f t="shared" si="3"/>
        <v>6.9487428887395217E-2</v>
      </c>
      <c r="G38" s="13">
        <v>4973.951</v>
      </c>
      <c r="H38" s="13">
        <f t="shared" si="1"/>
        <v>-1080.451</v>
      </c>
      <c r="I38" s="14">
        <f t="shared" si="2"/>
        <v>-0.21722188256378078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3290.1000000000099</v>
      </c>
      <c r="D39" s="16">
        <v>3124.739</v>
      </c>
      <c r="E39" s="16">
        <f t="shared" si="0"/>
        <v>165.36100000000988</v>
      </c>
      <c r="F39" s="17">
        <f t="shared" si="3"/>
        <v>5.2919939873381387E-2</v>
      </c>
      <c r="G39" s="18">
        <v>4046.587</v>
      </c>
      <c r="H39" s="18">
        <f t="shared" si="1"/>
        <v>-756.48699999999008</v>
      </c>
      <c r="I39" s="17">
        <f t="shared" si="2"/>
        <v>-0.18694445467254012</v>
      </c>
      <c r="J39" s="58"/>
      <c r="K39" s="58"/>
    </row>
    <row r="40" spans="1:11" ht="15.6">
      <c r="A40" s="26" t="str">
        <v>Whiting Crestwood</v>
      </c>
      <c r="B40" s="27" t="str">
        <v>NJ</v>
      </c>
      <c r="C40" s="22">
        <v>3860.8000000000202</v>
      </c>
      <c r="D40" s="11">
        <v>3742.7629999999999</v>
      </c>
      <c r="E40" s="11">
        <f t="shared" si="0"/>
        <v>118.03700000002027</v>
      </c>
      <c r="F40" s="12">
        <f t="shared" si="3"/>
        <v>3.153739630321778E-2</v>
      </c>
      <c r="G40" s="13">
        <v>5333.2309999999998</v>
      </c>
      <c r="H40" s="13">
        <f t="shared" si="1"/>
        <v>-1472.4309999999796</v>
      </c>
      <c r="I40" s="14">
        <f t="shared" si="2"/>
        <v>-0.27608610990222993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5918.28125</v>
      </c>
      <c r="D41" s="16">
        <v>5428.35</v>
      </c>
      <c r="E41" s="16">
        <f t="shared" si="0"/>
        <v>489.93124999999964</v>
      </c>
      <c r="F41" s="17">
        <f t="shared" si="3"/>
        <v>9.0254174841342141E-2</v>
      </c>
      <c r="G41" s="18">
        <v>7703.1450000000004</v>
      </c>
      <c r="H41" s="18">
        <f t="shared" si="1"/>
        <v>-1784.8637500000004</v>
      </c>
      <c r="I41" s="17">
        <f t="shared" si="2"/>
        <v>-0.23170584871503785</v>
      </c>
      <c r="J41" s="58"/>
      <c r="K41" s="58"/>
    </row>
    <row r="42" spans="1:11" ht="15.6">
      <c r="A42" s="26" t="str">
        <v>Manchester</v>
      </c>
      <c r="B42" s="27" t="str">
        <v>NJ</v>
      </c>
      <c r="C42" s="22">
        <v>2815.7</v>
      </c>
      <c r="D42" s="11">
        <v>2545.5639999999999</v>
      </c>
      <c r="E42" s="11">
        <f t="shared" si="0"/>
        <v>270.13599999999997</v>
      </c>
      <c r="F42" s="12">
        <f t="shared" si="3"/>
        <v>0.10612029397021641</v>
      </c>
      <c r="G42" s="13">
        <v>4420.348</v>
      </c>
      <c r="H42" s="13">
        <f t="shared" si="1"/>
        <v>-1604.6480000000001</v>
      </c>
      <c r="I42" s="14">
        <f t="shared" si="2"/>
        <v>-0.36301395274761178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3435.5</v>
      </c>
      <c r="D43" s="16">
        <v>3699.739</v>
      </c>
      <c r="E43" s="16">
        <f t="shared" si="0"/>
        <v>-264.23900000000003</v>
      </c>
      <c r="F43" s="17">
        <f t="shared" si="3"/>
        <v>-7.1420984020764716E-2</v>
      </c>
      <c r="G43" s="18">
        <v>4225.1890000000003</v>
      </c>
      <c r="H43" s="18">
        <f t="shared" si="1"/>
        <v>-789.68900000000031</v>
      </c>
      <c r="I43" s="17">
        <f t="shared" si="2"/>
        <v>-0.18690027830707698</v>
      </c>
      <c r="J43" s="58"/>
      <c r="K43" s="58"/>
    </row>
    <row r="44" spans="1:11" ht="15.6">
      <c r="A44" s="26" t="str">
        <v>Edison</v>
      </c>
      <c r="B44" s="27" t="str">
        <v>NJ</v>
      </c>
      <c r="C44" s="22">
        <v>3262.9</v>
      </c>
      <c r="D44" s="11">
        <v>3317.6660000000002</v>
      </c>
      <c r="E44" s="11">
        <f t="shared" si="0"/>
        <v>-54.766000000000076</v>
      </c>
      <c r="F44" s="12">
        <f t="shared" si="3"/>
        <v>-1.6507388025196048E-2</v>
      </c>
      <c r="G44" s="13">
        <v>3805.732</v>
      </c>
      <c r="H44" s="13">
        <f t="shared" si="1"/>
        <v>-542.83199999999988</v>
      </c>
      <c r="I44" s="14">
        <f t="shared" si="2"/>
        <v>-0.14263537211763727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3109</v>
      </c>
      <c r="D45" s="16">
        <v>3288.5160000000001</v>
      </c>
      <c r="E45" s="16">
        <f t="shared" si="0"/>
        <v>-179.51600000000008</v>
      </c>
      <c r="F45" s="17">
        <f t="shared" si="3"/>
        <v>-5.4588756752285854E-2</v>
      </c>
      <c r="G45" s="18">
        <v>3804.5279999999998</v>
      </c>
      <c r="H45" s="18">
        <f t="shared" si="1"/>
        <v>-695.52799999999979</v>
      </c>
      <c r="I45" s="17">
        <f t="shared" si="2"/>
        <v>-0.18281584469873788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3052.9</v>
      </c>
      <c r="D46" s="11">
        <v>3180.3580000000002</v>
      </c>
      <c r="E46" s="11">
        <f t="shared" si="0"/>
        <v>-127.45800000000008</v>
      </c>
      <c r="F46" s="12">
        <f t="shared" si="3"/>
        <v>-4.0076620305009712E-2</v>
      </c>
      <c r="G46" s="13">
        <v>3412.3180000000002</v>
      </c>
      <c r="H46" s="13">
        <f t="shared" si="1"/>
        <v>-359.41800000000012</v>
      </c>
      <c r="I46" s="14">
        <f t="shared" si="2"/>
        <v>-0.10532957362121587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1861.2</v>
      </c>
      <c r="D47" s="16">
        <v>2660.09</v>
      </c>
      <c r="E47" s="16">
        <f t="shared" si="0"/>
        <v>-798.8900000000001</v>
      </c>
      <c r="F47" s="17">
        <f t="shared" si="3"/>
        <v>-0.30032442511343604</v>
      </c>
      <c r="G47" s="18">
        <v>3345.3330000000001</v>
      </c>
      <c r="H47" s="18">
        <f t="shared" si="1"/>
        <v>-1484.133</v>
      </c>
      <c r="I47" s="17">
        <f t="shared" si="2"/>
        <v>-0.44364283017565065</v>
      </c>
      <c r="J47" s="51" t="s">
        <v>98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2674.8</v>
      </c>
      <c r="D48" s="11">
        <v>2324.2429999999999</v>
      </c>
      <c r="E48" s="11">
        <f t="shared" si="0"/>
        <v>350.55700000000024</v>
      </c>
      <c r="F48" s="12">
        <f t="shared" si="3"/>
        <v>0.15082631205084848</v>
      </c>
      <c r="G48" s="13">
        <v>3214.3820000000001</v>
      </c>
      <c r="H48" s="13">
        <f t="shared" si="1"/>
        <v>-539.58199999999988</v>
      </c>
      <c r="I48" s="14">
        <f t="shared" si="2"/>
        <v>-0.16786492706840689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2824.6</v>
      </c>
      <c r="D49" s="16">
        <v>2835.99</v>
      </c>
      <c r="E49" s="16">
        <f t="shared" si="0"/>
        <v>-11.389999999999873</v>
      </c>
      <c r="F49" s="17">
        <f t="shared" si="3"/>
        <v>-4.0162341898243199E-3</v>
      </c>
      <c r="G49" s="18">
        <v>3311.2849999999999</v>
      </c>
      <c r="H49" s="18">
        <f t="shared" si="1"/>
        <v>-486.68499999999995</v>
      </c>
      <c r="I49" s="17">
        <f t="shared" si="2"/>
        <v>-0.146977683890091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2062.6</v>
      </c>
      <c r="D50" s="11">
        <v>1936.258</v>
      </c>
      <c r="E50" s="11">
        <f t="shared" si="0"/>
        <v>126.34199999999987</v>
      </c>
      <c r="F50" s="12">
        <f t="shared" si="3"/>
        <v>6.5250601934246297E-2</v>
      </c>
      <c r="G50" s="13">
        <v>2575.1379999999999</v>
      </c>
      <c r="H50" s="13">
        <f t="shared" si="1"/>
        <v>-512.53800000000001</v>
      </c>
      <c r="I50" s="14">
        <f t="shared" si="2"/>
        <v>-0.19903321686061098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1623.1</v>
      </c>
      <c r="D51" s="16">
        <v>1653.0809999999999</v>
      </c>
      <c r="E51" s="16">
        <f t="shared" si="0"/>
        <v>-29.980999999999995</v>
      </c>
      <c r="F51" s="17">
        <f t="shared" si="3"/>
        <v>-1.8136437355459289E-2</v>
      </c>
      <c r="G51" s="18">
        <v>1813.296</v>
      </c>
      <c r="H51" s="18">
        <f t="shared" si="1"/>
        <v>-190.19600000000014</v>
      </c>
      <c r="I51" s="17">
        <f t="shared" si="2"/>
        <v>-0.10488965949298963</v>
      </c>
      <c r="J51" s="58"/>
      <c r="K51" s="58"/>
    </row>
    <row r="52" spans="1:11" ht="15.6">
      <c r="A52" s="26" t="str">
        <v>Somerset</v>
      </c>
      <c r="B52" s="27" t="str">
        <v>NJ</v>
      </c>
      <c r="C52" s="22">
        <v>2620.3000000000002</v>
      </c>
      <c r="D52" s="11">
        <v>3245.0990000000002</v>
      </c>
      <c r="E52" s="11">
        <f t="shared" si="0"/>
        <v>-624.79899999999998</v>
      </c>
      <c r="F52" s="12">
        <f t="shared" si="3"/>
        <v>-0.19253619072946618</v>
      </c>
      <c r="G52" s="13">
        <v>3057.9360000000001</v>
      </c>
      <c r="H52" s="13">
        <f t="shared" si="1"/>
        <v>-437.63599999999997</v>
      </c>
      <c r="I52" s="14">
        <f t="shared" si="2"/>
        <v>-0.14311483301154765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3059.1757809999999</v>
      </c>
      <c r="D53" s="16">
        <v>3061.2269999999999</v>
      </c>
      <c r="E53" s="16">
        <f t="shared" si="0"/>
        <v>-2.0512189999999464</v>
      </c>
      <c r="F53" s="17">
        <f t="shared" si="3"/>
        <v>-6.7006432388057031E-4</v>
      </c>
      <c r="G53" s="18">
        <v>3516.1819999999998</v>
      </c>
      <c r="H53" s="18">
        <f t="shared" si="1"/>
        <v>-457.00621899999987</v>
      </c>
      <c r="I53" s="17">
        <f t="shared" si="2"/>
        <v>-0.12997228783948042</v>
      </c>
      <c r="J53" s="58"/>
      <c r="K53" s="58"/>
    </row>
    <row r="54" spans="1:11" ht="15.6">
      <c r="A54" s="26" t="str">
        <v>North Brunswick</v>
      </c>
      <c r="B54" s="27" t="str">
        <v>NJ</v>
      </c>
      <c r="C54" s="22">
        <v>3053.3</v>
      </c>
      <c r="D54" s="11">
        <v>2935.1129999999998</v>
      </c>
      <c r="E54" s="11">
        <f t="shared" si="0"/>
        <v>118.18700000000035</v>
      </c>
      <c r="F54" s="12">
        <f t="shared" si="3"/>
        <v>4.0266592802389672E-2</v>
      </c>
      <c r="G54" s="13">
        <v>3929.6509999999998</v>
      </c>
      <c r="H54" s="13">
        <f t="shared" si="1"/>
        <v>-876.35099999999966</v>
      </c>
      <c r="I54" s="14">
        <f t="shared" si="2"/>
        <v>-0.22300988052119633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1960.7304690000001</v>
      </c>
      <c r="D55" s="16">
        <v>1948.25</v>
      </c>
      <c r="E55" s="16">
        <f t="shared" si="0"/>
        <v>12.480469000000085</v>
      </c>
      <c r="F55" s="17">
        <f t="shared" si="3"/>
        <v>6.4059894777364736E-3</v>
      </c>
      <c r="G55" s="18">
        <v>2574.7190000000001</v>
      </c>
      <c r="H55" s="18">
        <f t="shared" si="1"/>
        <v>-613.98853099999997</v>
      </c>
      <c r="I55" s="17">
        <f t="shared" si="2"/>
        <v>-0.23846817108973831</v>
      </c>
      <c r="J55" s="58"/>
      <c r="K55" s="58"/>
    </row>
    <row r="56" spans="1:11" ht="15.6">
      <c r="A56" s="26" t="str">
        <v>Hainesport</v>
      </c>
      <c r="B56" s="27" t="str">
        <v>NJ</v>
      </c>
      <c r="C56" s="22">
        <v>2028.9</v>
      </c>
      <c r="D56" s="11">
        <v>2349.998</v>
      </c>
      <c r="E56" s="11">
        <f t="shared" si="0"/>
        <v>-321.09799999999996</v>
      </c>
      <c r="F56" s="12">
        <f t="shared" si="3"/>
        <v>-0.13663756309579836</v>
      </c>
      <c r="G56" s="13">
        <v>2603.08</v>
      </c>
      <c r="H56" s="13">
        <f t="shared" si="1"/>
        <v>-574.17999999999984</v>
      </c>
      <c r="I56" s="14">
        <f t="shared" si="2"/>
        <v>-0.22057716243834222</v>
      </c>
      <c r="J56" s="63"/>
      <c r="K56" s="63"/>
    </row>
    <row r="57" spans="1:11" ht="15.6">
      <c r="A57" s="28" t="str">
        <v>San Antonio - Ops Ctr (Bldg 106)</v>
      </c>
      <c r="B57" s="29" t="str">
        <v>TX</v>
      </c>
      <c r="C57" s="10">
        <v>43079.125</v>
      </c>
      <c r="D57" s="16">
        <v>39823.29</v>
      </c>
      <c r="E57" s="16">
        <f t="shared" si="0"/>
        <v>3255.8349999999991</v>
      </c>
      <c r="F57" s="17">
        <f t="shared" si="3"/>
        <v>8.1757057239620304E-2</v>
      </c>
      <c r="G57" s="18">
        <v>57607.63</v>
      </c>
      <c r="H57" s="18">
        <f t="shared" si="1"/>
        <v>-14528.504999999997</v>
      </c>
      <c r="I57" s="17">
        <f t="shared" si="2"/>
        <v>-0.25219758216055754</v>
      </c>
      <c r="J57" s="58"/>
      <c r="K57" s="58"/>
    </row>
    <row r="58" spans="1:11" ht="49.15" customHeight="1">
      <c r="A58" s="26" t="str">
        <v>San Antonio - Ops Ctr GM</v>
      </c>
      <c r="B58" s="27" t="str">
        <v>TX</v>
      </c>
      <c r="C58" s="22">
        <v>293021.375</v>
      </c>
      <c r="D58" s="11">
        <v>332845.59999999998</v>
      </c>
      <c r="E58" s="11">
        <f t="shared" si="0"/>
        <v>-39824.224999999977</v>
      </c>
      <c r="F58" s="12">
        <f t="shared" si="3"/>
        <v>-0.11964774357840385</v>
      </c>
      <c r="G58" s="13">
        <v>414100</v>
      </c>
      <c r="H58" s="13">
        <f t="shared" si="1"/>
        <v>-121078.625</v>
      </c>
      <c r="I58" s="14">
        <f t="shared" si="2"/>
        <v>-0.2923898212992031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45121.96875</v>
      </c>
      <c r="D59" s="16">
        <v>39532.5</v>
      </c>
      <c r="E59" s="16">
        <f t="shared" si="0"/>
        <v>5589.46875</v>
      </c>
      <c r="F59" s="17">
        <f t="shared" si="3"/>
        <v>0.14138920508442421</v>
      </c>
      <c r="G59" s="18">
        <v>55911.19</v>
      </c>
      <c r="H59" s="18">
        <f t="shared" si="1"/>
        <v>-10789.221250000002</v>
      </c>
      <c r="I59" s="17">
        <f t="shared" si="2"/>
        <v>-0.19297069602703862</v>
      </c>
      <c r="J59" s="58"/>
      <c r="K59" s="58"/>
    </row>
    <row r="60" spans="1:11" ht="15.6">
      <c r="A60" s="26" t="str">
        <v>San Antonio - Ops Ctr (Bldg 203)</v>
      </c>
      <c r="B60" s="27" t="str">
        <v>TX</v>
      </c>
      <c r="C60" s="22">
        <v>45701.293440000001</v>
      </c>
      <c r="D60" s="11">
        <v>44197.59</v>
      </c>
      <c r="E60" s="11">
        <f t="shared" si="0"/>
        <v>1503.7034400000048</v>
      </c>
      <c r="F60" s="12">
        <f t="shared" si="3"/>
        <v>3.4022294880784336E-2</v>
      </c>
      <c r="G60" s="13">
        <v>56492.54</v>
      </c>
      <c r="H60" s="13">
        <f t="shared" si="1"/>
        <v>-10791.24656</v>
      </c>
      <c r="I60" s="14">
        <f t="shared" si="2"/>
        <v>-0.19102073583520937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32914.4375</v>
      </c>
      <c r="D61" s="16">
        <v>36023.379999999997</v>
      </c>
      <c r="E61" s="16">
        <f t="shared" si="0"/>
        <v>-3108.9424999999974</v>
      </c>
      <c r="F61" s="17">
        <f t="shared" si="3"/>
        <v>-8.6303464583278908E-2</v>
      </c>
      <c r="G61" s="18">
        <v>54301.05</v>
      </c>
      <c r="H61" s="18">
        <f t="shared" si="1"/>
        <v>-21386.612500000003</v>
      </c>
      <c r="I61" s="17">
        <f t="shared" si="2"/>
        <v>-0.39385265109974854</v>
      </c>
      <c r="J61" s="58" t="s">
        <v>101</v>
      </c>
      <c r="K61" s="58" t="s">
        <v>40</v>
      </c>
    </row>
    <row r="62" spans="1:11" ht="15.6">
      <c r="A62" s="26" t="str">
        <v>San Antonio - Ops Ctr (Bldg 307)</v>
      </c>
      <c r="B62" s="27" t="str">
        <v>TX</v>
      </c>
      <c r="C62" s="22">
        <v>45272.592669999998</v>
      </c>
      <c r="D62" s="11">
        <v>39178.58</v>
      </c>
      <c r="E62" s="11">
        <f t="shared" si="0"/>
        <v>6094.0126699999964</v>
      </c>
      <c r="F62" s="12">
        <f t="shared" si="3"/>
        <v>0.15554450084714649</v>
      </c>
      <c r="G62" s="13">
        <v>55047.09</v>
      </c>
      <c r="H62" s="13">
        <f t="shared" si="1"/>
        <v>-9774.4973299999983</v>
      </c>
      <c r="I62" s="14">
        <f t="shared" si="2"/>
        <v>-0.17756610440261236</v>
      </c>
      <c r="J62" s="63" t="s">
        <v>102</v>
      </c>
      <c r="K62" s="63"/>
    </row>
    <row r="63" spans="1:11" ht="15.6">
      <c r="A63" s="28" t="str">
        <v>San Antonio - Ctr (Bldg 308)</v>
      </c>
      <c r="B63" s="29" t="str">
        <v>TX</v>
      </c>
      <c r="C63" s="10">
        <v>37331.468439999997</v>
      </c>
      <c r="D63" s="16">
        <v>38282.519999999997</v>
      </c>
      <c r="E63" s="16">
        <f t="shared" si="0"/>
        <v>-951.05155999999988</v>
      </c>
      <c r="F63" s="17">
        <f t="shared" si="3"/>
        <v>-2.4842971674800925E-2</v>
      </c>
      <c r="G63" s="18">
        <v>52423.06</v>
      </c>
      <c r="H63" s="18">
        <f t="shared" si="1"/>
        <v>-15091.591560000001</v>
      </c>
      <c r="I63" s="17">
        <f t="shared" si="2"/>
        <v>-0.28788078299893216</v>
      </c>
      <c r="J63" s="58" t="s">
        <v>103</v>
      </c>
      <c r="K63" s="58" t="s">
        <v>42</v>
      </c>
    </row>
    <row r="64" spans="1:11" ht="15.6">
      <c r="A64" s="26" t="str">
        <v>San Antonio - Ops Ctr (Bldg 104)</v>
      </c>
      <c r="B64" s="27" t="str">
        <v>TX</v>
      </c>
      <c r="C64" s="22">
        <v>12444.60262</v>
      </c>
      <c r="D64" s="11">
        <v>11998.25</v>
      </c>
      <c r="E64" s="11">
        <f t="shared" si="0"/>
        <v>446.35261999999966</v>
      </c>
      <c r="F64" s="12">
        <f t="shared" si="3"/>
        <v>3.7201476882045267E-2</v>
      </c>
      <c r="G64" s="13">
        <v>16668.79</v>
      </c>
      <c r="H64" s="13">
        <f t="shared" si="1"/>
        <v>-4224.1873800000012</v>
      </c>
      <c r="I64" s="14">
        <f t="shared" si="2"/>
        <v>-0.25341895722484964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46297.200940000002</v>
      </c>
      <c r="D65" s="16">
        <v>38314.839999999997</v>
      </c>
      <c r="E65" s="16">
        <f t="shared" si="0"/>
        <v>7982.3609400000059</v>
      </c>
      <c r="F65" s="17">
        <f t="shared" si="3"/>
        <v>0.20833601132094004</v>
      </c>
      <c r="G65" s="18">
        <v>59195.519999999997</v>
      </c>
      <c r="H65" s="18">
        <f t="shared" si="1"/>
        <v>-12898.319059999994</v>
      </c>
      <c r="I65" s="17">
        <f t="shared" si="2"/>
        <v>-0.21789350038651564</v>
      </c>
      <c r="J65" s="58"/>
      <c r="K65" s="58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30" priority="15" stopIfTrue="1" operator="lessThanOrEqual">
      <formula>-0.1</formula>
    </cfRule>
    <cfRule type="expression" dxfId="29" priority="16">
      <formula>AND(ISNUMBER(F2), F2&gt;=0.1)</formula>
    </cfRule>
  </conditionalFormatting>
  <conditionalFormatting sqref="F4:F87 I4:I87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4" activePane="bottomRight" state="frozen"/>
      <selection pane="bottomRight" activeCell="H1048209" sqref="H65:H1048209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6" customWidth="1"/>
    <col min="11" max="11" width="20.5703125" style="66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104</v>
      </c>
      <c r="E1" s="69"/>
      <c r="F1" s="69"/>
      <c r="G1" s="67" t="s">
        <v>105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SUM(C4:C87)</f>
        <v>1647441.7458207805</v>
      </c>
      <c r="D2" s="4">
        <f>SUM(D4:D87)</f>
        <v>1476847.6835999996</v>
      </c>
      <c r="E2" s="4">
        <f>C2-D2</f>
        <v>170594.06222078088</v>
      </c>
      <c r="F2" s="5">
        <f>IFERROR(E2/D2, 0)</f>
        <v>0.11551229291631258</v>
      </c>
      <c r="G2" s="4">
        <f>SUM(G4:G87)</f>
        <v>1783190.2568000001</v>
      </c>
      <c r="H2" s="6">
        <f>C2-G2</f>
        <v>-135748.51097921957</v>
      </c>
      <c r="I2" s="5">
        <f>IFERROR(H2/G2, 0)</f>
        <v>-7.6126767999969466E-2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1302.5</v>
      </c>
      <c r="D4" s="11">
        <v>0</v>
      </c>
      <c r="E4" s="11">
        <f>IF(AND(ISNUMBER(C4),ISNUMBER(D4)), C4-D4, "")</f>
        <v>1302.5</v>
      </c>
      <c r="F4" s="12" t="str">
        <f>IFERROR(E4/D4, "")</f>
        <v/>
      </c>
      <c r="G4" s="13">
        <v>1338</v>
      </c>
      <c r="H4" s="13">
        <f>IF(AND(ISNUMBER(C4),ISNUMBER(G4)), C4-G4, "")</f>
        <v>-35.5</v>
      </c>
      <c r="I4" s="14">
        <f>IFERROR(H4/G4, "")</f>
        <v>-2.6532137518684603E-2</v>
      </c>
      <c r="J4" s="63"/>
      <c r="K4" s="63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45.75">
      <c r="A6" s="26" t="str">
        <v>San Leandro</v>
      </c>
      <c r="B6" s="27" t="str">
        <v>CA</v>
      </c>
      <c r="C6" s="22">
        <v>55493.5</v>
      </c>
      <c r="D6" s="11">
        <v>48496.34</v>
      </c>
      <c r="E6" s="11">
        <f t="shared" si="0"/>
        <v>6997.1600000000035</v>
      </c>
      <c r="F6" s="12">
        <f t="shared" ref="F6:F65" si="3">IFERROR(E6/D6, "")</f>
        <v>0.14428222830836315</v>
      </c>
      <c r="G6" s="13">
        <v>51502.16</v>
      </c>
      <c r="H6" s="13">
        <f t="shared" si="1"/>
        <v>3991.3399999999965</v>
      </c>
      <c r="I6" s="14">
        <f t="shared" si="2"/>
        <v>7.7498497150410711E-2</v>
      </c>
      <c r="J6" s="63" t="s">
        <v>106</v>
      </c>
      <c r="K6" s="63" t="s">
        <v>107</v>
      </c>
    </row>
    <row r="7" spans="1:11" ht="15.75">
      <c r="A7" s="28" t="str">
        <v>Van Nuys</v>
      </c>
      <c r="B7" s="29" t="str">
        <v>CA</v>
      </c>
      <c r="C7" s="10">
        <v>2143.49999999999</v>
      </c>
      <c r="D7" s="16">
        <v>0</v>
      </c>
      <c r="E7" s="16">
        <f t="shared" si="0"/>
        <v>2143.49999999999</v>
      </c>
      <c r="F7" s="17" t="str">
        <f t="shared" si="3"/>
        <v/>
      </c>
      <c r="G7" s="18">
        <v>2745.1379999999999</v>
      </c>
      <c r="H7" s="18">
        <f t="shared" si="1"/>
        <v>-601.63800000000992</v>
      </c>
      <c r="I7" s="17">
        <f t="shared" si="2"/>
        <v>-0.21916493815611818</v>
      </c>
      <c r="J7" s="51"/>
      <c r="K7" s="51"/>
    </row>
    <row r="8" spans="1:11" ht="15.75">
      <c r="A8" s="26" t="str">
        <v>98th &amp; Grant</v>
      </c>
      <c r="B8" s="27" t="str">
        <v>CO</v>
      </c>
      <c r="C8" s="22">
        <v>1802.6</v>
      </c>
      <c r="D8" s="11">
        <v>0</v>
      </c>
      <c r="E8" s="11">
        <f t="shared" si="0"/>
        <v>1802.6</v>
      </c>
      <c r="F8" s="12" t="str">
        <f t="shared" si="3"/>
        <v/>
      </c>
      <c r="G8" s="13">
        <v>2315</v>
      </c>
      <c r="H8" s="13">
        <f t="shared" si="1"/>
        <v>-512.40000000000009</v>
      </c>
      <c r="I8" s="14">
        <f t="shared" si="2"/>
        <v>-0.22133909287257023</v>
      </c>
      <c r="J8" s="63"/>
      <c r="K8" s="63"/>
    </row>
    <row r="9" spans="1:11" ht="15.75">
      <c r="A9" s="28" t="str">
        <v>Arapahoe Crossings</v>
      </c>
      <c r="B9" s="29" t="str">
        <v>CO</v>
      </c>
      <c r="C9" s="10">
        <v>4794.0936090579198</v>
      </c>
      <c r="D9" s="16">
        <v>0</v>
      </c>
      <c r="E9" s="16">
        <f t="shared" si="0"/>
        <v>4794.0936090579198</v>
      </c>
      <c r="F9" s="17" t="str">
        <f t="shared" si="3"/>
        <v/>
      </c>
      <c r="G9" s="18">
        <v>4259.6729999999998</v>
      </c>
      <c r="H9" s="18">
        <f t="shared" si="1"/>
        <v>534.42060905792005</v>
      </c>
      <c r="I9" s="17">
        <f t="shared" si="2"/>
        <v>0.12546047761363843</v>
      </c>
      <c r="J9" s="51"/>
      <c r="K9" s="51"/>
    </row>
    <row r="10" spans="1:11" ht="15.75">
      <c r="A10" s="26" t="str">
        <v>Aurora City Center</v>
      </c>
      <c r="B10" s="27" t="str">
        <v>CO</v>
      </c>
      <c r="C10" s="22">
        <v>2301.8000000000002</v>
      </c>
      <c r="D10" s="11">
        <v>0</v>
      </c>
      <c r="E10" s="11">
        <f t="shared" si="0"/>
        <v>2301.8000000000002</v>
      </c>
      <c r="F10" s="12" t="str">
        <f t="shared" si="3"/>
        <v/>
      </c>
      <c r="G10" s="13">
        <v>1950</v>
      </c>
      <c r="H10" s="13">
        <f t="shared" si="1"/>
        <v>351.80000000000018</v>
      </c>
      <c r="I10" s="14">
        <f t="shared" si="2"/>
        <v>0.18041025641025651</v>
      </c>
      <c r="J10" s="63"/>
      <c r="K10" s="63"/>
    </row>
    <row r="11" spans="1:11" ht="15.75">
      <c r="A11" s="28" t="str">
        <v>Dry Creek</v>
      </c>
      <c r="B11" s="29" t="str">
        <v>CO</v>
      </c>
      <c r="C11" s="10">
        <v>2299.4000000000101</v>
      </c>
      <c r="D11" s="16">
        <v>0</v>
      </c>
      <c r="E11" s="16">
        <f t="shared" si="0"/>
        <v>2299.4000000000101</v>
      </c>
      <c r="F11" s="17" t="str">
        <f t="shared" si="3"/>
        <v/>
      </c>
      <c r="G11" s="18">
        <v>2528</v>
      </c>
      <c r="H11" s="18">
        <f t="shared" si="1"/>
        <v>-228.5999999999899</v>
      </c>
      <c r="I11" s="17">
        <f t="shared" si="2"/>
        <v>-9.0427215189869431E-2</v>
      </c>
      <c r="J11" s="51"/>
      <c r="K11" s="51"/>
    </row>
    <row r="12" spans="1:11" ht="15.75">
      <c r="A12" s="26" t="str">
        <v>Highlands Ranch S.</v>
      </c>
      <c r="B12" s="27" t="str">
        <v>CO</v>
      </c>
      <c r="C12" s="22">
        <v>2328.4</v>
      </c>
      <c r="D12" s="11">
        <v>0</v>
      </c>
      <c r="E12" s="11">
        <f t="shared" si="0"/>
        <v>2328.4</v>
      </c>
      <c r="F12" s="12" t="str">
        <f t="shared" si="3"/>
        <v/>
      </c>
      <c r="G12" s="13">
        <v>2420</v>
      </c>
      <c r="H12" s="13">
        <f t="shared" si="1"/>
        <v>-91.599999999999909</v>
      </c>
      <c r="I12" s="14">
        <f t="shared" si="2"/>
        <v>-3.7851239669421451E-2</v>
      </c>
      <c r="J12" s="63"/>
      <c r="K12" s="63"/>
    </row>
    <row r="13" spans="1:11" ht="15.75">
      <c r="A13" s="28" t="str">
        <v>Lone Tree</v>
      </c>
      <c r="B13" s="29" t="str">
        <v>CO</v>
      </c>
      <c r="C13" s="10">
        <v>4014.2999999999702</v>
      </c>
      <c r="D13" s="16">
        <v>0</v>
      </c>
      <c r="E13" s="16">
        <f t="shared" si="0"/>
        <v>4014.2999999999702</v>
      </c>
      <c r="F13" s="17" t="str">
        <f t="shared" si="3"/>
        <v/>
      </c>
      <c r="G13" s="18">
        <v>5490</v>
      </c>
      <c r="H13" s="18">
        <f t="shared" si="1"/>
        <v>-1475.7000000000298</v>
      </c>
      <c r="I13" s="17">
        <f t="shared" si="2"/>
        <v>-0.26879781420765569</v>
      </c>
      <c r="J13" s="51"/>
      <c r="K13" s="51"/>
    </row>
    <row r="14" spans="1:11" ht="15.75">
      <c r="A14" s="26" t="str">
        <v>Meridian</v>
      </c>
      <c r="B14" s="27" t="str">
        <v>CO</v>
      </c>
      <c r="C14" s="22">
        <v>3774.1000000000099</v>
      </c>
      <c r="D14" s="11">
        <v>0</v>
      </c>
      <c r="E14" s="11">
        <f t="shared" si="0"/>
        <v>3774.1000000000099</v>
      </c>
      <c r="F14" s="12" t="str">
        <f t="shared" si="3"/>
        <v/>
      </c>
      <c r="G14" s="13">
        <v>3132</v>
      </c>
      <c r="H14" s="13">
        <f t="shared" si="1"/>
        <v>642.10000000000991</v>
      </c>
      <c r="I14" s="14">
        <f t="shared" si="2"/>
        <v>0.2050127713920849</v>
      </c>
      <c r="J14" s="63"/>
      <c r="K14" s="63"/>
    </row>
    <row r="15" spans="1:11" ht="15.75">
      <c r="A15" s="28" t="str">
        <v>Southglenn</v>
      </c>
      <c r="B15" s="29" t="str">
        <v>CO</v>
      </c>
      <c r="C15" s="10">
        <v>3726.1</v>
      </c>
      <c r="D15" s="16">
        <v>0</v>
      </c>
      <c r="E15" s="16">
        <f t="shared" si="0"/>
        <v>3726.1</v>
      </c>
      <c r="F15" s="17" t="str">
        <f t="shared" si="3"/>
        <v/>
      </c>
      <c r="G15" s="18">
        <v>3205.5</v>
      </c>
      <c r="H15" s="18">
        <f t="shared" si="1"/>
        <v>520.59999999999991</v>
      </c>
      <c r="I15" s="17">
        <f t="shared" si="2"/>
        <v>0.16240836063016686</v>
      </c>
      <c r="J15" s="51"/>
      <c r="K15" s="51"/>
    </row>
    <row r="16" spans="1:11" ht="15.75">
      <c r="A16" s="26" t="str">
        <v>Standley Lake</v>
      </c>
      <c r="B16" s="27" t="str">
        <v>CO</v>
      </c>
      <c r="C16" s="22">
        <v>4128</v>
      </c>
      <c r="D16" s="11">
        <v>0</v>
      </c>
      <c r="E16" s="11">
        <f t="shared" si="0"/>
        <v>4128</v>
      </c>
      <c r="F16" s="12" t="str">
        <f t="shared" si="3"/>
        <v/>
      </c>
      <c r="G16" s="13">
        <v>4331</v>
      </c>
      <c r="H16" s="13">
        <f t="shared" si="1"/>
        <v>-203</v>
      </c>
      <c r="I16" s="14">
        <f t="shared" si="2"/>
        <v>-4.6871392288155157E-2</v>
      </c>
      <c r="J16" s="63"/>
      <c r="K16" s="63"/>
    </row>
    <row r="17" spans="1:11" ht="15.75">
      <c r="A17" s="28" t="str">
        <v>Havana Gardens</v>
      </c>
      <c r="B17" s="29" t="str">
        <v>CO</v>
      </c>
      <c r="C17" s="10">
        <v>4434.2</v>
      </c>
      <c r="D17" s="16">
        <v>0</v>
      </c>
      <c r="E17" s="16">
        <f t="shared" si="0"/>
        <v>4434.2</v>
      </c>
      <c r="F17" s="17" t="str">
        <f t="shared" si="3"/>
        <v/>
      </c>
      <c r="G17" s="18">
        <v>1684</v>
      </c>
      <c r="H17" s="18">
        <f t="shared" si="1"/>
        <v>2750.2</v>
      </c>
      <c r="I17" s="17">
        <f t="shared" si="2"/>
        <v>1.6331353919239904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951.1</v>
      </c>
      <c r="D18" s="11">
        <v>773.50459999999998</v>
      </c>
      <c r="E18" s="11">
        <f t="shared" si="0"/>
        <v>177.59540000000004</v>
      </c>
      <c r="F18" s="12">
        <f t="shared" si="3"/>
        <v>0.22959837601482919</v>
      </c>
      <c r="G18" s="13">
        <v>896.40279999999996</v>
      </c>
      <c r="H18" s="13">
        <f t="shared" si="1"/>
        <v>54.697200000000066</v>
      </c>
      <c r="I18" s="14">
        <f t="shared" si="2"/>
        <v>6.10185510353159E-2</v>
      </c>
      <c r="J18" s="63"/>
      <c r="K18" s="63"/>
    </row>
    <row r="19" spans="1:11" ht="30.75">
      <c r="A19" s="28" t="str">
        <v>Norwalk</v>
      </c>
      <c r="B19" s="29" t="str">
        <v>CT</v>
      </c>
      <c r="C19" s="10">
        <v>908.61009656986596</v>
      </c>
      <c r="D19" s="16">
        <v>1108.7470000000001</v>
      </c>
      <c r="E19" s="16">
        <f t="shared" si="0"/>
        <v>-200.13690343013411</v>
      </c>
      <c r="F19" s="17">
        <f t="shared" si="3"/>
        <v>-0.18050727842342221</v>
      </c>
      <c r="G19" s="18">
        <v>1048.1020000000001</v>
      </c>
      <c r="H19" s="18">
        <f t="shared" si="1"/>
        <v>-139.49190343013413</v>
      </c>
      <c r="I19" s="17">
        <f t="shared" si="2"/>
        <v>-0.13309000787149927</v>
      </c>
      <c r="J19" s="51" t="s">
        <v>94</v>
      </c>
      <c r="K19" s="51" t="s">
        <v>95</v>
      </c>
    </row>
    <row r="20" spans="1:11" ht="30.75">
      <c r="A20" s="26" t="str">
        <v>Hialeah Gardens</v>
      </c>
      <c r="B20" s="27" t="str">
        <v>FL</v>
      </c>
      <c r="C20" s="22">
        <v>734.20107609033596</v>
      </c>
      <c r="D20" s="11">
        <v>3579.21</v>
      </c>
      <c r="E20" s="11">
        <f t="shared" si="0"/>
        <v>-2845.0089239096642</v>
      </c>
      <c r="F20" s="12">
        <f t="shared" si="3"/>
        <v>-0.79487063455613505</v>
      </c>
      <c r="G20" s="13">
        <v>5101</v>
      </c>
      <c r="H20" s="13">
        <f t="shared" si="1"/>
        <v>-4366.7989239096642</v>
      </c>
      <c r="I20" s="14">
        <f t="shared" si="2"/>
        <v>-0.85606722680056146</v>
      </c>
      <c r="J20" s="63" t="s">
        <v>96</v>
      </c>
      <c r="K20" s="63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75">
      <c r="A22" s="26" t="str">
        <v>W. Des Moines Campus EAST</v>
      </c>
      <c r="B22" s="27" t="str">
        <v>IA</v>
      </c>
      <c r="C22" s="22">
        <v>194184.5</v>
      </c>
      <c r="D22" s="11">
        <v>182837.9</v>
      </c>
      <c r="E22" s="11">
        <f t="shared" si="0"/>
        <v>11346.600000000006</v>
      </c>
      <c r="F22" s="12">
        <f t="shared" si="3"/>
        <v>6.2058249411090401E-2</v>
      </c>
      <c r="G22" s="13">
        <v>203700</v>
      </c>
      <c r="H22" s="13">
        <f t="shared" si="1"/>
        <v>-9515.5</v>
      </c>
      <c r="I22" s="14">
        <f t="shared" si="2"/>
        <v>-4.671330387825233E-2</v>
      </c>
      <c r="J22" s="63"/>
      <c r="K22" s="63"/>
    </row>
    <row r="23" spans="1:11" ht="15.75">
      <c r="A23" s="28" t="str">
        <v>W. Des Moines Campus SW</v>
      </c>
      <c r="B23" s="29" t="str">
        <v>IA</v>
      </c>
      <c r="C23" s="10">
        <v>92267.582500000004</v>
      </c>
      <c r="D23" s="16">
        <v>88720.85</v>
      </c>
      <c r="E23" s="16">
        <f t="shared" si="0"/>
        <v>3546.7324999999983</v>
      </c>
      <c r="F23" s="17">
        <f t="shared" si="3"/>
        <v>3.9976313346862635E-2</v>
      </c>
      <c r="G23" s="18">
        <v>100620.1</v>
      </c>
      <c r="H23" s="18">
        <f t="shared" si="1"/>
        <v>-8352.5175000000017</v>
      </c>
      <c r="I23" s="17">
        <f t="shared" si="2"/>
        <v>-8.301042734006428E-2</v>
      </c>
      <c r="J23" s="51"/>
      <c r="K23" s="51"/>
    </row>
    <row r="24" spans="1:11" ht="15.75">
      <c r="A24" s="26" t="str">
        <v>WF - CIC</v>
      </c>
      <c r="B24" s="27" t="str">
        <v>NC</v>
      </c>
      <c r="C24" s="22">
        <v>197870</v>
      </c>
      <c r="D24" s="11">
        <v>143619.364</v>
      </c>
      <c r="E24" s="11">
        <f t="shared" si="0"/>
        <v>54250.635999999999</v>
      </c>
      <c r="F24" s="12">
        <f t="shared" si="3"/>
        <v>0.37773900739457389</v>
      </c>
      <c r="G24" s="13">
        <v>209637</v>
      </c>
      <c r="H24" s="13">
        <f t="shared" si="1"/>
        <v>-11767</v>
      </c>
      <c r="I24" s="14">
        <f t="shared" si="2"/>
        <v>-5.6130358667601618E-2</v>
      </c>
      <c r="J24" s="63"/>
      <c r="K24" s="63"/>
    </row>
    <row r="25" spans="1:11" ht="60.75">
      <c r="A25" s="28" t="str">
        <v>Charlotte - Wells Fargo - DUC</v>
      </c>
      <c r="B25" s="29" t="str">
        <v>NC</v>
      </c>
      <c r="C25" s="10">
        <v>197870</v>
      </c>
      <c r="D25" s="16">
        <v>143619.4</v>
      </c>
      <c r="E25" s="16">
        <f t="shared" si="0"/>
        <v>54250.600000000006</v>
      </c>
      <c r="F25" s="17">
        <f t="shared" si="3"/>
        <v>0.37773866204704942</v>
      </c>
      <c r="G25" s="18">
        <v>212196</v>
      </c>
      <c r="H25" s="18">
        <f t="shared" si="1"/>
        <v>-14326</v>
      </c>
      <c r="I25" s="17">
        <f t="shared" si="2"/>
        <v>-6.7513053968972087E-2</v>
      </c>
      <c r="J25" s="51" t="s">
        <v>108</v>
      </c>
      <c r="K25" s="51" t="s">
        <v>109</v>
      </c>
    </row>
    <row r="26" spans="1:11" ht="15.75">
      <c r="A26" s="26" t="str">
        <v>East Windsor</v>
      </c>
      <c r="B26" s="27" t="str">
        <v>NJ</v>
      </c>
      <c r="C26" s="22">
        <v>1294.2</v>
      </c>
      <c r="D26" s="11">
        <v>1231.6010000000001</v>
      </c>
      <c r="E26" s="11">
        <f t="shared" si="0"/>
        <v>62.598999999999933</v>
      </c>
      <c r="F26" s="12">
        <f t="shared" si="3"/>
        <v>5.0827337749806897E-2</v>
      </c>
      <c r="G26" s="13">
        <v>1076.519</v>
      </c>
      <c r="H26" s="13">
        <f t="shared" si="1"/>
        <v>217.68100000000004</v>
      </c>
      <c r="I26" s="14">
        <f t="shared" si="2"/>
        <v>0.20220822855890147</v>
      </c>
      <c r="J26" s="63"/>
      <c r="K26" s="63"/>
    </row>
    <row r="27" spans="1:11" ht="15.75">
      <c r="A27" s="28" t="str">
        <v>Burlington</v>
      </c>
      <c r="B27" s="29" t="str">
        <v>NJ</v>
      </c>
      <c r="C27" s="10">
        <v>3286.8999999999901</v>
      </c>
      <c r="D27" s="16">
        <v>3285.2840000000001</v>
      </c>
      <c r="E27" s="16">
        <f t="shared" si="0"/>
        <v>1.615999999989981</v>
      </c>
      <c r="F27" s="17">
        <f t="shared" si="3"/>
        <v>4.9189050322285101E-4</v>
      </c>
      <c r="G27" s="18">
        <v>2804.51</v>
      </c>
      <c r="H27" s="18">
        <f t="shared" si="1"/>
        <v>482.38999999998987</v>
      </c>
      <c r="I27" s="17">
        <f t="shared" si="2"/>
        <v>0.17200509179856369</v>
      </c>
      <c r="J27" s="51"/>
      <c r="K27" s="51"/>
    </row>
    <row r="28" spans="1:11" ht="15.75">
      <c r="A28" s="26" t="str">
        <v>Bayonne</v>
      </c>
      <c r="B28" s="27" t="str">
        <v>NJ</v>
      </c>
      <c r="C28" s="22">
        <v>4088.4000000000101</v>
      </c>
      <c r="D28" s="11">
        <v>3857.13</v>
      </c>
      <c r="E28" s="11">
        <f t="shared" si="0"/>
        <v>231.27000000000999</v>
      </c>
      <c r="F28" s="12">
        <f t="shared" si="3"/>
        <v>5.9959088752520651E-2</v>
      </c>
      <c r="G28" s="13">
        <v>3847.4059999999999</v>
      </c>
      <c r="H28" s="13">
        <f t="shared" si="1"/>
        <v>240.99400000001015</v>
      </c>
      <c r="I28" s="14">
        <f t="shared" si="2"/>
        <v>6.2638047557239909E-2</v>
      </c>
      <c r="J28" s="63"/>
      <c r="K28" s="63"/>
    </row>
    <row r="29" spans="1:11" ht="15.75">
      <c r="A29" s="28" t="str">
        <v>Clifton</v>
      </c>
      <c r="B29" s="29" t="str">
        <v>NJ</v>
      </c>
      <c r="C29" s="10">
        <v>4932.4070703124999</v>
      </c>
      <c r="D29" s="16">
        <v>5090.9309999999996</v>
      </c>
      <c r="E29" s="16">
        <f t="shared" si="0"/>
        <v>-158.52392968749973</v>
      </c>
      <c r="F29" s="17">
        <f t="shared" si="3"/>
        <v>-3.1138495039021299E-2</v>
      </c>
      <c r="G29" s="18">
        <v>4897.527</v>
      </c>
      <c r="H29" s="18">
        <f t="shared" si="1"/>
        <v>34.880070312499811</v>
      </c>
      <c r="I29" s="17">
        <f t="shared" si="2"/>
        <v>7.1219761141694191E-3</v>
      </c>
      <c r="J29" s="51"/>
      <c r="K29" s="51"/>
    </row>
    <row r="30" spans="1:11" ht="15.75">
      <c r="A30" s="26" t="str">
        <v>North Elizabeth</v>
      </c>
      <c r="B30" s="27" t="str">
        <v>NJ</v>
      </c>
      <c r="C30" s="22">
        <v>4334.1000000000004</v>
      </c>
      <c r="D30" s="11">
        <v>4034.5830000000001</v>
      </c>
      <c r="E30" s="11">
        <f t="shared" si="0"/>
        <v>299.51700000000028</v>
      </c>
      <c r="F30" s="12">
        <f t="shared" si="3"/>
        <v>7.4237411896099365E-2</v>
      </c>
      <c r="G30" s="13">
        <v>3606.8330000000001</v>
      </c>
      <c r="H30" s="13">
        <f t="shared" si="1"/>
        <v>727.26700000000028</v>
      </c>
      <c r="I30" s="14">
        <f t="shared" si="2"/>
        <v>0.20163589498044412</v>
      </c>
      <c r="J30" s="63"/>
      <c r="K30" s="63"/>
    </row>
    <row r="31" spans="1:11" ht="15.75">
      <c r="A31" s="28" t="str">
        <v>Haddon Westmont Plaza</v>
      </c>
      <c r="B31" s="29" t="str">
        <v>NJ</v>
      </c>
      <c r="C31" s="10">
        <v>3187.2</v>
      </c>
      <c r="D31" s="16">
        <v>3169.6680000000001</v>
      </c>
      <c r="E31" s="16">
        <f t="shared" si="0"/>
        <v>17.531999999999698</v>
      </c>
      <c r="F31" s="17">
        <f t="shared" si="3"/>
        <v>5.5311786597207332E-3</v>
      </c>
      <c r="G31" s="18">
        <v>2654.4749999999999</v>
      </c>
      <c r="H31" s="18">
        <f t="shared" si="1"/>
        <v>532.72499999999991</v>
      </c>
      <c r="I31" s="17">
        <f t="shared" si="2"/>
        <v>0.20068940185912465</v>
      </c>
      <c r="J31" s="51"/>
      <c r="K31" s="51"/>
    </row>
    <row r="32" spans="1:11" ht="15.75">
      <c r="A32" s="26" t="str">
        <v>Parsippany</v>
      </c>
      <c r="B32" s="27" t="str">
        <v>NJ</v>
      </c>
      <c r="C32" s="22">
        <v>3725.6</v>
      </c>
      <c r="D32" s="11">
        <v>3610.2570000000001</v>
      </c>
      <c r="E32" s="11">
        <f t="shared" si="0"/>
        <v>115.34299999999985</v>
      </c>
      <c r="F32" s="12">
        <f t="shared" si="3"/>
        <v>3.1948695065198915E-2</v>
      </c>
      <c r="G32" s="13">
        <v>2929.7550000000001</v>
      </c>
      <c r="H32" s="13">
        <f t="shared" si="1"/>
        <v>795.8449999999998</v>
      </c>
      <c r="I32" s="14">
        <f t="shared" si="2"/>
        <v>0.27164216803111513</v>
      </c>
      <c r="J32" s="63"/>
      <c r="K32" s="63"/>
    </row>
    <row r="33" spans="1:11" ht="15.75">
      <c r="A33" s="28" t="str">
        <v>Clark</v>
      </c>
      <c r="B33" s="29" t="str">
        <v>NJ</v>
      </c>
      <c r="C33" s="10">
        <v>3139.00000000001</v>
      </c>
      <c r="D33" s="16">
        <v>3101.7240000000002</v>
      </c>
      <c r="E33" s="16">
        <f t="shared" si="0"/>
        <v>37.276000000009844</v>
      </c>
      <c r="F33" s="17">
        <f t="shared" si="3"/>
        <v>1.2017832663386505E-2</v>
      </c>
      <c r="G33" s="18">
        <v>2505.6010000000001</v>
      </c>
      <c r="H33" s="18">
        <f t="shared" si="1"/>
        <v>633.39900000000989</v>
      </c>
      <c r="I33" s="17">
        <f t="shared" si="2"/>
        <v>0.25279324202058101</v>
      </c>
      <c r="J33" s="51"/>
      <c r="K33" s="51"/>
    </row>
    <row r="34" spans="1:11" ht="15.75">
      <c r="A34" s="26" t="str">
        <v>Closter</v>
      </c>
      <c r="B34" s="27" t="str">
        <v>NJ</v>
      </c>
      <c r="C34" s="22">
        <v>1760.8</v>
      </c>
      <c r="D34" s="11">
        <v>1378.2449999999999</v>
      </c>
      <c r="E34" s="11">
        <f t="shared" si="0"/>
        <v>382.55500000000006</v>
      </c>
      <c r="F34" s="12">
        <f t="shared" si="3"/>
        <v>0.27756676062673913</v>
      </c>
      <c r="G34" s="13">
        <v>1551.144</v>
      </c>
      <c r="H34" s="13">
        <f t="shared" si="1"/>
        <v>209.65599999999995</v>
      </c>
      <c r="I34" s="14">
        <f t="shared" si="2"/>
        <v>0.13516217707704761</v>
      </c>
      <c r="J34" s="63"/>
      <c r="K34" s="63"/>
    </row>
    <row r="35" spans="1:11" ht="15.75">
      <c r="A35" s="28" t="str">
        <v>Holmdel</v>
      </c>
      <c r="B35" s="29" t="str">
        <v>NJ</v>
      </c>
      <c r="C35" s="10">
        <v>2733.1</v>
      </c>
      <c r="D35" s="16">
        <v>2546.924</v>
      </c>
      <c r="E35" s="16">
        <f t="shared" si="0"/>
        <v>186.17599999999993</v>
      </c>
      <c r="F35" s="17">
        <f t="shared" si="3"/>
        <v>7.3098372782226695E-2</v>
      </c>
      <c r="G35" s="18">
        <v>2188.4459999999999</v>
      </c>
      <c r="H35" s="18">
        <f t="shared" si="1"/>
        <v>544.654</v>
      </c>
      <c r="I35" s="17">
        <f t="shared" si="2"/>
        <v>0.24887705705326976</v>
      </c>
      <c r="J35" s="51"/>
      <c r="K35" s="51"/>
    </row>
    <row r="36" spans="1:11" ht="15.75">
      <c r="A36" s="26" t="str">
        <v>Ellisburg Circle Center</v>
      </c>
      <c r="B36" s="27" t="str">
        <v>NJ</v>
      </c>
      <c r="C36" s="22">
        <v>1398.9</v>
      </c>
      <c r="D36" s="11">
        <v>1433.8910000000001</v>
      </c>
      <c r="E36" s="11">
        <f t="shared" si="0"/>
        <v>-34.990999999999985</v>
      </c>
      <c r="F36" s="12">
        <f t="shared" si="3"/>
        <v>-2.4402831177544167E-2</v>
      </c>
      <c r="G36" s="13">
        <v>1220.777</v>
      </c>
      <c r="H36" s="13">
        <f t="shared" si="1"/>
        <v>178.12300000000005</v>
      </c>
      <c r="I36" s="14">
        <f t="shared" si="2"/>
        <v>0.14590953138861565</v>
      </c>
      <c r="J36" s="63"/>
      <c r="K36" s="63"/>
    </row>
    <row r="37" spans="1:11" ht="15.75">
      <c r="A37" s="28" t="str">
        <v>Nutley</v>
      </c>
      <c r="B37" s="29" t="str">
        <v>NJ</v>
      </c>
      <c r="C37" s="10">
        <v>4337.6000000000104</v>
      </c>
      <c r="D37" s="16">
        <v>4256.4889999999996</v>
      </c>
      <c r="E37" s="16">
        <f t="shared" si="0"/>
        <v>81.11100000001079</v>
      </c>
      <c r="F37" s="17">
        <f t="shared" si="3"/>
        <v>1.9055846262027411E-2</v>
      </c>
      <c r="G37" s="18">
        <v>4351.1210000000001</v>
      </c>
      <c r="H37" s="18">
        <f t="shared" si="1"/>
        <v>-13.520999999989726</v>
      </c>
      <c r="I37" s="17">
        <f t="shared" si="2"/>
        <v>-3.1074750621712718E-3</v>
      </c>
      <c r="J37" s="51"/>
      <c r="K37" s="51"/>
    </row>
    <row r="38" spans="1:11" ht="15.75">
      <c r="A38" s="26" t="str">
        <v>Marlton</v>
      </c>
      <c r="B38" s="27" t="str">
        <v>NJ</v>
      </c>
      <c r="C38" s="22">
        <v>4968.1000000000104</v>
      </c>
      <c r="D38" s="11">
        <v>4743.0540000000001</v>
      </c>
      <c r="E38" s="11">
        <f t="shared" si="0"/>
        <v>225.04600000001028</v>
      </c>
      <c r="F38" s="12">
        <f t="shared" si="3"/>
        <v>4.7447488474727524E-2</v>
      </c>
      <c r="G38" s="13">
        <v>4288.9610000000002</v>
      </c>
      <c r="H38" s="13">
        <f t="shared" si="1"/>
        <v>679.13900000001013</v>
      </c>
      <c r="I38" s="14">
        <f t="shared" si="2"/>
        <v>0.15834580915984317</v>
      </c>
      <c r="J38" s="63"/>
      <c r="K38" s="63"/>
    </row>
    <row r="39" spans="1:11" ht="15.75">
      <c r="A39" s="28" t="str">
        <v>Middletown</v>
      </c>
      <c r="B39" s="29" t="str">
        <v>NJ</v>
      </c>
      <c r="C39" s="10">
        <v>3857.2</v>
      </c>
      <c r="D39" s="16">
        <v>3735.6959999999999</v>
      </c>
      <c r="E39" s="16">
        <f t="shared" si="0"/>
        <v>121.50399999999991</v>
      </c>
      <c r="F39" s="17">
        <f t="shared" si="3"/>
        <v>3.2525130524539446E-2</v>
      </c>
      <c r="G39" s="18">
        <v>3432.1570000000002</v>
      </c>
      <c r="H39" s="18">
        <f t="shared" si="1"/>
        <v>425.04299999999967</v>
      </c>
      <c r="I39" s="17">
        <f t="shared" si="2"/>
        <v>0.12384136273486314</v>
      </c>
      <c r="J39" s="51"/>
      <c r="K39" s="51"/>
    </row>
    <row r="40" spans="1:11" ht="15.75">
      <c r="A40" s="26" t="str">
        <v>Whiting Crestwood</v>
      </c>
      <c r="B40" s="27" t="str">
        <v>NJ</v>
      </c>
      <c r="C40" s="22">
        <v>4889.1999999999798</v>
      </c>
      <c r="D40" s="11">
        <v>4682.134</v>
      </c>
      <c r="E40" s="11">
        <f t="shared" si="0"/>
        <v>207.06599999997979</v>
      </c>
      <c r="F40" s="12">
        <f t="shared" si="3"/>
        <v>4.4224706084870655E-2</v>
      </c>
      <c r="G40" s="13">
        <v>4595.9650000000001</v>
      </c>
      <c r="H40" s="13">
        <f t="shared" si="1"/>
        <v>293.23499999997966</v>
      </c>
      <c r="I40" s="14">
        <f t="shared" si="2"/>
        <v>6.3802705199012544E-2</v>
      </c>
      <c r="J40" s="63"/>
      <c r="K40" s="63"/>
    </row>
    <row r="41" spans="1:11" ht="15.75">
      <c r="A41" s="28" t="str">
        <v>Barnegat</v>
      </c>
      <c r="B41" s="29" t="str">
        <v>NJ</v>
      </c>
      <c r="C41" s="10">
        <v>7614.8125</v>
      </c>
      <c r="D41" s="16">
        <v>6775.4129999999996</v>
      </c>
      <c r="E41" s="16">
        <f t="shared" si="0"/>
        <v>839.39950000000044</v>
      </c>
      <c r="F41" s="17">
        <f t="shared" si="3"/>
        <v>0.12388905296252797</v>
      </c>
      <c r="G41" s="18">
        <v>6492.9960000000001</v>
      </c>
      <c r="H41" s="18">
        <f t="shared" si="1"/>
        <v>1121.8164999999999</v>
      </c>
      <c r="I41" s="17">
        <f t="shared" si="2"/>
        <v>0.17277332374761972</v>
      </c>
      <c r="J41" s="51"/>
      <c r="K41" s="51"/>
    </row>
    <row r="42" spans="1:11" ht="15.75">
      <c r="A42" s="26" t="str">
        <v>Manchester</v>
      </c>
      <c r="B42" s="27" t="str">
        <v>NJ</v>
      </c>
      <c r="C42" s="22">
        <v>3599.3999999999901</v>
      </c>
      <c r="D42" s="11">
        <v>3201.31</v>
      </c>
      <c r="E42" s="11">
        <f t="shared" si="0"/>
        <v>398.08999999999014</v>
      </c>
      <c r="F42" s="12">
        <f t="shared" si="3"/>
        <v>0.12435221831062601</v>
      </c>
      <c r="G42" s="13">
        <v>3846.748</v>
      </c>
      <c r="H42" s="13">
        <f t="shared" si="1"/>
        <v>-247.34800000000996</v>
      </c>
      <c r="I42" s="14">
        <f t="shared" si="2"/>
        <v>-6.4300546851524962E-2</v>
      </c>
      <c r="J42" s="63"/>
      <c r="K42" s="63"/>
    </row>
    <row r="43" spans="1:11" ht="15.75">
      <c r="A43" s="28" t="str">
        <v>West Deptford - Woodbury</v>
      </c>
      <c r="B43" s="29" t="str">
        <v>NJ</v>
      </c>
      <c r="C43" s="10">
        <v>4323.6000000000104</v>
      </c>
      <c r="D43" s="16">
        <v>4638.1970000000001</v>
      </c>
      <c r="E43" s="16">
        <f t="shared" si="0"/>
        <v>-314.59699999998975</v>
      </c>
      <c r="F43" s="17">
        <f t="shared" si="3"/>
        <v>-6.7827433806711912E-2</v>
      </c>
      <c r="G43" s="18">
        <v>3641.5030000000002</v>
      </c>
      <c r="H43" s="18">
        <f t="shared" si="1"/>
        <v>682.09700000001021</v>
      </c>
      <c r="I43" s="17">
        <f t="shared" si="2"/>
        <v>0.18731194234908227</v>
      </c>
      <c r="J43" s="51"/>
      <c r="K43" s="51"/>
    </row>
    <row r="44" spans="1:11" ht="15.75">
      <c r="A44" s="26" t="str">
        <v>Edison</v>
      </c>
      <c r="B44" s="27" t="str">
        <v>NJ</v>
      </c>
      <c r="C44" s="22">
        <v>3855.2</v>
      </c>
      <c r="D44" s="11">
        <v>3981.41</v>
      </c>
      <c r="E44" s="11">
        <f t="shared" si="0"/>
        <v>-126.21000000000004</v>
      </c>
      <c r="F44" s="12">
        <f t="shared" si="3"/>
        <v>-3.1699824936391889E-2</v>
      </c>
      <c r="G44" s="13">
        <v>3168.94</v>
      </c>
      <c r="H44" s="13">
        <f t="shared" si="1"/>
        <v>686.25999999999976</v>
      </c>
      <c r="I44" s="14">
        <f t="shared" si="2"/>
        <v>0.21655821820545665</v>
      </c>
      <c r="J44" s="63"/>
      <c r="K44" s="63"/>
    </row>
    <row r="45" spans="1:11" ht="15.75">
      <c r="A45" s="28" t="str">
        <v>Flemington</v>
      </c>
      <c r="B45" s="29" t="str">
        <v>NJ</v>
      </c>
      <c r="C45" s="10">
        <v>3795.7000000000098</v>
      </c>
      <c r="D45" s="16">
        <v>4159.7939999999999</v>
      </c>
      <c r="E45" s="16">
        <f t="shared" si="0"/>
        <v>-364.09399999999005</v>
      </c>
      <c r="F45" s="17">
        <f t="shared" si="3"/>
        <v>-8.7526930420109755E-2</v>
      </c>
      <c r="G45" s="18">
        <v>3308.5120000000002</v>
      </c>
      <c r="H45" s="18">
        <f t="shared" si="1"/>
        <v>487.18800000000965</v>
      </c>
      <c r="I45" s="17">
        <f t="shared" si="2"/>
        <v>0.14725290402453114</v>
      </c>
      <c r="J45" s="51"/>
      <c r="K45" s="51"/>
    </row>
    <row r="46" spans="1:11" ht="15.75">
      <c r="A46" s="26" t="str">
        <v>Route 22</v>
      </c>
      <c r="B46" s="27" t="str">
        <v>NJ</v>
      </c>
      <c r="C46" s="22">
        <v>3628.9</v>
      </c>
      <c r="D46" s="11">
        <v>4007.8150000000001</v>
      </c>
      <c r="E46" s="11">
        <f t="shared" si="0"/>
        <v>-378.91499999999996</v>
      </c>
      <c r="F46" s="12">
        <f t="shared" si="3"/>
        <v>-9.454403459241506E-2</v>
      </c>
      <c r="G46" s="13">
        <v>2937.0250000000001</v>
      </c>
      <c r="H46" s="13">
        <f t="shared" si="1"/>
        <v>691.875</v>
      </c>
      <c r="I46" s="14">
        <f t="shared" si="2"/>
        <v>0.23557000706497219</v>
      </c>
      <c r="J46" s="63"/>
      <c r="K46" s="63"/>
    </row>
    <row r="47" spans="1:11" ht="30.75">
      <c r="A47" s="28" t="str">
        <v>Laurelton</v>
      </c>
      <c r="B47" s="29" t="str">
        <v>NJ</v>
      </c>
      <c r="C47" s="10">
        <v>2283.8999999999901</v>
      </c>
      <c r="D47" s="16">
        <v>3274.799</v>
      </c>
      <c r="E47" s="16">
        <f t="shared" si="0"/>
        <v>-990.89900000000989</v>
      </c>
      <c r="F47" s="17">
        <f t="shared" si="3"/>
        <v>-0.30258315090483717</v>
      </c>
      <c r="G47" s="18">
        <v>2916.6709999999998</v>
      </c>
      <c r="H47" s="18">
        <f t="shared" si="1"/>
        <v>-632.77100000000974</v>
      </c>
      <c r="I47" s="17">
        <f t="shared" si="2"/>
        <v>-0.21694973481754021</v>
      </c>
      <c r="J47" s="51" t="s">
        <v>98</v>
      </c>
      <c r="K47" s="51" t="s">
        <v>81</v>
      </c>
    </row>
    <row r="48" spans="1:11" ht="15.75">
      <c r="A48" s="26" t="str">
        <v>Mahwah</v>
      </c>
      <c r="B48" s="27" t="str">
        <v>NJ</v>
      </c>
      <c r="C48" s="22">
        <v>3024.6</v>
      </c>
      <c r="D48" s="11">
        <v>2587.5709999999999</v>
      </c>
      <c r="E48" s="11">
        <f t="shared" si="0"/>
        <v>437.029</v>
      </c>
      <c r="F48" s="12">
        <f t="shared" si="3"/>
        <v>0.16889546219214854</v>
      </c>
      <c r="G48" s="13">
        <v>2702.886</v>
      </c>
      <c r="H48" s="13">
        <f t="shared" si="1"/>
        <v>321.71399999999994</v>
      </c>
      <c r="I48" s="14">
        <f t="shared" si="2"/>
        <v>0.1190261076493792</v>
      </c>
      <c r="J48" s="63"/>
      <c r="K48" s="63"/>
    </row>
    <row r="49" spans="1:11" ht="15.75">
      <c r="A49" s="28" t="str">
        <v>Franklin Township WF</v>
      </c>
      <c r="B49" s="29" t="str">
        <v>NJ</v>
      </c>
      <c r="C49" s="10">
        <v>3408.3</v>
      </c>
      <c r="D49" s="16">
        <v>3488.0549999999998</v>
      </c>
      <c r="E49" s="16">
        <f t="shared" si="0"/>
        <v>-79.754999999999654</v>
      </c>
      <c r="F49" s="17">
        <f t="shared" si="3"/>
        <v>-2.2865178444720528E-2</v>
      </c>
      <c r="G49" s="18">
        <v>3345.4459999999999</v>
      </c>
      <c r="H49" s="18">
        <f t="shared" si="1"/>
        <v>62.854000000000269</v>
      </c>
      <c r="I49" s="17">
        <f t="shared" si="2"/>
        <v>1.8787928425686821E-2</v>
      </c>
      <c r="J49" s="51"/>
      <c r="K49" s="51"/>
    </row>
    <row r="50" spans="1:11" ht="15.75">
      <c r="A50" s="26" t="str">
        <v>Bordentown</v>
      </c>
      <c r="B50" s="27" t="str">
        <v>NJ</v>
      </c>
      <c r="C50" s="22">
        <v>2535.4000000000101</v>
      </c>
      <c r="D50" s="11">
        <v>2418.319</v>
      </c>
      <c r="E50" s="11">
        <f t="shared" si="0"/>
        <v>117.08100000001014</v>
      </c>
      <c r="F50" s="12">
        <f t="shared" si="3"/>
        <v>4.8414208381942221E-2</v>
      </c>
      <c r="G50" s="13">
        <v>2080.5529999999999</v>
      </c>
      <c r="H50" s="13">
        <f t="shared" si="1"/>
        <v>454.84700000001021</v>
      </c>
      <c r="I50" s="14">
        <f t="shared" si="2"/>
        <v>0.21861831926416209</v>
      </c>
      <c r="J50" s="63"/>
      <c r="K50" s="63"/>
    </row>
    <row r="51" spans="1:11" ht="15.75">
      <c r="A51" s="28" t="str">
        <v>South Plainfield</v>
      </c>
      <c r="B51" s="29" t="str">
        <v>NJ</v>
      </c>
      <c r="C51" s="10">
        <v>1893.4</v>
      </c>
      <c r="D51" s="16">
        <v>1943.4849999999999</v>
      </c>
      <c r="E51" s="16">
        <f t="shared" si="0"/>
        <v>-50.084999999999809</v>
      </c>
      <c r="F51" s="17">
        <f t="shared" si="3"/>
        <v>-2.5770716007584217E-2</v>
      </c>
      <c r="G51" s="18">
        <v>1536.942</v>
      </c>
      <c r="H51" s="18">
        <f t="shared" si="1"/>
        <v>356.45800000000008</v>
      </c>
      <c r="I51" s="17">
        <f t="shared" si="2"/>
        <v>0.23192677407475368</v>
      </c>
      <c r="J51" s="51"/>
      <c r="K51" s="51"/>
    </row>
    <row r="52" spans="1:11" ht="15.75">
      <c r="A52" s="26" t="str">
        <v>Somerset</v>
      </c>
      <c r="B52" s="27" t="str">
        <v>NJ</v>
      </c>
      <c r="C52" s="22">
        <v>3129.00000000001</v>
      </c>
      <c r="D52" s="11">
        <v>3804.6410000000001</v>
      </c>
      <c r="E52" s="11">
        <f t="shared" si="0"/>
        <v>-675.64099999999007</v>
      </c>
      <c r="F52" s="12">
        <f t="shared" si="3"/>
        <v>-0.17758337777466784</v>
      </c>
      <c r="G52" s="13">
        <v>2561.1509999999998</v>
      </c>
      <c r="H52" s="13">
        <f t="shared" si="1"/>
        <v>567.84900000001016</v>
      </c>
      <c r="I52" s="14">
        <f t="shared" si="2"/>
        <v>0.22171632988449733</v>
      </c>
      <c r="J52" s="63"/>
      <c r="K52" s="63"/>
    </row>
    <row r="53" spans="1:11" ht="15.75">
      <c r="A53" s="28" t="str">
        <v>Clinton Main Relo</v>
      </c>
      <c r="B53" s="29" t="str">
        <v>NJ</v>
      </c>
      <c r="C53" s="10">
        <v>3663.078</v>
      </c>
      <c r="D53" s="16">
        <v>3656.9949999999999</v>
      </c>
      <c r="E53" s="16">
        <f t="shared" si="0"/>
        <v>6.0830000000000837</v>
      </c>
      <c r="F53" s="17">
        <f t="shared" si="3"/>
        <v>1.6633875627393758E-3</v>
      </c>
      <c r="G53" s="18">
        <v>3087.5419999999999</v>
      </c>
      <c r="H53" s="18">
        <f t="shared" si="1"/>
        <v>575.53600000000006</v>
      </c>
      <c r="I53" s="17">
        <f t="shared" si="2"/>
        <v>0.18640588532884736</v>
      </c>
      <c r="J53" s="51"/>
      <c r="K53" s="51"/>
    </row>
    <row r="54" spans="1:11" ht="15.75">
      <c r="A54" s="26" t="str">
        <v>North Brunswick</v>
      </c>
      <c r="B54" s="27" t="str">
        <v>NJ</v>
      </c>
      <c r="C54" s="22">
        <v>3776.8000000000202</v>
      </c>
      <c r="D54" s="11">
        <v>3598.6010000000001</v>
      </c>
      <c r="E54" s="11">
        <f t="shared" si="0"/>
        <v>178.19900000002008</v>
      </c>
      <c r="F54" s="12">
        <f t="shared" si="3"/>
        <v>4.9518965842564953E-2</v>
      </c>
      <c r="G54" s="13">
        <v>3328.0770000000002</v>
      </c>
      <c r="H54" s="13">
        <f t="shared" si="1"/>
        <v>448.72300000001997</v>
      </c>
      <c r="I54" s="14">
        <f t="shared" si="2"/>
        <v>0.1348295126585172</v>
      </c>
      <c r="J54" s="63"/>
      <c r="K54" s="63"/>
    </row>
    <row r="55" spans="1:11" ht="15.75">
      <c r="A55" s="28" t="str">
        <v>Cherry Hill</v>
      </c>
      <c r="B55" s="29" t="str">
        <v>NJ</v>
      </c>
      <c r="C55" s="10">
        <v>2581.29296875</v>
      </c>
      <c r="D55" s="16">
        <v>2467.991</v>
      </c>
      <c r="E55" s="16">
        <f t="shared" si="0"/>
        <v>113.30196875000001</v>
      </c>
      <c r="F55" s="17">
        <f t="shared" si="3"/>
        <v>4.5908582628542818E-2</v>
      </c>
      <c r="G55" s="18">
        <v>2200.0329999999999</v>
      </c>
      <c r="H55" s="18">
        <f t="shared" si="1"/>
        <v>381.2599687500001</v>
      </c>
      <c r="I55" s="17">
        <f t="shared" si="2"/>
        <v>0.17329738633465958</v>
      </c>
      <c r="J55" s="51"/>
      <c r="K55" s="51"/>
    </row>
    <row r="56" spans="1:11" ht="15.75">
      <c r="A56" s="26" t="str">
        <v>Hainesport</v>
      </c>
      <c r="B56" s="27" t="str">
        <v>NJ</v>
      </c>
      <c r="C56" s="22">
        <v>2600.3000000000102</v>
      </c>
      <c r="D56" s="11">
        <v>3075.163</v>
      </c>
      <c r="E56" s="11">
        <f t="shared" si="0"/>
        <v>-474.86299999998982</v>
      </c>
      <c r="F56" s="12">
        <f t="shared" si="3"/>
        <v>-0.15441880641773781</v>
      </c>
      <c r="G56" s="13">
        <v>2141.3510000000001</v>
      </c>
      <c r="H56" s="13">
        <f t="shared" si="1"/>
        <v>458.94900000001007</v>
      </c>
      <c r="I56" s="14">
        <f t="shared" si="2"/>
        <v>0.21432684319385756</v>
      </c>
      <c r="J56" s="63"/>
      <c r="K56" s="63"/>
    </row>
    <row r="57" spans="1:11" ht="30.75">
      <c r="A57" s="28" t="str">
        <v>San Antonio - Ops Ctr (Bldg 106)</v>
      </c>
      <c r="B57" s="29" t="str">
        <v>TX</v>
      </c>
      <c r="C57" s="10">
        <v>52290.485999999997</v>
      </c>
      <c r="D57" s="16">
        <v>47834.572999999997</v>
      </c>
      <c r="E57" s="16">
        <f t="shared" si="0"/>
        <v>4455.9130000000005</v>
      </c>
      <c r="F57" s="17">
        <f t="shared" si="3"/>
        <v>9.3152561432920097E-2</v>
      </c>
      <c r="G57" s="18">
        <v>60655.493999999999</v>
      </c>
      <c r="H57" s="18">
        <f t="shared" si="1"/>
        <v>-8365.0080000000016</v>
      </c>
      <c r="I57" s="17">
        <f t="shared" si="2"/>
        <v>-0.13791014545195199</v>
      </c>
      <c r="J57" s="51" t="s">
        <v>110</v>
      </c>
      <c r="K57" s="51" t="s">
        <v>111</v>
      </c>
    </row>
    <row r="58" spans="1:11" ht="45.75">
      <c r="A58" s="26" t="str">
        <v>San Antonio - Ops Ctr GM</v>
      </c>
      <c r="B58" s="27" t="str">
        <v>TX</v>
      </c>
      <c r="C58" s="22">
        <v>355521.5</v>
      </c>
      <c r="D58" s="11">
        <v>409610.43099999998</v>
      </c>
      <c r="E58" s="11">
        <f t="shared" si="0"/>
        <v>-54088.930999999982</v>
      </c>
      <c r="F58" s="12">
        <f t="shared" si="3"/>
        <v>-0.13204969138102829</v>
      </c>
      <c r="G58" s="13">
        <v>435826</v>
      </c>
      <c r="H58" s="13">
        <f t="shared" si="1"/>
        <v>-80304.5</v>
      </c>
      <c r="I58" s="14">
        <f t="shared" si="2"/>
        <v>-0.18425816725023289</v>
      </c>
      <c r="J58" s="63" t="s">
        <v>99</v>
      </c>
      <c r="K58" s="63" t="s">
        <v>100</v>
      </c>
    </row>
    <row r="59" spans="1:11" ht="15.75">
      <c r="A59" s="28" t="str">
        <v>San Antonio - Ctr (Bldg 201)</v>
      </c>
      <c r="B59" s="29" t="str">
        <v>TX</v>
      </c>
      <c r="C59" s="10">
        <v>56524.156000000003</v>
      </c>
      <c r="D59" s="16">
        <v>47478.758000000002</v>
      </c>
      <c r="E59" s="16">
        <f t="shared" si="0"/>
        <v>9045.398000000001</v>
      </c>
      <c r="F59" s="17">
        <f t="shared" si="3"/>
        <v>0.19051462972135877</v>
      </c>
      <c r="G59" s="18">
        <v>59706.661999999997</v>
      </c>
      <c r="H59" s="18">
        <f t="shared" si="1"/>
        <v>-3182.5059999999939</v>
      </c>
      <c r="I59" s="17">
        <f t="shared" si="2"/>
        <v>-5.330236012858991E-2</v>
      </c>
      <c r="J59" s="51"/>
      <c r="K59" s="51"/>
    </row>
    <row r="60" spans="1:11" ht="15.75">
      <c r="A60" s="26" t="str">
        <v>San Antonio - Ops Ctr (Bldg 203)</v>
      </c>
      <c r="B60" s="27" t="str">
        <v>TX</v>
      </c>
      <c r="C60" s="22">
        <v>57061.374000000003</v>
      </c>
      <c r="D60" s="11">
        <v>54811.428999999996</v>
      </c>
      <c r="E60" s="11">
        <f t="shared" si="0"/>
        <v>2249.945000000007</v>
      </c>
      <c r="F60" s="12">
        <f t="shared" si="3"/>
        <v>4.1048829433000318E-2</v>
      </c>
      <c r="G60" s="13">
        <v>60005.59</v>
      </c>
      <c r="H60" s="13">
        <f t="shared" si="1"/>
        <v>-2944.2159999999931</v>
      </c>
      <c r="I60" s="14">
        <f t="shared" si="2"/>
        <v>-4.9065695379380374E-2</v>
      </c>
      <c r="J60" s="63"/>
      <c r="K60" s="63"/>
    </row>
    <row r="61" spans="1:11" ht="15.75">
      <c r="A61" s="28" t="str">
        <v>San Antonio - Ops Ctr (Bldg 205)</v>
      </c>
      <c r="B61" s="29" t="str">
        <v>TX</v>
      </c>
      <c r="C61" s="10">
        <v>55028.281000000003</v>
      </c>
      <c r="D61" s="16">
        <v>43263.521999999997</v>
      </c>
      <c r="E61" s="16">
        <f t="shared" si="0"/>
        <v>11764.759000000005</v>
      </c>
      <c r="F61" s="17">
        <f t="shared" si="3"/>
        <v>0.27193253013474045</v>
      </c>
      <c r="G61" s="18">
        <v>57390.642999999996</v>
      </c>
      <c r="H61" s="18">
        <f t="shared" si="1"/>
        <v>-2362.3619999999937</v>
      </c>
      <c r="I61" s="17">
        <f t="shared" si="2"/>
        <v>-4.1162842521210191E-2</v>
      </c>
      <c r="J61" s="51"/>
      <c r="K61" s="51"/>
    </row>
    <row r="62" spans="1:11" ht="15.75">
      <c r="A62" s="26" t="str">
        <v>San Antonio - Ops Ctr (Bldg 307)</v>
      </c>
      <c r="B62" s="27" t="str">
        <v>TX</v>
      </c>
      <c r="C62" s="22">
        <v>56682.750999999997</v>
      </c>
      <c r="D62" s="11">
        <v>47055.499000000003</v>
      </c>
      <c r="E62" s="11">
        <f t="shared" si="0"/>
        <v>9627.2519999999931</v>
      </c>
      <c r="F62" s="12">
        <f t="shared" si="3"/>
        <v>0.20459355876770094</v>
      </c>
      <c r="G62" s="13">
        <v>58213.548000000003</v>
      </c>
      <c r="H62" s="13">
        <f t="shared" si="1"/>
        <v>-1530.7970000000059</v>
      </c>
      <c r="I62" s="14">
        <f t="shared" si="2"/>
        <v>-2.6296232622687866E-2</v>
      </c>
      <c r="J62" s="63"/>
      <c r="K62" s="63"/>
    </row>
    <row r="63" spans="1:11" ht="15.75">
      <c r="A63" s="28" t="str">
        <v>San Antonio - Ctr (Bldg 308)</v>
      </c>
      <c r="B63" s="29" t="str">
        <v>TX</v>
      </c>
      <c r="C63" s="10">
        <v>53308.843999999997</v>
      </c>
      <c r="D63" s="16">
        <v>45977.633000000002</v>
      </c>
      <c r="E63" s="16">
        <f t="shared" si="0"/>
        <v>7331.2109999999957</v>
      </c>
      <c r="F63" s="17">
        <f t="shared" si="3"/>
        <v>0.15945168382200092</v>
      </c>
      <c r="G63" s="18">
        <v>55434.508000000002</v>
      </c>
      <c r="H63" s="18">
        <f t="shared" si="1"/>
        <v>-2125.6640000000043</v>
      </c>
      <c r="I63" s="17">
        <f t="shared" si="2"/>
        <v>-3.8345501325636445E-2</v>
      </c>
      <c r="J63" s="51"/>
      <c r="K63" s="51"/>
    </row>
    <row r="64" spans="1:11" ht="15.75">
      <c r="A64" s="26" t="str">
        <v>San Antonio - Ops Ctr (Bldg 104)</v>
      </c>
      <c r="B64" s="27" t="str">
        <v>TX</v>
      </c>
      <c r="C64" s="22">
        <v>16120.163</v>
      </c>
      <c r="D64" s="11">
        <v>14406.903</v>
      </c>
      <c r="E64" s="11">
        <f t="shared" si="0"/>
        <v>1713.2600000000002</v>
      </c>
      <c r="F64" s="12">
        <f t="shared" si="3"/>
        <v>0.11891938191018571</v>
      </c>
      <c r="G64" s="13">
        <v>17588.343000000001</v>
      </c>
      <c r="H64" s="13">
        <f t="shared" si="1"/>
        <v>-1468.1800000000003</v>
      </c>
      <c r="I64" s="14">
        <f t="shared" si="2"/>
        <v>-8.3474605879587424E-2</v>
      </c>
      <c r="J64" s="63"/>
      <c r="K64" s="63"/>
    </row>
    <row r="65" spans="1:11" ht="15.75">
      <c r="A65" s="28" t="str">
        <v>San Antonio - Ops Ctr (Bldg 102)</v>
      </c>
      <c r="B65" s="29" t="str">
        <v>TX</v>
      </c>
      <c r="C65" s="10">
        <v>59929.313000000002</v>
      </c>
      <c r="D65" s="16">
        <v>46416.45</v>
      </c>
      <c r="E65" s="16">
        <f t="shared" si="0"/>
        <v>13512.863000000005</v>
      </c>
      <c r="F65" s="17">
        <f t="shared" si="3"/>
        <v>0.29112228531048812</v>
      </c>
      <c r="G65" s="18">
        <v>63022.82</v>
      </c>
      <c r="H65" s="18">
        <f t="shared" si="1"/>
        <v>-3093.5069999999978</v>
      </c>
      <c r="I65" s="17">
        <f t="shared" si="2"/>
        <v>-4.9085505853276604E-2</v>
      </c>
      <c r="J65" s="51"/>
      <c r="K65" s="51"/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65"/>
      <c r="K66" s="65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65"/>
      <c r="K67" s="65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65"/>
      <c r="K68" s="65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65"/>
      <c r="K69" s="65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65"/>
      <c r="K70" s="65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65"/>
      <c r="K71" s="65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65"/>
      <c r="K72" s="65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65"/>
      <c r="K73" s="65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65"/>
      <c r="K74" s="65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65"/>
      <c r="K75" s="65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65"/>
      <c r="K76" s="65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65"/>
      <c r="K77" s="65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65"/>
      <c r="K78" s="65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65"/>
      <c r="K79" s="65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65"/>
      <c r="K80" s="65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65"/>
      <c r="K81" s="65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65"/>
      <c r="K82" s="65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65"/>
      <c r="K83" s="65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65"/>
      <c r="K84" s="65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65"/>
      <c r="K85" s="65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65"/>
      <c r="K86" s="65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65"/>
      <c r="K87" s="65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65"/>
      <c r="K88" s="65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65"/>
      <c r="K89" s="65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65"/>
      <c r="K90" s="65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65"/>
      <c r="K91" s="65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65"/>
      <c r="K92" s="65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65"/>
      <c r="K93" s="65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65"/>
      <c r="K94" s="65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65"/>
      <c r="K95" s="65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65"/>
      <c r="K96" s="65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65"/>
      <c r="K97" s="65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65"/>
      <c r="K98" s="65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65"/>
      <c r="K99" s="65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65"/>
      <c r="K100" s="65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65"/>
      <c r="K101" s="65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65"/>
      <c r="K102" s="65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65"/>
      <c r="K103" s="65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65"/>
      <c r="K104" s="65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65"/>
      <c r="K105" s="65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65"/>
      <c r="K106" s="65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65"/>
      <c r="K107" s="65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65"/>
      <c r="K108" s="65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65"/>
      <c r="K109" s="65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65"/>
      <c r="K110" s="65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65"/>
      <c r="K111" s="65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65"/>
      <c r="K112" s="65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65"/>
      <c r="K113" s="65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65"/>
      <c r="K114" s="65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65"/>
      <c r="K115" s="65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65"/>
      <c r="K116" s="65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65"/>
      <c r="K117" s="65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65"/>
      <c r="K118" s="65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65"/>
      <c r="K119" s="65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65"/>
      <c r="K120" s="65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65"/>
      <c r="K121" s="65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65"/>
      <c r="K122" s="65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65"/>
      <c r="K123" s="65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65"/>
      <c r="K124" s="65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65"/>
      <c r="K125" s="65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65"/>
      <c r="K126" s="65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65"/>
      <c r="K127" s="65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65"/>
      <c r="K128" s="65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65"/>
      <c r="K129" s="65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65"/>
      <c r="K130" s="65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65"/>
      <c r="K131" s="65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65"/>
      <c r="K132" s="65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65"/>
      <c r="K133" s="65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65"/>
      <c r="K134" s="65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65"/>
      <c r="K135" s="65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65"/>
      <c r="K136" s="65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65"/>
      <c r="K137" s="65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65"/>
      <c r="K138" s="65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65"/>
      <c r="K139" s="65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65"/>
      <c r="K140" s="65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65"/>
      <c r="K141" s="65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65"/>
      <c r="K142" s="65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65"/>
      <c r="K143" s="65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65"/>
      <c r="K144" s="65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65"/>
      <c r="K145" s="65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65"/>
      <c r="K146" s="65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65"/>
      <c r="K147" s="65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65"/>
      <c r="K148" s="65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65"/>
      <c r="K149" s="65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65"/>
      <c r="K150" s="65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65"/>
      <c r="K151" s="65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65"/>
      <c r="K152" s="65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65"/>
      <c r="K153" s="65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65"/>
      <c r="K154" s="65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65"/>
      <c r="K155" s="65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65"/>
      <c r="K156" s="65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65"/>
      <c r="K157" s="65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65"/>
      <c r="K158" s="65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65"/>
      <c r="K159" s="65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65"/>
      <c r="K160" s="65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65"/>
      <c r="K161" s="65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65"/>
      <c r="K162" s="65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65"/>
      <c r="K163" s="65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65"/>
      <c r="K164" s="65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65"/>
      <c r="K165" s="65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65"/>
      <c r="K166" s="65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65"/>
      <c r="K167" s="65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65"/>
      <c r="K168" s="65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65"/>
      <c r="K169" s="65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65"/>
      <c r="K170" s="65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65"/>
      <c r="K171" s="65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65"/>
      <c r="K172" s="65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65"/>
      <c r="K173" s="65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65"/>
      <c r="K174" s="65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65"/>
      <c r="K175" s="65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65"/>
      <c r="K176" s="65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65"/>
      <c r="K177" s="65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65"/>
      <c r="K178" s="65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65"/>
      <c r="K179" s="65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65"/>
      <c r="K180" s="65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65"/>
      <c r="K181" s="65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65"/>
      <c r="K182" s="65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65"/>
      <c r="K183" s="65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65"/>
      <c r="K184" s="65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65"/>
      <c r="K185" s="65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65"/>
      <c r="K186" s="65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65"/>
      <c r="K187" s="65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65"/>
      <c r="K188" s="65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65"/>
      <c r="K189" s="65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65"/>
      <c r="K190" s="65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65"/>
      <c r="K191" s="65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65"/>
      <c r="K192" s="65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65"/>
      <c r="K193" s="65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65"/>
      <c r="K194" s="65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65"/>
      <c r="K195" s="65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65"/>
      <c r="K196" s="65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65"/>
      <c r="K197" s="65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65"/>
      <c r="K198" s="65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65"/>
      <c r="K199" s="65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65"/>
      <c r="K200" s="65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65"/>
      <c r="K201" s="65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65"/>
      <c r="K202" s="65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65"/>
      <c r="K203" s="65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65"/>
      <c r="K204" s="65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65"/>
      <c r="K205" s="65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65"/>
      <c r="K206" s="65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65"/>
      <c r="K207" s="65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65"/>
      <c r="K208" s="65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65"/>
      <c r="K209" s="65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65"/>
      <c r="K210" s="65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65"/>
      <c r="K211" s="65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65"/>
      <c r="K212" s="65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65"/>
      <c r="K213" s="65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65"/>
      <c r="K214" s="65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65"/>
      <c r="K215" s="65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65"/>
      <c r="K216" s="65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65"/>
      <c r="K217" s="65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65"/>
      <c r="K218" s="65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65"/>
      <c r="K219" s="65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65"/>
      <c r="K220" s="65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65"/>
      <c r="K221" s="65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65"/>
      <c r="K222" s="65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65"/>
      <c r="K223" s="65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65"/>
      <c r="K224" s="65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65"/>
      <c r="K225" s="65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65"/>
      <c r="K226" s="65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65"/>
      <c r="K227" s="65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65"/>
      <c r="K228" s="65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65"/>
      <c r="K229" s="65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65"/>
      <c r="K230" s="65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65"/>
      <c r="K231" s="65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65"/>
      <c r="K232" s="65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65"/>
      <c r="K233" s="65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65"/>
      <c r="K234" s="65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65"/>
      <c r="K235" s="65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65"/>
      <c r="K236" s="65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65"/>
      <c r="K237" s="65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65"/>
      <c r="K238" s="65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65"/>
      <c r="K239" s="65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65"/>
      <c r="K240" s="65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65"/>
      <c r="K241" s="65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65"/>
      <c r="K242" s="65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65"/>
      <c r="K243" s="65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65"/>
      <c r="K244" s="65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65"/>
      <c r="K245" s="65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65"/>
      <c r="K246" s="65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65"/>
      <c r="K247" s="65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65"/>
      <c r="K248" s="65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65"/>
      <c r="K249" s="65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65"/>
      <c r="K250" s="65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65"/>
      <c r="K251" s="65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65"/>
      <c r="K252" s="65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65"/>
      <c r="K253" s="65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65"/>
      <c r="K254" s="65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65"/>
      <c r="K255" s="65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65"/>
      <c r="K256" s="65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65"/>
      <c r="K257" s="65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65"/>
      <c r="K258" s="65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65"/>
      <c r="K259" s="65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65"/>
      <c r="K260" s="65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65"/>
      <c r="K261" s="65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65"/>
      <c r="K262" s="65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65"/>
      <c r="K263" s="65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65"/>
      <c r="K264" s="65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65"/>
      <c r="K265" s="65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65"/>
      <c r="K266" s="65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65"/>
      <c r="K267" s="65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65"/>
      <c r="K268" s="65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65"/>
      <c r="K269" s="65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65"/>
      <c r="K270" s="65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65"/>
      <c r="K271" s="65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65"/>
      <c r="K272" s="65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65"/>
      <c r="K273" s="65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65"/>
      <c r="K274" s="65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65"/>
      <c r="K275" s="65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65"/>
      <c r="K276" s="65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65"/>
      <c r="K277" s="65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65"/>
      <c r="K278" s="65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65"/>
      <c r="K279" s="65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65"/>
      <c r="K280" s="65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65"/>
      <c r="K281" s="65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65"/>
      <c r="K282" s="65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65"/>
      <c r="K283" s="65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65"/>
      <c r="K284" s="65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65"/>
      <c r="K285" s="65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65"/>
      <c r="K286" s="65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65"/>
      <c r="K287" s="65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65"/>
      <c r="K288" s="65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65"/>
      <c r="K289" s="65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65"/>
      <c r="K290" s="65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65"/>
      <c r="K291" s="65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65"/>
      <c r="K292" s="65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65"/>
      <c r="K293" s="65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65"/>
      <c r="K294" s="65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65"/>
      <c r="K295" s="65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65"/>
      <c r="K296" s="65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65"/>
      <c r="K297" s="65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65"/>
      <c r="K298" s="65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65"/>
      <c r="K299" s="65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65"/>
      <c r="K300" s="65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65"/>
      <c r="K301" s="65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65"/>
      <c r="K302" s="65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65"/>
      <c r="K303" s="65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65"/>
      <c r="K304" s="65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65"/>
      <c r="K305" s="65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65"/>
      <c r="K306" s="65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65"/>
      <c r="K307" s="65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65"/>
      <c r="K308" s="65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65"/>
      <c r="K309" s="65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65"/>
      <c r="K310" s="65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65"/>
      <c r="K311" s="65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65"/>
      <c r="K312" s="65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65"/>
      <c r="K313" s="65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65"/>
      <c r="K314" s="65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65"/>
      <c r="K315" s="65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65"/>
      <c r="K316" s="65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65"/>
      <c r="K317" s="65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65"/>
      <c r="K318" s="65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65"/>
      <c r="K319" s="65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65"/>
      <c r="K320" s="65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65"/>
      <c r="K321" s="65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65"/>
      <c r="K322" s="65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65"/>
      <c r="K323" s="65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65"/>
      <c r="K324" s="65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65"/>
      <c r="K325" s="65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65"/>
      <c r="K326" s="65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65"/>
      <c r="K327" s="65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65"/>
      <c r="K328" s="65"/>
    </row>
    <row r="329" spans="1:11">
      <c r="C329" s="19"/>
      <c r="D329" s="19"/>
      <c r="E329" s="19"/>
      <c r="F329" s="20"/>
      <c r="G329" s="19"/>
      <c r="H329" s="19"/>
      <c r="I329" s="20"/>
      <c r="J329" s="65"/>
      <c r="K329" s="65"/>
    </row>
  </sheetData>
  <mergeCells count="4">
    <mergeCell ref="G1:I1"/>
    <mergeCell ref="A1:C1"/>
    <mergeCell ref="D1:F1"/>
    <mergeCell ref="A2:B2"/>
  </mergeCells>
  <conditionalFormatting sqref="F2 I2 F4:F87 I4:I87">
    <cfRule type="cellIs" dxfId="26" priority="11" stopIfTrue="1" operator="lessThanOrEqual">
      <formula>-0.1</formula>
    </cfRule>
    <cfRule type="expression" dxfId="2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112</v>
      </c>
      <c r="E1" s="69"/>
      <c r="F1" s="69"/>
      <c r="G1" s="67" t="s">
        <v>113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4" priority="11" stopIfTrue="1" operator="lessThanOrEqual">
      <formula>-0.1</formula>
    </cfRule>
    <cfRule type="expression" dxfId="23" priority="12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17" activePane="bottomRight" state="frozen"/>
      <selection pane="bottomRight" activeCell="G54" sqref="G5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114</v>
      </c>
      <c r="E1" s="69"/>
      <c r="F1" s="69"/>
      <c r="G1" s="67" t="s">
        <v>115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116</v>
      </c>
      <c r="E1" s="69"/>
      <c r="F1" s="69"/>
      <c r="G1" s="67" t="s">
        <v>117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6" priority="11" stopIfTrue="1" operator="lessThanOrEqual">
      <formula>-0.1</formula>
    </cfRule>
    <cfRule type="expression" dxfId="15" priority="12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118</v>
      </c>
      <c r="E1" s="69"/>
      <c r="F1" s="69"/>
      <c r="G1" s="67" t="s">
        <v>119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120</v>
      </c>
      <c r="E1" s="69"/>
      <c r="F1" s="69"/>
      <c r="G1" s="67" t="s">
        <v>121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G14" sqref="G1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122</v>
      </c>
      <c r="E1" s="69"/>
      <c r="F1" s="69"/>
      <c r="G1" s="67" t="s">
        <v>123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conditionalFormatting sqref="F4:F100 I4:I100">
    <cfRule type="cellIs" dxfId="2" priority="1" stopIfTrue="1" operator="lessThanOrEqual">
      <formula>-0.1</formula>
    </cfRule>
    <cfRule type="expression" dxfId="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5"/>
  <sheetViews>
    <sheetView zoomScale="110" zoomScaleNormal="110" workbookViewId="0">
      <pane ySplit="3" topLeftCell="A4" activePane="bottomLeft" state="frozen"/>
      <selection pane="bottomLeft" activeCell="G75" sqref="G7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124</v>
      </c>
      <c r="B1" t="s">
        <v>125</v>
      </c>
    </row>
    <row r="3" spans="1:5" ht="13.15">
      <c r="A3" t="s">
        <v>126</v>
      </c>
      <c r="B3" t="s">
        <v>3</v>
      </c>
      <c r="C3" t="s">
        <v>11</v>
      </c>
      <c r="D3" t="s">
        <v>127</v>
      </c>
      <c r="E3" s="2" t="s">
        <v>128</v>
      </c>
    </row>
    <row r="4" spans="1:5" ht="13.15">
      <c r="A4" s="45" t="s">
        <v>129</v>
      </c>
      <c r="B4" s="47" t="s">
        <v>130</v>
      </c>
      <c r="C4" s="47" t="s">
        <v>131</v>
      </c>
      <c r="D4" t="s">
        <v>132</v>
      </c>
      <c r="E4" s="43" t="s">
        <v>133</v>
      </c>
    </row>
    <row r="5" spans="1:5" ht="13.15">
      <c r="A5" s="46" t="s">
        <v>134</v>
      </c>
      <c r="B5" s="46" t="s">
        <v>135</v>
      </c>
      <c r="C5" s="46" t="s">
        <v>131</v>
      </c>
      <c r="E5" s="43" t="s">
        <v>133</v>
      </c>
    </row>
    <row r="6" spans="1:5" ht="13.15">
      <c r="A6" s="47" t="s">
        <v>136</v>
      </c>
      <c r="B6" s="47" t="s">
        <v>137</v>
      </c>
      <c r="C6" s="47" t="s">
        <v>131</v>
      </c>
      <c r="D6" t="s">
        <v>138</v>
      </c>
      <c r="E6" s="43" t="s">
        <v>133</v>
      </c>
    </row>
    <row r="7" spans="1:5" ht="12.75" customHeight="1">
      <c r="A7" s="46" t="s">
        <v>139</v>
      </c>
      <c r="B7" s="46" t="s">
        <v>140</v>
      </c>
      <c r="C7" s="46" t="s">
        <v>131</v>
      </c>
      <c r="D7" t="s">
        <v>132</v>
      </c>
      <c r="E7" s="43" t="s">
        <v>133</v>
      </c>
    </row>
    <row r="8" spans="1:5" ht="12.75" customHeight="1">
      <c r="A8" s="47" t="s">
        <v>141</v>
      </c>
      <c r="B8" s="47" t="s">
        <v>142</v>
      </c>
      <c r="C8" s="47" t="s">
        <v>143</v>
      </c>
      <c r="D8" t="s">
        <v>132</v>
      </c>
      <c r="E8" s="43" t="s">
        <v>133</v>
      </c>
    </row>
    <row r="9" spans="1:5" ht="12.75" customHeight="1">
      <c r="A9" s="46" t="s">
        <v>144</v>
      </c>
      <c r="B9" s="46" t="s">
        <v>145</v>
      </c>
      <c r="C9" s="46" t="s">
        <v>143</v>
      </c>
      <c r="D9" t="s">
        <v>132</v>
      </c>
      <c r="E9" s="43" t="s">
        <v>133</v>
      </c>
    </row>
    <row r="10" spans="1:5" ht="12.75" customHeight="1">
      <c r="A10" s="47" t="s">
        <v>146</v>
      </c>
      <c r="B10" s="47" t="s">
        <v>147</v>
      </c>
      <c r="C10" s="47" t="s">
        <v>143</v>
      </c>
      <c r="D10" t="s">
        <v>132</v>
      </c>
      <c r="E10" s="43" t="s">
        <v>133</v>
      </c>
    </row>
    <row r="11" spans="1:5" ht="12.75" customHeight="1">
      <c r="A11" s="46" t="s">
        <v>148</v>
      </c>
      <c r="B11" s="46" t="s">
        <v>149</v>
      </c>
      <c r="C11" s="46" t="s">
        <v>143</v>
      </c>
      <c r="D11" t="s">
        <v>138</v>
      </c>
      <c r="E11" s="43" t="s">
        <v>133</v>
      </c>
    </row>
    <row r="12" spans="1:5" ht="12.75" customHeight="1">
      <c r="A12" s="47" t="s">
        <v>150</v>
      </c>
      <c r="B12" s="47" t="s">
        <v>151</v>
      </c>
      <c r="C12" s="47" t="s">
        <v>143</v>
      </c>
      <c r="D12" t="s">
        <v>132</v>
      </c>
      <c r="E12" s="43" t="s">
        <v>133</v>
      </c>
    </row>
    <row r="13" spans="1:5" ht="12.75" customHeight="1">
      <c r="A13" s="46" t="s">
        <v>152</v>
      </c>
      <c r="B13" s="46" t="s">
        <v>153</v>
      </c>
      <c r="C13" s="46" t="s">
        <v>143</v>
      </c>
      <c r="D13" t="s">
        <v>132</v>
      </c>
      <c r="E13" s="43" t="s">
        <v>133</v>
      </c>
    </row>
    <row r="14" spans="1:5" ht="12.75" customHeight="1">
      <c r="A14" s="47" t="s">
        <v>154</v>
      </c>
      <c r="B14" s="47" t="s">
        <v>155</v>
      </c>
      <c r="C14" s="47" t="s">
        <v>143</v>
      </c>
      <c r="D14" t="s">
        <v>132</v>
      </c>
      <c r="E14" s="43" t="s">
        <v>133</v>
      </c>
    </row>
    <row r="15" spans="1:5" ht="12.75" customHeight="1">
      <c r="A15" s="46" t="s">
        <v>156</v>
      </c>
      <c r="B15" s="46" t="s">
        <v>157</v>
      </c>
      <c r="C15" s="46" t="s">
        <v>143</v>
      </c>
      <c r="E15" s="43" t="s">
        <v>133</v>
      </c>
    </row>
    <row r="16" spans="1:5" ht="12.75" customHeight="1">
      <c r="A16" s="47" t="s">
        <v>158</v>
      </c>
      <c r="B16" s="47" t="s">
        <v>159</v>
      </c>
      <c r="C16" s="47" t="s">
        <v>143</v>
      </c>
      <c r="D16" t="s">
        <v>132</v>
      </c>
      <c r="E16" s="43" t="s">
        <v>133</v>
      </c>
    </row>
    <row r="17" spans="1:5" ht="12.75" customHeight="1">
      <c r="A17" s="46" t="s">
        <v>160</v>
      </c>
      <c r="B17" s="46" t="s">
        <v>161</v>
      </c>
      <c r="C17" s="46" t="s">
        <v>143</v>
      </c>
      <c r="D17" t="s">
        <v>132</v>
      </c>
      <c r="E17" s="43" t="s">
        <v>133</v>
      </c>
    </row>
    <row r="18" spans="1:5" ht="12.75" customHeight="1">
      <c r="A18" s="47" t="s">
        <v>162</v>
      </c>
      <c r="B18" s="47" t="s">
        <v>163</v>
      </c>
      <c r="C18" s="47" t="s">
        <v>164</v>
      </c>
      <c r="D18" t="s">
        <v>138</v>
      </c>
      <c r="E18" s="43" t="s">
        <v>133</v>
      </c>
    </row>
    <row r="19" spans="1:5" ht="12.75" customHeight="1">
      <c r="A19" s="46" t="s">
        <v>165</v>
      </c>
      <c r="B19" s="46" t="s">
        <v>166</v>
      </c>
      <c r="C19" s="46" t="s">
        <v>164</v>
      </c>
      <c r="D19" t="s">
        <v>138</v>
      </c>
      <c r="E19" s="43" t="s">
        <v>133</v>
      </c>
    </row>
    <row r="20" spans="1:5" ht="12.75" customHeight="1">
      <c r="A20" s="47" t="s">
        <v>167</v>
      </c>
      <c r="B20" s="47" t="s">
        <v>168</v>
      </c>
      <c r="C20" s="47" t="s">
        <v>169</v>
      </c>
      <c r="D20" t="s">
        <v>138</v>
      </c>
      <c r="E20" s="43" t="s">
        <v>133</v>
      </c>
    </row>
    <row r="21" spans="1:5" ht="12.75" customHeight="1">
      <c r="A21" s="46" t="s">
        <v>170</v>
      </c>
      <c r="B21" s="46" t="s">
        <v>171</v>
      </c>
      <c r="C21" s="46" t="s">
        <v>172</v>
      </c>
      <c r="E21" s="43" t="s">
        <v>133</v>
      </c>
    </row>
    <row r="22" spans="1:5" ht="12.75" customHeight="1">
      <c r="A22" s="47" t="s">
        <v>173</v>
      </c>
      <c r="B22" s="47" t="s">
        <v>174</v>
      </c>
      <c r="C22" s="47" t="s">
        <v>172</v>
      </c>
      <c r="D22" t="s">
        <v>138</v>
      </c>
      <c r="E22" s="43" t="s">
        <v>133</v>
      </c>
    </row>
    <row r="23" spans="1:5" ht="12.75" customHeight="1">
      <c r="A23" s="46" t="s">
        <v>175</v>
      </c>
      <c r="B23" s="46" t="s">
        <v>176</v>
      </c>
      <c r="C23" s="46" t="s">
        <v>172</v>
      </c>
      <c r="D23" t="s">
        <v>138</v>
      </c>
      <c r="E23" s="43" t="s">
        <v>133</v>
      </c>
    </row>
    <row r="24" spans="1:5" ht="12.75" customHeight="1">
      <c r="A24" s="49" t="s">
        <v>177</v>
      </c>
      <c r="B24" s="47" t="s">
        <v>178</v>
      </c>
      <c r="C24" s="47" t="s">
        <v>179</v>
      </c>
      <c r="E24" s="43" t="s">
        <v>133</v>
      </c>
    </row>
    <row r="25" spans="1:5" ht="12.75" customHeight="1">
      <c r="A25" s="48" t="s">
        <v>180</v>
      </c>
      <c r="B25" s="46" t="s">
        <v>181</v>
      </c>
      <c r="C25" s="46" t="s">
        <v>179</v>
      </c>
      <c r="E25" s="43" t="s">
        <v>133</v>
      </c>
    </row>
    <row r="26" spans="1:5" ht="12.75" customHeight="1">
      <c r="A26" s="49" t="s">
        <v>182</v>
      </c>
      <c r="B26" s="47" t="s">
        <v>183</v>
      </c>
      <c r="C26" s="47" t="s">
        <v>184</v>
      </c>
      <c r="D26" t="s">
        <v>138</v>
      </c>
      <c r="E26" s="43" t="s">
        <v>133</v>
      </c>
    </row>
    <row r="27" spans="1:5" ht="12.75" customHeight="1">
      <c r="A27" s="48" t="s">
        <v>185</v>
      </c>
      <c r="B27" s="46" t="s">
        <v>186</v>
      </c>
      <c r="C27" s="46" t="s">
        <v>184</v>
      </c>
      <c r="D27" t="s">
        <v>138</v>
      </c>
      <c r="E27" s="43" t="s">
        <v>133</v>
      </c>
    </row>
    <row r="28" spans="1:5" ht="12.75" customHeight="1">
      <c r="A28" s="49" t="s">
        <v>187</v>
      </c>
      <c r="B28" s="47" t="s">
        <v>188</v>
      </c>
      <c r="C28" s="47" t="s">
        <v>184</v>
      </c>
      <c r="D28" t="s">
        <v>138</v>
      </c>
      <c r="E28" s="43" t="s">
        <v>133</v>
      </c>
    </row>
    <row r="29" spans="1:5" ht="12.75" customHeight="1">
      <c r="A29" s="48" t="s">
        <v>189</v>
      </c>
      <c r="B29" s="46" t="s">
        <v>190</v>
      </c>
      <c r="C29" s="46" t="s">
        <v>184</v>
      </c>
      <c r="D29" t="s">
        <v>138</v>
      </c>
      <c r="E29" s="43" t="s">
        <v>133</v>
      </c>
    </row>
    <row r="30" spans="1:5" ht="12.75" customHeight="1">
      <c r="A30" s="49" t="s">
        <v>191</v>
      </c>
      <c r="B30" s="47" t="s">
        <v>192</v>
      </c>
      <c r="C30" s="47" t="s">
        <v>184</v>
      </c>
      <c r="D30" t="s">
        <v>138</v>
      </c>
      <c r="E30" s="43" t="s">
        <v>133</v>
      </c>
    </row>
    <row r="31" spans="1:5" ht="12.75" customHeight="1">
      <c r="A31" s="48" t="s">
        <v>193</v>
      </c>
      <c r="B31" s="46" t="s">
        <v>194</v>
      </c>
      <c r="C31" s="46" t="s">
        <v>184</v>
      </c>
      <c r="D31" t="s">
        <v>138</v>
      </c>
      <c r="E31" s="43" t="s">
        <v>133</v>
      </c>
    </row>
    <row r="32" spans="1:5" ht="12.75" customHeight="1">
      <c r="A32" s="49" t="s">
        <v>195</v>
      </c>
      <c r="B32" s="47" t="s">
        <v>196</v>
      </c>
      <c r="C32" s="47" t="s">
        <v>184</v>
      </c>
      <c r="D32" t="s">
        <v>138</v>
      </c>
      <c r="E32" s="43" t="s">
        <v>133</v>
      </c>
    </row>
    <row r="33" spans="1:5" ht="12.75" customHeight="1">
      <c r="A33" s="48" t="s">
        <v>197</v>
      </c>
      <c r="B33" s="46" t="s">
        <v>198</v>
      </c>
      <c r="C33" s="46" t="s">
        <v>184</v>
      </c>
      <c r="D33" t="s">
        <v>138</v>
      </c>
      <c r="E33" s="43" t="s">
        <v>133</v>
      </c>
    </row>
    <row r="34" spans="1:5" ht="12.75" customHeight="1">
      <c r="A34" s="49" t="s">
        <v>199</v>
      </c>
      <c r="B34" s="47" t="s">
        <v>200</v>
      </c>
      <c r="C34" s="47" t="s">
        <v>184</v>
      </c>
      <c r="D34" t="s">
        <v>138</v>
      </c>
      <c r="E34" s="43" t="s">
        <v>133</v>
      </c>
    </row>
    <row r="35" spans="1:5" ht="12.75" customHeight="1">
      <c r="A35" s="48" t="s">
        <v>201</v>
      </c>
      <c r="B35" s="46" t="s">
        <v>202</v>
      </c>
      <c r="C35" s="46" t="s">
        <v>184</v>
      </c>
      <c r="D35" t="s">
        <v>138</v>
      </c>
      <c r="E35" s="43" t="s">
        <v>133</v>
      </c>
    </row>
    <row r="36" spans="1:5" ht="12.75" customHeight="1">
      <c r="A36" s="49" t="s">
        <v>203</v>
      </c>
      <c r="B36" s="47" t="s">
        <v>204</v>
      </c>
      <c r="C36" s="47" t="s">
        <v>184</v>
      </c>
      <c r="D36" t="s">
        <v>138</v>
      </c>
      <c r="E36" s="43" t="s">
        <v>133</v>
      </c>
    </row>
    <row r="37" spans="1:5" ht="12.75" customHeight="1">
      <c r="A37" s="48" t="s">
        <v>205</v>
      </c>
      <c r="B37" s="46" t="s">
        <v>206</v>
      </c>
      <c r="C37" s="46" t="s">
        <v>184</v>
      </c>
      <c r="D37" t="s">
        <v>138</v>
      </c>
      <c r="E37" s="43" t="s">
        <v>133</v>
      </c>
    </row>
    <row r="38" spans="1:5" ht="12.75" customHeight="1">
      <c r="A38" s="49" t="s">
        <v>207</v>
      </c>
      <c r="B38" s="47" t="s">
        <v>208</v>
      </c>
      <c r="C38" s="47" t="s">
        <v>184</v>
      </c>
      <c r="D38" t="s">
        <v>138</v>
      </c>
      <c r="E38" s="43" t="s">
        <v>133</v>
      </c>
    </row>
    <row r="39" spans="1:5" ht="12.75" customHeight="1">
      <c r="A39" s="50" t="s">
        <v>209</v>
      </c>
      <c r="B39" s="46" t="s">
        <v>210</v>
      </c>
      <c r="C39" s="46" t="s">
        <v>184</v>
      </c>
      <c r="D39" t="s">
        <v>138</v>
      </c>
      <c r="E39" s="43" t="s">
        <v>133</v>
      </c>
    </row>
    <row r="40" spans="1:5" ht="12.75" customHeight="1">
      <c r="A40" s="49" t="s">
        <v>211</v>
      </c>
      <c r="B40" s="47" t="s">
        <v>212</v>
      </c>
      <c r="C40" s="47" t="s">
        <v>184</v>
      </c>
      <c r="D40" t="s">
        <v>138</v>
      </c>
      <c r="E40" s="43" t="s">
        <v>133</v>
      </c>
    </row>
    <row r="41" spans="1:5" ht="12.75" customHeight="1">
      <c r="A41" s="48" t="s">
        <v>213</v>
      </c>
      <c r="B41" s="46" t="s">
        <v>214</v>
      </c>
      <c r="C41" s="46" t="s">
        <v>184</v>
      </c>
      <c r="D41" t="s">
        <v>138</v>
      </c>
      <c r="E41" s="43" t="s">
        <v>133</v>
      </c>
    </row>
    <row r="42" spans="1:5" ht="12.75" customHeight="1">
      <c r="A42" s="49" t="s">
        <v>215</v>
      </c>
      <c r="B42" s="47" t="s">
        <v>216</v>
      </c>
      <c r="C42" s="47" t="s">
        <v>184</v>
      </c>
      <c r="D42" t="s">
        <v>138</v>
      </c>
      <c r="E42" s="43" t="s">
        <v>133</v>
      </c>
    </row>
    <row r="43" spans="1:5" ht="12.75" customHeight="1">
      <c r="A43" s="48" t="s">
        <v>217</v>
      </c>
      <c r="B43" s="46" t="s">
        <v>218</v>
      </c>
      <c r="C43" s="46" t="s">
        <v>184</v>
      </c>
      <c r="D43" t="s">
        <v>138</v>
      </c>
      <c r="E43" s="43" t="s">
        <v>133</v>
      </c>
    </row>
    <row r="44" spans="1:5" ht="12.75" customHeight="1">
      <c r="A44" s="49" t="s">
        <v>219</v>
      </c>
      <c r="B44" s="47" t="s">
        <v>220</v>
      </c>
      <c r="C44" s="47" t="s">
        <v>184</v>
      </c>
      <c r="D44" t="s">
        <v>138</v>
      </c>
      <c r="E44" s="43" t="s">
        <v>133</v>
      </c>
    </row>
    <row r="45" spans="1:5" ht="12.75" customHeight="1">
      <c r="A45" s="48" t="s">
        <v>221</v>
      </c>
      <c r="B45" s="46" t="s">
        <v>222</v>
      </c>
      <c r="C45" s="46" t="s">
        <v>184</v>
      </c>
      <c r="D45" t="s">
        <v>138</v>
      </c>
      <c r="E45" s="43" t="s">
        <v>133</v>
      </c>
    </row>
    <row r="46" spans="1:5" ht="12.75" customHeight="1">
      <c r="A46" s="49" t="s">
        <v>223</v>
      </c>
      <c r="B46" s="47" t="s">
        <v>224</v>
      </c>
      <c r="C46" s="47" t="s">
        <v>184</v>
      </c>
      <c r="D46" t="s">
        <v>138</v>
      </c>
      <c r="E46" s="43" t="s">
        <v>133</v>
      </c>
    </row>
    <row r="47" spans="1:5" ht="12.75" customHeight="1">
      <c r="A47" s="46" t="s">
        <v>225</v>
      </c>
      <c r="B47" s="46" t="s">
        <v>226</v>
      </c>
      <c r="C47" s="46" t="s">
        <v>184</v>
      </c>
      <c r="D47" t="s">
        <v>138</v>
      </c>
      <c r="E47" s="43" t="s">
        <v>133</v>
      </c>
    </row>
    <row r="48" spans="1:5" ht="12.75" customHeight="1">
      <c r="A48" s="49" t="s">
        <v>227</v>
      </c>
      <c r="B48" s="47" t="s">
        <v>228</v>
      </c>
      <c r="C48" s="47" t="s">
        <v>184</v>
      </c>
      <c r="D48" t="s">
        <v>138</v>
      </c>
      <c r="E48" s="43" t="s">
        <v>133</v>
      </c>
    </row>
    <row r="49" spans="1:5" ht="12.75" customHeight="1">
      <c r="A49" s="48" t="s">
        <v>229</v>
      </c>
      <c r="B49" s="46" t="s">
        <v>230</v>
      </c>
      <c r="C49" s="46" t="s">
        <v>184</v>
      </c>
      <c r="D49" t="s">
        <v>138</v>
      </c>
      <c r="E49" s="43" t="s">
        <v>133</v>
      </c>
    </row>
    <row r="50" spans="1:5" ht="12.75" customHeight="1">
      <c r="A50" s="49" t="s">
        <v>231</v>
      </c>
      <c r="B50" s="47" t="s">
        <v>232</v>
      </c>
      <c r="C50" s="47" t="s">
        <v>184</v>
      </c>
      <c r="D50" t="s">
        <v>138</v>
      </c>
      <c r="E50" s="43" t="s">
        <v>133</v>
      </c>
    </row>
    <row r="51" spans="1:5" ht="12.75" customHeight="1">
      <c r="A51" s="48" t="s">
        <v>233</v>
      </c>
      <c r="B51" s="46" t="s">
        <v>234</v>
      </c>
      <c r="C51" s="46" t="s">
        <v>184</v>
      </c>
      <c r="D51" t="s">
        <v>138</v>
      </c>
      <c r="E51" s="43" t="s">
        <v>133</v>
      </c>
    </row>
    <row r="52" spans="1:5" ht="12.75" customHeight="1">
      <c r="A52" s="49" t="s">
        <v>235</v>
      </c>
      <c r="B52" s="47" t="s">
        <v>236</v>
      </c>
      <c r="C52" s="47" t="s">
        <v>184</v>
      </c>
      <c r="D52" t="s">
        <v>138</v>
      </c>
      <c r="E52" s="43" t="s">
        <v>133</v>
      </c>
    </row>
    <row r="53" spans="1:5" ht="12.75" customHeight="1">
      <c r="A53" s="48" t="s">
        <v>237</v>
      </c>
      <c r="B53" s="46" t="s">
        <v>238</v>
      </c>
      <c r="C53" s="46" t="s">
        <v>184</v>
      </c>
      <c r="E53" s="43" t="s">
        <v>133</v>
      </c>
    </row>
    <row r="54" spans="1:5" ht="12.75" customHeight="1">
      <c r="A54" s="49" t="s">
        <v>239</v>
      </c>
      <c r="B54" s="47" t="s">
        <v>240</v>
      </c>
      <c r="C54" s="47" t="s">
        <v>184</v>
      </c>
      <c r="D54" t="s">
        <v>138</v>
      </c>
      <c r="E54" s="43" t="s">
        <v>133</v>
      </c>
    </row>
    <row r="55" spans="1:5" ht="12.75" customHeight="1">
      <c r="A55" s="48" t="s">
        <v>241</v>
      </c>
      <c r="B55" s="46" t="s">
        <v>242</v>
      </c>
      <c r="C55" s="46" t="s">
        <v>184</v>
      </c>
      <c r="D55" t="s">
        <v>138</v>
      </c>
      <c r="E55" s="43" t="s">
        <v>133</v>
      </c>
    </row>
    <row r="56" spans="1:5" ht="12.75" customHeight="1">
      <c r="A56" s="49" t="s">
        <v>243</v>
      </c>
      <c r="B56" s="47" t="s">
        <v>244</v>
      </c>
      <c r="C56" s="47" t="s">
        <v>184</v>
      </c>
      <c r="D56" t="s">
        <v>138</v>
      </c>
      <c r="E56" s="43" t="s">
        <v>133</v>
      </c>
    </row>
    <row r="57" spans="1:5" ht="12.75" customHeight="1">
      <c r="A57" s="48" t="s">
        <v>245</v>
      </c>
      <c r="B57" s="46" t="s">
        <v>246</v>
      </c>
      <c r="C57" s="46" t="s">
        <v>247</v>
      </c>
      <c r="E57" s="43" t="s">
        <v>133</v>
      </c>
    </row>
    <row r="58" spans="1:5" ht="12.75" customHeight="1">
      <c r="A58" s="49" t="s">
        <v>248</v>
      </c>
      <c r="B58" s="47" t="s">
        <v>249</v>
      </c>
      <c r="C58" s="47" t="s">
        <v>247</v>
      </c>
      <c r="E58" s="43" t="s">
        <v>133</v>
      </c>
    </row>
    <row r="59" spans="1:5" ht="12.75" customHeight="1">
      <c r="A59" s="48" t="s">
        <v>250</v>
      </c>
      <c r="B59" s="46" t="s">
        <v>251</v>
      </c>
      <c r="C59" s="46" t="s">
        <v>247</v>
      </c>
      <c r="E59" s="43" t="s">
        <v>133</v>
      </c>
    </row>
    <row r="60" spans="1:5" ht="12.75" customHeight="1">
      <c r="A60" s="49" t="s">
        <v>252</v>
      </c>
      <c r="B60" s="47" t="s">
        <v>253</v>
      </c>
      <c r="C60" s="47" t="s">
        <v>247</v>
      </c>
      <c r="E60" s="43" t="s">
        <v>133</v>
      </c>
    </row>
    <row r="61" spans="1:5" ht="12.75" customHeight="1">
      <c r="A61" s="48" t="s">
        <v>254</v>
      </c>
      <c r="B61" s="46" t="s">
        <v>255</v>
      </c>
      <c r="C61" s="46" t="s">
        <v>247</v>
      </c>
      <c r="E61" s="43" t="s">
        <v>133</v>
      </c>
    </row>
    <row r="62" spans="1:5" ht="12.75" customHeight="1">
      <c r="A62" s="49" t="s">
        <v>256</v>
      </c>
      <c r="B62" s="47" t="s">
        <v>257</v>
      </c>
      <c r="C62" s="47" t="s">
        <v>247</v>
      </c>
      <c r="E62" s="43" t="s">
        <v>133</v>
      </c>
    </row>
    <row r="63" spans="1:5" ht="12.75" customHeight="1">
      <c r="A63" s="46" t="s">
        <v>258</v>
      </c>
      <c r="B63" s="46" t="s">
        <v>259</v>
      </c>
      <c r="C63" s="46" t="s">
        <v>247</v>
      </c>
      <c r="E63" s="43" t="s">
        <v>133</v>
      </c>
    </row>
    <row r="64" spans="1:5" ht="12.75" customHeight="1">
      <c r="A64" s="49" t="s">
        <v>260</v>
      </c>
      <c r="B64" s="47" t="s">
        <v>261</v>
      </c>
      <c r="C64" s="47" t="s">
        <v>247</v>
      </c>
      <c r="E64" s="43" t="s">
        <v>133</v>
      </c>
    </row>
    <row r="65" spans="1:5" ht="12.75" customHeight="1">
      <c r="A65" s="48" t="s">
        <v>262</v>
      </c>
      <c r="B65" s="46" t="s">
        <v>263</v>
      </c>
      <c r="C65" s="46" t="s">
        <v>247</v>
      </c>
      <c r="E65" s="43" t="s">
        <v>133</v>
      </c>
    </row>
  </sheetData>
  <conditionalFormatting sqref="A4:A65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2024-08-06T10:47:11Z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