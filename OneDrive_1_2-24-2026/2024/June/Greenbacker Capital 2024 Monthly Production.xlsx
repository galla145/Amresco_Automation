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June months reports\June month 14\"/>
    </mc:Choice>
  </mc:AlternateContent>
  <xr:revisionPtr revIDLastSave="379" documentId="13_ncr:1_{53B1F801-A06D-4513-B478-85AAA58D4AB0}" xr6:coauthVersionLast="47" xr6:coauthVersionMax="47" xr10:uidLastSave="{239129C8-6FA7-4703-A02D-C8F3E689C5DA}"/>
  <bookViews>
    <workbookView xWindow="-108" yWindow="-108" windowWidth="23256" windowHeight="12456" tabRatio="866" firstSheet="10" activeTab="10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6" i="21" l="1"/>
  <c r="I27" i="21"/>
  <c r="I28" i="21"/>
  <c r="I29" i="21"/>
  <c r="I30" i="21"/>
  <c r="I31" i="21"/>
  <c r="I22" i="21"/>
  <c r="I20" i="21"/>
  <c r="G5" i="18"/>
  <c r="G6" i="18"/>
  <c r="G7" i="18"/>
  <c r="G8" i="18"/>
  <c r="G9" i="18"/>
  <c r="G10" i="18"/>
  <c r="G11" i="18"/>
  <c r="G12" i="18"/>
  <c r="G13" i="18"/>
  <c r="G14" i="18"/>
  <c r="G15" i="18"/>
  <c r="G16" i="18"/>
  <c r="G17" i="18"/>
  <c r="G18" i="18"/>
  <c r="G19" i="18"/>
  <c r="G20" i="18"/>
  <c r="G21" i="18"/>
  <c r="G22" i="18"/>
  <c r="G23" i="18"/>
  <c r="G24" i="18"/>
  <c r="G25" i="18"/>
  <c r="G26" i="18"/>
  <c r="G27" i="18"/>
  <c r="G28" i="18"/>
  <c r="G29" i="18"/>
  <c r="G30" i="18"/>
  <c r="G31" i="18"/>
  <c r="G32" i="18"/>
  <c r="G4" i="18"/>
  <c r="E4" i="20"/>
  <c r="E10" i="21"/>
  <c r="E11" i="21"/>
  <c r="E12" i="21"/>
  <c r="E13" i="21"/>
  <c r="E14" i="21"/>
  <c r="E7" i="21"/>
  <c r="F7" i="21"/>
  <c r="D26" i="34"/>
  <c r="D27" i="34"/>
  <c r="D28" i="34"/>
  <c r="D29" i="34"/>
  <c r="D30" i="34"/>
  <c r="D31" i="34"/>
  <c r="D32" i="34"/>
  <c r="D33" i="34"/>
  <c r="C33" i="34"/>
  <c r="E33" i="34" s="1"/>
  <c r="F33" i="34" s="1"/>
  <c r="C26" i="34"/>
  <c r="E26" i="34" s="1"/>
  <c r="F26" i="34" s="1"/>
  <c r="C27" i="34"/>
  <c r="E27" i="34" s="1"/>
  <c r="F27" i="34" s="1"/>
  <c r="C28" i="34"/>
  <c r="E28" i="34" s="1"/>
  <c r="F28" i="34" s="1"/>
  <c r="C29" i="34"/>
  <c r="C30" i="34"/>
  <c r="C31" i="34"/>
  <c r="E31" i="34" s="1"/>
  <c r="F31" i="34" s="1"/>
  <c r="C32" i="34"/>
  <c r="E32" i="34" s="1"/>
  <c r="F32" i="34" s="1"/>
  <c r="D26" i="18"/>
  <c r="D27" i="18"/>
  <c r="D28" i="18"/>
  <c r="D29" i="18"/>
  <c r="D30" i="18"/>
  <c r="D31" i="18"/>
  <c r="D32" i="18"/>
  <c r="D33" i="18"/>
  <c r="C26" i="18"/>
  <c r="E26" i="18" s="1"/>
  <c r="F26" i="18" s="1"/>
  <c r="C27" i="18"/>
  <c r="C28" i="18"/>
  <c r="C29" i="18"/>
  <c r="C30" i="18"/>
  <c r="C31" i="18"/>
  <c r="C32" i="18"/>
  <c r="E32" i="18" s="1"/>
  <c r="F32" i="18" s="1"/>
  <c r="C33" i="18"/>
  <c r="D33" i="1"/>
  <c r="G26" i="1"/>
  <c r="G26" i="34" s="1"/>
  <c r="G27" i="1"/>
  <c r="G27" i="34" s="1"/>
  <c r="G28" i="1"/>
  <c r="G28" i="34" s="1"/>
  <c r="G29" i="1"/>
  <c r="G29" i="34" s="1"/>
  <c r="G30" i="1"/>
  <c r="G30" i="34" s="1"/>
  <c r="G31" i="1"/>
  <c r="G31" i="34" s="1"/>
  <c r="G32" i="1"/>
  <c r="G32" i="34" s="1"/>
  <c r="G33" i="1"/>
  <c r="G33" i="34" s="1"/>
  <c r="C26" i="1"/>
  <c r="C27" i="1"/>
  <c r="C28" i="1"/>
  <c r="C29" i="1"/>
  <c r="C30" i="1"/>
  <c r="C31" i="1"/>
  <c r="C32" i="1"/>
  <c r="C33" i="1"/>
  <c r="E33" i="1" s="1"/>
  <c r="F33" i="1" s="1"/>
  <c r="D26" i="1"/>
  <c r="D27" i="1"/>
  <c r="D28" i="1"/>
  <c r="D29" i="1"/>
  <c r="E29" i="1" s="1"/>
  <c r="F29" i="1" s="1"/>
  <c r="D30" i="1"/>
  <c r="E30" i="1" s="1"/>
  <c r="F30" i="1" s="1"/>
  <c r="D31" i="1"/>
  <c r="D32" i="1"/>
  <c r="D25" i="1"/>
  <c r="H4" i="3"/>
  <c r="I4" i="3" s="1"/>
  <c r="H5" i="3"/>
  <c r="I5" i="3" s="1"/>
  <c r="H6" i="3"/>
  <c r="I6" i="3" s="1"/>
  <c r="H7" i="3"/>
  <c r="I7" i="3" s="1"/>
  <c r="H8" i="3"/>
  <c r="I8" i="3" s="1"/>
  <c r="H9" i="3"/>
  <c r="I9" i="3" s="1"/>
  <c r="H10" i="3"/>
  <c r="I10" i="3" s="1"/>
  <c r="H11" i="3"/>
  <c r="I11" i="3" s="1"/>
  <c r="H12" i="3"/>
  <c r="I12" i="3" s="1"/>
  <c r="H13" i="3"/>
  <c r="I13" i="3" s="1"/>
  <c r="H14" i="3"/>
  <c r="I14" i="3" s="1"/>
  <c r="H15" i="3"/>
  <c r="I15" i="3" s="1"/>
  <c r="H16" i="3"/>
  <c r="H17" i="3"/>
  <c r="E33" i="18" l="1"/>
  <c r="F33" i="18" s="1"/>
  <c r="E30" i="18"/>
  <c r="F30" i="18" s="1"/>
  <c r="E29" i="18"/>
  <c r="F29" i="18" s="1"/>
  <c r="E28" i="18"/>
  <c r="F28" i="18" s="1"/>
  <c r="E27" i="18"/>
  <c r="F27" i="18" s="1"/>
  <c r="E31" i="18"/>
  <c r="F31" i="18" s="1"/>
  <c r="E32" i="1"/>
  <c r="F32" i="1" s="1"/>
  <c r="E31" i="1"/>
  <c r="F31" i="1" s="1"/>
  <c r="E26" i="1"/>
  <c r="F26" i="1" s="1"/>
  <c r="E30" i="34"/>
  <c r="F30" i="34" s="1"/>
  <c r="E29" i="34"/>
  <c r="F29" i="34" s="1"/>
  <c r="E28" i="1"/>
  <c r="F28" i="1" s="1"/>
  <c r="E27" i="1"/>
  <c r="F27" i="1" s="1"/>
  <c r="E4" i="3"/>
  <c r="F4" i="3" s="1"/>
  <c r="E5" i="3"/>
  <c r="F5" i="3" s="1"/>
  <c r="E6" i="3"/>
  <c r="F6" i="3" s="1"/>
  <c r="E7" i="3"/>
  <c r="F7" i="3" s="1"/>
  <c r="E8" i="3"/>
  <c r="F8" i="3" s="1"/>
  <c r="E9" i="3"/>
  <c r="F9" i="3" s="1"/>
  <c r="E10" i="3"/>
  <c r="F10" i="3" s="1"/>
  <c r="I29" i="20" l="1"/>
  <c r="I10" i="19"/>
  <c r="I12" i="19"/>
  <c r="I13" i="19"/>
  <c r="I14" i="19"/>
  <c r="I16" i="19"/>
  <c r="I20" i="19"/>
  <c r="I23" i="19"/>
  <c r="I31" i="19"/>
  <c r="I33" i="19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8" i="27"/>
  <c r="I9" i="27"/>
  <c r="I10" i="27"/>
  <c r="I11" i="27"/>
  <c r="I12" i="27"/>
  <c r="I13" i="27"/>
  <c r="I14" i="27"/>
  <c r="I15" i="27"/>
  <c r="I16" i="27"/>
  <c r="I17" i="27"/>
  <c r="I18" i="27"/>
  <c r="I19" i="27"/>
  <c r="I20" i="27"/>
  <c r="I21" i="27"/>
  <c r="I22" i="27"/>
  <c r="I23" i="27"/>
  <c r="I24" i="27"/>
  <c r="I25" i="27"/>
  <c r="I26" i="27"/>
  <c r="I27" i="27"/>
  <c r="I28" i="27"/>
  <c r="I29" i="27"/>
  <c r="I30" i="27"/>
  <c r="I31" i="27"/>
  <c r="I32" i="27"/>
  <c r="I33" i="27"/>
  <c r="I8" i="28"/>
  <c r="I9" i="28"/>
  <c r="I10" i="28"/>
  <c r="I11" i="28"/>
  <c r="I12" i="28"/>
  <c r="I13" i="28"/>
  <c r="I14" i="28"/>
  <c r="I15" i="28"/>
  <c r="I16" i="28"/>
  <c r="I17" i="28"/>
  <c r="I18" i="28"/>
  <c r="I19" i="28"/>
  <c r="I20" i="28"/>
  <c r="I21" i="28"/>
  <c r="I22" i="28"/>
  <c r="I23" i="28"/>
  <c r="I24" i="28"/>
  <c r="I25" i="28"/>
  <c r="I26" i="28"/>
  <c r="I27" i="28"/>
  <c r="I28" i="28"/>
  <c r="I29" i="28"/>
  <c r="I30" i="28"/>
  <c r="I31" i="28"/>
  <c r="I32" i="28"/>
  <c r="I33" i="28"/>
  <c r="I8" i="31"/>
  <c r="I9" i="31"/>
  <c r="I10" i="31"/>
  <c r="I11" i="31"/>
  <c r="I12" i="31"/>
  <c r="I13" i="31"/>
  <c r="I14" i="31"/>
  <c r="I15" i="31"/>
  <c r="I16" i="31"/>
  <c r="I17" i="31"/>
  <c r="I18" i="31"/>
  <c r="I19" i="31"/>
  <c r="I20" i="31"/>
  <c r="I21" i="31"/>
  <c r="I22" i="31"/>
  <c r="I23" i="31"/>
  <c r="I24" i="31"/>
  <c r="I25" i="31"/>
  <c r="I26" i="31"/>
  <c r="I27" i="31"/>
  <c r="I28" i="31"/>
  <c r="I29" i="31"/>
  <c r="I30" i="31"/>
  <c r="I31" i="31"/>
  <c r="I32" i="31"/>
  <c r="I33" i="31"/>
  <c r="I8" i="32"/>
  <c r="I9" i="32"/>
  <c r="I10" i="32"/>
  <c r="I11" i="32"/>
  <c r="I12" i="32"/>
  <c r="I13" i="32"/>
  <c r="I14" i="32"/>
  <c r="I15" i="32"/>
  <c r="I16" i="32"/>
  <c r="I17" i="32"/>
  <c r="I18" i="32"/>
  <c r="I19" i="32"/>
  <c r="I20" i="32"/>
  <c r="I21" i="32"/>
  <c r="I22" i="32"/>
  <c r="I23" i="32"/>
  <c r="I24" i="32"/>
  <c r="I25" i="32"/>
  <c r="I26" i="32"/>
  <c r="I27" i="32"/>
  <c r="I28" i="32"/>
  <c r="I29" i="32"/>
  <c r="I30" i="32"/>
  <c r="I31" i="32"/>
  <c r="I32" i="32"/>
  <c r="I33" i="32"/>
  <c r="I8" i="33"/>
  <c r="I9" i="33"/>
  <c r="I10" i="33"/>
  <c r="I11" i="33"/>
  <c r="I12" i="33"/>
  <c r="I13" i="33"/>
  <c r="I14" i="33"/>
  <c r="I15" i="33"/>
  <c r="I16" i="33"/>
  <c r="I17" i="33"/>
  <c r="I18" i="33"/>
  <c r="I19" i="33"/>
  <c r="I20" i="33"/>
  <c r="I21" i="33"/>
  <c r="I22" i="33"/>
  <c r="I23" i="33"/>
  <c r="I24" i="33"/>
  <c r="I25" i="33"/>
  <c r="I26" i="33"/>
  <c r="I27" i="33"/>
  <c r="I28" i="33"/>
  <c r="I29" i="33"/>
  <c r="I30" i="33"/>
  <c r="I31" i="33"/>
  <c r="I32" i="33"/>
  <c r="I33" i="33"/>
  <c r="I16" i="3"/>
  <c r="I17" i="3"/>
  <c r="I23" i="3"/>
  <c r="H8" i="4"/>
  <c r="I8" i="4" s="1"/>
  <c r="H9" i="4"/>
  <c r="I9" i="4" s="1"/>
  <c r="H10" i="4"/>
  <c r="I10" i="4" s="1"/>
  <c r="H11" i="4"/>
  <c r="I11" i="4" s="1"/>
  <c r="H12" i="4"/>
  <c r="I12" i="4" s="1"/>
  <c r="H13" i="4"/>
  <c r="I13" i="4" s="1"/>
  <c r="H14" i="4"/>
  <c r="I14" i="4" s="1"/>
  <c r="H15" i="4"/>
  <c r="I15" i="4" s="1"/>
  <c r="H16" i="4"/>
  <c r="I16" i="4" s="1"/>
  <c r="H17" i="4"/>
  <c r="I17" i="4" s="1"/>
  <c r="H18" i="4"/>
  <c r="I18" i="4" s="1"/>
  <c r="H19" i="4"/>
  <c r="I19" i="4" s="1"/>
  <c r="H20" i="4"/>
  <c r="I20" i="4" s="1"/>
  <c r="H21" i="4"/>
  <c r="I21" i="4" s="1"/>
  <c r="H22" i="4"/>
  <c r="I22" i="4" s="1"/>
  <c r="H23" i="4"/>
  <c r="I23" i="4" s="1"/>
  <c r="H24" i="4"/>
  <c r="I24" i="4" s="1"/>
  <c r="H25" i="4"/>
  <c r="I25" i="4" s="1"/>
  <c r="H26" i="4"/>
  <c r="I26" i="4" s="1"/>
  <c r="H27" i="4"/>
  <c r="I27" i="4" s="1"/>
  <c r="H28" i="4"/>
  <c r="I28" i="4" s="1"/>
  <c r="H29" i="4"/>
  <c r="I29" i="4" s="1"/>
  <c r="H30" i="4"/>
  <c r="I30" i="4" s="1"/>
  <c r="H31" i="4"/>
  <c r="H32" i="4"/>
  <c r="I32" i="4" s="1"/>
  <c r="H33" i="4"/>
  <c r="I33" i="4" s="1"/>
  <c r="H8" i="20"/>
  <c r="I8" i="20" s="1"/>
  <c r="H9" i="20"/>
  <c r="I9" i="20" s="1"/>
  <c r="H10" i="20"/>
  <c r="I10" i="20" s="1"/>
  <c r="H11" i="20"/>
  <c r="I11" i="20" s="1"/>
  <c r="H12" i="20"/>
  <c r="I12" i="20" s="1"/>
  <c r="H13" i="20"/>
  <c r="I13" i="20" s="1"/>
  <c r="H14" i="20"/>
  <c r="I14" i="20" s="1"/>
  <c r="H15" i="20"/>
  <c r="I15" i="20" s="1"/>
  <c r="H16" i="20"/>
  <c r="I16" i="20" s="1"/>
  <c r="H17" i="20"/>
  <c r="I17" i="20" s="1"/>
  <c r="H18" i="20"/>
  <c r="I18" i="20" s="1"/>
  <c r="H19" i="20"/>
  <c r="I19" i="20" s="1"/>
  <c r="H20" i="20"/>
  <c r="I20" i="20" s="1"/>
  <c r="H21" i="20"/>
  <c r="I21" i="20" s="1"/>
  <c r="H22" i="20"/>
  <c r="I22" i="20" s="1"/>
  <c r="H23" i="20"/>
  <c r="I23" i="20" s="1"/>
  <c r="H24" i="20"/>
  <c r="I24" i="20" s="1"/>
  <c r="H25" i="20"/>
  <c r="I25" i="20" s="1"/>
  <c r="H26" i="20"/>
  <c r="I26" i="20" s="1"/>
  <c r="H27" i="20"/>
  <c r="I27" i="20" s="1"/>
  <c r="H28" i="20"/>
  <c r="I28" i="20" s="1"/>
  <c r="H29" i="20"/>
  <c r="H30" i="20"/>
  <c r="I30" i="20" s="1"/>
  <c r="H31" i="20"/>
  <c r="I31" i="20" s="1"/>
  <c r="H32" i="20"/>
  <c r="I32" i="20" s="1"/>
  <c r="H33" i="20"/>
  <c r="I33" i="20" s="1"/>
  <c r="H8" i="21"/>
  <c r="I8" i="21" s="1"/>
  <c r="H9" i="21"/>
  <c r="I9" i="21" s="1"/>
  <c r="H10" i="21"/>
  <c r="I10" i="21" s="1"/>
  <c r="H11" i="21"/>
  <c r="I11" i="21" s="1"/>
  <c r="H12" i="21"/>
  <c r="I12" i="21" s="1"/>
  <c r="H13" i="21"/>
  <c r="I13" i="21" s="1"/>
  <c r="H14" i="21"/>
  <c r="I14" i="21" s="1"/>
  <c r="H15" i="21"/>
  <c r="I15" i="21" s="1"/>
  <c r="H16" i="21"/>
  <c r="I16" i="21" s="1"/>
  <c r="H17" i="21"/>
  <c r="I17" i="21" s="1"/>
  <c r="H18" i="21"/>
  <c r="I18" i="21" s="1"/>
  <c r="H19" i="21"/>
  <c r="I19" i="21" s="1"/>
  <c r="H20" i="21"/>
  <c r="H21" i="21"/>
  <c r="I21" i="21" s="1"/>
  <c r="H22" i="21"/>
  <c r="H23" i="21"/>
  <c r="I23" i="21" s="1"/>
  <c r="H24" i="21"/>
  <c r="I24" i="21" s="1"/>
  <c r="H25" i="21"/>
  <c r="I25" i="21" s="1"/>
  <c r="H26" i="21"/>
  <c r="H27" i="21"/>
  <c r="H28" i="21"/>
  <c r="H29" i="21"/>
  <c r="H30" i="21"/>
  <c r="H31" i="21"/>
  <c r="H32" i="21"/>
  <c r="I32" i="21" s="1"/>
  <c r="H33" i="21"/>
  <c r="H8" i="19"/>
  <c r="I8" i="19" s="1"/>
  <c r="H9" i="19"/>
  <c r="I9" i="19" s="1"/>
  <c r="H10" i="19"/>
  <c r="H11" i="19"/>
  <c r="I11" i="19" s="1"/>
  <c r="H12" i="19"/>
  <c r="H13" i="19"/>
  <c r="H14" i="19"/>
  <c r="H15" i="19"/>
  <c r="I15" i="19" s="1"/>
  <c r="H16" i="19"/>
  <c r="H17" i="19"/>
  <c r="I17" i="19" s="1"/>
  <c r="H18" i="19"/>
  <c r="I18" i="19" s="1"/>
  <c r="H19" i="19"/>
  <c r="I19" i="19" s="1"/>
  <c r="H20" i="19"/>
  <c r="H21" i="19"/>
  <c r="I21" i="19" s="1"/>
  <c r="H22" i="19"/>
  <c r="I22" i="19" s="1"/>
  <c r="H23" i="19"/>
  <c r="H24" i="19"/>
  <c r="I24" i="19" s="1"/>
  <c r="H25" i="19"/>
  <c r="I25" i="19" s="1"/>
  <c r="H26" i="19"/>
  <c r="I26" i="19" s="1"/>
  <c r="H27" i="19"/>
  <c r="I27" i="19" s="1"/>
  <c r="H28" i="19"/>
  <c r="I28" i="19" s="1"/>
  <c r="H29" i="19"/>
  <c r="I29" i="19" s="1"/>
  <c r="H30" i="19"/>
  <c r="I30" i="19" s="1"/>
  <c r="H31" i="19"/>
  <c r="H32" i="19"/>
  <c r="I32" i="19" s="1"/>
  <c r="H33" i="19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8" i="28"/>
  <c r="H9" i="28"/>
  <c r="H10" i="28"/>
  <c r="H11" i="28"/>
  <c r="H12" i="28"/>
  <c r="H13" i="28"/>
  <c r="H14" i="28"/>
  <c r="H15" i="28"/>
  <c r="H16" i="28"/>
  <c r="H17" i="28"/>
  <c r="H18" i="28"/>
  <c r="H19" i="28"/>
  <c r="H20" i="28"/>
  <c r="H21" i="28"/>
  <c r="H22" i="28"/>
  <c r="H23" i="28"/>
  <c r="H24" i="28"/>
  <c r="H25" i="28"/>
  <c r="H26" i="28"/>
  <c r="H27" i="28"/>
  <c r="H28" i="28"/>
  <c r="H29" i="28"/>
  <c r="H30" i="28"/>
  <c r="H31" i="28"/>
  <c r="H32" i="28"/>
  <c r="H33" i="28"/>
  <c r="H8" i="31"/>
  <c r="H9" i="31"/>
  <c r="H10" i="31"/>
  <c r="H11" i="31"/>
  <c r="H12" i="31"/>
  <c r="H13" i="31"/>
  <c r="H14" i="31"/>
  <c r="H15" i="31"/>
  <c r="H16" i="31"/>
  <c r="H17" i="31"/>
  <c r="H18" i="31"/>
  <c r="H19" i="31"/>
  <c r="H20" i="31"/>
  <c r="H21" i="31"/>
  <c r="H22" i="31"/>
  <c r="H23" i="31"/>
  <c r="H24" i="31"/>
  <c r="H25" i="31"/>
  <c r="H26" i="31"/>
  <c r="H27" i="31"/>
  <c r="H28" i="31"/>
  <c r="H29" i="31"/>
  <c r="H30" i="31"/>
  <c r="H31" i="31"/>
  <c r="H32" i="31"/>
  <c r="H33" i="31"/>
  <c r="H8" i="32"/>
  <c r="H9" i="32"/>
  <c r="H10" i="32"/>
  <c r="H11" i="32"/>
  <c r="H12" i="32"/>
  <c r="H13" i="32"/>
  <c r="H14" i="32"/>
  <c r="H15" i="32"/>
  <c r="H16" i="32"/>
  <c r="H17" i="32"/>
  <c r="H18" i="32"/>
  <c r="H19" i="32"/>
  <c r="H20" i="32"/>
  <c r="H21" i="32"/>
  <c r="H22" i="32"/>
  <c r="H23" i="32"/>
  <c r="H24" i="32"/>
  <c r="H25" i="32"/>
  <c r="H26" i="32"/>
  <c r="H27" i="32"/>
  <c r="H28" i="32"/>
  <c r="H29" i="32"/>
  <c r="H30" i="32"/>
  <c r="H31" i="32"/>
  <c r="H32" i="32"/>
  <c r="H33" i="32"/>
  <c r="H8" i="33"/>
  <c r="H9" i="33"/>
  <c r="H10" i="33"/>
  <c r="H11" i="33"/>
  <c r="H12" i="33"/>
  <c r="H13" i="33"/>
  <c r="H14" i="33"/>
  <c r="H15" i="33"/>
  <c r="H16" i="33"/>
  <c r="H17" i="33"/>
  <c r="H18" i="33"/>
  <c r="H19" i="33"/>
  <c r="H20" i="33"/>
  <c r="H21" i="33"/>
  <c r="H22" i="33"/>
  <c r="H23" i="33"/>
  <c r="H24" i="33"/>
  <c r="H25" i="33"/>
  <c r="H26" i="33"/>
  <c r="H27" i="33"/>
  <c r="H28" i="33"/>
  <c r="H29" i="33"/>
  <c r="H30" i="33"/>
  <c r="H31" i="33"/>
  <c r="H32" i="33"/>
  <c r="H33" i="33"/>
  <c r="H18" i="3"/>
  <c r="I18" i="3" s="1"/>
  <c r="H19" i="3"/>
  <c r="I19" i="3" s="1"/>
  <c r="H20" i="3"/>
  <c r="I20" i="3" s="1"/>
  <c r="H21" i="3"/>
  <c r="I21" i="3" s="1"/>
  <c r="H22" i="3"/>
  <c r="I22" i="3" s="1"/>
  <c r="H23" i="3"/>
  <c r="H24" i="3"/>
  <c r="I24" i="3" s="1"/>
  <c r="H25" i="3"/>
  <c r="I25" i="3" s="1"/>
  <c r="H26" i="3"/>
  <c r="I26" i="3" s="1"/>
  <c r="H27" i="3"/>
  <c r="H28" i="3"/>
  <c r="H29" i="3"/>
  <c r="H30" i="3"/>
  <c r="H31" i="3"/>
  <c r="I31" i="3" s="1"/>
  <c r="H32" i="3"/>
  <c r="I32" i="3" s="1"/>
  <c r="H33" i="3"/>
  <c r="F12" i="20"/>
  <c r="F13" i="20"/>
  <c r="F14" i="20"/>
  <c r="F16" i="20"/>
  <c r="F19" i="20"/>
  <c r="F21" i="20"/>
  <c r="F23" i="20"/>
  <c r="F24" i="20"/>
  <c r="F25" i="20"/>
  <c r="F26" i="20"/>
  <c r="F31" i="20"/>
  <c r="F33" i="20"/>
  <c r="F11" i="21"/>
  <c r="F12" i="21"/>
  <c r="F13" i="21"/>
  <c r="F14" i="21"/>
  <c r="F11" i="19"/>
  <c r="F12" i="19"/>
  <c r="F14" i="19"/>
  <c r="F17" i="19"/>
  <c r="F33" i="19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11" i="27"/>
  <c r="F12" i="27"/>
  <c r="F13" i="27"/>
  <c r="F14" i="27"/>
  <c r="F15" i="27"/>
  <c r="F16" i="27"/>
  <c r="F17" i="27"/>
  <c r="F18" i="27"/>
  <c r="F19" i="27"/>
  <c r="F20" i="27"/>
  <c r="F21" i="27"/>
  <c r="F22" i="27"/>
  <c r="F23" i="27"/>
  <c r="F24" i="27"/>
  <c r="F25" i="27"/>
  <c r="F26" i="27"/>
  <c r="F27" i="27"/>
  <c r="F28" i="27"/>
  <c r="F29" i="27"/>
  <c r="F30" i="27"/>
  <c r="F31" i="27"/>
  <c r="F32" i="27"/>
  <c r="F33" i="27"/>
  <c r="F11" i="28"/>
  <c r="F12" i="28"/>
  <c r="F13" i="28"/>
  <c r="F14" i="28"/>
  <c r="F15" i="28"/>
  <c r="F16" i="28"/>
  <c r="F17" i="28"/>
  <c r="F18" i="28"/>
  <c r="F19" i="28"/>
  <c r="F20" i="28"/>
  <c r="F21" i="28"/>
  <c r="F22" i="28"/>
  <c r="F23" i="28"/>
  <c r="F24" i="28"/>
  <c r="F25" i="28"/>
  <c r="F26" i="28"/>
  <c r="F27" i="28"/>
  <c r="F28" i="28"/>
  <c r="F29" i="28"/>
  <c r="F30" i="28"/>
  <c r="F31" i="28"/>
  <c r="F32" i="28"/>
  <c r="F33" i="28"/>
  <c r="F11" i="31"/>
  <c r="F12" i="31"/>
  <c r="F13" i="31"/>
  <c r="F14" i="31"/>
  <c r="F15" i="31"/>
  <c r="F16" i="31"/>
  <c r="F17" i="31"/>
  <c r="F18" i="31"/>
  <c r="F19" i="31"/>
  <c r="F20" i="31"/>
  <c r="F21" i="31"/>
  <c r="F22" i="31"/>
  <c r="F23" i="31"/>
  <c r="F24" i="31"/>
  <c r="F25" i="31"/>
  <c r="F26" i="31"/>
  <c r="F27" i="31"/>
  <c r="F28" i="31"/>
  <c r="F29" i="31"/>
  <c r="F30" i="31"/>
  <c r="F31" i="31"/>
  <c r="F32" i="31"/>
  <c r="F33" i="31"/>
  <c r="F11" i="32"/>
  <c r="F12" i="32"/>
  <c r="F13" i="32"/>
  <c r="F14" i="32"/>
  <c r="F15" i="32"/>
  <c r="F16" i="32"/>
  <c r="F17" i="32"/>
  <c r="F18" i="32"/>
  <c r="F19" i="32"/>
  <c r="F20" i="32"/>
  <c r="F21" i="32"/>
  <c r="F22" i="32"/>
  <c r="F23" i="32"/>
  <c r="F24" i="32"/>
  <c r="F25" i="32"/>
  <c r="F26" i="32"/>
  <c r="F27" i="32"/>
  <c r="F28" i="32"/>
  <c r="F29" i="32"/>
  <c r="F30" i="32"/>
  <c r="F31" i="32"/>
  <c r="F32" i="32"/>
  <c r="F33" i="32"/>
  <c r="F11" i="33"/>
  <c r="F12" i="33"/>
  <c r="F13" i="33"/>
  <c r="F14" i="33"/>
  <c r="F15" i="33"/>
  <c r="F16" i="33"/>
  <c r="F17" i="33"/>
  <c r="F18" i="33"/>
  <c r="F19" i="33"/>
  <c r="F20" i="33"/>
  <c r="F21" i="33"/>
  <c r="F22" i="33"/>
  <c r="F23" i="33"/>
  <c r="F24" i="33"/>
  <c r="F25" i="33"/>
  <c r="F26" i="33"/>
  <c r="F27" i="33"/>
  <c r="F28" i="33"/>
  <c r="F29" i="33"/>
  <c r="F30" i="33"/>
  <c r="F31" i="33"/>
  <c r="F32" i="33"/>
  <c r="F33" i="33"/>
  <c r="F21" i="3"/>
  <c r="F25" i="3"/>
  <c r="F26" i="3"/>
  <c r="E11" i="4"/>
  <c r="F11" i="4" s="1"/>
  <c r="E12" i="4"/>
  <c r="F12" i="4" s="1"/>
  <c r="E13" i="4"/>
  <c r="F13" i="4" s="1"/>
  <c r="E14" i="4"/>
  <c r="F14" i="4" s="1"/>
  <c r="E15" i="4"/>
  <c r="F15" i="4" s="1"/>
  <c r="E16" i="4"/>
  <c r="F16" i="4" s="1"/>
  <c r="E17" i="4"/>
  <c r="F17" i="4" s="1"/>
  <c r="E18" i="4"/>
  <c r="F18" i="4" s="1"/>
  <c r="E19" i="4"/>
  <c r="F19" i="4" s="1"/>
  <c r="E20" i="4"/>
  <c r="F20" i="4" s="1"/>
  <c r="E21" i="4"/>
  <c r="F21" i="4" s="1"/>
  <c r="E22" i="4"/>
  <c r="F22" i="4" s="1"/>
  <c r="E23" i="4"/>
  <c r="F23" i="4" s="1"/>
  <c r="E24" i="4"/>
  <c r="F24" i="4" s="1"/>
  <c r="E25" i="4"/>
  <c r="F25" i="4" s="1"/>
  <c r="E26" i="4"/>
  <c r="F26" i="4" s="1"/>
  <c r="E27" i="4"/>
  <c r="F27" i="4" s="1"/>
  <c r="E28" i="4"/>
  <c r="F28" i="4" s="1"/>
  <c r="E29" i="4"/>
  <c r="F29" i="4" s="1"/>
  <c r="E30" i="4"/>
  <c r="F30" i="4" s="1"/>
  <c r="E31" i="4"/>
  <c r="F31" i="4" s="1"/>
  <c r="E32" i="4"/>
  <c r="F32" i="4" s="1"/>
  <c r="E33" i="4"/>
  <c r="F33" i="4" s="1"/>
  <c r="E11" i="20"/>
  <c r="F11" i="20" s="1"/>
  <c r="E12" i="20"/>
  <c r="E13" i="20"/>
  <c r="E14" i="20"/>
  <c r="E15" i="20"/>
  <c r="F15" i="20" s="1"/>
  <c r="E16" i="20"/>
  <c r="E17" i="20"/>
  <c r="F17" i="20" s="1"/>
  <c r="E18" i="20"/>
  <c r="F18" i="20" s="1"/>
  <c r="E19" i="20"/>
  <c r="E20" i="20"/>
  <c r="F20" i="20" s="1"/>
  <c r="E21" i="20"/>
  <c r="E22" i="20"/>
  <c r="F22" i="20" s="1"/>
  <c r="E23" i="20"/>
  <c r="E24" i="20"/>
  <c r="E25" i="20"/>
  <c r="E26" i="20"/>
  <c r="E27" i="20"/>
  <c r="F27" i="20" s="1"/>
  <c r="E28" i="20"/>
  <c r="F28" i="20" s="1"/>
  <c r="E29" i="20"/>
  <c r="F29" i="20" s="1"/>
  <c r="E30" i="20"/>
  <c r="F30" i="20" s="1"/>
  <c r="E31" i="20"/>
  <c r="E32" i="20"/>
  <c r="F32" i="20" s="1"/>
  <c r="E33" i="20"/>
  <c r="E15" i="21"/>
  <c r="F15" i="21" s="1"/>
  <c r="E16" i="21"/>
  <c r="F16" i="21" s="1"/>
  <c r="E17" i="21"/>
  <c r="F17" i="21" s="1"/>
  <c r="E18" i="21"/>
  <c r="F18" i="21" s="1"/>
  <c r="E19" i="21"/>
  <c r="F19" i="21" s="1"/>
  <c r="E20" i="21"/>
  <c r="F20" i="21" s="1"/>
  <c r="E21" i="21"/>
  <c r="F21" i="21" s="1"/>
  <c r="E22" i="21"/>
  <c r="F22" i="21" s="1"/>
  <c r="E23" i="21"/>
  <c r="F23" i="21" s="1"/>
  <c r="E24" i="21"/>
  <c r="F24" i="21" s="1"/>
  <c r="E25" i="21"/>
  <c r="F25" i="21" s="1"/>
  <c r="E26" i="21"/>
  <c r="F26" i="21" s="1"/>
  <c r="E27" i="21"/>
  <c r="F27" i="21" s="1"/>
  <c r="E28" i="21"/>
  <c r="F28" i="21" s="1"/>
  <c r="E29" i="21"/>
  <c r="F29" i="21" s="1"/>
  <c r="E30" i="21"/>
  <c r="F30" i="21" s="1"/>
  <c r="E31" i="21"/>
  <c r="F31" i="21" s="1"/>
  <c r="E32" i="21"/>
  <c r="F32" i="21" s="1"/>
  <c r="E33" i="21"/>
  <c r="F33" i="21" s="1"/>
  <c r="E11" i="19"/>
  <c r="E12" i="19"/>
  <c r="E13" i="19"/>
  <c r="F13" i="19" s="1"/>
  <c r="E14" i="19"/>
  <c r="E15" i="19"/>
  <c r="F15" i="19" s="1"/>
  <c r="E16" i="19"/>
  <c r="F16" i="19" s="1"/>
  <c r="E17" i="19"/>
  <c r="E18" i="19"/>
  <c r="F18" i="19" s="1"/>
  <c r="E19" i="19"/>
  <c r="F19" i="19" s="1"/>
  <c r="E20" i="19"/>
  <c r="F20" i="19" s="1"/>
  <c r="E21" i="19"/>
  <c r="F21" i="19" s="1"/>
  <c r="E22" i="19"/>
  <c r="F22" i="19" s="1"/>
  <c r="E23" i="19"/>
  <c r="F23" i="19" s="1"/>
  <c r="E24" i="19"/>
  <c r="F24" i="19" s="1"/>
  <c r="E25" i="19"/>
  <c r="F25" i="19" s="1"/>
  <c r="E26" i="19"/>
  <c r="F26" i="19" s="1"/>
  <c r="E27" i="19"/>
  <c r="F27" i="19" s="1"/>
  <c r="E28" i="19"/>
  <c r="F28" i="19" s="1"/>
  <c r="E29" i="19"/>
  <c r="F29" i="19" s="1"/>
  <c r="E30" i="19"/>
  <c r="F30" i="19" s="1"/>
  <c r="E31" i="19"/>
  <c r="F31" i="19" s="1"/>
  <c r="E32" i="19"/>
  <c r="F32" i="19" s="1"/>
  <c r="E33" i="19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11" i="27"/>
  <c r="E12" i="27"/>
  <c r="E13" i="27"/>
  <c r="E14" i="27"/>
  <c r="E15" i="27"/>
  <c r="E16" i="27"/>
  <c r="E17" i="27"/>
  <c r="E18" i="27"/>
  <c r="E19" i="27"/>
  <c r="E20" i="27"/>
  <c r="E21" i="27"/>
  <c r="E22" i="27"/>
  <c r="E23" i="27"/>
  <c r="E24" i="27"/>
  <c r="E25" i="27"/>
  <c r="E26" i="27"/>
  <c r="E27" i="27"/>
  <c r="E28" i="27"/>
  <c r="E29" i="27"/>
  <c r="E30" i="27"/>
  <c r="E31" i="27"/>
  <c r="E32" i="27"/>
  <c r="E33" i="27"/>
  <c r="E11" i="28"/>
  <c r="E12" i="28"/>
  <c r="E13" i="28"/>
  <c r="E14" i="28"/>
  <c r="E15" i="28"/>
  <c r="E16" i="28"/>
  <c r="E17" i="28"/>
  <c r="E18" i="28"/>
  <c r="E19" i="28"/>
  <c r="E20" i="28"/>
  <c r="E21" i="28"/>
  <c r="E22" i="28"/>
  <c r="E23" i="28"/>
  <c r="E24" i="28"/>
  <c r="E25" i="28"/>
  <c r="E26" i="28"/>
  <c r="E27" i="28"/>
  <c r="E28" i="28"/>
  <c r="E29" i="28"/>
  <c r="E30" i="28"/>
  <c r="E31" i="28"/>
  <c r="E32" i="28"/>
  <c r="E33" i="28"/>
  <c r="E11" i="31"/>
  <c r="E12" i="31"/>
  <c r="E13" i="31"/>
  <c r="E14" i="31"/>
  <c r="E15" i="31"/>
  <c r="E16" i="31"/>
  <c r="E17" i="31"/>
  <c r="E18" i="31"/>
  <c r="E19" i="31"/>
  <c r="E20" i="31"/>
  <c r="E21" i="31"/>
  <c r="E22" i="31"/>
  <c r="E23" i="31"/>
  <c r="E24" i="31"/>
  <c r="E25" i="31"/>
  <c r="E26" i="31"/>
  <c r="E27" i="31"/>
  <c r="E28" i="31"/>
  <c r="E29" i="31"/>
  <c r="E30" i="31"/>
  <c r="E31" i="31"/>
  <c r="E32" i="31"/>
  <c r="E33" i="31"/>
  <c r="E11" i="32"/>
  <c r="E12" i="32"/>
  <c r="E13" i="32"/>
  <c r="E14" i="32"/>
  <c r="E15" i="32"/>
  <c r="E16" i="32"/>
  <c r="E17" i="32"/>
  <c r="E18" i="32"/>
  <c r="E19" i="32"/>
  <c r="E20" i="32"/>
  <c r="E21" i="32"/>
  <c r="E22" i="32"/>
  <c r="E23" i="32"/>
  <c r="E24" i="32"/>
  <c r="E25" i="32"/>
  <c r="E26" i="32"/>
  <c r="E27" i="32"/>
  <c r="E28" i="32"/>
  <c r="E29" i="32"/>
  <c r="E30" i="32"/>
  <c r="E31" i="32"/>
  <c r="E32" i="32"/>
  <c r="E33" i="32"/>
  <c r="E11" i="33"/>
  <c r="E12" i="33"/>
  <c r="E13" i="33"/>
  <c r="E14" i="33"/>
  <c r="E15" i="33"/>
  <c r="E16" i="33"/>
  <c r="E17" i="33"/>
  <c r="E18" i="33"/>
  <c r="E19" i="33"/>
  <c r="E20" i="33"/>
  <c r="E21" i="33"/>
  <c r="E22" i="33"/>
  <c r="E23" i="33"/>
  <c r="E24" i="33"/>
  <c r="E25" i="33"/>
  <c r="E26" i="33"/>
  <c r="E27" i="33"/>
  <c r="E28" i="33"/>
  <c r="E29" i="33"/>
  <c r="E30" i="33"/>
  <c r="E31" i="33"/>
  <c r="E32" i="33"/>
  <c r="E33" i="33"/>
  <c r="E11" i="3"/>
  <c r="F11" i="3" s="1"/>
  <c r="E12" i="3"/>
  <c r="F12" i="3" s="1"/>
  <c r="E13" i="3"/>
  <c r="F13" i="3" s="1"/>
  <c r="E14" i="3"/>
  <c r="F14" i="3" s="1"/>
  <c r="E15" i="3"/>
  <c r="F15" i="3" s="1"/>
  <c r="E16" i="3"/>
  <c r="F16" i="3" s="1"/>
  <c r="E17" i="3"/>
  <c r="F17" i="3" s="1"/>
  <c r="E18" i="3"/>
  <c r="F18" i="3" s="1"/>
  <c r="E19" i="3"/>
  <c r="F19" i="3" s="1"/>
  <c r="E20" i="3"/>
  <c r="F20" i="3" s="1"/>
  <c r="E21" i="3"/>
  <c r="E22" i="3"/>
  <c r="F22" i="3" s="1"/>
  <c r="E23" i="3"/>
  <c r="F23" i="3" s="1"/>
  <c r="E24" i="3"/>
  <c r="F24" i="3" s="1"/>
  <c r="E25" i="3"/>
  <c r="E26" i="3"/>
  <c r="E27" i="3"/>
  <c r="F27" i="3" s="1"/>
  <c r="E28" i="3"/>
  <c r="F28" i="3" s="1"/>
  <c r="E29" i="3"/>
  <c r="F29" i="3" s="1"/>
  <c r="E30" i="3"/>
  <c r="F30" i="3" s="1"/>
  <c r="E31" i="3"/>
  <c r="F31" i="3" s="1"/>
  <c r="E32" i="3"/>
  <c r="F32" i="3" s="1"/>
  <c r="E33" i="3"/>
  <c r="F33" i="3" s="1"/>
  <c r="E29" i="72"/>
  <c r="E30" i="72"/>
  <c r="F30" i="72" s="1"/>
  <c r="E31" i="72"/>
  <c r="F31" i="72" s="1"/>
  <c r="E32" i="72"/>
  <c r="E33" i="72"/>
  <c r="F33" i="72" s="1"/>
  <c r="H32" i="72"/>
  <c r="I32" i="72" s="1"/>
  <c r="H33" i="72"/>
  <c r="I33" i="72" s="1"/>
  <c r="I26" i="72"/>
  <c r="I27" i="72"/>
  <c r="H26" i="72"/>
  <c r="H27" i="72"/>
  <c r="H28" i="72"/>
  <c r="I28" i="72" s="1"/>
  <c r="H29" i="72"/>
  <c r="I29" i="72" s="1"/>
  <c r="H30" i="72"/>
  <c r="I30" i="72" s="1"/>
  <c r="H31" i="72"/>
  <c r="I31" i="72" s="1"/>
  <c r="F25" i="72"/>
  <c r="F26" i="72"/>
  <c r="F27" i="72"/>
  <c r="F28" i="72"/>
  <c r="F29" i="72"/>
  <c r="F32" i="72"/>
  <c r="E13" i="72"/>
  <c r="F13" i="72"/>
  <c r="H13" i="72"/>
  <c r="I13" i="72"/>
  <c r="E26" i="72"/>
  <c r="E27" i="72"/>
  <c r="E28" i="72"/>
  <c r="H33" i="18" l="1"/>
  <c r="I33" i="18" s="1"/>
  <c r="I33" i="21"/>
  <c r="H30" i="18"/>
  <c r="I30" i="18" s="1"/>
  <c r="H29" i="18"/>
  <c r="I29" i="18" s="1"/>
  <c r="H32" i="18"/>
  <c r="I32" i="18" s="1"/>
  <c r="H28" i="18"/>
  <c r="I28" i="18" s="1"/>
  <c r="H27" i="18"/>
  <c r="I27" i="18" s="1"/>
  <c r="H26" i="18"/>
  <c r="I26" i="18" s="1"/>
  <c r="H31" i="18"/>
  <c r="I31" i="18" s="1"/>
  <c r="H31" i="34"/>
  <c r="I31" i="34" s="1"/>
  <c r="H31" i="1"/>
  <c r="I31" i="1" s="1"/>
  <c r="I31" i="4"/>
  <c r="H32" i="34"/>
  <c r="I32" i="34" s="1"/>
  <c r="H32" i="1"/>
  <c r="I32" i="1" s="1"/>
  <c r="H26" i="1"/>
  <c r="I26" i="1" s="1"/>
  <c r="H26" i="34"/>
  <c r="I26" i="34" s="1"/>
  <c r="H30" i="34"/>
  <c r="I30" i="34" s="1"/>
  <c r="H30" i="1"/>
  <c r="I30" i="1" s="1"/>
  <c r="I30" i="3"/>
  <c r="H29" i="34"/>
  <c r="I29" i="34" s="1"/>
  <c r="H29" i="1"/>
  <c r="I29" i="1" s="1"/>
  <c r="I29" i="3"/>
  <c r="H28" i="34"/>
  <c r="I28" i="34" s="1"/>
  <c r="H28" i="1"/>
  <c r="I28" i="1" s="1"/>
  <c r="I28" i="3"/>
  <c r="H33" i="34"/>
  <c r="I33" i="34" s="1"/>
  <c r="H33" i="1"/>
  <c r="I33" i="1" s="1"/>
  <c r="I33" i="3"/>
  <c r="H27" i="34"/>
  <c r="I27" i="34" s="1"/>
  <c r="H27" i="1"/>
  <c r="I27" i="1" s="1"/>
  <c r="I27" i="3"/>
  <c r="C18" i="29"/>
  <c r="E18" i="29" s="1"/>
  <c r="F18" i="29" s="1"/>
  <c r="D18" i="29"/>
  <c r="H18" i="29"/>
  <c r="I18" i="29" s="1"/>
  <c r="C19" i="29"/>
  <c r="D19" i="29"/>
  <c r="H19" i="29"/>
  <c r="I19" i="29" s="1"/>
  <c r="C20" i="29"/>
  <c r="D20" i="29"/>
  <c r="H20" i="29"/>
  <c r="I20" i="29" s="1"/>
  <c r="C21" i="29"/>
  <c r="D21" i="29"/>
  <c r="H21" i="29"/>
  <c r="I21" i="29" s="1"/>
  <c r="C22" i="29"/>
  <c r="D22" i="29"/>
  <c r="H22" i="29"/>
  <c r="I22" i="29" s="1"/>
  <c r="C23" i="29"/>
  <c r="D23" i="29"/>
  <c r="H23" i="29"/>
  <c r="I23" i="29" s="1"/>
  <c r="C24" i="29"/>
  <c r="D24" i="29"/>
  <c r="H24" i="29"/>
  <c r="I24" i="29" s="1"/>
  <c r="C25" i="29"/>
  <c r="D25" i="29"/>
  <c r="H25" i="29"/>
  <c r="I25" i="29" s="1"/>
  <c r="C17" i="18"/>
  <c r="D17" i="18"/>
  <c r="H17" i="18"/>
  <c r="I17" i="18" s="1"/>
  <c r="C18" i="18"/>
  <c r="D18" i="18"/>
  <c r="H18" i="18"/>
  <c r="I18" i="18" s="1"/>
  <c r="C19" i="18"/>
  <c r="D19" i="18"/>
  <c r="H19" i="18"/>
  <c r="I19" i="18" s="1"/>
  <c r="C20" i="18"/>
  <c r="D20" i="18"/>
  <c r="H20" i="18"/>
  <c r="I20" i="18" s="1"/>
  <c r="C21" i="18"/>
  <c r="D21" i="18"/>
  <c r="H21" i="18"/>
  <c r="I21" i="18" s="1"/>
  <c r="C22" i="18"/>
  <c r="D22" i="18"/>
  <c r="H22" i="18"/>
  <c r="I22" i="18" s="1"/>
  <c r="C23" i="18"/>
  <c r="D23" i="18"/>
  <c r="H23" i="18"/>
  <c r="I23" i="18" s="1"/>
  <c r="C24" i="18"/>
  <c r="D24" i="18"/>
  <c r="H24" i="18"/>
  <c r="I24" i="18" s="1"/>
  <c r="C25" i="18"/>
  <c r="D25" i="18"/>
  <c r="H25" i="18"/>
  <c r="I25" i="18" s="1"/>
  <c r="C18" i="34"/>
  <c r="D18" i="34"/>
  <c r="C19" i="34"/>
  <c r="D19" i="34"/>
  <c r="C20" i="34"/>
  <c r="D20" i="34"/>
  <c r="C21" i="34"/>
  <c r="D21" i="34"/>
  <c r="C22" i="34"/>
  <c r="D22" i="34"/>
  <c r="C23" i="34"/>
  <c r="D23" i="34"/>
  <c r="C24" i="34"/>
  <c r="D24" i="34"/>
  <c r="C25" i="34"/>
  <c r="D25" i="34"/>
  <c r="E17" i="18" l="1"/>
  <c r="F17" i="18" s="1"/>
  <c r="E20" i="18"/>
  <c r="F20" i="18" s="1"/>
  <c r="E24" i="34"/>
  <c r="E21" i="34"/>
  <c r="E23" i="34"/>
  <c r="F23" i="34" s="1"/>
  <c r="E20" i="34"/>
  <c r="E19" i="34"/>
  <c r="F19" i="34" s="1"/>
  <c r="E25" i="34"/>
  <c r="F25" i="34" s="1"/>
  <c r="E22" i="34"/>
  <c r="F22" i="34" s="1"/>
  <c r="E23" i="29"/>
  <c r="F23" i="29" s="1"/>
  <c r="E20" i="29"/>
  <c r="F20" i="29" s="1"/>
  <c r="E25" i="29"/>
  <c r="F25" i="29" s="1"/>
  <c r="E22" i="29"/>
  <c r="F22" i="29" s="1"/>
  <c r="E24" i="29"/>
  <c r="F24" i="29" s="1"/>
  <c r="E21" i="29"/>
  <c r="F21" i="29" s="1"/>
  <c r="E19" i="29"/>
  <c r="F19" i="29" s="1"/>
  <c r="E24" i="18"/>
  <c r="F24" i="18" s="1"/>
  <c r="E22" i="18"/>
  <c r="F22" i="18" s="1"/>
  <c r="E19" i="18"/>
  <c r="F19" i="18" s="1"/>
  <c r="E18" i="18"/>
  <c r="F18" i="18" s="1"/>
  <c r="E25" i="18"/>
  <c r="F25" i="18" s="1"/>
  <c r="E23" i="18"/>
  <c r="F23" i="18" s="1"/>
  <c r="E21" i="18"/>
  <c r="F21" i="18" s="1"/>
  <c r="E18" i="34"/>
  <c r="F18" i="34" s="1"/>
  <c r="F21" i="34"/>
  <c r="F20" i="34"/>
  <c r="F24" i="34"/>
  <c r="C18" i="1"/>
  <c r="D18" i="1"/>
  <c r="G18" i="1"/>
  <c r="G18" i="34" s="1"/>
  <c r="C19" i="1"/>
  <c r="D19" i="1"/>
  <c r="G19" i="1"/>
  <c r="G19" i="34" s="1"/>
  <c r="C20" i="1"/>
  <c r="D20" i="1"/>
  <c r="G20" i="1"/>
  <c r="C21" i="1"/>
  <c r="D21" i="1"/>
  <c r="G21" i="1"/>
  <c r="G21" i="34" s="1"/>
  <c r="C22" i="1"/>
  <c r="D22" i="1"/>
  <c r="G22" i="1"/>
  <c r="G22" i="34" s="1"/>
  <c r="C23" i="1"/>
  <c r="D23" i="1"/>
  <c r="G23" i="1"/>
  <c r="C24" i="1"/>
  <c r="D24" i="1"/>
  <c r="G24" i="1"/>
  <c r="G24" i="34" s="1"/>
  <c r="C25" i="1"/>
  <c r="G25" i="1"/>
  <c r="G25" i="34" s="1"/>
  <c r="C25" i="30"/>
  <c r="E25" i="30" s="1"/>
  <c r="F25" i="30" s="1"/>
  <c r="D25" i="30"/>
  <c r="H25" i="30"/>
  <c r="I25" i="30" s="1"/>
  <c r="C18" i="30"/>
  <c r="D18" i="30"/>
  <c r="H18" i="30"/>
  <c r="I18" i="30" s="1"/>
  <c r="C19" i="30"/>
  <c r="E19" i="30" s="1"/>
  <c r="F19" i="30" s="1"/>
  <c r="D19" i="30"/>
  <c r="H19" i="30"/>
  <c r="I19" i="30" s="1"/>
  <c r="C20" i="30"/>
  <c r="D20" i="30"/>
  <c r="E20" i="30" s="1"/>
  <c r="F20" i="30" s="1"/>
  <c r="H20" i="30"/>
  <c r="I20" i="30" s="1"/>
  <c r="C21" i="30"/>
  <c r="E21" i="30" s="1"/>
  <c r="F21" i="30" s="1"/>
  <c r="D21" i="30"/>
  <c r="H21" i="30"/>
  <c r="I21" i="30" s="1"/>
  <c r="C22" i="30"/>
  <c r="D22" i="30"/>
  <c r="H22" i="30"/>
  <c r="I22" i="30" s="1"/>
  <c r="C23" i="30"/>
  <c r="D23" i="30"/>
  <c r="H23" i="30"/>
  <c r="I23" i="30" s="1"/>
  <c r="C24" i="30"/>
  <c r="D24" i="30"/>
  <c r="H24" i="30"/>
  <c r="I24" i="30" s="1"/>
  <c r="E18" i="72"/>
  <c r="F18" i="72" s="1"/>
  <c r="E19" i="72"/>
  <c r="F19" i="72" s="1"/>
  <c r="E20" i="72"/>
  <c r="F20" i="72" s="1"/>
  <c r="E21" i="72"/>
  <c r="F21" i="72" s="1"/>
  <c r="E22" i="72"/>
  <c r="F22" i="72" s="1"/>
  <c r="E23" i="72"/>
  <c r="F23" i="72" s="1"/>
  <c r="E24" i="72"/>
  <c r="F24" i="72" s="1"/>
  <c r="E25" i="72"/>
  <c r="H18" i="72"/>
  <c r="H18" i="1" s="1"/>
  <c r="H19" i="72"/>
  <c r="H19" i="1" s="1"/>
  <c r="H20" i="72"/>
  <c r="H20" i="1" s="1"/>
  <c r="H21" i="72"/>
  <c r="H22" i="72"/>
  <c r="H22" i="1" s="1"/>
  <c r="H23" i="72"/>
  <c r="H24" i="72"/>
  <c r="H25" i="72"/>
  <c r="C16" i="30"/>
  <c r="D16" i="30"/>
  <c r="E16" i="30"/>
  <c r="F16" i="30"/>
  <c r="H16" i="30"/>
  <c r="I16" i="30" s="1"/>
  <c r="C17" i="30"/>
  <c r="D17" i="30"/>
  <c r="E17" i="30"/>
  <c r="F17" i="30"/>
  <c r="H17" i="30"/>
  <c r="I17" i="30"/>
  <c r="C16" i="29"/>
  <c r="D16" i="29"/>
  <c r="E16" i="29"/>
  <c r="F16" i="29"/>
  <c r="H16" i="29"/>
  <c r="I16" i="29"/>
  <c r="C17" i="29"/>
  <c r="D17" i="29"/>
  <c r="E17" i="29"/>
  <c r="F17" i="29" s="1"/>
  <c r="H17" i="29"/>
  <c r="I17" i="29" s="1"/>
  <c r="C16" i="18"/>
  <c r="D16" i="18"/>
  <c r="E16" i="18" s="1"/>
  <c r="F16" i="18" s="1"/>
  <c r="H16" i="18"/>
  <c r="I16" i="18" s="1"/>
  <c r="C16" i="1"/>
  <c r="D16" i="1"/>
  <c r="G16" i="1"/>
  <c r="G16" i="34" s="1"/>
  <c r="C17" i="1"/>
  <c r="D17" i="1"/>
  <c r="G17" i="1"/>
  <c r="G17" i="34" s="1"/>
  <c r="C16" i="34"/>
  <c r="D16" i="34"/>
  <c r="C17" i="34"/>
  <c r="D17" i="34"/>
  <c r="E16" i="72"/>
  <c r="F16" i="72" s="1"/>
  <c r="H16" i="72"/>
  <c r="H16" i="1" s="1"/>
  <c r="I16" i="1" s="1"/>
  <c r="E17" i="72"/>
  <c r="F17" i="72" s="1"/>
  <c r="H17" i="72"/>
  <c r="H17" i="1" s="1"/>
  <c r="I17" i="1" s="1"/>
  <c r="E15" i="72"/>
  <c r="F15" i="72" s="1"/>
  <c r="E14" i="72"/>
  <c r="F14" i="72" s="1"/>
  <c r="E12" i="72"/>
  <c r="F12" i="72" s="1"/>
  <c r="E11" i="72"/>
  <c r="F11" i="72" s="1"/>
  <c r="E10" i="72"/>
  <c r="F10" i="72" s="1"/>
  <c r="E9" i="72"/>
  <c r="F9" i="72" s="1"/>
  <c r="E8" i="72"/>
  <c r="F8" i="72" s="1"/>
  <c r="E7" i="72"/>
  <c r="F7" i="72" s="1"/>
  <c r="E6" i="72"/>
  <c r="F6" i="72" s="1"/>
  <c r="E5" i="72"/>
  <c r="F5" i="72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G6" i="1"/>
  <c r="G6" i="34" s="1"/>
  <c r="G7" i="1"/>
  <c r="G7" i="34" s="1"/>
  <c r="G8" i="1"/>
  <c r="G8" i="34" s="1"/>
  <c r="G9" i="1"/>
  <c r="G9" i="34" s="1"/>
  <c r="G10" i="1"/>
  <c r="G10" i="34" s="1"/>
  <c r="G11" i="1"/>
  <c r="G11" i="34" s="1"/>
  <c r="G12" i="1"/>
  <c r="G12" i="34" s="1"/>
  <c r="G13" i="1"/>
  <c r="G13" i="34" s="1"/>
  <c r="G14" i="1"/>
  <c r="G14" i="34" s="1"/>
  <c r="G15" i="1"/>
  <c r="G15" i="34" s="1"/>
  <c r="G5" i="1"/>
  <c r="G5" i="34" s="1"/>
  <c r="G4" i="1"/>
  <c r="G4" i="34" s="1"/>
  <c r="D15" i="34"/>
  <c r="D14" i="34"/>
  <c r="D13" i="34"/>
  <c r="D12" i="34"/>
  <c r="D11" i="34"/>
  <c r="D10" i="34"/>
  <c r="D9" i="34"/>
  <c r="D8" i="34"/>
  <c r="D7" i="34"/>
  <c r="D6" i="34"/>
  <c r="D5" i="34"/>
  <c r="C15" i="34"/>
  <c r="C14" i="34"/>
  <c r="C13" i="34"/>
  <c r="C12" i="34"/>
  <c r="C11" i="34"/>
  <c r="C10" i="34"/>
  <c r="C9" i="34"/>
  <c r="C8" i="34"/>
  <c r="C7" i="34"/>
  <c r="C6" i="34"/>
  <c r="C5" i="34"/>
  <c r="B4" i="34" a="1"/>
  <c r="B4" i="34" s="1"/>
  <c r="A4" i="34" a="1"/>
  <c r="A4" i="34" s="1"/>
  <c r="A1" i="34" a="1"/>
  <c r="A1" i="34" s="1"/>
  <c r="D15" i="30"/>
  <c r="C15" i="30"/>
  <c r="D14" i="30"/>
  <c r="C14" i="30"/>
  <c r="E14" i="30" s="1"/>
  <c r="F14" i="30" s="1"/>
  <c r="D13" i="30"/>
  <c r="C13" i="30"/>
  <c r="D12" i="30"/>
  <c r="C12" i="30"/>
  <c r="E12" i="30" s="1"/>
  <c r="F12" i="30" s="1"/>
  <c r="D11" i="30"/>
  <c r="C11" i="30"/>
  <c r="D10" i="30"/>
  <c r="C10" i="30"/>
  <c r="E10" i="30" s="1"/>
  <c r="F10" i="30" s="1"/>
  <c r="D9" i="30"/>
  <c r="C9" i="30"/>
  <c r="E9" i="30" s="1"/>
  <c r="F9" i="30" s="1"/>
  <c r="D8" i="30"/>
  <c r="C8" i="30"/>
  <c r="E8" i="30" s="1"/>
  <c r="F8" i="30" s="1"/>
  <c r="D7" i="30"/>
  <c r="C7" i="30"/>
  <c r="H6" i="30"/>
  <c r="I6" i="30" s="1"/>
  <c r="D6" i="30"/>
  <c r="C6" i="30"/>
  <c r="E6" i="30" s="1"/>
  <c r="F6" i="30" s="1"/>
  <c r="D5" i="30"/>
  <c r="C5" i="30"/>
  <c r="E5" i="30" s="1"/>
  <c r="F5" i="30" s="1"/>
  <c r="D4" i="30"/>
  <c r="C4" i="30"/>
  <c r="E4" i="30" s="1"/>
  <c r="F4" i="30" s="1"/>
  <c r="D15" i="29"/>
  <c r="C15" i="29"/>
  <c r="D14" i="29"/>
  <c r="C14" i="29"/>
  <c r="E14" i="29" s="1"/>
  <c r="F14" i="29" s="1"/>
  <c r="D13" i="29"/>
  <c r="C13" i="29"/>
  <c r="D12" i="29"/>
  <c r="C12" i="29"/>
  <c r="E12" i="29" s="1"/>
  <c r="F12" i="29" s="1"/>
  <c r="D11" i="29"/>
  <c r="C11" i="29"/>
  <c r="E11" i="29" s="1"/>
  <c r="F11" i="29" s="1"/>
  <c r="D10" i="29"/>
  <c r="C10" i="29"/>
  <c r="E10" i="29" s="1"/>
  <c r="F10" i="29" s="1"/>
  <c r="D9" i="29"/>
  <c r="C9" i="29"/>
  <c r="E9" i="29" s="1"/>
  <c r="F9" i="29" s="1"/>
  <c r="D8" i="29"/>
  <c r="C8" i="29"/>
  <c r="E8" i="29" s="1"/>
  <c r="F8" i="29" s="1"/>
  <c r="D7" i="29"/>
  <c r="C7" i="29"/>
  <c r="D6" i="29"/>
  <c r="C6" i="29"/>
  <c r="E6" i="29" s="1"/>
  <c r="F6" i="29" s="1"/>
  <c r="D5" i="29"/>
  <c r="C5" i="29"/>
  <c r="E5" i="29" s="1"/>
  <c r="F5" i="29" s="1"/>
  <c r="D4" i="29"/>
  <c r="D2" i="29" s="1"/>
  <c r="C4" i="29"/>
  <c r="D15" i="18"/>
  <c r="C15" i="18"/>
  <c r="D14" i="18"/>
  <c r="C14" i="18"/>
  <c r="D13" i="18"/>
  <c r="C13" i="18"/>
  <c r="D12" i="18"/>
  <c r="C12" i="18"/>
  <c r="E12" i="18" s="1"/>
  <c r="F12" i="18" s="1"/>
  <c r="D11" i="18"/>
  <c r="C11" i="18"/>
  <c r="E11" i="18" s="1"/>
  <c r="F11" i="18" s="1"/>
  <c r="D10" i="18"/>
  <c r="C10" i="18"/>
  <c r="E10" i="18" s="1"/>
  <c r="F10" i="18" s="1"/>
  <c r="D9" i="18"/>
  <c r="C9" i="18"/>
  <c r="D8" i="18"/>
  <c r="C8" i="18"/>
  <c r="E8" i="18" s="1"/>
  <c r="F8" i="18" s="1"/>
  <c r="D7" i="18"/>
  <c r="C7" i="18"/>
  <c r="D6" i="18"/>
  <c r="C6" i="18"/>
  <c r="D5" i="18"/>
  <c r="C5" i="18"/>
  <c r="E5" i="18" s="1"/>
  <c r="F5" i="18" s="1"/>
  <c r="D4" i="18"/>
  <c r="C4" i="18"/>
  <c r="E4" i="18" s="1"/>
  <c r="F4" i="18" s="1"/>
  <c r="E11" i="30"/>
  <c r="F11" i="30" s="1"/>
  <c r="E13" i="29"/>
  <c r="F13" i="29" s="1"/>
  <c r="E15" i="30"/>
  <c r="F15" i="30" s="1"/>
  <c r="E13" i="30"/>
  <c r="F13" i="30" s="1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15" i="1"/>
  <c r="C14" i="1"/>
  <c r="C13" i="1"/>
  <c r="C12" i="1"/>
  <c r="C11" i="1"/>
  <c r="C10" i="1"/>
  <c r="C9" i="1"/>
  <c r="C8" i="1"/>
  <c r="C7" i="1"/>
  <c r="C6" i="1"/>
  <c r="C5" i="1"/>
  <c r="C4" i="1"/>
  <c r="D6" i="1"/>
  <c r="D7" i="1"/>
  <c r="D8" i="1"/>
  <c r="D9" i="1"/>
  <c r="D10" i="1"/>
  <c r="D11" i="1"/>
  <c r="D12" i="1"/>
  <c r="D13" i="1"/>
  <c r="D14" i="1"/>
  <c r="D15" i="1"/>
  <c r="D5" i="1"/>
  <c r="D4" i="1"/>
  <c r="B4" i="1" a="1"/>
  <c r="B4" i="1" s="1"/>
  <c r="A4" i="1" a="1"/>
  <c r="A4" i="1" s="1"/>
  <c r="A1" i="1" a="1"/>
  <c r="A1" i="1" s="1"/>
  <c r="E10" i="33"/>
  <c r="F10" i="33" s="1"/>
  <c r="E9" i="33"/>
  <c r="F9" i="33" s="1"/>
  <c r="E8" i="33"/>
  <c r="F8" i="33" s="1"/>
  <c r="H7" i="33"/>
  <c r="I7" i="33" s="1"/>
  <c r="E7" i="33"/>
  <c r="F7" i="33" s="1"/>
  <c r="I6" i="33"/>
  <c r="H6" i="33"/>
  <c r="E6" i="33"/>
  <c r="F6" i="33" s="1"/>
  <c r="I5" i="33"/>
  <c r="H5" i="33"/>
  <c r="E5" i="33"/>
  <c r="F5" i="33" s="1"/>
  <c r="I4" i="33"/>
  <c r="H4" i="33"/>
  <c r="E4" i="33"/>
  <c r="F4" i="33" s="1"/>
  <c r="G2" i="33"/>
  <c r="D2" i="33"/>
  <c r="C2" i="33"/>
  <c r="A1" i="33" a="1"/>
  <c r="A1" i="33" s="1"/>
  <c r="E10" i="32"/>
  <c r="F10" i="32" s="1"/>
  <c r="F9" i="32"/>
  <c r="E9" i="32"/>
  <c r="E8" i="32"/>
  <c r="F8" i="32" s="1"/>
  <c r="H7" i="32"/>
  <c r="I7" i="32" s="1"/>
  <c r="E7" i="32"/>
  <c r="F7" i="32" s="1"/>
  <c r="H6" i="32"/>
  <c r="I6" i="32" s="1"/>
  <c r="F6" i="32"/>
  <c r="E6" i="32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E10" i="31"/>
  <c r="F10" i="31" s="1"/>
  <c r="E9" i="31"/>
  <c r="F9" i="31" s="1"/>
  <c r="E8" i="31"/>
  <c r="F8" i="31" s="1"/>
  <c r="H7" i="31"/>
  <c r="I7" i="31" s="1"/>
  <c r="E7" i="31"/>
  <c r="F7" i="31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E10" i="28"/>
  <c r="F10" i="28" s="1"/>
  <c r="E9" i="28"/>
  <c r="F9" i="28" s="1"/>
  <c r="E8" i="28"/>
  <c r="F8" i="28" s="1"/>
  <c r="I7" i="28"/>
  <c r="H7" i="28"/>
  <c r="E7" i="28"/>
  <c r="F7" i="28" s="1"/>
  <c r="H6" i="28"/>
  <c r="I6" i="28" s="1"/>
  <c r="E6" i="28"/>
  <c r="F6" i="28" s="1"/>
  <c r="H5" i="28"/>
  <c r="I5" i="28" s="1"/>
  <c r="E5" i="28"/>
  <c r="F5" i="28" s="1"/>
  <c r="I4" i="28"/>
  <c r="H4" i="28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13" i="29"/>
  <c r="I13" i="29" s="1"/>
  <c r="H10" i="29"/>
  <c r="I10" i="29" s="1"/>
  <c r="E10" i="27"/>
  <c r="F10" i="27" s="1"/>
  <c r="E9" i="27"/>
  <c r="F9" i="27" s="1"/>
  <c r="F8" i="27"/>
  <c r="E8" i="27"/>
  <c r="I7" i="27"/>
  <c r="H7" i="27"/>
  <c r="E7" i="27"/>
  <c r="F7" i="27" s="1"/>
  <c r="H6" i="27"/>
  <c r="I6" i="27" s="1"/>
  <c r="E6" i="27"/>
  <c r="F6" i="27" s="1"/>
  <c r="H5" i="27"/>
  <c r="I5" i="27" s="1"/>
  <c r="F5" i="27"/>
  <c r="E5" i="27"/>
  <c r="I4" i="27"/>
  <c r="H4" i="27"/>
  <c r="E4" i="27"/>
  <c r="F4" i="27" s="1"/>
  <c r="G2" i="27"/>
  <c r="D2" i="27"/>
  <c r="C2" i="27"/>
  <c r="A1" i="27" a="1"/>
  <c r="A1" i="27" s="1"/>
  <c r="H15" i="29"/>
  <c r="I15" i="29" s="1"/>
  <c r="H12" i="29"/>
  <c r="I12" i="29" s="1"/>
  <c r="E10" i="26"/>
  <c r="F10" i="26" s="1"/>
  <c r="H9" i="29"/>
  <c r="I9" i="29" s="1"/>
  <c r="E9" i="26"/>
  <c r="F9" i="26" s="1"/>
  <c r="E8" i="26"/>
  <c r="F8" i="26" s="1"/>
  <c r="H7" i="26"/>
  <c r="H7" i="29" s="1"/>
  <c r="I7" i="29" s="1"/>
  <c r="E7" i="26"/>
  <c r="F7" i="26" s="1"/>
  <c r="H6" i="26"/>
  <c r="H6" i="29" s="1"/>
  <c r="I6" i="29" s="1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E10" i="19"/>
  <c r="F10" i="19" s="1"/>
  <c r="E9" i="19"/>
  <c r="F9" i="19" s="1"/>
  <c r="E8" i="19"/>
  <c r="F8" i="19" s="1"/>
  <c r="H7" i="19"/>
  <c r="I7" i="19" s="1"/>
  <c r="E7" i="19"/>
  <c r="F7" i="19" s="1"/>
  <c r="H6" i="19"/>
  <c r="I6" i="19" s="1"/>
  <c r="E6" i="19"/>
  <c r="F6" i="19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E10" i="20"/>
  <c r="F10" i="20" s="1"/>
  <c r="E9" i="20"/>
  <c r="F9" i="20" s="1"/>
  <c r="E8" i="20"/>
  <c r="F8" i="20" s="1"/>
  <c r="H7" i="20"/>
  <c r="I7" i="20" s="1"/>
  <c r="E7" i="20"/>
  <c r="F7" i="20" s="1"/>
  <c r="H6" i="20"/>
  <c r="I6" i="20" s="1"/>
  <c r="E6" i="20"/>
  <c r="F6" i="20" s="1"/>
  <c r="H5" i="20"/>
  <c r="I5" i="20" s="1"/>
  <c r="E5" i="20"/>
  <c r="F5" i="20" s="1"/>
  <c r="H4" i="20"/>
  <c r="I4" i="20" s="1"/>
  <c r="F4" i="20"/>
  <c r="G2" i="20"/>
  <c r="D2" i="20"/>
  <c r="C2" i="20"/>
  <c r="A1" i="20" a="1"/>
  <c r="A1" i="20" s="1"/>
  <c r="F10" i="21"/>
  <c r="E9" i="21"/>
  <c r="F9" i="21" s="1"/>
  <c r="E8" i="21"/>
  <c r="F8" i="21" s="1"/>
  <c r="H7" i="21"/>
  <c r="I7" i="21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E10" i="4"/>
  <c r="F10" i="4" s="1"/>
  <c r="E9" i="4"/>
  <c r="F9" i="4" s="1"/>
  <c r="E8" i="4"/>
  <c r="F8" i="4" s="1"/>
  <c r="H7" i="4"/>
  <c r="I7" i="4" s="1"/>
  <c r="E7" i="4"/>
  <c r="F7" i="4" s="1"/>
  <c r="H6" i="4"/>
  <c r="I6" i="4" s="1"/>
  <c r="E6" i="4"/>
  <c r="F6" i="4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6" i="72"/>
  <c r="I6" i="72" s="1"/>
  <c r="H7" i="72"/>
  <c r="I7" i="72" s="1"/>
  <c r="H8" i="72"/>
  <c r="I8" i="72" s="1"/>
  <c r="H9" i="72"/>
  <c r="I9" i="72" s="1"/>
  <c r="H10" i="72"/>
  <c r="I10" i="72" s="1"/>
  <c r="H11" i="72"/>
  <c r="I11" i="72" s="1"/>
  <c r="H12" i="72"/>
  <c r="I12" i="72" s="1"/>
  <c r="H14" i="72"/>
  <c r="I14" i="72" s="1"/>
  <c r="H15" i="72"/>
  <c r="I15" i="72" s="1"/>
  <c r="H5" i="72"/>
  <c r="I5" i="72" s="1"/>
  <c r="H4" i="72"/>
  <c r="I4" i="72" s="1"/>
  <c r="G2" i="72"/>
  <c r="D2" i="72"/>
  <c r="C2" i="72"/>
  <c r="J2" i="72" s="1"/>
  <c r="A1" i="72" a="1"/>
  <c r="A1" i="72" s="1"/>
  <c r="E15" i="18" l="1"/>
  <c r="F15" i="18" s="1"/>
  <c r="E7" i="18"/>
  <c r="F7" i="18" s="1"/>
  <c r="E13" i="18"/>
  <c r="F13" i="18" s="1"/>
  <c r="E9" i="18"/>
  <c r="F9" i="18" s="1"/>
  <c r="E14" i="18"/>
  <c r="F14" i="18" s="1"/>
  <c r="D2" i="18"/>
  <c r="E6" i="18"/>
  <c r="F6" i="18" s="1"/>
  <c r="D4" i="34"/>
  <c r="D2" i="34" s="1"/>
  <c r="E24" i="1"/>
  <c r="F24" i="1" s="1"/>
  <c r="E23" i="1"/>
  <c r="F23" i="1" s="1"/>
  <c r="E21" i="1"/>
  <c r="F21" i="1" s="1"/>
  <c r="I25" i="72"/>
  <c r="H25" i="34"/>
  <c r="I24" i="72"/>
  <c r="H24" i="34"/>
  <c r="I24" i="34" s="1"/>
  <c r="H24" i="1"/>
  <c r="I24" i="1" s="1"/>
  <c r="I23" i="72"/>
  <c r="H23" i="34"/>
  <c r="I22" i="72"/>
  <c r="H22" i="34"/>
  <c r="I22" i="34" s="1"/>
  <c r="I21" i="72"/>
  <c r="H21" i="34"/>
  <c r="I21" i="34" s="1"/>
  <c r="I20" i="72"/>
  <c r="H20" i="34"/>
  <c r="H25" i="1"/>
  <c r="I25" i="1" s="1"/>
  <c r="H23" i="1"/>
  <c r="I23" i="1" s="1"/>
  <c r="H21" i="1"/>
  <c r="I19" i="72"/>
  <c r="H19" i="34"/>
  <c r="I19" i="34" s="1"/>
  <c r="I25" i="34"/>
  <c r="I18" i="72"/>
  <c r="H18" i="34"/>
  <c r="I18" i="34" s="1"/>
  <c r="E24" i="30"/>
  <c r="F24" i="30" s="1"/>
  <c r="E23" i="30"/>
  <c r="F23" i="30" s="1"/>
  <c r="E22" i="30"/>
  <c r="F22" i="30" s="1"/>
  <c r="E18" i="30"/>
  <c r="F18" i="30" s="1"/>
  <c r="I21" i="1"/>
  <c r="I22" i="1"/>
  <c r="E19" i="1"/>
  <c r="F19" i="1" s="1"/>
  <c r="I18" i="1"/>
  <c r="E18" i="1"/>
  <c r="F18" i="1" s="1"/>
  <c r="I20" i="1"/>
  <c r="G20" i="34"/>
  <c r="G23" i="34"/>
  <c r="E22" i="1"/>
  <c r="F22" i="1" s="1"/>
  <c r="E20" i="1"/>
  <c r="F20" i="1" s="1"/>
  <c r="E25" i="1"/>
  <c r="F25" i="1" s="1"/>
  <c r="I19" i="1"/>
  <c r="D2" i="30"/>
  <c r="E16" i="34"/>
  <c r="F16" i="34" s="1"/>
  <c r="E17" i="1"/>
  <c r="F17" i="1" s="1"/>
  <c r="E17" i="34"/>
  <c r="F17" i="34" s="1"/>
  <c r="E16" i="1"/>
  <c r="F16" i="1" s="1"/>
  <c r="I17" i="72"/>
  <c r="H16" i="34"/>
  <c r="I16" i="34" s="1"/>
  <c r="I16" i="72"/>
  <c r="H17" i="34"/>
  <c r="I17" i="34" s="1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E11" i="34"/>
  <c r="F11" i="34" s="1"/>
  <c r="E7" i="1"/>
  <c r="F7" i="1" s="1"/>
  <c r="E15" i="1"/>
  <c r="F15" i="1" s="1"/>
  <c r="E12" i="34"/>
  <c r="F12" i="34" s="1"/>
  <c r="E5" i="34"/>
  <c r="F5" i="34" s="1"/>
  <c r="E13" i="34"/>
  <c r="F13" i="34" s="1"/>
  <c r="G2" i="1"/>
  <c r="E6" i="34"/>
  <c r="F6" i="34" s="1"/>
  <c r="E8" i="1"/>
  <c r="F8" i="1" s="1"/>
  <c r="E11" i="1"/>
  <c r="F11" i="1" s="1"/>
  <c r="E9" i="1"/>
  <c r="F9" i="1" s="1"/>
  <c r="E10" i="1"/>
  <c r="F10" i="1" s="1"/>
  <c r="E12" i="1"/>
  <c r="F12" i="1" s="1"/>
  <c r="E9" i="34"/>
  <c r="F9" i="34" s="1"/>
  <c r="E5" i="1"/>
  <c r="F5" i="1" s="1"/>
  <c r="E13" i="1"/>
  <c r="F13" i="1" s="1"/>
  <c r="E10" i="34"/>
  <c r="F10" i="34" s="1"/>
  <c r="E6" i="1"/>
  <c r="F6" i="1" s="1"/>
  <c r="E14" i="1"/>
  <c r="F14" i="1" s="1"/>
  <c r="H14" i="30"/>
  <c r="I14" i="30" s="1"/>
  <c r="H9" i="30"/>
  <c r="I9" i="30" s="1"/>
  <c r="H4" i="30"/>
  <c r="I4" i="30" s="1"/>
  <c r="E7" i="30"/>
  <c r="F7" i="30" s="1"/>
  <c r="H12" i="30"/>
  <c r="I12" i="30" s="1"/>
  <c r="H7" i="30"/>
  <c r="I7" i="30" s="1"/>
  <c r="H15" i="30"/>
  <c r="I15" i="30" s="1"/>
  <c r="H10" i="30"/>
  <c r="I10" i="30" s="1"/>
  <c r="H5" i="30"/>
  <c r="I5" i="30" s="1"/>
  <c r="H13" i="30"/>
  <c r="I13" i="30" s="1"/>
  <c r="H8" i="30"/>
  <c r="I8" i="30" s="1"/>
  <c r="H11" i="30"/>
  <c r="I11" i="30" s="1"/>
  <c r="E7" i="29"/>
  <c r="F7" i="29" s="1"/>
  <c r="H8" i="29"/>
  <c r="I8" i="29" s="1"/>
  <c r="H11" i="29"/>
  <c r="I11" i="29" s="1"/>
  <c r="I6" i="26"/>
  <c r="H14" i="29"/>
  <c r="I14" i="29" s="1"/>
  <c r="H4" i="29"/>
  <c r="I4" i="29" s="1"/>
  <c r="E15" i="29"/>
  <c r="F15" i="29" s="1"/>
  <c r="H5" i="29"/>
  <c r="I5" i="29" s="1"/>
  <c r="I7" i="26"/>
  <c r="H14" i="18"/>
  <c r="I14" i="18" s="1"/>
  <c r="H9" i="18"/>
  <c r="I9" i="18" s="1"/>
  <c r="H6" i="18"/>
  <c r="I6" i="18" s="1"/>
  <c r="H4" i="18"/>
  <c r="I4" i="18" s="1"/>
  <c r="H12" i="18"/>
  <c r="I12" i="18" s="1"/>
  <c r="H7" i="18"/>
  <c r="I7" i="18" s="1"/>
  <c r="H15" i="18"/>
  <c r="I15" i="18" s="1"/>
  <c r="H10" i="18"/>
  <c r="I10" i="18" s="1"/>
  <c r="C4" i="34"/>
  <c r="H5" i="18"/>
  <c r="I5" i="18" s="1"/>
  <c r="H13" i="18"/>
  <c r="I13" i="18" s="1"/>
  <c r="H8" i="18"/>
  <c r="I8" i="18" s="1"/>
  <c r="H11" i="18"/>
  <c r="I11" i="18" s="1"/>
  <c r="H6" i="34"/>
  <c r="I6" i="34" s="1"/>
  <c r="H7" i="34"/>
  <c r="I7" i="34" s="1"/>
  <c r="H8" i="34"/>
  <c r="I8" i="34" s="1"/>
  <c r="H5" i="34"/>
  <c r="I5" i="34" s="1"/>
  <c r="H9" i="34"/>
  <c r="I9" i="34" s="1"/>
  <c r="H10" i="34"/>
  <c r="I10" i="34" s="1"/>
  <c r="H11" i="34"/>
  <c r="I11" i="34" s="1"/>
  <c r="H12" i="34"/>
  <c r="I12" i="34" s="1"/>
  <c r="H13" i="34"/>
  <c r="I13" i="34" s="1"/>
  <c r="H14" i="34"/>
  <c r="I14" i="34" s="1"/>
  <c r="H15" i="34"/>
  <c r="I15" i="34" s="1"/>
  <c r="E7" i="34"/>
  <c r="F7" i="34" s="1"/>
  <c r="E8" i="34"/>
  <c r="F8" i="34" s="1"/>
  <c r="E14" i="34"/>
  <c r="F14" i="34" s="1"/>
  <c r="E15" i="34"/>
  <c r="F15" i="34" s="1"/>
  <c r="C2" i="29"/>
  <c r="E2" i="29" s="1"/>
  <c r="F2" i="29" s="1"/>
  <c r="C2" i="30"/>
  <c r="E4" i="29"/>
  <c r="F4" i="29" s="1"/>
  <c r="C2" i="18"/>
  <c r="H7" i="1"/>
  <c r="I7" i="1" s="1"/>
  <c r="H4" i="1"/>
  <c r="H5" i="1"/>
  <c r="I5" i="1" s="1"/>
  <c r="H15" i="1"/>
  <c r="I15" i="1" s="1"/>
  <c r="H12" i="1"/>
  <c r="I12" i="1" s="1"/>
  <c r="H11" i="1"/>
  <c r="I11" i="1" s="1"/>
  <c r="H10" i="1"/>
  <c r="I10" i="1" s="1"/>
  <c r="H6" i="1"/>
  <c r="I6" i="1" s="1"/>
  <c r="C2" i="1"/>
  <c r="E2" i="3"/>
  <c r="F2" i="3" s="1"/>
  <c r="E4" i="1"/>
  <c r="F4" i="1" s="1"/>
  <c r="H14" i="1"/>
  <c r="I14" i="1" s="1"/>
  <c r="H13" i="1"/>
  <c r="I13" i="1" s="1"/>
  <c r="H9" i="1"/>
  <c r="I9" i="1" s="1"/>
  <c r="H8" i="1"/>
  <c r="I8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I23" i="34"/>
  <c r="I20" i="34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<sst xmlns="http://schemas.openxmlformats.org/spreadsheetml/2006/main" count="499" uniqueCount="221">
  <si>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</si>
  <si>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</si>
  <si>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</si>
  <si>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</si>
  <si>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</si>
  <si>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</si>
  <si>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</si>
  <si>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</si>
  <si>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</si>
  <si>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</si>
  <si>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</si>
  <si>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</si>
  <si>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</si>
  <si>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</si>
  <si>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</si>
  <si>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</si>
  <si>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</si>
  <si>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</si>
  <si>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</si>
  <si>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</si>
  <si>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</si>
  <si>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</si>
  <si>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 xml:space="preserve">1. Inverter 8 was offline on 01/15/24 7 and back online on 01/17/2024. </t>
  </si>
  <si>
    <t>1.SR080248</t>
  </si>
  <si>
    <t xml:space="preserve">1. Inverter 4 tripped offline on 01/12/2024 at 08:30 &amp; back online on 01/17/2024 at 14:30. </t>
  </si>
  <si>
    <t>1.SR080166</t>
  </si>
  <si>
    <t>1.Site tripped offline on 01/13/2024 at 03:30 &amp; back on 01/16/2024 mid day.</t>
  </si>
  <si>
    <t>1. SR080182</t>
  </si>
  <si>
    <t xml:space="preserve">1.  Inverter 1 was tripped offline on 01/02/2024 at 8:45 &amp; back online on 01/03/2024 at 11:30. 
2. Site was offline tripped offline on 01/21/2024 at 11:45 &amp; back online on 01/22/2024 at 10:30. </t>
  </si>
  <si>
    <t>1. SR079865
2. SR080375</t>
  </si>
  <si>
    <t>1. Site was tripped offline on 01/07 at 18:15 and back online on 01/08 at 12:00</t>
  </si>
  <si>
    <t>1. SR080033</t>
  </si>
  <si>
    <t xml:space="preserve">1. Inverter 17 tripped offline on 01/23/2024 at 12:00 &amp; back online at 16:30. </t>
  </si>
  <si>
    <t>1. SR079023</t>
  </si>
  <si>
    <t xml:space="preserve">1.Inverters 14 and 18 tripped offline on 01/23/2024 at 13:45 &amp; back online on 01/24/2024. </t>
  </si>
  <si>
    <t>1. SR080417</t>
  </si>
  <si>
    <t xml:space="preserve">1. Inverter 7 tripped offline at 12/05/2023 at 13:00 &amp; back online at 01/24 at 12:15. 
2.  Inverters 2, 5, and 24 tripped offline on 01/23/2024 &amp; back online  on 01/24/2024. </t>
  </si>
  <si>
    <t>1.SR078798
2. SR080419</t>
  </si>
  <si>
    <t>February Actual v. Expected</t>
  </si>
  <si>
    <t>February Actual v. Forecasted</t>
  </si>
  <si>
    <t>1. Inverter 8 is offline on 02/16 and back online on 02/17</t>
  </si>
  <si>
    <t>1. SR080248</t>
  </si>
  <si>
    <t>1.Site tripped offline on 02/15 at 21:30 and back online at 02/16 at 10:30AM</t>
  </si>
  <si>
    <t>1. CB 1.1 is offline for whole month.</t>
  </si>
  <si>
    <t>1. SR079865</t>
  </si>
  <si>
    <t>1. Except inverter 13 all other inverters tripped offline on 02/16/2024 at 09:00AM and later back online on 02/16/2024 at 14:00.</t>
  </si>
  <si>
    <t>1. SR081055</t>
  </si>
  <si>
    <t>March Actual v. Expected</t>
  </si>
  <si>
    <t>March Actual v. Forecasted</t>
  </si>
  <si>
    <t>1. Inverter 3 is derating about 20kW during peak hours on 03/01 and later the inverter was powercycled by technician.</t>
  </si>
  <si>
    <t>1. 	SR081496</t>
  </si>
  <si>
    <t xml:space="preserve">1. Inverter 13 derated on 03/21 &amp; resolved next day. </t>
  </si>
  <si>
    <t>1.SR082332</t>
  </si>
  <si>
    <t xml:space="preserve">1. Inverter 3 tripped offline on 03/08 at 18:00 &amp; back online 03/11 at 15:30. </t>
  </si>
  <si>
    <t>1. SR081715</t>
  </si>
  <si>
    <t xml:space="preserve"> </t>
  </si>
  <si>
    <t>1.  Site tripped offline on 03/31 at 9:30am and back online on 04/01 at 11:00am</t>
  </si>
  <si>
    <t>1. SR082943</t>
  </si>
  <si>
    <t>1. Site is offline at 8:00am on 03/20 and back online at 15:00 on 03/20.</t>
  </si>
  <si>
    <t>1. SR082234</t>
  </si>
  <si>
    <t>1. Inverter 12 was offline on 03/31</t>
  </si>
  <si>
    <t>1. SR082945</t>
  </si>
  <si>
    <t>1. Site was offline on 03/11 between 11:15 to 15:30</t>
  </si>
  <si>
    <t>1. SR081753</t>
  </si>
  <si>
    <t>1. Inverter 5 is offline on 03/23 dur ground fault</t>
  </si>
  <si>
    <t>1. SR082598</t>
  </si>
  <si>
    <t xml:space="preserve">1. Inverter 27 was offline due to arc fault on 03/03 and 03/31 </t>
  </si>
  <si>
    <t>1. SR082924</t>
  </si>
  <si>
    <t xml:space="preserve">1. Inverters 1 to 6 are derating during 09:00am to 12:00pm on 03/10, 03/11, 03/18 &amp; 03/21.  </t>
  </si>
  <si>
    <t>1. SR082017</t>
  </si>
  <si>
    <t>1. Inverters 07 to 12 are derating during 09:00am to 12:00pm on 03/10, 03/11, 03/18 &amp; 03/21</t>
  </si>
  <si>
    <t>1. SR082020</t>
  </si>
  <si>
    <t>1. Inverter 5 is derating during sunny days throughout the month 
2. Inverter 3 right unit, Inverter 2 left unit has multiple tripping events thorughtout the month
3. Inverter 2 left unit tripped offline on 03/16 and back online 03/21</t>
  </si>
  <si>
    <t>1. SR081196
2. SR081401
3. SR082342</t>
  </si>
  <si>
    <t xml:space="preserve">1. Site was offline on 03/10 between 14:00 to 15:00 
2. Technician took inverters 6, 7 and 11 offline about 1 hour on 03/13 
3. Inverter 11 tripped offline on 03/29 at 10:55 and back online at 17:00
4. Inverters 9, 10 and 11 7 were offline during peak hours on 03/29, 03/30 and 03/31 </t>
  </si>
  <si>
    <t>1. SR081730
2. PM7645
3. SR082897
4. SR082904</t>
  </si>
  <si>
    <t>1. Inverters 11 &amp; 16 are offline on 03/14 between 09:30 to 14:15</t>
  </si>
  <si>
    <t>1. SR081897</t>
  </si>
  <si>
    <t>April Actual v. Expected</t>
  </si>
  <si>
    <t>April Actual v. Forecasted</t>
  </si>
  <si>
    <t>1. Site tripped offline at 07:30AM on 04/04 and back online at 13:15 on 04/05.</t>
  </si>
  <si>
    <t>1. SR083068</t>
  </si>
  <si>
    <t xml:space="preserve">1. Site tripped offline at 07:15AM on 04/04 and back online at 13:15 on 04/05.
</t>
  </si>
  <si>
    <t>1. SR083069</t>
  </si>
  <si>
    <t>1. Inverter 13 is underperformed 4kW down compared to its peers through out the month</t>
  </si>
  <si>
    <t>1. SR075675</t>
  </si>
  <si>
    <t>1. Site tripped offline on 04/04 at 14:45 and back online at 15:30 on same day.
2. Site tripped offline on 04/05 at 16:10 and back online on 04/19 at 09:30.
3. Inverter 4 tripped offline on 04/27 at 07:10 and back online on 04/29 at 13:15.</t>
  </si>
  <si>
    <t>1. SR083106
2. SR083114 &amp; SR083365
3. SR083878</t>
  </si>
  <si>
    <t>1. Site tripped offline on 04/12 at 08:30 and back online at 13:45 on same day.</t>
  </si>
  <si>
    <t>1. SR083363</t>
  </si>
  <si>
    <t>1. Site tripped offline on 03/31 and back online on 04/01 at 11:00.
2. Inverter 5 right and left unit tripped offline on 04/15 at 13:00 and back online on 04/19 at 12:45.
3. Site tripped offline on 04/28 at 15:30 and back online on 04/29 at 10:45.</t>
  </si>
  <si>
    <t>1. SR082943
2. SR083523
3. SR083903</t>
  </si>
  <si>
    <t>1. Site tripped offline on 04/01 at 16:00 and still offline.</t>
  </si>
  <si>
    <t>1. SR082974, SR084822</t>
  </si>
  <si>
    <t>1. Inverter 3 dropped 1 string on 4/23 and underproducing 5kW since then, some of the modules need to be replaced</t>
  </si>
  <si>
    <t>1. SR083810, SR081044</t>
  </si>
  <si>
    <t>1. Inverters 3,4,5,6,7,8,9,10,11,12 tripped offline around 10am on 04/04 and back online on 04/05</t>
  </si>
  <si>
    <t>1. SR083077</t>
  </si>
  <si>
    <t>1. Inverter 27 tripped offline on 03/30 and back online on 04/01 at 12:15pm.
2. Inverter 27 tripped offline on 04/08 at 07:45am and back online on 04/09 at 14:15.</t>
  </si>
  <si>
    <t>1. SR082924
2. SR083176</t>
  </si>
  <si>
    <t>1. Inverter 8 is underperforming 5kW compared to its peers for whole month.</t>
  </si>
  <si>
    <t>1. SR087088</t>
  </si>
  <si>
    <t>1. Inverter 17 was underproduced 5kW compared to its peers for whole month.</t>
  </si>
  <si>
    <t>1. 	SR083972</t>
  </si>
  <si>
    <t>1. Inverter 5 has multiple trip events during high irradiance days.</t>
  </si>
  <si>
    <t>1. SR084029</t>
  </si>
  <si>
    <t xml:space="preserve">1. Inverter 11 tripped offline on 04/07 at 11:15 am and later back online at 16:30 pm on same day.
</t>
  </si>
  <si>
    <t xml:space="preserve">1. SR083158
</t>
  </si>
  <si>
    <t>May Actual v. Expected</t>
  </si>
  <si>
    <t>May Actual v. Forecasted</t>
  </si>
  <si>
    <t>1. Inverter 11 is offline from 05/13. Inverter being RMA'D.</t>
  </si>
  <si>
    <t>1. SR084606</t>
  </si>
  <si>
    <t>1. Inverter 2 was offline on 05/23 and  later back online on 05/24 and started late on 05/27.</t>
  </si>
  <si>
    <t>1. SR085060</t>
  </si>
  <si>
    <t>1. Site tripped offline on 05/19 at 06:35 and back online on 05/20 at 07:00.
2. Inverter 13 is underperformed 4kW down compared to its peers through out the month</t>
  </si>
  <si>
    <t>1. SR084834
2. SR075675</t>
  </si>
  <si>
    <t>1. Inverter 5 right unit tripped offline on 05/02 at 15:14 &amp; left unit tripped offline on 05/11 at 12:15 and back online on 05/20 at 17:30.</t>
  </si>
  <si>
    <t>1. SR084220</t>
  </si>
  <si>
    <t>1. Inverter 9 derated about 3kW during high irradiance days from 05/25 to 06/13</t>
  </si>
  <si>
    <t>1. SR085423</t>
  </si>
  <si>
    <t>1. Site was offline from 07:15 AM to 11:30 AM on 05/11 due to utility planned outage</t>
  </si>
  <si>
    <t>1. SR084574</t>
  </si>
  <si>
    <t>1. Site tripped offline on 05/28 at 09:56am and back online at 13:00 on same day</t>
  </si>
  <si>
    <t>1. SR085214</t>
  </si>
  <si>
    <t>1. Site tripped offline on 05/30 at 09:00am and back online at 18:00 on same day.</t>
  </si>
  <si>
    <t>1. SR085302</t>
  </si>
  <si>
    <t>1. SR085303</t>
  </si>
  <si>
    <t>1. Inverter 8 is underperforming 5kW compared to its peers for whole month.
2. Site was offline from 12:00pm to 13:45pm on 05/20.</t>
  </si>
  <si>
    <t>1. SR087088
2. SR084908</t>
  </si>
  <si>
    <t>1. Inverter 25 was tripped offline at 8:30am on 05/01 and back online on 05/02 at 14:00.</t>
  </si>
  <si>
    <t>1. SR084041</t>
  </si>
  <si>
    <t>1.Inverter 5 has multiple trip events throughout the day during high irradiance days observed on 05/01, 05/02, 05/07, 05/11 &amp; 05/20 to 05/22.</t>
  </si>
  <si>
    <t>1. Inverter 1 is underperforming by 16kW, inverter 2 is underperforming by 24kW, inverter 3 is underperforming by 15kW, inverter 4 is underperforming by 8kW, inverter 5 is underperforming by 9kW, inverter 9 is underperforming by 6kW for whole month.</t>
  </si>
  <si>
    <t>1.  SR087390</t>
  </si>
  <si>
    <t>June Actual v. Expected</t>
  </si>
  <si>
    <t>June Actual v. Forecasted</t>
  </si>
  <si>
    <t xml:space="preserve">1. Inverter 11 is offline from 05/13 and back online at 12:45PM on 06/11.
2. Inverter 10 tripped offline at 16:30 on 06/18. Inverter is being RMA'd </t>
  </si>
  <si>
    <t>1. SR084606
2. SR086410</t>
  </si>
  <si>
    <t>1. Site tripped offline at 14:15 on 06/13 and back online at 12:00PM on 06/14.
2. Inverter 9 is underperforming approximately 20kW from 06/15 to 06/18
and Inverter 13 is underperforming approximately 6kW from 06/15.</t>
  </si>
  <si>
    <t>1. SR086178
2. SR086279</t>
  </si>
  <si>
    <t>1. Inverter 2 was offline on 06/03 and back online on 06/04 and started late on 06/06 and 06/07. 
2. Inverter 15 underproduced about 28 kW from 06/08 to 06/11.
3. Inverter 8 was started late on 06/18, 06/23, 06/24, 06/25, 06/27 &amp; was offline on  06/22, again tripped offline on 06/28 at 14:15 and back online on 06/29 and was offline on 06/30.
4. Inverter 9 tripped offline on 06/20 at 06:30 and back online at 14:45 on same day .</t>
  </si>
  <si>
    <t>1. SR085060
2. SR085845
3. SR086354
4. SR086479</t>
  </si>
  <si>
    <t>1. Site tripped offline on 06/23 at 10:00 and back online on 06/24 at 09:15.</t>
  </si>
  <si>
    <t>1. SR086759</t>
  </si>
  <si>
    <t>1. Site tripped offline on 06/09 at 08:45 and back online on 06/10 at 08:30.</t>
  </si>
  <si>
    <t>1. SR085784</t>
  </si>
  <si>
    <t>1. Site was offline on 06/18 from 05:00 to 12:30.
2. Site was offline on 06/28 from 05:00 to 15:15.</t>
  </si>
  <si>
    <t>1. SR086350
2. SR087062</t>
  </si>
  <si>
    <t>1. Inverter 2 primary unit tripped offline on 06/02 at 11:39 and back online on 06/25 at 15:30.
2. Site tripped offlline on 06/22 at 16:30 and back online on 06/24 at 07:30</t>
  </si>
  <si>
    <t>1. SR085537
2. SR086659</t>
  </si>
  <si>
    <t>1. Site was offline on 06/03 from 06:45 to 16:30.
2. Site tripped offline on 06/14 at 12:15 and back online on 06/15 at 11:30.
3. Inverter 9 derated about 3kW during high irradiance days from 05/25 to 06/13</t>
  </si>
  <si>
    <t>1. SR085464
2. SR086251
3. SR085423</t>
  </si>
  <si>
    <t>1. Site was offline from 00:15 to 12:30 on 06/09</t>
  </si>
  <si>
    <t>1. SR085770</t>
  </si>
  <si>
    <t xml:space="preserve">1. Site is offline from 08:45AM to 19:45 on 06/22 due to planned outage.
2. Inverter 8 is underperforming approximately 5kW from 10/21/23.
</t>
  </si>
  <si>
    <t>1. 	SR086633
2. SR087088</t>
  </si>
  <si>
    <t>1. Inverter 25 tripped offline at 07:30AM on 06/09 and back online at 13:30 on 06/10.</t>
  </si>
  <si>
    <t>1. SR085777</t>
  </si>
  <si>
    <t>1. Inverter 6 is offline from 07:45AM to 14:15 on 06/03.</t>
  </si>
  <si>
    <t>1. SR085476</t>
  </si>
  <si>
    <t>1. Inverter 9 tripped offline on 06/09 at 16:00 and back online on 06/12 at 07:00.
2. Inverter 5 tripped offline on 06/14 at 15:00 and back online and back online on
06/15 at 05:30 am. 
3.  Inverter 1 is underperforming by 16kW, inverter 2 is underperforming by 24kW, inverter 3 is underperforming by 15kW, inverter 4 is underperforming by 8kW, inverter 5 is underperforming by 9kW, inverter 9 is underperforming by 6kW for whole month.</t>
  </si>
  <si>
    <t>1. SR085790
2. SR086252
3. SR087390</t>
  </si>
  <si>
    <t>1. Site tripped offline at 4:45PM on 06/02 and back online at 11:15am on 06/03</t>
  </si>
  <si>
    <t>1. SR085426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</si>
  <si>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</si>
  <si>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</si>
  <si>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</si>
  <si>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</si>
  <si>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</si>
  <si>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</si>
  <si>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</si>
  <si>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</si>
  <si>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</si>
  <si>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</si>
  <si>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</si>
  <si>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</si>
  <si>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</si>
  <si>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Greenbacker</t>
  </si>
  <si>
    <t>Site DAS Name</t>
  </si>
  <si>
    <t>Update</t>
  </si>
  <si>
    <t>DAS</t>
  </si>
  <si>
    <t>10 Walpole Park South</t>
  </si>
  <si>
    <t>MA</t>
  </si>
  <si>
    <t>PowerTrack</t>
  </si>
  <si>
    <t>15 Walpole Park South</t>
  </si>
  <si>
    <t>19 Walpole Park South</t>
  </si>
  <si>
    <t>23 Walpole Park South</t>
  </si>
  <si>
    <t>24 Walpole Park South</t>
  </si>
  <si>
    <t>25 Walpole Park South</t>
  </si>
  <si>
    <t>3 Walpole Park South</t>
  </si>
  <si>
    <t>4 Walpole Park South</t>
  </si>
  <si>
    <t>Brockton</t>
  </si>
  <si>
    <t>Canton</t>
  </si>
  <si>
    <t>Chelsea</t>
  </si>
  <si>
    <t>Hamilton MA Landfill</t>
  </si>
  <si>
    <t>Hamilton Landfill</t>
  </si>
  <si>
    <t>InAccess</t>
  </si>
  <si>
    <t>Holliston</t>
  </si>
  <si>
    <t>MA: Natick HS - Carports</t>
  </si>
  <si>
    <t>Natick HS - Carports</t>
  </si>
  <si>
    <t>Norton</t>
  </si>
  <si>
    <t>Palmer - Boston Rd.</t>
  </si>
  <si>
    <t>Shirley Bartkus</t>
  </si>
  <si>
    <t>Stoughton</t>
  </si>
  <si>
    <t>MA: Wellfleet Landfill</t>
  </si>
  <si>
    <t>Wellfleet Landfill</t>
  </si>
  <si>
    <t>Wilmington Garage &amp; Building 7</t>
  </si>
  <si>
    <t>Woburn</t>
  </si>
  <si>
    <t>Friendship Solar 1</t>
  </si>
  <si>
    <t>MD</t>
  </si>
  <si>
    <t>Friendship Solar 2</t>
  </si>
  <si>
    <t>101 Carnegie Center</t>
  </si>
  <si>
    <t>NJ</t>
  </si>
  <si>
    <t>302 Carnegie Center</t>
  </si>
  <si>
    <t>510 Carnegie Center</t>
  </si>
  <si>
    <t>701 Carnegie Center</t>
  </si>
  <si>
    <t>Hudson County Correction</t>
  </si>
  <si>
    <t>ER Bison Solar</t>
  </si>
  <si>
    <t>PA</t>
  </si>
  <si>
    <t>Danville</t>
  </si>
  <si>
    <t>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</si>
</sst>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000000"/>
      <name val="Calibri"/>
      <charset val="1"/>
    </font>
  </fonts>
  <fills count="50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theme="0"/>
        <bgColor rgb="FF000000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0" applyNumberFormat="0" applyBorder="0" applyAlignment="0" applyProtection="0"/>
    <xf numFmtId="0" fontId="14" fillId="8" borderId="5" applyNumberFormat="0" applyAlignment="0" applyProtection="0"/>
    <xf numFmtId="0" fontId="15" fillId="9" borderId="6" applyNumberFormat="0" applyAlignment="0" applyProtection="0"/>
    <xf numFmtId="0" fontId="16" fillId="9" borderId="5" applyNumberFormat="0" applyAlignment="0" applyProtection="0"/>
    <xf numFmtId="0" fontId="17" fillId="0" borderId="7" applyNumberFormat="0" applyFill="0" applyAlignment="0" applyProtection="0"/>
    <xf numFmtId="0" fontId="18" fillId="10" borderId="8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10" applyNumberFormat="0" applyFill="0" applyAlignment="0" applyProtection="0"/>
    <xf numFmtId="0" fontId="2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0" borderId="0"/>
    <xf numFmtId="0" fontId="2" fillId="11" borderId="9" applyNumberFormat="0" applyFont="0" applyAlignment="0" applyProtection="0"/>
  </cellStyleXfs>
  <cellXfs count="82">
    <xf numFmtId="0" fontId="0" fillId="0" borderId="0" xfId="0"/>
    <xf numFmtId="9" fontId="5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4" fillId="0" borderId="0" xfId="0" applyFont="1" applyAlignment="1">
      <alignment horizontal="left"/>
    </xf>
    <xf numFmtId="0" fontId="6" fillId="0" borderId="0" xfId="0" applyFont="1" applyAlignment="1">
      <alignment vertical="center"/>
    </xf>
    <xf numFmtId="3" fontId="26" fillId="36" borderId="1" xfId="0" applyNumberFormat="1" applyFont="1" applyFill="1" applyBorder="1" applyAlignment="1">
      <alignment horizontal="center" vertical="center"/>
    </xf>
    <xf numFmtId="9" fontId="26" fillId="36" borderId="1" xfId="0" applyNumberFormat="1" applyFont="1" applyFill="1" applyBorder="1" applyAlignment="1">
      <alignment horizontal="center" vertical="center"/>
    </xf>
    <xf numFmtId="3" fontId="26" fillId="36" borderId="1" xfId="1" applyNumberFormat="1" applyFont="1" applyFill="1" applyBorder="1" applyAlignment="1">
      <alignment horizontal="center" vertical="center"/>
    </xf>
    <xf numFmtId="0" fontId="30" fillId="2" borderId="1" xfId="0" applyFont="1" applyFill="1" applyBorder="1" applyAlignment="1">
      <alignment horizontal="center" vertical="center" wrapText="1"/>
    </xf>
    <xf numFmtId="49" fontId="29" fillId="40" borderId="0" xfId="0" applyNumberFormat="1" applyFont="1" applyFill="1" applyAlignment="1">
      <alignment horizontal="center" vertical="center"/>
    </xf>
    <xf numFmtId="49" fontId="29" fillId="0" borderId="0" xfId="0" applyNumberFormat="1" applyFont="1" applyAlignment="1">
      <alignment horizontal="center" vertical="center"/>
    </xf>
    <xf numFmtId="164" fontId="29" fillId="0" borderId="0" xfId="1" applyNumberFormat="1" applyFont="1" applyBorder="1" applyAlignment="1">
      <alignment horizontal="center" vertical="center"/>
    </xf>
    <xf numFmtId="49" fontId="28" fillId="40" borderId="0" xfId="0" applyNumberFormat="1" applyFont="1" applyFill="1" applyAlignment="1">
      <alignment horizontal="center" vertical="center"/>
    </xf>
    <xf numFmtId="3" fontId="31" fillId="3" borderId="0" xfId="0" applyNumberFormat="1" applyFont="1" applyFill="1" applyAlignment="1">
      <alignment horizontal="right" vertical="center"/>
    </xf>
    <xf numFmtId="9" fontId="31" fillId="3" borderId="0" xfId="2" applyFont="1" applyFill="1" applyBorder="1" applyAlignment="1">
      <alignment horizontal="center" vertical="center"/>
    </xf>
    <xf numFmtId="3" fontId="31" fillId="4" borderId="0" xfId="1" applyNumberFormat="1" applyFont="1" applyFill="1" applyBorder="1" applyAlignment="1">
      <alignment vertical="center"/>
    </xf>
    <xf numFmtId="9" fontId="31" fillId="37" borderId="0" xfId="2" applyFont="1" applyFill="1" applyBorder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3" fontId="31" fillId="0" borderId="0" xfId="0" applyNumberFormat="1" applyFont="1" applyAlignment="1">
      <alignment horizontal="right" vertical="center"/>
    </xf>
    <xf numFmtId="9" fontId="31" fillId="0" borderId="0" xfId="2" applyFont="1" applyFill="1" applyBorder="1" applyAlignment="1">
      <alignment horizontal="center" vertical="center"/>
    </xf>
    <xf numFmtId="3" fontId="31" fillId="0" borderId="0" xfId="1" applyNumberFormat="1" applyFont="1" applyFill="1" applyBorder="1" applyAlignment="1">
      <alignment vertical="center"/>
    </xf>
    <xf numFmtId="0" fontId="33" fillId="0" borderId="0" xfId="0" applyFont="1"/>
    <xf numFmtId="9" fontId="32" fillId="0" borderId="0" xfId="2" applyFont="1" applyAlignment="1">
      <alignment horizontal="center"/>
    </xf>
    <xf numFmtId="0" fontId="30" fillId="43" borderId="1" xfId="0" applyFont="1" applyFill="1" applyBorder="1" applyAlignment="1">
      <alignment horizontal="center" vertical="center" wrapText="1"/>
    </xf>
    <xf numFmtId="164" fontId="29" fillId="44" borderId="0" xfId="1" applyNumberFormat="1" applyFont="1" applyFill="1" applyBorder="1" applyAlignment="1">
      <alignment horizontal="center" vertical="center"/>
    </xf>
    <xf numFmtId="0" fontId="6" fillId="45" borderId="1" xfId="0" applyFont="1" applyFill="1" applyBorder="1" applyAlignment="1">
      <alignment horizontal="center" vertical="center"/>
    </xf>
    <xf numFmtId="0" fontId="34" fillId="0" borderId="0" xfId="0" applyFont="1" applyAlignment="1">
      <alignment vertical="center"/>
    </xf>
    <xf numFmtId="0" fontId="30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9" fillId="40" borderId="0" xfId="0" applyFont="1" applyFill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5" fillId="40" borderId="0" xfId="0" applyFont="1" applyFill="1" applyAlignment="1">
      <alignment horizontal="center"/>
    </xf>
    <xf numFmtId="0" fontId="31" fillId="0" borderId="0" xfId="0" applyFont="1"/>
    <xf numFmtId="0" fontId="26" fillId="0" borderId="0" xfId="0" applyFont="1"/>
    <xf numFmtId="0" fontId="25" fillId="41" borderId="1" xfId="0" applyFont="1" applyFill="1" applyBorder="1" applyAlignment="1">
      <alignment horizontal="center" vertical="center" wrapText="1"/>
    </xf>
    <xf numFmtId="9" fontId="25" fillId="41" borderId="1" xfId="2" applyFont="1" applyFill="1" applyBorder="1" applyAlignment="1">
      <alignment horizontal="center" vertical="center" wrapText="1"/>
    </xf>
    <xf numFmtId="0" fontId="25" fillId="42" borderId="1" xfId="0" applyFont="1" applyFill="1" applyBorder="1" applyAlignment="1">
      <alignment horizontal="center"/>
    </xf>
    <xf numFmtId="0" fontId="25" fillId="42" borderId="1" xfId="0" applyFont="1" applyFill="1" applyBorder="1" applyAlignment="1">
      <alignment horizontal="center" vertical="center" wrapText="1"/>
    </xf>
    <xf numFmtId="9" fontId="25" fillId="42" borderId="1" xfId="2" applyFont="1" applyFill="1" applyBorder="1" applyAlignment="1">
      <alignment horizontal="center" vertical="center" wrapText="1"/>
    </xf>
    <xf numFmtId="49" fontId="31" fillId="38" borderId="0" xfId="2" applyNumberFormat="1" applyFont="1" applyFill="1" applyBorder="1" applyAlignment="1">
      <alignment vertical="top" wrapText="1"/>
    </xf>
    <xf numFmtId="49" fontId="29" fillId="0" borderId="0" xfId="0" applyNumberFormat="1" applyFont="1" applyAlignment="1">
      <alignment vertical="center" wrapText="1"/>
    </xf>
    <xf numFmtId="49" fontId="28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right" wrapText="1"/>
    </xf>
    <xf numFmtId="9" fontId="31" fillId="3" borderId="0" xfId="2" applyFont="1" applyFill="1" applyAlignment="1">
      <alignment horizontal="right" vertical="center"/>
    </xf>
    <xf numFmtId="0" fontId="0" fillId="0" borderId="0" xfId="0" applyAlignment="1">
      <alignment horizontal="center" vertical="center"/>
    </xf>
    <xf numFmtId="49" fontId="28" fillId="40" borderId="0" xfId="0" applyNumberFormat="1" applyFont="1" applyFill="1" applyAlignment="1">
      <alignment horizontal="left" vertical="center"/>
    </xf>
    <xf numFmtId="49" fontId="28" fillId="0" borderId="0" xfId="0" applyNumberFormat="1" applyFont="1" applyAlignment="1">
      <alignment horizontal="left" vertical="center"/>
    </xf>
    <xf numFmtId="0" fontId="35" fillId="40" borderId="0" xfId="0" applyFont="1" applyFill="1" applyAlignment="1">
      <alignment horizontal="left"/>
    </xf>
    <xf numFmtId="0" fontId="28" fillId="0" borderId="0" xfId="0" applyFont="1" applyAlignment="1">
      <alignment horizontal="left" vertical="center"/>
    </xf>
    <xf numFmtId="0" fontId="28" fillId="40" borderId="0" xfId="0" applyFont="1" applyFill="1" applyAlignment="1">
      <alignment horizontal="left" vertical="center"/>
    </xf>
    <xf numFmtId="0" fontId="23" fillId="0" borderId="0" xfId="43" applyFont="1"/>
    <xf numFmtId="9" fontId="31" fillId="46" borderId="0" xfId="2" applyFont="1" applyFill="1" applyAlignment="1">
      <alignment horizontal="right" vertical="center"/>
    </xf>
    <xf numFmtId="0" fontId="30" fillId="43" borderId="11" xfId="0" applyFont="1" applyFill="1" applyBorder="1" applyAlignment="1">
      <alignment horizontal="center" vertical="center" wrapText="1"/>
    </xf>
    <xf numFmtId="0" fontId="25" fillId="41" borderId="11" xfId="0" applyFont="1" applyFill="1" applyBorder="1" applyAlignment="1">
      <alignment horizontal="center" vertical="center" wrapText="1"/>
    </xf>
    <xf numFmtId="3" fontId="1" fillId="49" borderId="0" xfId="0" applyNumberFormat="1" applyFont="1" applyFill="1"/>
    <xf numFmtId="0" fontId="25" fillId="42" borderId="11" xfId="0" applyFont="1" applyFill="1" applyBorder="1" applyAlignment="1">
      <alignment horizontal="center" vertical="center"/>
    </xf>
    <xf numFmtId="3" fontId="1" fillId="4" borderId="0" xfId="1" applyNumberFormat="1" applyFont="1" applyFill="1" applyBorder="1"/>
    <xf numFmtId="3" fontId="1" fillId="46" borderId="0" xfId="1" applyNumberFormat="1" applyFont="1" applyFill="1" applyBorder="1"/>
    <xf numFmtId="3" fontId="1" fillId="48" borderId="0" xfId="0" applyNumberFormat="1" applyFont="1" applyFill="1"/>
    <xf numFmtId="0" fontId="36" fillId="38" borderId="0" xfId="0" applyFont="1" applyFill="1" applyAlignment="1">
      <alignment horizontal="left" vertical="top" wrapText="1"/>
    </xf>
    <xf numFmtId="3" fontId="31" fillId="0" borderId="0" xfId="0" applyNumberFormat="1" applyFont="1" applyAlignment="1">
      <alignment horizontal="center" vertical="center"/>
    </xf>
    <xf numFmtId="3" fontId="31" fillId="3" borderId="0" xfId="0" applyNumberFormat="1" applyFont="1" applyFill="1" applyAlignment="1">
      <alignment horizontal="center" vertical="center"/>
    </xf>
    <xf numFmtId="3" fontId="1" fillId="3" borderId="0" xfId="0" applyNumberFormat="1" applyFont="1" applyFill="1" applyAlignment="1">
      <alignment horizontal="center" vertical="center"/>
    </xf>
    <xf numFmtId="3" fontId="1" fillId="46" borderId="0" xfId="0" applyNumberFormat="1" applyFont="1" applyFill="1" applyAlignment="1">
      <alignment horizontal="center" vertical="center"/>
    </xf>
    <xf numFmtId="3" fontId="1" fillId="49" borderId="0" xfId="0" applyNumberFormat="1" applyFont="1" applyFill="1" applyAlignment="1">
      <alignment horizontal="center" vertical="center"/>
    </xf>
    <xf numFmtId="0" fontId="1" fillId="49" borderId="0" xfId="0" applyFont="1" applyFill="1" applyAlignment="1">
      <alignment horizontal="center" vertical="center"/>
    </xf>
    <xf numFmtId="3" fontId="1" fillId="47" borderId="0" xfId="0" applyNumberFormat="1" applyFont="1" applyFill="1" applyAlignment="1">
      <alignment horizontal="center" vertical="center"/>
    </xf>
    <xf numFmtId="0" fontId="33" fillId="0" borderId="0" xfId="0" applyFont="1" applyAlignment="1">
      <alignment horizontal="center" vertical="center"/>
    </xf>
    <xf numFmtId="49" fontId="28" fillId="0" borderId="0" xfId="0" applyNumberFormat="1" applyFont="1" applyAlignment="1">
      <alignment vertical="top" wrapText="1"/>
    </xf>
    <xf numFmtId="49" fontId="29" fillId="0" borderId="0" xfId="0" applyNumberFormat="1" applyFont="1" applyAlignment="1">
      <alignment vertical="top" wrapText="1"/>
    </xf>
    <xf numFmtId="49" fontId="29" fillId="0" borderId="0" xfId="0" applyNumberFormat="1" applyFont="1" applyAlignment="1">
      <alignment horizontal="left" vertical="top" wrapText="1"/>
    </xf>
    <xf numFmtId="49" fontId="28" fillId="0" borderId="0" xfId="0" applyNumberFormat="1" applyFont="1" applyAlignment="1">
      <alignment horizontal="left" vertical="top" wrapText="1"/>
    </xf>
    <xf numFmtId="49" fontId="37" fillId="0" borderId="0" xfId="0" applyNumberFormat="1" applyFont="1" applyAlignment="1">
      <alignment horizontal="left" vertical="top" wrapText="1"/>
    </xf>
    <xf numFmtId="49" fontId="31" fillId="38" borderId="0" xfId="2" applyNumberFormat="1" applyFont="1" applyFill="1" applyBorder="1" applyAlignment="1">
      <alignment horizontal="left" vertical="top" wrapText="1"/>
    </xf>
    <xf numFmtId="0" fontId="35" fillId="40" borderId="0" xfId="0" applyFont="1" applyFill="1" applyAlignment="1">
      <alignment horizontal="center" vertical="center"/>
    </xf>
    <xf numFmtId="0" fontId="38" fillId="0" borderId="0" xfId="0" applyFont="1"/>
    <xf numFmtId="0" fontId="4" fillId="4" borderId="1" xfId="0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25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5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33" totalsRowShown="0">
  <autoFilter ref="A3:E33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3" dataCellStyle="Normal 2"/>
    <tableColumn id="1" xr3:uid="{9A753695-C18C-437C-AD9C-C2CE5C1A806E}" name="Site" dataDxfId="2" dataCellStyle="Normal 2"/>
    <tableColumn id="2" xr3:uid="{250F229D-34D2-4043-BE8F-6D9C210E223F}" name="State" dataDxfId="1" dataCellStyle="Normal 2"/>
    <tableColumn id="5" xr3:uid="{61DF2E38-E0FD-4D7E-AE61-BDFE8D5E1312}" name="Update"/>
    <tableColumn id="4" xr3:uid="{E086A54F-BF3D-477F-A0D7-706863BF0C38}" name="DAS" dataDxfId="0" dataCellStyle="Normal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42"/>
  <sheetViews>
    <sheetView workbookViewId="0">
      <pane xSplit="2" ySplit="3" topLeftCell="C4" activePane="bottomRight" state="frozen"/>
      <selection pane="bottomRight" activeCell="D31" sqref="D31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9" t="str" cm="1">
        <f t="array" ref="A1">portfolio</f>
        <v>Greenbacker</v>
      </c>
      <c r="B1" s="79"/>
      <c r="C1" s="79"/>
      <c r="D1" s="80" t="s">
        <v>0</v>
      </c>
      <c r="E1" s="80"/>
      <c r="F1" s="80"/>
      <c r="G1" s="78" t="s">
        <v>1</v>
      </c>
      <c r="H1" s="78"/>
      <c r="I1" s="78"/>
    </row>
    <row r="2" spans="1:9" ht="19.5" customHeight="1">
      <c r="A2" s="81" t="s">
        <v>2</v>
      </c>
      <c r="B2" s="81"/>
      <c r="C2" s="5">
        <f>SUM(C4:C100)</f>
        <v>8162101.2499142215</v>
      </c>
      <c r="D2" s="5">
        <f>SUM(D4:D100)</f>
        <v>7707441.0039999997</v>
      </c>
      <c r="E2" s="5">
        <f>C2-D2</f>
        <v>454660.24591422174</v>
      </c>
      <c r="F2" s="6">
        <f>IFERROR(E2/D2, 0)</f>
        <v>5.8989779575122615E-2</v>
      </c>
      <c r="G2" s="5">
        <f>SUM(G4:G100)</f>
        <v>20796355.472000003</v>
      </c>
      <c r="H2" s="7">
        <f>C2-G2</f>
        <v>-12634254.222085781</v>
      </c>
      <c r="I2" s="6">
        <f>IFERROR(H2/G2, 0)</f>
        <v>-0.60752251706297333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>
      <c r="A4" s="12" t="str" cm="1">
        <f t="array" ref="A4:A33">Sites[Site]</f>
        <v>10 Walpole Park South</v>
      </c>
      <c r="B4" s="9" t="str" cm="1">
        <f t="array" ref="B4:B33">Sites[State]</f>
        <v>MA</v>
      </c>
      <c r="C4" s="24">
        <f>SUM('1st Qtr'!C4, '2nd Qtr'!C4, '3rd Qtr'!C4, '4th Qtr'!C4)</f>
        <v>82941.0625</v>
      </c>
      <c r="D4" s="13">
        <f>SUM('1st Qtr'!D4, '2nd Qtr'!D4, '3rd Qtr'!D4, '4th Qtr'!D4)</f>
        <v>81475.604000000007</v>
      </c>
      <c r="E4" s="13">
        <f>IF(AND(ISNUMBER(C4),ISNUMBER(D4)), C4-D4, "")</f>
        <v>1465.4584999999934</v>
      </c>
      <c r="F4" s="14">
        <f>IFERROR(E4/D4, "")</f>
        <v>1.7986469913128762E-2</v>
      </c>
      <c r="G4" s="15">
        <f>SUM('1st Qtr'!G4, '2nd Qtr'!G4, '3rd Qtr'!G4, '4th Qtr'!G4)</f>
        <v>89877.281999999992</v>
      </c>
      <c r="H4" s="15">
        <f>SUM('1st Qtr'!H4, '2nd Qtr'!H4, '3rd Qtr'!H4, '4th Qtr'!H4)</f>
        <v>-6936.2194999999965</v>
      </c>
      <c r="I4" s="16">
        <f>IFERROR(H4/G4, "")</f>
        <v>-7.7174335334261629E-2</v>
      </c>
    </row>
    <row r="5" spans="1:9" ht="15.6">
      <c r="A5" s="17" t="str">
        <v>15 Walpole Park South</v>
      </c>
      <c r="B5" s="10" t="str">
        <v>MA</v>
      </c>
      <c r="C5" s="11">
        <f>SUM(Jan!C5, Feb!C5, Mar!C5)</f>
        <v>100657.5</v>
      </c>
      <c r="D5" s="18">
        <f>SUM(Jan!D5, Feb!D5, Mar!D5)</f>
        <v>112350.87</v>
      </c>
      <c r="E5" s="18">
        <f t="shared" ref="E5:E15" si="0">IF(AND(ISNUMBER(C5),ISNUMBER(D5)), C5-D5, "")</f>
        <v>-11693.369999999995</v>
      </c>
      <c r="F5" s="19">
        <f>IFERROR(E5/D5, "")</f>
        <v>-0.10407903383391687</v>
      </c>
      <c r="G5" s="20">
        <f>SUM('1st Qtr'!G5, '2nd Qtr'!G5, '3rd Qtr'!G5, '4th Qtr'!G5)</f>
        <v>313960.86</v>
      </c>
      <c r="H5" s="20">
        <f>SUM(Jan!H5, Feb!H5, Mar!H5)</f>
        <v>-5212.7299999999996</v>
      </c>
      <c r="I5" s="19">
        <f>IFERROR(H5/G5, "")</f>
        <v>-1.6603120529100346E-2</v>
      </c>
    </row>
    <row r="6" spans="1:9" ht="15.6">
      <c r="A6" s="12" t="str">
        <v>19 Walpole Park South</v>
      </c>
      <c r="B6" s="9" t="str">
        <v>MA</v>
      </c>
      <c r="C6" s="24">
        <f>SUM(Jan!C6, Feb!C6, Mar!C6)</f>
        <v>60231</v>
      </c>
      <c r="D6" s="13">
        <f>SUM(Jan!D6, Feb!D6, Mar!D6)</f>
        <v>67805.210000000006</v>
      </c>
      <c r="E6" s="13">
        <f t="shared" si="0"/>
        <v>-7574.2100000000064</v>
      </c>
      <c r="F6" s="14">
        <f t="shared" ref="F6:F15" si="1">IFERROR(E6/D6, "")</f>
        <v>-0.11170542794572874</v>
      </c>
      <c r="G6" s="15">
        <f>SUM('1st Qtr'!G6, '2nd Qtr'!G6, '3rd Qtr'!G6, '4th Qtr'!G6)</f>
        <v>200363.22</v>
      </c>
      <c r="H6" s="15">
        <f>SUM(Jan!H6, Feb!H6, Mar!H6)</f>
        <v>-7878.1599999999962</v>
      </c>
      <c r="I6" s="16">
        <f t="shared" ref="I6:I15" si="2">IFERROR(H6/G6, "")</f>
        <v>-3.9319392052094171E-2</v>
      </c>
    </row>
    <row r="7" spans="1:9" ht="15.6">
      <c r="A7" s="17" t="str">
        <v>23 Walpole Park South</v>
      </c>
      <c r="B7" s="10" t="str">
        <v>MA</v>
      </c>
      <c r="C7" s="11">
        <f>SUM(Jan!C7, Feb!C7, Mar!C7)</f>
        <v>84985.75</v>
      </c>
      <c r="D7" s="18">
        <f>SUM(Jan!D7, Feb!D7, Mar!D7)</f>
        <v>85604.47</v>
      </c>
      <c r="E7" s="18">
        <f t="shared" si="0"/>
        <v>-618.72000000000116</v>
      </c>
      <c r="F7" s="19">
        <f t="shared" si="1"/>
        <v>-7.2276599574765329E-3</v>
      </c>
      <c r="G7" s="20">
        <f>SUM('1st Qtr'!G7, '2nd Qtr'!G7, '3rd Qtr'!G7, '4th Qtr'!G7)</f>
        <v>262921.17</v>
      </c>
      <c r="H7" s="20">
        <f>SUM(Jan!H7, Feb!H7, Mar!H7)</f>
        <v>-3591.4000000000015</v>
      </c>
      <c r="I7" s="19">
        <f t="shared" si="2"/>
        <v>-1.365960755461419E-2</v>
      </c>
    </row>
    <row r="8" spans="1:9" ht="15.6">
      <c r="A8" s="12" t="str">
        <v>24 Walpole Park South</v>
      </c>
      <c r="B8" s="9" t="str">
        <v>MA</v>
      </c>
      <c r="C8" s="24">
        <f>SUM(Jan!C8, Feb!C8, Mar!C8)</f>
        <v>123727</v>
      </c>
      <c r="D8" s="13">
        <f>SUM(Jan!D8, Feb!D8, Mar!D8)</f>
        <v>108020.73999999999</v>
      </c>
      <c r="E8" s="13">
        <f t="shared" si="0"/>
        <v>15706.260000000009</v>
      </c>
      <c r="F8" s="14">
        <f t="shared" si="1"/>
        <v>0.14540041106920773</v>
      </c>
      <c r="G8" s="15">
        <f>SUM('1st Qtr'!G8, '2nd Qtr'!G8, '3rd Qtr'!G8, '4th Qtr'!G8)</f>
        <v>404364.39</v>
      </c>
      <c r="H8" s="15">
        <f>SUM(Jan!H8, Feb!H8, Mar!H8)</f>
        <v>-12607.190000000006</v>
      </c>
      <c r="I8" s="16">
        <f t="shared" si="2"/>
        <v>-3.1177794859730368E-2</v>
      </c>
    </row>
    <row r="9" spans="1:9" ht="15.6">
      <c r="A9" s="17" t="str">
        <v>25 Walpole Park South</v>
      </c>
      <c r="B9" s="10" t="str">
        <v>MA</v>
      </c>
      <c r="C9" s="11">
        <f>SUM(Jan!C9, Feb!C9, Mar!C9)</f>
        <v>125019.5</v>
      </c>
      <c r="D9" s="18">
        <f>SUM(Jan!D9, Feb!D9, Mar!D9)</f>
        <v>133559.04999999999</v>
      </c>
      <c r="E9" s="18">
        <f t="shared" si="0"/>
        <v>-8539.5499999999884</v>
      </c>
      <c r="F9" s="19">
        <f t="shared" si="1"/>
        <v>-6.3938385305975065E-2</v>
      </c>
      <c r="G9" s="20">
        <f>SUM('1st Qtr'!G9, '2nd Qtr'!G9, '3rd Qtr'!G9, '4th Qtr'!G9)</f>
        <v>410242.14</v>
      </c>
      <c r="H9" s="20">
        <f>SUM(Jan!H9, Feb!H9, Mar!H9)</f>
        <v>-13708.480000000003</v>
      </c>
      <c r="I9" s="19">
        <f t="shared" si="2"/>
        <v>-3.3415582319261505E-2</v>
      </c>
    </row>
    <row r="10" spans="1:9" ht="15.6">
      <c r="A10" s="12" t="str">
        <v>3 Walpole Park South</v>
      </c>
      <c r="B10" s="9" t="str">
        <v>MA</v>
      </c>
      <c r="C10" s="24">
        <f>SUM(Jan!C10, Feb!C10, Mar!C10)</f>
        <v>150714.70249999966</v>
      </c>
      <c r="D10" s="13">
        <f>SUM(Jan!D10, Feb!D10, Mar!D10)</f>
        <v>172746.2</v>
      </c>
      <c r="E10" s="13">
        <f t="shared" si="0"/>
        <v>-22031.497500000347</v>
      </c>
      <c r="F10" s="14">
        <f t="shared" si="1"/>
        <v>-0.12753679965174541</v>
      </c>
      <c r="G10" s="15">
        <f>SUM('1st Qtr'!G10, '2nd Qtr'!G10, '3rd Qtr'!G10, '4th Qtr'!G10)</f>
        <v>489112.69</v>
      </c>
      <c r="H10" s="15">
        <f>SUM(Jan!H10, Feb!H10, Mar!H10)</f>
        <v>-12058.227500000336</v>
      </c>
      <c r="I10" s="16">
        <f t="shared" si="2"/>
        <v>-2.4653270599052205E-2</v>
      </c>
    </row>
    <row r="11" spans="1:9" ht="15.6">
      <c r="A11" s="17" t="str">
        <v>4 Walpole Park South</v>
      </c>
      <c r="B11" s="10" t="str">
        <v>MA</v>
      </c>
      <c r="C11" s="11">
        <f>SUM(Jan!C11, Feb!C11, Mar!C11)</f>
        <v>87160.25</v>
      </c>
      <c r="D11" s="18">
        <f>SUM(Jan!D11, Feb!D11, Mar!D11)</f>
        <v>96935.57</v>
      </c>
      <c r="E11" s="18">
        <f t="shared" si="0"/>
        <v>-9775.320000000007</v>
      </c>
      <c r="F11" s="19">
        <f t="shared" si="1"/>
        <v>-0.10084347778632763</v>
      </c>
      <c r="G11" s="20">
        <f>SUM('1st Qtr'!G11, '2nd Qtr'!G11, '3rd Qtr'!G11, '4th Qtr'!G11)</f>
        <v>271319.14</v>
      </c>
      <c r="H11" s="20">
        <f>SUM(Jan!H11, Feb!H11, Mar!H11)</f>
        <v>-5647.6999999999971</v>
      </c>
      <c r="I11" s="19">
        <f t="shared" si="2"/>
        <v>-2.0815708025611449E-2</v>
      </c>
    </row>
    <row r="12" spans="1:9" ht="15.6">
      <c r="A12" s="12" t="str">
        <v>Brockton</v>
      </c>
      <c r="B12" s="9" t="str">
        <v>MA</v>
      </c>
      <c r="C12" s="24">
        <f>SUM(Jan!C12, Feb!C12, Mar!C12)</f>
        <v>141995.5</v>
      </c>
      <c r="D12" s="13">
        <f>SUM(Jan!D12, Feb!D12, Mar!D12)</f>
        <v>140784.93</v>
      </c>
      <c r="E12" s="13">
        <f t="shared" si="0"/>
        <v>1210.570000000007</v>
      </c>
      <c r="F12" s="14">
        <f t="shared" si="1"/>
        <v>8.5987186270576471E-3</v>
      </c>
      <c r="G12" s="15">
        <f>SUM('1st Qtr'!G12, '2nd Qtr'!G12, '3rd Qtr'!G12, '4th Qtr'!G12)</f>
        <v>454909.37</v>
      </c>
      <c r="H12" s="15">
        <f>SUM(Jan!H12, Feb!H12, Mar!H12)</f>
        <v>-12383.239999999998</v>
      </c>
      <c r="I12" s="16">
        <f t="shared" si="2"/>
        <v>-2.7221334218725805E-2</v>
      </c>
    </row>
    <row r="13" spans="1:9" ht="15.6">
      <c r="A13" s="17" t="str">
        <v>Canton</v>
      </c>
      <c r="B13" s="10" t="str">
        <v>MA</v>
      </c>
      <c r="C13" s="11">
        <f>SUM(Jan!C13, Feb!C13, Mar!C13)</f>
        <v>139223.51122448966</v>
      </c>
      <c r="D13" s="18">
        <f>SUM(Jan!D13, Feb!D13, Mar!D13)</f>
        <v>149863.22999999998</v>
      </c>
      <c r="E13" s="18">
        <f t="shared" si="0"/>
        <v>-10639.718775510322</v>
      </c>
      <c r="F13" s="19">
        <f t="shared" si="1"/>
        <v>-7.0996192832026406E-2</v>
      </c>
      <c r="G13" s="20">
        <f>SUM('1st Qtr'!G13, '2nd Qtr'!G13, '3rd Qtr'!G13, '4th Qtr'!G13)</f>
        <v>434753.52</v>
      </c>
      <c r="H13" s="20">
        <f>SUM(Jan!H13, Feb!H13, Mar!H13)</f>
        <v>-9042.0687755103354</v>
      </c>
      <c r="I13" s="19">
        <f t="shared" si="2"/>
        <v>-2.079814966307883E-2</v>
      </c>
    </row>
    <row r="14" spans="1:9" ht="15.6">
      <c r="A14" s="12" t="str">
        <v>Chelsea</v>
      </c>
      <c r="B14" s="9" t="str">
        <v>MA</v>
      </c>
      <c r="C14" s="24">
        <f>SUM(Jan!C14, Feb!C14, Mar!C14)</f>
        <v>258959</v>
      </c>
      <c r="D14" s="13">
        <f>SUM(Jan!D14, Feb!D14, Mar!D14)</f>
        <v>265501.42</v>
      </c>
      <c r="E14" s="13">
        <f t="shared" si="0"/>
        <v>-6542.4199999999837</v>
      </c>
      <c r="F14" s="14">
        <f t="shared" si="1"/>
        <v>-2.4641751445246447E-2</v>
      </c>
      <c r="G14" s="15">
        <f>SUM('1st Qtr'!G14, '2nd Qtr'!G14, '3rd Qtr'!G14, '4th Qtr'!G14)</f>
        <v>727859.33000000007</v>
      </c>
      <c r="H14" s="15">
        <f>SUM(Jan!H14, Feb!H14, Mar!H14)</f>
        <v>10401.869999999988</v>
      </c>
      <c r="I14" s="16">
        <f t="shared" si="2"/>
        <v>1.4291044397273835E-2</v>
      </c>
    </row>
    <row r="15" spans="1:9" ht="15.6">
      <c r="A15" s="17" t="str">
        <v>Hamilton Landfill</v>
      </c>
      <c r="B15" s="10" t="str">
        <v>MA</v>
      </c>
      <c r="C15" s="11">
        <f>SUM(Jan!C15, Feb!C15, Mar!C15)</f>
        <v>206487.26648176264</v>
      </c>
      <c r="D15" s="18">
        <f>SUM(Jan!D15, Feb!D15, Mar!D15)</f>
        <v>252276</v>
      </c>
      <c r="E15" s="18">
        <f t="shared" si="0"/>
        <v>-45788.733518237364</v>
      </c>
      <c r="F15" s="19">
        <f t="shared" si="1"/>
        <v>-0.18150253499436081</v>
      </c>
      <c r="G15" s="20">
        <f>SUM('1st Qtr'!G15, '2nd Qtr'!G15, '3rd Qtr'!G15, '4th Qtr'!G15)</f>
        <v>0</v>
      </c>
      <c r="H15" s="20">
        <f>SUM(Jan!H15, Feb!H15, Mar!H15)</f>
        <v>206487.26648176264</v>
      </c>
      <c r="I15" s="19" t="str">
        <f t="shared" si="2"/>
        <v/>
      </c>
    </row>
    <row r="16" spans="1:9" ht="15.6">
      <c r="A16" s="12" t="str">
        <v>Holliston</v>
      </c>
      <c r="B16" s="9" t="str">
        <v>MA</v>
      </c>
      <c r="C16" s="24">
        <f>SUM(Jan!C16, Feb!C16, Mar!C16)</f>
        <v>335953</v>
      </c>
      <c r="D16" s="13">
        <f>SUM(Jan!D16, Feb!D16, Mar!D16)</f>
        <v>354261.62</v>
      </c>
      <c r="E16" s="13">
        <f t="shared" ref="E16:E19" si="3">IF(AND(ISNUMBER(C16),ISNUMBER(D16)), C16-D16, "")</f>
        <v>-18308.619999999995</v>
      </c>
      <c r="F16" s="14">
        <f t="shared" ref="F16:F19" si="4">IFERROR(E16/D16, "")</f>
        <v>-5.1681071181236049E-2</v>
      </c>
      <c r="G16" s="15">
        <f>SUM('1st Qtr'!G16, '2nd Qtr'!G16, '3rd Qtr'!G16, '4th Qtr'!G16)</f>
        <v>1182373.1200000001</v>
      </c>
      <c r="H16" s="15">
        <f>SUM(Jan!H16, Feb!H16, Mar!H16)</f>
        <v>-58044.220000000016</v>
      </c>
      <c r="I16" s="16">
        <f t="shared" ref="I16:I19" si="5">IFERROR(H16/G16, "")</f>
        <v>-4.90912885435014E-2</v>
      </c>
    </row>
    <row r="17" spans="1:9" ht="15.6">
      <c r="A17" s="17" t="str">
        <v>Natick HS - Carports</v>
      </c>
      <c r="B17" s="10" t="str">
        <v>MA</v>
      </c>
      <c r="C17" s="11">
        <f>SUM(Jan!C17, Feb!C17, Mar!C17)</f>
        <v>114826</v>
      </c>
      <c r="D17" s="18">
        <f>SUM(Jan!D17, Feb!D17, Mar!D17)</f>
        <v>150902.6</v>
      </c>
      <c r="E17" s="18">
        <f t="shared" si="3"/>
        <v>-36076.600000000006</v>
      </c>
      <c r="F17" s="19">
        <f t="shared" si="4"/>
        <v>-0.23907209020918133</v>
      </c>
      <c r="G17" s="20">
        <f>SUM('1st Qtr'!G17, '2nd Qtr'!G17, '3rd Qtr'!G17, '4th Qtr'!G17)</f>
        <v>0</v>
      </c>
      <c r="H17" s="20">
        <f>SUM(Jan!H17, Feb!H17, Mar!H17)</f>
        <v>114826</v>
      </c>
      <c r="I17" s="19" t="str">
        <f t="shared" si="5"/>
        <v/>
      </c>
    </row>
    <row r="18" spans="1:9" ht="12.75" customHeight="1">
      <c r="A18" s="12" t="str">
        <v>Norton</v>
      </c>
      <c r="B18" s="9" t="str">
        <v>MA</v>
      </c>
      <c r="C18" s="24">
        <f>SUM(Jan!C18, Feb!C18, Mar!C18)</f>
        <v>665258</v>
      </c>
      <c r="D18" s="13">
        <f>SUM(Jan!D18, Feb!D18, Mar!D18)</f>
        <v>744061.3</v>
      </c>
      <c r="E18" s="13">
        <f t="shared" si="3"/>
        <v>-78803.300000000047</v>
      </c>
      <c r="F18" s="14">
        <f t="shared" si="4"/>
        <v>-0.10590968781738822</v>
      </c>
      <c r="G18" s="15">
        <f>SUM('1st Qtr'!G18, '2nd Qtr'!G18, '3rd Qtr'!G18, '4th Qtr'!G18)</f>
        <v>2483550</v>
      </c>
      <c r="H18" s="15">
        <f>SUM(Jan!H18, Feb!H18, Mar!H18)</f>
        <v>-122354.09999999998</v>
      </c>
      <c r="I18" s="16">
        <f t="shared" si="5"/>
        <v>-4.926580902337379E-2</v>
      </c>
    </row>
    <row r="19" spans="1:9" ht="15.6">
      <c r="A19" s="17" t="str">
        <v>Palmer - Boston Rd.</v>
      </c>
      <c r="B19" s="10" t="str">
        <v>MA</v>
      </c>
      <c r="C19" s="11">
        <f>SUM(Jan!C19, Feb!C19, Mar!C19)</f>
        <v>140541.54750000031</v>
      </c>
      <c r="D19" s="18">
        <f>SUM(Jan!D19, Feb!D19, Mar!D19)</f>
        <v>158020.53</v>
      </c>
      <c r="E19" s="18">
        <f t="shared" si="3"/>
        <v>-17478.982499999693</v>
      </c>
      <c r="F19" s="19">
        <f t="shared" si="4"/>
        <v>-0.11061209894688806</v>
      </c>
      <c r="G19" s="20">
        <f>SUM('1st Qtr'!G19, '2nd Qtr'!G19, '3rd Qtr'!G19, '4th Qtr'!G19)</f>
        <v>419500</v>
      </c>
      <c r="H19" s="20">
        <f>SUM(Jan!H19, Feb!H19, Mar!H19)</f>
        <v>-36469.452499999701</v>
      </c>
      <c r="I19" s="19">
        <f t="shared" si="5"/>
        <v>-8.693552443384911E-2</v>
      </c>
    </row>
    <row r="20" spans="1:9" ht="15.6">
      <c r="A20" s="12" t="str">
        <v>Shirley Bartkus</v>
      </c>
      <c r="B20" s="9" t="str">
        <v>MA</v>
      </c>
      <c r="C20" s="24">
        <f>SUM(Jan!C20, Feb!C20, Mar!C20)</f>
        <v>100304.5</v>
      </c>
      <c r="D20" s="13">
        <f>SUM(Jan!D20, Feb!D20, Mar!D20)</f>
        <v>128316.91</v>
      </c>
      <c r="E20" s="13">
        <f t="shared" ref="E20:E33" si="6">IF(AND(ISNUMBER(C20),ISNUMBER(D20)), C20-D20, "")</f>
        <v>-28012.410000000003</v>
      </c>
      <c r="F20" s="14">
        <f t="shared" ref="F20:F33" si="7">IFERROR(E20/D20, "")</f>
        <v>-0.21830645703672261</v>
      </c>
      <c r="G20" s="15">
        <f>SUM('1st Qtr'!G20, '2nd Qtr'!G20, '3rd Qtr'!G20, '4th Qtr'!G20)</f>
        <v>646175</v>
      </c>
      <c r="H20" s="15">
        <f>SUM(Jan!H20, Feb!H20, Mar!H20)</f>
        <v>-140323.5</v>
      </c>
      <c r="I20" s="16">
        <f t="shared" ref="I20:I33" si="8">IFERROR(H20/G20, "")</f>
        <v>-0.2171602120168685</v>
      </c>
    </row>
    <row r="21" spans="1:9" ht="15.6">
      <c r="A21" s="17" t="str">
        <v>Stoughton</v>
      </c>
      <c r="B21" s="10" t="str">
        <v>MA</v>
      </c>
      <c r="C21" s="11">
        <f>SUM(Jan!C21, Feb!C21, Mar!C21)</f>
        <v>162214.0129310349</v>
      </c>
      <c r="D21" s="18">
        <f>SUM(Jan!D21, Feb!D21, Mar!D21)</f>
        <v>120628.10999999999</v>
      </c>
      <c r="E21" s="18">
        <f t="shared" si="6"/>
        <v>41585.902931034914</v>
      </c>
      <c r="F21" s="19">
        <f t="shared" si="7"/>
        <v>0.34474471108794558</v>
      </c>
      <c r="G21" s="20">
        <f>SUM('1st Qtr'!G21, '2nd Qtr'!G21, '3rd Qtr'!G21, '4th Qtr'!G21)</f>
        <v>488929.59000000008</v>
      </c>
      <c r="H21" s="20">
        <f>SUM(Jan!H21, Feb!H21, Mar!H21)</f>
        <v>-1536.3970689651032</v>
      </c>
      <c r="I21" s="19">
        <f t="shared" si="8"/>
        <v>-3.1423687589967769E-3</v>
      </c>
    </row>
    <row r="22" spans="1:9" ht="15.6">
      <c r="A22" s="12" t="str">
        <v>Wellfleet Landfill</v>
      </c>
      <c r="B22" s="9" t="str">
        <v>MA</v>
      </c>
      <c r="C22" s="24">
        <f>SUM(Jan!C22, Feb!C22, Mar!C22)</f>
        <v>197584</v>
      </c>
      <c r="D22" s="13">
        <f>SUM(Jan!D22, Feb!D22, Mar!D22)</f>
        <v>216979</v>
      </c>
      <c r="E22" s="13">
        <f t="shared" si="6"/>
        <v>-19395</v>
      </c>
      <c r="F22" s="14">
        <f t="shared" si="7"/>
        <v>-8.938653049373442E-2</v>
      </c>
      <c r="G22" s="15">
        <f>SUM('1st Qtr'!G22, '2nd Qtr'!G22, '3rd Qtr'!G22, '4th Qtr'!G22)</f>
        <v>0</v>
      </c>
      <c r="H22" s="15">
        <f>SUM(Jan!H22, Feb!H22, Mar!H22)</f>
        <v>197584</v>
      </c>
      <c r="I22" s="16" t="str">
        <f t="shared" si="8"/>
        <v/>
      </c>
    </row>
    <row r="23" spans="1:9" ht="15.6">
      <c r="A23" s="17" t="str">
        <v>Wilmington Garage &amp; Building 7</v>
      </c>
      <c r="B23" s="10" t="str">
        <v>MA</v>
      </c>
      <c r="C23" s="11">
        <f>SUM(Jan!C23, Feb!C23, Mar!C23)</f>
        <v>236826.23999999999</v>
      </c>
      <c r="D23" s="18">
        <f>SUM(Jan!D23, Feb!D23, Mar!D23)</f>
        <v>265956.24</v>
      </c>
      <c r="E23" s="18">
        <f t="shared" si="6"/>
        <v>-29130</v>
      </c>
      <c r="F23" s="19">
        <f t="shared" si="7"/>
        <v>-0.10952929700013807</v>
      </c>
      <c r="G23" s="20">
        <f>SUM('1st Qtr'!G23, '2nd Qtr'!G23, '3rd Qtr'!G23, '4th Qtr'!G23)</f>
        <v>746035.96000000008</v>
      </c>
      <c r="H23" s="20">
        <f>SUM(Jan!H23, Feb!H23, Mar!H23)</f>
        <v>-8477.520000000015</v>
      </c>
      <c r="I23" s="19">
        <f t="shared" si="8"/>
        <v>-1.1363420068920022E-2</v>
      </c>
    </row>
    <row r="24" spans="1:9" ht="15.6">
      <c r="A24" s="12" t="str">
        <v>Woburn</v>
      </c>
      <c r="B24" s="9" t="str">
        <v>MA</v>
      </c>
      <c r="C24" s="24">
        <f>SUM(Jan!C24, Feb!C24, Mar!C24)</f>
        <v>364419.10756972153</v>
      </c>
      <c r="D24" s="13">
        <f>SUM(Jan!D24, Feb!D24, Mar!D24)</f>
        <v>441019.47</v>
      </c>
      <c r="E24" s="13">
        <f t="shared" si="6"/>
        <v>-76600.362430278445</v>
      </c>
      <c r="F24" s="14">
        <f t="shared" si="7"/>
        <v>-0.17368929863862576</v>
      </c>
      <c r="G24" s="15">
        <f>SUM('1st Qtr'!G24, '2nd Qtr'!G24, '3rd Qtr'!G24, '4th Qtr'!G24)</f>
        <v>1055051.1100000001</v>
      </c>
      <c r="H24" s="15">
        <f>SUM(Jan!H24, Feb!H24, Mar!H24)</f>
        <v>17403.397569721506</v>
      </c>
      <c r="I24" s="16">
        <f t="shared" si="8"/>
        <v>1.6495312316880558E-2</v>
      </c>
    </row>
    <row r="25" spans="1:9" ht="15.6">
      <c r="A25" s="17" t="str">
        <v>Friendship Solar 1</v>
      </c>
      <c r="B25" s="10" t="str">
        <v>MD</v>
      </c>
      <c r="C25" s="11">
        <f>SUM(Jan!C25, Feb!C25, Mar!C25)</f>
        <v>881961</v>
      </c>
      <c r="D25" s="18">
        <f>SUM(Jan!D25, Feb!D25, Mar!D25)</f>
        <v>927597.79999999993</v>
      </c>
      <c r="E25" s="18">
        <f t="shared" si="6"/>
        <v>-45636.79999999993</v>
      </c>
      <c r="F25" s="19">
        <f t="shared" si="7"/>
        <v>-4.9198909268650629E-2</v>
      </c>
      <c r="G25" s="20">
        <f>SUM('1st Qtr'!G25, '2nd Qtr'!G25, '3rd Qtr'!G25, '4th Qtr'!G25)</f>
        <v>2677152.5</v>
      </c>
      <c r="H25" s="20">
        <f>SUM(Jan!H25, Feb!H25, Mar!H25)</f>
        <v>-121795.90000000002</v>
      </c>
      <c r="I25" s="19">
        <f t="shared" si="8"/>
        <v>-4.5494569323189481E-2</v>
      </c>
    </row>
    <row r="26" spans="1:9" ht="15.6">
      <c r="A26" s="12" t="str">
        <v>Friendship Solar 2</v>
      </c>
      <c r="B26" s="9" t="str">
        <v>MD</v>
      </c>
      <c r="C26" s="24">
        <f>SUM(Jan!C26, Feb!C26, Mar!C26)</f>
        <v>883022</v>
      </c>
      <c r="D26" s="13">
        <f>SUM(Jan!D26, Feb!D26, Mar!D26)</f>
        <v>944636.9</v>
      </c>
      <c r="E26" s="13">
        <f t="shared" si="6"/>
        <v>-61614.900000000023</v>
      </c>
      <c r="F26" s="14">
        <f t="shared" si="7"/>
        <v>-6.522601435535709E-2</v>
      </c>
      <c r="G26" s="15">
        <f>SUM('1st Qtr'!G26, '2nd Qtr'!G26, '3rd Qtr'!G26, '4th Qtr'!G26)</f>
        <v>2651254.5</v>
      </c>
      <c r="H26" s="15">
        <f>SUM(Jan!H26, Feb!H26, Mar!H26)</f>
        <v>-123588.5</v>
      </c>
      <c r="I26" s="16">
        <f t="shared" si="8"/>
        <v>-4.6615102397751705E-2</v>
      </c>
    </row>
    <row r="27" spans="1:9" ht="15.6">
      <c r="A27" s="17" t="str">
        <v>101 Carnegie Center</v>
      </c>
      <c r="B27" s="10" t="str">
        <v>NJ</v>
      </c>
      <c r="C27" s="11">
        <f>SUM(Jan!C27, Feb!C27, Mar!C27)</f>
        <v>308138</v>
      </c>
      <c r="D27" s="18">
        <f>SUM(Jan!D27, Feb!D27, Mar!D27)</f>
        <v>379211.6</v>
      </c>
      <c r="E27" s="18">
        <f t="shared" si="6"/>
        <v>-71073.599999999977</v>
      </c>
      <c r="F27" s="19">
        <f t="shared" si="7"/>
        <v>-0.18742464629246569</v>
      </c>
      <c r="G27" s="20">
        <f>SUM('1st Qtr'!G27, '2nd Qtr'!G27, '3rd Qtr'!G27, '4th Qtr'!G27)</f>
        <v>0</v>
      </c>
      <c r="H27" s="20">
        <f>SUM(Jan!H27, Feb!H27, Mar!H27)</f>
        <v>308138</v>
      </c>
      <c r="I27" s="19" t="str">
        <f t="shared" si="8"/>
        <v/>
      </c>
    </row>
    <row r="28" spans="1:9" ht="15.6">
      <c r="A28" s="12" t="str">
        <v>302 Carnegie Center</v>
      </c>
      <c r="B28" s="9" t="str">
        <v>NJ</v>
      </c>
      <c r="C28" s="24">
        <f>SUM(Jan!C28, Feb!C28, Mar!C28)</f>
        <v>134830.6</v>
      </c>
      <c r="D28" s="13">
        <f>SUM(Jan!D28, Feb!D28, Mar!D28)</f>
        <v>158870.5</v>
      </c>
      <c r="E28" s="13">
        <f t="shared" si="6"/>
        <v>-24039.899999999994</v>
      </c>
      <c r="F28" s="14">
        <f t="shared" si="7"/>
        <v>-0.15131758255938008</v>
      </c>
      <c r="G28" s="15">
        <f>SUM('1st Qtr'!G28, '2nd Qtr'!G28, '3rd Qtr'!G28, '4th Qtr'!G28)</f>
        <v>0</v>
      </c>
      <c r="H28" s="15">
        <f>SUM(Jan!H28, Feb!H28, Mar!H28)</f>
        <v>134830.6</v>
      </c>
      <c r="I28" s="16" t="str">
        <f t="shared" si="8"/>
        <v/>
      </c>
    </row>
    <row r="29" spans="1:9" ht="15.6">
      <c r="A29" s="17" t="str">
        <v>510 Carnegie Center</v>
      </c>
      <c r="B29" s="10" t="str">
        <v>NJ</v>
      </c>
      <c r="C29" s="11">
        <f>SUM(Jan!C29, Feb!C29, Mar!C29)</f>
        <v>330124</v>
      </c>
      <c r="D29" s="18">
        <f>SUM(Jan!D29, Feb!D29, Mar!D29)</f>
        <v>410128</v>
      </c>
      <c r="E29" s="18">
        <f t="shared" si="6"/>
        <v>-80004</v>
      </c>
      <c r="F29" s="19">
        <f t="shared" si="7"/>
        <v>-0.19507080716264191</v>
      </c>
      <c r="G29" s="20">
        <f>SUM('1st Qtr'!G29, '2nd Qtr'!G29, '3rd Qtr'!G29, '4th Qtr'!G29)</f>
        <v>0</v>
      </c>
      <c r="H29" s="20">
        <f>SUM(Jan!H29, Feb!H29, Mar!H29)</f>
        <v>330124</v>
      </c>
      <c r="I29" s="19" t="str">
        <f t="shared" si="8"/>
        <v/>
      </c>
    </row>
    <row r="30" spans="1:9" ht="15.6">
      <c r="A30" s="12" t="str">
        <v>701 Carnegie Center</v>
      </c>
      <c r="B30" s="9" t="str">
        <v>NJ</v>
      </c>
      <c r="C30" s="24">
        <f>SUM(Jan!C30, Feb!C30, Mar!C30)</f>
        <v>259333</v>
      </c>
      <c r="D30" s="13">
        <f>SUM(Jan!D30, Feb!D30, Mar!D30)</f>
        <v>325235</v>
      </c>
      <c r="E30" s="13">
        <f t="shared" si="6"/>
        <v>-65902</v>
      </c>
      <c r="F30" s="14">
        <f t="shared" si="7"/>
        <v>-0.20262886835672667</v>
      </c>
      <c r="G30" s="15">
        <f>SUM('1st Qtr'!G30, '2nd Qtr'!G30, '3rd Qtr'!G30, '4th Qtr'!G30)</f>
        <v>0</v>
      </c>
      <c r="H30" s="15">
        <f>SUM(Jan!H30, Feb!H30, Mar!H30)</f>
        <v>259333</v>
      </c>
      <c r="I30" s="16" t="str">
        <f t="shared" si="8"/>
        <v/>
      </c>
    </row>
    <row r="31" spans="1:9" ht="15.6">
      <c r="A31" s="17" t="str">
        <v>Hudson County Correction</v>
      </c>
      <c r="B31" s="10" t="str">
        <v>NJ</v>
      </c>
      <c r="C31" s="11">
        <f>SUM(Jan!C31, Feb!C31, Mar!C31)</f>
        <v>336527.19920721248</v>
      </c>
      <c r="D31" s="18">
        <f>SUM(Jan!D31, Feb!D31, Mar!D31)</f>
        <v>314692.13</v>
      </c>
      <c r="E31" s="18">
        <f t="shared" si="6"/>
        <v>21835.06920721248</v>
      </c>
      <c r="F31" s="19">
        <f t="shared" si="7"/>
        <v>6.9385494982707324E-2</v>
      </c>
      <c r="G31" s="20">
        <f>SUM('1st Qtr'!G31, '2nd Qtr'!G31, '3rd Qtr'!G31, '4th Qtr'!G31)</f>
        <v>3246513.58</v>
      </c>
      <c r="H31" s="20">
        <f>SUM(Jan!H31, Feb!H31, Mar!H31)</f>
        <v>-30024.080792787514</v>
      </c>
      <c r="I31" s="19">
        <f t="shared" si="8"/>
        <v>-9.2480995544726823E-3</v>
      </c>
    </row>
    <row r="32" spans="1:9" ht="15.6">
      <c r="A32" s="12" t="str">
        <v>ER Bison Solar</v>
      </c>
      <c r="B32" s="9" t="str">
        <v>PA</v>
      </c>
      <c r="C32" s="24">
        <f>SUM(Jan!C32, Feb!C32, Mar!C32)</f>
        <v>406302</v>
      </c>
      <c r="D32" s="13">
        <f>SUM(Jan!D32, Feb!D32, Mar!D32)</f>
        <v>0</v>
      </c>
      <c r="E32" s="13">
        <f t="shared" si="6"/>
        <v>406302</v>
      </c>
      <c r="F32" s="14" t="str">
        <f t="shared" si="7"/>
        <v/>
      </c>
      <c r="G32" s="15">
        <f>SUM('1st Qtr'!G32, '2nd Qtr'!G32, '3rd Qtr'!G32, '4th Qtr'!G32)</f>
        <v>1140137</v>
      </c>
      <c r="H32" s="15">
        <f>SUM(Jan!H32, Feb!H32, Mar!H32)</f>
        <v>-28638</v>
      </c>
      <c r="I32" s="16">
        <f t="shared" si="8"/>
        <v>-2.5118034060819007E-2</v>
      </c>
    </row>
    <row r="33" spans="1:9" ht="15.6">
      <c r="A33" s="17" t="str">
        <v>Danville</v>
      </c>
      <c r="B33" s="10" t="str">
        <v>IL</v>
      </c>
      <c r="C33" s="11">
        <f>SUM(Jan!C33, Feb!C33, Mar!C33)</f>
        <v>741835</v>
      </c>
      <c r="D33" s="18">
        <f>SUM(Jan!D33, Feb!D33, Mar!D33)</f>
        <v>0</v>
      </c>
      <c r="E33" s="18">
        <f t="shared" si="6"/>
        <v>741835</v>
      </c>
      <c r="F33" s="19" t="str">
        <f t="shared" si="7"/>
        <v/>
      </c>
      <c r="G33" s="20">
        <f>SUM('1st Qtr'!G33, '2nd Qtr'!G33, '3rd Qtr'!G33, '4th Qtr'!G33)</f>
        <v>0</v>
      </c>
      <c r="H33" s="20">
        <f>SUM(Jan!H33, Feb!H33, Mar!H33)</f>
        <v>741835</v>
      </c>
      <c r="I33" s="19" t="str">
        <f t="shared" si="8"/>
        <v/>
      </c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9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9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9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3.9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 ht="13.9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 ht="13.9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 ht="13.9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 ht="13.9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 ht="13.9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 ht="13.9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 ht="13.9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 ht="13.9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 ht="13.9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 ht="13.9">
      <c r="A340" s="21"/>
      <c r="B340" s="21"/>
      <c r="C340" s="21"/>
      <c r="D340" s="21"/>
      <c r="E340" s="21"/>
      <c r="F340" s="22"/>
      <c r="G340" s="21"/>
      <c r="H340" s="21"/>
      <c r="I340" s="22"/>
    </row>
    <row r="341" spans="1:9" ht="13.9">
      <c r="A341" s="21"/>
      <c r="B341" s="21"/>
      <c r="C341" s="21"/>
      <c r="D341" s="21"/>
      <c r="E341" s="21"/>
      <c r="F341" s="22"/>
      <c r="G341" s="21"/>
      <c r="H341" s="21"/>
      <c r="I341" s="22"/>
    </row>
    <row r="342" spans="1:9" ht="13.9">
      <c r="A342" s="21"/>
      <c r="B342" s="21"/>
      <c r="C342" s="21"/>
      <c r="D342" s="21"/>
      <c r="E342" s="21"/>
      <c r="F342" s="22"/>
      <c r="G342" s="21"/>
      <c r="H342" s="21"/>
      <c r="I342" s="22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100 I4:I100">
    <cfRule type="cellIs" dxfId="57" priority="1" stopIfTrue="1" operator="lessThanOrEqual">
      <formula>-0.1</formula>
    </cfRule>
    <cfRule type="expression" dxfId="56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42"/>
  <sheetViews>
    <sheetView workbookViewId="0">
      <pane xSplit="2" ySplit="3" topLeftCell="C18" activePane="bottomRight" state="frozen"/>
      <selection pane="bottomRight" activeCell="C33" sqref="C33"/>
      <selection pane="bottomLeft" activeCell="K22" sqref="K22"/>
      <selection pane="topRight" activeCell="K22" sqref="K22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9" t="str" cm="1">
        <f t="array" ref="A1">portfolio</f>
        <v>Greenbacker</v>
      </c>
      <c r="B1" s="79"/>
      <c r="C1" s="79"/>
      <c r="D1" s="80" t="s">
        <v>10</v>
      </c>
      <c r="E1" s="80"/>
      <c r="F1" s="80"/>
      <c r="G1" s="78" t="s">
        <v>11</v>
      </c>
      <c r="H1" s="78"/>
      <c r="I1" s="78"/>
    </row>
    <row r="2" spans="1:9" ht="19.5" customHeight="1">
      <c r="A2" s="81" t="s">
        <v>2</v>
      </c>
      <c r="B2" s="81"/>
      <c r="C2" s="5">
        <f>SUM(C4:C100)</f>
        <v>8106439.3749142215</v>
      </c>
      <c r="D2" s="5">
        <f>SUM(D4:D100)</f>
        <v>7655316.2039999999</v>
      </c>
      <c r="E2" s="5">
        <f>C2-D2</f>
        <v>451123.17091422155</v>
      </c>
      <c r="F2" s="6">
        <f>IFERROR(E2/D2, 0)</f>
        <v>5.8929397413852606E-2</v>
      </c>
      <c r="G2" s="5">
        <f>SUM(G4:G100)</f>
        <v>6542628.0720000006</v>
      </c>
      <c r="H2" s="7">
        <f>C2-G2</f>
        <v>1563811.3029142208</v>
      </c>
      <c r="I2" s="6">
        <f>IFERROR(H2/G2, 0)</f>
        <v>0.23901882939162444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>
      <c r="A4" s="47" t="str" cm="1">
        <f t="array" ref="A4:A33">Sites[Site]</f>
        <v>10 Walpole Park South</v>
      </c>
      <c r="B4" s="9" t="str" cm="1">
        <f t="array" ref="B4:B33">Sites[State]</f>
        <v>MA</v>
      </c>
      <c r="C4" s="24">
        <f>SUM(Jan!C4, Feb!C4, Mar!C4)</f>
        <v>27279.1875</v>
      </c>
      <c r="D4" s="13">
        <f>SUM(Jan!D4, Feb!D4, Mar!D4)</f>
        <v>29350.804</v>
      </c>
      <c r="E4" s="13">
        <f>IF(AND(ISNUMBER(C4),ISNUMBER(D4)), C4-D4, "")</f>
        <v>-2071.6165000000001</v>
      </c>
      <c r="F4" s="14">
        <f>IFERROR(E4/D4, "")</f>
        <v>-7.0581252220552462E-2</v>
      </c>
      <c r="G4" s="15">
        <f>SUM(Jan!G4, Feb!G4, Mar!G4)</f>
        <v>31050.152000000002</v>
      </c>
      <c r="H4" s="15">
        <f>SUM(Jan!H4, Feb!H4, Mar!H4)</f>
        <v>-3770.9644999999991</v>
      </c>
      <c r="I4" s="16">
        <f>IFERROR(H4/G4, "")</f>
        <v>-0.121447537519301</v>
      </c>
    </row>
    <row r="5" spans="1:9" ht="15.6">
      <c r="A5" s="48" t="str">
        <v>15 Walpole Park South</v>
      </c>
      <c r="B5" s="10" t="str">
        <v>MA</v>
      </c>
      <c r="C5" s="11">
        <f>SUM(Jan!C5, Feb!C5, Mar!C5)</f>
        <v>100657.5</v>
      </c>
      <c r="D5" s="18">
        <f>SUM(Jan!D5, Feb!D5, Mar!D5)</f>
        <v>112350.87</v>
      </c>
      <c r="E5" s="18">
        <f t="shared" ref="E5:E15" si="0">IF(AND(ISNUMBER(C5),ISNUMBER(D5)), C5-D5, "")</f>
        <v>-11693.369999999995</v>
      </c>
      <c r="F5" s="19">
        <f>IFERROR(E5/D5, "")</f>
        <v>-0.10407903383391687</v>
      </c>
      <c r="G5" s="20">
        <f>SUM(Jan!G5, Feb!G5, Mar!G5)</f>
        <v>105870.23000000001</v>
      </c>
      <c r="H5" s="20">
        <f>SUM(Jan!H5, Feb!H5, Mar!H5)</f>
        <v>-5212.7299999999996</v>
      </c>
      <c r="I5" s="19">
        <f>IFERROR(H5/G5, "")</f>
        <v>-4.9236976249130648E-2</v>
      </c>
    </row>
    <row r="6" spans="1:9" ht="15.6">
      <c r="A6" s="47" t="str">
        <v>19 Walpole Park South</v>
      </c>
      <c r="B6" s="9" t="str">
        <v>MA</v>
      </c>
      <c r="C6" s="24">
        <f>SUM(Jan!C6, Feb!C6, Mar!C6)</f>
        <v>60231</v>
      </c>
      <c r="D6" s="13">
        <f>SUM(Jan!D6, Feb!D6, Mar!D6)</f>
        <v>67805.210000000006</v>
      </c>
      <c r="E6" s="13">
        <f t="shared" si="0"/>
        <v>-7574.2100000000064</v>
      </c>
      <c r="F6" s="14">
        <f t="shared" ref="F6:F15" si="1">IFERROR(E6/D6, "")</f>
        <v>-0.11170542794572874</v>
      </c>
      <c r="G6" s="15">
        <f>SUM(Jan!G6, Feb!G6, Mar!G6)</f>
        <v>68109.16</v>
      </c>
      <c r="H6" s="15">
        <f>SUM(Jan!H6, Feb!H6, Mar!H6)</f>
        <v>-7878.1599999999962</v>
      </c>
      <c r="I6" s="16">
        <f t="shared" ref="I6:I15" si="2">IFERROR(H6/G6, "")</f>
        <v>-0.11566961037252546</v>
      </c>
    </row>
    <row r="7" spans="1:9" ht="15.6">
      <c r="A7" s="48" t="str">
        <v>23 Walpole Park South</v>
      </c>
      <c r="B7" s="10" t="str">
        <v>MA</v>
      </c>
      <c r="C7" s="11">
        <f>SUM(Jan!C7, Feb!C7, Mar!C7)</f>
        <v>84985.75</v>
      </c>
      <c r="D7" s="18">
        <f>SUM(Jan!D7, Feb!D7, Mar!D7)</f>
        <v>85604.47</v>
      </c>
      <c r="E7" s="18">
        <f t="shared" si="0"/>
        <v>-618.72000000000116</v>
      </c>
      <c r="F7" s="19">
        <f t="shared" si="1"/>
        <v>-7.2276599574765329E-3</v>
      </c>
      <c r="G7" s="20">
        <f>SUM(Jan!G7, Feb!G7, Mar!G7)</f>
        <v>88577.15</v>
      </c>
      <c r="H7" s="20">
        <f>SUM(Jan!H7, Feb!H7, Mar!H7)</f>
        <v>-3591.4000000000015</v>
      </c>
      <c r="I7" s="19">
        <f t="shared" si="2"/>
        <v>-4.0545445411147248E-2</v>
      </c>
    </row>
    <row r="8" spans="1:9" ht="15.6">
      <c r="A8" s="47" t="str">
        <v>24 Walpole Park South</v>
      </c>
      <c r="B8" s="9" t="str">
        <v>MA</v>
      </c>
      <c r="C8" s="24">
        <f>SUM(Jan!C8, Feb!C8, Mar!C8)</f>
        <v>123727</v>
      </c>
      <c r="D8" s="13">
        <f>SUM(Jan!D8, Feb!D8, Mar!D8)</f>
        <v>108020.73999999999</v>
      </c>
      <c r="E8" s="13">
        <f t="shared" si="0"/>
        <v>15706.260000000009</v>
      </c>
      <c r="F8" s="14">
        <f t="shared" si="1"/>
        <v>0.14540041106920773</v>
      </c>
      <c r="G8" s="15">
        <f>SUM(Jan!G8, Feb!G8, Mar!G8)</f>
        <v>136334.19</v>
      </c>
      <c r="H8" s="15">
        <f>SUM(Jan!H8, Feb!H8, Mar!H8)</f>
        <v>-12607.190000000006</v>
      </c>
      <c r="I8" s="16">
        <f t="shared" si="2"/>
        <v>-9.247269522047262E-2</v>
      </c>
    </row>
    <row r="9" spans="1:9" ht="15.6">
      <c r="A9" s="48" t="str">
        <v>25 Walpole Park South</v>
      </c>
      <c r="B9" s="10" t="str">
        <v>MA</v>
      </c>
      <c r="C9" s="11">
        <f>SUM(Jan!C9, Feb!C9, Mar!C9)</f>
        <v>125019.5</v>
      </c>
      <c r="D9" s="18">
        <f>SUM(Jan!D9, Feb!D9, Mar!D9)</f>
        <v>133559.04999999999</v>
      </c>
      <c r="E9" s="18">
        <f t="shared" si="0"/>
        <v>-8539.5499999999884</v>
      </c>
      <c r="F9" s="19">
        <f t="shared" si="1"/>
        <v>-6.3938385305975065E-2</v>
      </c>
      <c r="G9" s="20">
        <f>SUM(Jan!G9, Feb!G9, Mar!G9)</f>
        <v>138727.98000000001</v>
      </c>
      <c r="H9" s="20">
        <f>SUM(Jan!H9, Feb!H9, Mar!H9)</f>
        <v>-13708.480000000003</v>
      </c>
      <c r="I9" s="19">
        <f t="shared" si="2"/>
        <v>-9.881553814882911E-2</v>
      </c>
    </row>
    <row r="10" spans="1:9" ht="15.6">
      <c r="A10" s="47" t="str">
        <v>3 Walpole Park South</v>
      </c>
      <c r="B10" s="9" t="str">
        <v>MA</v>
      </c>
      <c r="C10" s="24">
        <f>SUM(Jan!C10, Feb!C10, Mar!C10)</f>
        <v>150714.70249999966</v>
      </c>
      <c r="D10" s="13">
        <f>SUM(Jan!D10, Feb!D10, Mar!D10)</f>
        <v>172746.2</v>
      </c>
      <c r="E10" s="13">
        <f t="shared" si="0"/>
        <v>-22031.497500000347</v>
      </c>
      <c r="F10" s="14">
        <f t="shared" si="1"/>
        <v>-0.12753679965174541</v>
      </c>
      <c r="G10" s="15">
        <f>SUM(Jan!G10, Feb!G10, Mar!G10)</f>
        <v>162772.93</v>
      </c>
      <c r="H10" s="15">
        <f>SUM(Jan!H10, Feb!H10, Mar!H10)</f>
        <v>-12058.227500000336</v>
      </c>
      <c r="I10" s="16">
        <f t="shared" si="2"/>
        <v>-7.4080054343190455E-2</v>
      </c>
    </row>
    <row r="11" spans="1:9" ht="15.6">
      <c r="A11" s="48" t="str">
        <v>4 Walpole Park South</v>
      </c>
      <c r="B11" s="10" t="str">
        <v>MA</v>
      </c>
      <c r="C11" s="11">
        <f>SUM(Jan!C11, Feb!C11, Mar!C11)</f>
        <v>87160.25</v>
      </c>
      <c r="D11" s="18">
        <f>SUM(Jan!D11, Feb!D11, Mar!D11)</f>
        <v>96935.57</v>
      </c>
      <c r="E11" s="18">
        <f t="shared" si="0"/>
        <v>-9775.320000000007</v>
      </c>
      <c r="F11" s="19">
        <f t="shared" si="1"/>
        <v>-0.10084347778632763</v>
      </c>
      <c r="G11" s="20">
        <f>SUM(Jan!G11, Feb!G11, Mar!G11)</f>
        <v>92807.95</v>
      </c>
      <c r="H11" s="20">
        <f>SUM(Jan!H11, Feb!H11, Mar!H11)</f>
        <v>-5647.6999999999971</v>
      </c>
      <c r="I11" s="19">
        <f t="shared" si="2"/>
        <v>-6.0853622992426804E-2</v>
      </c>
    </row>
    <row r="12" spans="1:9" ht="15.6">
      <c r="A12" s="47" t="str">
        <v>Brockton</v>
      </c>
      <c r="B12" s="9" t="str">
        <v>MA</v>
      </c>
      <c r="C12" s="24">
        <f>SUM(Jan!C12, Feb!C12, Mar!C12)</f>
        <v>141995.5</v>
      </c>
      <c r="D12" s="13">
        <f>SUM(Jan!D12, Feb!D12, Mar!D12)</f>
        <v>140784.93</v>
      </c>
      <c r="E12" s="13">
        <f t="shared" si="0"/>
        <v>1210.570000000007</v>
      </c>
      <c r="F12" s="14">
        <f t="shared" si="1"/>
        <v>8.5987186270576471E-3</v>
      </c>
      <c r="G12" s="15">
        <f>SUM(Jan!G12, Feb!G12, Mar!G12)</f>
        <v>154378.74</v>
      </c>
      <c r="H12" s="15">
        <f>SUM(Jan!H12, Feb!H12, Mar!H12)</f>
        <v>-12383.239999999998</v>
      </c>
      <c r="I12" s="16">
        <f t="shared" si="2"/>
        <v>-8.021337653099124E-2</v>
      </c>
    </row>
    <row r="13" spans="1:9" ht="15.6">
      <c r="A13" s="48" t="str">
        <v>Canton</v>
      </c>
      <c r="B13" s="10" t="str">
        <v>MA</v>
      </c>
      <c r="C13" s="11">
        <f>SUM(Jan!C13, Feb!C13, Mar!C13)</f>
        <v>139223.51122448966</v>
      </c>
      <c r="D13" s="18">
        <f>SUM(Jan!D13, Feb!D13, Mar!D13)</f>
        <v>149863.22999999998</v>
      </c>
      <c r="E13" s="18">
        <f t="shared" si="0"/>
        <v>-10639.718775510322</v>
      </c>
      <c r="F13" s="19">
        <f t="shared" si="1"/>
        <v>-7.0996192832026406E-2</v>
      </c>
      <c r="G13" s="20">
        <f>SUM(Jan!G13, Feb!G13, Mar!G13)</f>
        <v>148265.58000000002</v>
      </c>
      <c r="H13" s="20">
        <f>SUM(Jan!H13, Feb!H13, Mar!H13)</f>
        <v>-9042.0687755103354</v>
      </c>
      <c r="I13" s="19">
        <f t="shared" si="2"/>
        <v>-6.0985623065787316E-2</v>
      </c>
    </row>
    <row r="14" spans="1:9" ht="15.6">
      <c r="A14" s="47" t="str">
        <v>Chelsea</v>
      </c>
      <c r="B14" s="9" t="str">
        <v>MA</v>
      </c>
      <c r="C14" s="24">
        <f>SUM(Jan!C14, Feb!C14, Mar!C14)</f>
        <v>258959</v>
      </c>
      <c r="D14" s="13">
        <f>SUM(Jan!D14, Feb!D14, Mar!D14)</f>
        <v>265501.42</v>
      </c>
      <c r="E14" s="13">
        <f t="shared" si="0"/>
        <v>-6542.4199999999837</v>
      </c>
      <c r="F14" s="14">
        <f t="shared" si="1"/>
        <v>-2.4641751445246447E-2</v>
      </c>
      <c r="G14" s="15">
        <f>SUM(Jan!G14, Feb!G14, Mar!G14)</f>
        <v>248557.13</v>
      </c>
      <c r="H14" s="15">
        <f>SUM(Jan!H14, Feb!H14, Mar!H14)</f>
        <v>10401.869999999988</v>
      </c>
      <c r="I14" s="16">
        <f t="shared" si="2"/>
        <v>4.1849010728438919E-2</v>
      </c>
    </row>
    <row r="15" spans="1:9" ht="15.6">
      <c r="A15" s="48" t="str">
        <v>Hamilton Landfill</v>
      </c>
      <c r="B15" s="10" t="str">
        <v>MA</v>
      </c>
      <c r="C15" s="11">
        <f>SUM(Jan!C15, Feb!C15, Mar!C15)</f>
        <v>206487.26648176264</v>
      </c>
      <c r="D15" s="18">
        <f>SUM(Jan!D15, Feb!D15, Mar!D15)</f>
        <v>252276</v>
      </c>
      <c r="E15" s="18">
        <f t="shared" si="0"/>
        <v>-45788.733518237364</v>
      </c>
      <c r="F15" s="19">
        <f t="shared" si="1"/>
        <v>-0.18150253499436081</v>
      </c>
      <c r="G15" s="20">
        <f>SUM(Jan!G15, Feb!G15, Mar!G15)</f>
        <v>0</v>
      </c>
      <c r="H15" s="20">
        <f>SUM(Jan!H15, Feb!H15, Mar!H15)</f>
        <v>206487.26648176264</v>
      </c>
      <c r="I15" s="19" t="str">
        <f t="shared" si="2"/>
        <v/>
      </c>
    </row>
    <row r="16" spans="1:9" ht="15.6">
      <c r="A16" s="47" t="str">
        <v>Holliston</v>
      </c>
      <c r="B16" s="9" t="str">
        <v>MA</v>
      </c>
      <c r="C16" s="24">
        <f>SUM(Jan!C16, Feb!C16, Mar!C16)</f>
        <v>335953</v>
      </c>
      <c r="D16" s="13">
        <f>SUM(Jan!D16, Feb!D16, Mar!D16)</f>
        <v>354261.62</v>
      </c>
      <c r="E16" s="13">
        <f t="shared" ref="E16:E18" si="3">IF(AND(ISNUMBER(C16),ISNUMBER(D16)), C16-D16, "")</f>
        <v>-18308.619999999995</v>
      </c>
      <c r="F16" s="14">
        <f t="shared" ref="F16:F18" si="4">IFERROR(E16/D16, "")</f>
        <v>-5.1681071181236049E-2</v>
      </c>
      <c r="G16" s="15">
        <f>SUM(Jan!G16, Feb!G16, Mar!G16)</f>
        <v>393997.22</v>
      </c>
      <c r="H16" s="15">
        <f>SUM(Jan!H16, Feb!H16, Mar!H16)</f>
        <v>-58044.220000000016</v>
      </c>
      <c r="I16" s="16">
        <f t="shared" ref="I16:I18" si="5">IFERROR(H16/G16, "")</f>
        <v>-0.14732139480578066</v>
      </c>
    </row>
    <row r="17" spans="1:9" ht="15.6">
      <c r="A17" s="48" t="str">
        <v>Natick HS - Carports</v>
      </c>
      <c r="B17" s="10" t="str">
        <v>MA</v>
      </c>
      <c r="C17" s="11">
        <f>SUM(Jan!C17, Feb!C17, Mar!C17)</f>
        <v>114826</v>
      </c>
      <c r="D17" s="18">
        <f>SUM(Jan!D17, Feb!D17, Mar!D17)</f>
        <v>150902.6</v>
      </c>
      <c r="E17" s="18">
        <f t="shared" si="3"/>
        <v>-36076.600000000006</v>
      </c>
      <c r="F17" s="19">
        <f t="shared" si="4"/>
        <v>-0.23907209020918133</v>
      </c>
      <c r="G17" s="20">
        <f>SUM(Jan!G17, Feb!G17, Mar!G17)</f>
        <v>0</v>
      </c>
      <c r="H17" s="20">
        <f>SUM(Jan!H17, Feb!H17, Mar!H17)</f>
        <v>114826</v>
      </c>
      <c r="I17" s="19" t="str">
        <f t="shared" si="5"/>
        <v/>
      </c>
    </row>
    <row r="18" spans="1:9" ht="12.75" customHeight="1">
      <c r="A18" s="47" t="str">
        <v>Norton</v>
      </c>
      <c r="B18" s="9" t="str">
        <v>MA</v>
      </c>
      <c r="C18" s="24">
        <f>SUM(Jan!C18, Feb!C18, Mar!C18)</f>
        <v>665258</v>
      </c>
      <c r="D18" s="13">
        <f>SUM(Jan!D18, Feb!D18, Mar!D18)</f>
        <v>744061.3</v>
      </c>
      <c r="E18" s="13">
        <f t="shared" si="3"/>
        <v>-78803.300000000047</v>
      </c>
      <c r="F18" s="14">
        <f t="shared" si="4"/>
        <v>-0.10590968781738822</v>
      </c>
      <c r="G18" s="15">
        <f>SUM(Jan!G18, Feb!G18, Mar!G18)</f>
        <v>787612.1</v>
      </c>
      <c r="H18" s="15">
        <f>SUM(Jan!H18, Feb!H18, Mar!H18)</f>
        <v>-122354.09999999998</v>
      </c>
      <c r="I18" s="16">
        <f t="shared" si="5"/>
        <v>-0.15534817202529008</v>
      </c>
    </row>
    <row r="19" spans="1:9" ht="15.6">
      <c r="A19" s="48" t="str">
        <v>Palmer - Boston Rd.</v>
      </c>
      <c r="B19" s="10" t="str">
        <v>MA</v>
      </c>
      <c r="C19" s="11">
        <f>SUM(Jan!C19, Feb!C19, Mar!C19)</f>
        <v>140541.54750000031</v>
      </c>
      <c r="D19" s="18">
        <f>SUM(Jan!D19, Feb!D19, Mar!D19)</f>
        <v>158020.53</v>
      </c>
      <c r="E19" s="18">
        <f t="shared" ref="E19:E33" si="6">IF(AND(ISNUMBER(C19),ISNUMBER(D19)), C19-D19, "")</f>
        <v>-17478.982499999693</v>
      </c>
      <c r="F19" s="19">
        <f t="shared" ref="F19:F33" si="7">IFERROR(E19/D19, "")</f>
        <v>-0.11061209894688806</v>
      </c>
      <c r="G19" s="20">
        <f>SUM(Jan!G19, Feb!G19, Mar!G19)</f>
        <v>177011</v>
      </c>
      <c r="H19" s="20">
        <f>SUM(Jan!H19, Feb!H19, Mar!H19)</f>
        <v>-36469.452499999701</v>
      </c>
      <c r="I19" s="19">
        <f t="shared" ref="I19:I33" si="8">IFERROR(H19/G19, "")</f>
        <v>-0.20602930043895409</v>
      </c>
    </row>
    <row r="20" spans="1:9" ht="15.6">
      <c r="A20" s="47" t="str">
        <v>Shirley Bartkus</v>
      </c>
      <c r="B20" s="9" t="str">
        <v>MA</v>
      </c>
      <c r="C20" s="24">
        <f>SUM(Jan!C20, Feb!C20, Mar!C20)</f>
        <v>100304.5</v>
      </c>
      <c r="D20" s="13">
        <f>SUM(Jan!D20, Feb!D20, Mar!D20)</f>
        <v>128316.91</v>
      </c>
      <c r="E20" s="13">
        <f t="shared" si="6"/>
        <v>-28012.410000000003</v>
      </c>
      <c r="F20" s="14">
        <f t="shared" si="7"/>
        <v>-0.21830645703672261</v>
      </c>
      <c r="G20" s="15">
        <f>SUM(Jan!G20, Feb!G20, Mar!G20)</f>
        <v>240628</v>
      </c>
      <c r="H20" s="15">
        <f>SUM(Jan!H20, Feb!H20, Mar!H20)</f>
        <v>-140323.5</v>
      </c>
      <c r="I20" s="16">
        <f t="shared" si="8"/>
        <v>-0.58315532689462568</v>
      </c>
    </row>
    <row r="21" spans="1:9" ht="15.6">
      <c r="A21" s="48" t="str">
        <v>Stoughton</v>
      </c>
      <c r="B21" s="10" t="str">
        <v>MA</v>
      </c>
      <c r="C21" s="11">
        <f>SUM(Jan!C21, Feb!C21, Mar!C21)</f>
        <v>162214.0129310349</v>
      </c>
      <c r="D21" s="18">
        <f>SUM(Jan!D21, Feb!D21, Mar!D21)</f>
        <v>120628.10999999999</v>
      </c>
      <c r="E21" s="18">
        <f t="shared" si="6"/>
        <v>41585.902931034914</v>
      </c>
      <c r="F21" s="19">
        <f t="shared" si="7"/>
        <v>0.34474471108794558</v>
      </c>
      <c r="G21" s="20">
        <f>SUM(Jan!G21, Feb!G21, Mar!G21)</f>
        <v>163750.41</v>
      </c>
      <c r="H21" s="20">
        <f>SUM(Jan!H21, Feb!H21, Mar!H21)</f>
        <v>-1536.3970689651032</v>
      </c>
      <c r="I21" s="19">
        <f t="shared" si="8"/>
        <v>-9.3825540282012308E-3</v>
      </c>
    </row>
    <row r="22" spans="1:9" ht="15.6">
      <c r="A22" s="47" t="str">
        <v>Wellfleet Landfill</v>
      </c>
      <c r="B22" s="9" t="str">
        <v>MA</v>
      </c>
      <c r="C22" s="24">
        <f>SUM(Jan!C22, Feb!C22, Mar!C22)</f>
        <v>197584</v>
      </c>
      <c r="D22" s="13">
        <f>SUM(Jan!D22, Feb!D22, Mar!D22)</f>
        <v>216979</v>
      </c>
      <c r="E22" s="13">
        <f t="shared" si="6"/>
        <v>-19395</v>
      </c>
      <c r="F22" s="14">
        <f t="shared" si="7"/>
        <v>-8.938653049373442E-2</v>
      </c>
      <c r="G22" s="15">
        <f>SUM(Jan!G22, Feb!G22, Mar!G22)</f>
        <v>0</v>
      </c>
      <c r="H22" s="15">
        <f>SUM(Jan!H22, Feb!H22, Mar!H22)</f>
        <v>197584</v>
      </c>
      <c r="I22" s="16" t="str">
        <f t="shared" si="8"/>
        <v/>
      </c>
    </row>
    <row r="23" spans="1:9" ht="15.6">
      <c r="A23" s="48" t="str">
        <v>Wilmington Garage &amp; Building 7</v>
      </c>
      <c r="B23" s="10" t="str">
        <v>MA</v>
      </c>
      <c r="C23" s="11">
        <f>SUM(Jan!C23, Feb!C23, Mar!C23)</f>
        <v>236826.23999999999</v>
      </c>
      <c r="D23" s="18">
        <f>SUM(Jan!D23, Feb!D23, Mar!D23)</f>
        <v>265956.24</v>
      </c>
      <c r="E23" s="18">
        <f t="shared" si="6"/>
        <v>-29130</v>
      </c>
      <c r="F23" s="19">
        <f t="shared" si="7"/>
        <v>-0.10952929700013807</v>
      </c>
      <c r="G23" s="20">
        <f>SUM(Jan!G23, Feb!G23, Mar!G23)</f>
        <v>245303.76</v>
      </c>
      <c r="H23" s="20">
        <f>SUM(Jan!H23, Feb!H23, Mar!H23)</f>
        <v>-8477.520000000015</v>
      </c>
      <c r="I23" s="19">
        <f t="shared" si="8"/>
        <v>-3.4559274590817583E-2</v>
      </c>
    </row>
    <row r="24" spans="1:9" ht="15.6">
      <c r="A24" s="47" t="str">
        <v>Woburn</v>
      </c>
      <c r="B24" s="9" t="str">
        <v>MA</v>
      </c>
      <c r="C24" s="24">
        <f>SUM(Jan!C24, Feb!C24, Mar!C24)</f>
        <v>364419.10756972153</v>
      </c>
      <c r="D24" s="13">
        <f>SUM(Jan!D24, Feb!D24, Mar!D24)</f>
        <v>441019.47</v>
      </c>
      <c r="E24" s="13">
        <f t="shared" si="6"/>
        <v>-76600.362430278445</v>
      </c>
      <c r="F24" s="14">
        <f t="shared" si="7"/>
        <v>-0.17368929863862576</v>
      </c>
      <c r="G24" s="15">
        <f>SUM(Jan!G24, Feb!G24, Mar!G24)</f>
        <v>347015.71</v>
      </c>
      <c r="H24" s="15">
        <f>SUM(Jan!H24, Feb!H24, Mar!H24)</f>
        <v>17403.397569721506</v>
      </c>
      <c r="I24" s="16">
        <f t="shared" si="8"/>
        <v>5.0151612933378449E-2</v>
      </c>
    </row>
    <row r="25" spans="1:9" ht="15.6">
      <c r="A25" s="48" t="str">
        <v>Friendship Solar 1</v>
      </c>
      <c r="B25" s="10" t="str">
        <v>MD</v>
      </c>
      <c r="C25" s="11">
        <f>SUM(Jan!C25, Feb!C25, Mar!C25)</f>
        <v>881961</v>
      </c>
      <c r="D25" s="18">
        <f>SUM(Jan!D25, Feb!D25, Mar!D25)</f>
        <v>927597.79999999993</v>
      </c>
      <c r="E25" s="18">
        <f t="shared" si="6"/>
        <v>-45636.79999999993</v>
      </c>
      <c r="F25" s="19">
        <f t="shared" si="7"/>
        <v>-4.9198909268650629E-2</v>
      </c>
      <c r="G25" s="20">
        <f>SUM(Jan!G25, Feb!G25, Mar!G25)</f>
        <v>1003756.9</v>
      </c>
      <c r="H25" s="20">
        <f>SUM(Jan!H25, Feb!H25, Mar!H25)</f>
        <v>-121795.90000000002</v>
      </c>
      <c r="I25" s="19">
        <f t="shared" si="8"/>
        <v>-0.12134003761269289</v>
      </c>
    </row>
    <row r="26" spans="1:9" ht="15.6">
      <c r="A26" s="47" t="str">
        <v>Friendship Solar 2</v>
      </c>
      <c r="B26" s="9" t="str">
        <v>MD</v>
      </c>
      <c r="C26" s="24">
        <f>SUM(Jan!C26, Feb!C26, Mar!C26)</f>
        <v>883022</v>
      </c>
      <c r="D26" s="13">
        <f>SUM(Jan!D26, Feb!D26, Mar!D26)</f>
        <v>944636.9</v>
      </c>
      <c r="E26" s="13">
        <f t="shared" si="6"/>
        <v>-61614.900000000023</v>
      </c>
      <c r="F26" s="14">
        <f t="shared" si="7"/>
        <v>-6.522601435535709E-2</v>
      </c>
      <c r="G26" s="15">
        <f>SUM(Jan!G26, Feb!G26, Mar!G26)</f>
        <v>1006610.5</v>
      </c>
      <c r="H26" s="15">
        <f>SUM(Jan!H26, Feb!H26, Mar!H26)</f>
        <v>-123588.5</v>
      </c>
      <c r="I26" s="16">
        <f t="shared" si="8"/>
        <v>-0.12277688341220362</v>
      </c>
    </row>
    <row r="27" spans="1:9" ht="15.6">
      <c r="A27" s="48" t="str">
        <v>101 Carnegie Center</v>
      </c>
      <c r="B27" s="10" t="str">
        <v>NJ</v>
      </c>
      <c r="C27" s="11">
        <f>SUM(Jan!C27, Feb!C27, Mar!C27)</f>
        <v>308138</v>
      </c>
      <c r="D27" s="18">
        <f>SUM(Jan!D27, Feb!D27, Mar!D27)</f>
        <v>379211.6</v>
      </c>
      <c r="E27" s="18">
        <f t="shared" si="6"/>
        <v>-71073.599999999977</v>
      </c>
      <c r="F27" s="19">
        <f t="shared" si="7"/>
        <v>-0.18742464629246569</v>
      </c>
      <c r="G27" s="20">
        <f>SUM(Jan!G27, Feb!G27, Mar!G27)</f>
        <v>0</v>
      </c>
      <c r="H27" s="20">
        <f>SUM(Jan!H27, Feb!H27, Mar!H27)</f>
        <v>308138</v>
      </c>
      <c r="I27" s="19" t="str">
        <f t="shared" si="8"/>
        <v/>
      </c>
    </row>
    <row r="28" spans="1:9" ht="15.6">
      <c r="A28" s="47" t="str">
        <v>302 Carnegie Center</v>
      </c>
      <c r="B28" s="9" t="str">
        <v>NJ</v>
      </c>
      <c r="C28" s="24">
        <f>SUM(Jan!C28, Feb!C28, Mar!C28)</f>
        <v>134830.6</v>
      </c>
      <c r="D28" s="13">
        <f>SUM(Jan!D28, Feb!D28, Mar!D28)</f>
        <v>158870.5</v>
      </c>
      <c r="E28" s="13">
        <f t="shared" si="6"/>
        <v>-24039.899999999994</v>
      </c>
      <c r="F28" s="14">
        <f t="shared" si="7"/>
        <v>-0.15131758255938008</v>
      </c>
      <c r="G28" s="15">
        <f>SUM(Jan!G28, Feb!G28, Mar!G28)</f>
        <v>0</v>
      </c>
      <c r="H28" s="15">
        <f>SUM(Jan!H28, Feb!H28, Mar!H28)</f>
        <v>134830.6</v>
      </c>
      <c r="I28" s="16" t="str">
        <f t="shared" si="8"/>
        <v/>
      </c>
    </row>
    <row r="29" spans="1:9" ht="15.6">
      <c r="A29" s="48" t="str">
        <v>510 Carnegie Center</v>
      </c>
      <c r="B29" s="10" t="str">
        <v>NJ</v>
      </c>
      <c r="C29" s="11">
        <f>SUM(Jan!C29, Feb!C29, Mar!C29)</f>
        <v>330124</v>
      </c>
      <c r="D29" s="18">
        <f>SUM(Jan!D29, Feb!D29, Mar!D29)</f>
        <v>410128</v>
      </c>
      <c r="E29" s="18">
        <f t="shared" si="6"/>
        <v>-80004</v>
      </c>
      <c r="F29" s="19">
        <f t="shared" si="7"/>
        <v>-0.19507080716264191</v>
      </c>
      <c r="G29" s="20">
        <f>SUM(Jan!G29, Feb!G29, Mar!G29)</f>
        <v>0</v>
      </c>
      <c r="H29" s="20">
        <f>SUM(Jan!H29, Feb!H29, Mar!H29)</f>
        <v>330124</v>
      </c>
      <c r="I29" s="19" t="str">
        <f t="shared" si="8"/>
        <v/>
      </c>
    </row>
    <row r="30" spans="1:9" ht="15.6">
      <c r="A30" s="47" t="str">
        <v>701 Carnegie Center</v>
      </c>
      <c r="B30" s="9" t="str">
        <v>NJ</v>
      </c>
      <c r="C30" s="24">
        <f>SUM(Jan!C30, Feb!C30, Mar!C30)</f>
        <v>259333</v>
      </c>
      <c r="D30" s="13">
        <f>SUM(Jan!D30, Feb!D30, Mar!D30)</f>
        <v>325235</v>
      </c>
      <c r="E30" s="13">
        <f t="shared" si="6"/>
        <v>-65902</v>
      </c>
      <c r="F30" s="14">
        <f t="shared" si="7"/>
        <v>-0.20262886835672667</v>
      </c>
      <c r="G30" s="15">
        <f>SUM(Jan!G30, Feb!G30, Mar!G30)</f>
        <v>0</v>
      </c>
      <c r="H30" s="15">
        <f>SUM(Jan!H30, Feb!H30, Mar!H30)</f>
        <v>259333</v>
      </c>
      <c r="I30" s="16" t="str">
        <f t="shared" si="8"/>
        <v/>
      </c>
    </row>
    <row r="31" spans="1:9" ht="15.6">
      <c r="A31" s="48" t="str">
        <v>Hudson County Correction</v>
      </c>
      <c r="B31" s="10" t="str">
        <v>NJ</v>
      </c>
      <c r="C31" s="11">
        <f>SUM(Jan!C31, Feb!C31, Mar!C31)</f>
        <v>336527.19920721248</v>
      </c>
      <c r="D31" s="18">
        <f>SUM(Jan!D31, Feb!D31, Mar!D31)</f>
        <v>314692.13</v>
      </c>
      <c r="E31" s="18">
        <f t="shared" si="6"/>
        <v>21835.06920721248</v>
      </c>
      <c r="F31" s="19">
        <f t="shared" si="7"/>
        <v>6.9385494982707324E-2</v>
      </c>
      <c r="G31" s="20">
        <f>SUM(Jan!G31, Feb!G31, Mar!G31)</f>
        <v>366551.28</v>
      </c>
      <c r="H31" s="20">
        <f>SUM(Jan!H31, Feb!H31, Mar!H31)</f>
        <v>-30024.080792787514</v>
      </c>
      <c r="I31" s="19">
        <f t="shared" si="8"/>
        <v>-8.1909632924450609E-2</v>
      </c>
    </row>
    <row r="32" spans="1:9" ht="15.6">
      <c r="A32" s="47" t="str">
        <v>ER Bison Solar</v>
      </c>
      <c r="B32" s="9" t="str">
        <v>PA</v>
      </c>
      <c r="C32" s="24">
        <f>SUM(Jan!C32, Feb!C32, Mar!C32)</f>
        <v>406302</v>
      </c>
      <c r="D32" s="13">
        <f>SUM(Jan!D32, Feb!D32, Mar!D32)</f>
        <v>0</v>
      </c>
      <c r="E32" s="13">
        <f t="shared" si="6"/>
        <v>406302</v>
      </c>
      <c r="F32" s="14" t="str">
        <f t="shared" si="7"/>
        <v/>
      </c>
      <c r="G32" s="15">
        <f>SUM(Jan!G32, Feb!G32, Mar!G32)</f>
        <v>434940</v>
      </c>
      <c r="H32" s="15">
        <f>SUM(Jan!H32, Feb!H32, Mar!H32)</f>
        <v>-28638</v>
      </c>
      <c r="I32" s="16">
        <f t="shared" si="8"/>
        <v>-6.5843564629604084E-2</v>
      </c>
    </row>
    <row r="33" spans="1:9" ht="15.6">
      <c r="A33" s="48" t="str">
        <v>Danville</v>
      </c>
      <c r="B33" s="10" t="str">
        <v>IL</v>
      </c>
      <c r="C33" s="11">
        <f>SUM(Jan!C33, Feb!C33, Mar!C33)</f>
        <v>741835</v>
      </c>
      <c r="D33" s="21">
        <f>SUM(Jan!D33, Feb!D33, Mar!D33)</f>
        <v>0</v>
      </c>
      <c r="E33" s="18">
        <f t="shared" si="6"/>
        <v>741835</v>
      </c>
      <c r="F33" s="19" t="str">
        <f t="shared" si="7"/>
        <v/>
      </c>
      <c r="G33" s="20">
        <f>SUM(Jan!G33, Feb!G33, Mar!G33)</f>
        <v>0</v>
      </c>
      <c r="H33" s="20">
        <f>SUM(Jan!H33, Feb!H33, Mar!H33)</f>
        <v>741835</v>
      </c>
      <c r="I33" s="19" t="str">
        <f t="shared" si="8"/>
        <v/>
      </c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9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9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9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3.9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 ht="13.9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 ht="13.9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 ht="13.9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 ht="13.9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 ht="13.9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 ht="13.9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 ht="13.9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 ht="13.9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 ht="13.9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 ht="13.9">
      <c r="A340" s="21"/>
      <c r="B340" s="21"/>
      <c r="C340" s="21"/>
      <c r="D340" s="21"/>
      <c r="E340" s="21"/>
      <c r="F340" s="22"/>
      <c r="G340" s="21"/>
      <c r="H340" s="21"/>
      <c r="I340" s="22"/>
    </row>
    <row r="341" spans="1:9" ht="13.9">
      <c r="A341" s="21"/>
      <c r="B341" s="21"/>
      <c r="C341" s="21"/>
      <c r="D341" s="21"/>
      <c r="E341" s="21"/>
      <c r="F341" s="22"/>
      <c r="G341" s="21"/>
      <c r="H341" s="21"/>
      <c r="I341" s="22"/>
    </row>
    <row r="342" spans="1:9" ht="13.9">
      <c r="A342" s="21"/>
      <c r="B342" s="21"/>
      <c r="C342" s="21"/>
      <c r="D342" s="21"/>
      <c r="E342" s="21"/>
      <c r="F342" s="22"/>
      <c r="G342" s="21"/>
      <c r="H342" s="21"/>
      <c r="I342" s="22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100 I4:I100">
    <cfRule type="cellIs" dxfId="55" priority="1" stopIfTrue="1" operator="lessThanOrEqual">
      <formula>-0.1</formula>
    </cfRule>
    <cfRule type="expression" dxfId="54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42"/>
  <sheetViews>
    <sheetView workbookViewId="0">
      <pane xSplit="2" ySplit="3" topLeftCell="D24" activePane="bottomRight" state="frozen"/>
      <selection pane="bottomRight" activeCell="G31" sqref="G31"/>
      <selection pane="bottomLeft" activeCell="K22" sqref="K22"/>
      <selection pane="topRight" activeCell="K22" sqref="K22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9" t="str" cm="1">
        <f t="array" ref="A1">portfolio</f>
        <v>Greenbacker</v>
      </c>
      <c r="B1" s="79"/>
      <c r="C1" s="79"/>
      <c r="D1" s="80" t="s">
        <v>12</v>
      </c>
      <c r="E1" s="80"/>
      <c r="F1" s="80"/>
      <c r="G1" s="78" t="s">
        <v>13</v>
      </c>
      <c r="H1" s="78"/>
      <c r="I1" s="78"/>
    </row>
    <row r="2" spans="1:9" ht="19.5" customHeight="1">
      <c r="A2" s="81" t="s">
        <v>2</v>
      </c>
      <c r="B2" s="81"/>
      <c r="C2" s="5">
        <f>SUM(C4:C100)</f>
        <v>13631117.271630827</v>
      </c>
      <c r="D2" s="5">
        <f>SUM(D4:D100)</f>
        <v>11940316.761</v>
      </c>
      <c r="E2" s="5">
        <f>C2-D2</f>
        <v>1690800.5106308274</v>
      </c>
      <c r="F2" s="6">
        <f>IFERROR(E2/D2, 0)</f>
        <v>0.14160432629001904</v>
      </c>
      <c r="G2" s="5">
        <f>SUM(G4:G100)</f>
        <v>14253727.400000002</v>
      </c>
      <c r="H2" s="7">
        <f>C2-G2</f>
        <v>-622610.1283691749</v>
      </c>
      <c r="I2" s="6">
        <f>IFERROR(H2/G2, 0)</f>
        <v>-4.3680513236781474E-2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>
      <c r="A4" s="47" t="str" cm="1">
        <f t="array" ref="A4:A33">Sites[Site]</f>
        <v>10 Walpole Park South</v>
      </c>
      <c r="B4" s="9" t="str" cm="1">
        <f t="array" ref="B4:B33">Sites[State]</f>
        <v>MA</v>
      </c>
      <c r="C4" s="24">
        <f>SUM(Apr!C4, May!C4, Jun!C4)</f>
        <v>55661.875</v>
      </c>
      <c r="D4" s="13">
        <f>SUM(Apr!D4, May!D4, Jun!D4)</f>
        <v>52124.800000000003</v>
      </c>
      <c r="E4" s="13">
        <f>IF(AND(ISNUMBER(C4),ISNUMBER(D4)), C4-D4, "")</f>
        <v>3537.0749999999971</v>
      </c>
      <c r="F4" s="14">
        <f>IFERROR(E4/D4, "")</f>
        <v>6.7857814322548907E-2</v>
      </c>
      <c r="G4" s="15">
        <f>SUM(Apr!G4,May!G4,Jun!G4)</f>
        <v>58827.12999999999</v>
      </c>
      <c r="H4" s="15">
        <f>SUM(Apr!H4, May!H4, Jun!H4)</f>
        <v>-3165.2549999999974</v>
      </c>
      <c r="I4" s="16">
        <f>IFERROR(H4/G4, "")</f>
        <v>-5.3806041532197778E-2</v>
      </c>
    </row>
    <row r="5" spans="1:9" ht="15.6">
      <c r="A5" s="48" t="str">
        <v>15 Walpole Park South</v>
      </c>
      <c r="B5" s="10" t="str">
        <v>MA</v>
      </c>
      <c r="C5" s="11">
        <f>SUM(Apr!C5, May!C5, Jun!C5)</f>
        <v>202569</v>
      </c>
      <c r="D5" s="18">
        <f>SUM(Apr!D5, May!D5, Jun!D5)</f>
        <v>193291.2</v>
      </c>
      <c r="E5" s="18">
        <f t="shared" ref="E5:E15" si="0">IF(AND(ISNUMBER(C5),ISNUMBER(D5)), C5-D5, "")</f>
        <v>9277.7999999999884</v>
      </c>
      <c r="F5" s="19">
        <f>IFERROR(E5/D5, "")</f>
        <v>4.7999081179070688E-2</v>
      </c>
      <c r="G5" s="18">
        <f>SUM(Apr!G5,May!G5,Jun!G5)</f>
        <v>208090.63</v>
      </c>
      <c r="H5" s="20">
        <f>SUM(Apr!H5, May!H5, Jun!H5)</f>
        <v>-5521.6299999999901</v>
      </c>
      <c r="I5" s="19">
        <f>IFERROR(H5/G5, "")</f>
        <v>-2.6534736330991886E-2</v>
      </c>
    </row>
    <row r="6" spans="1:9" ht="15.6">
      <c r="A6" s="47" t="str">
        <v>19 Walpole Park South</v>
      </c>
      <c r="B6" s="9" t="str">
        <v>MA</v>
      </c>
      <c r="C6" s="24">
        <f>SUM(Apr!C6, May!C6, Jun!C6)</f>
        <v>128597.75</v>
      </c>
      <c r="D6" s="13">
        <f>SUM(Apr!D6, May!D6, Jun!D6)</f>
        <v>119373.17</v>
      </c>
      <c r="E6" s="13">
        <f t="shared" si="0"/>
        <v>9224.5800000000017</v>
      </c>
      <c r="F6" s="14">
        <f t="shared" ref="F6:F15" si="1">IFERROR(E6/D6, "")</f>
        <v>7.7275153202348582E-2</v>
      </c>
      <c r="G6" s="15">
        <f>SUM(Apr!G6,May!G6,Jun!G6)</f>
        <v>132254.06</v>
      </c>
      <c r="H6" s="15">
        <f>SUM(Apr!H6, May!H6, Jun!H6)</f>
        <v>-3656.3099999999977</v>
      </c>
      <c r="I6" s="16">
        <f t="shared" ref="I6:I15" si="2">IFERROR(H6/G6, "")</f>
        <v>-2.7646107801907918E-2</v>
      </c>
    </row>
    <row r="7" spans="1:9" ht="15.6">
      <c r="A7" s="48" t="str">
        <v>23 Walpole Park South</v>
      </c>
      <c r="B7" s="10" t="str">
        <v>MA</v>
      </c>
      <c r="C7" s="11">
        <f>SUM(Apr!C7, May!C7, Jun!C7)</f>
        <v>175619.25</v>
      </c>
      <c r="D7" s="18">
        <f>SUM(Apr!D7, May!D7, Jun!D7)</f>
        <v>154323.6</v>
      </c>
      <c r="E7" s="18">
        <f t="shared" si="0"/>
        <v>21295.649999999994</v>
      </c>
      <c r="F7" s="19">
        <f t="shared" si="1"/>
        <v>0.13799347604643744</v>
      </c>
      <c r="G7" s="18">
        <f>SUM(Apr!G7,May!G7,Jun!G7)</f>
        <v>174344.02</v>
      </c>
      <c r="H7" s="20">
        <f>SUM(Apr!H7, May!H7, Jun!H7)</f>
        <v>1275.2299999999959</v>
      </c>
      <c r="I7" s="19">
        <f t="shared" si="2"/>
        <v>7.3144464605094913E-3</v>
      </c>
    </row>
    <row r="8" spans="1:9" ht="15.6">
      <c r="A8" s="47" t="str">
        <v>24 Walpole Park South</v>
      </c>
      <c r="B8" s="9" t="str">
        <v>MA</v>
      </c>
      <c r="C8" s="24">
        <f>SUM(Apr!C8, May!C8, Jun!C8)</f>
        <v>248823.5</v>
      </c>
      <c r="D8" s="13">
        <f>SUM(Apr!D8, May!D8, Jun!D8)</f>
        <v>222689.46</v>
      </c>
      <c r="E8" s="13">
        <f t="shared" si="0"/>
        <v>26134.040000000008</v>
      </c>
      <c r="F8" s="14">
        <f t="shared" si="1"/>
        <v>0.11735642989120369</v>
      </c>
      <c r="G8" s="15">
        <f>SUM(Apr!G8,May!G8,Jun!G8)</f>
        <v>268030.2</v>
      </c>
      <c r="H8" s="15">
        <f>SUM(Apr!H8, May!H8, Jun!H8)</f>
        <v>-19206.700000000012</v>
      </c>
      <c r="I8" s="16">
        <f t="shared" si="2"/>
        <v>-7.1658716070054834E-2</v>
      </c>
    </row>
    <row r="9" spans="1:9" ht="15.6">
      <c r="A9" s="48" t="str">
        <v>25 Walpole Park South</v>
      </c>
      <c r="B9" s="10" t="str">
        <v>MA</v>
      </c>
      <c r="C9" s="11">
        <f>SUM(Apr!C9, May!C9, Jun!C9)</f>
        <v>252567.75</v>
      </c>
      <c r="D9" s="18">
        <f>SUM(Apr!D9, May!D9, Jun!D9)</f>
        <v>233840.07</v>
      </c>
      <c r="E9" s="18">
        <f t="shared" si="0"/>
        <v>18727.679999999993</v>
      </c>
      <c r="F9" s="19">
        <f t="shared" si="1"/>
        <v>8.008755727792928E-2</v>
      </c>
      <c r="G9" s="18">
        <f>SUM(Apr!G9,May!G9,Jun!G9)</f>
        <v>271514.16000000003</v>
      </c>
      <c r="H9" s="20">
        <f>SUM(Apr!H9, May!H9, Jun!H9)</f>
        <v>-18946.409999999989</v>
      </c>
      <c r="I9" s="19">
        <f t="shared" si="2"/>
        <v>-6.9780559511150309E-2</v>
      </c>
    </row>
    <row r="10" spans="1:9" ht="15.6">
      <c r="A10" s="47" t="str">
        <v>3 Walpole Park South</v>
      </c>
      <c r="B10" s="9" t="str">
        <v>MA</v>
      </c>
      <c r="C10" s="24">
        <f>SUM(Apr!C10, May!C10, Jun!C10)</f>
        <v>328233.79750000034</v>
      </c>
      <c r="D10" s="13">
        <f>SUM(Apr!D10, May!D10, Jun!D10)</f>
        <v>300987.89999999997</v>
      </c>
      <c r="E10" s="13">
        <f t="shared" si="0"/>
        <v>27245.89750000037</v>
      </c>
      <c r="F10" s="14">
        <f t="shared" si="1"/>
        <v>9.0521570800687914E-2</v>
      </c>
      <c r="G10" s="15">
        <f>SUM(Apr!G10,May!G10,Jun!G10)</f>
        <v>326339.76</v>
      </c>
      <c r="H10" s="15">
        <f>SUM(Apr!H10, May!H10, Jun!H10)</f>
        <v>1894.0375000003114</v>
      </c>
      <c r="I10" s="16">
        <f t="shared" si="2"/>
        <v>5.803882125795249E-3</v>
      </c>
    </row>
    <row r="11" spans="1:9" ht="15.6">
      <c r="A11" s="48" t="str">
        <v>4 Walpole Park South</v>
      </c>
      <c r="B11" s="10" t="str">
        <v>MA</v>
      </c>
      <c r="C11" s="11">
        <f>SUM(Apr!C11, May!C11, Jun!C11)</f>
        <v>177763.5</v>
      </c>
      <c r="D11" s="18">
        <f>SUM(Apr!D11, May!D11, Jun!D11)</f>
        <v>164499.28</v>
      </c>
      <c r="E11" s="18">
        <f t="shared" si="0"/>
        <v>13264.220000000001</v>
      </c>
      <c r="F11" s="19">
        <f t="shared" si="1"/>
        <v>8.063390915753553E-2</v>
      </c>
      <c r="G11" s="18">
        <f>SUM(Apr!G11,May!G11,Jun!G11)</f>
        <v>178511.19</v>
      </c>
      <c r="H11" s="20">
        <f>SUM(Apr!H11, May!H11, Jun!H11)</f>
        <v>-747.69000000000233</v>
      </c>
      <c r="I11" s="19">
        <f t="shared" si="2"/>
        <v>-4.1884769240516651E-3</v>
      </c>
    </row>
    <row r="12" spans="1:9" ht="15.6">
      <c r="A12" s="47" t="str">
        <v>Brockton</v>
      </c>
      <c r="B12" s="9" t="str">
        <v>MA</v>
      </c>
      <c r="C12" s="24">
        <f>SUM(Apr!C12, May!C12, Jun!C12)</f>
        <v>287759</v>
      </c>
      <c r="D12" s="13">
        <f>SUM(Apr!D12, May!D12, Jun!D12)</f>
        <v>257000.66999999998</v>
      </c>
      <c r="E12" s="13">
        <f t="shared" si="0"/>
        <v>30758.330000000016</v>
      </c>
      <c r="F12" s="14">
        <f t="shared" si="1"/>
        <v>0.11968190588763841</v>
      </c>
      <c r="G12" s="15">
        <f>SUM(Apr!G12,May!G12,Jun!G12)</f>
        <v>300530.63</v>
      </c>
      <c r="H12" s="15">
        <f>SUM(Apr!H12, May!H12, Jun!H12)</f>
        <v>-12771.630000000005</v>
      </c>
      <c r="I12" s="16">
        <f t="shared" si="2"/>
        <v>-4.2496932841753945E-2</v>
      </c>
    </row>
    <row r="13" spans="1:9" ht="15.6">
      <c r="A13" s="48" t="str">
        <v>Canton</v>
      </c>
      <c r="B13" s="10" t="str">
        <v>MA</v>
      </c>
      <c r="C13" s="11">
        <f>SUM(Apr!C13, May!C13, Jun!C13)</f>
        <v>243917.11174299027</v>
      </c>
      <c r="D13" s="18">
        <f>SUM(Apr!D13, May!D13, Jun!D13)</f>
        <v>228075.89</v>
      </c>
      <c r="E13" s="18">
        <f t="shared" si="0"/>
        <v>15841.221742990252</v>
      </c>
      <c r="F13" s="19">
        <f t="shared" si="1"/>
        <v>6.9455924267094835E-2</v>
      </c>
      <c r="G13" s="18">
        <f>SUM(Apr!G13,May!G13,Jun!G13)</f>
        <v>286487.94</v>
      </c>
      <c r="H13" s="20">
        <f>SUM(Apr!H13, May!H13, Jun!H13)</f>
        <v>-42570.828257009707</v>
      </c>
      <c r="I13" s="19">
        <f t="shared" si="2"/>
        <v>-0.14859553340014839</v>
      </c>
    </row>
    <row r="14" spans="1:9" ht="15.6">
      <c r="A14" s="47" t="str">
        <v>Chelsea</v>
      </c>
      <c r="B14" s="9" t="str">
        <v>MA</v>
      </c>
      <c r="C14" s="24">
        <f>SUM(Apr!C14, May!C14, Jun!C14)</f>
        <v>482782</v>
      </c>
      <c r="D14" s="13">
        <f>SUM(Apr!D14, May!D14, Jun!D14)</f>
        <v>471516.50000000006</v>
      </c>
      <c r="E14" s="13">
        <f t="shared" si="0"/>
        <v>11265.499999999942</v>
      </c>
      <c r="F14" s="14">
        <f t="shared" si="1"/>
        <v>2.3892058920525455E-2</v>
      </c>
      <c r="G14" s="15">
        <f>SUM(Apr!G14,May!G14,Jun!G14)</f>
        <v>479302.20000000007</v>
      </c>
      <c r="H14" s="15">
        <f>SUM(Apr!H14, May!H14, Jun!H14)</f>
        <v>3479.7999999999884</v>
      </c>
      <c r="I14" s="16">
        <f t="shared" si="2"/>
        <v>7.2601377585998729E-3</v>
      </c>
    </row>
    <row r="15" spans="1:9" ht="15.6">
      <c r="A15" s="48" t="str">
        <v>Hamilton Landfill</v>
      </c>
      <c r="B15" s="10" t="str">
        <v>MA</v>
      </c>
      <c r="C15" s="11">
        <f>SUM(Apr!C15, May!C15, Jun!C15)</f>
        <v>369142.39</v>
      </c>
      <c r="D15" s="18">
        <f>SUM(Apr!D15, May!D15, Jun!D15)</f>
        <v>393727.3</v>
      </c>
      <c r="E15" s="18">
        <f t="shared" si="0"/>
        <v>-24584.909999999974</v>
      </c>
      <c r="F15" s="19">
        <f t="shared" si="1"/>
        <v>-6.2441466466765135E-2</v>
      </c>
      <c r="G15" s="18">
        <f>SUM(Apr!G15,May!G15,Jun!G15)</f>
        <v>0</v>
      </c>
      <c r="H15" s="20">
        <f>SUM(Apr!H15, May!H15, Jun!H15)</f>
        <v>369142.39</v>
      </c>
      <c r="I15" s="19" t="str">
        <f t="shared" si="2"/>
        <v/>
      </c>
    </row>
    <row r="16" spans="1:9" ht="15.6">
      <c r="A16" s="47" t="str">
        <v>Holliston</v>
      </c>
      <c r="B16" s="9" t="str">
        <v>MA</v>
      </c>
      <c r="C16" s="24">
        <f>SUM(Apr!C16, May!C16, Jun!C16)</f>
        <v>692665</v>
      </c>
      <c r="D16" s="13">
        <f>SUM(Apr!D16, May!D16, Jun!D16)</f>
        <v>797227.8</v>
      </c>
      <c r="E16" s="13">
        <f t="shared" ref="E16:E18" si="3">IF(AND(ISNUMBER(C16),ISNUMBER(D16)), C16-D16, "")</f>
        <v>-104562.80000000005</v>
      </c>
      <c r="F16" s="14">
        <f t="shared" ref="F16:F18" si="4">IFERROR(E16/D16, "")</f>
        <v>-0.13115799524301591</v>
      </c>
      <c r="G16" s="15">
        <f>SUM(Apr!G16,May!G16,Jun!G16)</f>
        <v>788375.9</v>
      </c>
      <c r="H16" s="15">
        <f>SUM(Apr!H16, May!H16, Jun!H16)</f>
        <v>-95710.9</v>
      </c>
      <c r="I16" s="16">
        <f t="shared" ref="I16:I18" si="5">IFERROR(H16/G16, "")</f>
        <v>-0.12140262024752405</v>
      </c>
    </row>
    <row r="17" spans="1:9" ht="15.6">
      <c r="A17" s="48" t="str">
        <v>Natick HS - Carports</v>
      </c>
      <c r="B17" s="10" t="str">
        <v>MA</v>
      </c>
      <c r="C17" s="11">
        <f>SUM(Apr!C17, May!C17, Jun!C17)</f>
        <v>253214.6</v>
      </c>
      <c r="D17" s="18">
        <f>SUM(Apr!D17, May!D17, Jun!D17)</f>
        <v>285080.59999999998</v>
      </c>
      <c r="E17" s="18">
        <f t="shared" si="3"/>
        <v>-31865.999999999971</v>
      </c>
      <c r="F17" s="19">
        <f t="shared" si="4"/>
        <v>-0.11177891445436824</v>
      </c>
      <c r="G17" s="18">
        <f>SUM(Apr!G17,May!G17,Jun!G17)</f>
        <v>0</v>
      </c>
      <c r="H17" s="20">
        <f>SUM(Apr!H17, May!H17, Jun!H17)</f>
        <v>253214.6</v>
      </c>
      <c r="I17" s="19" t="str">
        <f t="shared" si="5"/>
        <v/>
      </c>
    </row>
    <row r="18" spans="1:9" ht="12.75" customHeight="1">
      <c r="A18" s="47" t="str">
        <v>Norton</v>
      </c>
      <c r="B18" s="9" t="str">
        <v>MA</v>
      </c>
      <c r="C18" s="24">
        <f>SUM(Apr!C18, May!C18, Jun!C18)</f>
        <v>8585</v>
      </c>
      <c r="D18" s="13">
        <f>SUM(Apr!D18, May!D18, Jun!D18)</f>
        <v>8582.607</v>
      </c>
      <c r="E18" s="13">
        <f t="shared" si="3"/>
        <v>2.3930000000000291</v>
      </c>
      <c r="F18" s="14">
        <f t="shared" si="4"/>
        <v>2.7881971060774764E-4</v>
      </c>
      <c r="G18" s="15">
        <f>SUM(Apr!G18,May!G18,Jun!G18)</f>
        <v>1695937.9</v>
      </c>
      <c r="H18" s="15">
        <f>SUM(Apr!H18, May!H18, Jun!H18)</f>
        <v>-1687352.9</v>
      </c>
      <c r="I18" s="16">
        <f t="shared" si="5"/>
        <v>-0.99493790427114104</v>
      </c>
    </row>
    <row r="19" spans="1:9" ht="15.6">
      <c r="A19" s="48" t="str">
        <v>Palmer - Boston Rd.</v>
      </c>
      <c r="B19" s="10" t="str">
        <v>MA</v>
      </c>
      <c r="C19" s="11">
        <f>SUM(Apr!C19, May!C19, Jun!C19)</f>
        <v>231751.5</v>
      </c>
      <c r="D19" s="18">
        <f>SUM(Apr!D19, May!D19, Jun!D19)</f>
        <v>201715</v>
      </c>
      <c r="E19" s="18">
        <f t="shared" ref="E19:E33" si="6">IF(AND(ISNUMBER(C19),ISNUMBER(D19)), C19-D19, "")</f>
        <v>30036.5</v>
      </c>
      <c r="F19" s="19">
        <f t="shared" ref="F19:F33" si="7">IFERROR(E19/D19, "")</f>
        <v>0.14890563418684777</v>
      </c>
      <c r="G19" s="18">
        <f>SUM(Apr!G19,May!G19,Jun!G19)</f>
        <v>242489</v>
      </c>
      <c r="H19" s="20">
        <f>SUM(Apr!H19, May!H19, Jun!H19)</f>
        <v>-10737.5</v>
      </c>
      <c r="I19" s="19">
        <f t="shared" ref="I19:I33" si="8">IFERROR(H19/G19, "")</f>
        <v>-4.4280359109072992E-2</v>
      </c>
    </row>
    <row r="20" spans="1:9" ht="15.6">
      <c r="A20" s="47" t="str">
        <v>Shirley Bartkus</v>
      </c>
      <c r="B20" s="9" t="str">
        <v>MA</v>
      </c>
      <c r="C20" s="24">
        <f>SUM(Apr!C20, May!C20, Jun!C20)</f>
        <v>400027</v>
      </c>
      <c r="D20" s="13">
        <f>SUM(Apr!D20, May!D20, Jun!D20)</f>
        <v>317657.40000000002</v>
      </c>
      <c r="E20" s="13">
        <f t="shared" si="6"/>
        <v>82369.599999999977</v>
      </c>
      <c r="F20" s="14">
        <f t="shared" si="7"/>
        <v>0.25930326194195374</v>
      </c>
      <c r="G20" s="15">
        <f>SUM(Apr!G20,May!G20,Jun!G20)</f>
        <v>405547</v>
      </c>
      <c r="H20" s="15">
        <f>SUM(Apr!H20, May!H20, Jun!H20)</f>
        <v>-5520</v>
      </c>
      <c r="I20" s="16">
        <f t="shared" si="8"/>
        <v>-1.3611246045464521E-2</v>
      </c>
    </row>
    <row r="21" spans="1:9" ht="15.6">
      <c r="A21" s="48" t="str">
        <v>Stoughton</v>
      </c>
      <c r="B21" s="10" t="str">
        <v>MA</v>
      </c>
      <c r="C21" s="11">
        <f>SUM(Apr!C21, May!C21, Jun!C21)</f>
        <v>334258.4870689651</v>
      </c>
      <c r="D21" s="18">
        <f>SUM(Apr!D21, May!D21, Jun!D21)</f>
        <v>183879.18</v>
      </c>
      <c r="E21" s="18">
        <f t="shared" si="6"/>
        <v>150379.30706896511</v>
      </c>
      <c r="F21" s="19">
        <f t="shared" si="7"/>
        <v>0.81781584554034403</v>
      </c>
      <c r="G21" s="18">
        <f>SUM(Apr!G21,May!G21,Jun!G21)</f>
        <v>325179.18000000005</v>
      </c>
      <c r="H21" s="20">
        <f>SUM(Apr!H21, May!H21, Jun!H21)</f>
        <v>9079.3070689650922</v>
      </c>
      <c r="I21" s="19">
        <f t="shared" si="8"/>
        <v>2.7920935986630788E-2</v>
      </c>
    </row>
    <row r="22" spans="1:9" ht="15.6">
      <c r="A22" s="47" t="str">
        <v>Wellfleet Landfill</v>
      </c>
      <c r="B22" s="9" t="str">
        <v>MA</v>
      </c>
      <c r="C22" s="24">
        <f>SUM(Apr!C22, May!C22, Jun!C22)</f>
        <v>407838.6</v>
      </c>
      <c r="D22" s="13">
        <f>SUM(Apr!D22, May!D22, Jun!D22)</f>
        <v>388874.1</v>
      </c>
      <c r="E22" s="13">
        <f t="shared" si="6"/>
        <v>18964.5</v>
      </c>
      <c r="F22" s="14">
        <f t="shared" si="7"/>
        <v>4.8767711709265291E-2</v>
      </c>
      <c r="G22" s="15">
        <f>SUM(Apr!G22,May!G22,Jun!G22)</f>
        <v>0</v>
      </c>
      <c r="H22" s="15">
        <f>SUM(Apr!H22, May!H22, Jun!H22)</f>
        <v>407838.6</v>
      </c>
      <c r="I22" s="16" t="str">
        <f t="shared" si="8"/>
        <v/>
      </c>
    </row>
    <row r="23" spans="1:9" ht="15.6">
      <c r="A23" s="48" t="str">
        <v>Wilmington Garage &amp; Building 7</v>
      </c>
      <c r="B23" s="10" t="str">
        <v>MA</v>
      </c>
      <c r="C23" s="11">
        <f>SUM(Apr!C23, May!C23, Jun!C23)</f>
        <v>484253.375</v>
      </c>
      <c r="D23" s="18">
        <f>SUM(Apr!D23, May!D23, Jun!D23)</f>
        <v>479985.3</v>
      </c>
      <c r="E23" s="18">
        <f t="shared" si="6"/>
        <v>4268.0750000000116</v>
      </c>
      <c r="F23" s="19">
        <f t="shared" si="7"/>
        <v>8.8920952370833261E-3</v>
      </c>
      <c r="G23" s="18">
        <f>SUM(Apr!G23,May!G23,Jun!G23)</f>
        <v>500732.20000000007</v>
      </c>
      <c r="H23" s="20">
        <f>SUM(Apr!H23, May!H23, Jun!H23)</f>
        <v>-16478.825000000012</v>
      </c>
      <c r="I23" s="19">
        <f t="shared" si="8"/>
        <v>-3.2909457390597231E-2</v>
      </c>
    </row>
    <row r="24" spans="1:9" ht="15.6">
      <c r="A24" s="47" t="str">
        <v>Woburn</v>
      </c>
      <c r="B24" s="9" t="str">
        <v>MA</v>
      </c>
      <c r="C24" s="24">
        <f>SUM(Apr!C24, May!C24, Jun!C24)</f>
        <v>688189.89243027801</v>
      </c>
      <c r="D24" s="13">
        <f>SUM(Apr!D24, May!D24, Jun!D24)</f>
        <v>668183.69999999995</v>
      </c>
      <c r="E24" s="13">
        <f t="shared" si="6"/>
        <v>20006.192430278054</v>
      </c>
      <c r="F24" s="14">
        <f t="shared" si="7"/>
        <v>2.9941156047772574E-2</v>
      </c>
      <c r="G24" s="15">
        <f>SUM(Apr!G24,May!G24,Jun!G24)</f>
        <v>708035.4</v>
      </c>
      <c r="H24" s="15">
        <f>SUM(Apr!H24, May!H24, Jun!H24)</f>
        <v>-19845.507569722016</v>
      </c>
      <c r="I24" s="16">
        <f t="shared" si="8"/>
        <v>-2.8028976474512454E-2</v>
      </c>
    </row>
    <row r="25" spans="1:9" ht="15.6">
      <c r="A25" s="48" t="str">
        <v>Friendship Solar 1</v>
      </c>
      <c r="B25" s="10" t="str">
        <v>MD</v>
      </c>
      <c r="C25" s="11">
        <f>SUM(Apr!C25, May!C25, Jun!C25)</f>
        <v>1368673</v>
      </c>
      <c r="D25" s="18">
        <f>SUM(Apr!D25, May!D25, Jun!D25)</f>
        <v>1458244.1</v>
      </c>
      <c r="E25" s="18">
        <f t="shared" si="6"/>
        <v>-89571.100000000093</v>
      </c>
      <c r="F25" s="19">
        <f t="shared" si="7"/>
        <v>-6.1423941300362599E-2</v>
      </c>
      <c r="G25" s="18">
        <f>SUM(Apr!G25,May!G25,Jun!G25)</f>
        <v>1673395.6</v>
      </c>
      <c r="H25" s="20">
        <f>SUM(Apr!H25, May!H25, Jun!H25)</f>
        <v>-304722.59999999998</v>
      </c>
      <c r="I25" s="19">
        <f t="shared" si="8"/>
        <v>-0.18209836335173821</v>
      </c>
    </row>
    <row r="26" spans="1:9" ht="15.6">
      <c r="A26" s="47" t="str">
        <v>Friendship Solar 2</v>
      </c>
      <c r="B26" s="9" t="str">
        <v>MD</v>
      </c>
      <c r="C26" s="24">
        <f>SUM(Apr!C26, May!C26, Jun!C26)</f>
        <v>1375416</v>
      </c>
      <c r="D26" s="13">
        <f>SUM(Apr!D26, May!D26, Jun!D26)</f>
        <v>1457132.8</v>
      </c>
      <c r="E26" s="13">
        <f t="shared" si="6"/>
        <v>-81716.800000000047</v>
      </c>
      <c r="F26" s="14">
        <f t="shared" si="7"/>
        <v>-5.6080543928460083E-2</v>
      </c>
      <c r="G26" s="15">
        <f>SUM(Apr!G26,May!G26,Jun!G26)</f>
        <v>1644644</v>
      </c>
      <c r="H26" s="15">
        <f>SUM(Apr!H26, May!H26, Jun!H26)</f>
        <v>-269228</v>
      </c>
      <c r="I26" s="16">
        <f t="shared" si="8"/>
        <v>-0.163699864529953</v>
      </c>
    </row>
    <row r="27" spans="1:9" ht="15.6">
      <c r="A27" s="48" t="str">
        <v>101 Carnegie Center</v>
      </c>
      <c r="B27" s="10" t="str">
        <v>NJ</v>
      </c>
      <c r="C27" s="11">
        <f>SUM(Apr!C27, May!C27, Jun!C27)</f>
        <v>569842.16999999993</v>
      </c>
      <c r="D27" s="18">
        <f>SUM(Apr!D27, May!D27, Jun!D27)</f>
        <v>691651.45</v>
      </c>
      <c r="E27" s="18">
        <f t="shared" si="6"/>
        <v>-121809.28000000003</v>
      </c>
      <c r="F27" s="19">
        <f t="shared" si="7"/>
        <v>-0.17611367691053065</v>
      </c>
      <c r="G27" s="18">
        <f>SUM(Apr!G27,May!G27,Jun!G27)</f>
        <v>0</v>
      </c>
      <c r="H27" s="20">
        <f>SUM(Apr!H27, May!H27, Jun!H27)</f>
        <v>569842.16999999993</v>
      </c>
      <c r="I27" s="19" t="str">
        <f t="shared" si="8"/>
        <v/>
      </c>
    </row>
    <row r="28" spans="1:9" ht="15.6">
      <c r="A28" s="47" t="str">
        <v>302 Carnegie Center</v>
      </c>
      <c r="B28" s="9" t="str">
        <v>NJ</v>
      </c>
      <c r="C28" s="24">
        <f>SUM(Apr!C28, May!C28, Jun!C28)</f>
        <v>249960.89</v>
      </c>
      <c r="D28" s="13">
        <f>SUM(Apr!D28, May!D28, Jun!D28)</f>
        <v>262141.19800000003</v>
      </c>
      <c r="E28" s="13">
        <f t="shared" si="6"/>
        <v>-12180.308000000019</v>
      </c>
      <c r="F28" s="14">
        <f t="shared" si="7"/>
        <v>-4.6464684272939108E-2</v>
      </c>
      <c r="G28" s="15">
        <f>SUM(Apr!G28,May!G28,Jun!G28)</f>
        <v>0</v>
      </c>
      <c r="H28" s="15">
        <f>SUM(Apr!H28, May!H28, Jun!H28)</f>
        <v>249960.89</v>
      </c>
      <c r="I28" s="16" t="str">
        <f t="shared" si="8"/>
        <v/>
      </c>
    </row>
    <row r="29" spans="1:9" ht="15.6">
      <c r="A29" s="48" t="str">
        <v>510 Carnegie Center</v>
      </c>
      <c r="B29" s="10" t="str">
        <v>NJ</v>
      </c>
      <c r="C29" s="11">
        <f>SUM(Apr!C29, May!C29, Jun!C29)</f>
        <v>637608.93900000001</v>
      </c>
      <c r="D29" s="18">
        <f>SUM(Apr!D29, May!D29, Jun!D29)</f>
        <v>735350.21600000001</v>
      </c>
      <c r="E29" s="18">
        <f t="shared" si="6"/>
        <v>-97741.277000000002</v>
      </c>
      <c r="F29" s="19">
        <f t="shared" si="7"/>
        <v>-0.13291799590632064</v>
      </c>
      <c r="G29" s="18">
        <f>SUM(Apr!G29,May!G29,Jun!G29)</f>
        <v>0</v>
      </c>
      <c r="H29" s="20">
        <f>SUM(Apr!H29, May!H29, Jun!H29)</f>
        <v>637608.93900000001</v>
      </c>
      <c r="I29" s="19" t="str">
        <f t="shared" si="8"/>
        <v/>
      </c>
    </row>
    <row r="30" spans="1:9" ht="15.6">
      <c r="A30" s="47" t="str">
        <v>701 Carnegie Center</v>
      </c>
      <c r="B30" s="9" t="str">
        <v>NJ</v>
      </c>
      <c r="C30" s="24">
        <f>SUM(Apr!C30, May!C30, Jun!C30)</f>
        <v>497821.79000000004</v>
      </c>
      <c r="D30" s="13">
        <f>SUM(Apr!D30, May!D30, Jun!D30)</f>
        <v>591926.17000000004</v>
      </c>
      <c r="E30" s="13">
        <f t="shared" si="6"/>
        <v>-94104.38</v>
      </c>
      <c r="F30" s="14">
        <f t="shared" si="7"/>
        <v>-0.15897992818935511</v>
      </c>
      <c r="G30" s="15">
        <f>SUM(Apr!G30,May!G30,Jun!G30)</f>
        <v>0</v>
      </c>
      <c r="H30" s="15">
        <f>SUM(Apr!H30, May!H30, Jun!H30)</f>
        <v>497821.79000000004</v>
      </c>
      <c r="I30" s="16" t="str">
        <f t="shared" si="8"/>
        <v/>
      </c>
    </row>
    <row r="31" spans="1:9" ht="15.6">
      <c r="A31" s="48" t="str">
        <v>Hudson County Correction</v>
      </c>
      <c r="B31" s="10" t="str">
        <v>NJ</v>
      </c>
      <c r="C31" s="11">
        <f>SUM(Apr!C31, May!C31, Jun!C31)</f>
        <v>710863.52388859307</v>
      </c>
      <c r="D31" s="18">
        <f>SUM(Apr!D31, May!D31, Jun!D31)</f>
        <v>621235.30000000005</v>
      </c>
      <c r="E31" s="18">
        <f t="shared" si="6"/>
        <v>89628.223888593027</v>
      </c>
      <c r="F31" s="19">
        <f t="shared" si="7"/>
        <v>0.14427419673124342</v>
      </c>
      <c r="G31" s="18">
        <f>SUM(Apr!G31,May!G31,Jun!G31)</f>
        <v>2879962.3</v>
      </c>
      <c r="H31" s="20">
        <f>SUM(Apr!H31, May!H31, Jun!H31)</f>
        <v>-2169098.7761114072</v>
      </c>
      <c r="I31" s="19">
        <f t="shared" si="8"/>
        <v>-0.75316915645437699</v>
      </c>
    </row>
    <row r="32" spans="1:9" ht="15.6">
      <c r="A32" s="47" t="str">
        <v>ER Bison Solar</v>
      </c>
      <c r="B32" s="9" t="str">
        <v>PA</v>
      </c>
      <c r="C32" s="24">
        <f>SUM(Apr!C32, May!C32, Jun!C32)</f>
        <v>673745</v>
      </c>
      <c r="D32" s="13">
        <f>SUM(Apr!D32, May!D32, Jun!D32)</f>
        <v>0</v>
      </c>
      <c r="E32" s="13">
        <f t="shared" si="6"/>
        <v>673745</v>
      </c>
      <c r="F32" s="14" t="str">
        <f t="shared" si="7"/>
        <v/>
      </c>
      <c r="G32" s="15">
        <f>SUM(Apr!G32,May!G32,Jun!G32)</f>
        <v>705197</v>
      </c>
      <c r="H32" s="15">
        <f>SUM(Apr!H32, May!H32, Jun!H32)</f>
        <v>-31452</v>
      </c>
      <c r="I32" s="16">
        <f t="shared" si="8"/>
        <v>-4.4600303177693611E-2</v>
      </c>
    </row>
    <row r="33" spans="1:9" ht="15.6">
      <c r="A33" s="48" t="str">
        <v>Danville</v>
      </c>
      <c r="B33" s="10" t="str">
        <v>IL</v>
      </c>
      <c r="C33" s="11">
        <f>SUM(Apr!C33, May!C33, Jun!C33)</f>
        <v>1092965.58</v>
      </c>
      <c r="D33" s="18">
        <f>SUM(Apr!D33, May!D33, Jun!D33)</f>
        <v>0</v>
      </c>
      <c r="E33" s="18">
        <f t="shared" si="6"/>
        <v>1092965.58</v>
      </c>
      <c r="F33" s="19" t="str">
        <f t="shared" si="7"/>
        <v/>
      </c>
      <c r="G33" s="20"/>
      <c r="H33" s="20">
        <f>SUM(Apr!H33, May!H33, Jun!H33)</f>
        <v>1092965.58</v>
      </c>
      <c r="I33" s="19" t="str">
        <f t="shared" si="8"/>
        <v/>
      </c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9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9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9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3.9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 ht="13.9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 ht="13.9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 ht="13.9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 ht="13.9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 ht="13.9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 ht="13.9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 ht="13.9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 ht="13.9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 ht="13.9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 ht="13.9">
      <c r="A340" s="21"/>
      <c r="B340" s="21"/>
      <c r="C340" s="21"/>
      <c r="D340" s="21"/>
      <c r="E340" s="21"/>
      <c r="F340" s="22"/>
      <c r="G340" s="21"/>
      <c r="H340" s="21"/>
      <c r="I340" s="22"/>
    </row>
    <row r="341" spans="1:9" ht="13.9">
      <c r="A341" s="21"/>
      <c r="B341" s="21"/>
      <c r="C341" s="21"/>
      <c r="D341" s="21"/>
      <c r="E341" s="21"/>
      <c r="F341" s="22"/>
      <c r="G341" s="21"/>
      <c r="H341" s="21"/>
      <c r="I341" s="22"/>
    </row>
    <row r="342" spans="1:9" ht="13.9">
      <c r="A342" s="21"/>
      <c r="B342" s="21"/>
      <c r="C342" s="21"/>
      <c r="D342" s="21"/>
      <c r="E342" s="21"/>
      <c r="F342" s="22"/>
      <c r="G342" s="21"/>
      <c r="H342" s="21"/>
      <c r="I342" s="22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100 I4:I100">
    <cfRule type="cellIs" dxfId="53" priority="1" stopIfTrue="1" operator="lessThanOrEqual">
      <formula>-0.1</formula>
    </cfRule>
    <cfRule type="expression" dxfId="52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42"/>
  <sheetViews>
    <sheetView workbookViewId="0">
      <pane xSplit="2" ySplit="3" topLeftCell="C8" activePane="bottomRight" state="frozen"/>
      <selection pane="bottomRight" activeCell="K22" sqref="K22"/>
      <selection pane="bottomLeft" activeCell="K22" sqref="K22"/>
      <selection pane="topRight" activeCell="K22" sqref="K22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9" t="str" cm="1">
        <f t="array" ref="A1">portfolio</f>
        <v>Greenbacker</v>
      </c>
      <c r="B1" s="79"/>
      <c r="C1" s="79"/>
      <c r="D1" s="80" t="s">
        <v>14</v>
      </c>
      <c r="E1" s="80"/>
      <c r="F1" s="80"/>
      <c r="G1" s="78" t="s">
        <v>15</v>
      </c>
      <c r="H1" s="78"/>
      <c r="I1" s="78"/>
    </row>
    <row r="2" spans="1:9" ht="19.5" customHeight="1">
      <c r="A2" s="81" t="s">
        <v>2</v>
      </c>
      <c r="B2" s="81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>
      <c r="A4" s="47" t="str" cm="1">
        <f t="array" ref="A4:A33">Sites[Site]</f>
        <v>10 Walpole Park South</v>
      </c>
      <c r="B4" s="9" t="str" cm="1">
        <f t="array" ref="B4:B33">Sites[State]</f>
        <v>MA</v>
      </c>
      <c r="C4" s="24">
        <f>SUM(Jul!C4, Aug!C4, Sep!C4)</f>
        <v>0</v>
      </c>
      <c r="D4" s="13">
        <f>SUM(Jul!D4, Aug!D4, Sep!D4)</f>
        <v>0</v>
      </c>
      <c r="E4" s="13">
        <f>IF(AND(ISNUMBER(C4),ISNUMBER(D4)), C4-D4, "")</f>
        <v>0</v>
      </c>
      <c r="F4" s="14" t="str">
        <f>IFERROR(E4/D4, "")</f>
        <v/>
      </c>
      <c r="G4" s="15"/>
      <c r="H4" s="15">
        <f>SUM(Jul!H4, Aug!H4, Sep!H4)</f>
        <v>0</v>
      </c>
      <c r="I4" s="16" t="str">
        <f>IFERROR(H4/G4, "")</f>
        <v/>
      </c>
    </row>
    <row r="5" spans="1:9" ht="15.6">
      <c r="A5" s="48" t="str">
        <v>15 Walpole Park South</v>
      </c>
      <c r="B5" s="10" t="str">
        <v>MA</v>
      </c>
      <c r="C5" s="11">
        <f>SUM(Jul!C5, Aug!C5, Sep!C5)</f>
        <v>0</v>
      </c>
      <c r="D5" s="18">
        <f>SUM(Jul!D5, Aug!D5, Sep!D5)</f>
        <v>0</v>
      </c>
      <c r="E5" s="18">
        <f t="shared" ref="E5:E15" si="0">IF(AND(ISNUMBER(C5),ISNUMBER(D5)), C5-D5, "")</f>
        <v>0</v>
      </c>
      <c r="F5" s="19" t="str">
        <f>IFERROR(E5/D5, "")</f>
        <v/>
      </c>
      <c r="G5" s="20"/>
      <c r="H5" s="20">
        <f>SUM(Jul!H5, Aug!H5, Sep!H5)</f>
        <v>0</v>
      </c>
      <c r="I5" s="19" t="str">
        <f>IFERROR(H5/G5, "")</f>
        <v/>
      </c>
    </row>
    <row r="6" spans="1:9" ht="15.6">
      <c r="A6" s="47" t="str">
        <v>19 Walpole Park South</v>
      </c>
      <c r="B6" s="9" t="str">
        <v>MA</v>
      </c>
      <c r="C6" s="24">
        <f>SUM(Jul!C6, Aug!C6, Sep!C6)</f>
        <v>0</v>
      </c>
      <c r="D6" s="13">
        <f>SUM(Jul!D6, Aug!D6, Sep!D6)</f>
        <v>0</v>
      </c>
      <c r="E6" s="13">
        <f t="shared" si="0"/>
        <v>0</v>
      </c>
      <c r="F6" s="14" t="str">
        <f t="shared" ref="F6:F15" si="1">IFERROR(E6/D6, "")</f>
        <v/>
      </c>
      <c r="G6" s="15"/>
      <c r="H6" s="15">
        <f>SUM(Jul!H6, Aug!H6, Sep!H6)</f>
        <v>0</v>
      </c>
      <c r="I6" s="16" t="str">
        <f t="shared" ref="I6:I15" si="2">IFERROR(H6/G6, "")</f>
        <v/>
      </c>
    </row>
    <row r="7" spans="1:9" ht="15.6">
      <c r="A7" s="48" t="str">
        <v>23 Walpole Park South</v>
      </c>
      <c r="B7" s="10" t="str">
        <v>MA</v>
      </c>
      <c r="C7" s="11">
        <f>SUM(Jul!C7, Aug!C7, Sep!C7)</f>
        <v>0</v>
      </c>
      <c r="D7" s="18">
        <f>SUM(Jul!D7, Aug!D7, Sep!D7)</f>
        <v>0</v>
      </c>
      <c r="E7" s="18">
        <f t="shared" si="0"/>
        <v>0</v>
      </c>
      <c r="F7" s="19" t="str">
        <f t="shared" si="1"/>
        <v/>
      </c>
      <c r="G7" s="20"/>
      <c r="H7" s="20">
        <f>SUM(Jul!H7, Aug!H7, Sep!H7)</f>
        <v>0</v>
      </c>
      <c r="I7" s="19" t="str">
        <f t="shared" si="2"/>
        <v/>
      </c>
    </row>
    <row r="8" spans="1:9" ht="15.6">
      <c r="A8" s="47" t="str">
        <v>24 Walpole Park South</v>
      </c>
      <c r="B8" s="9" t="str">
        <v>MA</v>
      </c>
      <c r="C8" s="24">
        <f>SUM(Jul!C8, Aug!C8, Sep!C8)</f>
        <v>0</v>
      </c>
      <c r="D8" s="13">
        <f>SUM(Jul!D8, Aug!D8, Sep!D8)</f>
        <v>0</v>
      </c>
      <c r="E8" s="13">
        <f t="shared" si="0"/>
        <v>0</v>
      </c>
      <c r="F8" s="14" t="str">
        <f t="shared" si="1"/>
        <v/>
      </c>
      <c r="G8" s="15"/>
      <c r="H8" s="15">
        <f>SUM(Jul!H8, Aug!H8, Sep!H8)</f>
        <v>0</v>
      </c>
      <c r="I8" s="16" t="str">
        <f t="shared" si="2"/>
        <v/>
      </c>
    </row>
    <row r="9" spans="1:9" ht="15.6">
      <c r="A9" s="48" t="str">
        <v>25 Walpole Park South</v>
      </c>
      <c r="B9" s="10" t="str">
        <v>MA</v>
      </c>
      <c r="C9" s="11">
        <f>SUM(Jul!C9, Aug!C9, Sep!C9)</f>
        <v>0</v>
      </c>
      <c r="D9" s="18">
        <f>SUM(Jul!D9, Aug!D9, Sep!D9)</f>
        <v>0</v>
      </c>
      <c r="E9" s="18">
        <f t="shared" si="0"/>
        <v>0</v>
      </c>
      <c r="F9" s="19" t="str">
        <f t="shared" si="1"/>
        <v/>
      </c>
      <c r="G9" s="20"/>
      <c r="H9" s="20">
        <f>SUM(Jul!H9, Aug!H9, Sep!H9)</f>
        <v>0</v>
      </c>
      <c r="I9" s="19" t="str">
        <f t="shared" si="2"/>
        <v/>
      </c>
    </row>
    <row r="10" spans="1:9" ht="15.6">
      <c r="A10" s="47" t="str">
        <v>3 Walpole Park South</v>
      </c>
      <c r="B10" s="9" t="str">
        <v>MA</v>
      </c>
      <c r="C10" s="24">
        <f>SUM(Jul!C10, Aug!C10, Sep!C10)</f>
        <v>0</v>
      </c>
      <c r="D10" s="13">
        <f>SUM(Jul!D10, Aug!D10, Sep!D10)</f>
        <v>0</v>
      </c>
      <c r="E10" s="13">
        <f t="shared" si="0"/>
        <v>0</v>
      </c>
      <c r="F10" s="14" t="str">
        <f t="shared" si="1"/>
        <v/>
      </c>
      <c r="G10" s="15"/>
      <c r="H10" s="15">
        <f>SUM(Jul!H10, Aug!H10, Sep!H10)</f>
        <v>0</v>
      </c>
      <c r="I10" s="16" t="str">
        <f t="shared" si="2"/>
        <v/>
      </c>
    </row>
    <row r="11" spans="1:9" ht="15.6">
      <c r="A11" s="48" t="str">
        <v>4 Walpole Park South</v>
      </c>
      <c r="B11" s="10" t="str">
        <v>MA</v>
      </c>
      <c r="C11" s="11">
        <f>SUM(Jul!C11, Aug!C11, Sep!C11)</f>
        <v>0</v>
      </c>
      <c r="D11" s="18">
        <f>SUM(Jul!D11, Aug!D11, Sep!D11)</f>
        <v>0</v>
      </c>
      <c r="E11" s="18">
        <f t="shared" si="0"/>
        <v>0</v>
      </c>
      <c r="F11" s="19" t="str">
        <f t="shared" si="1"/>
        <v/>
      </c>
      <c r="G11" s="20"/>
      <c r="H11" s="20">
        <f>SUM(Jul!H11, Aug!H11, Sep!H11)</f>
        <v>0</v>
      </c>
      <c r="I11" s="19" t="str">
        <f t="shared" si="2"/>
        <v/>
      </c>
    </row>
    <row r="12" spans="1:9" ht="15.6">
      <c r="A12" s="47" t="str">
        <v>Brockton</v>
      </c>
      <c r="B12" s="9" t="str">
        <v>MA</v>
      </c>
      <c r="C12" s="24">
        <f>SUM(Jul!C12, Aug!C12, Sep!C12)</f>
        <v>0</v>
      </c>
      <c r="D12" s="13">
        <f>SUM(Jul!D12, Aug!D12, Sep!D12)</f>
        <v>0</v>
      </c>
      <c r="E12" s="13">
        <f t="shared" si="0"/>
        <v>0</v>
      </c>
      <c r="F12" s="14" t="str">
        <f t="shared" si="1"/>
        <v/>
      </c>
      <c r="G12" s="15"/>
      <c r="H12" s="15">
        <f>SUM(Jul!H12, Aug!H12, Sep!H12)</f>
        <v>0</v>
      </c>
      <c r="I12" s="16" t="str">
        <f t="shared" si="2"/>
        <v/>
      </c>
    </row>
    <row r="13" spans="1:9" ht="15.6">
      <c r="A13" s="48" t="str">
        <v>Canton</v>
      </c>
      <c r="B13" s="10" t="str">
        <v>MA</v>
      </c>
      <c r="C13" s="11">
        <f>SUM(Jul!C13, Aug!C13, Sep!C13)</f>
        <v>0</v>
      </c>
      <c r="D13" s="18">
        <f>SUM(Jul!D13, Aug!D13, Sep!D13)</f>
        <v>0</v>
      </c>
      <c r="E13" s="18">
        <f t="shared" si="0"/>
        <v>0</v>
      </c>
      <c r="F13" s="19" t="str">
        <f t="shared" si="1"/>
        <v/>
      </c>
      <c r="G13" s="20"/>
      <c r="H13" s="20">
        <f>SUM(Jul!H13, Aug!H13, Sep!H13)</f>
        <v>0</v>
      </c>
      <c r="I13" s="19" t="str">
        <f t="shared" si="2"/>
        <v/>
      </c>
    </row>
    <row r="14" spans="1:9" ht="15.6">
      <c r="A14" s="47" t="str">
        <v>Chelsea</v>
      </c>
      <c r="B14" s="9" t="str">
        <v>MA</v>
      </c>
      <c r="C14" s="24">
        <f>SUM(Jul!C14, Aug!C14, Sep!C14)</f>
        <v>0</v>
      </c>
      <c r="D14" s="13">
        <f>SUM(Jul!D14, Aug!D14, Sep!D14)</f>
        <v>0</v>
      </c>
      <c r="E14" s="13">
        <f t="shared" si="0"/>
        <v>0</v>
      </c>
      <c r="F14" s="14" t="str">
        <f t="shared" si="1"/>
        <v/>
      </c>
      <c r="G14" s="15"/>
      <c r="H14" s="15">
        <f>SUM(Jul!H14, Aug!H14, Sep!H14)</f>
        <v>0</v>
      </c>
      <c r="I14" s="16" t="str">
        <f t="shared" si="2"/>
        <v/>
      </c>
    </row>
    <row r="15" spans="1:9" ht="15.6">
      <c r="A15" s="48" t="str">
        <v>Hamilton Landfill</v>
      </c>
      <c r="B15" s="10" t="str">
        <v>MA</v>
      </c>
      <c r="C15" s="11">
        <f>SUM(Jul!C15, Aug!C15, Sep!C15)</f>
        <v>0</v>
      </c>
      <c r="D15" s="18">
        <f>SUM(Jul!D15, Aug!D15, Sep!D15)</f>
        <v>0</v>
      </c>
      <c r="E15" s="18">
        <f t="shared" si="0"/>
        <v>0</v>
      </c>
      <c r="F15" s="19" t="str">
        <f t="shared" si="1"/>
        <v/>
      </c>
      <c r="G15" s="20"/>
      <c r="H15" s="20">
        <f>SUM(Jul!H15, Aug!H15, Sep!H15)</f>
        <v>0</v>
      </c>
      <c r="I15" s="19" t="str">
        <f t="shared" si="2"/>
        <v/>
      </c>
    </row>
    <row r="16" spans="1:9" ht="15.6">
      <c r="A16" s="47" t="str">
        <v>Holliston</v>
      </c>
      <c r="B16" s="9" t="str">
        <v>MA</v>
      </c>
      <c r="C16" s="24">
        <f>SUM(Jul!C16, Aug!C16, Sep!C16)</f>
        <v>0</v>
      </c>
      <c r="D16" s="13">
        <f>SUM(Jul!D16, Aug!D16, Sep!D16)</f>
        <v>0</v>
      </c>
      <c r="E16" s="13">
        <f t="shared" ref="E16:E19" si="3">IF(AND(ISNUMBER(C16),ISNUMBER(D16)), C16-D16, "")</f>
        <v>0</v>
      </c>
      <c r="F16" s="14" t="str">
        <f t="shared" ref="F16:F19" si="4">IFERROR(E16/D16, "")</f>
        <v/>
      </c>
      <c r="G16" s="15"/>
      <c r="H16" s="15">
        <f>SUM(Jul!H16, Aug!H16, Sep!H16)</f>
        <v>0</v>
      </c>
      <c r="I16" s="16" t="str">
        <f t="shared" ref="I16:I19" si="5">IFERROR(H16/G16, "")</f>
        <v/>
      </c>
    </row>
    <row r="17" spans="1:9" ht="15.6">
      <c r="A17" s="48" t="str">
        <v>Natick HS - Carports</v>
      </c>
      <c r="B17" s="10" t="str">
        <v>MA</v>
      </c>
      <c r="C17" s="11">
        <f>SUM(Jul!C17, Aug!C17, Sep!C17)</f>
        <v>0</v>
      </c>
      <c r="D17" s="18">
        <f>SUM(Jul!D17, Aug!D17, Sep!D17)</f>
        <v>0</v>
      </c>
      <c r="E17" s="18">
        <f t="shared" si="3"/>
        <v>0</v>
      </c>
      <c r="F17" s="19" t="str">
        <f t="shared" si="4"/>
        <v/>
      </c>
      <c r="G17" s="20"/>
      <c r="H17" s="20">
        <f>SUM(Jul!H17, Aug!H17, Sep!H17)</f>
        <v>0</v>
      </c>
      <c r="I17" s="19" t="str">
        <f t="shared" si="5"/>
        <v/>
      </c>
    </row>
    <row r="18" spans="1:9" ht="12.75" customHeight="1">
      <c r="A18" s="47" t="str">
        <v>Norton</v>
      </c>
      <c r="B18" s="9" t="str">
        <v>MA</v>
      </c>
      <c r="C18" s="24">
        <f>SUM(Jul!C18, Aug!C18, Sep!C18)</f>
        <v>0</v>
      </c>
      <c r="D18" s="13">
        <f>SUM(Jul!D18, Aug!D18, Sep!D18)</f>
        <v>0</v>
      </c>
      <c r="E18" s="13">
        <f t="shared" si="3"/>
        <v>0</v>
      </c>
      <c r="F18" s="14" t="str">
        <f t="shared" si="4"/>
        <v/>
      </c>
      <c r="G18" s="15"/>
      <c r="H18" s="15">
        <f>SUM(Jul!H18, Aug!H18, Sep!H18)</f>
        <v>0</v>
      </c>
      <c r="I18" s="16" t="str">
        <f t="shared" si="5"/>
        <v/>
      </c>
    </row>
    <row r="19" spans="1:9" ht="15.6">
      <c r="A19" s="48" t="str">
        <v>Palmer - Boston Rd.</v>
      </c>
      <c r="B19" s="10" t="str">
        <v>MA</v>
      </c>
      <c r="C19" s="11">
        <f>SUM(Jul!C19, Aug!C19, Sep!C19)</f>
        <v>0</v>
      </c>
      <c r="D19" s="18">
        <f>SUM(Jul!D19, Aug!D19, Sep!D19)</f>
        <v>0</v>
      </c>
      <c r="E19" s="18">
        <f t="shared" si="3"/>
        <v>0</v>
      </c>
      <c r="F19" s="19" t="str">
        <f t="shared" si="4"/>
        <v/>
      </c>
      <c r="G19" s="20"/>
      <c r="H19" s="20">
        <f>SUM(Jul!H19, Aug!H19, Sep!H19)</f>
        <v>0</v>
      </c>
      <c r="I19" s="19" t="str">
        <f t="shared" si="5"/>
        <v/>
      </c>
    </row>
    <row r="20" spans="1:9" ht="15.6">
      <c r="A20" s="47" t="str">
        <v>Shirley Bartkus</v>
      </c>
      <c r="B20" s="9" t="str">
        <v>MA</v>
      </c>
      <c r="C20" s="24">
        <f>SUM(Jul!C20, Aug!C20, Sep!C20)</f>
        <v>0</v>
      </c>
      <c r="D20" s="13">
        <f>SUM(Jul!D20, Aug!D20, Sep!D20)</f>
        <v>0</v>
      </c>
      <c r="E20" s="13">
        <f t="shared" ref="E20:E25" si="6">IF(AND(ISNUMBER(C20),ISNUMBER(D20)), C20-D20, "")</f>
        <v>0</v>
      </c>
      <c r="F20" s="14" t="str">
        <f t="shared" ref="F20:F25" si="7">IFERROR(E20/D20, "")</f>
        <v/>
      </c>
      <c r="G20" s="15"/>
      <c r="H20" s="15">
        <f>SUM(Jul!H20, Aug!H20, Sep!H20)</f>
        <v>0</v>
      </c>
      <c r="I20" s="16" t="str">
        <f t="shared" ref="I20:I25" si="8">IFERROR(H20/G20, "")</f>
        <v/>
      </c>
    </row>
    <row r="21" spans="1:9" ht="15.6">
      <c r="A21" s="48" t="str">
        <v>Stoughton</v>
      </c>
      <c r="B21" s="10" t="str">
        <v>MA</v>
      </c>
      <c r="C21" s="11">
        <f>SUM(Jul!C21, Aug!C21, Sep!C21)</f>
        <v>0</v>
      </c>
      <c r="D21" s="18">
        <f>SUM(Jul!D21, Aug!D21, Sep!D21)</f>
        <v>0</v>
      </c>
      <c r="E21" s="18">
        <f t="shared" si="6"/>
        <v>0</v>
      </c>
      <c r="F21" s="19" t="str">
        <f t="shared" si="7"/>
        <v/>
      </c>
      <c r="G21" s="20"/>
      <c r="H21" s="20">
        <f>SUM(Jul!H21, Aug!H21, Sep!H21)</f>
        <v>0</v>
      </c>
      <c r="I21" s="19" t="str">
        <f t="shared" si="8"/>
        <v/>
      </c>
    </row>
    <row r="22" spans="1:9" ht="15.6">
      <c r="A22" s="47" t="str">
        <v>Wellfleet Landfill</v>
      </c>
      <c r="B22" s="9" t="str">
        <v>MA</v>
      </c>
      <c r="C22" s="24">
        <f>SUM(Jul!C22, Aug!C22, Sep!C22)</f>
        <v>0</v>
      </c>
      <c r="D22" s="13">
        <f>SUM(Jul!D22, Aug!D22, Sep!D22)</f>
        <v>0</v>
      </c>
      <c r="E22" s="13">
        <f t="shared" si="6"/>
        <v>0</v>
      </c>
      <c r="F22" s="14" t="str">
        <f t="shared" si="7"/>
        <v/>
      </c>
      <c r="G22" s="15"/>
      <c r="H22" s="15">
        <f>SUM(Jul!H22, Aug!H22, Sep!H22)</f>
        <v>0</v>
      </c>
      <c r="I22" s="16" t="str">
        <f t="shared" si="8"/>
        <v/>
      </c>
    </row>
    <row r="23" spans="1:9" ht="15.6">
      <c r="A23" s="48" t="str">
        <v>Wilmington Garage &amp; Building 7</v>
      </c>
      <c r="B23" s="10" t="str">
        <v>MA</v>
      </c>
      <c r="C23" s="11">
        <f>SUM(Jul!C23, Aug!C23, Sep!C23)</f>
        <v>0</v>
      </c>
      <c r="D23" s="18">
        <f>SUM(Jul!D23, Aug!D23, Sep!D23)</f>
        <v>0</v>
      </c>
      <c r="E23" s="18">
        <f t="shared" si="6"/>
        <v>0</v>
      </c>
      <c r="F23" s="19" t="str">
        <f t="shared" si="7"/>
        <v/>
      </c>
      <c r="G23" s="20"/>
      <c r="H23" s="20">
        <f>SUM(Jul!H23, Aug!H23, Sep!H23)</f>
        <v>0</v>
      </c>
      <c r="I23" s="19" t="str">
        <f t="shared" si="8"/>
        <v/>
      </c>
    </row>
    <row r="24" spans="1:9" ht="15.6">
      <c r="A24" s="47" t="str">
        <v>Woburn</v>
      </c>
      <c r="B24" s="9" t="str">
        <v>MA</v>
      </c>
      <c r="C24" s="24">
        <f>SUM(Jul!C24, Aug!C24, Sep!C24)</f>
        <v>0</v>
      </c>
      <c r="D24" s="13">
        <f>SUM(Jul!D24, Aug!D24, Sep!D24)</f>
        <v>0</v>
      </c>
      <c r="E24" s="13">
        <f t="shared" si="6"/>
        <v>0</v>
      </c>
      <c r="F24" s="14" t="str">
        <f t="shared" si="7"/>
        <v/>
      </c>
      <c r="G24" s="15"/>
      <c r="H24" s="15">
        <f>SUM(Jul!H24, Aug!H24, Sep!H24)</f>
        <v>0</v>
      </c>
      <c r="I24" s="16" t="str">
        <f t="shared" si="8"/>
        <v/>
      </c>
    </row>
    <row r="25" spans="1:9" ht="15.6">
      <c r="A25" s="48" t="str">
        <v>Friendship Solar 1</v>
      </c>
      <c r="B25" s="10" t="str">
        <v>MD</v>
      </c>
      <c r="C25" s="11">
        <f>SUM(Jul!C25, Aug!C25, Sep!C25)</f>
        <v>0</v>
      </c>
      <c r="D25" s="18">
        <f>SUM(Jul!D25, Aug!D25, Sep!D25)</f>
        <v>0</v>
      </c>
      <c r="E25" s="18">
        <f t="shared" si="6"/>
        <v>0</v>
      </c>
      <c r="F25" s="19" t="str">
        <f t="shared" si="7"/>
        <v/>
      </c>
      <c r="G25" s="20"/>
      <c r="H25" s="20">
        <f>SUM(Jul!H25, Aug!H25, Sep!H25)</f>
        <v>0</v>
      </c>
      <c r="I25" s="19" t="str">
        <f t="shared" si="8"/>
        <v/>
      </c>
    </row>
    <row r="26" spans="1:9" ht="15.6">
      <c r="A26" s="47" t="str">
        <v>Friendship Solar 2</v>
      </c>
      <c r="B26" s="9" t="str">
        <v>MD</v>
      </c>
      <c r="C26" s="24"/>
      <c r="D26" s="13"/>
      <c r="E26" s="13"/>
      <c r="F26" s="14"/>
      <c r="G26" s="15"/>
      <c r="H26" s="15"/>
      <c r="I26" s="16"/>
    </row>
    <row r="27" spans="1:9" ht="15.6">
      <c r="A27" s="48" t="str">
        <v>101 Carnegie Center</v>
      </c>
      <c r="B27" s="10" t="str">
        <v>NJ</v>
      </c>
      <c r="C27" s="11"/>
      <c r="D27" s="18"/>
      <c r="E27" s="18"/>
      <c r="F27" s="19"/>
      <c r="G27" s="20"/>
      <c r="H27" s="20"/>
      <c r="I27" s="19"/>
    </row>
    <row r="28" spans="1:9" ht="15.6">
      <c r="A28" s="47" t="str">
        <v>302 Carnegie Center</v>
      </c>
      <c r="B28" s="9" t="str">
        <v>NJ</v>
      </c>
      <c r="C28" s="24"/>
      <c r="D28" s="13"/>
      <c r="E28" s="13"/>
      <c r="F28" s="14"/>
      <c r="G28" s="15"/>
      <c r="H28" s="15"/>
      <c r="I28" s="16"/>
    </row>
    <row r="29" spans="1:9" ht="15.6">
      <c r="A29" s="48" t="str">
        <v>510 Carnegie Center</v>
      </c>
      <c r="B29" s="10" t="str">
        <v>NJ</v>
      </c>
      <c r="C29" s="11"/>
      <c r="D29" s="18"/>
      <c r="E29" s="18"/>
      <c r="F29" s="19"/>
      <c r="G29" s="20"/>
      <c r="H29" s="20"/>
      <c r="I29" s="19"/>
    </row>
    <row r="30" spans="1:9" ht="15.6">
      <c r="A30" s="47" t="str">
        <v>701 Carnegie Center</v>
      </c>
      <c r="B30" s="9" t="str">
        <v>NJ</v>
      </c>
      <c r="C30" s="24"/>
      <c r="D30" s="13"/>
      <c r="E30" s="13"/>
      <c r="F30" s="14"/>
      <c r="G30" s="15"/>
      <c r="H30" s="15"/>
      <c r="I30" s="16"/>
    </row>
    <row r="31" spans="1:9" ht="15.6">
      <c r="A31" s="48" t="str">
        <v>Hudson County Correction</v>
      </c>
      <c r="B31" s="10" t="str">
        <v>NJ</v>
      </c>
      <c r="C31" s="11"/>
      <c r="D31" s="18"/>
      <c r="E31" s="18"/>
      <c r="F31" s="19"/>
      <c r="G31" s="20"/>
      <c r="H31" s="20"/>
      <c r="I31" s="19"/>
    </row>
    <row r="32" spans="1:9" ht="15.6">
      <c r="A32" s="47" t="str">
        <v>ER Bison Solar</v>
      </c>
      <c r="B32" s="9" t="str">
        <v>PA</v>
      </c>
      <c r="C32" s="24"/>
      <c r="D32" s="13"/>
      <c r="E32" s="13"/>
      <c r="F32" s="14"/>
      <c r="G32" s="15"/>
      <c r="H32" s="15"/>
      <c r="I32" s="16"/>
    </row>
    <row r="33" spans="1:9" ht="15.6">
      <c r="A33" s="48" t="str">
        <v>Danville</v>
      </c>
      <c r="B33" s="10" t="str">
        <v>IL</v>
      </c>
      <c r="C33" s="11"/>
      <c r="D33" s="18"/>
      <c r="E33" s="18"/>
      <c r="F33" s="19"/>
      <c r="G33" s="20"/>
      <c r="H33" s="20"/>
      <c r="I33" s="19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9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9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9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3.9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 ht="13.9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 ht="13.9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 ht="13.9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 ht="13.9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 ht="13.9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 ht="13.9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 ht="13.9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 ht="13.9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 ht="13.9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 ht="13.9">
      <c r="A340" s="21"/>
      <c r="B340" s="21"/>
      <c r="C340" s="21"/>
      <c r="D340" s="21"/>
      <c r="E340" s="21"/>
      <c r="F340" s="22"/>
      <c r="G340" s="21"/>
      <c r="H340" s="21"/>
      <c r="I340" s="22"/>
    </row>
    <row r="341" spans="1:9" ht="13.9">
      <c r="A341" s="21"/>
      <c r="B341" s="21"/>
      <c r="C341" s="21"/>
      <c r="D341" s="21"/>
      <c r="E341" s="21"/>
      <c r="F341" s="22"/>
      <c r="G341" s="21"/>
      <c r="H341" s="21"/>
      <c r="I341" s="22"/>
    </row>
    <row r="342" spans="1:9" ht="13.9">
      <c r="A342" s="21"/>
      <c r="B342" s="21"/>
      <c r="C342" s="21"/>
      <c r="D342" s="21"/>
      <c r="E342" s="21"/>
      <c r="F342" s="22"/>
      <c r="G342" s="21"/>
      <c r="H342" s="21"/>
      <c r="I342" s="22"/>
    </row>
  </sheetData>
  <mergeCells count="4">
    <mergeCell ref="G1:I1"/>
    <mergeCell ref="A1:C1"/>
    <mergeCell ref="D1:F1"/>
    <mergeCell ref="A2:B2"/>
  </mergeCells>
  <conditionalFormatting sqref="F2 I2 F4:F100 I4:I100">
    <cfRule type="cellIs" dxfId="51" priority="1" stopIfTrue="1" operator="lessThanOrEqual">
      <formula>-0.1</formula>
    </cfRule>
    <cfRule type="expression" dxfId="50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42"/>
  <sheetViews>
    <sheetView workbookViewId="0">
      <pane xSplit="2" ySplit="3" topLeftCell="K21" activePane="bottomRight" state="frozen"/>
      <selection pane="bottomRight" activeCell="K22" sqref="K22"/>
      <selection pane="bottomLeft" activeCell="K22" sqref="K22"/>
      <selection pane="topRight" activeCell="K22" sqref="K22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9" t="str" cm="1">
        <f t="array" ref="A1">portfolio</f>
        <v>Greenbacker</v>
      </c>
      <c r="B1" s="79"/>
      <c r="C1" s="79"/>
      <c r="D1" s="80" t="s">
        <v>16</v>
      </c>
      <c r="E1" s="80"/>
      <c r="F1" s="80"/>
      <c r="G1" s="78" t="s">
        <v>17</v>
      </c>
      <c r="H1" s="78"/>
      <c r="I1" s="78"/>
    </row>
    <row r="2" spans="1:9" ht="19.5" customHeight="1">
      <c r="A2" s="81" t="s">
        <v>2</v>
      </c>
      <c r="B2" s="81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>
      <c r="A4" s="47" t="str" cm="1">
        <f t="array" ref="A4:A33">Sites[Site]</f>
        <v>10 Walpole Park South</v>
      </c>
      <c r="B4" s="9" t="str" cm="1">
        <f t="array" ref="B4:B33">Sites[State]</f>
        <v>MA</v>
      </c>
      <c r="C4" s="24">
        <f>SUM(Oct!C4, Nov!C4, Dec!C4)</f>
        <v>0</v>
      </c>
      <c r="D4" s="13">
        <f>SUM(Oct!D4, Nov!D4, Dec!D4)</f>
        <v>0</v>
      </c>
      <c r="E4" s="13">
        <f>IF(AND(ISNUMBER(C4),ISNUMBER(D4)), C4-D4, "")</f>
        <v>0</v>
      </c>
      <c r="F4" s="14" t="str">
        <f>IFERROR(E4/D4, "")</f>
        <v/>
      </c>
      <c r="G4" s="15"/>
      <c r="H4" s="15">
        <f>SUM(Oct!H4, Nov!H4, Dec!H4)</f>
        <v>0</v>
      </c>
      <c r="I4" s="16" t="str">
        <f>IFERROR(H4/G4, "")</f>
        <v/>
      </c>
    </row>
    <row r="5" spans="1:9" ht="15.6">
      <c r="A5" s="48" t="str">
        <v>15 Walpole Park South</v>
      </c>
      <c r="B5" s="10" t="str">
        <v>MA</v>
      </c>
      <c r="C5" s="11">
        <f>SUM(Oct!C5, Nov!C5, Dec!C5)</f>
        <v>0</v>
      </c>
      <c r="D5" s="18">
        <f>SUM(Oct!D5, Nov!D5, Dec!D5)</f>
        <v>0</v>
      </c>
      <c r="E5" s="18">
        <f t="shared" ref="E5:E15" si="0">IF(AND(ISNUMBER(C5),ISNUMBER(D5)), C5-D5, "")</f>
        <v>0</v>
      </c>
      <c r="F5" s="19" t="str">
        <f>IFERROR(E5/D5, "")</f>
        <v/>
      </c>
      <c r="G5" s="20"/>
      <c r="H5" s="20">
        <f>SUM(Oct!H5, Nov!H5, Dec!H5)</f>
        <v>0</v>
      </c>
      <c r="I5" s="19" t="str">
        <f>IFERROR(H5/G5, "")</f>
        <v/>
      </c>
    </row>
    <row r="6" spans="1:9" ht="15.6">
      <c r="A6" s="47" t="str">
        <v>19 Walpole Park South</v>
      </c>
      <c r="B6" s="9" t="str">
        <v>MA</v>
      </c>
      <c r="C6" s="24">
        <f>SUM(Oct!C6, Nov!C6, Dec!C6)</f>
        <v>0</v>
      </c>
      <c r="D6" s="13">
        <f>SUM(Oct!D6, Nov!D6, Dec!D6)</f>
        <v>0</v>
      </c>
      <c r="E6" s="13">
        <f t="shared" si="0"/>
        <v>0</v>
      </c>
      <c r="F6" s="14" t="str">
        <f t="shared" ref="F6:F15" si="1">IFERROR(E6/D6, "")</f>
        <v/>
      </c>
      <c r="G6" s="15"/>
      <c r="H6" s="15">
        <f>SUM(Oct!H6, Nov!H6, Dec!H6)</f>
        <v>0</v>
      </c>
      <c r="I6" s="16" t="str">
        <f t="shared" ref="I6:I15" si="2">IFERROR(H6/G6, "")</f>
        <v/>
      </c>
    </row>
    <row r="7" spans="1:9" ht="15.6">
      <c r="A7" s="48" t="str">
        <v>23 Walpole Park South</v>
      </c>
      <c r="B7" s="10" t="str">
        <v>MA</v>
      </c>
      <c r="C7" s="11">
        <f>SUM(Oct!C7, Nov!C7, Dec!C7)</f>
        <v>0</v>
      </c>
      <c r="D7" s="18">
        <f>SUM(Oct!D7, Nov!D7, Dec!D7)</f>
        <v>0</v>
      </c>
      <c r="E7" s="18">
        <f t="shared" si="0"/>
        <v>0</v>
      </c>
      <c r="F7" s="19" t="str">
        <f t="shared" si="1"/>
        <v/>
      </c>
      <c r="G7" s="20"/>
      <c r="H7" s="20">
        <f>SUM(Oct!H7, Nov!H7, Dec!H7)</f>
        <v>0</v>
      </c>
      <c r="I7" s="19" t="str">
        <f t="shared" si="2"/>
        <v/>
      </c>
    </row>
    <row r="8" spans="1:9" ht="15.6">
      <c r="A8" s="47" t="str">
        <v>24 Walpole Park South</v>
      </c>
      <c r="B8" s="9" t="str">
        <v>MA</v>
      </c>
      <c r="C8" s="24">
        <f>SUM(Oct!C8, Nov!C8, Dec!C8)</f>
        <v>0</v>
      </c>
      <c r="D8" s="13">
        <f>SUM(Oct!D8, Nov!D8, Dec!D8)</f>
        <v>0</v>
      </c>
      <c r="E8" s="13">
        <f t="shared" si="0"/>
        <v>0</v>
      </c>
      <c r="F8" s="14" t="str">
        <f t="shared" si="1"/>
        <v/>
      </c>
      <c r="G8" s="15"/>
      <c r="H8" s="15">
        <f>SUM(Oct!H8, Nov!H8, Dec!H8)</f>
        <v>0</v>
      </c>
      <c r="I8" s="16" t="str">
        <f t="shared" si="2"/>
        <v/>
      </c>
    </row>
    <row r="9" spans="1:9" ht="15.6">
      <c r="A9" s="48" t="str">
        <v>25 Walpole Park South</v>
      </c>
      <c r="B9" s="10" t="str">
        <v>MA</v>
      </c>
      <c r="C9" s="11">
        <f>SUM(Oct!C9, Nov!C9, Dec!C9)</f>
        <v>0</v>
      </c>
      <c r="D9" s="18">
        <f>SUM(Oct!D9, Nov!D9, Dec!D9)</f>
        <v>0</v>
      </c>
      <c r="E9" s="18">
        <f t="shared" si="0"/>
        <v>0</v>
      </c>
      <c r="F9" s="19" t="str">
        <f t="shared" si="1"/>
        <v/>
      </c>
      <c r="G9" s="20"/>
      <c r="H9" s="20">
        <f>SUM(Oct!H9, Nov!H9, Dec!H9)</f>
        <v>0</v>
      </c>
      <c r="I9" s="19" t="str">
        <f t="shared" si="2"/>
        <v/>
      </c>
    </row>
    <row r="10" spans="1:9" ht="15.6">
      <c r="A10" s="47" t="str">
        <v>3 Walpole Park South</v>
      </c>
      <c r="B10" s="9" t="str">
        <v>MA</v>
      </c>
      <c r="C10" s="24">
        <f>SUM(Oct!C10, Nov!C10, Dec!C10)</f>
        <v>0</v>
      </c>
      <c r="D10" s="13">
        <f>SUM(Oct!D10, Nov!D10, Dec!D10)</f>
        <v>0</v>
      </c>
      <c r="E10" s="13">
        <f t="shared" si="0"/>
        <v>0</v>
      </c>
      <c r="F10" s="14" t="str">
        <f t="shared" si="1"/>
        <v/>
      </c>
      <c r="G10" s="15"/>
      <c r="H10" s="15">
        <f>SUM(Oct!H10, Nov!H10, Dec!H10)</f>
        <v>0</v>
      </c>
      <c r="I10" s="16" t="str">
        <f t="shared" si="2"/>
        <v/>
      </c>
    </row>
    <row r="11" spans="1:9" ht="15.6">
      <c r="A11" s="48" t="str">
        <v>4 Walpole Park South</v>
      </c>
      <c r="B11" s="10" t="str">
        <v>MA</v>
      </c>
      <c r="C11" s="11">
        <f>SUM(Oct!C11, Nov!C11, Dec!C11)</f>
        <v>0</v>
      </c>
      <c r="D11" s="18">
        <f>SUM(Oct!D11, Nov!D11, Dec!D11)</f>
        <v>0</v>
      </c>
      <c r="E11" s="18">
        <f t="shared" si="0"/>
        <v>0</v>
      </c>
      <c r="F11" s="19" t="str">
        <f t="shared" si="1"/>
        <v/>
      </c>
      <c r="G11" s="20"/>
      <c r="H11" s="20">
        <f>SUM(Oct!H11, Nov!H11, Dec!H11)</f>
        <v>0</v>
      </c>
      <c r="I11" s="19" t="str">
        <f t="shared" si="2"/>
        <v/>
      </c>
    </row>
    <row r="12" spans="1:9" ht="15.6">
      <c r="A12" s="47" t="str">
        <v>Brockton</v>
      </c>
      <c r="B12" s="9" t="str">
        <v>MA</v>
      </c>
      <c r="C12" s="24">
        <f>SUM(Oct!C12, Nov!C12, Dec!C12)</f>
        <v>0</v>
      </c>
      <c r="D12" s="13">
        <f>SUM(Oct!D12, Nov!D12, Dec!D12)</f>
        <v>0</v>
      </c>
      <c r="E12" s="13">
        <f t="shared" si="0"/>
        <v>0</v>
      </c>
      <c r="F12" s="14" t="str">
        <f t="shared" si="1"/>
        <v/>
      </c>
      <c r="G12" s="15"/>
      <c r="H12" s="15">
        <f>SUM(Oct!H12, Nov!H12, Dec!H12)</f>
        <v>0</v>
      </c>
      <c r="I12" s="16" t="str">
        <f t="shared" si="2"/>
        <v/>
      </c>
    </row>
    <row r="13" spans="1:9" ht="15.6">
      <c r="A13" s="48" t="str">
        <v>Canton</v>
      </c>
      <c r="B13" s="10" t="str">
        <v>MA</v>
      </c>
      <c r="C13" s="11">
        <f>SUM(Oct!C13, Nov!C13, Dec!C13)</f>
        <v>0</v>
      </c>
      <c r="D13" s="18">
        <f>SUM(Oct!D13, Nov!D13, Dec!D13)</f>
        <v>0</v>
      </c>
      <c r="E13" s="18">
        <f t="shared" si="0"/>
        <v>0</v>
      </c>
      <c r="F13" s="19" t="str">
        <f t="shared" si="1"/>
        <v/>
      </c>
      <c r="G13" s="20"/>
      <c r="H13" s="20">
        <f>SUM(Oct!H13, Nov!H13, Dec!H13)</f>
        <v>0</v>
      </c>
      <c r="I13" s="19" t="str">
        <f t="shared" si="2"/>
        <v/>
      </c>
    </row>
    <row r="14" spans="1:9" ht="15.6">
      <c r="A14" s="47" t="str">
        <v>Chelsea</v>
      </c>
      <c r="B14" s="9" t="str">
        <v>MA</v>
      </c>
      <c r="C14" s="24">
        <f>SUM(Oct!C14, Nov!C14, Dec!C14)</f>
        <v>0</v>
      </c>
      <c r="D14" s="13">
        <f>SUM(Oct!D14, Nov!D14, Dec!D14)</f>
        <v>0</v>
      </c>
      <c r="E14" s="13">
        <f t="shared" si="0"/>
        <v>0</v>
      </c>
      <c r="F14" s="14" t="str">
        <f t="shared" si="1"/>
        <v/>
      </c>
      <c r="G14" s="15"/>
      <c r="H14" s="15">
        <f>SUM(Oct!H14, Nov!H14, Dec!H14)</f>
        <v>0</v>
      </c>
      <c r="I14" s="16" t="str">
        <f t="shared" si="2"/>
        <v/>
      </c>
    </row>
    <row r="15" spans="1:9" ht="15.6">
      <c r="A15" s="48" t="str">
        <v>Hamilton Landfill</v>
      </c>
      <c r="B15" s="10" t="str">
        <v>MA</v>
      </c>
      <c r="C15" s="11">
        <f>SUM(Oct!C15, Nov!C15, Dec!C15)</f>
        <v>0</v>
      </c>
      <c r="D15" s="18">
        <f>SUM(Oct!D15, Nov!D15, Dec!D15)</f>
        <v>0</v>
      </c>
      <c r="E15" s="18">
        <f t="shared" si="0"/>
        <v>0</v>
      </c>
      <c r="F15" s="19" t="str">
        <f t="shared" si="1"/>
        <v/>
      </c>
      <c r="G15" s="20"/>
      <c r="H15" s="20">
        <f>SUM(Oct!H15, Nov!H15, Dec!H15)</f>
        <v>0</v>
      </c>
      <c r="I15" s="19" t="str">
        <f t="shared" si="2"/>
        <v/>
      </c>
    </row>
    <row r="16" spans="1:9" ht="15.6">
      <c r="A16" s="47" t="str">
        <v>Holliston</v>
      </c>
      <c r="B16" s="9" t="str">
        <v>MA</v>
      </c>
      <c r="C16" s="24">
        <f>SUM(Oct!C16, Nov!C16, Dec!C16)</f>
        <v>0</v>
      </c>
      <c r="D16" s="13">
        <f>SUM(Oct!D16, Nov!D16, Dec!D16)</f>
        <v>0</v>
      </c>
      <c r="E16" s="13">
        <f t="shared" ref="E16:E18" si="3">IF(AND(ISNUMBER(C16),ISNUMBER(D16)), C16-D16, "")</f>
        <v>0</v>
      </c>
      <c r="F16" s="14" t="str">
        <f t="shared" ref="F16:F18" si="4">IFERROR(E16/D16, "")</f>
        <v/>
      </c>
      <c r="G16" s="15"/>
      <c r="H16" s="15">
        <f>SUM(Oct!H16, Nov!H16, Dec!H16)</f>
        <v>0</v>
      </c>
      <c r="I16" s="16" t="str">
        <f t="shared" ref="I16:I18" si="5">IFERROR(H16/G16, "")</f>
        <v/>
      </c>
    </row>
    <row r="17" spans="1:9" ht="15.6">
      <c r="A17" s="48" t="str">
        <v>Natick HS - Carports</v>
      </c>
      <c r="B17" s="10" t="str">
        <v>MA</v>
      </c>
      <c r="C17" s="11">
        <f>SUM(Oct!C17, Nov!C17, Dec!C17)</f>
        <v>0</v>
      </c>
      <c r="D17" s="18">
        <f>SUM(Oct!D17, Nov!D17, Dec!D17)</f>
        <v>0</v>
      </c>
      <c r="E17" s="18">
        <f t="shared" si="3"/>
        <v>0</v>
      </c>
      <c r="F17" s="19" t="str">
        <f t="shared" si="4"/>
        <v/>
      </c>
      <c r="G17" s="20"/>
      <c r="H17" s="20">
        <f>SUM(Oct!H17, Nov!H17, Dec!H17)</f>
        <v>0</v>
      </c>
      <c r="I17" s="19" t="str">
        <f t="shared" si="5"/>
        <v/>
      </c>
    </row>
    <row r="18" spans="1:9" ht="12.75" customHeight="1">
      <c r="A18" s="47" t="str">
        <v>Norton</v>
      </c>
      <c r="B18" s="9" t="str">
        <v>MA</v>
      </c>
      <c r="C18" s="24">
        <f>SUM(Oct!C18, Nov!C18, Dec!C18)</f>
        <v>0</v>
      </c>
      <c r="D18" s="13">
        <f>SUM(Oct!D18, Nov!D18, Dec!D18)</f>
        <v>0</v>
      </c>
      <c r="E18" s="13">
        <f t="shared" si="3"/>
        <v>0</v>
      </c>
      <c r="F18" s="14" t="str">
        <f t="shared" si="4"/>
        <v/>
      </c>
      <c r="G18" s="15"/>
      <c r="H18" s="15">
        <f>SUM(Oct!H18, Nov!H18, Dec!H18)</f>
        <v>0</v>
      </c>
      <c r="I18" s="16" t="str">
        <f t="shared" si="5"/>
        <v/>
      </c>
    </row>
    <row r="19" spans="1:9" ht="15.6">
      <c r="A19" s="48" t="str">
        <v>Palmer - Boston Rd.</v>
      </c>
      <c r="B19" s="10" t="str">
        <v>MA</v>
      </c>
      <c r="C19" s="11">
        <f>SUM(Oct!C19, Nov!C19, Dec!C19)</f>
        <v>0</v>
      </c>
      <c r="D19" s="18">
        <f>SUM(Oct!D19, Nov!D19, Dec!D19)</f>
        <v>0</v>
      </c>
      <c r="E19" s="18">
        <f t="shared" ref="E19:E25" si="6">IF(AND(ISNUMBER(C19),ISNUMBER(D19)), C19-D19, "")</f>
        <v>0</v>
      </c>
      <c r="F19" s="19" t="str">
        <f t="shared" ref="F19:F25" si="7">IFERROR(E19/D19, "")</f>
        <v/>
      </c>
      <c r="G19" s="20"/>
      <c r="H19" s="20">
        <f>SUM(Oct!H19, Nov!H19, Dec!H19)</f>
        <v>0</v>
      </c>
      <c r="I19" s="19" t="str">
        <f t="shared" ref="I19:I25" si="8">IFERROR(H19/G19, "")</f>
        <v/>
      </c>
    </row>
    <row r="20" spans="1:9" ht="15.6">
      <c r="A20" s="47" t="str">
        <v>Shirley Bartkus</v>
      </c>
      <c r="B20" s="9" t="str">
        <v>MA</v>
      </c>
      <c r="C20" s="24">
        <f>SUM(Oct!C20, Nov!C20, Dec!C20)</f>
        <v>0</v>
      </c>
      <c r="D20" s="13">
        <f>SUM(Oct!D20, Nov!D20, Dec!D20)</f>
        <v>0</v>
      </c>
      <c r="E20" s="13">
        <f t="shared" si="6"/>
        <v>0</v>
      </c>
      <c r="F20" s="14" t="str">
        <f t="shared" si="7"/>
        <v/>
      </c>
      <c r="G20" s="15"/>
      <c r="H20" s="15">
        <f>SUM(Oct!H20, Nov!H20, Dec!H20)</f>
        <v>0</v>
      </c>
      <c r="I20" s="16" t="str">
        <f t="shared" si="8"/>
        <v/>
      </c>
    </row>
    <row r="21" spans="1:9" ht="15.6">
      <c r="A21" s="48" t="str">
        <v>Stoughton</v>
      </c>
      <c r="B21" s="10" t="str">
        <v>MA</v>
      </c>
      <c r="C21" s="11">
        <f>SUM(Oct!C21, Nov!C21, Dec!C21)</f>
        <v>0</v>
      </c>
      <c r="D21" s="18">
        <f>SUM(Oct!D21, Nov!D21, Dec!D21)</f>
        <v>0</v>
      </c>
      <c r="E21" s="18">
        <f t="shared" si="6"/>
        <v>0</v>
      </c>
      <c r="F21" s="19" t="str">
        <f t="shared" si="7"/>
        <v/>
      </c>
      <c r="G21" s="20"/>
      <c r="H21" s="20">
        <f>SUM(Oct!H21, Nov!H21, Dec!H21)</f>
        <v>0</v>
      </c>
      <c r="I21" s="19" t="str">
        <f t="shared" si="8"/>
        <v/>
      </c>
    </row>
    <row r="22" spans="1:9" ht="15.6">
      <c r="A22" s="47" t="str">
        <v>Wellfleet Landfill</v>
      </c>
      <c r="B22" s="9" t="str">
        <v>MA</v>
      </c>
      <c r="C22" s="24">
        <f>SUM(Oct!C22, Nov!C22, Dec!C22)</f>
        <v>0</v>
      </c>
      <c r="D22" s="13">
        <f>SUM(Oct!D22, Nov!D22, Dec!D22)</f>
        <v>0</v>
      </c>
      <c r="E22" s="13">
        <f t="shared" si="6"/>
        <v>0</v>
      </c>
      <c r="F22" s="14" t="str">
        <f t="shared" si="7"/>
        <v/>
      </c>
      <c r="G22" s="15"/>
      <c r="H22" s="15">
        <f>SUM(Oct!H22, Nov!H22, Dec!H22)</f>
        <v>0</v>
      </c>
      <c r="I22" s="16" t="str">
        <f t="shared" si="8"/>
        <v/>
      </c>
    </row>
    <row r="23" spans="1:9" ht="15.6">
      <c r="A23" s="48" t="str">
        <v>Wilmington Garage &amp; Building 7</v>
      </c>
      <c r="B23" s="10" t="str">
        <v>MA</v>
      </c>
      <c r="C23" s="11">
        <f>SUM(Oct!C23, Nov!C23, Dec!C23)</f>
        <v>0</v>
      </c>
      <c r="D23" s="18">
        <f>SUM(Oct!D23, Nov!D23, Dec!D23)</f>
        <v>0</v>
      </c>
      <c r="E23" s="18">
        <f t="shared" si="6"/>
        <v>0</v>
      </c>
      <c r="F23" s="19" t="str">
        <f t="shared" si="7"/>
        <v/>
      </c>
      <c r="G23" s="20"/>
      <c r="H23" s="20">
        <f>SUM(Oct!H23, Nov!H23, Dec!H23)</f>
        <v>0</v>
      </c>
      <c r="I23" s="19" t="str">
        <f t="shared" si="8"/>
        <v/>
      </c>
    </row>
    <row r="24" spans="1:9" ht="15.6">
      <c r="A24" s="47" t="str">
        <v>Woburn</v>
      </c>
      <c r="B24" s="9" t="str">
        <v>MA</v>
      </c>
      <c r="C24" s="24">
        <f>SUM(Oct!C24, Nov!C24, Dec!C24)</f>
        <v>0</v>
      </c>
      <c r="D24" s="13">
        <f>SUM(Oct!D24, Nov!D24, Dec!D24)</f>
        <v>0</v>
      </c>
      <c r="E24" s="13">
        <f t="shared" si="6"/>
        <v>0</v>
      </c>
      <c r="F24" s="14" t="str">
        <f t="shared" si="7"/>
        <v/>
      </c>
      <c r="G24" s="15"/>
      <c r="H24" s="15">
        <f>SUM(Oct!H24, Nov!H24, Dec!H24)</f>
        <v>0</v>
      </c>
      <c r="I24" s="16" t="str">
        <f t="shared" si="8"/>
        <v/>
      </c>
    </row>
    <row r="25" spans="1:9" ht="15.6">
      <c r="A25" s="48" t="str">
        <v>Friendship Solar 1</v>
      </c>
      <c r="B25" s="10" t="str">
        <v>MD</v>
      </c>
      <c r="C25" s="11">
        <f>SUM(Oct!C25, Nov!C25, Dec!C25)</f>
        <v>0</v>
      </c>
      <c r="D25" s="18">
        <f>SUM(Oct!D25, Nov!D25, Dec!D25)</f>
        <v>0</v>
      </c>
      <c r="E25" s="18">
        <f t="shared" si="6"/>
        <v>0</v>
      </c>
      <c r="F25" s="19" t="str">
        <f t="shared" si="7"/>
        <v/>
      </c>
      <c r="G25" s="20"/>
      <c r="H25" s="20">
        <f>SUM(Oct!H25, Nov!H25, Dec!H25)</f>
        <v>0</v>
      </c>
      <c r="I25" s="19" t="str">
        <f t="shared" si="8"/>
        <v/>
      </c>
    </row>
    <row r="26" spans="1:9" ht="15.6">
      <c r="A26" s="47" t="str">
        <v>Friendship Solar 2</v>
      </c>
      <c r="B26" s="9" t="str">
        <v>MD</v>
      </c>
      <c r="C26" s="24"/>
      <c r="D26" s="13"/>
      <c r="E26" s="13"/>
      <c r="F26" s="14"/>
      <c r="G26" s="15"/>
      <c r="H26" s="15"/>
      <c r="I26" s="16"/>
    </row>
    <row r="27" spans="1:9" ht="15.6">
      <c r="A27" s="48" t="str">
        <v>101 Carnegie Center</v>
      </c>
      <c r="B27" s="10" t="str">
        <v>NJ</v>
      </c>
      <c r="C27" s="11"/>
      <c r="D27" s="18"/>
      <c r="E27" s="18"/>
      <c r="F27" s="19"/>
      <c r="G27" s="20"/>
      <c r="H27" s="20"/>
      <c r="I27" s="19"/>
    </row>
    <row r="28" spans="1:9" ht="15.6">
      <c r="A28" s="47" t="str">
        <v>302 Carnegie Center</v>
      </c>
      <c r="B28" s="9" t="str">
        <v>NJ</v>
      </c>
      <c r="C28" s="24"/>
      <c r="D28" s="13"/>
      <c r="E28" s="13"/>
      <c r="F28" s="14"/>
      <c r="G28" s="15"/>
      <c r="H28" s="15"/>
      <c r="I28" s="16"/>
    </row>
    <row r="29" spans="1:9" ht="15.6">
      <c r="A29" s="48" t="str">
        <v>510 Carnegie Center</v>
      </c>
      <c r="B29" s="10" t="str">
        <v>NJ</v>
      </c>
      <c r="C29" s="11"/>
      <c r="D29" s="18"/>
      <c r="E29" s="18"/>
      <c r="F29" s="19"/>
      <c r="G29" s="20"/>
      <c r="H29" s="20"/>
      <c r="I29" s="19"/>
    </row>
    <row r="30" spans="1:9" ht="15.6">
      <c r="A30" s="47" t="str">
        <v>701 Carnegie Center</v>
      </c>
      <c r="B30" s="9" t="str">
        <v>NJ</v>
      </c>
      <c r="C30" s="24"/>
      <c r="D30" s="13"/>
      <c r="E30" s="13"/>
      <c r="F30" s="14"/>
      <c r="G30" s="15"/>
      <c r="H30" s="15"/>
      <c r="I30" s="16"/>
    </row>
    <row r="31" spans="1:9" ht="15.6">
      <c r="A31" s="48" t="str">
        <v>Hudson County Correction</v>
      </c>
      <c r="B31" s="10" t="str">
        <v>NJ</v>
      </c>
      <c r="C31" s="11"/>
      <c r="D31" s="18"/>
      <c r="E31" s="18"/>
      <c r="F31" s="19"/>
      <c r="G31" s="20"/>
      <c r="H31" s="20"/>
      <c r="I31" s="19"/>
    </row>
    <row r="32" spans="1:9" ht="15.6">
      <c r="A32" s="47" t="str">
        <v>ER Bison Solar</v>
      </c>
      <c r="B32" s="9" t="str">
        <v>PA</v>
      </c>
      <c r="C32" s="24"/>
      <c r="D32" s="13"/>
      <c r="E32" s="13"/>
      <c r="F32" s="14"/>
      <c r="G32" s="15"/>
      <c r="H32" s="15"/>
      <c r="I32" s="16"/>
    </row>
    <row r="33" spans="1:9" ht="15.6">
      <c r="A33" s="48" t="str">
        <v>Danville</v>
      </c>
      <c r="B33" s="10" t="str">
        <v>IL</v>
      </c>
      <c r="C33" s="11"/>
      <c r="D33" s="18"/>
      <c r="E33" s="18"/>
      <c r="F33" s="19"/>
      <c r="G33" s="20"/>
      <c r="H33" s="20"/>
      <c r="I33" s="19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9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9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9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3.9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 ht="13.9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 ht="13.9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 ht="13.9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 ht="13.9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 ht="13.9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 ht="13.9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 ht="13.9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 ht="13.9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 ht="13.9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 ht="13.9">
      <c r="A340" s="21"/>
      <c r="B340" s="21"/>
      <c r="C340" s="21"/>
      <c r="D340" s="21"/>
      <c r="E340" s="21"/>
      <c r="F340" s="22"/>
      <c r="G340" s="21"/>
      <c r="H340" s="21"/>
      <c r="I340" s="22"/>
    </row>
    <row r="341" spans="1:9" ht="13.9">
      <c r="A341" s="21"/>
      <c r="B341" s="21"/>
      <c r="C341" s="21"/>
      <c r="D341" s="21"/>
      <c r="E341" s="21"/>
      <c r="F341" s="22"/>
      <c r="G341" s="21"/>
      <c r="H341" s="21"/>
      <c r="I341" s="22"/>
    </row>
    <row r="342" spans="1:9" ht="13.9">
      <c r="A342" s="21"/>
      <c r="B342" s="21"/>
      <c r="C342" s="21"/>
      <c r="D342" s="21"/>
      <c r="E342" s="21"/>
      <c r="F342" s="22"/>
      <c r="G342" s="21"/>
      <c r="H342" s="21"/>
      <c r="I342" s="22"/>
    </row>
  </sheetData>
  <mergeCells count="4">
    <mergeCell ref="G1:I1"/>
    <mergeCell ref="A1:C1"/>
    <mergeCell ref="D1:F1"/>
    <mergeCell ref="A2:B2"/>
  </mergeCells>
  <conditionalFormatting sqref="F2 I2 F4:F100 I4:I100">
    <cfRule type="cellIs" dxfId="49" priority="1" stopIfTrue="1" operator="lessThanOrEqual">
      <formula>-0.1</formula>
    </cfRule>
    <cfRule type="expression" dxfId="48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41"/>
  <sheetViews>
    <sheetView zoomScale="85" zoomScaleNormal="85" workbookViewId="0">
      <pane xSplit="2" ySplit="3" topLeftCell="C4" activePane="bottomRight" state="frozen"/>
      <selection pane="bottomRight" activeCell="D31" sqref="D31"/>
      <selection pane="bottomLeft" activeCell="C4" sqref="C4"/>
      <selection pane="topRight" activeCell="C4" sqref="C4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style="46" customWidth="1"/>
    <col min="4" max="4" width="13.28515625" style="46" customWidth="1"/>
    <col min="5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9" t="str" cm="1">
        <f t="array" ref="A1">portfolio</f>
        <v>Greenbacker</v>
      </c>
      <c r="B1" s="79"/>
      <c r="C1" s="79"/>
      <c r="D1" s="80" t="s">
        <v>18</v>
      </c>
      <c r="E1" s="80"/>
      <c r="F1" s="80"/>
      <c r="G1" s="78" t="s">
        <v>19</v>
      </c>
      <c r="H1" s="78"/>
      <c r="I1" s="78"/>
      <c r="J1" s="4"/>
      <c r="K1" s="4"/>
    </row>
    <row r="2" spans="1:11" ht="19.5" customHeight="1">
      <c r="A2" s="81" t="s">
        <v>2</v>
      </c>
      <c r="B2" s="81"/>
      <c r="C2" s="5">
        <f>SUM(C4:C99)</f>
        <v>1255667.4659057546</v>
      </c>
      <c r="D2" s="5">
        <f>SUM(D4:D99)</f>
        <v>1584905.264</v>
      </c>
      <c r="E2" s="5">
        <f>C2-D2</f>
        <v>-329237.79809424537</v>
      </c>
      <c r="F2" s="6">
        <f>IFERROR(E2/D2, 0)</f>
        <v>-0.20773342456022367</v>
      </c>
      <c r="G2" s="5">
        <f>SUM(G4:G99)</f>
        <v>1501477.3230000001</v>
      </c>
      <c r="H2" s="7">
        <f>C2-G2</f>
        <v>-245809.8570942455</v>
      </c>
      <c r="I2" s="6">
        <f>IFERROR(H2/G2, 0)</f>
        <v>-0.16371200105980255</v>
      </c>
      <c r="J2" s="26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7" t="s">
        <v>3</v>
      </c>
      <c r="B3" s="8" t="s">
        <v>4</v>
      </c>
      <c r="C3" s="54" t="s">
        <v>5</v>
      </c>
      <c r="D3" s="55" t="s">
        <v>6</v>
      </c>
      <c r="E3" s="35" t="s">
        <v>7</v>
      </c>
      <c r="F3" s="36" t="s">
        <v>8</v>
      </c>
      <c r="G3" s="5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49" t="str" cm="1">
        <f t="array" ref="A4:A33">Sites[Site]</f>
        <v>10 Walpole Park South</v>
      </c>
      <c r="B4" s="29" t="str" cm="1">
        <f t="array" ref="B4:B33">Sites[State]</f>
        <v>MA</v>
      </c>
      <c r="C4" s="64">
        <v>3478.8125</v>
      </c>
      <c r="D4" s="64">
        <v>6181.5739999999996</v>
      </c>
      <c r="E4" s="13">
        <f>IF(AND(ISNUMBER(C4),ISNUMBER(D4)), C4-D4, "")</f>
        <v>-2702.7614999999996</v>
      </c>
      <c r="F4" s="45">
        <f>IFERROR(E4/D4, "")</f>
        <v>-0.43722868965088824</v>
      </c>
      <c r="G4" s="58">
        <v>6823.2529999999997</v>
      </c>
      <c r="H4" s="15">
        <f>IF(AND(ISNUMBER(C4),ISNUMBER(G4)), C4-G4, "")</f>
        <v>-3344.4404999999997</v>
      </c>
      <c r="I4" s="16">
        <f>IFERROR(H4/G4, "")</f>
        <v>-0.49015337698895234</v>
      </c>
      <c r="J4" s="40"/>
      <c r="K4" s="40"/>
    </row>
    <row r="5" spans="1:11" ht="15.6">
      <c r="A5" s="50" t="str">
        <v>15 Walpole Park South</v>
      </c>
      <c r="B5" s="31" t="str">
        <v>MA</v>
      </c>
      <c r="C5" s="65">
        <v>12517</v>
      </c>
      <c r="D5" s="65">
        <v>22722.47</v>
      </c>
      <c r="E5" s="18">
        <f t="shared" ref="E5:E15" si="0">IF(AND(ISNUMBER(C5),ISNUMBER(D5)), C5-D5, "")</f>
        <v>-10205.470000000001</v>
      </c>
      <c r="F5" s="53">
        <f t="shared" ref="F5:F33" si="1">IFERROR(E5/D5, "")</f>
        <v>-0.44913559133316056</v>
      </c>
      <c r="G5" s="59">
        <v>21603.71</v>
      </c>
      <c r="H5" s="20">
        <f t="shared" ref="H5:H6" si="2">IF(AND(ISNUMBER(C5),ISNUMBER(G5)), C5-G5, "")</f>
        <v>-9086.7099999999991</v>
      </c>
      <c r="I5" s="19">
        <f t="shared" ref="I5:I6" si="3">IFERROR(H5/G5, "")</f>
        <v>-0.42060877506687505</v>
      </c>
      <c r="J5" s="41"/>
      <c r="K5" s="41"/>
    </row>
    <row r="6" spans="1:11" ht="15.6">
      <c r="A6" s="51" t="str">
        <v>19 Walpole Park South</v>
      </c>
      <c r="B6" s="29" t="str">
        <v>MA</v>
      </c>
      <c r="C6" s="64">
        <v>7105.375</v>
      </c>
      <c r="D6" s="64">
        <v>13704.15</v>
      </c>
      <c r="E6" s="13">
        <f t="shared" si="0"/>
        <v>-6598.7749999999996</v>
      </c>
      <c r="F6" s="45">
        <f t="shared" si="1"/>
        <v>-0.48151654790702086</v>
      </c>
      <c r="G6" s="58">
        <v>14450.27</v>
      </c>
      <c r="H6" s="15">
        <f t="shared" si="2"/>
        <v>-7344.8950000000004</v>
      </c>
      <c r="I6" s="16">
        <f t="shared" si="3"/>
        <v>-0.50828773441603514</v>
      </c>
      <c r="J6" s="40"/>
      <c r="K6" s="40"/>
    </row>
    <row r="7" spans="1:11" ht="15.6">
      <c r="A7" s="50" t="str">
        <v>23 Walpole Park South</v>
      </c>
      <c r="B7" s="31" t="str">
        <v>MA</v>
      </c>
      <c r="C7" s="66">
        <v>10190.25</v>
      </c>
      <c r="D7" s="67">
        <v>16832.77</v>
      </c>
      <c r="E7" s="18">
        <f t="shared" si="0"/>
        <v>-6642.52</v>
      </c>
      <c r="F7" s="53">
        <f t="shared" si="1"/>
        <v>-0.39461835455483563</v>
      </c>
      <c r="G7" s="56">
        <v>18563.55</v>
      </c>
      <c r="H7" s="20">
        <f t="shared" ref="H7:H15" si="4">IF(AND(ISNUMBER(C7),ISNUMBER(G7)), C7-G7, "")</f>
        <v>-8373.2999999999993</v>
      </c>
      <c r="I7" s="19">
        <f t="shared" ref="I7:I15" si="5">IFERROR(H7/G7, "")</f>
        <v>-0.4510613541052223</v>
      </c>
      <c r="J7" s="41"/>
      <c r="K7" s="41"/>
    </row>
    <row r="8" spans="1:11" ht="15.6">
      <c r="A8" s="51" t="str">
        <v>24 Walpole Park South</v>
      </c>
      <c r="B8" s="29" t="str">
        <v>MA</v>
      </c>
      <c r="C8" s="68">
        <v>15037</v>
      </c>
      <c r="D8" s="68">
        <v>14267.73</v>
      </c>
      <c r="E8" s="13">
        <f t="shared" si="0"/>
        <v>769.27000000000044</v>
      </c>
      <c r="F8" s="45">
        <f t="shared" si="1"/>
        <v>5.3916775829091275E-2</v>
      </c>
      <c r="G8" s="60">
        <v>28642.02</v>
      </c>
      <c r="H8" s="15">
        <f t="shared" si="4"/>
        <v>-13605.02</v>
      </c>
      <c r="I8" s="16">
        <f t="shared" si="5"/>
        <v>-0.47500211228118688</v>
      </c>
      <c r="J8" s="40" t="s">
        <v>22</v>
      </c>
      <c r="K8" s="40" t="s">
        <v>23</v>
      </c>
    </row>
    <row r="9" spans="1:11" ht="15.6">
      <c r="A9" s="50" t="str">
        <v>25 Walpole Park South</v>
      </c>
      <c r="B9" s="31" t="str">
        <v>MA</v>
      </c>
      <c r="C9" s="62">
        <v>15224.5</v>
      </c>
      <c r="D9" s="62">
        <v>26799</v>
      </c>
      <c r="E9" s="18">
        <f t="shared" si="0"/>
        <v>-11574.5</v>
      </c>
      <c r="F9" s="53">
        <f t="shared" si="1"/>
        <v>-0.43190044404641964</v>
      </c>
      <c r="G9" s="20">
        <v>29130.79</v>
      </c>
      <c r="H9" s="20">
        <f t="shared" si="4"/>
        <v>-13906.29</v>
      </c>
      <c r="I9" s="19">
        <f t="shared" si="5"/>
        <v>-0.47737428336135068</v>
      </c>
      <c r="J9" s="41"/>
      <c r="K9" s="41"/>
    </row>
    <row r="10" spans="1:11" ht="15.6">
      <c r="A10" s="51" t="str">
        <v>3 Walpole Park South</v>
      </c>
      <c r="B10" s="29" t="str">
        <v>MA</v>
      </c>
      <c r="C10" s="63">
        <v>19881.5</v>
      </c>
      <c r="D10" s="63">
        <v>35122.519999999997</v>
      </c>
      <c r="E10" s="13">
        <f t="shared" si="0"/>
        <v>-15241.019999999997</v>
      </c>
      <c r="F10" s="45">
        <f t="shared" si="1"/>
        <v>-0.43393868093747257</v>
      </c>
      <c r="G10" s="15">
        <v>34800.550000000003</v>
      </c>
      <c r="H10" s="15">
        <f t="shared" si="4"/>
        <v>-14919.050000000003</v>
      </c>
      <c r="I10" s="16">
        <f t="shared" si="5"/>
        <v>-0.42870155787767728</v>
      </c>
      <c r="J10" s="40"/>
      <c r="K10" s="40"/>
    </row>
    <row r="11" spans="1:11" ht="15.6">
      <c r="A11" s="50" t="str">
        <v>4 Walpole Park South</v>
      </c>
      <c r="B11" s="31" t="str">
        <v>MA</v>
      </c>
      <c r="C11" s="62">
        <v>10678.25</v>
      </c>
      <c r="D11" s="62">
        <v>19843.16</v>
      </c>
      <c r="E11" s="18">
        <f t="shared" si="0"/>
        <v>-9164.91</v>
      </c>
      <c r="F11" s="53">
        <f t="shared" si="1"/>
        <v>-0.46186746465784684</v>
      </c>
      <c r="G11" s="20">
        <v>19687.72</v>
      </c>
      <c r="H11" s="20">
        <f t="shared" si="4"/>
        <v>-9009.4700000000012</v>
      </c>
      <c r="I11" s="19">
        <f t="shared" si="5"/>
        <v>-0.45761875930783252</v>
      </c>
      <c r="J11" s="41"/>
      <c r="K11" s="41"/>
    </row>
    <row r="12" spans="1:11" ht="15.6">
      <c r="A12" s="51" t="str">
        <v>Brockton</v>
      </c>
      <c r="B12" s="29" t="str">
        <v>MA</v>
      </c>
      <c r="C12" s="63">
        <v>21358</v>
      </c>
      <c r="D12" s="63">
        <v>29225.200000000001</v>
      </c>
      <c r="E12" s="13">
        <f t="shared" si="0"/>
        <v>-7867.2000000000007</v>
      </c>
      <c r="F12" s="45">
        <f t="shared" si="1"/>
        <v>-0.26919234085652111</v>
      </c>
      <c r="G12" s="15">
        <v>35891.120000000003</v>
      </c>
      <c r="H12" s="15">
        <f t="shared" si="4"/>
        <v>-14533.120000000003</v>
      </c>
      <c r="I12" s="16">
        <f t="shared" si="5"/>
        <v>-0.40492244321157994</v>
      </c>
      <c r="J12" s="40"/>
      <c r="K12" s="40"/>
    </row>
    <row r="13" spans="1:11" ht="28.9">
      <c r="A13" s="50" t="str">
        <v>Canton</v>
      </c>
      <c r="B13" s="31" t="str">
        <v>MA</v>
      </c>
      <c r="C13" s="62">
        <v>17412.249999999502</v>
      </c>
      <c r="D13" s="62">
        <v>31213.29</v>
      </c>
      <c r="E13" s="18">
        <f t="shared" si="0"/>
        <v>-13801.040000000499</v>
      </c>
      <c r="F13" s="53">
        <f t="shared" si="1"/>
        <v>-0.44215268560284732</v>
      </c>
      <c r="G13" s="20">
        <v>30904.81</v>
      </c>
      <c r="H13" s="20">
        <f t="shared" si="4"/>
        <v>-13492.5600000005</v>
      </c>
      <c r="I13" s="19">
        <f t="shared" si="5"/>
        <v>-0.43658446694868852</v>
      </c>
      <c r="J13" s="41" t="s">
        <v>24</v>
      </c>
      <c r="K13" s="41" t="s">
        <v>25</v>
      </c>
    </row>
    <row r="14" spans="1:11" ht="15.6">
      <c r="A14" s="51" t="str">
        <v>Chelsea</v>
      </c>
      <c r="B14" s="29" t="str">
        <v>MA</v>
      </c>
      <c r="C14" s="63">
        <v>38716</v>
      </c>
      <c r="D14" s="63">
        <v>54336.05</v>
      </c>
      <c r="E14" s="13">
        <f t="shared" si="0"/>
        <v>-15620.050000000003</v>
      </c>
      <c r="F14" s="45">
        <f t="shared" si="1"/>
        <v>-0.28747120926162284</v>
      </c>
      <c r="G14" s="15">
        <v>55003.46</v>
      </c>
      <c r="H14" s="15">
        <f t="shared" si="4"/>
        <v>-16287.46</v>
      </c>
      <c r="I14" s="16">
        <f t="shared" si="5"/>
        <v>-0.2961170079118659</v>
      </c>
      <c r="J14" s="40"/>
      <c r="K14" s="40"/>
    </row>
    <row r="15" spans="1:11" ht="15.6">
      <c r="A15" s="50" t="str">
        <v>Hamilton Landfill</v>
      </c>
      <c r="B15" s="31" t="str">
        <v>MA</v>
      </c>
      <c r="C15" s="62">
        <v>30221</v>
      </c>
      <c r="D15" s="62">
        <v>58716</v>
      </c>
      <c r="E15" s="18">
        <f t="shared" si="0"/>
        <v>-28495</v>
      </c>
      <c r="F15" s="53">
        <f t="shared" si="1"/>
        <v>-0.48530213229784047</v>
      </c>
      <c r="G15" s="20">
        <v>0</v>
      </c>
      <c r="H15" s="20">
        <f t="shared" si="4"/>
        <v>30221</v>
      </c>
      <c r="I15" s="41" t="str">
        <f t="shared" si="5"/>
        <v/>
      </c>
      <c r="J15" s="41"/>
      <c r="K15" s="41"/>
    </row>
    <row r="16" spans="1:11" ht="15.6">
      <c r="A16" s="51" t="str">
        <v>Holliston</v>
      </c>
      <c r="B16" s="29" t="str">
        <v>MA</v>
      </c>
      <c r="C16" s="63">
        <v>37423.500000000902</v>
      </c>
      <c r="D16" s="63">
        <v>60597.82</v>
      </c>
      <c r="E16" s="13">
        <f t="shared" ref="E16:E33" si="6">IF(AND(ISNUMBER(C16),ISNUMBER(D16)), C16-D16, "")</f>
        <v>-23174.319999999097</v>
      </c>
      <c r="F16" s="45">
        <f t="shared" si="1"/>
        <v>-0.38242827877304986</v>
      </c>
      <c r="G16" s="15">
        <v>84734.92</v>
      </c>
      <c r="H16" s="15">
        <f t="shared" ref="H16:H17" si="7">IF(AND(ISNUMBER(C16),ISNUMBER(G16)), C16-G16, "")</f>
        <v>-47311.419999999096</v>
      </c>
      <c r="I16" s="16">
        <f t="shared" ref="I16:I17" si="8">IFERROR(H16/G16, "")</f>
        <v>-0.5583461930453123</v>
      </c>
      <c r="J16" s="40" t="s">
        <v>26</v>
      </c>
      <c r="K16" s="40" t="s">
        <v>27</v>
      </c>
    </row>
    <row r="17" spans="1:11" ht="15.6">
      <c r="A17" s="50" t="str">
        <v>Natick HS - Carports</v>
      </c>
      <c r="B17" s="30" t="str">
        <v>MA</v>
      </c>
      <c r="C17" s="62">
        <v>13924</v>
      </c>
      <c r="D17" s="62">
        <v>29010</v>
      </c>
      <c r="E17" s="18">
        <f t="shared" si="6"/>
        <v>-15086</v>
      </c>
      <c r="F17" s="53">
        <f t="shared" si="1"/>
        <v>-0.5200275766976904</v>
      </c>
      <c r="G17" s="20">
        <v>0</v>
      </c>
      <c r="H17" s="20">
        <f t="shared" si="7"/>
        <v>13924</v>
      </c>
      <c r="I17" s="41" t="str">
        <f t="shared" si="8"/>
        <v/>
      </c>
      <c r="J17" s="41"/>
      <c r="K17" s="41"/>
    </row>
    <row r="18" spans="1:11" ht="57.6">
      <c r="A18" s="51" t="str">
        <v>Norton</v>
      </c>
      <c r="B18" s="28" t="str">
        <v>MA</v>
      </c>
      <c r="C18" s="68">
        <v>93336</v>
      </c>
      <c r="D18" s="68">
        <v>144118.9</v>
      </c>
      <c r="E18" s="13">
        <f t="shared" si="6"/>
        <v>-50782.899999999994</v>
      </c>
      <c r="F18" s="45">
        <f t="shared" si="1"/>
        <v>-0.35236807941220755</v>
      </c>
      <c r="G18" s="15">
        <v>162736.5</v>
      </c>
      <c r="H18" s="15">
        <f t="shared" ref="H18:H33" si="9">IF(AND(ISNUMBER(C18),ISNUMBER(G18)), C18-G18, "")</f>
        <v>-69400.5</v>
      </c>
      <c r="I18" s="16">
        <f t="shared" ref="I18:I33" si="10">IFERROR(H18/G18, "")</f>
        <v>-0.42645933764091032</v>
      </c>
      <c r="J18" s="40" t="s">
        <v>28</v>
      </c>
      <c r="K18" s="40" t="s">
        <v>29</v>
      </c>
    </row>
    <row r="19" spans="1:11" ht="15.6">
      <c r="A19" s="50" t="str">
        <v>Palmer - Boston Rd.</v>
      </c>
      <c r="B19" s="30" t="str">
        <v>MA</v>
      </c>
      <c r="C19" s="62">
        <v>18016.047500000299</v>
      </c>
      <c r="D19" s="62">
        <v>31872.06</v>
      </c>
      <c r="E19" s="18">
        <f t="shared" si="6"/>
        <v>-13856.012499999702</v>
      </c>
      <c r="F19" s="53">
        <f t="shared" si="1"/>
        <v>-0.43473852960868242</v>
      </c>
      <c r="G19" s="20">
        <v>45090</v>
      </c>
      <c r="H19" s="20">
        <f t="shared" si="9"/>
        <v>-27073.952499999701</v>
      </c>
      <c r="I19" s="16">
        <f t="shared" si="10"/>
        <v>-0.60044250388111997</v>
      </c>
      <c r="J19" s="41"/>
      <c r="K19" s="41"/>
    </row>
    <row r="20" spans="1:11" ht="15.6">
      <c r="A20" s="51" t="str">
        <v>Shirley Bartkus</v>
      </c>
      <c r="B20" s="28" t="str">
        <v>MA</v>
      </c>
      <c r="C20" s="63">
        <v>24169.871179624501</v>
      </c>
      <c r="D20" s="63">
        <v>47290.29</v>
      </c>
      <c r="E20" s="13">
        <f t="shared" si="6"/>
        <v>-23120.4188203755</v>
      </c>
      <c r="F20" s="45">
        <f t="shared" si="1"/>
        <v>-0.48890414544667626</v>
      </c>
      <c r="G20" s="15">
        <v>65151</v>
      </c>
      <c r="H20" s="15">
        <f t="shared" si="9"/>
        <v>-40981.128820375496</v>
      </c>
      <c r="I20" s="16">
        <f t="shared" si="10"/>
        <v>-0.62901764854531006</v>
      </c>
      <c r="J20" s="40"/>
      <c r="K20" s="40"/>
    </row>
    <row r="21" spans="1:11" ht="15.6">
      <c r="A21" s="50" t="str">
        <v>Stoughton</v>
      </c>
      <c r="B21" s="30" t="str">
        <v>MA</v>
      </c>
      <c r="C21" s="62">
        <v>22398.5</v>
      </c>
      <c r="D21" s="62">
        <v>29378.29</v>
      </c>
      <c r="E21" s="18">
        <f t="shared" si="6"/>
        <v>-6979.7900000000009</v>
      </c>
      <c r="F21" s="53">
        <f t="shared" si="1"/>
        <v>-0.23758326301496788</v>
      </c>
      <c r="G21" s="20">
        <v>35608.120000000003</v>
      </c>
      <c r="H21" s="20">
        <f t="shared" si="9"/>
        <v>-13209.620000000003</v>
      </c>
      <c r="I21" s="16">
        <f t="shared" si="10"/>
        <v>-0.37097212658236384</v>
      </c>
      <c r="J21" s="41"/>
      <c r="K21" s="41"/>
    </row>
    <row r="22" spans="1:11" ht="15.6">
      <c r="A22" s="51" t="str">
        <v>Wellfleet Landfill</v>
      </c>
      <c r="B22" s="28" t="str">
        <v>MA</v>
      </c>
      <c r="C22" s="63">
        <v>40023</v>
      </c>
      <c r="D22" s="63">
        <v>57476</v>
      </c>
      <c r="E22" s="13">
        <f t="shared" si="6"/>
        <v>-17453</v>
      </c>
      <c r="F22" s="45">
        <f t="shared" si="1"/>
        <v>-0.30365717864847935</v>
      </c>
      <c r="G22" s="15">
        <v>0</v>
      </c>
      <c r="H22" s="15">
        <f t="shared" si="9"/>
        <v>40023</v>
      </c>
      <c r="I22" s="16" t="str">
        <f t="shared" si="10"/>
        <v/>
      </c>
      <c r="J22" s="40" t="s">
        <v>30</v>
      </c>
      <c r="K22" s="40" t="s">
        <v>31</v>
      </c>
    </row>
    <row r="23" spans="1:11" ht="15.6">
      <c r="A23" s="50" t="str">
        <v>Wilmington Garage &amp; Building 7</v>
      </c>
      <c r="B23" s="30" t="str">
        <v>MA</v>
      </c>
      <c r="C23" s="62">
        <v>28124.62</v>
      </c>
      <c r="D23" s="62">
        <v>53740.59</v>
      </c>
      <c r="E23" s="18">
        <f t="shared" si="6"/>
        <v>-25615.969999999998</v>
      </c>
      <c r="F23" s="53">
        <f t="shared" si="1"/>
        <v>-0.47665963473791412</v>
      </c>
      <c r="G23" s="20">
        <v>51473.440000000002</v>
      </c>
      <c r="H23" s="20">
        <f t="shared" si="9"/>
        <v>-23348.820000000003</v>
      </c>
      <c r="I23" s="16">
        <f t="shared" si="10"/>
        <v>-0.45360908460751803</v>
      </c>
      <c r="J23" s="41"/>
      <c r="K23" s="41"/>
    </row>
    <row r="24" spans="1:11" ht="15.6">
      <c r="A24" s="51" t="str">
        <v>Woburn</v>
      </c>
      <c r="B24" s="28" t="str">
        <v>MA</v>
      </c>
      <c r="C24" s="63">
        <v>47752.5</v>
      </c>
      <c r="D24" s="63">
        <v>99772.07</v>
      </c>
      <c r="E24" s="13">
        <f t="shared" si="6"/>
        <v>-52019.570000000007</v>
      </c>
      <c r="F24" s="45">
        <f t="shared" si="1"/>
        <v>-0.52138409075806491</v>
      </c>
      <c r="G24" s="15">
        <v>69636.91</v>
      </c>
      <c r="H24" s="15">
        <f t="shared" si="9"/>
        <v>-21884.410000000003</v>
      </c>
      <c r="I24" s="16">
        <f t="shared" si="10"/>
        <v>-0.31426451862956012</v>
      </c>
      <c r="J24" s="40" t="s">
        <v>32</v>
      </c>
      <c r="K24" s="40" t="s">
        <v>33</v>
      </c>
    </row>
    <row r="25" spans="1:11" ht="15.6">
      <c r="A25" s="50" t="str">
        <v>Friendship Solar 1</v>
      </c>
      <c r="B25" s="30" t="str">
        <v>MD</v>
      </c>
      <c r="C25" s="62">
        <v>185310</v>
      </c>
      <c r="D25" s="62">
        <v>198138.4</v>
      </c>
      <c r="E25" s="18">
        <f t="shared" si="6"/>
        <v>-12828.399999999994</v>
      </c>
      <c r="F25" s="53">
        <f t="shared" si="1"/>
        <v>-6.4744643138331559E-2</v>
      </c>
      <c r="G25" s="44">
        <v>253076.2</v>
      </c>
      <c r="H25" s="20">
        <f t="shared" si="9"/>
        <v>-67766.200000000012</v>
      </c>
      <c r="I25" s="16">
        <f t="shared" si="10"/>
        <v>-0.26776994438829099</v>
      </c>
      <c r="J25" s="41"/>
      <c r="K25" s="41"/>
    </row>
    <row r="26" spans="1:11" ht="15.6">
      <c r="A26" s="51" t="str">
        <v>Friendship Solar 2</v>
      </c>
      <c r="B26" s="28" t="str">
        <v>MD</v>
      </c>
      <c r="C26" s="63">
        <v>183527</v>
      </c>
      <c r="D26" s="63">
        <v>204402.5</v>
      </c>
      <c r="E26" s="13">
        <f t="shared" si="6"/>
        <v>-20875.5</v>
      </c>
      <c r="F26" s="45">
        <f t="shared" si="1"/>
        <v>-0.10212937708687517</v>
      </c>
      <c r="G26" s="15">
        <v>250422.2</v>
      </c>
      <c r="H26" s="15">
        <f t="shared" si="9"/>
        <v>-66895.200000000012</v>
      </c>
      <c r="I26" s="16">
        <f t="shared" si="10"/>
        <v>-0.26712967141092125</v>
      </c>
      <c r="J26" s="40"/>
      <c r="K26" s="40"/>
    </row>
    <row r="27" spans="1:11" ht="28.9">
      <c r="A27" s="50" t="str">
        <v>101 Carnegie Center</v>
      </c>
      <c r="B27" s="30" t="str">
        <v>NJ</v>
      </c>
      <c r="C27" s="62">
        <v>42576</v>
      </c>
      <c r="D27" s="62">
        <v>72136</v>
      </c>
      <c r="E27" s="18">
        <f t="shared" si="6"/>
        <v>-29560</v>
      </c>
      <c r="F27" s="53">
        <f t="shared" si="1"/>
        <v>-0.40978152378839972</v>
      </c>
      <c r="G27" s="20">
        <v>0</v>
      </c>
      <c r="H27" s="20">
        <f t="shared" si="9"/>
        <v>42576</v>
      </c>
      <c r="I27" s="41" t="str">
        <f t="shared" si="10"/>
        <v/>
      </c>
      <c r="J27" s="61" t="s">
        <v>34</v>
      </c>
      <c r="K27" s="61" t="s">
        <v>35</v>
      </c>
    </row>
    <row r="28" spans="1:11" ht="15.6">
      <c r="A28" s="51" t="str">
        <v>302 Carnegie Center</v>
      </c>
      <c r="B28" s="28" t="str">
        <v>NJ</v>
      </c>
      <c r="C28" s="63">
        <v>18853</v>
      </c>
      <c r="D28" s="63">
        <v>28852</v>
      </c>
      <c r="E28" s="13">
        <f t="shared" si="6"/>
        <v>-9999</v>
      </c>
      <c r="F28" s="45">
        <f t="shared" si="1"/>
        <v>-0.34656176348260087</v>
      </c>
      <c r="G28" s="15">
        <v>0</v>
      </c>
      <c r="H28" s="15">
        <f t="shared" si="9"/>
        <v>18853</v>
      </c>
      <c r="I28" s="16" t="str">
        <f t="shared" si="10"/>
        <v/>
      </c>
      <c r="J28" s="40"/>
      <c r="K28" s="40"/>
    </row>
    <row r="29" spans="1:11" ht="45" customHeight="1">
      <c r="A29" s="50" t="str">
        <v>510 Carnegie Center</v>
      </c>
      <c r="B29" s="30" t="str">
        <v>NJ</v>
      </c>
      <c r="C29" s="62">
        <v>40883</v>
      </c>
      <c r="D29" s="62">
        <v>79791</v>
      </c>
      <c r="E29" s="18">
        <f t="shared" si="6"/>
        <v>-38908</v>
      </c>
      <c r="F29" s="53">
        <f t="shared" si="1"/>
        <v>-0.48762391748442807</v>
      </c>
      <c r="G29" s="20">
        <v>0</v>
      </c>
      <c r="H29" s="20">
        <f t="shared" si="9"/>
        <v>40883</v>
      </c>
      <c r="I29" s="41" t="str">
        <f t="shared" si="10"/>
        <v/>
      </c>
      <c r="J29" s="41" t="s">
        <v>36</v>
      </c>
      <c r="K29" s="41" t="s">
        <v>37</v>
      </c>
    </row>
    <row r="30" spans="1:11" ht="15.6">
      <c r="A30" s="51" t="str">
        <v>701 Carnegie Center</v>
      </c>
      <c r="B30" s="28" t="str">
        <v>NJ</v>
      </c>
      <c r="C30" s="63">
        <v>36140</v>
      </c>
      <c r="D30" s="63">
        <v>59926</v>
      </c>
      <c r="E30" s="13">
        <f t="shared" si="6"/>
        <v>-23786</v>
      </c>
      <c r="F30" s="45">
        <f t="shared" si="1"/>
        <v>-0.39692287154156791</v>
      </c>
      <c r="G30" s="15">
        <v>0</v>
      </c>
      <c r="H30" s="15">
        <f t="shared" si="9"/>
        <v>36140</v>
      </c>
      <c r="I30" s="16" t="str">
        <f t="shared" si="10"/>
        <v/>
      </c>
      <c r="J30" s="40"/>
      <c r="K30" s="40"/>
    </row>
    <row r="31" spans="1:11" ht="15.6">
      <c r="A31" s="50" t="str">
        <v>Hudson County Correction</v>
      </c>
      <c r="B31" s="30" t="str">
        <v>NJ</v>
      </c>
      <c r="C31" s="62">
        <v>52029.489726129497</v>
      </c>
      <c r="D31" s="62">
        <v>59439.43</v>
      </c>
      <c r="E31" s="18">
        <f t="shared" si="6"/>
        <v>-7409.940273870503</v>
      </c>
      <c r="F31" s="53">
        <f t="shared" si="1"/>
        <v>-0.12466371689416442</v>
      </c>
      <c r="G31" s="20">
        <v>87395.78</v>
      </c>
      <c r="H31" s="20">
        <f t="shared" si="9"/>
        <v>-35366.290273870502</v>
      </c>
      <c r="I31" s="16">
        <f t="shared" si="10"/>
        <v>-0.40466816903368219</v>
      </c>
      <c r="J31" s="41"/>
      <c r="K31" s="41"/>
    </row>
    <row r="32" spans="1:11" ht="15.6">
      <c r="A32" s="51" t="str">
        <v>ER Bison Solar</v>
      </c>
      <c r="B32" s="28" t="str">
        <v>PA</v>
      </c>
      <c r="C32" s="63">
        <v>50310</v>
      </c>
      <c r="D32" s="63">
        <v>0</v>
      </c>
      <c r="E32" s="13">
        <f t="shared" si="6"/>
        <v>50310</v>
      </c>
      <c r="F32" s="45" t="str">
        <f t="shared" si="1"/>
        <v/>
      </c>
      <c r="G32" s="60">
        <v>100651</v>
      </c>
      <c r="H32" s="15">
        <f t="shared" si="9"/>
        <v>-50341</v>
      </c>
      <c r="I32" s="16">
        <f t="shared" si="10"/>
        <v>-0.50015399747642841</v>
      </c>
      <c r="J32" s="40"/>
      <c r="K32" s="40"/>
    </row>
    <row r="33" spans="1:11" ht="15.6">
      <c r="A33" s="50" t="str">
        <v>Danville</v>
      </c>
      <c r="B33" s="30" t="str">
        <v>IL</v>
      </c>
      <c r="C33" s="62">
        <v>119051</v>
      </c>
      <c r="D33" s="62">
        <v>0</v>
      </c>
      <c r="E33" s="18">
        <f t="shared" si="6"/>
        <v>119051</v>
      </c>
      <c r="F33" s="53" t="str">
        <f t="shared" si="1"/>
        <v/>
      </c>
      <c r="G33" s="20">
        <v>0</v>
      </c>
      <c r="H33" s="20">
        <f t="shared" si="9"/>
        <v>119051</v>
      </c>
      <c r="I33" s="41" t="str">
        <f t="shared" si="10"/>
        <v/>
      </c>
      <c r="J33" s="41"/>
      <c r="K33" s="41"/>
    </row>
    <row r="34" spans="1:11" ht="14.45">
      <c r="A34" s="21"/>
      <c r="B34" s="33"/>
      <c r="C34" s="69"/>
      <c r="D34" s="69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69"/>
      <c r="D35" s="69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69"/>
      <c r="D36" s="69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69"/>
      <c r="D37" s="69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69"/>
      <c r="D38" s="69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69"/>
      <c r="D39" s="69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69"/>
      <c r="D40" s="69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69"/>
      <c r="D41" s="69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69"/>
      <c r="D42" s="69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69"/>
      <c r="D43" s="69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69"/>
      <c r="D44" s="69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69"/>
      <c r="D45" s="69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69"/>
      <c r="D46" s="69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69"/>
      <c r="D47" s="69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69"/>
      <c r="D48" s="69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69"/>
      <c r="D49" s="69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69"/>
      <c r="D50" s="69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69"/>
      <c r="D51" s="69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69"/>
      <c r="D52" s="69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69"/>
      <c r="D53" s="69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69"/>
      <c r="D54" s="69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69"/>
      <c r="D55" s="69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69"/>
      <c r="D56" s="69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69"/>
      <c r="D57" s="69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69"/>
      <c r="D58" s="69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69"/>
      <c r="D59" s="69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69"/>
      <c r="D60" s="69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69"/>
      <c r="D61" s="69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69"/>
      <c r="D62" s="69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69"/>
      <c r="D63" s="69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69"/>
      <c r="D64" s="69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69"/>
      <c r="D65" s="69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69"/>
      <c r="D66" s="69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69"/>
      <c r="D67" s="69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69"/>
      <c r="D68" s="69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69"/>
      <c r="D69" s="69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69"/>
      <c r="D70" s="69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69"/>
      <c r="D71" s="69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69"/>
      <c r="D72" s="69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69"/>
      <c r="D73" s="69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69"/>
      <c r="D74" s="69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69"/>
      <c r="D75" s="69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69"/>
      <c r="D76" s="69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69"/>
      <c r="D77" s="69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69"/>
      <c r="D78" s="69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69"/>
      <c r="D79" s="69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69"/>
      <c r="D80" s="69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69"/>
      <c r="D81" s="69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69"/>
      <c r="D82" s="69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69"/>
      <c r="D83" s="69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69"/>
      <c r="D84" s="69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69"/>
      <c r="D85" s="69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69"/>
      <c r="D86" s="69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69"/>
      <c r="D87" s="69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69"/>
      <c r="D88" s="69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69"/>
      <c r="D89" s="69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69"/>
      <c r="D90" s="69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69"/>
      <c r="D91" s="69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69"/>
      <c r="D92" s="69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69"/>
      <c r="D93" s="69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69"/>
      <c r="D94" s="69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69"/>
      <c r="D95" s="69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69"/>
      <c r="D96" s="69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69"/>
      <c r="D97" s="69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69"/>
      <c r="D98" s="69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69"/>
      <c r="D99" s="69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69"/>
      <c r="D100" s="69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69"/>
      <c r="D101" s="69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69"/>
      <c r="D102" s="69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69"/>
      <c r="D103" s="69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69"/>
      <c r="D104" s="69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69"/>
      <c r="D105" s="69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69"/>
      <c r="D106" s="69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69"/>
      <c r="D107" s="69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69"/>
      <c r="D108" s="69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69"/>
      <c r="D109" s="69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69"/>
      <c r="D110" s="69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69"/>
      <c r="D111" s="69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69"/>
      <c r="D112" s="69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69"/>
      <c r="D113" s="69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69"/>
      <c r="D114" s="69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69"/>
      <c r="D115" s="69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69"/>
      <c r="D116" s="69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69"/>
      <c r="D117" s="69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69"/>
      <c r="D118" s="69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69"/>
      <c r="D119" s="69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69"/>
      <c r="D120" s="69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69"/>
      <c r="D121" s="69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69"/>
      <c r="D122" s="69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69"/>
      <c r="D123" s="69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69"/>
      <c r="D124" s="69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69"/>
      <c r="D125" s="69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69"/>
      <c r="D126" s="69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69"/>
      <c r="D127" s="69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69"/>
      <c r="D128" s="69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69"/>
      <c r="D129" s="69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69"/>
      <c r="D130" s="69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69"/>
      <c r="D131" s="69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69"/>
      <c r="D132" s="69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69"/>
      <c r="D133" s="69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69"/>
      <c r="D134" s="69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69"/>
      <c r="D135" s="69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69"/>
      <c r="D136" s="69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69"/>
      <c r="D137" s="69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69"/>
      <c r="D138" s="69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69"/>
      <c r="D139" s="69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69"/>
      <c r="D140" s="69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69"/>
      <c r="D141" s="69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69"/>
      <c r="D142" s="69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69"/>
      <c r="D143" s="69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69"/>
      <c r="D144" s="69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69"/>
      <c r="D145" s="69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69"/>
      <c r="D146" s="69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69"/>
      <c r="D147" s="69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69"/>
      <c r="D148" s="69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69"/>
      <c r="D149" s="69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69"/>
      <c r="D150" s="69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69"/>
      <c r="D151" s="69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69"/>
      <c r="D152" s="69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69"/>
      <c r="D153" s="69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69"/>
      <c r="D154" s="69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69"/>
      <c r="D155" s="69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69"/>
      <c r="D156" s="69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69"/>
      <c r="D157" s="69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69"/>
      <c r="D158" s="69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69"/>
      <c r="D159" s="69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69"/>
      <c r="D160" s="69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69"/>
      <c r="D161" s="69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69"/>
      <c r="D162" s="69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69"/>
      <c r="D163" s="69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69"/>
      <c r="D164" s="69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69"/>
      <c r="D165" s="69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69"/>
      <c r="D166" s="69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69"/>
      <c r="D167" s="69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69"/>
      <c r="D168" s="69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69"/>
      <c r="D169" s="69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69"/>
      <c r="D170" s="69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69"/>
      <c r="D171" s="69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69"/>
      <c r="D172" s="69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69"/>
      <c r="D173" s="69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69"/>
      <c r="D174" s="69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69"/>
      <c r="D175" s="69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69"/>
      <c r="D176" s="69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69"/>
      <c r="D177" s="69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69"/>
      <c r="D178" s="69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69"/>
      <c r="D179" s="69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69"/>
      <c r="D180" s="69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69"/>
      <c r="D181" s="69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69"/>
      <c r="D182" s="69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69"/>
      <c r="D183" s="69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69"/>
      <c r="D184" s="69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69"/>
      <c r="D185" s="69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69"/>
      <c r="D186" s="69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69"/>
      <c r="D187" s="69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69"/>
      <c r="D188" s="69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69"/>
      <c r="D189" s="69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69"/>
      <c r="D190" s="69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69"/>
      <c r="D191" s="69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69"/>
      <c r="D192" s="69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69"/>
      <c r="D193" s="69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69"/>
      <c r="D194" s="69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69"/>
      <c r="D195" s="69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69"/>
      <c r="D196" s="69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69"/>
      <c r="D197" s="69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69"/>
      <c r="D198" s="69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69"/>
      <c r="D199" s="69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69"/>
      <c r="D200" s="69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69"/>
      <c r="D201" s="69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69"/>
      <c r="D202" s="69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69"/>
      <c r="D203" s="69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69"/>
      <c r="D204" s="69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69"/>
      <c r="D205" s="69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69"/>
      <c r="D206" s="69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69"/>
      <c r="D207" s="69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69"/>
      <c r="D208" s="69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69"/>
      <c r="D209" s="69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69"/>
      <c r="D210" s="69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69"/>
      <c r="D211" s="69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69"/>
      <c r="D212" s="69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69"/>
      <c r="D213" s="69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69"/>
      <c r="D214" s="69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69"/>
      <c r="D215" s="69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69"/>
      <c r="D216" s="69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69"/>
      <c r="D217" s="69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69"/>
      <c r="D218" s="69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69"/>
      <c r="D219" s="69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69"/>
      <c r="D220" s="69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69"/>
      <c r="D221" s="69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69"/>
      <c r="D222" s="69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69"/>
      <c r="D223" s="69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69"/>
      <c r="D224" s="69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69"/>
      <c r="D225" s="69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69"/>
      <c r="D226" s="69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69"/>
      <c r="D227" s="69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69"/>
      <c r="D228" s="69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69"/>
      <c r="D229" s="69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69"/>
      <c r="D230" s="69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69"/>
      <c r="D231" s="69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69"/>
      <c r="D232" s="69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69"/>
      <c r="D233" s="69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69"/>
      <c r="D234" s="69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69"/>
      <c r="D235" s="69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69"/>
      <c r="D236" s="69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69"/>
      <c r="D237" s="69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69"/>
      <c r="D238" s="69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69"/>
      <c r="D239" s="69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69"/>
      <c r="D240" s="69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69"/>
      <c r="D241" s="69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69"/>
      <c r="D242" s="69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69"/>
      <c r="D243" s="69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69"/>
      <c r="D244" s="69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69"/>
      <c r="D245" s="69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69"/>
      <c r="D246" s="69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69"/>
      <c r="D247" s="69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69"/>
      <c r="D248" s="69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69"/>
      <c r="D249" s="69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69"/>
      <c r="D250" s="69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69"/>
      <c r="D251" s="69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69"/>
      <c r="D252" s="69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69"/>
      <c r="D253" s="69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69"/>
      <c r="D254" s="69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69"/>
      <c r="D255" s="69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69"/>
      <c r="D256" s="69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69"/>
      <c r="D257" s="69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69"/>
      <c r="D258" s="69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69"/>
      <c r="D259" s="69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69"/>
      <c r="D260" s="69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69"/>
      <c r="D261" s="69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69"/>
      <c r="D262" s="69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69"/>
      <c r="D263" s="69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69"/>
      <c r="D264" s="69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69"/>
      <c r="D265" s="69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69"/>
      <c r="D266" s="69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69"/>
      <c r="D267" s="69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69"/>
      <c r="D268" s="69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69"/>
      <c r="D269" s="69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69"/>
      <c r="D270" s="69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69"/>
      <c r="D271" s="69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69"/>
      <c r="D272" s="69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69"/>
      <c r="D273" s="69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69"/>
      <c r="D274" s="69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69"/>
      <c r="D275" s="69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69"/>
      <c r="D276" s="69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69"/>
      <c r="D277" s="69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69"/>
      <c r="D278" s="69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69"/>
      <c r="D279" s="69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69"/>
      <c r="D280" s="69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69"/>
      <c r="D281" s="69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69"/>
      <c r="D282" s="69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69"/>
      <c r="D283" s="69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69"/>
      <c r="D284" s="69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69"/>
      <c r="D285" s="69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69"/>
      <c r="D286" s="69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69"/>
      <c r="D287" s="69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69"/>
      <c r="D288" s="69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69"/>
      <c r="D289" s="69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69"/>
      <c r="D290" s="69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69"/>
      <c r="D291" s="69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69"/>
      <c r="D292" s="69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69"/>
      <c r="D293" s="69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69"/>
      <c r="D294" s="69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69"/>
      <c r="D295" s="69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69"/>
      <c r="D296" s="69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69"/>
      <c r="D297" s="69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69"/>
      <c r="D298" s="69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69"/>
      <c r="D299" s="69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69"/>
      <c r="D300" s="69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69"/>
      <c r="D301" s="69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69"/>
      <c r="D302" s="69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69"/>
      <c r="D303" s="69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69"/>
      <c r="D304" s="69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69"/>
      <c r="D305" s="69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69"/>
      <c r="D306" s="69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69"/>
      <c r="D307" s="69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69"/>
      <c r="D308" s="69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69"/>
      <c r="D309" s="69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69"/>
      <c r="D310" s="69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69"/>
      <c r="D311" s="69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69"/>
      <c r="D312" s="69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69"/>
      <c r="D313" s="69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69"/>
      <c r="D314" s="69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69"/>
      <c r="D315" s="69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69"/>
      <c r="D316" s="69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69"/>
      <c r="D317" s="69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69"/>
      <c r="D318" s="69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69"/>
      <c r="D319" s="69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69"/>
      <c r="D320" s="69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69"/>
      <c r="D321" s="69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69"/>
      <c r="D322" s="69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69"/>
      <c r="D323" s="69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69"/>
      <c r="D324" s="69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69"/>
      <c r="D325" s="69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69"/>
      <c r="D326" s="69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69"/>
      <c r="D327" s="69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69"/>
      <c r="D328" s="69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69"/>
      <c r="D329" s="69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69"/>
      <c r="D330" s="69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69"/>
      <c r="D331" s="69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69"/>
      <c r="D332" s="69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69"/>
      <c r="D333" s="69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69"/>
      <c r="D334" s="69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69"/>
      <c r="D335" s="69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69"/>
      <c r="D336" s="69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69"/>
      <c r="D337" s="69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69"/>
      <c r="D338" s="69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69"/>
      <c r="D339" s="69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69"/>
      <c r="D340" s="69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69"/>
      <c r="D341" s="69"/>
      <c r="E341" s="21"/>
      <c r="F341" s="22"/>
      <c r="G341" s="21"/>
      <c r="H341" s="21"/>
      <c r="I341" s="22"/>
      <c r="J341" s="21"/>
      <c r="K341" s="21"/>
    </row>
  </sheetData>
  <mergeCells count="4">
    <mergeCell ref="D1:F1"/>
    <mergeCell ref="A1:C1"/>
    <mergeCell ref="G1:I1"/>
    <mergeCell ref="A2:B2"/>
  </mergeCells>
  <conditionalFormatting sqref="F2 I2 I4:I14 I16 I18:I26 I28 I30:I32 I34:I99">
    <cfRule type="cellIs" dxfId="47" priority="4" stopIfTrue="1" operator="lessThanOrEqual">
      <formula>-0.1</formula>
    </cfRule>
    <cfRule type="expression" dxfId="46" priority="5">
      <formula>AND(ISNUMBER(F2), F2&gt;=0.1)</formula>
    </cfRule>
  </conditionalFormatting>
  <conditionalFormatting sqref="F34:F99">
    <cfRule type="cellIs" dxfId="45" priority="1" stopIfTrue="1" operator="lessThanOrEqual">
      <formula>-0.1</formula>
    </cfRule>
    <cfRule type="expression" dxfId="44" priority="2">
      <formula>AND(ISNUMBER(F34), F34&gt;=0.1)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42"/>
  <sheetViews>
    <sheetView workbookViewId="0">
      <pane xSplit="2" ySplit="3" topLeftCell="C15" activePane="bottomRight" state="frozen"/>
      <selection pane="bottomRight" activeCell="G32" sqref="G32"/>
      <selection pane="bottomLeft" activeCell="C4" sqref="C4"/>
      <selection pane="topRight" activeCell="C4" sqref="C4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9" t="str" cm="1">
        <f t="array" ref="A1">portfolio</f>
        <v>Greenbacker</v>
      </c>
      <c r="B1" s="79"/>
      <c r="C1" s="79"/>
      <c r="D1" s="80" t="s">
        <v>38</v>
      </c>
      <c r="E1" s="80"/>
      <c r="F1" s="80"/>
      <c r="G1" s="78" t="s">
        <v>39</v>
      </c>
      <c r="H1" s="78"/>
      <c r="I1" s="78"/>
      <c r="J1" s="4"/>
      <c r="K1" s="4"/>
    </row>
    <row r="2" spans="1:11" ht="19.5" customHeight="1">
      <c r="A2" s="81" t="s">
        <v>2</v>
      </c>
      <c r="B2" s="81"/>
      <c r="C2" s="5">
        <f>SUM(C4:C100)</f>
        <v>2964055.2715234826</v>
      </c>
      <c r="D2" s="5">
        <f>SUM(D4:D100)</f>
        <v>2754884.14</v>
      </c>
      <c r="E2" s="5">
        <f>C2-D2</f>
        <v>209171.1315234825</v>
      </c>
      <c r="F2" s="6">
        <f>IFERROR(E2/D2, 0)</f>
        <v>7.5927378754840305E-2</v>
      </c>
      <c r="G2" s="5">
        <f>SUM(G4:G100)</f>
        <v>2036870.179</v>
      </c>
      <c r="H2" s="7">
        <f>C2-G2</f>
        <v>927185.09252348263</v>
      </c>
      <c r="I2" s="6">
        <f>IFERROR(H2/G2, 0)</f>
        <v>0.45520087734736414</v>
      </c>
      <c r="J2" s="26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49" t="str" cm="1">
        <f t="array" ref="A4:A33">Sites[Site]</f>
        <v>10 Walpole Park South</v>
      </c>
      <c r="B4" s="29" t="str" cm="1">
        <f t="array" ref="B4:B33">Sites[State]</f>
        <v>MA</v>
      </c>
      <c r="C4" s="24">
        <v>10004.8125</v>
      </c>
      <c r="D4" s="13">
        <v>10663.78</v>
      </c>
      <c r="E4" s="13">
        <f t="shared" ref="E4:E33" si="0">IF(AND(ISNUMBER(C4),ISNUMBER(D4)), C4-D4, "")</f>
        <v>-658.96750000000065</v>
      </c>
      <c r="F4" s="14">
        <f t="shared" ref="F4:F13" si="1">IFERROR(E4/D4, "")</f>
        <v>-6.1794926376950818E-2</v>
      </c>
      <c r="G4" s="15">
        <v>9487.9089999999997</v>
      </c>
      <c r="H4" s="15">
        <f t="shared" ref="H4:H17" si="2">IF(AND(ISNUMBER(C4),ISNUMBER(G4)), C4-G4, "")</f>
        <v>516.90350000000035</v>
      </c>
      <c r="I4" s="16">
        <f t="shared" ref="I4:I15" si="3">IFERROR(H4/G4, "")</f>
        <v>5.4480233737486346E-2</v>
      </c>
      <c r="J4" s="40"/>
      <c r="K4" s="40"/>
    </row>
    <row r="5" spans="1:11" ht="15.6">
      <c r="A5" s="50" t="str">
        <v>15 Walpole Park South</v>
      </c>
      <c r="B5" s="31" t="str">
        <v>MA</v>
      </c>
      <c r="C5" s="11">
        <v>37374.75</v>
      </c>
      <c r="D5" s="18">
        <v>41176.83</v>
      </c>
      <c r="E5" s="18">
        <f t="shared" si="0"/>
        <v>-3802.0800000000017</v>
      </c>
      <c r="F5" s="19">
        <f t="shared" si="1"/>
        <v>-9.2335422615096932E-2</v>
      </c>
      <c r="G5" s="20">
        <v>32724.01</v>
      </c>
      <c r="H5" s="20">
        <f t="shared" si="2"/>
        <v>4650.7400000000016</v>
      </c>
      <c r="I5" s="19">
        <f t="shared" si="3"/>
        <v>0.14212011303015742</v>
      </c>
      <c r="J5" s="41"/>
      <c r="K5" s="41"/>
    </row>
    <row r="6" spans="1:11" ht="15.6">
      <c r="A6" s="51" t="str">
        <v>19 Walpole Park South</v>
      </c>
      <c r="B6" s="29" t="str">
        <v>MA</v>
      </c>
      <c r="C6" s="24">
        <v>21676.170624999799</v>
      </c>
      <c r="D6" s="13">
        <v>24933.68</v>
      </c>
      <c r="E6" s="13">
        <f t="shared" si="0"/>
        <v>-3257.5093750002015</v>
      </c>
      <c r="F6" s="14">
        <f t="shared" si="1"/>
        <v>-0.13064695524287637</v>
      </c>
      <c r="G6" s="15">
        <v>20845.28</v>
      </c>
      <c r="H6" s="15">
        <f t="shared" si="2"/>
        <v>830.89062499979991</v>
      </c>
      <c r="I6" s="16">
        <f t="shared" si="3"/>
        <v>3.9859892743095794E-2</v>
      </c>
      <c r="J6" s="40"/>
      <c r="K6" s="40"/>
    </row>
    <row r="7" spans="1:11" ht="15.6">
      <c r="A7" s="50" t="str">
        <v>23 Walpole Park South</v>
      </c>
      <c r="B7" s="31" t="str">
        <v>MA</v>
      </c>
      <c r="C7" s="11">
        <v>31445.5</v>
      </c>
      <c r="D7" s="18">
        <v>31659.040000000001</v>
      </c>
      <c r="E7" s="18">
        <f t="shared" si="0"/>
        <v>-213.54000000000087</v>
      </c>
      <c r="F7" s="19">
        <f t="shared" si="1"/>
        <v>-6.7449928993425215E-3</v>
      </c>
      <c r="G7" s="20">
        <v>26978.49</v>
      </c>
      <c r="H7" s="20">
        <f t="shared" si="2"/>
        <v>4467.0099999999984</v>
      </c>
      <c r="I7" s="19">
        <f t="shared" si="3"/>
        <v>0.16557672427181797</v>
      </c>
      <c r="J7" s="41"/>
      <c r="K7" s="42"/>
    </row>
    <row r="8" spans="1:11" ht="15.6">
      <c r="A8" s="51" t="str">
        <v>24 Walpole Park South</v>
      </c>
      <c r="B8" s="29" t="str">
        <v>MA</v>
      </c>
      <c r="C8" s="24">
        <v>44947</v>
      </c>
      <c r="D8" s="13">
        <v>41665.050000000003</v>
      </c>
      <c r="E8" s="13">
        <f t="shared" si="0"/>
        <v>3281.9499999999971</v>
      </c>
      <c r="F8" s="14">
        <f t="shared" si="1"/>
        <v>7.8769856270423211E-2</v>
      </c>
      <c r="G8" s="15">
        <v>41430.21</v>
      </c>
      <c r="H8" s="15">
        <f t="shared" si="2"/>
        <v>3516.7900000000009</v>
      </c>
      <c r="I8" s="16">
        <f t="shared" si="3"/>
        <v>8.4884677147424578E-2</v>
      </c>
      <c r="J8" s="40" t="s">
        <v>40</v>
      </c>
      <c r="K8" s="40" t="s">
        <v>41</v>
      </c>
    </row>
    <row r="9" spans="1:11" ht="15.6">
      <c r="A9" s="50" t="str">
        <v>25 Walpole Park South</v>
      </c>
      <c r="B9" s="31" t="str">
        <v>MA</v>
      </c>
      <c r="C9" s="11">
        <v>45891</v>
      </c>
      <c r="D9" s="18">
        <v>48624.34</v>
      </c>
      <c r="E9" s="18">
        <f t="shared" si="0"/>
        <v>-2733.3399999999965</v>
      </c>
      <c r="F9" s="19">
        <f t="shared" si="1"/>
        <v>-5.6213410814419211E-2</v>
      </c>
      <c r="G9" s="20">
        <v>42368.25</v>
      </c>
      <c r="H9" s="20">
        <f t="shared" si="2"/>
        <v>3522.75</v>
      </c>
      <c r="I9" s="19">
        <f t="shared" si="3"/>
        <v>8.3145987856472717E-2</v>
      </c>
      <c r="J9" s="41"/>
      <c r="K9" s="42"/>
    </row>
    <row r="10" spans="1:11" ht="15.6">
      <c r="A10" s="51" t="str">
        <v>3 Walpole Park South</v>
      </c>
      <c r="B10" s="29" t="str">
        <v>MA</v>
      </c>
      <c r="C10" s="24">
        <v>52732</v>
      </c>
      <c r="D10" s="13">
        <v>63086.7</v>
      </c>
      <c r="E10" s="13">
        <f t="shared" si="0"/>
        <v>-10354.699999999997</v>
      </c>
      <c r="F10" s="14">
        <f t="shared" si="1"/>
        <v>-0.16413443721101273</v>
      </c>
      <c r="G10" s="15">
        <v>49247.23</v>
      </c>
      <c r="H10" s="15">
        <f t="shared" si="2"/>
        <v>3484.7699999999968</v>
      </c>
      <c r="I10" s="16">
        <f t="shared" si="3"/>
        <v>7.0760731111171052E-2</v>
      </c>
      <c r="J10" s="40"/>
      <c r="K10" s="40"/>
    </row>
    <row r="11" spans="1:11" ht="15.6">
      <c r="A11" s="50" t="str">
        <v>4 Walpole Park South</v>
      </c>
      <c r="B11" s="31" t="str">
        <v>MA</v>
      </c>
      <c r="C11" s="11">
        <v>32263.5</v>
      </c>
      <c r="D11" s="18">
        <v>35638.160000000003</v>
      </c>
      <c r="E11" s="18">
        <f t="shared" si="0"/>
        <v>-3374.6600000000035</v>
      </c>
      <c r="F11" s="19">
        <f t="shared" si="1"/>
        <v>-9.4692318570880285E-2</v>
      </c>
      <c r="G11" s="20">
        <v>28453.96</v>
      </c>
      <c r="H11" s="20">
        <f t="shared" si="2"/>
        <v>3809.5400000000009</v>
      </c>
      <c r="I11" s="19">
        <f t="shared" si="3"/>
        <v>0.13388435212532812</v>
      </c>
      <c r="J11" s="41"/>
      <c r="K11" s="42"/>
    </row>
    <row r="12" spans="1:11" ht="15.6">
      <c r="A12" s="51" t="str">
        <v>Brockton</v>
      </c>
      <c r="B12" s="29" t="str">
        <v>MA</v>
      </c>
      <c r="C12" s="24">
        <v>50932.5</v>
      </c>
      <c r="D12" s="13">
        <v>50100.46</v>
      </c>
      <c r="E12" s="13">
        <f t="shared" si="0"/>
        <v>832.04000000000087</v>
      </c>
      <c r="F12" s="14">
        <f t="shared" si="1"/>
        <v>1.6607432346928568E-2</v>
      </c>
      <c r="G12" s="15">
        <v>45403.86</v>
      </c>
      <c r="H12" s="15">
        <f t="shared" si="2"/>
        <v>5528.6399999999994</v>
      </c>
      <c r="I12" s="16">
        <f t="shared" si="3"/>
        <v>0.12176585867368984</v>
      </c>
      <c r="J12" s="40"/>
      <c r="K12" s="40"/>
    </row>
    <row r="13" spans="1:11" ht="15.6">
      <c r="A13" s="50" t="str">
        <v>Canton</v>
      </c>
      <c r="B13" s="31" t="str">
        <v>MA</v>
      </c>
      <c r="C13" s="11">
        <v>54122.750000000502</v>
      </c>
      <c r="D13" s="18">
        <v>55077.24</v>
      </c>
      <c r="E13" s="18">
        <f t="shared" si="0"/>
        <v>-954.48999999949592</v>
      </c>
      <c r="F13" s="19">
        <f t="shared" si="1"/>
        <v>-1.7330025978053658E-2</v>
      </c>
      <c r="G13" s="20">
        <v>48151.77</v>
      </c>
      <c r="H13" s="20">
        <f t="shared" si="2"/>
        <v>5970.9800000005052</v>
      </c>
      <c r="I13" s="19">
        <f t="shared" si="3"/>
        <v>0.12400333362616796</v>
      </c>
      <c r="J13" s="41" t="s">
        <v>42</v>
      </c>
      <c r="K13" s="42"/>
    </row>
    <row r="14" spans="1:11" ht="15.6">
      <c r="A14" s="51" t="str">
        <v>Chelsea</v>
      </c>
      <c r="B14" s="29" t="str">
        <v>MA</v>
      </c>
      <c r="C14" s="24">
        <v>100779.5</v>
      </c>
      <c r="D14" s="13">
        <v>97636.57</v>
      </c>
      <c r="E14" s="13">
        <f t="shared" si="0"/>
        <v>3142.929999999993</v>
      </c>
      <c r="F14" s="14">
        <f t="shared" ref="F14:F33" si="4">IFERROR(E14/D14, "")</f>
        <v>3.2190090249995397E-2</v>
      </c>
      <c r="G14" s="15">
        <v>77108.570000000007</v>
      </c>
      <c r="H14" s="15">
        <f t="shared" si="2"/>
        <v>23670.929999999993</v>
      </c>
      <c r="I14" s="16">
        <f t="shared" si="3"/>
        <v>0.30698183094304549</v>
      </c>
      <c r="J14" s="40"/>
      <c r="K14" s="40"/>
    </row>
    <row r="15" spans="1:11" ht="15.6">
      <c r="A15" s="50" t="str">
        <v>Hamilton Landfill</v>
      </c>
      <c r="B15" s="31" t="str">
        <v>MA</v>
      </c>
      <c r="C15" s="11">
        <v>81955.266481762621</v>
      </c>
      <c r="D15" s="18">
        <v>92578</v>
      </c>
      <c r="E15" s="18">
        <f t="shared" si="0"/>
        <v>-10622.733518237379</v>
      </c>
      <c r="F15" s="19">
        <f t="shared" si="4"/>
        <v>-0.11474360558920456</v>
      </c>
      <c r="G15" s="20">
        <v>0</v>
      </c>
      <c r="H15" s="20">
        <f t="shared" si="2"/>
        <v>81955.266481762621</v>
      </c>
      <c r="I15" s="19" t="str">
        <f t="shared" si="3"/>
        <v/>
      </c>
      <c r="J15" s="41"/>
      <c r="K15" s="42"/>
    </row>
    <row r="16" spans="1:11" ht="15.6">
      <c r="A16" s="51" t="str">
        <v>Holliston</v>
      </c>
      <c r="B16" s="29" t="str">
        <v>MA</v>
      </c>
      <c r="C16" s="24">
        <v>129951.5</v>
      </c>
      <c r="D16" s="13">
        <v>123734.8</v>
      </c>
      <c r="E16" s="13">
        <f t="shared" si="0"/>
        <v>6216.6999999999971</v>
      </c>
      <c r="F16" s="14">
        <f t="shared" si="4"/>
        <v>5.0242130750605303E-2</v>
      </c>
      <c r="G16" s="15">
        <v>123168</v>
      </c>
      <c r="H16" s="15">
        <f t="shared" si="2"/>
        <v>6783.5</v>
      </c>
      <c r="I16" s="16">
        <f t="shared" ref="I16:I33" si="5">IFERROR(H16/G16, "")</f>
        <v>5.5075181865419591E-2</v>
      </c>
      <c r="J16" s="40"/>
      <c r="K16" s="40"/>
    </row>
    <row r="17" spans="1:11" ht="15.6">
      <c r="A17" s="50" t="str">
        <v>Natick HS - Carports</v>
      </c>
      <c r="B17" s="31" t="str">
        <v>MA</v>
      </c>
      <c r="C17" s="11">
        <v>41947</v>
      </c>
      <c r="D17" s="18">
        <v>54546.6</v>
      </c>
      <c r="E17" s="18">
        <f t="shared" si="0"/>
        <v>-12599.599999999999</v>
      </c>
      <c r="F17" s="19">
        <f t="shared" si="4"/>
        <v>-0.23098781592253229</v>
      </c>
      <c r="G17" s="20">
        <v>0</v>
      </c>
      <c r="H17" s="20">
        <f t="shared" si="2"/>
        <v>41947</v>
      </c>
      <c r="I17" s="19" t="str">
        <f t="shared" si="5"/>
        <v/>
      </c>
      <c r="J17" s="41"/>
      <c r="K17" s="42"/>
    </row>
    <row r="18" spans="1:11" ht="12.75" customHeight="1">
      <c r="A18" s="49" t="str">
        <v>Norton</v>
      </c>
      <c r="B18" s="29" t="str">
        <v>MA</v>
      </c>
      <c r="C18" s="24">
        <v>208382</v>
      </c>
      <c r="D18" s="13">
        <v>259599.2</v>
      </c>
      <c r="E18" s="13">
        <f t="shared" si="0"/>
        <v>-51217.200000000012</v>
      </c>
      <c r="F18" s="14">
        <f t="shared" si="4"/>
        <v>-0.19729336608125145</v>
      </c>
      <c r="G18" s="15">
        <v>233294</v>
      </c>
      <c r="H18" s="15">
        <f t="shared" ref="H18:H33" si="6">IF(AND(ISNUMBER(C18),ISNUMBER(G18)), C18-G18, "")</f>
        <v>-24912</v>
      </c>
      <c r="I18" s="16">
        <f t="shared" si="5"/>
        <v>-0.10678371496909479</v>
      </c>
      <c r="J18" s="40" t="s">
        <v>43</v>
      </c>
      <c r="K18" s="40" t="s">
        <v>44</v>
      </c>
    </row>
    <row r="19" spans="1:11" ht="15.6">
      <c r="A19" s="50" t="str">
        <v>Palmer - Boston Rd.</v>
      </c>
      <c r="B19" s="31" t="str">
        <v>MA</v>
      </c>
      <c r="C19" s="11">
        <v>58605.5</v>
      </c>
      <c r="D19" s="18">
        <v>62468.959999999999</v>
      </c>
      <c r="E19" s="18">
        <f t="shared" si="0"/>
        <v>-3863.4599999999991</v>
      </c>
      <c r="F19" s="19">
        <f t="shared" si="4"/>
        <v>-6.18460752348046E-2</v>
      </c>
      <c r="G19" s="20">
        <v>62743</v>
      </c>
      <c r="H19" s="20">
        <f t="shared" si="6"/>
        <v>-4137.5</v>
      </c>
      <c r="I19" s="19">
        <f t="shared" si="5"/>
        <v>-6.5943611239500821E-2</v>
      </c>
      <c r="J19" s="41"/>
      <c r="K19" s="41"/>
    </row>
    <row r="20" spans="1:11" ht="15.6">
      <c r="A20" s="51" t="str">
        <v>Shirley Bartkus</v>
      </c>
      <c r="B20" s="29" t="str">
        <v>MA</v>
      </c>
      <c r="C20" s="24">
        <v>27056.128820375499</v>
      </c>
      <c r="D20" s="13">
        <v>36741.230000000003</v>
      </c>
      <c r="E20" s="13">
        <f t="shared" si="0"/>
        <v>-9685.1011796245039</v>
      </c>
      <c r="F20" s="14">
        <f t="shared" si="4"/>
        <v>-0.26360307424722862</v>
      </c>
      <c r="G20" s="15">
        <v>77292</v>
      </c>
      <c r="H20" s="15">
        <f t="shared" si="6"/>
        <v>-50235.871179624504</v>
      </c>
      <c r="I20" s="16">
        <f t="shared" si="5"/>
        <v>-0.64994916912001899</v>
      </c>
      <c r="J20" s="40"/>
      <c r="K20" s="40"/>
    </row>
    <row r="21" spans="1:11" ht="28.9">
      <c r="A21" s="50" t="str">
        <v>Stoughton</v>
      </c>
      <c r="B21" s="31" t="str">
        <v>MA</v>
      </c>
      <c r="C21" s="11">
        <v>58669.5</v>
      </c>
      <c r="D21" s="18">
        <v>44175.05</v>
      </c>
      <c r="E21" s="18">
        <f t="shared" si="0"/>
        <v>14494.449999999997</v>
      </c>
      <c r="F21" s="19">
        <f t="shared" si="4"/>
        <v>0.32811394667351812</v>
      </c>
      <c r="G21" s="20">
        <v>49499.519999999997</v>
      </c>
      <c r="H21" s="20">
        <f t="shared" si="6"/>
        <v>9169.9800000000032</v>
      </c>
      <c r="I21" s="19">
        <f t="shared" si="5"/>
        <v>0.18525391761374663</v>
      </c>
      <c r="J21" s="71" t="s">
        <v>45</v>
      </c>
      <c r="K21" s="70" t="s">
        <v>46</v>
      </c>
    </row>
    <row r="22" spans="1:11" ht="15.6">
      <c r="A22" s="51" t="str">
        <v>Wellfleet Landfill</v>
      </c>
      <c r="B22" s="29" t="str">
        <v>MA</v>
      </c>
      <c r="C22" s="24">
        <v>65995</v>
      </c>
      <c r="D22" s="13">
        <v>82038</v>
      </c>
      <c r="E22" s="13">
        <f t="shared" si="0"/>
        <v>-16043</v>
      </c>
      <c r="F22" s="14">
        <f t="shared" si="4"/>
        <v>-0.1955557180818645</v>
      </c>
      <c r="G22" s="15">
        <v>0</v>
      </c>
      <c r="H22" s="15">
        <f t="shared" si="6"/>
        <v>65995</v>
      </c>
      <c r="I22" s="16" t="str">
        <f t="shared" si="5"/>
        <v/>
      </c>
      <c r="J22" s="40"/>
      <c r="K22" s="40"/>
    </row>
    <row r="23" spans="1:11" ht="15.6">
      <c r="A23" s="50" t="str">
        <v>Wilmington Garage &amp; Building 7</v>
      </c>
      <c r="B23" s="31" t="str">
        <v>MA</v>
      </c>
      <c r="C23" s="11">
        <v>92593.62</v>
      </c>
      <c r="D23" s="18">
        <v>97217.95</v>
      </c>
      <c r="E23" s="18">
        <f t="shared" si="0"/>
        <v>-4624.3300000000017</v>
      </c>
      <c r="F23" s="19">
        <f t="shared" si="4"/>
        <v>-4.7566627356367852E-2</v>
      </c>
      <c r="G23" s="20">
        <v>78728.72</v>
      </c>
      <c r="H23" s="20">
        <f t="shared" si="6"/>
        <v>13864.899999999994</v>
      </c>
      <c r="I23" s="19">
        <f t="shared" si="5"/>
        <v>0.1761098110067075</v>
      </c>
      <c r="J23" s="41"/>
      <c r="K23" s="42"/>
    </row>
    <row r="24" spans="1:11" ht="15.6">
      <c r="A24" s="51" t="str">
        <v>Woburn</v>
      </c>
      <c r="B24" s="29" t="str">
        <v>MA</v>
      </c>
      <c r="C24" s="24">
        <v>146359</v>
      </c>
      <c r="D24" s="13">
        <v>163940.79999999999</v>
      </c>
      <c r="E24" s="13">
        <f t="shared" si="0"/>
        <v>-17581.799999999988</v>
      </c>
      <c r="F24" s="14">
        <f t="shared" si="4"/>
        <v>-0.10724481032177463</v>
      </c>
      <c r="G24" s="15">
        <v>112139.6</v>
      </c>
      <c r="H24" s="15">
        <f t="shared" si="6"/>
        <v>34219.399999999994</v>
      </c>
      <c r="I24" s="16">
        <f t="shared" si="5"/>
        <v>0.30515000945250376</v>
      </c>
      <c r="J24" s="40"/>
      <c r="K24" s="40"/>
    </row>
    <row r="25" spans="1:11" ht="15.6">
      <c r="A25" s="50" t="str">
        <v>Friendship Solar 1</v>
      </c>
      <c r="B25" s="31" t="str">
        <v>MD</v>
      </c>
      <c r="C25" s="11">
        <v>322297</v>
      </c>
      <c r="D25" s="18">
        <v>332843.8</v>
      </c>
      <c r="E25" s="18">
        <f t="shared" si="0"/>
        <v>-10546.799999999988</v>
      </c>
      <c r="F25" s="19">
        <f t="shared" si="4"/>
        <v>-3.1686935433377424E-2</v>
      </c>
      <c r="G25" s="20">
        <v>310998.2</v>
      </c>
      <c r="H25" s="20">
        <f t="shared" si="6"/>
        <v>11298.799999999988</v>
      </c>
      <c r="I25" s="19">
        <f t="shared" si="5"/>
        <v>3.63307568982714E-2</v>
      </c>
      <c r="J25" s="41"/>
      <c r="K25" s="42"/>
    </row>
    <row r="26" spans="1:11" ht="15.6">
      <c r="A26" s="51" t="str">
        <v>Friendship Solar 2</v>
      </c>
      <c r="B26" s="29" t="str">
        <v>MD</v>
      </c>
      <c r="C26" s="24">
        <v>322955</v>
      </c>
      <c r="D26" s="13">
        <v>339690.4</v>
      </c>
      <c r="E26" s="13">
        <f t="shared" si="0"/>
        <v>-16735.400000000023</v>
      </c>
      <c r="F26" s="14">
        <f t="shared" si="4"/>
        <v>-4.9266626316198582E-2</v>
      </c>
      <c r="G26" s="15">
        <v>322799.2</v>
      </c>
      <c r="H26" s="15">
        <f t="shared" si="6"/>
        <v>155.79999999998836</v>
      </c>
      <c r="I26" s="16">
        <f t="shared" si="5"/>
        <v>4.8265299294418437E-4</v>
      </c>
      <c r="J26" s="40"/>
      <c r="K26" s="40"/>
    </row>
    <row r="27" spans="1:11" ht="15.6">
      <c r="A27" s="50" t="str">
        <v>101 Carnegie Center</v>
      </c>
      <c r="B27" s="31" t="str">
        <v>NJ</v>
      </c>
      <c r="C27" s="11">
        <v>107727</v>
      </c>
      <c r="D27" s="18">
        <v>136195.6</v>
      </c>
      <c r="E27" s="18">
        <f t="shared" si="0"/>
        <v>-28468.600000000006</v>
      </c>
      <c r="F27" s="19">
        <f t="shared" si="4"/>
        <v>-0.20902731072075753</v>
      </c>
      <c r="G27" s="20">
        <v>0</v>
      </c>
      <c r="H27" s="20">
        <f t="shared" si="6"/>
        <v>107727</v>
      </c>
      <c r="I27" s="19" t="str">
        <f t="shared" si="5"/>
        <v/>
      </c>
      <c r="J27" s="41"/>
      <c r="K27" s="42"/>
    </row>
    <row r="28" spans="1:11" ht="15.6">
      <c r="A28" s="51" t="str">
        <v>302 Carnegie Center</v>
      </c>
      <c r="B28" s="29" t="str">
        <v>NJ</v>
      </c>
      <c r="C28" s="24">
        <v>47965.599999999999</v>
      </c>
      <c r="D28" s="13">
        <v>57063.5</v>
      </c>
      <c r="E28" s="13">
        <f t="shared" si="0"/>
        <v>-9097.9000000000015</v>
      </c>
      <c r="F28" s="14">
        <f t="shared" si="4"/>
        <v>-0.15943466489086722</v>
      </c>
      <c r="G28" s="15">
        <v>0</v>
      </c>
      <c r="H28" s="15">
        <f t="shared" si="6"/>
        <v>47965.599999999999</v>
      </c>
      <c r="I28" s="16" t="str">
        <f t="shared" si="5"/>
        <v/>
      </c>
      <c r="J28" s="40"/>
      <c r="K28" s="40"/>
    </row>
    <row r="29" spans="1:11" ht="15.6">
      <c r="A29" s="50" t="str">
        <v>510 Carnegie Center</v>
      </c>
      <c r="B29" s="31" t="str">
        <v>NJ</v>
      </c>
      <c r="C29" s="11">
        <v>119003</v>
      </c>
      <c r="D29" s="18">
        <v>146361</v>
      </c>
      <c r="E29" s="18">
        <f t="shared" si="0"/>
        <v>-27358</v>
      </c>
      <c r="F29" s="19">
        <f t="shared" si="4"/>
        <v>-0.18692137932919289</v>
      </c>
      <c r="G29" s="20">
        <v>0</v>
      </c>
      <c r="H29" s="20">
        <f t="shared" si="6"/>
        <v>119003</v>
      </c>
      <c r="I29" s="19" t="str">
        <f t="shared" si="5"/>
        <v/>
      </c>
      <c r="J29" s="41"/>
      <c r="K29" s="42"/>
    </row>
    <row r="30" spans="1:11" ht="15.6">
      <c r="A30" s="51" t="str">
        <v>701 Carnegie Center</v>
      </c>
      <c r="B30" s="29" t="str">
        <v>NJ</v>
      </c>
      <c r="C30" s="24">
        <v>90283</v>
      </c>
      <c r="D30" s="13">
        <v>115418</v>
      </c>
      <c r="E30" s="13">
        <f t="shared" si="0"/>
        <v>-25135</v>
      </c>
      <c r="F30" s="14">
        <f t="shared" si="4"/>
        <v>-0.21777365748843336</v>
      </c>
      <c r="G30" s="15">
        <v>0</v>
      </c>
      <c r="H30" s="15">
        <f t="shared" si="6"/>
        <v>90283</v>
      </c>
      <c r="I30" s="16" t="str">
        <f t="shared" si="5"/>
        <v/>
      </c>
      <c r="J30" s="40"/>
      <c r="K30" s="40"/>
    </row>
    <row r="31" spans="1:11" ht="15.6">
      <c r="A31" s="50" t="str">
        <v>Hudson County Correction</v>
      </c>
      <c r="B31" s="31" t="str">
        <v>NJ</v>
      </c>
      <c r="C31" s="11">
        <v>110854.67309634401</v>
      </c>
      <c r="D31" s="18">
        <v>110009.4</v>
      </c>
      <c r="E31" s="18">
        <f t="shared" si="0"/>
        <v>845.27309634401172</v>
      </c>
      <c r="F31" s="19">
        <f t="shared" si="4"/>
        <v>7.6836442735258234E-3</v>
      </c>
      <c r="G31" s="20">
        <v>105210.4</v>
      </c>
      <c r="H31" s="20">
        <f t="shared" si="6"/>
        <v>5644.2730963440117</v>
      </c>
      <c r="I31" s="19">
        <f t="shared" si="5"/>
        <v>5.364748253351391E-2</v>
      </c>
      <c r="J31" s="41"/>
      <c r="K31" s="42"/>
    </row>
    <row r="32" spans="1:11" ht="15.6">
      <c r="A32" s="51" t="str">
        <v>ER Bison Solar</v>
      </c>
      <c r="B32" s="29" t="str">
        <v>PA</v>
      </c>
      <c r="C32" s="24">
        <v>162625</v>
      </c>
      <c r="D32" s="13">
        <v>0</v>
      </c>
      <c r="E32" s="13">
        <f t="shared" si="0"/>
        <v>162625</v>
      </c>
      <c r="F32" s="14" t="str">
        <f t="shared" si="4"/>
        <v/>
      </c>
      <c r="G32" s="15">
        <v>138798</v>
      </c>
      <c r="H32" s="15">
        <f t="shared" si="6"/>
        <v>23827</v>
      </c>
      <c r="I32" s="16">
        <f t="shared" si="5"/>
        <v>0.17166673871381433</v>
      </c>
      <c r="J32" s="40"/>
      <c r="K32" s="40"/>
    </row>
    <row r="33" spans="1:11" ht="15.6">
      <c r="A33" s="50" t="str">
        <v>Danville</v>
      </c>
      <c r="B33" s="31" t="str">
        <v>IL</v>
      </c>
      <c r="C33" s="11">
        <v>286661</v>
      </c>
      <c r="D33" s="18">
        <v>0</v>
      </c>
      <c r="E33" s="18">
        <f t="shared" si="0"/>
        <v>286661</v>
      </c>
      <c r="F33" s="19" t="str">
        <f t="shared" si="4"/>
        <v/>
      </c>
      <c r="G33" s="20">
        <v>0</v>
      </c>
      <c r="H33" s="20">
        <f t="shared" si="6"/>
        <v>286661</v>
      </c>
      <c r="I33" s="19" t="str">
        <f t="shared" si="5"/>
        <v/>
      </c>
      <c r="J33" s="41"/>
      <c r="K33" s="42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45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 F4:F100 I4:I100">
    <cfRule type="cellIs" dxfId="43" priority="1" stopIfTrue="1" operator="lessThanOrEqual">
      <formula>-0.1</formula>
    </cfRule>
    <cfRule type="expression" dxfId="42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42"/>
  <sheetViews>
    <sheetView workbookViewId="0">
      <pane xSplit="2" ySplit="3" topLeftCell="C4" activePane="bottomRight" state="frozen"/>
      <selection pane="bottomRight" activeCell="J32" sqref="J32"/>
      <selection pane="bottomLeft" activeCell="G30" sqref="G30"/>
      <selection pane="topRight" activeCell="G30" sqref="G30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9" t="str" cm="1">
        <f t="array" ref="A1">portfolio</f>
        <v>Greenbacker</v>
      </c>
      <c r="B1" s="79"/>
      <c r="C1" s="79"/>
      <c r="D1" s="80" t="s">
        <v>47</v>
      </c>
      <c r="E1" s="80"/>
      <c r="F1" s="80"/>
      <c r="G1" s="78" t="s">
        <v>48</v>
      </c>
      <c r="H1" s="78"/>
      <c r="I1" s="78"/>
      <c r="J1" s="4"/>
      <c r="K1" s="4"/>
    </row>
    <row r="2" spans="1:11" ht="19.5" customHeight="1">
      <c r="A2" s="81" t="s">
        <v>2</v>
      </c>
      <c r="B2" s="81"/>
      <c r="C2" s="5">
        <f>SUM(C4:C100)</f>
        <v>3886716.637484984</v>
      </c>
      <c r="D2" s="5">
        <f>SUM(D4:D100)</f>
        <v>3315526.8</v>
      </c>
      <c r="E2" s="5">
        <f>C2-D2</f>
        <v>571189.83748498419</v>
      </c>
      <c r="F2" s="6">
        <f>IFERROR(E2/D2, 0)</f>
        <v>0.17227724942081127</v>
      </c>
      <c r="G2" s="5">
        <f>SUM(G4:G100)</f>
        <v>3004280.5700000003</v>
      </c>
      <c r="H2" s="7">
        <f>C2-G2</f>
        <v>882436.06748498371</v>
      </c>
      <c r="I2" s="6">
        <f>IFERROR(H2/G2, 0)</f>
        <v>0.29372625056952772</v>
      </c>
      <c r="J2" s="26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33">Sites[Site]</f>
        <v>10 Walpole Park South</v>
      </c>
      <c r="B4" s="29" t="str" cm="1">
        <f t="array" ref="B4:B33">Sites[State]</f>
        <v>MA</v>
      </c>
      <c r="C4" s="24">
        <v>13795.5625</v>
      </c>
      <c r="D4" s="13">
        <v>12505.45</v>
      </c>
      <c r="E4" s="13">
        <f>IF(AND(ISNUMBER(C4),ISNUMBER(D4)), C4-D4, "")</f>
        <v>1290.1124999999993</v>
      </c>
      <c r="F4" s="14">
        <f>IFERROR(E4/D4, "")</f>
        <v>0.10316402048706758</v>
      </c>
      <c r="G4" s="15">
        <v>14738.99</v>
      </c>
      <c r="H4" s="15">
        <f>IF(AND(ISNUMBER(C4),ISNUMBER(G4)), C4-G4, "")</f>
        <v>-943.42749999999978</v>
      </c>
      <c r="I4" s="16">
        <f>IFERROR(H4/G4, "")</f>
        <v>-6.4008965336159379E-2</v>
      </c>
      <c r="J4" s="40"/>
      <c r="K4" s="40"/>
    </row>
    <row r="5" spans="1:11" ht="15.6">
      <c r="A5" s="30" t="str">
        <v>15 Walpole Park South</v>
      </c>
      <c r="B5" s="31" t="str">
        <v>MA</v>
      </c>
      <c r="C5" s="11">
        <v>50765.75</v>
      </c>
      <c r="D5" s="18">
        <v>48451.57</v>
      </c>
      <c r="E5" s="18">
        <f t="shared" ref="E5:E33" si="0">IF(AND(ISNUMBER(C5),ISNUMBER(D5)), C5-D5, "")</f>
        <v>2314.1800000000003</v>
      </c>
      <c r="F5" s="19">
        <f>IFERROR(E5/D5, "")</f>
        <v>4.7762745355826454E-2</v>
      </c>
      <c r="G5" s="20">
        <v>51542.51</v>
      </c>
      <c r="H5" s="20">
        <f t="shared" ref="H5:H33" si="1">IF(AND(ISNUMBER(C5),ISNUMBER(G5)), C5-G5, "")</f>
        <v>-776.76000000000204</v>
      </c>
      <c r="I5" s="19">
        <f t="shared" ref="I5:I33" si="2">IFERROR(H5/G5, "")</f>
        <v>-1.5070278882421559E-2</v>
      </c>
      <c r="J5" s="41"/>
      <c r="K5" s="41"/>
    </row>
    <row r="6" spans="1:11" ht="15.6">
      <c r="A6" s="28" t="str">
        <v>19 Walpole Park South</v>
      </c>
      <c r="B6" s="29" t="str">
        <v>MA</v>
      </c>
      <c r="C6" s="24">
        <v>31449.454375000205</v>
      </c>
      <c r="D6" s="13">
        <v>29167.38</v>
      </c>
      <c r="E6" s="13">
        <f t="shared" si="0"/>
        <v>2282.0743750002039</v>
      </c>
      <c r="F6" s="14">
        <f t="shared" ref="F6:F33" si="3">IFERROR(E6/D6, "")</f>
        <v>7.8240636457583904E-2</v>
      </c>
      <c r="G6" s="15">
        <v>32813.61</v>
      </c>
      <c r="H6" s="15">
        <f t="shared" si="1"/>
        <v>-1364.1556249997957</v>
      </c>
      <c r="I6" s="16">
        <f t="shared" si="2"/>
        <v>-4.157286031618574E-2</v>
      </c>
      <c r="J6" s="40"/>
      <c r="K6" s="40"/>
    </row>
    <row r="7" spans="1:11" ht="28.9">
      <c r="A7" s="30" t="str">
        <v>23 Walpole Park South</v>
      </c>
      <c r="B7" s="31" t="str">
        <v>MA</v>
      </c>
      <c r="C7" s="11">
        <v>43350</v>
      </c>
      <c r="D7" s="18">
        <v>37112.660000000003</v>
      </c>
      <c r="E7" s="18">
        <f t="shared" si="0"/>
        <v>6237.3399999999965</v>
      </c>
      <c r="F7" s="19">
        <f t="shared" si="3"/>
        <v>0.16806502147784599</v>
      </c>
      <c r="G7" s="20">
        <v>43035.11</v>
      </c>
      <c r="H7" s="20">
        <f t="shared" si="1"/>
        <v>314.88999999999942</v>
      </c>
      <c r="I7" s="19">
        <f t="shared" si="2"/>
        <v>7.3170488003864616E-3</v>
      </c>
      <c r="J7" s="72" t="s">
        <v>49</v>
      </c>
      <c r="K7" s="73" t="s">
        <v>50</v>
      </c>
    </row>
    <row r="8" spans="1:11" ht="15.6">
      <c r="A8" s="28" t="str">
        <v>24 Walpole Park South</v>
      </c>
      <c r="B8" s="29" t="str">
        <v>MA</v>
      </c>
      <c r="C8" s="24">
        <v>63743</v>
      </c>
      <c r="D8" s="13">
        <v>52087.96</v>
      </c>
      <c r="E8" s="13">
        <f t="shared" si="0"/>
        <v>11655.04</v>
      </c>
      <c r="F8" s="14">
        <f t="shared" si="3"/>
        <v>0.22375689122783846</v>
      </c>
      <c r="G8" s="15">
        <v>66261.960000000006</v>
      </c>
      <c r="H8" s="15">
        <f t="shared" si="1"/>
        <v>-2518.9600000000064</v>
      </c>
      <c r="I8" s="16">
        <f t="shared" si="2"/>
        <v>-3.8015174920874757E-2</v>
      </c>
      <c r="J8" s="40"/>
      <c r="K8" s="40"/>
    </row>
    <row r="9" spans="1:11" ht="15.6">
      <c r="A9" s="30" t="str">
        <v>25 Walpole Park South</v>
      </c>
      <c r="B9" s="31" t="str">
        <v>MA</v>
      </c>
      <c r="C9" s="11">
        <v>63904</v>
      </c>
      <c r="D9" s="18">
        <v>58135.71</v>
      </c>
      <c r="E9" s="18">
        <f t="shared" si="0"/>
        <v>5768.2900000000009</v>
      </c>
      <c r="F9" s="19">
        <f t="shared" si="3"/>
        <v>9.9221115558750392E-2</v>
      </c>
      <c r="G9" s="20">
        <v>67228.94</v>
      </c>
      <c r="H9" s="20">
        <f t="shared" si="1"/>
        <v>-3324.9400000000023</v>
      </c>
      <c r="I9" s="19">
        <f t="shared" si="2"/>
        <v>-4.9456974927761799E-2</v>
      </c>
      <c r="J9" s="41"/>
      <c r="K9" s="42"/>
    </row>
    <row r="10" spans="1:11" ht="15.6">
      <c r="A10" s="28" t="str">
        <v>3 Walpole Park South</v>
      </c>
      <c r="B10" s="29" t="str">
        <v>MA</v>
      </c>
      <c r="C10" s="24">
        <v>78101.202499999665</v>
      </c>
      <c r="D10" s="13">
        <v>74536.98</v>
      </c>
      <c r="E10" s="13">
        <f t="shared" si="0"/>
        <v>3564.2224999996688</v>
      </c>
      <c r="F10" s="14">
        <f t="shared" si="3"/>
        <v>4.7818176963967E-2</v>
      </c>
      <c r="G10" s="15">
        <v>78725.149999999994</v>
      </c>
      <c r="H10" s="15">
        <f t="shared" si="1"/>
        <v>-623.94750000032946</v>
      </c>
      <c r="I10" s="16">
        <f t="shared" si="2"/>
        <v>-7.9256438380915055E-3</v>
      </c>
      <c r="J10" s="40" t="s">
        <v>51</v>
      </c>
      <c r="K10" s="40" t="s">
        <v>52</v>
      </c>
    </row>
    <row r="11" spans="1:11" ht="15.6">
      <c r="A11" s="30" t="str">
        <v>4 Walpole Park South</v>
      </c>
      <c r="B11" s="31" t="str">
        <v>MA</v>
      </c>
      <c r="C11" s="11">
        <v>44218.5</v>
      </c>
      <c r="D11" s="18">
        <v>41454.25</v>
      </c>
      <c r="E11" s="18">
        <f t="shared" si="0"/>
        <v>2764.25</v>
      </c>
      <c r="F11" s="19">
        <f t="shared" si="3"/>
        <v>6.6681944553332886E-2</v>
      </c>
      <c r="G11" s="20">
        <v>44666.27</v>
      </c>
      <c r="H11" s="20">
        <f t="shared" si="1"/>
        <v>-447.7699999999968</v>
      </c>
      <c r="I11" s="19">
        <f t="shared" si="2"/>
        <v>-1.0024790518661997E-2</v>
      </c>
      <c r="J11" s="41"/>
      <c r="K11" s="42"/>
    </row>
    <row r="12" spans="1:11" ht="15.6">
      <c r="A12" s="28" t="str">
        <v>Brockton</v>
      </c>
      <c r="B12" s="29" t="str">
        <v>MA</v>
      </c>
      <c r="C12" s="24">
        <v>69705</v>
      </c>
      <c r="D12" s="13">
        <v>61459.27</v>
      </c>
      <c r="E12" s="13">
        <f t="shared" si="0"/>
        <v>8245.7300000000032</v>
      </c>
      <c r="F12" s="14">
        <f t="shared" si="3"/>
        <v>0.13416576539226716</v>
      </c>
      <c r="G12" s="15">
        <v>73083.759999999995</v>
      </c>
      <c r="H12" s="15">
        <f t="shared" si="1"/>
        <v>-3378.7599999999948</v>
      </c>
      <c r="I12" s="16">
        <f t="shared" si="2"/>
        <v>-4.6231337851254439E-2</v>
      </c>
      <c r="J12" s="40"/>
      <c r="K12" s="40"/>
    </row>
    <row r="13" spans="1:11" ht="15.6">
      <c r="A13" s="30" t="str">
        <v>Canton</v>
      </c>
      <c r="B13" s="31" t="str">
        <v>MA</v>
      </c>
      <c r="C13" s="11">
        <v>67688.511224489659</v>
      </c>
      <c r="D13" s="18">
        <v>63572.7</v>
      </c>
      <c r="E13" s="18">
        <f t="shared" si="0"/>
        <v>4115.811224489662</v>
      </c>
      <c r="F13" s="19">
        <f t="shared" si="3"/>
        <v>6.4741803077258978E-2</v>
      </c>
      <c r="G13" s="20">
        <v>69209</v>
      </c>
      <c r="H13" s="20">
        <f t="shared" si="1"/>
        <v>-1520.4887755103409</v>
      </c>
      <c r="I13" s="19">
        <f t="shared" si="2"/>
        <v>-2.1969523840979367E-2</v>
      </c>
      <c r="J13" s="41" t="s">
        <v>53</v>
      </c>
      <c r="K13" s="41" t="s">
        <v>54</v>
      </c>
    </row>
    <row r="14" spans="1:11" ht="15.6">
      <c r="A14" s="28" t="str">
        <v>Chelsea</v>
      </c>
      <c r="B14" s="29" t="str">
        <v>MA</v>
      </c>
      <c r="C14" s="24">
        <v>119463.5</v>
      </c>
      <c r="D14" s="13">
        <v>113528.8</v>
      </c>
      <c r="E14" s="13">
        <f>IF(AND(ISNUMBER(C14),ISNUMBER(D14)), C14-D14, "")</f>
        <v>5934.6999999999971</v>
      </c>
      <c r="F14" s="14">
        <f>IFERROR(E14/D14, "")</f>
        <v>5.2274841273756062E-2</v>
      </c>
      <c r="G14" s="15">
        <v>116445.1</v>
      </c>
      <c r="H14" s="15">
        <f>IF(AND(ISNUMBER(C14),ISNUMBER(G14)), C14-G14, "")</f>
        <v>3018.3999999999942</v>
      </c>
      <c r="I14" s="16">
        <f>IFERROR(H14/G14, "")</f>
        <v>2.5921228115223346E-2</v>
      </c>
      <c r="J14" s="40"/>
      <c r="K14" s="40"/>
    </row>
    <row r="15" spans="1:11" ht="15.6">
      <c r="A15" s="30" t="str">
        <v>Hamilton Landfill</v>
      </c>
      <c r="B15" s="31" t="str">
        <v>MA</v>
      </c>
      <c r="C15" s="11">
        <v>94311</v>
      </c>
      <c r="D15" s="18">
        <v>100982</v>
      </c>
      <c r="E15" s="18">
        <f t="shared" si="0"/>
        <v>-6671</v>
      </c>
      <c r="F15" s="19">
        <f t="shared" si="3"/>
        <v>-6.606127824760849E-2</v>
      </c>
      <c r="G15" s="20">
        <v>0</v>
      </c>
      <c r="H15" s="20">
        <f t="shared" si="1"/>
        <v>94311</v>
      </c>
      <c r="I15" s="19" t="str">
        <f t="shared" si="2"/>
        <v/>
      </c>
      <c r="J15" s="41" t="s">
        <v>55</v>
      </c>
      <c r="K15" s="42"/>
    </row>
    <row r="16" spans="1:11" ht="15.6">
      <c r="A16" s="28" t="str">
        <v>Holliston</v>
      </c>
      <c r="B16" s="29" t="str">
        <v>MA</v>
      </c>
      <c r="C16" s="24">
        <v>168577.99999999907</v>
      </c>
      <c r="D16" s="13">
        <v>169929</v>
      </c>
      <c r="E16" s="13">
        <f t="shared" si="0"/>
        <v>-1351.0000000009313</v>
      </c>
      <c r="F16" s="14">
        <f t="shared" si="3"/>
        <v>-7.9503792760560656E-3</v>
      </c>
      <c r="G16" s="15">
        <v>186094.3</v>
      </c>
      <c r="H16" s="15">
        <f t="shared" si="1"/>
        <v>-17516.30000000092</v>
      </c>
      <c r="I16" s="16">
        <f t="shared" si="2"/>
        <v>-9.4125935077006229E-2</v>
      </c>
      <c r="J16" s="75" t="s">
        <v>56</v>
      </c>
      <c r="K16" s="75" t="s">
        <v>57</v>
      </c>
    </row>
    <row r="17" spans="1:11" ht="15.6">
      <c r="A17" s="30" t="str">
        <v>Natick HS - Carports</v>
      </c>
      <c r="B17" s="31" t="str">
        <v>MA</v>
      </c>
      <c r="C17" s="11">
        <v>58955</v>
      </c>
      <c r="D17" s="18">
        <v>67346</v>
      </c>
      <c r="E17" s="18">
        <f t="shared" si="0"/>
        <v>-8391</v>
      </c>
      <c r="F17" s="19">
        <f t="shared" si="3"/>
        <v>-0.1245953731476257</v>
      </c>
      <c r="G17" s="20">
        <v>0</v>
      </c>
      <c r="H17" s="20">
        <f t="shared" si="1"/>
        <v>58955</v>
      </c>
      <c r="I17" s="19" t="str">
        <f t="shared" si="2"/>
        <v/>
      </c>
      <c r="J17" s="41"/>
      <c r="K17" s="42"/>
    </row>
    <row r="18" spans="1:11" ht="15.6">
      <c r="A18" s="32" t="str">
        <v>Norton</v>
      </c>
      <c r="B18" s="29" t="str">
        <v>MA</v>
      </c>
      <c r="C18" s="24">
        <v>363540</v>
      </c>
      <c r="D18" s="13">
        <v>340343.2</v>
      </c>
      <c r="E18" s="13">
        <f t="shared" si="0"/>
        <v>23196.799999999988</v>
      </c>
      <c r="F18" s="14">
        <f t="shared" si="3"/>
        <v>6.8157083790714751E-2</v>
      </c>
      <c r="G18" s="15">
        <v>391581.6</v>
      </c>
      <c r="H18" s="15">
        <f t="shared" si="1"/>
        <v>-28041.599999999977</v>
      </c>
      <c r="I18" s="16">
        <f t="shared" si="2"/>
        <v>-7.1611127795585844E-2</v>
      </c>
      <c r="J18" s="40" t="s">
        <v>58</v>
      </c>
      <c r="K18" s="40" t="s">
        <v>59</v>
      </c>
    </row>
    <row r="19" spans="1:11" ht="15.6">
      <c r="A19" s="30" t="str">
        <v>Palmer - Boston Rd.</v>
      </c>
      <c r="B19" s="31" t="str">
        <v>MA</v>
      </c>
      <c r="C19" s="11">
        <v>63920</v>
      </c>
      <c r="D19" s="18">
        <v>63679.51</v>
      </c>
      <c r="E19" s="18">
        <f t="shared" si="0"/>
        <v>240.48999999999796</v>
      </c>
      <c r="F19" s="19">
        <f t="shared" si="3"/>
        <v>3.7765680043706047E-3</v>
      </c>
      <c r="G19" s="20">
        <v>69178</v>
      </c>
      <c r="H19" s="20">
        <f t="shared" si="1"/>
        <v>-5258</v>
      </c>
      <c r="I19" s="19">
        <f t="shared" si="2"/>
        <v>-7.600682297840354E-2</v>
      </c>
      <c r="J19" s="41"/>
      <c r="K19" s="41"/>
    </row>
    <row r="20" spans="1:11" ht="15.6">
      <c r="A20" s="28" t="str">
        <v>Shirley Bartkus</v>
      </c>
      <c r="B20" s="29" t="str">
        <v>MA</v>
      </c>
      <c r="C20" s="24">
        <v>49078.5</v>
      </c>
      <c r="D20" s="13">
        <v>44285.39</v>
      </c>
      <c r="E20" s="13">
        <f t="shared" si="0"/>
        <v>4793.1100000000006</v>
      </c>
      <c r="F20" s="14">
        <f t="shared" si="3"/>
        <v>0.10823230866884091</v>
      </c>
      <c r="G20" s="15">
        <v>98185</v>
      </c>
      <c r="H20" s="15">
        <f t="shared" si="1"/>
        <v>-49106.5</v>
      </c>
      <c r="I20" s="16">
        <f t="shared" si="2"/>
        <v>-0.50014258797168609</v>
      </c>
      <c r="J20" s="40" t="s">
        <v>60</v>
      </c>
      <c r="K20" s="40" t="s">
        <v>61</v>
      </c>
    </row>
    <row r="21" spans="1:11" ht="15.6">
      <c r="A21" s="30" t="str">
        <v>Stoughton</v>
      </c>
      <c r="B21" s="31" t="str">
        <v>MA</v>
      </c>
      <c r="C21" s="11">
        <v>81146.0129310349</v>
      </c>
      <c r="D21" s="18">
        <v>47074.77</v>
      </c>
      <c r="E21" s="18">
        <f t="shared" si="0"/>
        <v>34071.242931034903</v>
      </c>
      <c r="F21" s="19">
        <f t="shared" si="3"/>
        <v>0.72376865422889813</v>
      </c>
      <c r="G21" s="20">
        <v>78642.77</v>
      </c>
      <c r="H21" s="20">
        <f t="shared" si="1"/>
        <v>2503.2429310348962</v>
      </c>
      <c r="I21" s="19">
        <f t="shared" si="2"/>
        <v>3.1830553921675137E-2</v>
      </c>
      <c r="J21" s="41"/>
      <c r="K21" s="42"/>
    </row>
    <row r="22" spans="1:11" ht="15.6">
      <c r="A22" s="28" t="str">
        <v>Wellfleet Landfill</v>
      </c>
      <c r="B22" s="29" t="str">
        <v>MA</v>
      </c>
      <c r="C22" s="24">
        <v>91566</v>
      </c>
      <c r="D22" s="13">
        <v>77465</v>
      </c>
      <c r="E22" s="13">
        <f t="shared" si="0"/>
        <v>14101</v>
      </c>
      <c r="F22" s="14">
        <f t="shared" si="3"/>
        <v>0.18203059446201511</v>
      </c>
      <c r="G22" s="15">
        <v>0</v>
      </c>
      <c r="H22" s="15">
        <f t="shared" si="1"/>
        <v>91566</v>
      </c>
      <c r="I22" s="16" t="str">
        <f t="shared" si="2"/>
        <v/>
      </c>
      <c r="J22" s="40" t="s">
        <v>62</v>
      </c>
      <c r="K22" s="40" t="s">
        <v>63</v>
      </c>
    </row>
    <row r="23" spans="1:11" ht="15.6">
      <c r="A23" s="30" t="str">
        <v>Wilmington Garage &amp; Building 7</v>
      </c>
      <c r="B23" s="31" t="str">
        <v>MA</v>
      </c>
      <c r="C23" s="11">
        <v>116108</v>
      </c>
      <c r="D23" s="18">
        <v>114997.7</v>
      </c>
      <c r="E23" s="18">
        <f t="shared" si="0"/>
        <v>1110.3000000000029</v>
      </c>
      <c r="F23" s="19">
        <f t="shared" si="3"/>
        <v>9.6549757082098411E-3</v>
      </c>
      <c r="G23" s="20">
        <v>115101.6</v>
      </c>
      <c r="H23" s="20">
        <f t="shared" si="1"/>
        <v>1006.3999999999942</v>
      </c>
      <c r="I23" s="19">
        <f t="shared" si="2"/>
        <v>8.7435795853402047E-3</v>
      </c>
      <c r="J23" s="41" t="s">
        <v>64</v>
      </c>
      <c r="K23" s="41" t="s">
        <v>65</v>
      </c>
    </row>
    <row r="24" spans="1:11" ht="15.6">
      <c r="A24" s="28" t="str">
        <v>Woburn</v>
      </c>
      <c r="B24" s="29" t="str">
        <v>MA</v>
      </c>
      <c r="C24" s="24">
        <v>170307.60756972153</v>
      </c>
      <c r="D24" s="13">
        <v>177306.6</v>
      </c>
      <c r="E24" s="13">
        <f t="shared" si="0"/>
        <v>-6998.9924302784784</v>
      </c>
      <c r="F24" s="14">
        <f t="shared" si="3"/>
        <v>-3.9473953199026308E-2</v>
      </c>
      <c r="G24" s="15">
        <v>165239.20000000001</v>
      </c>
      <c r="H24" s="15">
        <f t="shared" si="1"/>
        <v>5068.4075697215158</v>
      </c>
      <c r="I24" s="16">
        <f t="shared" si="2"/>
        <v>3.0673154855031467E-2</v>
      </c>
      <c r="J24" s="40" t="s">
        <v>66</v>
      </c>
      <c r="K24" s="40" t="s">
        <v>67</v>
      </c>
    </row>
    <row r="25" spans="1:11" ht="28.9">
      <c r="A25" s="30" t="str">
        <v>Friendship Solar 1</v>
      </c>
      <c r="B25" s="31" t="str">
        <v>MD</v>
      </c>
      <c r="C25" s="11">
        <v>374354</v>
      </c>
      <c r="D25" s="18">
        <v>396615.6</v>
      </c>
      <c r="E25" s="18">
        <f t="shared" si="0"/>
        <v>-22261.599999999977</v>
      </c>
      <c r="F25" s="19">
        <f t="shared" si="3"/>
        <v>-5.6128906679414468E-2</v>
      </c>
      <c r="G25" s="20">
        <v>439682.5</v>
      </c>
      <c r="H25" s="20">
        <f t="shared" si="1"/>
        <v>-65328.5</v>
      </c>
      <c r="I25" s="19">
        <f t="shared" si="2"/>
        <v>-0.14858107839179407</v>
      </c>
      <c r="J25" s="41" t="s">
        <v>68</v>
      </c>
      <c r="K25" s="72" t="s">
        <v>69</v>
      </c>
    </row>
    <row r="26" spans="1:11" ht="28.9">
      <c r="A26" s="28" t="str">
        <v>Friendship Solar 2</v>
      </c>
      <c r="B26" s="29" t="str">
        <v>MD</v>
      </c>
      <c r="C26" s="24">
        <v>376540</v>
      </c>
      <c r="D26" s="13">
        <v>400544</v>
      </c>
      <c r="E26" s="13">
        <f t="shared" si="0"/>
        <v>-24004</v>
      </c>
      <c r="F26" s="14">
        <f t="shared" si="3"/>
        <v>-5.9928497243748505E-2</v>
      </c>
      <c r="G26" s="15">
        <v>433389.1</v>
      </c>
      <c r="H26" s="15">
        <f t="shared" si="1"/>
        <v>-56849.099999999977</v>
      </c>
      <c r="I26" s="16">
        <f t="shared" si="2"/>
        <v>-0.13117334976814132</v>
      </c>
      <c r="J26" s="40" t="s">
        <v>70</v>
      </c>
      <c r="K26" s="40" t="s">
        <v>71</v>
      </c>
    </row>
    <row r="27" spans="1:11" ht="15.6">
      <c r="A27" s="30" t="str">
        <v>101 Carnegie Center</v>
      </c>
      <c r="B27" s="31" t="str">
        <v>NJ</v>
      </c>
      <c r="C27" s="11">
        <v>157835</v>
      </c>
      <c r="D27" s="18">
        <v>170880</v>
      </c>
      <c r="E27" s="18">
        <f t="shared" si="0"/>
        <v>-13045</v>
      </c>
      <c r="F27" s="19">
        <f t="shared" si="3"/>
        <v>-7.6340121722846446E-2</v>
      </c>
      <c r="G27" s="20">
        <v>0</v>
      </c>
      <c r="H27" s="20">
        <f t="shared" si="1"/>
        <v>157835</v>
      </c>
      <c r="I27" s="19" t="str">
        <f t="shared" si="2"/>
        <v/>
      </c>
      <c r="J27" s="41"/>
      <c r="K27" s="42"/>
    </row>
    <row r="28" spans="1:11" ht="15.6">
      <c r="A28" s="28" t="str">
        <v>302 Carnegie Center</v>
      </c>
      <c r="B28" s="29" t="str">
        <v>NJ</v>
      </c>
      <c r="C28" s="24">
        <v>68012</v>
      </c>
      <c r="D28" s="13">
        <v>72955</v>
      </c>
      <c r="E28" s="13">
        <f t="shared" si="0"/>
        <v>-4943</v>
      </c>
      <c r="F28" s="14">
        <f t="shared" si="3"/>
        <v>-6.7754094990062366E-2</v>
      </c>
      <c r="G28" s="15">
        <v>0</v>
      </c>
      <c r="H28" s="15">
        <f t="shared" si="1"/>
        <v>68012</v>
      </c>
      <c r="I28" s="16" t="str">
        <f t="shared" si="2"/>
        <v/>
      </c>
      <c r="J28" s="40"/>
      <c r="K28" s="40"/>
    </row>
    <row r="29" spans="1:11" ht="15.6">
      <c r="A29" s="30" t="str">
        <v>510 Carnegie Center</v>
      </c>
      <c r="B29" s="31" t="str">
        <v>NJ</v>
      </c>
      <c r="C29" s="11">
        <v>170238</v>
      </c>
      <c r="D29" s="18">
        <v>183976</v>
      </c>
      <c r="E29" s="18">
        <f t="shared" si="0"/>
        <v>-13738</v>
      </c>
      <c r="F29" s="19">
        <f t="shared" si="3"/>
        <v>-7.4672783406531287E-2</v>
      </c>
      <c r="G29" s="20">
        <v>0</v>
      </c>
      <c r="H29" s="20">
        <f t="shared" si="1"/>
        <v>170238</v>
      </c>
      <c r="I29" s="19" t="str">
        <f t="shared" si="2"/>
        <v/>
      </c>
      <c r="J29" s="41"/>
      <c r="K29" s="42"/>
    </row>
    <row r="30" spans="1:11" ht="15.6">
      <c r="A30" s="28" t="str">
        <v>701 Carnegie Center</v>
      </c>
      <c r="B30" s="29" t="str">
        <v>NJ</v>
      </c>
      <c r="C30" s="24">
        <v>132910</v>
      </c>
      <c r="D30" s="13">
        <v>149891</v>
      </c>
      <c r="E30" s="13">
        <f t="shared" si="0"/>
        <v>-16981</v>
      </c>
      <c r="F30" s="14">
        <f t="shared" si="3"/>
        <v>-0.11328898999939957</v>
      </c>
      <c r="G30" s="15">
        <v>0</v>
      </c>
      <c r="H30" s="15">
        <f t="shared" si="1"/>
        <v>132910</v>
      </c>
      <c r="I30" s="16" t="str">
        <f t="shared" si="2"/>
        <v/>
      </c>
      <c r="J30" s="40"/>
      <c r="K30" s="40"/>
    </row>
    <row r="31" spans="1:11" ht="57.6">
      <c r="A31" s="30" t="str">
        <v>Hudson County Correction</v>
      </c>
      <c r="B31" s="31" t="str">
        <v>NJ</v>
      </c>
      <c r="C31" s="11">
        <v>173643.03638473898</v>
      </c>
      <c r="D31" s="18">
        <v>145243.29999999999</v>
      </c>
      <c r="E31" s="18">
        <f t="shared" si="0"/>
        <v>28399.736384738993</v>
      </c>
      <c r="F31" s="19">
        <f t="shared" si="3"/>
        <v>0.19553216144730254</v>
      </c>
      <c r="G31" s="20">
        <v>173945.1</v>
      </c>
      <c r="H31" s="20">
        <f t="shared" si="1"/>
        <v>-302.0636152610241</v>
      </c>
      <c r="I31" s="19">
        <f t="shared" si="2"/>
        <v>-1.7365456989649269E-3</v>
      </c>
      <c r="J31" s="41" t="s">
        <v>72</v>
      </c>
      <c r="K31" s="74" t="s">
        <v>73</v>
      </c>
    </row>
    <row r="32" spans="1:11" ht="76.5">
      <c r="A32" s="28" t="str">
        <v>ER Bison Solar</v>
      </c>
      <c r="B32" s="29" t="str">
        <v>PA</v>
      </c>
      <c r="C32" s="24">
        <v>193367</v>
      </c>
      <c r="D32" s="13">
        <v>0</v>
      </c>
      <c r="E32" s="13">
        <f t="shared" si="0"/>
        <v>193367</v>
      </c>
      <c r="F32" s="14" t="str">
        <f t="shared" si="3"/>
        <v/>
      </c>
      <c r="G32" s="15">
        <v>195491</v>
      </c>
      <c r="H32" s="15">
        <f t="shared" si="1"/>
        <v>-2124</v>
      </c>
      <c r="I32" s="16">
        <f t="shared" si="2"/>
        <v>-1.0864950304617604E-2</v>
      </c>
      <c r="J32" s="40" t="s">
        <v>74</v>
      </c>
      <c r="K32" s="40" t="s">
        <v>75</v>
      </c>
    </row>
    <row r="33" spans="1:11" ht="15.6">
      <c r="A33" s="30" t="str">
        <v>Danville</v>
      </c>
      <c r="B33" s="31" t="str">
        <v>IL</v>
      </c>
      <c r="C33" s="11">
        <v>336123</v>
      </c>
      <c r="D33" s="18">
        <v>0</v>
      </c>
      <c r="E33" s="18">
        <f t="shared" si="0"/>
        <v>336123</v>
      </c>
      <c r="F33" s="19" t="str">
        <f t="shared" si="3"/>
        <v/>
      </c>
      <c r="G33" s="20">
        <v>0</v>
      </c>
      <c r="H33" s="20">
        <f t="shared" si="1"/>
        <v>336123</v>
      </c>
      <c r="I33" s="19" t="str">
        <f t="shared" si="2"/>
        <v/>
      </c>
      <c r="J33" s="41" t="s">
        <v>76</v>
      </c>
      <c r="K33" s="42" t="s">
        <v>77</v>
      </c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45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 F4:F100 I4:I100">
    <cfRule type="cellIs" dxfId="41" priority="3" stopIfTrue="1" operator="lessThanOrEqual">
      <formula>-0.1</formula>
    </cfRule>
    <cfRule type="expression" dxfId="40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42"/>
  <sheetViews>
    <sheetView workbookViewId="0">
      <pane xSplit="2" ySplit="3" topLeftCell="C20" activePane="bottomRight" state="frozen"/>
      <selection pane="bottomRight" activeCell="F33" sqref="F33"/>
      <selection pane="bottomLeft" activeCell="G30" sqref="G30"/>
      <selection pane="topRight" activeCell="G30" sqref="G30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9" t="str" cm="1">
        <f t="array" ref="A1">portfolio</f>
        <v>Greenbacker</v>
      </c>
      <c r="B1" s="79"/>
      <c r="C1" s="79"/>
      <c r="D1" s="80" t="s">
        <v>78</v>
      </c>
      <c r="E1" s="80"/>
      <c r="F1" s="80"/>
      <c r="G1" s="78" t="s">
        <v>79</v>
      </c>
      <c r="H1" s="78"/>
      <c r="I1" s="78"/>
      <c r="J1" s="4"/>
      <c r="K1" s="4"/>
    </row>
    <row r="2" spans="1:11" ht="19.5" customHeight="1">
      <c r="A2" s="81" t="s">
        <v>2</v>
      </c>
      <c r="B2" s="81"/>
      <c r="C2" s="5">
        <f>SUM(C4:C100)</f>
        <v>3974120.9401649078</v>
      </c>
      <c r="D2" s="5">
        <f>SUM(D4:D100)</f>
        <v>3410905.017</v>
      </c>
      <c r="E2" s="5">
        <f>C2-D2</f>
        <v>563215.92316490784</v>
      </c>
      <c r="F2" s="6">
        <f>IFERROR(E2/D2, 0)</f>
        <v>0.16512213631216099</v>
      </c>
      <c r="G2" s="5">
        <f>SUM(G4:G100)</f>
        <v>3625289.1499999994</v>
      </c>
      <c r="H2" s="7">
        <f>C2-G2</f>
        <v>348831.79016490839</v>
      </c>
      <c r="I2" s="6">
        <f>IFERROR(H2/G2, 0)</f>
        <v>9.6221784175452171E-2</v>
      </c>
      <c r="J2" s="26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33">Sites[Site]</f>
        <v>10 Walpole Park South</v>
      </c>
      <c r="B4" s="29" t="str" cm="1">
        <f t="array" ref="B4:B33">Sites[State]</f>
        <v>MA</v>
      </c>
      <c r="C4" s="24">
        <v>16114.8125</v>
      </c>
      <c r="D4" s="13">
        <v>14796.69</v>
      </c>
      <c r="E4" s="13">
        <f>IF(AND(ISNUMBER(C4),ISNUMBER(D4)), C4-D4, "")</f>
        <v>1318.1224999999995</v>
      </c>
      <c r="F4" s="14">
        <f>IFERROR(E4/D4, "")</f>
        <v>8.9082254206852979E-2</v>
      </c>
      <c r="G4" s="15">
        <v>17954.59</v>
      </c>
      <c r="H4" s="15">
        <f>IF(AND(ISNUMBER(C4),ISNUMBER(G4)), C4-G4, "")</f>
        <v>-1839.7775000000001</v>
      </c>
      <c r="I4" s="16">
        <f>IFERROR(H4/G4, "")</f>
        <v>-0.10246836602785138</v>
      </c>
      <c r="J4" s="40"/>
      <c r="K4" s="40"/>
    </row>
    <row r="5" spans="1:11" ht="15.6">
      <c r="A5" s="30" t="str">
        <v>15 Walpole Park South</v>
      </c>
      <c r="B5" s="31" t="str">
        <v>MA</v>
      </c>
      <c r="C5" s="11">
        <v>58626.75</v>
      </c>
      <c r="D5" s="18">
        <v>55434.57</v>
      </c>
      <c r="E5" s="18">
        <f t="shared" ref="E5:E33" si="0">IF(AND(ISNUMBER(C5),ISNUMBER(D5)), C5-D5, "")</f>
        <v>3192.1800000000003</v>
      </c>
      <c r="F5" s="19">
        <f>IFERROR(E5/D5, "")</f>
        <v>5.7584644383459643E-2</v>
      </c>
      <c r="G5" s="20">
        <v>63304.81</v>
      </c>
      <c r="H5" s="20">
        <f t="shared" ref="H5:H33" si="1">IF(AND(ISNUMBER(C5),ISNUMBER(G5)), C5-G5, "")</f>
        <v>-4678.0599999999977</v>
      </c>
      <c r="I5" s="19">
        <f t="shared" ref="I5:I33" si="2">IFERROR(H5/G5, "")</f>
        <v>-7.3897386312351265E-2</v>
      </c>
      <c r="J5" s="41"/>
      <c r="K5" s="41"/>
    </row>
    <row r="6" spans="1:11" ht="15.6">
      <c r="A6" s="28" t="str">
        <v>19 Walpole Park South</v>
      </c>
      <c r="B6" s="29" t="str">
        <v>MA</v>
      </c>
      <c r="C6" s="24">
        <v>37188.75</v>
      </c>
      <c r="D6" s="13">
        <v>34363.120000000003</v>
      </c>
      <c r="E6" s="13">
        <f t="shared" si="0"/>
        <v>2825.6299999999974</v>
      </c>
      <c r="F6" s="14">
        <f t="shared" ref="F6:F33" si="3">IFERROR(E6/D6, "")</f>
        <v>8.2228563646141478E-2</v>
      </c>
      <c r="G6" s="15">
        <v>40259.89</v>
      </c>
      <c r="H6" s="15">
        <f t="shared" si="1"/>
        <v>-3071.1399999999994</v>
      </c>
      <c r="I6" s="16">
        <f t="shared" si="2"/>
        <v>-7.6282871115643872E-2</v>
      </c>
      <c r="J6" s="40"/>
      <c r="K6" s="40"/>
    </row>
    <row r="7" spans="1:11" ht="15.6">
      <c r="A7" s="30" t="str">
        <v>23 Walpole Park South</v>
      </c>
      <c r="B7" s="31" t="str">
        <v>MA</v>
      </c>
      <c r="C7" s="11">
        <v>50682.25</v>
      </c>
      <c r="D7" s="18">
        <v>43350.75</v>
      </c>
      <c r="E7" s="18">
        <f t="shared" si="0"/>
        <v>7331.5</v>
      </c>
      <c r="F7" s="19">
        <f t="shared" si="3"/>
        <v>0.16912048811150904</v>
      </c>
      <c r="G7" s="20">
        <v>52936.25</v>
      </c>
      <c r="H7" s="20">
        <f t="shared" si="1"/>
        <v>-2254</v>
      </c>
      <c r="I7" s="19">
        <f t="shared" si="2"/>
        <v>-4.2579517816241232E-2</v>
      </c>
      <c r="J7" s="41"/>
      <c r="K7" s="42"/>
    </row>
    <row r="8" spans="1:11" ht="15.75">
      <c r="A8" s="28" t="str">
        <v>24 Walpole Park South</v>
      </c>
      <c r="B8" s="29" t="str">
        <v>MA</v>
      </c>
      <c r="C8" s="24">
        <v>72883</v>
      </c>
      <c r="D8" s="13">
        <v>62551.38</v>
      </c>
      <c r="E8" s="13">
        <f t="shared" si="0"/>
        <v>10331.620000000003</v>
      </c>
      <c r="F8" s="14">
        <f t="shared" si="3"/>
        <v>0.16517013693382948</v>
      </c>
      <c r="G8" s="15">
        <v>81454.66</v>
      </c>
      <c r="H8" s="15">
        <f t="shared" si="1"/>
        <v>-8571.6600000000035</v>
      </c>
      <c r="I8" s="16">
        <f t="shared" si="2"/>
        <v>-0.10523228505281347</v>
      </c>
      <c r="J8" s="40" t="s">
        <v>80</v>
      </c>
      <c r="K8" s="40" t="s">
        <v>81</v>
      </c>
    </row>
    <row r="9" spans="1:11" ht="33.75" customHeight="1">
      <c r="A9" s="30" t="str">
        <v>25 Walpole Park South</v>
      </c>
      <c r="B9" s="31" t="str">
        <v>MA</v>
      </c>
      <c r="C9" s="11">
        <v>72574.5</v>
      </c>
      <c r="D9" s="18">
        <v>66839.05</v>
      </c>
      <c r="E9" s="18">
        <f t="shared" si="0"/>
        <v>5735.4499999999971</v>
      </c>
      <c r="F9" s="19">
        <f t="shared" si="3"/>
        <v>8.5809867136052903E-2</v>
      </c>
      <c r="G9" s="20">
        <v>82509.09</v>
      </c>
      <c r="H9" s="20">
        <f t="shared" si="1"/>
        <v>-9934.5899999999965</v>
      </c>
      <c r="I9" s="19">
        <f t="shared" si="2"/>
        <v>-0.12040600617459236</v>
      </c>
      <c r="J9" s="71" t="s">
        <v>82</v>
      </c>
      <c r="K9" s="42" t="s">
        <v>83</v>
      </c>
    </row>
    <row r="10" spans="1:11" ht="15.6">
      <c r="A10" s="28" t="str">
        <v>3 Walpole Park South</v>
      </c>
      <c r="B10" s="29" t="str">
        <v>MA</v>
      </c>
      <c r="C10" s="24">
        <v>94905.797500000306</v>
      </c>
      <c r="D10" s="13">
        <v>87738.4</v>
      </c>
      <c r="E10" s="13">
        <f t="shared" si="0"/>
        <v>7167.397500000312</v>
      </c>
      <c r="F10" s="14">
        <f t="shared" si="3"/>
        <v>8.1690542567454075E-2</v>
      </c>
      <c r="G10" s="15">
        <v>98901.56</v>
      </c>
      <c r="H10" s="15">
        <f t="shared" si="1"/>
        <v>-3995.7624999996915</v>
      </c>
      <c r="I10" s="16">
        <f t="shared" si="2"/>
        <v>-4.0401410250755311E-2</v>
      </c>
      <c r="J10" s="40"/>
      <c r="K10" s="40"/>
    </row>
    <row r="11" spans="1:11" ht="15.6">
      <c r="A11" s="30" t="str">
        <v>4 Walpole Park South</v>
      </c>
      <c r="B11" s="31" t="str">
        <v>MA</v>
      </c>
      <c r="C11" s="11">
        <v>51464.25</v>
      </c>
      <c r="D11" s="18">
        <v>47241.47</v>
      </c>
      <c r="E11" s="18">
        <f t="shared" si="0"/>
        <v>4222.7799999999988</v>
      </c>
      <c r="F11" s="19">
        <f t="shared" si="3"/>
        <v>8.9387142271398393E-2</v>
      </c>
      <c r="G11" s="20">
        <v>54449.55</v>
      </c>
      <c r="H11" s="20">
        <f t="shared" si="1"/>
        <v>-2985.3000000000029</v>
      </c>
      <c r="I11" s="19">
        <f t="shared" si="2"/>
        <v>-5.4826899395862827E-2</v>
      </c>
      <c r="J11" s="41"/>
      <c r="K11" s="42"/>
    </row>
    <row r="12" spans="1:11" ht="30.75">
      <c r="A12" s="28" t="str">
        <v>Brockton</v>
      </c>
      <c r="B12" s="29" t="str">
        <v>MA</v>
      </c>
      <c r="C12" s="24">
        <v>84611.5</v>
      </c>
      <c r="D12" s="13">
        <v>74862.95</v>
      </c>
      <c r="E12" s="13">
        <f t="shared" si="0"/>
        <v>9748.5500000000029</v>
      </c>
      <c r="F12" s="14">
        <f t="shared" si="3"/>
        <v>0.1302186194906827</v>
      </c>
      <c r="G12" s="15">
        <v>90635.83</v>
      </c>
      <c r="H12" s="15">
        <f t="shared" si="1"/>
        <v>-6024.3300000000017</v>
      </c>
      <c r="I12" s="16">
        <f t="shared" si="2"/>
        <v>-6.6467422431062878E-2</v>
      </c>
      <c r="J12" s="40" t="s">
        <v>84</v>
      </c>
      <c r="K12" s="40" t="s">
        <v>85</v>
      </c>
    </row>
    <row r="13" spans="1:11" ht="64.5">
      <c r="A13" s="30" t="str">
        <v>Canton</v>
      </c>
      <c r="B13" s="31" t="str">
        <v>MA</v>
      </c>
      <c r="C13" s="11">
        <v>45279.988775510297</v>
      </c>
      <c r="D13" s="18">
        <v>43765.15</v>
      </c>
      <c r="E13" s="18">
        <f t="shared" si="0"/>
        <v>1514.8387755102958</v>
      </c>
      <c r="F13" s="19">
        <f t="shared" si="3"/>
        <v>3.4612900344458908E-2</v>
      </c>
      <c r="G13" s="20">
        <v>82505.94</v>
      </c>
      <c r="H13" s="20">
        <f t="shared" si="1"/>
        <v>-37225.951224489705</v>
      </c>
      <c r="I13" s="19">
        <f t="shared" si="2"/>
        <v>-0.45119116544202398</v>
      </c>
      <c r="J13" s="71" t="s">
        <v>86</v>
      </c>
      <c r="K13" s="70" t="s">
        <v>87</v>
      </c>
    </row>
    <row r="14" spans="1:11" ht="15.75">
      <c r="A14" s="28" t="str">
        <v>Chelsea</v>
      </c>
      <c r="B14" s="29" t="str">
        <v>MA</v>
      </c>
      <c r="C14" s="24">
        <v>139486</v>
      </c>
      <c r="D14" s="13">
        <v>134564.20000000001</v>
      </c>
      <c r="E14" s="13">
        <f t="shared" si="0"/>
        <v>4921.7999999999884</v>
      </c>
      <c r="F14" s="14">
        <f t="shared" si="3"/>
        <v>3.6575850040352395E-2</v>
      </c>
      <c r="G14" s="15">
        <v>146687.6</v>
      </c>
      <c r="H14" s="15">
        <f t="shared" si="1"/>
        <v>-7201.6000000000058</v>
      </c>
      <c r="I14" s="16">
        <f t="shared" si="2"/>
        <v>-4.9094811013337222E-2</v>
      </c>
      <c r="J14" s="40" t="s">
        <v>88</v>
      </c>
      <c r="K14" s="40" t="s">
        <v>89</v>
      </c>
    </row>
    <row r="15" spans="1:11" ht="15.6">
      <c r="A15" s="30" t="str">
        <v>Hamilton Landfill</v>
      </c>
      <c r="B15" s="31" t="str">
        <v>MA</v>
      </c>
      <c r="C15" s="11">
        <v>109359.79</v>
      </c>
      <c r="D15" s="18">
        <v>116691.9</v>
      </c>
      <c r="E15" s="18">
        <f t="shared" si="0"/>
        <v>-7332.1100000000006</v>
      </c>
      <c r="F15" s="19">
        <f t="shared" si="3"/>
        <v>-6.2833067248026647E-2</v>
      </c>
      <c r="G15" s="20">
        <v>0</v>
      </c>
      <c r="H15" s="20">
        <f t="shared" si="1"/>
        <v>109359.79</v>
      </c>
      <c r="I15" s="19" t="str">
        <f t="shared" si="2"/>
        <v/>
      </c>
      <c r="J15" s="41"/>
      <c r="K15" s="42"/>
    </row>
    <row r="16" spans="1:11" ht="60.75">
      <c r="A16" s="28" t="str">
        <v>Holliston</v>
      </c>
      <c r="B16" s="29" t="str">
        <v>MA</v>
      </c>
      <c r="C16" s="24">
        <v>203202.5</v>
      </c>
      <c r="D16" s="13">
        <v>217775.9</v>
      </c>
      <c r="E16" s="13">
        <f t="shared" si="0"/>
        <v>-14573.399999999994</v>
      </c>
      <c r="F16" s="14">
        <f t="shared" si="3"/>
        <v>-6.6919250477210729E-2</v>
      </c>
      <c r="G16" s="15">
        <v>223764.6</v>
      </c>
      <c r="H16" s="15">
        <f t="shared" si="1"/>
        <v>-20562.100000000006</v>
      </c>
      <c r="I16" s="16">
        <f t="shared" si="2"/>
        <v>-9.1891657572288038E-2</v>
      </c>
      <c r="J16" s="40" t="s">
        <v>90</v>
      </c>
      <c r="K16" s="40" t="s">
        <v>91</v>
      </c>
    </row>
    <row r="17" spans="1:11" ht="15.6">
      <c r="A17" s="30" t="str">
        <v>Natick HS - Carports</v>
      </c>
      <c r="B17" s="31" t="str">
        <v>MA</v>
      </c>
      <c r="C17" s="11">
        <v>72728</v>
      </c>
      <c r="D17" s="18">
        <v>80794.899999999994</v>
      </c>
      <c r="E17" s="18">
        <f t="shared" si="0"/>
        <v>-8066.8999999999942</v>
      </c>
      <c r="F17" s="19">
        <f t="shared" si="3"/>
        <v>-9.9844173332722663E-2</v>
      </c>
      <c r="G17" s="20">
        <v>0</v>
      </c>
      <c r="H17" s="20">
        <f t="shared" si="1"/>
        <v>72728</v>
      </c>
      <c r="I17" s="19" t="str">
        <f t="shared" si="2"/>
        <v/>
      </c>
      <c r="J17" s="41"/>
      <c r="K17" s="42"/>
    </row>
    <row r="18" spans="1:11" ht="30.75">
      <c r="A18" s="32" t="str">
        <v>Norton</v>
      </c>
      <c r="B18" s="29" t="str">
        <v>MA</v>
      </c>
      <c r="C18" s="24">
        <v>8585</v>
      </c>
      <c r="D18" s="13">
        <v>8582.607</v>
      </c>
      <c r="E18" s="13">
        <f t="shared" si="0"/>
        <v>2.3930000000000291</v>
      </c>
      <c r="F18" s="14">
        <f t="shared" si="3"/>
        <v>2.7881971060774764E-4</v>
      </c>
      <c r="G18" s="15">
        <v>497513.2</v>
      </c>
      <c r="H18" s="15">
        <f t="shared" si="1"/>
        <v>-488928.2</v>
      </c>
      <c r="I18" s="16">
        <f t="shared" si="2"/>
        <v>-0.98274417643592171</v>
      </c>
      <c r="J18" s="40" t="s">
        <v>92</v>
      </c>
      <c r="K18" s="40" t="s">
        <v>93</v>
      </c>
    </row>
    <row r="19" spans="1:11" ht="15.6">
      <c r="A19" s="30" t="str">
        <v>Palmer - Boston Rd.</v>
      </c>
      <c r="B19" s="31" t="str">
        <v>MA</v>
      </c>
      <c r="C19" s="11">
        <v>67555</v>
      </c>
      <c r="D19" s="18">
        <v>61426.2</v>
      </c>
      <c r="E19" s="18">
        <f t="shared" si="0"/>
        <v>6128.8000000000029</v>
      </c>
      <c r="F19" s="19">
        <f t="shared" si="3"/>
        <v>9.9775014570329973E-2</v>
      </c>
      <c r="G19" s="20">
        <v>75993</v>
      </c>
      <c r="H19" s="20">
        <f t="shared" si="1"/>
        <v>-8438</v>
      </c>
      <c r="I19" s="19">
        <f t="shared" si="2"/>
        <v>-0.11103654283947206</v>
      </c>
      <c r="J19" s="41"/>
      <c r="K19" s="41"/>
    </row>
    <row r="20" spans="1:11" ht="30.75">
      <c r="A20" s="28" t="str">
        <v>Shirley Bartkus</v>
      </c>
      <c r="B20" s="29" t="str">
        <v>MA</v>
      </c>
      <c r="C20" s="24">
        <v>122856.5</v>
      </c>
      <c r="D20" s="13">
        <v>103482.6</v>
      </c>
      <c r="E20" s="13">
        <f t="shared" si="0"/>
        <v>19373.899999999994</v>
      </c>
      <c r="F20" s="14">
        <f t="shared" si="3"/>
        <v>0.18721891409763566</v>
      </c>
      <c r="G20" s="15">
        <v>124491</v>
      </c>
      <c r="H20" s="15">
        <f t="shared" si="1"/>
        <v>-1634.5</v>
      </c>
      <c r="I20" s="16">
        <f t="shared" si="2"/>
        <v>-1.312946317404471E-2</v>
      </c>
      <c r="J20" s="40" t="s">
        <v>94</v>
      </c>
      <c r="K20" s="40" t="s">
        <v>95</v>
      </c>
    </row>
    <row r="21" spans="1:11" ht="15.6">
      <c r="A21" s="30" t="str">
        <v>Stoughton</v>
      </c>
      <c r="B21" s="31" t="str">
        <v>MA</v>
      </c>
      <c r="C21" s="11">
        <v>97464.4870689651</v>
      </c>
      <c r="D21" s="18">
        <v>52017.09</v>
      </c>
      <c r="E21" s="18">
        <f t="shared" si="0"/>
        <v>45447.397068965103</v>
      </c>
      <c r="F21" s="19">
        <f t="shared" si="3"/>
        <v>0.87370125989295266</v>
      </c>
      <c r="G21" s="20">
        <v>99111.88</v>
      </c>
      <c r="H21" s="20">
        <f t="shared" si="1"/>
        <v>-1647.3929310349049</v>
      </c>
      <c r="I21" s="19">
        <f t="shared" si="2"/>
        <v>-1.6621548607845042E-2</v>
      </c>
      <c r="J21" s="41"/>
      <c r="K21" s="42"/>
    </row>
    <row r="22" spans="1:11" ht="31.5" customHeight="1">
      <c r="A22" s="28" t="str">
        <v>Wellfleet Landfill</v>
      </c>
      <c r="B22" s="29" t="str">
        <v>MA</v>
      </c>
      <c r="C22" s="24">
        <v>118025.8</v>
      </c>
      <c r="D22" s="13">
        <v>105212.8</v>
      </c>
      <c r="E22" s="13">
        <f t="shared" si="0"/>
        <v>12813</v>
      </c>
      <c r="F22" s="14">
        <f t="shared" si="3"/>
        <v>0.12178176039417257</v>
      </c>
      <c r="G22" s="15">
        <v>0</v>
      </c>
      <c r="H22" s="15">
        <f t="shared" si="1"/>
        <v>118025.8</v>
      </c>
      <c r="I22" s="16" t="str">
        <f t="shared" si="2"/>
        <v/>
      </c>
      <c r="J22" s="40" t="s">
        <v>96</v>
      </c>
      <c r="K22" s="40" t="s">
        <v>97</v>
      </c>
    </row>
    <row r="23" spans="1:11" ht="15.6">
      <c r="A23" s="30" t="str">
        <v>Wilmington Garage &amp; Building 7</v>
      </c>
      <c r="B23" s="31" t="str">
        <v>MA</v>
      </c>
      <c r="C23" s="11">
        <v>142289.125</v>
      </c>
      <c r="D23" s="18">
        <v>140358.39999999999</v>
      </c>
      <c r="E23" s="18">
        <f t="shared" si="0"/>
        <v>1930.7250000000058</v>
      </c>
      <c r="F23" s="19">
        <f t="shared" si="3"/>
        <v>1.3755678320642055E-2</v>
      </c>
      <c r="G23" s="20">
        <v>142807.70000000001</v>
      </c>
      <c r="H23" s="20">
        <f t="shared" si="1"/>
        <v>-518.57500000001164</v>
      </c>
      <c r="I23" s="19">
        <f t="shared" si="2"/>
        <v>-3.6312817866264325E-3</v>
      </c>
      <c r="J23" s="41"/>
      <c r="K23" s="42"/>
    </row>
    <row r="24" spans="1:11" ht="45.75">
      <c r="A24" s="28" t="str">
        <v>Woburn</v>
      </c>
      <c r="B24" s="29" t="str">
        <v>MA</v>
      </c>
      <c r="C24" s="24">
        <v>202155.89243027801</v>
      </c>
      <c r="D24" s="13">
        <v>200972.2</v>
      </c>
      <c r="E24" s="13">
        <f t="shared" si="0"/>
        <v>1183.6924302779953</v>
      </c>
      <c r="F24" s="14">
        <f t="shared" si="3"/>
        <v>5.8898316795954623E-3</v>
      </c>
      <c r="G24" s="15">
        <v>201468.7</v>
      </c>
      <c r="H24" s="15">
        <f t="shared" si="1"/>
        <v>687.1924302779953</v>
      </c>
      <c r="I24" s="16">
        <f t="shared" si="2"/>
        <v>3.410914103669678E-3</v>
      </c>
      <c r="J24" s="40" t="s">
        <v>98</v>
      </c>
      <c r="K24" s="40" t="s">
        <v>99</v>
      </c>
    </row>
    <row r="25" spans="1:11" ht="15.6">
      <c r="A25" s="30" t="str">
        <v>Friendship Solar 1</v>
      </c>
      <c r="B25" s="31" t="str">
        <v>MD</v>
      </c>
      <c r="C25" s="11">
        <v>393254</v>
      </c>
      <c r="D25" s="18">
        <v>412712.7</v>
      </c>
      <c r="E25" s="18">
        <f t="shared" si="0"/>
        <v>-19458.700000000012</v>
      </c>
      <c r="F25" s="19">
        <f t="shared" si="3"/>
        <v>-4.7148294685382862E-2</v>
      </c>
      <c r="G25" s="20">
        <v>516949.9</v>
      </c>
      <c r="H25" s="20">
        <f t="shared" si="1"/>
        <v>-123695.90000000002</v>
      </c>
      <c r="I25" s="19">
        <f t="shared" si="2"/>
        <v>-0.23928024746692092</v>
      </c>
      <c r="J25" s="41"/>
      <c r="K25" s="42"/>
    </row>
    <row r="26" spans="1:11" ht="15.75">
      <c r="A26" s="28" t="str">
        <v>Friendship Solar 2</v>
      </c>
      <c r="B26" s="29" t="str">
        <v>MD</v>
      </c>
      <c r="C26" s="24">
        <v>394264</v>
      </c>
      <c r="D26" s="13">
        <v>413111.8</v>
      </c>
      <c r="E26" s="13">
        <f t="shared" si="0"/>
        <v>-18847.799999999988</v>
      </c>
      <c r="F26" s="14">
        <f t="shared" si="3"/>
        <v>-4.5623969104731425E-2</v>
      </c>
      <c r="G26" s="15">
        <v>503238.6</v>
      </c>
      <c r="H26" s="15">
        <f t="shared" si="1"/>
        <v>-108974.59999999998</v>
      </c>
      <c r="I26" s="16">
        <f t="shared" si="2"/>
        <v>-0.21654658446311548</v>
      </c>
      <c r="J26" s="40"/>
      <c r="K26" s="40"/>
    </row>
    <row r="27" spans="1:11" ht="16.5">
      <c r="A27" s="30" t="str">
        <v>101 Carnegie Center</v>
      </c>
      <c r="B27" s="31" t="str">
        <v>NJ</v>
      </c>
      <c r="C27" s="11">
        <v>176267.28</v>
      </c>
      <c r="D27" s="18">
        <v>199303.32</v>
      </c>
      <c r="E27" s="18">
        <f t="shared" si="0"/>
        <v>-23036.040000000008</v>
      </c>
      <c r="F27" s="19">
        <f t="shared" si="3"/>
        <v>-0.1155828211993659</v>
      </c>
      <c r="G27" s="20">
        <v>0</v>
      </c>
      <c r="H27" s="20">
        <f t="shared" si="1"/>
        <v>176267.28</v>
      </c>
      <c r="I27" s="19" t="str">
        <f t="shared" si="2"/>
        <v/>
      </c>
      <c r="J27" s="41" t="s">
        <v>100</v>
      </c>
      <c r="K27" s="42" t="s">
        <v>101</v>
      </c>
    </row>
    <row r="28" spans="1:11" ht="15.75">
      <c r="A28" s="28" t="str">
        <v>302 Carnegie Center</v>
      </c>
      <c r="B28" s="29" t="str">
        <v>NJ</v>
      </c>
      <c r="C28" s="24">
        <v>75863.199999999997</v>
      </c>
      <c r="D28" s="13">
        <v>80034.5</v>
      </c>
      <c r="E28" s="13">
        <f t="shared" si="0"/>
        <v>-4171.3000000000029</v>
      </c>
      <c r="F28" s="14">
        <f t="shared" si="3"/>
        <v>-5.2118773778807928E-2</v>
      </c>
      <c r="G28" s="15">
        <v>0</v>
      </c>
      <c r="H28" s="15">
        <f t="shared" si="1"/>
        <v>75863.199999999997</v>
      </c>
      <c r="I28" s="16" t="str">
        <f t="shared" si="2"/>
        <v/>
      </c>
      <c r="J28" s="40"/>
      <c r="K28" s="40"/>
    </row>
    <row r="29" spans="1:11" ht="16.5">
      <c r="A29" s="30" t="str">
        <v>510 Carnegie Center</v>
      </c>
      <c r="B29" s="31" t="str">
        <v>NJ</v>
      </c>
      <c r="C29" s="11">
        <v>191960</v>
      </c>
      <c r="D29" s="18">
        <v>208228.6</v>
      </c>
      <c r="E29" s="18">
        <f t="shared" si="0"/>
        <v>-16268.600000000006</v>
      </c>
      <c r="F29" s="19">
        <f t="shared" si="3"/>
        <v>-7.8128556788068529E-2</v>
      </c>
      <c r="G29" s="20">
        <v>0</v>
      </c>
      <c r="H29" s="20">
        <f t="shared" si="1"/>
        <v>191960</v>
      </c>
      <c r="I29" s="19" t="str">
        <f t="shared" si="2"/>
        <v/>
      </c>
      <c r="J29" s="41" t="s">
        <v>102</v>
      </c>
      <c r="K29" s="42" t="s">
        <v>103</v>
      </c>
    </row>
    <row r="30" spans="1:11" ht="15.75">
      <c r="A30" s="28" t="str">
        <v>701 Carnegie Center</v>
      </c>
      <c r="B30" s="29" t="str">
        <v>NJ</v>
      </c>
      <c r="C30" s="24">
        <v>150226.1</v>
      </c>
      <c r="D30" s="13">
        <v>170131.47</v>
      </c>
      <c r="E30" s="13">
        <f t="shared" si="0"/>
        <v>-19905.369999999995</v>
      </c>
      <c r="F30" s="14">
        <f t="shared" si="3"/>
        <v>-0.11699992952509018</v>
      </c>
      <c r="G30" s="15">
        <v>0</v>
      </c>
      <c r="H30" s="15">
        <f t="shared" si="1"/>
        <v>150226.1</v>
      </c>
      <c r="I30" s="16" t="str">
        <f t="shared" si="2"/>
        <v/>
      </c>
      <c r="J30" s="40"/>
      <c r="K30" s="40"/>
    </row>
    <row r="31" spans="1:11" ht="15.75">
      <c r="A31" s="30" t="str">
        <v>Hudson County Correction</v>
      </c>
      <c r="B31" s="31" t="str">
        <v>NJ</v>
      </c>
      <c r="C31" s="11">
        <v>202450.28689015401</v>
      </c>
      <c r="D31" s="18">
        <v>174560.3</v>
      </c>
      <c r="E31" s="18">
        <f t="shared" si="0"/>
        <v>27889.986890154018</v>
      </c>
      <c r="F31" s="19">
        <f t="shared" si="3"/>
        <v>0.15977279421583268</v>
      </c>
      <c r="G31" s="20">
        <v>212251.8</v>
      </c>
      <c r="H31" s="20">
        <f t="shared" si="1"/>
        <v>-9801.5131098459824</v>
      </c>
      <c r="I31" s="19">
        <f t="shared" si="2"/>
        <v>-4.617870430237097E-2</v>
      </c>
      <c r="J31" s="41" t="s">
        <v>104</v>
      </c>
      <c r="K31" s="41" t="s">
        <v>105</v>
      </c>
    </row>
    <row r="32" spans="1:11" ht="45.75">
      <c r="A32" s="28" t="str">
        <v>ER Bison Solar</v>
      </c>
      <c r="B32" s="29" t="str">
        <v>PA</v>
      </c>
      <c r="C32" s="24">
        <v>195894</v>
      </c>
      <c r="D32" s="13">
        <v>0</v>
      </c>
      <c r="E32" s="13">
        <f t="shared" si="0"/>
        <v>195894</v>
      </c>
      <c r="F32" s="14" t="str">
        <f t="shared" si="3"/>
        <v/>
      </c>
      <c r="G32" s="15">
        <v>216099</v>
      </c>
      <c r="H32" s="15">
        <f t="shared" si="1"/>
        <v>-20205</v>
      </c>
      <c r="I32" s="16">
        <f t="shared" si="2"/>
        <v>-9.3498813044021495E-2</v>
      </c>
      <c r="J32" s="40" t="s">
        <v>106</v>
      </c>
      <c r="K32" s="40" t="s">
        <v>107</v>
      </c>
    </row>
    <row r="33" spans="1:11" ht="15.75">
      <c r="A33" s="30" t="str">
        <v>Danville</v>
      </c>
      <c r="B33" s="31" t="str">
        <v>IL</v>
      </c>
      <c r="C33" s="11">
        <v>325902.38</v>
      </c>
      <c r="D33" s="18">
        <v>0</v>
      </c>
      <c r="E33" s="18">
        <f t="shared" si="0"/>
        <v>325902.38</v>
      </c>
      <c r="F33" s="19" t="str">
        <f t="shared" si="3"/>
        <v/>
      </c>
      <c r="G33" s="20">
        <v>0</v>
      </c>
      <c r="H33" s="20">
        <f t="shared" si="1"/>
        <v>325902.38</v>
      </c>
      <c r="I33" s="19" t="str">
        <f t="shared" si="2"/>
        <v/>
      </c>
      <c r="J33" s="41"/>
      <c r="K33" s="42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45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39" priority="3" stopIfTrue="1" operator="lessThanOrEqual">
      <formula>-0.1</formula>
    </cfRule>
    <cfRule type="expression" dxfId="38" priority="4">
      <formula>AND(ISNUMBER(F2), F2&gt;=0.1)</formula>
    </cfRule>
  </conditionalFormatting>
  <conditionalFormatting sqref="F4:F100 I4:I100">
    <cfRule type="cellIs" dxfId="37" priority="1" stopIfTrue="1" operator="lessThanOrEqual">
      <formula>-0.1</formula>
    </cfRule>
    <cfRule type="expression" dxfId="36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42"/>
  <sheetViews>
    <sheetView workbookViewId="0">
      <pane xSplit="2" ySplit="3" topLeftCell="C29" activePane="bottomRight" state="frozen"/>
      <selection pane="bottomRight" activeCell="J29" sqref="J29"/>
      <selection pane="bottomLeft" activeCell="G30" sqref="G30"/>
      <selection pane="topRight" activeCell="G30" sqref="G30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9" t="str" cm="1">
        <f t="array" ref="A1">portfolio</f>
        <v>Greenbacker</v>
      </c>
      <c r="B1" s="79"/>
      <c r="C1" s="79"/>
      <c r="D1" s="80" t="s">
        <v>108</v>
      </c>
      <c r="E1" s="80"/>
      <c r="F1" s="80"/>
      <c r="G1" s="78" t="s">
        <v>109</v>
      </c>
      <c r="H1" s="78"/>
      <c r="I1" s="78"/>
      <c r="J1" s="4"/>
      <c r="K1" s="4"/>
    </row>
    <row r="2" spans="1:11" ht="19.5" customHeight="1">
      <c r="A2" s="81" t="s">
        <v>2</v>
      </c>
      <c r="B2" s="81"/>
      <c r="C2" s="5">
        <f>SUM(C4:C100)</f>
        <v>4473317.8996098461</v>
      </c>
      <c r="D2" s="5">
        <f>SUM(D4:D100)</f>
        <v>3869725.6759999995</v>
      </c>
      <c r="E2" s="5">
        <f>C2-D2</f>
        <v>603592.22360984655</v>
      </c>
      <c r="F2" s="6">
        <f>IFERROR(E2/D2, 0)</f>
        <v>0.15597803930994891</v>
      </c>
      <c r="G2" s="5">
        <f>SUM(G4:G100)</f>
        <v>6372815.6499999994</v>
      </c>
      <c r="H2" s="7">
        <f>C2-G2</f>
        <v>-1899497.7503901534</v>
      </c>
      <c r="I2" s="6">
        <f>IFERROR(H2/G2, 0)</f>
        <v>-0.29806256052458596</v>
      </c>
      <c r="J2" s="26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33">Sites[Site]</f>
        <v>10 Walpole Park South</v>
      </c>
      <c r="B4" s="29" t="str" cm="1">
        <f t="array" ref="B4:B33">Sites[State]</f>
        <v>MA</v>
      </c>
      <c r="C4" s="24">
        <v>18870.1875</v>
      </c>
      <c r="D4" s="13">
        <v>17653.89</v>
      </c>
      <c r="E4" s="13">
        <f>IF(AND(ISNUMBER(C4),ISNUMBER(D4)), C4-D4, "")</f>
        <v>1216.2975000000006</v>
      </c>
      <c r="F4" s="14">
        <f>IFERROR(E4/D4, "")</f>
        <v>6.8896855027418921E-2</v>
      </c>
      <c r="G4" s="15">
        <v>20152.78</v>
      </c>
      <c r="H4" s="15">
        <f>IF(AND(ISNUMBER(C4),ISNUMBER(G4)), C4-G4, "")</f>
        <v>-1282.5924999999988</v>
      </c>
      <c r="I4" s="16">
        <f>IFERROR(H4/G4, "")</f>
        <v>-6.3643452665091318E-2</v>
      </c>
      <c r="J4" s="40"/>
      <c r="K4" s="40"/>
    </row>
    <row r="5" spans="1:11" ht="15.6">
      <c r="A5" s="30" t="str">
        <v>15 Walpole Park South</v>
      </c>
      <c r="B5" s="31" t="str">
        <v>MA</v>
      </c>
      <c r="C5" s="11">
        <v>68494.5</v>
      </c>
      <c r="D5" s="18">
        <v>65531.46</v>
      </c>
      <c r="E5" s="18">
        <f t="shared" ref="E5:E33" si="0">IF(AND(ISNUMBER(C5),ISNUMBER(D5)), C5-D5, "")</f>
        <v>2963.0400000000009</v>
      </c>
      <c r="F5" s="19">
        <f>IFERROR(E5/D5, "")</f>
        <v>4.5215534645496998E-2</v>
      </c>
      <c r="G5" s="20">
        <v>71515.53</v>
      </c>
      <c r="H5" s="20">
        <f t="shared" ref="H5:H33" si="1">IF(AND(ISNUMBER(C5),ISNUMBER(G5)), C5-G5, "")</f>
        <v>-3021.0299999999988</v>
      </c>
      <c r="I5" s="19">
        <f t="shared" ref="I5:I33" si="2">IFERROR(H5/G5, "")</f>
        <v>-4.2242992536026772E-2</v>
      </c>
      <c r="J5" s="41"/>
      <c r="K5" s="41"/>
    </row>
    <row r="6" spans="1:11" ht="15.6">
      <c r="A6" s="28" t="str">
        <v>19 Walpole Park South</v>
      </c>
      <c r="B6" s="29" t="str">
        <v>MA</v>
      </c>
      <c r="C6" s="24">
        <v>43511.625</v>
      </c>
      <c r="D6" s="13">
        <v>40299.69</v>
      </c>
      <c r="E6" s="13">
        <f t="shared" si="0"/>
        <v>3211.9349999999977</v>
      </c>
      <c r="F6" s="14">
        <f t="shared" ref="F6:F33" si="3">IFERROR(E6/D6, "")</f>
        <v>7.9701233433805502E-2</v>
      </c>
      <c r="G6" s="15">
        <v>45357.919999999998</v>
      </c>
      <c r="H6" s="15">
        <f t="shared" si="1"/>
        <v>-1846.2949999999983</v>
      </c>
      <c r="I6" s="16">
        <f t="shared" si="2"/>
        <v>-4.0705019101404963E-2</v>
      </c>
      <c r="J6" s="40"/>
      <c r="K6" s="40"/>
    </row>
    <row r="7" spans="1:11" ht="15.6">
      <c r="A7" s="30" t="str">
        <v>23 Walpole Park South</v>
      </c>
      <c r="B7" s="31" t="str">
        <v>MA</v>
      </c>
      <c r="C7" s="11">
        <v>59620.5</v>
      </c>
      <c r="D7" s="18">
        <v>52342.5</v>
      </c>
      <c r="E7" s="18">
        <f t="shared" si="0"/>
        <v>7278</v>
      </c>
      <c r="F7" s="19">
        <f t="shared" si="3"/>
        <v>0.13904570855423412</v>
      </c>
      <c r="G7" s="20">
        <v>59960.62</v>
      </c>
      <c r="H7" s="20">
        <f t="shared" si="1"/>
        <v>-340.12000000000262</v>
      </c>
      <c r="I7" s="19">
        <f t="shared" si="2"/>
        <v>-5.6723896450704249E-3</v>
      </c>
      <c r="J7" s="41"/>
      <c r="K7" s="42"/>
    </row>
    <row r="8" spans="1:11" ht="15.75">
      <c r="A8" s="28" t="str">
        <v>24 Walpole Park South</v>
      </c>
      <c r="B8" s="29" t="str">
        <v>MA</v>
      </c>
      <c r="C8" s="24">
        <v>84188.5</v>
      </c>
      <c r="D8" s="13">
        <v>74470.679999999993</v>
      </c>
      <c r="E8" s="13">
        <f t="shared" si="0"/>
        <v>9717.820000000007</v>
      </c>
      <c r="F8" s="14">
        <f t="shared" si="3"/>
        <v>0.13049189291678293</v>
      </c>
      <c r="G8" s="15">
        <v>92156.27</v>
      </c>
      <c r="H8" s="15">
        <f t="shared" si="1"/>
        <v>-7967.7700000000041</v>
      </c>
      <c r="I8" s="16">
        <f t="shared" si="2"/>
        <v>-8.6459336950160892E-2</v>
      </c>
      <c r="J8" s="40" t="s">
        <v>110</v>
      </c>
      <c r="K8" s="40" t="s">
        <v>111</v>
      </c>
    </row>
    <row r="9" spans="1:11" ht="15.6">
      <c r="A9" s="30" t="str">
        <v>25 Walpole Park South</v>
      </c>
      <c r="B9" s="31" t="str">
        <v>MA</v>
      </c>
      <c r="C9" s="11">
        <v>88315</v>
      </c>
      <c r="D9" s="18">
        <v>79615.64</v>
      </c>
      <c r="E9" s="18">
        <f t="shared" si="0"/>
        <v>8699.36</v>
      </c>
      <c r="F9" s="19">
        <f t="shared" si="3"/>
        <v>0.10926697317260781</v>
      </c>
      <c r="G9" s="20">
        <v>93376.17</v>
      </c>
      <c r="H9" s="20">
        <f t="shared" si="1"/>
        <v>-5061.1699999999983</v>
      </c>
      <c r="I9" s="19">
        <f t="shared" si="2"/>
        <v>-5.4201944671750817E-2</v>
      </c>
      <c r="J9" s="41"/>
      <c r="K9" s="42"/>
    </row>
    <row r="10" spans="1:11" ht="30.75">
      <c r="A10" s="28" t="str">
        <v>3 Walpole Park South</v>
      </c>
      <c r="B10" s="29" t="str">
        <v>MA</v>
      </c>
      <c r="C10" s="24">
        <v>111481.5</v>
      </c>
      <c r="D10" s="13">
        <v>100346.7</v>
      </c>
      <c r="E10" s="13">
        <f t="shared" si="0"/>
        <v>11134.800000000003</v>
      </c>
      <c r="F10" s="14">
        <f t="shared" si="3"/>
        <v>0.11096329027262485</v>
      </c>
      <c r="G10" s="15">
        <v>111938.2</v>
      </c>
      <c r="H10" s="15">
        <f t="shared" si="1"/>
        <v>-456.69999999999709</v>
      </c>
      <c r="I10" s="16">
        <f t="shared" si="2"/>
        <v>-4.079929818417637E-3</v>
      </c>
      <c r="J10" s="40" t="s">
        <v>112</v>
      </c>
      <c r="K10" s="40" t="s">
        <v>113</v>
      </c>
    </row>
    <row r="11" spans="1:11" ht="15.6">
      <c r="A11" s="30" t="str">
        <v>4 Walpole Park South</v>
      </c>
      <c r="B11" s="31" t="str">
        <v>MA</v>
      </c>
      <c r="C11" s="11">
        <v>60084</v>
      </c>
      <c r="D11" s="18">
        <v>55362.13</v>
      </c>
      <c r="E11" s="18">
        <f t="shared" si="0"/>
        <v>4721.8700000000026</v>
      </c>
      <c r="F11" s="19">
        <f t="shared" si="3"/>
        <v>8.5290612915362954E-2</v>
      </c>
      <c r="G11" s="20">
        <v>61121.96</v>
      </c>
      <c r="H11" s="20">
        <f t="shared" si="1"/>
        <v>-1037.9599999999991</v>
      </c>
      <c r="I11" s="19">
        <f t="shared" si="2"/>
        <v>-1.6981785269974969E-2</v>
      </c>
      <c r="J11" s="41"/>
      <c r="K11" s="42"/>
    </row>
    <row r="12" spans="1:11" ht="45.75">
      <c r="A12" s="28" t="str">
        <v>Brockton</v>
      </c>
      <c r="B12" s="29" t="str">
        <v>MA</v>
      </c>
      <c r="C12" s="24">
        <v>93219</v>
      </c>
      <c r="D12" s="13">
        <v>84494.77</v>
      </c>
      <c r="E12" s="13">
        <f t="shared" si="0"/>
        <v>8724.2299999999959</v>
      </c>
      <c r="F12" s="14">
        <f t="shared" si="3"/>
        <v>0.10325171605295802</v>
      </c>
      <c r="G12" s="15">
        <v>103804.7</v>
      </c>
      <c r="H12" s="15">
        <f t="shared" si="1"/>
        <v>-10585.699999999997</v>
      </c>
      <c r="I12" s="16">
        <f t="shared" si="2"/>
        <v>-0.10197707810918</v>
      </c>
      <c r="J12" s="40" t="s">
        <v>114</v>
      </c>
      <c r="K12" s="40" t="s">
        <v>115</v>
      </c>
    </row>
    <row r="13" spans="1:11" ht="15.6">
      <c r="A13" s="30" t="str">
        <v>Canton</v>
      </c>
      <c r="B13" s="31" t="str">
        <v>MA</v>
      </c>
      <c r="C13" s="11">
        <v>95888</v>
      </c>
      <c r="D13" s="18">
        <v>88179.36</v>
      </c>
      <c r="E13" s="18">
        <f t="shared" si="0"/>
        <v>7708.6399999999994</v>
      </c>
      <c r="F13" s="19">
        <f t="shared" si="3"/>
        <v>8.7420003955574171E-2</v>
      </c>
      <c r="G13" s="20">
        <v>102551.3</v>
      </c>
      <c r="H13" s="20">
        <f t="shared" si="1"/>
        <v>-6663.3000000000029</v>
      </c>
      <c r="I13" s="19">
        <f t="shared" si="2"/>
        <v>-6.4975285540017566E-2</v>
      </c>
      <c r="J13" s="41"/>
      <c r="K13" s="42"/>
    </row>
    <row r="14" spans="1:11" ht="15.6">
      <c r="A14" s="28" t="str">
        <v>Chelsea</v>
      </c>
      <c r="B14" s="29" t="str">
        <v>MA</v>
      </c>
      <c r="C14" s="24">
        <v>166159.50000000099</v>
      </c>
      <c r="D14" s="13">
        <v>161097.1</v>
      </c>
      <c r="E14" s="13">
        <f t="shared" si="0"/>
        <v>5062.4000000009837</v>
      </c>
      <c r="F14" s="14">
        <f t="shared" si="3"/>
        <v>3.1424525953608E-2</v>
      </c>
      <c r="G14" s="15">
        <v>164347.20000000001</v>
      </c>
      <c r="H14" s="15">
        <f t="shared" si="1"/>
        <v>1812.3000000009779</v>
      </c>
      <c r="I14" s="16">
        <f t="shared" si="2"/>
        <v>1.1027264230853814E-2</v>
      </c>
      <c r="J14" s="40"/>
      <c r="K14" s="40"/>
    </row>
    <row r="15" spans="1:11" ht="15.6">
      <c r="A15" s="30" t="str">
        <v>Hamilton Landfill</v>
      </c>
      <c r="B15" s="31" t="str">
        <v>MA</v>
      </c>
      <c r="C15" s="11">
        <v>127791.3</v>
      </c>
      <c r="D15" s="18">
        <v>134449.60000000001</v>
      </c>
      <c r="E15" s="18">
        <f t="shared" si="0"/>
        <v>-6658.3000000000029</v>
      </c>
      <c r="F15" s="19">
        <f t="shared" si="3"/>
        <v>-4.9522646404303192E-2</v>
      </c>
      <c r="G15" s="20">
        <v>0</v>
      </c>
      <c r="H15" s="20">
        <f t="shared" si="1"/>
        <v>127791.3</v>
      </c>
      <c r="I15" s="19" t="str">
        <f t="shared" si="2"/>
        <v/>
      </c>
      <c r="J15" s="41"/>
      <c r="K15" s="42"/>
    </row>
    <row r="16" spans="1:11" ht="30.75">
      <c r="A16" s="28" t="str">
        <v>Holliston</v>
      </c>
      <c r="B16" s="29" t="str">
        <v>MA</v>
      </c>
      <c r="C16" s="24">
        <v>238773</v>
      </c>
      <c r="D16" s="13">
        <v>271207.09999999998</v>
      </c>
      <c r="E16" s="13">
        <f t="shared" si="0"/>
        <v>-32434.099999999977</v>
      </c>
      <c r="F16" s="14">
        <f t="shared" si="3"/>
        <v>-0.11959163310990006</v>
      </c>
      <c r="G16" s="15">
        <v>281565.2</v>
      </c>
      <c r="H16" s="15">
        <f t="shared" si="1"/>
        <v>-42792.200000000012</v>
      </c>
      <c r="I16" s="16">
        <f t="shared" si="2"/>
        <v>-0.15197971908460281</v>
      </c>
      <c r="J16" s="40" t="s">
        <v>116</v>
      </c>
      <c r="K16" s="40" t="s">
        <v>117</v>
      </c>
    </row>
    <row r="17" spans="1:11" ht="15.6">
      <c r="A17" s="30" t="str">
        <v>Natick HS - Carports</v>
      </c>
      <c r="B17" s="31" t="str">
        <v>MA</v>
      </c>
      <c r="C17" s="11">
        <v>85420.7</v>
      </c>
      <c r="D17" s="18">
        <v>95687.9</v>
      </c>
      <c r="E17" s="18">
        <f t="shared" si="0"/>
        <v>-10267.199999999997</v>
      </c>
      <c r="F17" s="19">
        <f t="shared" si="3"/>
        <v>-0.10729883297679224</v>
      </c>
      <c r="G17" s="20">
        <v>0</v>
      </c>
      <c r="H17" s="20">
        <f t="shared" si="1"/>
        <v>85420.7</v>
      </c>
      <c r="I17" s="19" t="str">
        <f t="shared" si="2"/>
        <v/>
      </c>
      <c r="J17" s="41"/>
      <c r="K17" s="42"/>
    </row>
    <row r="18" spans="1:11" ht="33.75" customHeight="1">
      <c r="A18" s="76" t="str">
        <v>Norton</v>
      </c>
      <c r="B18" s="29" t="str">
        <v>MA</v>
      </c>
      <c r="C18" s="24">
        <v>0</v>
      </c>
      <c r="D18" s="13">
        <v>0</v>
      </c>
      <c r="E18" s="13">
        <f t="shared" si="0"/>
        <v>0</v>
      </c>
      <c r="F18" s="14" t="str">
        <f t="shared" si="3"/>
        <v/>
      </c>
      <c r="G18" s="15">
        <v>595612.5</v>
      </c>
      <c r="H18" s="15">
        <f t="shared" si="1"/>
        <v>-595612.5</v>
      </c>
      <c r="I18" s="16">
        <f t="shared" si="2"/>
        <v>-1</v>
      </c>
      <c r="J18" s="40" t="s">
        <v>92</v>
      </c>
      <c r="K18" s="40" t="s">
        <v>93</v>
      </c>
    </row>
    <row r="19" spans="1:11" ht="15.75">
      <c r="A19" s="30" t="str">
        <v>Palmer - Boston Rd.</v>
      </c>
      <c r="B19" s="31" t="str">
        <v>MA</v>
      </c>
      <c r="C19" s="11">
        <v>82642.5</v>
      </c>
      <c r="D19" s="18">
        <v>71216.7</v>
      </c>
      <c r="E19" s="18">
        <f t="shared" si="0"/>
        <v>11425.800000000003</v>
      </c>
      <c r="F19" s="19">
        <f t="shared" si="3"/>
        <v>0.16043708849188468</v>
      </c>
      <c r="G19" s="20">
        <v>81652</v>
      </c>
      <c r="H19" s="20">
        <f t="shared" si="1"/>
        <v>990.5</v>
      </c>
      <c r="I19" s="19">
        <f t="shared" si="2"/>
        <v>1.2130750012247097E-2</v>
      </c>
      <c r="J19" s="77" t="s">
        <v>118</v>
      </c>
      <c r="K19" s="41" t="s">
        <v>119</v>
      </c>
    </row>
    <row r="20" spans="1:11" ht="30.75">
      <c r="A20" s="28" t="str">
        <v>Shirley Bartkus</v>
      </c>
      <c r="B20" s="29" t="str">
        <v>MA</v>
      </c>
      <c r="C20" s="24">
        <v>133912.99999999901</v>
      </c>
      <c r="D20" s="13">
        <v>102417.7</v>
      </c>
      <c r="E20" s="13">
        <f t="shared" si="0"/>
        <v>31495.299999999013</v>
      </c>
      <c r="F20" s="14">
        <f t="shared" si="3"/>
        <v>0.30751813407251888</v>
      </c>
      <c r="G20" s="15">
        <v>135175</v>
      </c>
      <c r="H20" s="15">
        <f t="shared" si="1"/>
        <v>-1262.0000000009895</v>
      </c>
      <c r="I20" s="16">
        <f t="shared" si="2"/>
        <v>-9.3360458664767127E-3</v>
      </c>
      <c r="J20" s="40" t="s">
        <v>94</v>
      </c>
      <c r="K20" s="40" t="s">
        <v>95</v>
      </c>
    </row>
    <row r="21" spans="1:11" ht="15.6">
      <c r="A21" s="30" t="str">
        <v>Stoughton</v>
      </c>
      <c r="B21" s="31" t="str">
        <v>MA</v>
      </c>
      <c r="C21" s="11">
        <v>111148</v>
      </c>
      <c r="D21" s="18">
        <v>61788.73</v>
      </c>
      <c r="E21" s="18">
        <f t="shared" si="0"/>
        <v>49359.27</v>
      </c>
      <c r="F21" s="19">
        <f t="shared" si="3"/>
        <v>0.79883936763225261</v>
      </c>
      <c r="G21" s="20">
        <v>113543.2</v>
      </c>
      <c r="H21" s="20">
        <f t="shared" si="1"/>
        <v>-2395.1999999999971</v>
      </c>
      <c r="I21" s="19">
        <f t="shared" si="2"/>
        <v>-2.1095054569538266E-2</v>
      </c>
      <c r="J21" s="41"/>
      <c r="K21" s="42"/>
    </row>
    <row r="22" spans="1:11" ht="15.6">
      <c r="A22" s="28" t="str">
        <v>Wellfleet Landfill</v>
      </c>
      <c r="B22" s="29" t="str">
        <v>MA</v>
      </c>
      <c r="C22" s="24">
        <v>136743.9</v>
      </c>
      <c r="D22" s="13">
        <v>126581.05</v>
      </c>
      <c r="E22" s="13">
        <f t="shared" si="0"/>
        <v>10162.849999999991</v>
      </c>
      <c r="F22" s="14">
        <f t="shared" si="3"/>
        <v>8.0287294188190028E-2</v>
      </c>
      <c r="G22" s="15">
        <v>0</v>
      </c>
      <c r="H22" s="15">
        <f t="shared" si="1"/>
        <v>136743.9</v>
      </c>
      <c r="I22" s="16" t="str">
        <f t="shared" si="2"/>
        <v/>
      </c>
      <c r="J22" s="40"/>
      <c r="K22" s="40"/>
    </row>
    <row r="23" spans="1:11" ht="30.75">
      <c r="A23" s="30" t="str">
        <v>Wilmington Garage &amp; Building 7</v>
      </c>
      <c r="B23" s="31" t="str">
        <v>MA</v>
      </c>
      <c r="C23" s="11">
        <v>161283.625</v>
      </c>
      <c r="D23" s="18">
        <v>159042.9</v>
      </c>
      <c r="E23" s="18">
        <f t="shared" si="0"/>
        <v>2240.7250000000058</v>
      </c>
      <c r="F23" s="19">
        <f t="shared" si="3"/>
        <v>1.4088808742798364E-2</v>
      </c>
      <c r="G23" s="20">
        <v>180417.1</v>
      </c>
      <c r="H23" s="20">
        <f t="shared" si="1"/>
        <v>-19133.475000000006</v>
      </c>
      <c r="I23" s="19">
        <f t="shared" si="2"/>
        <v>-0.10605133881433636</v>
      </c>
      <c r="J23" s="41" t="s">
        <v>120</v>
      </c>
      <c r="K23" s="71" t="s">
        <v>121</v>
      </c>
    </row>
    <row r="24" spans="1:11" ht="15.75">
      <c r="A24" s="28" t="str">
        <v>Woburn</v>
      </c>
      <c r="B24" s="29" t="str">
        <v>MA</v>
      </c>
      <c r="C24" s="24">
        <v>227766</v>
      </c>
      <c r="D24" s="13">
        <v>220793.8</v>
      </c>
      <c r="E24" s="13">
        <f t="shared" si="0"/>
        <v>6972.2000000000116</v>
      </c>
      <c r="F24" s="14">
        <f t="shared" si="3"/>
        <v>3.157787945132523E-2</v>
      </c>
      <c r="G24" s="15">
        <v>256809</v>
      </c>
      <c r="H24" s="15">
        <f t="shared" si="1"/>
        <v>-29043</v>
      </c>
      <c r="I24" s="16">
        <f t="shared" si="2"/>
        <v>-0.11309183089377708</v>
      </c>
      <c r="J24" s="40" t="s">
        <v>122</v>
      </c>
      <c r="K24" s="40" t="s">
        <v>123</v>
      </c>
    </row>
    <row r="25" spans="1:11" ht="15.75">
      <c r="A25" s="30" t="str">
        <v>Friendship Solar 1</v>
      </c>
      <c r="B25" s="31" t="str">
        <v>MD</v>
      </c>
      <c r="C25" s="11">
        <v>406608</v>
      </c>
      <c r="D25" s="18">
        <v>438724.1</v>
      </c>
      <c r="E25" s="18">
        <f t="shared" si="0"/>
        <v>-32116.099999999977</v>
      </c>
      <c r="F25" s="19">
        <f t="shared" si="3"/>
        <v>-7.3203409614379461E-2</v>
      </c>
      <c r="G25" s="20">
        <v>577160.69999999995</v>
      </c>
      <c r="H25" s="20">
        <f t="shared" si="1"/>
        <v>-170552.69999999995</v>
      </c>
      <c r="I25" s="19">
        <f t="shared" si="2"/>
        <v>-0.29550296823744232</v>
      </c>
      <c r="J25" s="41" t="s">
        <v>124</v>
      </c>
      <c r="K25" s="41" t="s">
        <v>125</v>
      </c>
    </row>
    <row r="26" spans="1:11" ht="15.75">
      <c r="A26" s="28" t="str">
        <v>Friendship Solar 2</v>
      </c>
      <c r="B26" s="29" t="str">
        <v>MD</v>
      </c>
      <c r="C26" s="24">
        <v>408961</v>
      </c>
      <c r="D26" s="13">
        <v>437754.2</v>
      </c>
      <c r="E26" s="13">
        <f t="shared" si="0"/>
        <v>-28793.200000000012</v>
      </c>
      <c r="F26" s="14">
        <f t="shared" si="3"/>
        <v>-6.5774811526651281E-2</v>
      </c>
      <c r="G26" s="15">
        <v>566911.30000000005</v>
      </c>
      <c r="H26" s="15">
        <f t="shared" si="1"/>
        <v>-157950.30000000005</v>
      </c>
      <c r="I26" s="16">
        <f t="shared" si="2"/>
        <v>-0.27861554356034185</v>
      </c>
      <c r="J26" s="40" t="s">
        <v>124</v>
      </c>
      <c r="K26" s="40" t="s">
        <v>126</v>
      </c>
    </row>
    <row r="27" spans="1:11" ht="32.25">
      <c r="A27" s="30" t="str">
        <v>101 Carnegie Center</v>
      </c>
      <c r="B27" s="31" t="str">
        <v>NJ</v>
      </c>
      <c r="C27" s="11">
        <v>178862.68</v>
      </c>
      <c r="D27" s="18">
        <v>220273.64</v>
      </c>
      <c r="E27" s="18">
        <f t="shared" si="0"/>
        <v>-41410.960000000021</v>
      </c>
      <c r="F27" s="19">
        <f t="shared" si="3"/>
        <v>-0.18799780128026222</v>
      </c>
      <c r="G27" s="20">
        <v>0</v>
      </c>
      <c r="H27" s="20">
        <f t="shared" si="1"/>
        <v>178862.68</v>
      </c>
      <c r="I27" s="19" t="str">
        <f t="shared" si="2"/>
        <v/>
      </c>
      <c r="J27" s="41" t="s">
        <v>127</v>
      </c>
      <c r="K27" s="42" t="s">
        <v>128</v>
      </c>
    </row>
    <row r="28" spans="1:11" ht="15.6">
      <c r="A28" s="28" t="str">
        <v>302 Carnegie Center</v>
      </c>
      <c r="B28" s="29" t="str">
        <v>NJ</v>
      </c>
      <c r="C28" s="24">
        <v>78094.210000000006</v>
      </c>
      <c r="D28" s="13">
        <v>81733.02</v>
      </c>
      <c r="E28" s="13">
        <f t="shared" si="0"/>
        <v>-3638.8099999999977</v>
      </c>
      <c r="F28" s="14">
        <f t="shared" si="3"/>
        <v>-4.4520684540960281E-2</v>
      </c>
      <c r="G28" s="15">
        <v>0</v>
      </c>
      <c r="H28" s="15">
        <f t="shared" si="1"/>
        <v>78094.210000000006</v>
      </c>
      <c r="I28" s="16" t="str">
        <f t="shared" si="2"/>
        <v/>
      </c>
      <c r="J28" s="40"/>
      <c r="K28" s="40"/>
    </row>
    <row r="29" spans="1:11" ht="30.75">
      <c r="A29" s="30" t="str">
        <v>510 Carnegie Center</v>
      </c>
      <c r="B29" s="31" t="str">
        <v>NJ</v>
      </c>
      <c r="C29" s="11">
        <v>199654.93900000001</v>
      </c>
      <c r="D29" s="18">
        <v>233678.21599999999</v>
      </c>
      <c r="E29" s="18">
        <f t="shared" si="0"/>
        <v>-34023.276999999973</v>
      </c>
      <c r="F29" s="19">
        <f t="shared" si="3"/>
        <v>-0.14559883921743041</v>
      </c>
      <c r="G29" s="20">
        <v>0</v>
      </c>
      <c r="H29" s="20">
        <f t="shared" si="1"/>
        <v>199654.93900000001</v>
      </c>
      <c r="I29" s="19" t="str">
        <f t="shared" si="2"/>
        <v/>
      </c>
      <c r="J29" s="41" t="s">
        <v>129</v>
      </c>
      <c r="K29" s="42" t="s">
        <v>130</v>
      </c>
    </row>
    <row r="30" spans="1:11" ht="15.6">
      <c r="A30" s="28" t="str">
        <v>701 Carnegie Center</v>
      </c>
      <c r="B30" s="29" t="str">
        <v>NJ</v>
      </c>
      <c r="C30" s="24">
        <v>156416.95000000001</v>
      </c>
      <c r="D30" s="13">
        <v>187294.8</v>
      </c>
      <c r="E30" s="13">
        <f t="shared" si="0"/>
        <v>-30877.849999999977</v>
      </c>
      <c r="F30" s="14">
        <f t="shared" si="3"/>
        <v>-0.16486229195898647</v>
      </c>
      <c r="G30" s="15">
        <v>0</v>
      </c>
      <c r="H30" s="15">
        <f t="shared" si="1"/>
        <v>156416.95000000001</v>
      </c>
      <c r="I30" s="16" t="str">
        <f t="shared" si="2"/>
        <v/>
      </c>
      <c r="J30" s="40"/>
      <c r="K30" s="40"/>
    </row>
    <row r="31" spans="1:11" ht="30.75">
      <c r="A31" s="30" t="str">
        <v>Hudson County Correction</v>
      </c>
      <c r="B31" s="31" t="str">
        <v>NJ</v>
      </c>
      <c r="C31" s="11">
        <v>235685.48310984601</v>
      </c>
      <c r="D31" s="18">
        <v>207688.3</v>
      </c>
      <c r="E31" s="18">
        <f t="shared" si="0"/>
        <v>27997.183109846024</v>
      </c>
      <c r="F31" s="19">
        <f t="shared" si="3"/>
        <v>0.13480385322546348</v>
      </c>
      <c r="G31" s="20">
        <v>2418859</v>
      </c>
      <c r="H31" s="20">
        <f t="shared" si="1"/>
        <v>-2183173.5168901542</v>
      </c>
      <c r="I31" s="19">
        <f t="shared" si="2"/>
        <v>-0.90256336433423945</v>
      </c>
      <c r="J31" s="41" t="s">
        <v>131</v>
      </c>
      <c r="K31" s="71" t="s">
        <v>105</v>
      </c>
    </row>
    <row r="32" spans="1:11" ht="60.75">
      <c r="A32" s="28" t="str">
        <v>ER Bison Solar</v>
      </c>
      <c r="B32" s="29" t="str">
        <v>PA</v>
      </c>
      <c r="C32" s="24">
        <v>230092</v>
      </c>
      <c r="D32" s="13">
        <v>0</v>
      </c>
      <c r="E32" s="13">
        <f t="shared" si="0"/>
        <v>230092</v>
      </c>
      <c r="F32" s="14" t="str">
        <f t="shared" si="3"/>
        <v/>
      </c>
      <c r="G32" s="15">
        <v>238828</v>
      </c>
      <c r="H32" s="15">
        <f t="shared" si="1"/>
        <v>-8736</v>
      </c>
      <c r="I32" s="16">
        <f t="shared" si="2"/>
        <v>-3.657862562178639E-2</v>
      </c>
      <c r="J32" s="40" t="s">
        <v>132</v>
      </c>
      <c r="K32" s="40" t="s">
        <v>133</v>
      </c>
    </row>
    <row r="33" spans="1:11" ht="15.6">
      <c r="A33" s="30" t="str">
        <v>Danville</v>
      </c>
      <c r="B33" s="31" t="str">
        <v>IL</v>
      </c>
      <c r="C33" s="11">
        <v>383628.3</v>
      </c>
      <c r="D33" s="18">
        <v>0</v>
      </c>
      <c r="E33" s="18">
        <f t="shared" si="0"/>
        <v>383628.3</v>
      </c>
      <c r="F33" s="19" t="str">
        <f t="shared" si="3"/>
        <v/>
      </c>
      <c r="G33" s="20">
        <v>0</v>
      </c>
      <c r="H33" s="20">
        <f t="shared" si="1"/>
        <v>383628.3</v>
      </c>
      <c r="I33" s="19" t="str">
        <f t="shared" si="2"/>
        <v/>
      </c>
      <c r="J33" s="41"/>
      <c r="K33" s="42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45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35" priority="3" stopIfTrue="1" operator="lessThanOrEqual">
      <formula>-0.1</formula>
    </cfRule>
    <cfRule type="expression" dxfId="34" priority="4">
      <formula>AND(ISNUMBER(F2), F2&gt;=0.1)</formula>
    </cfRule>
  </conditionalFormatting>
  <conditionalFormatting sqref="F4:F100 I4:I100">
    <cfRule type="cellIs" dxfId="33" priority="1" stopIfTrue="1" operator="lessThanOrEqual">
      <formula>-0.1</formula>
    </cfRule>
    <cfRule type="expression" dxfId="32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42"/>
  <sheetViews>
    <sheetView tabSelected="1" workbookViewId="0">
      <pane xSplit="2" ySplit="3" topLeftCell="C26" activePane="bottomRight" state="frozen"/>
      <selection pane="bottomRight" activeCell="K33" sqref="K33"/>
      <selection pane="bottomLeft" activeCell="G30" sqref="G30"/>
      <selection pane="topRight" activeCell="G30" sqref="G30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9" t="str" cm="1">
        <f t="array" ref="A1">portfolio</f>
        <v>Greenbacker</v>
      </c>
      <c r="B1" s="79"/>
      <c r="C1" s="79"/>
      <c r="D1" s="80" t="s">
        <v>134</v>
      </c>
      <c r="E1" s="80"/>
      <c r="F1" s="80"/>
      <c r="G1" s="78" t="s">
        <v>135</v>
      </c>
      <c r="H1" s="78"/>
      <c r="I1" s="78"/>
      <c r="J1" s="4"/>
      <c r="K1" s="4"/>
    </row>
    <row r="2" spans="1:11" ht="19.5" customHeight="1">
      <c r="A2" s="81" t="s">
        <v>2</v>
      </c>
      <c r="B2" s="81"/>
      <c r="C2" s="5">
        <f>SUM(C4:C100)</f>
        <v>5183678.4318560734</v>
      </c>
      <c r="D2" s="5">
        <f>SUM(D4:D100)</f>
        <v>4659686.0680000009</v>
      </c>
      <c r="E2" s="5">
        <f>C2-D2</f>
        <v>523992.36385607254</v>
      </c>
      <c r="F2" s="6">
        <f>IFERROR(E2/D2, 0)</f>
        <v>0.11245228889013482</v>
      </c>
      <c r="G2" s="5">
        <f>SUM(G4:G100)</f>
        <v>4255622.5999999996</v>
      </c>
      <c r="H2" s="7">
        <f>C2-G2</f>
        <v>928055.83185607381</v>
      </c>
      <c r="I2" s="6">
        <f>IFERROR(H2/G2, 0)</f>
        <v>0.21807756915664323</v>
      </c>
      <c r="J2" s="26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33">Sites[Site]</f>
        <v>10 Walpole Park South</v>
      </c>
      <c r="B4" s="29" t="str" cm="1">
        <f t="array" ref="B4:B33">Sites[State]</f>
        <v>MA</v>
      </c>
      <c r="C4" s="24">
        <v>20676.875</v>
      </c>
      <c r="D4" s="13">
        <v>19674.22</v>
      </c>
      <c r="E4" s="13">
        <f>IF(AND(ISNUMBER(C4),ISNUMBER(D4)), C4-D4, "")</f>
        <v>1002.6549999999988</v>
      </c>
      <c r="F4" s="14">
        <f>IFERROR(E4/D4, "")</f>
        <v>5.0962884424388809E-2</v>
      </c>
      <c r="G4" s="15">
        <v>20719.759999999998</v>
      </c>
      <c r="H4" s="15">
        <f>IF(AND(ISNUMBER(C4),ISNUMBER(G4)), C4-G4, "")</f>
        <v>-42.884999999998399</v>
      </c>
      <c r="I4" s="16">
        <f>IFERROR(H4/G4, "")</f>
        <v>-2.0697633563322355E-3</v>
      </c>
      <c r="J4" s="40"/>
      <c r="K4" s="40"/>
    </row>
    <row r="5" spans="1:11" ht="15.75">
      <c r="A5" s="30" t="str">
        <v>15 Walpole Park South</v>
      </c>
      <c r="B5" s="31" t="str">
        <v>MA</v>
      </c>
      <c r="C5" s="11">
        <v>75447.75</v>
      </c>
      <c r="D5" s="18">
        <v>72325.17</v>
      </c>
      <c r="E5" s="18">
        <f t="shared" ref="E5:E33" si="0">IF(AND(ISNUMBER(C5),ISNUMBER(D5)), C5-D5, "")</f>
        <v>3122.5800000000017</v>
      </c>
      <c r="F5" s="19">
        <f>IFERROR(E5/D5, "")</f>
        <v>4.3174181270503778E-2</v>
      </c>
      <c r="G5" s="20">
        <v>73270.289999999994</v>
      </c>
      <c r="H5" s="20">
        <f t="shared" ref="H5:H33" si="1">IF(AND(ISNUMBER(C5),ISNUMBER(G5)), C5-G5, "")</f>
        <v>2177.4600000000064</v>
      </c>
      <c r="I5" s="19">
        <f t="shared" ref="I5:I33" si="2">IFERROR(H5/G5, "")</f>
        <v>2.9718184546560503E-2</v>
      </c>
      <c r="J5" s="41"/>
      <c r="K5" s="41"/>
    </row>
    <row r="6" spans="1:11" ht="15.75">
      <c r="A6" s="28" t="str">
        <v>19 Walpole Park South</v>
      </c>
      <c r="B6" s="29" t="str">
        <v>MA</v>
      </c>
      <c r="C6" s="24">
        <v>47897.375</v>
      </c>
      <c r="D6" s="13">
        <v>44710.36</v>
      </c>
      <c r="E6" s="13">
        <f t="shared" si="0"/>
        <v>3187.0149999999994</v>
      </c>
      <c r="F6" s="14">
        <f t="shared" ref="F6:F33" si="3">IFERROR(E6/D6, "")</f>
        <v>7.1281354030698907E-2</v>
      </c>
      <c r="G6" s="15">
        <v>46636.25</v>
      </c>
      <c r="H6" s="15">
        <f t="shared" si="1"/>
        <v>1261.125</v>
      </c>
      <c r="I6" s="16">
        <f t="shared" si="2"/>
        <v>2.704173255782787E-2</v>
      </c>
      <c r="J6" s="40"/>
      <c r="K6" s="40"/>
    </row>
    <row r="7" spans="1:11" ht="15.75">
      <c r="A7" s="30" t="str">
        <v>23 Walpole Park South</v>
      </c>
      <c r="B7" s="31" t="str">
        <v>MA</v>
      </c>
      <c r="C7" s="11">
        <v>65316.5</v>
      </c>
      <c r="D7" s="18">
        <v>58630.35</v>
      </c>
      <c r="E7" s="18">
        <f t="shared" si="0"/>
        <v>6686.1500000000015</v>
      </c>
      <c r="F7" s="19">
        <f t="shared" si="3"/>
        <v>0.11403905997491064</v>
      </c>
      <c r="G7" s="20">
        <v>61447.15</v>
      </c>
      <c r="H7" s="20">
        <f t="shared" si="1"/>
        <v>3869.3499999999985</v>
      </c>
      <c r="I7" s="19">
        <f t="shared" si="2"/>
        <v>6.2970373727666756E-2</v>
      </c>
      <c r="J7" s="41"/>
      <c r="K7" s="41"/>
    </row>
    <row r="8" spans="1:11" ht="33" customHeight="1">
      <c r="A8" s="28" t="str">
        <v>24 Walpole Park South</v>
      </c>
      <c r="B8" s="29" t="str">
        <v>MA</v>
      </c>
      <c r="C8" s="24">
        <v>91752</v>
      </c>
      <c r="D8" s="13">
        <v>85667.4</v>
      </c>
      <c r="E8" s="13">
        <f t="shared" si="0"/>
        <v>6084.6000000000058</v>
      </c>
      <c r="F8" s="14">
        <f t="shared" si="3"/>
        <v>7.102585114057397E-2</v>
      </c>
      <c r="G8" s="15">
        <v>94419.27</v>
      </c>
      <c r="H8" s="15">
        <f t="shared" si="1"/>
        <v>-2667.2700000000041</v>
      </c>
      <c r="I8" s="16">
        <f t="shared" si="2"/>
        <v>-2.8249212263555989E-2</v>
      </c>
      <c r="J8" s="40" t="s">
        <v>136</v>
      </c>
      <c r="K8" s="40" t="s">
        <v>137</v>
      </c>
    </row>
    <row r="9" spans="1:11" ht="54" customHeight="1">
      <c r="A9" s="30" t="str">
        <v>25 Walpole Park South</v>
      </c>
      <c r="B9" s="31" t="str">
        <v>MA</v>
      </c>
      <c r="C9" s="11">
        <v>91678.25</v>
      </c>
      <c r="D9" s="18">
        <v>87385.38</v>
      </c>
      <c r="E9" s="18">
        <f t="shared" si="0"/>
        <v>4292.8699999999953</v>
      </c>
      <c r="F9" s="19">
        <f t="shared" si="3"/>
        <v>4.9125723318934986E-2</v>
      </c>
      <c r="G9" s="20">
        <v>95628.9</v>
      </c>
      <c r="H9" s="20">
        <f t="shared" si="1"/>
        <v>-3950.6499999999942</v>
      </c>
      <c r="I9" s="19">
        <f t="shared" si="2"/>
        <v>-4.1312302034217631E-2</v>
      </c>
      <c r="J9" s="71" t="s">
        <v>138</v>
      </c>
      <c r="K9" s="71" t="s">
        <v>139</v>
      </c>
    </row>
    <row r="10" spans="1:11" ht="121.5">
      <c r="A10" s="28" t="str">
        <v>3 Walpole Park South</v>
      </c>
      <c r="B10" s="29" t="str">
        <v>MA</v>
      </c>
      <c r="C10" s="24">
        <v>121846.5</v>
      </c>
      <c r="D10" s="13">
        <v>112902.8</v>
      </c>
      <c r="E10" s="13">
        <f t="shared" si="0"/>
        <v>8943.6999999999971</v>
      </c>
      <c r="F10" s="14">
        <f t="shared" si="3"/>
        <v>7.921592732864019E-2</v>
      </c>
      <c r="G10" s="15">
        <v>115500</v>
      </c>
      <c r="H10" s="15">
        <f t="shared" si="1"/>
        <v>6346.5</v>
      </c>
      <c r="I10" s="16">
        <f t="shared" si="2"/>
        <v>5.4948051948051947E-2</v>
      </c>
      <c r="J10" s="40" t="s">
        <v>140</v>
      </c>
      <c r="K10" s="40" t="s">
        <v>141</v>
      </c>
    </row>
    <row r="11" spans="1:11" ht="15.75">
      <c r="A11" s="30" t="str">
        <v>4 Walpole Park South</v>
      </c>
      <c r="B11" s="31" t="str">
        <v>MA</v>
      </c>
      <c r="C11" s="11">
        <v>66215.25</v>
      </c>
      <c r="D11" s="18">
        <v>61895.68</v>
      </c>
      <c r="E11" s="18">
        <f t="shared" si="0"/>
        <v>4319.57</v>
      </c>
      <c r="F11" s="19">
        <f t="shared" si="3"/>
        <v>6.9787907653652073E-2</v>
      </c>
      <c r="G11" s="20">
        <v>62939.68</v>
      </c>
      <c r="H11" s="20">
        <f t="shared" si="1"/>
        <v>3275.5699999999997</v>
      </c>
      <c r="I11" s="19">
        <f t="shared" si="2"/>
        <v>5.2043003714032227E-2</v>
      </c>
      <c r="J11" s="41"/>
      <c r="K11" s="41"/>
    </row>
    <row r="12" spans="1:11" ht="30.75">
      <c r="A12" s="28" t="str">
        <v>Brockton</v>
      </c>
      <c r="B12" s="29" t="str">
        <v>MA</v>
      </c>
      <c r="C12" s="24">
        <v>109928.5</v>
      </c>
      <c r="D12" s="13">
        <v>97642.95</v>
      </c>
      <c r="E12" s="13">
        <f t="shared" si="0"/>
        <v>12285.550000000003</v>
      </c>
      <c r="F12" s="14">
        <f t="shared" si="3"/>
        <v>0.12582116783649003</v>
      </c>
      <c r="G12" s="15">
        <v>106090.1</v>
      </c>
      <c r="H12" s="15">
        <f t="shared" si="1"/>
        <v>3838.3999999999942</v>
      </c>
      <c r="I12" s="16">
        <f t="shared" si="2"/>
        <v>3.6180567272535269E-2</v>
      </c>
      <c r="J12" s="40" t="s">
        <v>84</v>
      </c>
      <c r="K12" s="40" t="s">
        <v>85</v>
      </c>
    </row>
    <row r="13" spans="1:11" ht="15.75">
      <c r="A13" s="30" t="str">
        <v>Canton</v>
      </c>
      <c r="B13" s="31" t="str">
        <v>MA</v>
      </c>
      <c r="C13" s="11">
        <v>102749.12296748</v>
      </c>
      <c r="D13" s="18">
        <v>96131.38</v>
      </c>
      <c r="E13" s="18">
        <f t="shared" si="0"/>
        <v>6617.7429674799932</v>
      </c>
      <c r="F13" s="19">
        <f t="shared" si="3"/>
        <v>6.8840611332948651E-2</v>
      </c>
      <c r="G13" s="20">
        <v>101430.7</v>
      </c>
      <c r="H13" s="20">
        <f t="shared" si="1"/>
        <v>1318.4229674800008</v>
      </c>
      <c r="I13" s="19">
        <f t="shared" si="2"/>
        <v>1.2998263518638843E-2</v>
      </c>
      <c r="J13" s="41" t="s">
        <v>142</v>
      </c>
      <c r="K13" s="41" t="s">
        <v>143</v>
      </c>
    </row>
    <row r="14" spans="1:11" ht="15.75">
      <c r="A14" s="28" t="str">
        <v>Chelsea</v>
      </c>
      <c r="B14" s="29" t="str">
        <v>MA</v>
      </c>
      <c r="C14" s="24">
        <v>177136.49999999901</v>
      </c>
      <c r="D14" s="13">
        <v>175855.2</v>
      </c>
      <c r="E14" s="13">
        <f t="shared" si="0"/>
        <v>1281.2999999989988</v>
      </c>
      <c r="F14" s="14">
        <f t="shared" si="3"/>
        <v>7.2861081162171985E-3</v>
      </c>
      <c r="G14" s="15">
        <v>168267.4</v>
      </c>
      <c r="H14" s="15">
        <f t="shared" si="1"/>
        <v>8869.0999999990163</v>
      </c>
      <c r="I14" s="16">
        <f t="shared" si="2"/>
        <v>5.2708367752749591E-2</v>
      </c>
      <c r="J14" s="40" t="s">
        <v>144</v>
      </c>
      <c r="K14" s="40" t="s">
        <v>145</v>
      </c>
    </row>
    <row r="15" spans="1:11" ht="30.75">
      <c r="A15" s="30" t="str">
        <v>Hamilton Landfill</v>
      </c>
      <c r="B15" s="31" t="str">
        <v>MA</v>
      </c>
      <c r="C15" s="11">
        <v>131991.29999999999</v>
      </c>
      <c r="D15" s="18">
        <v>142585.79999999999</v>
      </c>
      <c r="E15" s="18">
        <f t="shared" si="0"/>
        <v>-10594.5</v>
      </c>
      <c r="F15" s="19">
        <f t="shared" si="3"/>
        <v>-7.4302630416212559E-2</v>
      </c>
      <c r="G15" s="20">
        <v>0</v>
      </c>
      <c r="H15" s="20">
        <f t="shared" si="1"/>
        <v>131991.29999999999</v>
      </c>
      <c r="I15" s="19" t="str">
        <f t="shared" si="2"/>
        <v/>
      </c>
      <c r="J15" s="41" t="s">
        <v>146</v>
      </c>
      <c r="K15" s="71" t="s">
        <v>147</v>
      </c>
    </row>
    <row r="16" spans="1:11" ht="45.75">
      <c r="A16" s="28" t="str">
        <v>Holliston</v>
      </c>
      <c r="B16" s="29" t="str">
        <v>MA</v>
      </c>
      <c r="C16" s="24">
        <v>250689.5</v>
      </c>
      <c r="D16" s="13">
        <v>308244.8</v>
      </c>
      <c r="E16" s="13">
        <f t="shared" si="0"/>
        <v>-57555.299999999988</v>
      </c>
      <c r="F16" s="14">
        <f t="shared" si="3"/>
        <v>-0.18671945155279177</v>
      </c>
      <c r="G16" s="15">
        <v>283046.09999999998</v>
      </c>
      <c r="H16" s="15">
        <f t="shared" si="1"/>
        <v>-32356.599999999977</v>
      </c>
      <c r="I16" s="16">
        <f t="shared" si="2"/>
        <v>-0.11431565388111682</v>
      </c>
      <c r="J16" s="40" t="s">
        <v>148</v>
      </c>
      <c r="K16" s="40" t="s">
        <v>149</v>
      </c>
    </row>
    <row r="17" spans="1:11" ht="15.75">
      <c r="A17" s="30" t="str">
        <v>Natick HS - Carports</v>
      </c>
      <c r="B17" s="31" t="str">
        <v>MA</v>
      </c>
      <c r="C17" s="11">
        <v>95065.9</v>
      </c>
      <c r="D17" s="18">
        <v>108597.8</v>
      </c>
      <c r="E17" s="18">
        <f t="shared" si="0"/>
        <v>-13531.900000000009</v>
      </c>
      <c r="F17" s="19">
        <f t="shared" si="3"/>
        <v>-0.12460565499485264</v>
      </c>
      <c r="G17" s="20">
        <v>0</v>
      </c>
      <c r="H17" s="20">
        <f t="shared" si="1"/>
        <v>95065.9</v>
      </c>
      <c r="I17" s="19" t="str">
        <f t="shared" si="2"/>
        <v/>
      </c>
      <c r="J17" s="41"/>
      <c r="K17" s="41"/>
    </row>
    <row r="18" spans="1:11" ht="33.75" customHeight="1">
      <c r="A18" s="32" t="str">
        <v>Norton</v>
      </c>
      <c r="B18" s="29" t="str">
        <v>MA</v>
      </c>
      <c r="C18" s="24">
        <v>0</v>
      </c>
      <c r="D18" s="13">
        <v>0</v>
      </c>
      <c r="E18" s="13">
        <f t="shared" si="0"/>
        <v>0</v>
      </c>
      <c r="F18" s="14" t="str">
        <f t="shared" si="3"/>
        <v/>
      </c>
      <c r="G18" s="15">
        <v>602812.19999999995</v>
      </c>
      <c r="H18" s="15">
        <f t="shared" si="1"/>
        <v>-602812.19999999995</v>
      </c>
      <c r="I18" s="16">
        <f t="shared" si="2"/>
        <v>-1</v>
      </c>
      <c r="J18" s="40" t="s">
        <v>92</v>
      </c>
      <c r="K18" s="40" t="s">
        <v>93</v>
      </c>
    </row>
    <row r="19" spans="1:11" ht="45.75">
      <c r="A19" s="30" t="str">
        <v>Palmer - Boston Rd.</v>
      </c>
      <c r="B19" s="31" t="str">
        <v>MA</v>
      </c>
      <c r="C19" s="11">
        <v>81554</v>
      </c>
      <c r="D19" s="18">
        <v>69072.100000000006</v>
      </c>
      <c r="E19" s="18">
        <f t="shared" si="0"/>
        <v>12481.899999999994</v>
      </c>
      <c r="F19" s="19">
        <f t="shared" si="3"/>
        <v>0.18070827439733253</v>
      </c>
      <c r="G19" s="20">
        <v>84844</v>
      </c>
      <c r="H19" s="20">
        <f t="shared" si="1"/>
        <v>-3290</v>
      </c>
      <c r="I19" s="19">
        <f t="shared" si="2"/>
        <v>-3.8777049644052611E-2</v>
      </c>
      <c r="J19" s="41" t="s">
        <v>150</v>
      </c>
      <c r="K19" s="71" t="s">
        <v>151</v>
      </c>
    </row>
    <row r="20" spans="1:11" ht="30.75">
      <c r="A20" s="28" t="str">
        <v>Shirley Bartkus</v>
      </c>
      <c r="B20" s="29" t="str">
        <v>MA</v>
      </c>
      <c r="C20" s="24">
        <v>143257.50000000099</v>
      </c>
      <c r="D20" s="13">
        <v>111757.1</v>
      </c>
      <c r="E20" s="13">
        <f t="shared" si="0"/>
        <v>31500.400000000984</v>
      </c>
      <c r="F20" s="14">
        <f t="shared" si="3"/>
        <v>0.2818648658564063</v>
      </c>
      <c r="G20" s="15">
        <v>145881</v>
      </c>
      <c r="H20" s="15">
        <f t="shared" si="1"/>
        <v>-2623.4999999990105</v>
      </c>
      <c r="I20" s="16">
        <f t="shared" si="2"/>
        <v>-1.7983836140409035E-2</v>
      </c>
      <c r="J20" s="40" t="s">
        <v>94</v>
      </c>
      <c r="K20" s="40" t="s">
        <v>95</v>
      </c>
    </row>
    <row r="21" spans="1:11" ht="15.75">
      <c r="A21" s="30" t="str">
        <v>Stoughton</v>
      </c>
      <c r="B21" s="31" t="str">
        <v>MA</v>
      </c>
      <c r="C21" s="11">
        <v>125646</v>
      </c>
      <c r="D21" s="18">
        <v>70073.36</v>
      </c>
      <c r="E21" s="18">
        <f t="shared" si="0"/>
        <v>55572.639999999999</v>
      </c>
      <c r="F21" s="19">
        <f t="shared" si="3"/>
        <v>0.79306372635763434</v>
      </c>
      <c r="G21" s="20">
        <v>112524.1</v>
      </c>
      <c r="H21" s="20">
        <f t="shared" si="1"/>
        <v>13121.899999999994</v>
      </c>
      <c r="I21" s="19">
        <f t="shared" si="2"/>
        <v>0.11661412977308855</v>
      </c>
      <c r="J21" s="41"/>
      <c r="K21" s="41"/>
    </row>
    <row r="22" spans="1:11" ht="15.75">
      <c r="A22" s="28" t="str">
        <v>Wellfleet Landfill</v>
      </c>
      <c r="B22" s="29" t="str">
        <v>MA</v>
      </c>
      <c r="C22" s="24">
        <v>153068.9</v>
      </c>
      <c r="D22" s="13">
        <v>157080.25</v>
      </c>
      <c r="E22" s="13">
        <f t="shared" si="0"/>
        <v>-4011.3500000000058</v>
      </c>
      <c r="F22" s="14">
        <f t="shared" si="3"/>
        <v>-2.5536946879063445E-2</v>
      </c>
      <c r="G22" s="15">
        <v>0</v>
      </c>
      <c r="H22" s="15">
        <f t="shared" si="1"/>
        <v>153068.9</v>
      </c>
      <c r="I22" s="16" t="str">
        <f t="shared" si="2"/>
        <v/>
      </c>
      <c r="J22" s="40" t="s">
        <v>152</v>
      </c>
      <c r="K22" s="40" t="s">
        <v>153</v>
      </c>
    </row>
    <row r="23" spans="1:11" ht="15.75">
      <c r="A23" s="30" t="str">
        <v>Wilmington Garage &amp; Building 7</v>
      </c>
      <c r="B23" s="31" t="str">
        <v>MA</v>
      </c>
      <c r="C23" s="11">
        <v>180680.625</v>
      </c>
      <c r="D23" s="18">
        <v>180584</v>
      </c>
      <c r="E23" s="18">
        <f t="shared" si="0"/>
        <v>96.625</v>
      </c>
      <c r="F23" s="19">
        <f t="shared" si="3"/>
        <v>5.3506955211978912E-4</v>
      </c>
      <c r="G23" s="20">
        <v>177507.4</v>
      </c>
      <c r="H23" s="20">
        <f t="shared" si="1"/>
        <v>3173.2250000000058</v>
      </c>
      <c r="I23" s="19">
        <f t="shared" si="2"/>
        <v>1.7876578666579566E-2</v>
      </c>
      <c r="J23" s="41"/>
      <c r="K23" s="41"/>
    </row>
    <row r="24" spans="1:11" ht="15.75">
      <c r="A24" s="28" t="str">
        <v>Woburn</v>
      </c>
      <c r="B24" s="29" t="str">
        <v>MA</v>
      </c>
      <c r="C24" s="24">
        <v>258268</v>
      </c>
      <c r="D24" s="13">
        <v>246417.7</v>
      </c>
      <c r="E24" s="13">
        <f t="shared" si="0"/>
        <v>11850.299999999988</v>
      </c>
      <c r="F24" s="14">
        <f t="shared" si="3"/>
        <v>4.8090295461730173E-2</v>
      </c>
      <c r="G24" s="15">
        <v>249757.7</v>
      </c>
      <c r="H24" s="15">
        <f t="shared" si="1"/>
        <v>8510.2999999999884</v>
      </c>
      <c r="I24" s="16">
        <f t="shared" si="2"/>
        <v>3.4074224738616619E-2</v>
      </c>
      <c r="J24" s="40"/>
      <c r="K24" s="40"/>
    </row>
    <row r="25" spans="1:11" ht="15.75">
      <c r="A25" s="30" t="str">
        <v>Friendship Solar 1</v>
      </c>
      <c r="B25" s="31" t="str">
        <v>MD</v>
      </c>
      <c r="C25" s="11">
        <v>568811</v>
      </c>
      <c r="D25" s="18">
        <v>606807.30000000005</v>
      </c>
      <c r="E25" s="18">
        <f t="shared" si="0"/>
        <v>-37996.300000000047</v>
      </c>
      <c r="F25" s="19">
        <f t="shared" si="3"/>
        <v>-6.261674834828132E-2</v>
      </c>
      <c r="G25" s="20">
        <v>579285</v>
      </c>
      <c r="H25" s="20">
        <f t="shared" si="1"/>
        <v>-10474</v>
      </c>
      <c r="I25" s="19">
        <f t="shared" si="2"/>
        <v>-1.8080910087435374E-2</v>
      </c>
      <c r="J25" s="41"/>
      <c r="K25" s="41"/>
    </row>
    <row r="26" spans="1:11" ht="15.75">
      <c r="A26" s="28" t="str">
        <v>Friendship Solar 2</v>
      </c>
      <c r="B26" s="29" t="str">
        <v>MD</v>
      </c>
      <c r="C26" s="24">
        <v>572191</v>
      </c>
      <c r="D26" s="13">
        <v>606266.80000000005</v>
      </c>
      <c r="E26" s="13">
        <f t="shared" si="0"/>
        <v>-34075.800000000047</v>
      </c>
      <c r="F26" s="14">
        <f t="shared" si="3"/>
        <v>-5.6205947612503346E-2</v>
      </c>
      <c r="G26" s="15">
        <v>574494.1</v>
      </c>
      <c r="H26" s="15">
        <f t="shared" si="1"/>
        <v>-2303.0999999999767</v>
      </c>
      <c r="I26" s="16">
        <f t="shared" si="2"/>
        <v>-4.0089184553853156E-3</v>
      </c>
      <c r="J26" s="40"/>
      <c r="K26" s="40"/>
    </row>
    <row r="27" spans="1:11" ht="34.5" customHeight="1">
      <c r="A27" s="30" t="str">
        <v>101 Carnegie Center</v>
      </c>
      <c r="B27" s="31" t="str">
        <v>NJ</v>
      </c>
      <c r="C27" s="11">
        <v>214712.21</v>
      </c>
      <c r="D27" s="18">
        <v>272074.49</v>
      </c>
      <c r="E27" s="18">
        <f t="shared" si="0"/>
        <v>-57362.28</v>
      </c>
      <c r="F27" s="19">
        <f t="shared" si="3"/>
        <v>-0.21083299650768436</v>
      </c>
      <c r="G27" s="20">
        <v>0</v>
      </c>
      <c r="H27" s="20">
        <f t="shared" si="1"/>
        <v>214712.21</v>
      </c>
      <c r="I27" s="19" t="str">
        <f t="shared" si="2"/>
        <v/>
      </c>
      <c r="J27" s="71" t="s">
        <v>154</v>
      </c>
      <c r="K27" s="71" t="s">
        <v>155</v>
      </c>
    </row>
    <row r="28" spans="1:11" ht="15.75">
      <c r="A28" s="28" t="str">
        <v>302 Carnegie Center</v>
      </c>
      <c r="B28" s="29" t="str">
        <v>NJ</v>
      </c>
      <c r="C28" s="24">
        <v>96003.48</v>
      </c>
      <c r="D28" s="13">
        <v>100373.678</v>
      </c>
      <c r="E28" s="13">
        <f t="shared" si="0"/>
        <v>-4370.198000000004</v>
      </c>
      <c r="F28" s="14">
        <f t="shared" si="3"/>
        <v>-4.353928327703608E-2</v>
      </c>
      <c r="G28" s="15">
        <v>0</v>
      </c>
      <c r="H28" s="15">
        <f t="shared" si="1"/>
        <v>96003.48</v>
      </c>
      <c r="I28" s="16" t="str">
        <f t="shared" si="2"/>
        <v/>
      </c>
      <c r="J28" s="40"/>
      <c r="K28" s="40"/>
    </row>
    <row r="29" spans="1:11" ht="30.75">
      <c r="A29" s="30" t="str">
        <v>510 Carnegie Center</v>
      </c>
      <c r="B29" s="31" t="str">
        <v>NJ</v>
      </c>
      <c r="C29" s="11">
        <v>245994</v>
      </c>
      <c r="D29" s="18">
        <v>293443.40000000002</v>
      </c>
      <c r="E29" s="18">
        <f t="shared" si="0"/>
        <v>-47449.400000000023</v>
      </c>
      <c r="F29" s="19">
        <f t="shared" si="3"/>
        <v>-0.16169864444046117</v>
      </c>
      <c r="G29" s="20">
        <v>0</v>
      </c>
      <c r="H29" s="20">
        <f t="shared" si="1"/>
        <v>245994</v>
      </c>
      <c r="I29" s="19" t="str">
        <f t="shared" si="2"/>
        <v/>
      </c>
      <c r="J29" s="41" t="s">
        <v>156</v>
      </c>
      <c r="K29" s="41" t="s">
        <v>157</v>
      </c>
    </row>
    <row r="30" spans="1:11" ht="15.75">
      <c r="A30" s="28" t="str">
        <v>701 Carnegie Center</v>
      </c>
      <c r="B30" s="29" t="str">
        <v>NJ</v>
      </c>
      <c r="C30" s="24">
        <v>191178.74</v>
      </c>
      <c r="D30" s="13">
        <v>234499.9</v>
      </c>
      <c r="E30" s="13">
        <f t="shared" si="0"/>
        <v>-43321.16</v>
      </c>
      <c r="F30" s="14">
        <f t="shared" si="3"/>
        <v>-0.18473850095458466</v>
      </c>
      <c r="G30" s="15">
        <v>0</v>
      </c>
      <c r="H30" s="15">
        <f t="shared" si="1"/>
        <v>191178.74</v>
      </c>
      <c r="I30" s="16" t="str">
        <f t="shared" si="2"/>
        <v/>
      </c>
      <c r="J30" s="40" t="s">
        <v>158</v>
      </c>
      <c r="K30" s="40" t="s">
        <v>159</v>
      </c>
    </row>
    <row r="31" spans="1:11" ht="15.75">
      <c r="A31" s="30" t="str">
        <v>Hudson County Correction</v>
      </c>
      <c r="B31" s="31" t="str">
        <v>NJ</v>
      </c>
      <c r="C31" s="11">
        <v>272727.753888593</v>
      </c>
      <c r="D31" s="18">
        <v>238986.7</v>
      </c>
      <c r="E31" s="18">
        <f t="shared" si="0"/>
        <v>33741.053888592985</v>
      </c>
      <c r="F31" s="19">
        <f t="shared" si="3"/>
        <v>0.14118381436537256</v>
      </c>
      <c r="G31" s="20">
        <v>248851.5</v>
      </c>
      <c r="H31" s="20">
        <f t="shared" si="1"/>
        <v>23876.253888592997</v>
      </c>
      <c r="I31" s="19">
        <f t="shared" si="2"/>
        <v>9.5945790516002508E-2</v>
      </c>
      <c r="J31" s="41"/>
      <c r="K31" s="41"/>
    </row>
    <row r="32" spans="1:11" ht="106.5">
      <c r="A32" s="28" t="str">
        <v>ER Bison Solar</v>
      </c>
      <c r="B32" s="29" t="str">
        <v>PA</v>
      </c>
      <c r="C32" s="24">
        <v>247759</v>
      </c>
      <c r="D32" s="13">
        <v>0</v>
      </c>
      <c r="E32" s="13">
        <f t="shared" si="0"/>
        <v>247759</v>
      </c>
      <c r="F32" s="14" t="str">
        <f t="shared" si="3"/>
        <v/>
      </c>
      <c r="G32" s="15">
        <v>250270</v>
      </c>
      <c r="H32" s="15">
        <f t="shared" si="1"/>
        <v>-2511</v>
      </c>
      <c r="I32" s="16">
        <f t="shared" si="2"/>
        <v>-1.0033164182682703E-2</v>
      </c>
      <c r="J32" s="40" t="s">
        <v>160</v>
      </c>
      <c r="K32" s="40" t="s">
        <v>161</v>
      </c>
    </row>
    <row r="33" spans="1:11" ht="16.5">
      <c r="A33" s="30" t="str">
        <v>Danville</v>
      </c>
      <c r="B33" s="31" t="str">
        <v>IL</v>
      </c>
      <c r="C33" s="11">
        <v>383434.9</v>
      </c>
      <c r="D33" s="18">
        <v>0</v>
      </c>
      <c r="E33" s="18">
        <f t="shared" si="0"/>
        <v>383434.9</v>
      </c>
      <c r="F33" s="19" t="str">
        <f t="shared" si="3"/>
        <v/>
      </c>
      <c r="G33" s="20">
        <v>0</v>
      </c>
      <c r="H33" s="20">
        <f t="shared" si="1"/>
        <v>383434.9</v>
      </c>
      <c r="I33" s="19" t="str">
        <f t="shared" si="2"/>
        <v/>
      </c>
      <c r="J33" s="41" t="s">
        <v>162</v>
      </c>
      <c r="K33" s="42" t="s">
        <v>163</v>
      </c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45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31" priority="3" stopIfTrue="1" operator="lessThanOrEqual">
      <formula>-0.1</formula>
    </cfRule>
    <cfRule type="expression" dxfId="30" priority="4">
      <formula>AND(ISNUMBER(F2), F2&gt;=0.1)</formula>
    </cfRule>
  </conditionalFormatting>
  <conditionalFormatting sqref="F4:F100 I4:I100">
    <cfRule type="cellIs" dxfId="29" priority="1" stopIfTrue="1" operator="lessThanOrEqual">
      <formula>-0.1</formula>
    </cfRule>
    <cfRule type="expression" dxfId="28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42"/>
  <sheetViews>
    <sheetView workbookViewId="0">
      <pane xSplit="2" ySplit="3" topLeftCell="G29" activePane="bottomRight" state="frozen"/>
      <selection pane="bottomRight" activeCell="G30" sqref="G30"/>
      <selection pane="bottomLeft" activeCell="G30" sqref="G30"/>
      <selection pane="topRight" activeCell="G30" sqref="G30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9" t="str" cm="1">
        <f t="array" ref="A1">portfolio</f>
        <v>Greenbacker</v>
      </c>
      <c r="B1" s="79"/>
      <c r="C1" s="79"/>
      <c r="D1" s="80" t="s">
        <v>164</v>
      </c>
      <c r="E1" s="80"/>
      <c r="F1" s="80"/>
      <c r="G1" s="78" t="s">
        <v>165</v>
      </c>
      <c r="H1" s="78"/>
      <c r="I1" s="78"/>
      <c r="J1" s="4"/>
      <c r="K1" s="4"/>
    </row>
    <row r="2" spans="1:11" ht="19.5" customHeight="1">
      <c r="A2" s="81" t="s">
        <v>2</v>
      </c>
      <c r="B2" s="81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33">Sites[Site]</f>
        <v>10 Walpole Park South</v>
      </c>
      <c r="B4" s="29" t="str" cm="1">
        <f t="array" ref="B4:B33">Sites[State]</f>
        <v>MA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6">
      <c r="A5" s="30" t="str">
        <v>15 Walpole Park South</v>
      </c>
      <c r="B5" s="31" t="str">
        <v>MA</v>
      </c>
      <c r="C5" s="11"/>
      <c r="D5" s="18"/>
      <c r="E5" s="18" t="str">
        <f t="shared" ref="E5:E33" si="0">IF(AND(ISNUMBER(C5),ISNUMBER(D5)), C5-D5, "")</f>
        <v/>
      </c>
      <c r="F5" s="19" t="str">
        <f>IFERROR(E5/D5, "")</f>
        <v/>
      </c>
      <c r="G5" s="20"/>
      <c r="H5" s="20" t="str">
        <f t="shared" ref="H5:H33" si="1">IF(AND(ISNUMBER(C5),ISNUMBER(G5)), C5-G5, "")</f>
        <v/>
      </c>
      <c r="I5" s="19" t="str">
        <f t="shared" ref="I5:I33" si="2">IFERROR(H5/G5, "")</f>
        <v/>
      </c>
      <c r="J5" s="41"/>
      <c r="K5" s="41"/>
    </row>
    <row r="6" spans="1:11" ht="15.6">
      <c r="A6" s="28" t="str">
        <v>19 Walpole Park South</v>
      </c>
      <c r="B6" s="29" t="str">
        <v>MA</v>
      </c>
      <c r="C6" s="24"/>
      <c r="D6" s="13"/>
      <c r="E6" s="13" t="str">
        <f t="shared" si="0"/>
        <v/>
      </c>
      <c r="F6" s="14" t="str">
        <f t="shared" ref="F6:F33" si="3">IFERROR(E6/D6, "")</f>
        <v/>
      </c>
      <c r="G6" s="15"/>
      <c r="H6" s="15" t="str">
        <f t="shared" si="1"/>
        <v/>
      </c>
      <c r="I6" s="16" t="str">
        <f t="shared" si="2"/>
        <v/>
      </c>
      <c r="J6" s="40"/>
      <c r="K6" s="40"/>
    </row>
    <row r="7" spans="1:11" ht="15.6">
      <c r="A7" s="30" t="str">
        <v>23 Walpole Park South</v>
      </c>
      <c r="B7" s="31" t="str">
        <v>MA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1"/>
      <c r="K7" s="42"/>
    </row>
    <row r="8" spans="1:11" ht="15.6">
      <c r="A8" s="28" t="str">
        <v>24 Walpole Park South</v>
      </c>
      <c r="B8" s="29" t="str">
        <v>MA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0"/>
      <c r="K8" s="40"/>
    </row>
    <row r="9" spans="1:11" ht="15.6">
      <c r="A9" s="30" t="str">
        <v>25 Walpole Park South</v>
      </c>
      <c r="B9" s="31" t="str">
        <v>MA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1"/>
      <c r="K9" s="42"/>
    </row>
    <row r="10" spans="1:11" ht="15.6">
      <c r="A10" s="28" t="str">
        <v>3 Walpole Park South</v>
      </c>
      <c r="B10" s="29" t="str">
        <v>MA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0"/>
      <c r="K10" s="40"/>
    </row>
    <row r="11" spans="1:11" ht="15.6">
      <c r="A11" s="30" t="str">
        <v>4 Walpole Park South</v>
      </c>
      <c r="B11" s="31" t="str">
        <v>MA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1"/>
      <c r="K11" s="42"/>
    </row>
    <row r="12" spans="1:11" ht="15.6">
      <c r="A12" s="28" t="str">
        <v>Brockton</v>
      </c>
      <c r="B12" s="29" t="str">
        <v>MA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0"/>
      <c r="K12" s="40"/>
    </row>
    <row r="13" spans="1:11" ht="15.6">
      <c r="A13" s="30" t="str">
        <v>Canton</v>
      </c>
      <c r="B13" s="31" t="str">
        <v>MA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1"/>
      <c r="K13" s="42"/>
    </row>
    <row r="14" spans="1:11" ht="15.6">
      <c r="A14" s="28" t="str">
        <v>Chelsea</v>
      </c>
      <c r="B14" s="29" t="str">
        <v>MA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0"/>
      <c r="K14" s="40"/>
    </row>
    <row r="15" spans="1:11" ht="15.6">
      <c r="A15" s="30" t="str">
        <v>Hamilton Landfill</v>
      </c>
      <c r="B15" s="31" t="str">
        <v>MA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1"/>
      <c r="K15" s="42"/>
    </row>
    <row r="16" spans="1:11" ht="15.6">
      <c r="A16" s="28" t="str">
        <v>Holliston</v>
      </c>
      <c r="B16" s="29" t="str">
        <v>MA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0"/>
      <c r="K16" s="40"/>
    </row>
    <row r="17" spans="1:11" ht="15.6">
      <c r="A17" s="30" t="str">
        <v>Natick HS - Carports</v>
      </c>
      <c r="B17" s="31" t="str">
        <v>MA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1"/>
      <c r="K17" s="42"/>
    </row>
    <row r="18" spans="1:11" ht="12.75" customHeight="1">
      <c r="A18" s="32" t="str">
        <v>Norton</v>
      </c>
      <c r="B18" s="29" t="str">
        <v>MA</v>
      </c>
      <c r="C18" s="24"/>
      <c r="D18" s="13"/>
      <c r="E18" s="13" t="str">
        <f t="shared" si="0"/>
        <v/>
      </c>
      <c r="F18" s="14" t="str">
        <f t="shared" si="3"/>
        <v/>
      </c>
      <c r="G18" s="15"/>
      <c r="H18" s="15" t="str">
        <f t="shared" si="1"/>
        <v/>
      </c>
      <c r="I18" s="16" t="str">
        <f t="shared" si="2"/>
        <v/>
      </c>
      <c r="J18" s="40"/>
      <c r="K18" s="40"/>
    </row>
    <row r="19" spans="1:11" ht="15.6">
      <c r="A19" s="30" t="str">
        <v>Palmer - Boston Rd.</v>
      </c>
      <c r="B19" s="31" t="str">
        <v>MA</v>
      </c>
      <c r="C19" s="11"/>
      <c r="D19" s="18"/>
      <c r="E19" s="18" t="str">
        <f t="shared" si="0"/>
        <v/>
      </c>
      <c r="F19" s="19" t="str">
        <f t="shared" si="3"/>
        <v/>
      </c>
      <c r="G19" s="20"/>
      <c r="H19" s="20" t="str">
        <f t="shared" si="1"/>
        <v/>
      </c>
      <c r="I19" s="19" t="str">
        <f t="shared" si="2"/>
        <v/>
      </c>
      <c r="J19" s="41"/>
      <c r="K19" s="41"/>
    </row>
    <row r="20" spans="1:11" ht="15.6">
      <c r="A20" s="28" t="str">
        <v>Shirley Bartkus</v>
      </c>
      <c r="B20" s="29" t="str">
        <v>MA</v>
      </c>
      <c r="C20" s="24"/>
      <c r="D20" s="13"/>
      <c r="E20" s="13" t="str">
        <f t="shared" si="0"/>
        <v/>
      </c>
      <c r="F20" s="14" t="str">
        <f t="shared" si="3"/>
        <v/>
      </c>
      <c r="G20" s="15"/>
      <c r="H20" s="15" t="str">
        <f t="shared" si="1"/>
        <v/>
      </c>
      <c r="I20" s="16" t="str">
        <f t="shared" si="2"/>
        <v/>
      </c>
      <c r="J20" s="40"/>
      <c r="K20" s="40"/>
    </row>
    <row r="21" spans="1:11" ht="15.6">
      <c r="A21" s="30" t="str">
        <v>Stoughton</v>
      </c>
      <c r="B21" s="31" t="str">
        <v>MA</v>
      </c>
      <c r="C21" s="11"/>
      <c r="D21" s="18"/>
      <c r="E21" s="18" t="str">
        <f t="shared" si="0"/>
        <v/>
      </c>
      <c r="F21" s="19" t="str">
        <f t="shared" si="3"/>
        <v/>
      </c>
      <c r="G21" s="20"/>
      <c r="H21" s="20" t="str">
        <f t="shared" si="1"/>
        <v/>
      </c>
      <c r="I21" s="19" t="str">
        <f t="shared" si="2"/>
        <v/>
      </c>
      <c r="J21" s="41"/>
      <c r="K21" s="42"/>
    </row>
    <row r="22" spans="1:11" ht="15.6">
      <c r="A22" s="28" t="str">
        <v>Wellfleet Landfill</v>
      </c>
      <c r="B22" s="29" t="str">
        <v>MA</v>
      </c>
      <c r="C22" s="24"/>
      <c r="D22" s="13"/>
      <c r="E22" s="13" t="str">
        <f t="shared" si="0"/>
        <v/>
      </c>
      <c r="F22" s="14" t="str">
        <f t="shared" si="3"/>
        <v/>
      </c>
      <c r="G22" s="15"/>
      <c r="H22" s="15" t="str">
        <f t="shared" si="1"/>
        <v/>
      </c>
      <c r="I22" s="16" t="str">
        <f t="shared" si="2"/>
        <v/>
      </c>
      <c r="J22" s="40"/>
      <c r="K22" s="40"/>
    </row>
    <row r="23" spans="1:11" ht="15.6">
      <c r="A23" s="30" t="str">
        <v>Wilmington Garage &amp; Building 7</v>
      </c>
      <c r="B23" s="31" t="str">
        <v>MA</v>
      </c>
      <c r="C23" s="11"/>
      <c r="D23" s="18"/>
      <c r="E23" s="18" t="str">
        <f t="shared" si="0"/>
        <v/>
      </c>
      <c r="F23" s="19" t="str">
        <f t="shared" si="3"/>
        <v/>
      </c>
      <c r="G23" s="20"/>
      <c r="H23" s="20" t="str">
        <f t="shared" si="1"/>
        <v/>
      </c>
      <c r="I23" s="19" t="str">
        <f t="shared" si="2"/>
        <v/>
      </c>
      <c r="J23" s="41"/>
      <c r="K23" s="42"/>
    </row>
    <row r="24" spans="1:11" ht="15.6">
      <c r="A24" s="28" t="str">
        <v>Woburn</v>
      </c>
      <c r="B24" s="29" t="str">
        <v>MA</v>
      </c>
      <c r="C24" s="24"/>
      <c r="D24" s="13"/>
      <c r="E24" s="13" t="str">
        <f t="shared" si="0"/>
        <v/>
      </c>
      <c r="F24" s="14" t="str">
        <f t="shared" si="3"/>
        <v/>
      </c>
      <c r="G24" s="15"/>
      <c r="H24" s="15" t="str">
        <f t="shared" si="1"/>
        <v/>
      </c>
      <c r="I24" s="16" t="str">
        <f t="shared" si="2"/>
        <v/>
      </c>
      <c r="J24" s="40"/>
      <c r="K24" s="40"/>
    </row>
    <row r="25" spans="1:11" ht="15.6">
      <c r="A25" s="30" t="str">
        <v>Friendship Solar 1</v>
      </c>
      <c r="B25" s="31" t="str">
        <v>MD</v>
      </c>
      <c r="C25" s="11"/>
      <c r="D25" s="18"/>
      <c r="E25" s="18" t="str">
        <f t="shared" si="0"/>
        <v/>
      </c>
      <c r="F25" s="19" t="str">
        <f t="shared" si="3"/>
        <v/>
      </c>
      <c r="G25" s="20"/>
      <c r="H25" s="20" t="str">
        <f t="shared" si="1"/>
        <v/>
      </c>
      <c r="I25" s="19" t="str">
        <f t="shared" si="2"/>
        <v/>
      </c>
      <c r="J25" s="41"/>
      <c r="K25" s="42"/>
    </row>
    <row r="26" spans="1:11" ht="15.6">
      <c r="A26" s="28" t="str">
        <v>Friendship Solar 2</v>
      </c>
      <c r="B26" s="29" t="str">
        <v>MD</v>
      </c>
      <c r="C26" s="24"/>
      <c r="D26" s="13"/>
      <c r="E26" s="13" t="str">
        <f t="shared" si="0"/>
        <v/>
      </c>
      <c r="F26" s="14" t="str">
        <f t="shared" si="3"/>
        <v/>
      </c>
      <c r="G26" s="15"/>
      <c r="H26" s="15" t="str">
        <f t="shared" si="1"/>
        <v/>
      </c>
      <c r="I26" s="16" t="str">
        <f t="shared" si="2"/>
        <v/>
      </c>
      <c r="J26" s="40"/>
      <c r="K26" s="40"/>
    </row>
    <row r="27" spans="1:11" ht="15.6">
      <c r="A27" s="30" t="str">
        <v>101 Carnegie Center</v>
      </c>
      <c r="B27" s="31" t="str">
        <v>NJ</v>
      </c>
      <c r="C27" s="11"/>
      <c r="D27" s="18"/>
      <c r="E27" s="18" t="str">
        <f t="shared" si="0"/>
        <v/>
      </c>
      <c r="F27" s="19" t="str">
        <f t="shared" si="3"/>
        <v/>
      </c>
      <c r="G27" s="20"/>
      <c r="H27" s="20" t="str">
        <f t="shared" si="1"/>
        <v/>
      </c>
      <c r="I27" s="19" t="str">
        <f t="shared" si="2"/>
        <v/>
      </c>
      <c r="J27" s="41"/>
      <c r="K27" s="42"/>
    </row>
    <row r="28" spans="1:11" ht="15.6">
      <c r="A28" s="28" t="str">
        <v>302 Carnegie Center</v>
      </c>
      <c r="B28" s="29" t="str">
        <v>NJ</v>
      </c>
      <c r="C28" s="24"/>
      <c r="D28" s="13"/>
      <c r="E28" s="13" t="str">
        <f t="shared" si="0"/>
        <v/>
      </c>
      <c r="F28" s="14" t="str">
        <f t="shared" si="3"/>
        <v/>
      </c>
      <c r="G28" s="15"/>
      <c r="H28" s="15" t="str">
        <f t="shared" si="1"/>
        <v/>
      </c>
      <c r="I28" s="16" t="str">
        <f t="shared" si="2"/>
        <v/>
      </c>
      <c r="J28" s="40"/>
      <c r="K28" s="40"/>
    </row>
    <row r="29" spans="1:11" ht="15.6">
      <c r="A29" s="30" t="str">
        <v>510 Carnegie Center</v>
      </c>
      <c r="B29" s="31" t="str">
        <v>NJ</v>
      </c>
      <c r="C29" s="11"/>
      <c r="D29" s="18"/>
      <c r="E29" s="18" t="str">
        <f t="shared" si="0"/>
        <v/>
      </c>
      <c r="F29" s="19" t="str">
        <f t="shared" si="3"/>
        <v/>
      </c>
      <c r="G29" s="20"/>
      <c r="H29" s="20" t="str">
        <f t="shared" si="1"/>
        <v/>
      </c>
      <c r="I29" s="19" t="str">
        <f t="shared" si="2"/>
        <v/>
      </c>
      <c r="J29" s="41"/>
      <c r="K29" s="42"/>
    </row>
    <row r="30" spans="1:11" ht="15.6">
      <c r="A30" s="28" t="str">
        <v>701 Carnegie Center</v>
      </c>
      <c r="B30" s="29" t="str">
        <v>NJ</v>
      </c>
      <c r="C30" s="24"/>
      <c r="D30" s="13"/>
      <c r="E30" s="13" t="str">
        <f t="shared" si="0"/>
        <v/>
      </c>
      <c r="F30" s="14" t="str">
        <f t="shared" si="3"/>
        <v/>
      </c>
      <c r="G30" s="15"/>
      <c r="H30" s="15" t="str">
        <f t="shared" si="1"/>
        <v/>
      </c>
      <c r="I30" s="16" t="str">
        <f t="shared" si="2"/>
        <v/>
      </c>
      <c r="J30" s="40"/>
      <c r="K30" s="40"/>
    </row>
    <row r="31" spans="1:11" ht="15.6">
      <c r="A31" s="30" t="str">
        <v>Hudson County Correction</v>
      </c>
      <c r="B31" s="31" t="str">
        <v>NJ</v>
      </c>
      <c r="C31" s="11"/>
      <c r="D31" s="18"/>
      <c r="E31" s="18" t="str">
        <f t="shared" si="0"/>
        <v/>
      </c>
      <c r="F31" s="19" t="str">
        <f t="shared" si="3"/>
        <v/>
      </c>
      <c r="G31" s="20"/>
      <c r="H31" s="20" t="str">
        <f t="shared" si="1"/>
        <v/>
      </c>
      <c r="I31" s="19" t="str">
        <f t="shared" si="2"/>
        <v/>
      </c>
      <c r="J31" s="41"/>
      <c r="K31" s="42"/>
    </row>
    <row r="32" spans="1:11" ht="15.6">
      <c r="A32" s="28" t="str">
        <v>ER Bison Solar</v>
      </c>
      <c r="B32" s="29" t="str">
        <v>PA</v>
      </c>
      <c r="C32" s="24"/>
      <c r="D32" s="13"/>
      <c r="E32" s="13" t="str">
        <f t="shared" si="0"/>
        <v/>
      </c>
      <c r="F32" s="14" t="str">
        <f t="shared" si="3"/>
        <v/>
      </c>
      <c r="G32" s="15"/>
      <c r="H32" s="15" t="str">
        <f t="shared" si="1"/>
        <v/>
      </c>
      <c r="I32" s="16" t="str">
        <f t="shared" si="2"/>
        <v/>
      </c>
      <c r="J32" s="40"/>
      <c r="K32" s="40"/>
    </row>
    <row r="33" spans="1:11" ht="15.6">
      <c r="A33" s="30" t="str">
        <v>Danville</v>
      </c>
      <c r="B33" s="31" t="str">
        <v>IL</v>
      </c>
      <c r="C33" s="11"/>
      <c r="D33" s="18"/>
      <c r="E33" s="18" t="str">
        <f t="shared" si="0"/>
        <v/>
      </c>
      <c r="F33" s="19" t="str">
        <f t="shared" si="3"/>
        <v/>
      </c>
      <c r="G33" s="20"/>
      <c r="H33" s="20" t="str">
        <f t="shared" si="1"/>
        <v/>
      </c>
      <c r="I33" s="19" t="str">
        <f t="shared" si="2"/>
        <v/>
      </c>
      <c r="J33" s="41"/>
      <c r="K33" s="42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45">
      <c r="C342" s="21"/>
      <c r="D342" s="21"/>
      <c r="E342" s="21"/>
      <c r="F342" s="22"/>
      <c r="G342" s="21"/>
      <c r="H342" s="21"/>
      <c r="I342" s="22"/>
      <c r="J342" s="21"/>
      <c r="K342" s="21"/>
    </row>
  </sheetData>
  <sortState xmlns:xlrd2="http://schemas.microsoft.com/office/spreadsheetml/2017/richdata2" ref="A3:K15">
    <sortCondition ref="A3:A15"/>
  </sortState>
  <mergeCells count="4">
    <mergeCell ref="G1:I1"/>
    <mergeCell ref="A1:C1"/>
    <mergeCell ref="D1:F1"/>
    <mergeCell ref="A2:B2"/>
  </mergeCells>
  <conditionalFormatting sqref="F2 I2">
    <cfRule type="cellIs" dxfId="27" priority="3" stopIfTrue="1" operator="lessThanOrEqual">
      <formula>-0.1</formula>
    </cfRule>
    <cfRule type="expression" dxfId="26" priority="4">
      <formula>AND(ISNUMBER(F2), F2&gt;=0.1)</formula>
    </cfRule>
  </conditionalFormatting>
  <conditionalFormatting sqref="F4:F100 I4:I100">
    <cfRule type="cellIs" dxfId="25" priority="1" stopIfTrue="1" operator="lessThanOrEqual">
      <formula>-0.1</formula>
    </cfRule>
    <cfRule type="expression" dxfId="24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42"/>
  <sheetViews>
    <sheetView workbookViewId="0">
      <pane xSplit="2" ySplit="3" topLeftCell="C11" activePane="bottomRight" state="frozen"/>
      <selection pane="bottomRight" activeCell="G30" sqref="G30"/>
      <selection pane="bottomLeft" activeCell="G30" sqref="G30"/>
      <selection pane="topRight" activeCell="G30" sqref="G30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9" t="str" cm="1">
        <f t="array" ref="A1">portfolio</f>
        <v>Greenbacker</v>
      </c>
      <c r="B1" s="79"/>
      <c r="C1" s="79"/>
      <c r="D1" s="80" t="s">
        <v>166</v>
      </c>
      <c r="E1" s="80"/>
      <c r="F1" s="80"/>
      <c r="G1" s="78" t="s">
        <v>167</v>
      </c>
      <c r="H1" s="78"/>
      <c r="I1" s="78"/>
      <c r="J1" s="4"/>
      <c r="K1" s="4"/>
    </row>
    <row r="2" spans="1:11" ht="19.5" customHeight="1">
      <c r="A2" s="81" t="s">
        <v>2</v>
      </c>
      <c r="B2" s="81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33">Sites[Site]</f>
        <v>10 Walpole Park South</v>
      </c>
      <c r="B4" s="29" t="str" cm="1">
        <f t="array" ref="B4:B33">Sites[State]</f>
        <v>MA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6">
      <c r="A5" s="30" t="str">
        <v>15 Walpole Park South</v>
      </c>
      <c r="B5" s="31" t="str">
        <v>MA</v>
      </c>
      <c r="C5" s="11"/>
      <c r="D5" s="18"/>
      <c r="E5" s="18" t="str">
        <f t="shared" ref="E5:E33" si="0">IF(AND(ISNUMBER(C5),ISNUMBER(D5)), C5-D5, "")</f>
        <v/>
      </c>
      <c r="F5" s="19" t="str">
        <f>IFERROR(E5/D5, "")</f>
        <v/>
      </c>
      <c r="G5" s="20"/>
      <c r="H5" s="20" t="str">
        <f t="shared" ref="H5:H33" si="1">IF(AND(ISNUMBER(C5),ISNUMBER(G5)), C5-G5, "")</f>
        <v/>
      </c>
      <c r="I5" s="19" t="str">
        <f t="shared" ref="I5:I33" si="2">IFERROR(H5/G5, "")</f>
        <v/>
      </c>
      <c r="J5" s="41"/>
      <c r="K5" s="41"/>
    </row>
    <row r="6" spans="1:11" ht="15.6">
      <c r="A6" s="28" t="str">
        <v>19 Walpole Park South</v>
      </c>
      <c r="B6" s="29" t="str">
        <v>MA</v>
      </c>
      <c r="C6" s="24"/>
      <c r="D6" s="13"/>
      <c r="E6" s="13" t="str">
        <f t="shared" si="0"/>
        <v/>
      </c>
      <c r="F6" s="14" t="str">
        <f t="shared" ref="F6:F33" si="3">IFERROR(E6/D6, "")</f>
        <v/>
      </c>
      <c r="G6" s="15"/>
      <c r="H6" s="15" t="str">
        <f t="shared" si="1"/>
        <v/>
      </c>
      <c r="I6" s="16" t="str">
        <f t="shared" si="2"/>
        <v/>
      </c>
      <c r="J6" s="40"/>
      <c r="K6" s="40"/>
    </row>
    <row r="7" spans="1:11" ht="15.6">
      <c r="A7" s="30" t="str">
        <v>23 Walpole Park South</v>
      </c>
      <c r="B7" s="31" t="str">
        <v>MA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1"/>
      <c r="K7" s="42"/>
    </row>
    <row r="8" spans="1:11" ht="15.6">
      <c r="A8" s="28" t="str">
        <v>24 Walpole Park South</v>
      </c>
      <c r="B8" s="29" t="str">
        <v>MA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0"/>
      <c r="K8" s="40"/>
    </row>
    <row r="9" spans="1:11" ht="15.6">
      <c r="A9" s="30" t="str">
        <v>25 Walpole Park South</v>
      </c>
      <c r="B9" s="31" t="str">
        <v>MA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1"/>
      <c r="K9" s="42"/>
    </row>
    <row r="10" spans="1:11" ht="15.6">
      <c r="A10" s="28" t="str">
        <v>3 Walpole Park South</v>
      </c>
      <c r="B10" s="29" t="str">
        <v>MA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0"/>
      <c r="K10" s="40"/>
    </row>
    <row r="11" spans="1:11" ht="15.6">
      <c r="A11" s="30" t="str">
        <v>4 Walpole Park South</v>
      </c>
      <c r="B11" s="31" t="str">
        <v>MA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1"/>
      <c r="K11" s="42"/>
    </row>
    <row r="12" spans="1:11" ht="15.6">
      <c r="A12" s="28" t="str">
        <v>Brockton</v>
      </c>
      <c r="B12" s="29" t="str">
        <v>MA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0"/>
      <c r="K12" s="40"/>
    </row>
    <row r="13" spans="1:11" ht="15.6">
      <c r="A13" s="30" t="str">
        <v>Canton</v>
      </c>
      <c r="B13" s="31" t="str">
        <v>MA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1"/>
      <c r="K13" s="42"/>
    </row>
    <row r="14" spans="1:11" ht="15.6">
      <c r="A14" s="28" t="str">
        <v>Chelsea</v>
      </c>
      <c r="B14" s="29" t="str">
        <v>MA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0"/>
      <c r="K14" s="40"/>
    </row>
    <row r="15" spans="1:11" ht="15.6">
      <c r="A15" s="30" t="str">
        <v>Hamilton Landfill</v>
      </c>
      <c r="B15" s="31" t="str">
        <v>MA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1"/>
      <c r="K15" s="42"/>
    </row>
    <row r="16" spans="1:11" ht="15.6">
      <c r="A16" s="28" t="str">
        <v>Holliston</v>
      </c>
      <c r="B16" s="29" t="str">
        <v>MA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0"/>
      <c r="K16" s="40"/>
    </row>
    <row r="17" spans="1:11" ht="15.6">
      <c r="A17" s="30" t="str">
        <v>Natick HS - Carports</v>
      </c>
      <c r="B17" s="31" t="str">
        <v>MA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1"/>
      <c r="K17" s="42"/>
    </row>
    <row r="18" spans="1:11" ht="12.75" customHeight="1">
      <c r="A18" s="32" t="str">
        <v>Norton</v>
      </c>
      <c r="B18" s="29" t="str">
        <v>MA</v>
      </c>
      <c r="C18" s="24"/>
      <c r="D18" s="13"/>
      <c r="E18" s="13" t="str">
        <f t="shared" si="0"/>
        <v/>
      </c>
      <c r="F18" s="14" t="str">
        <f t="shared" si="3"/>
        <v/>
      </c>
      <c r="G18" s="15"/>
      <c r="H18" s="15" t="str">
        <f t="shared" si="1"/>
        <v/>
      </c>
      <c r="I18" s="16" t="str">
        <f t="shared" si="2"/>
        <v/>
      </c>
      <c r="J18" s="40"/>
      <c r="K18" s="40"/>
    </row>
    <row r="19" spans="1:11" ht="15.6">
      <c r="A19" s="30" t="str">
        <v>Palmer - Boston Rd.</v>
      </c>
      <c r="B19" s="31" t="str">
        <v>MA</v>
      </c>
      <c r="C19" s="11"/>
      <c r="D19" s="18"/>
      <c r="E19" s="18" t="str">
        <f t="shared" si="0"/>
        <v/>
      </c>
      <c r="F19" s="19" t="str">
        <f t="shared" si="3"/>
        <v/>
      </c>
      <c r="G19" s="20"/>
      <c r="H19" s="20" t="str">
        <f t="shared" si="1"/>
        <v/>
      </c>
      <c r="I19" s="19" t="str">
        <f t="shared" si="2"/>
        <v/>
      </c>
      <c r="J19" s="41"/>
      <c r="K19" s="41"/>
    </row>
    <row r="20" spans="1:11" ht="15.6">
      <c r="A20" s="28" t="str">
        <v>Shirley Bartkus</v>
      </c>
      <c r="B20" s="29" t="str">
        <v>MA</v>
      </c>
      <c r="C20" s="24"/>
      <c r="D20" s="13"/>
      <c r="E20" s="13" t="str">
        <f t="shared" si="0"/>
        <v/>
      </c>
      <c r="F20" s="14" t="str">
        <f t="shared" si="3"/>
        <v/>
      </c>
      <c r="G20" s="15"/>
      <c r="H20" s="15" t="str">
        <f t="shared" si="1"/>
        <v/>
      </c>
      <c r="I20" s="16" t="str">
        <f t="shared" si="2"/>
        <v/>
      </c>
      <c r="J20" s="40"/>
      <c r="K20" s="40"/>
    </row>
    <row r="21" spans="1:11" ht="15.6">
      <c r="A21" s="30" t="str">
        <v>Stoughton</v>
      </c>
      <c r="B21" s="31" t="str">
        <v>MA</v>
      </c>
      <c r="C21" s="11"/>
      <c r="D21" s="18"/>
      <c r="E21" s="18" t="str">
        <f t="shared" si="0"/>
        <v/>
      </c>
      <c r="F21" s="19" t="str">
        <f t="shared" si="3"/>
        <v/>
      </c>
      <c r="G21" s="20"/>
      <c r="H21" s="20" t="str">
        <f t="shared" si="1"/>
        <v/>
      </c>
      <c r="I21" s="19" t="str">
        <f t="shared" si="2"/>
        <v/>
      </c>
      <c r="J21" s="41"/>
      <c r="K21" s="42"/>
    </row>
    <row r="22" spans="1:11" ht="15.6">
      <c r="A22" s="28" t="str">
        <v>Wellfleet Landfill</v>
      </c>
      <c r="B22" s="29" t="str">
        <v>MA</v>
      </c>
      <c r="C22" s="24"/>
      <c r="D22" s="13"/>
      <c r="E22" s="13" t="str">
        <f t="shared" si="0"/>
        <v/>
      </c>
      <c r="F22" s="14" t="str">
        <f t="shared" si="3"/>
        <v/>
      </c>
      <c r="G22" s="15"/>
      <c r="H22" s="15" t="str">
        <f t="shared" si="1"/>
        <v/>
      </c>
      <c r="I22" s="16" t="str">
        <f t="shared" si="2"/>
        <v/>
      </c>
      <c r="J22" s="40"/>
      <c r="K22" s="40"/>
    </row>
    <row r="23" spans="1:11" ht="15.6">
      <c r="A23" s="30" t="str">
        <v>Wilmington Garage &amp; Building 7</v>
      </c>
      <c r="B23" s="31" t="str">
        <v>MA</v>
      </c>
      <c r="C23" s="11"/>
      <c r="D23" s="18"/>
      <c r="E23" s="18" t="str">
        <f t="shared" si="0"/>
        <v/>
      </c>
      <c r="F23" s="19" t="str">
        <f t="shared" si="3"/>
        <v/>
      </c>
      <c r="G23" s="20"/>
      <c r="H23" s="20" t="str">
        <f t="shared" si="1"/>
        <v/>
      </c>
      <c r="I23" s="19" t="str">
        <f t="shared" si="2"/>
        <v/>
      </c>
      <c r="J23" s="41"/>
      <c r="K23" s="42"/>
    </row>
    <row r="24" spans="1:11" ht="15.6">
      <c r="A24" s="28" t="str">
        <v>Woburn</v>
      </c>
      <c r="B24" s="29" t="str">
        <v>MA</v>
      </c>
      <c r="C24" s="24"/>
      <c r="D24" s="13"/>
      <c r="E24" s="13" t="str">
        <f t="shared" si="0"/>
        <v/>
      </c>
      <c r="F24" s="14" t="str">
        <f t="shared" si="3"/>
        <v/>
      </c>
      <c r="G24" s="15"/>
      <c r="H24" s="15" t="str">
        <f t="shared" si="1"/>
        <v/>
      </c>
      <c r="I24" s="16" t="str">
        <f t="shared" si="2"/>
        <v/>
      </c>
      <c r="J24" s="40"/>
      <c r="K24" s="40"/>
    </row>
    <row r="25" spans="1:11" ht="15.6">
      <c r="A25" s="30" t="str">
        <v>Friendship Solar 1</v>
      </c>
      <c r="B25" s="31" t="str">
        <v>MD</v>
      </c>
      <c r="C25" s="11"/>
      <c r="D25" s="18"/>
      <c r="E25" s="18" t="str">
        <f t="shared" si="0"/>
        <v/>
      </c>
      <c r="F25" s="19" t="str">
        <f t="shared" si="3"/>
        <v/>
      </c>
      <c r="G25" s="20"/>
      <c r="H25" s="20" t="str">
        <f t="shared" si="1"/>
        <v/>
      </c>
      <c r="I25" s="19" t="str">
        <f t="shared" si="2"/>
        <v/>
      </c>
      <c r="J25" s="41"/>
      <c r="K25" s="42"/>
    </row>
    <row r="26" spans="1:11" ht="15.6">
      <c r="A26" s="28" t="str">
        <v>Friendship Solar 2</v>
      </c>
      <c r="B26" s="29" t="str">
        <v>MD</v>
      </c>
      <c r="C26" s="24"/>
      <c r="D26" s="13"/>
      <c r="E26" s="13" t="str">
        <f t="shared" si="0"/>
        <v/>
      </c>
      <c r="F26" s="14" t="str">
        <f t="shared" si="3"/>
        <v/>
      </c>
      <c r="G26" s="15"/>
      <c r="H26" s="15" t="str">
        <f t="shared" si="1"/>
        <v/>
      </c>
      <c r="I26" s="16" t="str">
        <f t="shared" si="2"/>
        <v/>
      </c>
      <c r="J26" s="40"/>
      <c r="K26" s="40"/>
    </row>
    <row r="27" spans="1:11" ht="15.6">
      <c r="A27" s="30" t="str">
        <v>101 Carnegie Center</v>
      </c>
      <c r="B27" s="31" t="str">
        <v>NJ</v>
      </c>
      <c r="C27" s="11"/>
      <c r="D27" s="18"/>
      <c r="E27" s="18" t="str">
        <f t="shared" si="0"/>
        <v/>
      </c>
      <c r="F27" s="19" t="str">
        <f t="shared" si="3"/>
        <v/>
      </c>
      <c r="G27" s="20"/>
      <c r="H27" s="20" t="str">
        <f t="shared" si="1"/>
        <v/>
      </c>
      <c r="I27" s="19" t="str">
        <f t="shared" si="2"/>
        <v/>
      </c>
      <c r="J27" s="41"/>
      <c r="K27" s="42"/>
    </row>
    <row r="28" spans="1:11" ht="15.6">
      <c r="A28" s="28" t="str">
        <v>302 Carnegie Center</v>
      </c>
      <c r="B28" s="29" t="str">
        <v>NJ</v>
      </c>
      <c r="C28" s="24"/>
      <c r="D28" s="13"/>
      <c r="E28" s="13" t="str">
        <f t="shared" si="0"/>
        <v/>
      </c>
      <c r="F28" s="14" t="str">
        <f t="shared" si="3"/>
        <v/>
      </c>
      <c r="G28" s="15"/>
      <c r="H28" s="15" t="str">
        <f t="shared" si="1"/>
        <v/>
      </c>
      <c r="I28" s="16" t="str">
        <f t="shared" si="2"/>
        <v/>
      </c>
      <c r="J28" s="40"/>
      <c r="K28" s="40"/>
    </row>
    <row r="29" spans="1:11" ht="15.6">
      <c r="A29" s="30" t="str">
        <v>510 Carnegie Center</v>
      </c>
      <c r="B29" s="31" t="str">
        <v>NJ</v>
      </c>
      <c r="C29" s="11"/>
      <c r="D29" s="18"/>
      <c r="E29" s="18" t="str">
        <f t="shared" si="0"/>
        <v/>
      </c>
      <c r="F29" s="19" t="str">
        <f t="shared" si="3"/>
        <v/>
      </c>
      <c r="G29" s="20"/>
      <c r="H29" s="20" t="str">
        <f t="shared" si="1"/>
        <v/>
      </c>
      <c r="I29" s="19" t="str">
        <f t="shared" si="2"/>
        <v/>
      </c>
      <c r="J29" s="41"/>
      <c r="K29" s="42"/>
    </row>
    <row r="30" spans="1:11" ht="15.6">
      <c r="A30" s="28" t="str">
        <v>701 Carnegie Center</v>
      </c>
      <c r="B30" s="29" t="str">
        <v>NJ</v>
      </c>
      <c r="C30" s="24"/>
      <c r="D30" s="13"/>
      <c r="E30" s="13" t="str">
        <f t="shared" si="0"/>
        <v/>
      </c>
      <c r="F30" s="14" t="str">
        <f t="shared" si="3"/>
        <v/>
      </c>
      <c r="G30" s="15"/>
      <c r="H30" s="15" t="str">
        <f t="shared" si="1"/>
        <v/>
      </c>
      <c r="I30" s="16" t="str">
        <f t="shared" si="2"/>
        <v/>
      </c>
      <c r="J30" s="40"/>
      <c r="K30" s="40"/>
    </row>
    <row r="31" spans="1:11" ht="15.6">
      <c r="A31" s="30" t="str">
        <v>Hudson County Correction</v>
      </c>
      <c r="B31" s="31" t="str">
        <v>NJ</v>
      </c>
      <c r="C31" s="11"/>
      <c r="D31" s="18"/>
      <c r="E31" s="18" t="str">
        <f t="shared" si="0"/>
        <v/>
      </c>
      <c r="F31" s="19" t="str">
        <f t="shared" si="3"/>
        <v/>
      </c>
      <c r="G31" s="20"/>
      <c r="H31" s="20" t="str">
        <f t="shared" si="1"/>
        <v/>
      </c>
      <c r="I31" s="19" t="str">
        <f t="shared" si="2"/>
        <v/>
      </c>
      <c r="J31" s="41"/>
      <c r="K31" s="42"/>
    </row>
    <row r="32" spans="1:11" ht="15.6">
      <c r="A32" s="28" t="str">
        <v>ER Bison Solar</v>
      </c>
      <c r="B32" s="29" t="str">
        <v>PA</v>
      </c>
      <c r="C32" s="24"/>
      <c r="D32" s="13"/>
      <c r="E32" s="13" t="str">
        <f t="shared" si="0"/>
        <v/>
      </c>
      <c r="F32" s="14" t="str">
        <f t="shared" si="3"/>
        <v/>
      </c>
      <c r="G32" s="15"/>
      <c r="H32" s="15" t="str">
        <f t="shared" si="1"/>
        <v/>
      </c>
      <c r="I32" s="16" t="str">
        <f t="shared" si="2"/>
        <v/>
      </c>
      <c r="J32" s="40"/>
      <c r="K32" s="40"/>
    </row>
    <row r="33" spans="1:11" ht="15.6">
      <c r="A33" s="30" t="str">
        <v>Danville</v>
      </c>
      <c r="B33" s="31" t="str">
        <v>IL</v>
      </c>
      <c r="C33" s="11"/>
      <c r="D33" s="18"/>
      <c r="E33" s="18" t="str">
        <f t="shared" si="0"/>
        <v/>
      </c>
      <c r="F33" s="19" t="str">
        <f t="shared" si="3"/>
        <v/>
      </c>
      <c r="G33" s="20"/>
      <c r="H33" s="20" t="str">
        <f t="shared" si="1"/>
        <v/>
      </c>
      <c r="I33" s="19" t="str">
        <f t="shared" si="2"/>
        <v/>
      </c>
      <c r="J33" s="41"/>
      <c r="K33" s="42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45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23" priority="3" stopIfTrue="1" operator="lessThanOrEqual">
      <formula>-0.1</formula>
    </cfRule>
    <cfRule type="expression" dxfId="22" priority="4">
      <formula>AND(ISNUMBER(F2), F2&gt;=0.1)</formula>
    </cfRule>
  </conditionalFormatting>
  <conditionalFormatting sqref="F4:F100 I4:I100">
    <cfRule type="cellIs" dxfId="21" priority="1" stopIfTrue="1" operator="lessThanOrEqual">
      <formula>-0.1</formula>
    </cfRule>
    <cfRule type="expression" dxfId="20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42"/>
  <sheetViews>
    <sheetView workbookViewId="0">
      <pane xSplit="2" ySplit="3" topLeftCell="C9" activePane="bottomRight" state="frozen"/>
      <selection pane="bottomRight" activeCell="G30" sqref="G30"/>
      <selection pane="bottomLeft" activeCell="G30" sqref="G30"/>
      <selection pane="topRight" activeCell="G30" sqref="G30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9" t="str" cm="1">
        <f t="array" ref="A1">portfolio</f>
        <v>Greenbacker</v>
      </c>
      <c r="B1" s="79"/>
      <c r="C1" s="79"/>
      <c r="D1" s="80" t="s">
        <v>168</v>
      </c>
      <c r="E1" s="80"/>
      <c r="F1" s="80"/>
      <c r="G1" s="78" t="s">
        <v>169</v>
      </c>
      <c r="H1" s="78"/>
      <c r="I1" s="78"/>
      <c r="J1" s="4"/>
      <c r="K1" s="4"/>
    </row>
    <row r="2" spans="1:11" ht="19.5" customHeight="1">
      <c r="A2" s="81" t="s">
        <v>2</v>
      </c>
      <c r="B2" s="81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33">Sites[Site]</f>
        <v>10 Walpole Park South</v>
      </c>
      <c r="B4" s="29" t="str" cm="1">
        <f t="array" ref="B4:B33">Sites[State]</f>
        <v>MA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6">
      <c r="A5" s="30" t="str">
        <v>15 Walpole Park South</v>
      </c>
      <c r="B5" s="31" t="str">
        <v>MA</v>
      </c>
      <c r="C5" s="11"/>
      <c r="D5" s="18"/>
      <c r="E5" s="18" t="str">
        <f t="shared" ref="E5:E33" si="0">IF(AND(ISNUMBER(C5),ISNUMBER(D5)), C5-D5, "")</f>
        <v/>
      </c>
      <c r="F5" s="19" t="str">
        <f>IFERROR(E5/D5, "")</f>
        <v/>
      </c>
      <c r="G5" s="20"/>
      <c r="H5" s="20" t="str">
        <f t="shared" ref="H5:H33" si="1">IF(AND(ISNUMBER(C5),ISNUMBER(G5)), C5-G5, "")</f>
        <v/>
      </c>
      <c r="I5" s="19" t="str">
        <f t="shared" ref="I5:I33" si="2">IFERROR(H5/G5, "")</f>
        <v/>
      </c>
      <c r="J5" s="41"/>
      <c r="K5" s="41"/>
    </row>
    <row r="6" spans="1:11" ht="15.6">
      <c r="A6" s="28" t="str">
        <v>19 Walpole Park South</v>
      </c>
      <c r="B6" s="29" t="str">
        <v>MA</v>
      </c>
      <c r="C6" s="24"/>
      <c r="D6" s="13"/>
      <c r="E6" s="13" t="str">
        <f t="shared" si="0"/>
        <v/>
      </c>
      <c r="F6" s="14" t="str">
        <f t="shared" ref="F6:F33" si="3">IFERROR(E6/D6, "")</f>
        <v/>
      </c>
      <c r="G6" s="15"/>
      <c r="H6" s="15" t="str">
        <f t="shared" si="1"/>
        <v/>
      </c>
      <c r="I6" s="16" t="str">
        <f t="shared" si="2"/>
        <v/>
      </c>
      <c r="J6" s="40"/>
      <c r="K6" s="40"/>
    </row>
    <row r="7" spans="1:11" ht="15.6">
      <c r="A7" s="30" t="str">
        <v>23 Walpole Park South</v>
      </c>
      <c r="B7" s="31" t="str">
        <v>MA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1"/>
      <c r="K7" s="42"/>
    </row>
    <row r="8" spans="1:11" ht="15.6">
      <c r="A8" s="28" t="str">
        <v>24 Walpole Park South</v>
      </c>
      <c r="B8" s="29" t="str">
        <v>MA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0"/>
      <c r="K8" s="40"/>
    </row>
    <row r="9" spans="1:11" ht="15.6">
      <c r="A9" s="30" t="str">
        <v>25 Walpole Park South</v>
      </c>
      <c r="B9" s="31" t="str">
        <v>MA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1"/>
      <c r="K9" s="42"/>
    </row>
    <row r="10" spans="1:11" ht="15.6">
      <c r="A10" s="28" t="str">
        <v>3 Walpole Park South</v>
      </c>
      <c r="B10" s="29" t="str">
        <v>MA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0"/>
      <c r="K10" s="40"/>
    </row>
    <row r="11" spans="1:11" ht="15.6">
      <c r="A11" s="30" t="str">
        <v>4 Walpole Park South</v>
      </c>
      <c r="B11" s="31" t="str">
        <v>MA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1"/>
      <c r="K11" s="42"/>
    </row>
    <row r="12" spans="1:11" ht="15.6">
      <c r="A12" s="28" t="str">
        <v>Brockton</v>
      </c>
      <c r="B12" s="29" t="str">
        <v>MA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0"/>
      <c r="K12" s="40"/>
    </row>
    <row r="13" spans="1:11" ht="15.6">
      <c r="A13" s="30" t="str">
        <v>Canton</v>
      </c>
      <c r="B13" s="31" t="str">
        <v>MA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1"/>
      <c r="K13" s="42"/>
    </row>
    <row r="14" spans="1:11" ht="15.6">
      <c r="A14" s="28" t="str">
        <v>Chelsea</v>
      </c>
      <c r="B14" s="29" t="str">
        <v>MA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0"/>
      <c r="K14" s="40"/>
    </row>
    <row r="15" spans="1:11" ht="15.6">
      <c r="A15" s="30" t="str">
        <v>Hamilton Landfill</v>
      </c>
      <c r="B15" s="31" t="str">
        <v>MA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1"/>
      <c r="K15" s="42"/>
    </row>
    <row r="16" spans="1:11" ht="15.6">
      <c r="A16" s="28" t="str">
        <v>Holliston</v>
      </c>
      <c r="B16" s="29" t="str">
        <v>MA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0"/>
      <c r="K16" s="40"/>
    </row>
    <row r="17" spans="1:11" ht="15.6">
      <c r="A17" s="30" t="str">
        <v>Natick HS - Carports</v>
      </c>
      <c r="B17" s="31" t="str">
        <v>MA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1"/>
      <c r="K17" s="42"/>
    </row>
    <row r="18" spans="1:11" ht="12.75" customHeight="1">
      <c r="A18" s="32" t="str">
        <v>Norton</v>
      </c>
      <c r="B18" s="29" t="str">
        <v>MA</v>
      </c>
      <c r="C18" s="24"/>
      <c r="D18" s="13"/>
      <c r="E18" s="13" t="str">
        <f t="shared" si="0"/>
        <v/>
      </c>
      <c r="F18" s="14" t="str">
        <f t="shared" si="3"/>
        <v/>
      </c>
      <c r="G18" s="15"/>
      <c r="H18" s="15" t="str">
        <f t="shared" si="1"/>
        <v/>
      </c>
      <c r="I18" s="16" t="str">
        <f t="shared" si="2"/>
        <v/>
      </c>
      <c r="J18" s="40"/>
      <c r="K18" s="40"/>
    </row>
    <row r="19" spans="1:11" ht="15.6">
      <c r="A19" s="30" t="str">
        <v>Palmer - Boston Rd.</v>
      </c>
      <c r="B19" s="31" t="str">
        <v>MA</v>
      </c>
      <c r="C19" s="11"/>
      <c r="D19" s="18"/>
      <c r="E19" s="18" t="str">
        <f t="shared" si="0"/>
        <v/>
      </c>
      <c r="F19" s="19" t="str">
        <f t="shared" si="3"/>
        <v/>
      </c>
      <c r="G19" s="20"/>
      <c r="H19" s="20" t="str">
        <f t="shared" si="1"/>
        <v/>
      </c>
      <c r="I19" s="19" t="str">
        <f t="shared" si="2"/>
        <v/>
      </c>
      <c r="J19" s="41"/>
      <c r="K19" s="41"/>
    </row>
    <row r="20" spans="1:11" ht="15.6">
      <c r="A20" s="28" t="str">
        <v>Shirley Bartkus</v>
      </c>
      <c r="B20" s="29" t="str">
        <v>MA</v>
      </c>
      <c r="C20" s="24"/>
      <c r="D20" s="13"/>
      <c r="E20" s="13" t="str">
        <f t="shared" si="0"/>
        <v/>
      </c>
      <c r="F20" s="14" t="str">
        <f t="shared" si="3"/>
        <v/>
      </c>
      <c r="G20" s="15"/>
      <c r="H20" s="15" t="str">
        <f t="shared" si="1"/>
        <v/>
      </c>
      <c r="I20" s="16" t="str">
        <f t="shared" si="2"/>
        <v/>
      </c>
      <c r="J20" s="40"/>
      <c r="K20" s="40"/>
    </row>
    <row r="21" spans="1:11" ht="15.6">
      <c r="A21" s="30" t="str">
        <v>Stoughton</v>
      </c>
      <c r="B21" s="31" t="str">
        <v>MA</v>
      </c>
      <c r="C21" s="11"/>
      <c r="D21" s="18"/>
      <c r="E21" s="18" t="str">
        <f t="shared" si="0"/>
        <v/>
      </c>
      <c r="F21" s="19" t="str">
        <f t="shared" si="3"/>
        <v/>
      </c>
      <c r="G21" s="20"/>
      <c r="H21" s="20" t="str">
        <f t="shared" si="1"/>
        <v/>
      </c>
      <c r="I21" s="19" t="str">
        <f t="shared" si="2"/>
        <v/>
      </c>
      <c r="J21" s="41"/>
      <c r="K21" s="42"/>
    </row>
    <row r="22" spans="1:11" ht="15.6">
      <c r="A22" s="28" t="str">
        <v>Wellfleet Landfill</v>
      </c>
      <c r="B22" s="29" t="str">
        <v>MA</v>
      </c>
      <c r="C22" s="24"/>
      <c r="D22" s="13"/>
      <c r="E22" s="13" t="str">
        <f t="shared" si="0"/>
        <v/>
      </c>
      <c r="F22" s="14" t="str">
        <f t="shared" si="3"/>
        <v/>
      </c>
      <c r="G22" s="15"/>
      <c r="H22" s="15" t="str">
        <f t="shared" si="1"/>
        <v/>
      </c>
      <c r="I22" s="16" t="str">
        <f t="shared" si="2"/>
        <v/>
      </c>
      <c r="J22" s="40"/>
      <c r="K22" s="40"/>
    </row>
    <row r="23" spans="1:11" ht="15.6">
      <c r="A23" s="30" t="str">
        <v>Wilmington Garage &amp; Building 7</v>
      </c>
      <c r="B23" s="31" t="str">
        <v>MA</v>
      </c>
      <c r="C23" s="11"/>
      <c r="D23" s="18"/>
      <c r="E23" s="18" t="str">
        <f t="shared" si="0"/>
        <v/>
      </c>
      <c r="F23" s="19" t="str">
        <f t="shared" si="3"/>
        <v/>
      </c>
      <c r="G23" s="20"/>
      <c r="H23" s="20" t="str">
        <f t="shared" si="1"/>
        <v/>
      </c>
      <c r="I23" s="19" t="str">
        <f t="shared" si="2"/>
        <v/>
      </c>
      <c r="J23" s="41"/>
      <c r="K23" s="42"/>
    </row>
    <row r="24" spans="1:11" ht="15.6">
      <c r="A24" s="28" t="str">
        <v>Woburn</v>
      </c>
      <c r="B24" s="29" t="str">
        <v>MA</v>
      </c>
      <c r="C24" s="24"/>
      <c r="D24" s="13"/>
      <c r="E24" s="13" t="str">
        <f t="shared" si="0"/>
        <v/>
      </c>
      <c r="F24" s="14" t="str">
        <f t="shared" si="3"/>
        <v/>
      </c>
      <c r="G24" s="15"/>
      <c r="H24" s="15" t="str">
        <f t="shared" si="1"/>
        <v/>
      </c>
      <c r="I24" s="16" t="str">
        <f t="shared" si="2"/>
        <v/>
      </c>
      <c r="J24" s="40"/>
      <c r="K24" s="40"/>
    </row>
    <row r="25" spans="1:11" ht="15.6">
      <c r="A25" s="30" t="str">
        <v>Friendship Solar 1</v>
      </c>
      <c r="B25" s="31" t="str">
        <v>MD</v>
      </c>
      <c r="C25" s="11"/>
      <c r="D25" s="18"/>
      <c r="E25" s="18" t="str">
        <f t="shared" si="0"/>
        <v/>
      </c>
      <c r="F25" s="19" t="str">
        <f t="shared" si="3"/>
        <v/>
      </c>
      <c r="G25" s="20"/>
      <c r="H25" s="20" t="str">
        <f t="shared" si="1"/>
        <v/>
      </c>
      <c r="I25" s="19" t="str">
        <f t="shared" si="2"/>
        <v/>
      </c>
      <c r="J25" s="41"/>
      <c r="K25" s="42"/>
    </row>
    <row r="26" spans="1:11" ht="15.6">
      <c r="A26" s="28" t="str">
        <v>Friendship Solar 2</v>
      </c>
      <c r="B26" s="29" t="str">
        <v>MD</v>
      </c>
      <c r="C26" s="24"/>
      <c r="D26" s="13"/>
      <c r="E26" s="13" t="str">
        <f t="shared" si="0"/>
        <v/>
      </c>
      <c r="F26" s="14" t="str">
        <f t="shared" si="3"/>
        <v/>
      </c>
      <c r="G26" s="15"/>
      <c r="H26" s="15" t="str">
        <f t="shared" si="1"/>
        <v/>
      </c>
      <c r="I26" s="16" t="str">
        <f t="shared" si="2"/>
        <v/>
      </c>
      <c r="J26" s="40"/>
      <c r="K26" s="40"/>
    </row>
    <row r="27" spans="1:11" ht="15.6">
      <c r="A27" s="30" t="str">
        <v>101 Carnegie Center</v>
      </c>
      <c r="B27" s="31" t="str">
        <v>NJ</v>
      </c>
      <c r="C27" s="11"/>
      <c r="D27" s="18"/>
      <c r="E27" s="18" t="str">
        <f t="shared" si="0"/>
        <v/>
      </c>
      <c r="F27" s="19" t="str">
        <f t="shared" si="3"/>
        <v/>
      </c>
      <c r="G27" s="20"/>
      <c r="H27" s="20" t="str">
        <f t="shared" si="1"/>
        <v/>
      </c>
      <c r="I27" s="19" t="str">
        <f t="shared" si="2"/>
        <v/>
      </c>
      <c r="J27" s="41"/>
      <c r="K27" s="42"/>
    </row>
    <row r="28" spans="1:11" ht="15.6">
      <c r="A28" s="28" t="str">
        <v>302 Carnegie Center</v>
      </c>
      <c r="B28" s="29" t="str">
        <v>NJ</v>
      </c>
      <c r="C28" s="24"/>
      <c r="D28" s="13"/>
      <c r="E28" s="13" t="str">
        <f t="shared" si="0"/>
        <v/>
      </c>
      <c r="F28" s="14" t="str">
        <f t="shared" si="3"/>
        <v/>
      </c>
      <c r="G28" s="15"/>
      <c r="H28" s="15" t="str">
        <f t="shared" si="1"/>
        <v/>
      </c>
      <c r="I28" s="16" t="str">
        <f t="shared" si="2"/>
        <v/>
      </c>
      <c r="J28" s="40"/>
      <c r="K28" s="40"/>
    </row>
    <row r="29" spans="1:11" ht="15.6">
      <c r="A29" s="30" t="str">
        <v>510 Carnegie Center</v>
      </c>
      <c r="B29" s="31" t="str">
        <v>NJ</v>
      </c>
      <c r="C29" s="11"/>
      <c r="D29" s="18"/>
      <c r="E29" s="18" t="str">
        <f t="shared" si="0"/>
        <v/>
      </c>
      <c r="F29" s="19" t="str">
        <f t="shared" si="3"/>
        <v/>
      </c>
      <c r="G29" s="20"/>
      <c r="H29" s="20" t="str">
        <f t="shared" si="1"/>
        <v/>
      </c>
      <c r="I29" s="19" t="str">
        <f t="shared" si="2"/>
        <v/>
      </c>
      <c r="J29" s="41"/>
      <c r="K29" s="42"/>
    </row>
    <row r="30" spans="1:11" ht="15.6">
      <c r="A30" s="28" t="str">
        <v>701 Carnegie Center</v>
      </c>
      <c r="B30" s="29" t="str">
        <v>NJ</v>
      </c>
      <c r="C30" s="24"/>
      <c r="D30" s="13"/>
      <c r="E30" s="13" t="str">
        <f t="shared" si="0"/>
        <v/>
      </c>
      <c r="F30" s="14" t="str">
        <f t="shared" si="3"/>
        <v/>
      </c>
      <c r="G30" s="15"/>
      <c r="H30" s="15" t="str">
        <f t="shared" si="1"/>
        <v/>
      </c>
      <c r="I30" s="16" t="str">
        <f t="shared" si="2"/>
        <v/>
      </c>
      <c r="J30" s="40"/>
      <c r="K30" s="40"/>
    </row>
    <row r="31" spans="1:11" ht="15.6">
      <c r="A31" s="30" t="str">
        <v>Hudson County Correction</v>
      </c>
      <c r="B31" s="31" t="str">
        <v>NJ</v>
      </c>
      <c r="C31" s="11"/>
      <c r="D31" s="18"/>
      <c r="E31" s="18" t="str">
        <f t="shared" si="0"/>
        <v/>
      </c>
      <c r="F31" s="19" t="str">
        <f t="shared" si="3"/>
        <v/>
      </c>
      <c r="G31" s="20"/>
      <c r="H31" s="20" t="str">
        <f t="shared" si="1"/>
        <v/>
      </c>
      <c r="I31" s="19" t="str">
        <f t="shared" si="2"/>
        <v/>
      </c>
      <c r="J31" s="41"/>
      <c r="K31" s="42"/>
    </row>
    <row r="32" spans="1:11" ht="15.6">
      <c r="A32" s="28" t="str">
        <v>ER Bison Solar</v>
      </c>
      <c r="B32" s="29" t="str">
        <v>PA</v>
      </c>
      <c r="C32" s="24"/>
      <c r="D32" s="13"/>
      <c r="E32" s="13" t="str">
        <f t="shared" si="0"/>
        <v/>
      </c>
      <c r="F32" s="14" t="str">
        <f t="shared" si="3"/>
        <v/>
      </c>
      <c r="G32" s="15"/>
      <c r="H32" s="15" t="str">
        <f t="shared" si="1"/>
        <v/>
      </c>
      <c r="I32" s="16" t="str">
        <f t="shared" si="2"/>
        <v/>
      </c>
      <c r="J32" s="40"/>
      <c r="K32" s="40"/>
    </row>
    <row r="33" spans="1:11" ht="15.6">
      <c r="A33" s="30" t="str">
        <v>Danville</v>
      </c>
      <c r="B33" s="31" t="str">
        <v>IL</v>
      </c>
      <c r="C33" s="11"/>
      <c r="D33" s="18"/>
      <c r="E33" s="18" t="str">
        <f t="shared" si="0"/>
        <v/>
      </c>
      <c r="F33" s="19" t="str">
        <f t="shared" si="3"/>
        <v/>
      </c>
      <c r="G33" s="20"/>
      <c r="H33" s="20" t="str">
        <f t="shared" si="1"/>
        <v/>
      </c>
      <c r="I33" s="19" t="str">
        <f t="shared" si="2"/>
        <v/>
      </c>
      <c r="J33" s="41"/>
      <c r="K33" s="42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45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19" priority="3" stopIfTrue="1" operator="lessThanOrEqual">
      <formula>-0.1</formula>
    </cfRule>
    <cfRule type="expression" dxfId="18" priority="4">
      <formula>AND(ISNUMBER(F2), F2&gt;=0.1)</formula>
    </cfRule>
  </conditionalFormatting>
  <conditionalFormatting sqref="F4:F100 I4:I100">
    <cfRule type="cellIs" dxfId="17" priority="1" stopIfTrue="1" operator="lessThanOrEqual">
      <formula>-0.1</formula>
    </cfRule>
    <cfRule type="expression" dxfId="16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42"/>
  <sheetViews>
    <sheetView workbookViewId="0">
      <pane xSplit="2" ySplit="3" topLeftCell="C11" activePane="bottomRight" state="frozen"/>
      <selection pane="bottomRight" activeCell="G30" sqref="G30"/>
      <selection pane="bottomLeft" activeCell="G30" sqref="G30"/>
      <selection pane="topRight" activeCell="G30" sqref="G30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9" t="str" cm="1">
        <f t="array" ref="A1">portfolio</f>
        <v>Greenbacker</v>
      </c>
      <c r="B1" s="79"/>
      <c r="C1" s="79"/>
      <c r="D1" s="80" t="s">
        <v>170</v>
      </c>
      <c r="E1" s="80"/>
      <c r="F1" s="80"/>
      <c r="G1" s="78" t="s">
        <v>171</v>
      </c>
      <c r="H1" s="78"/>
      <c r="I1" s="78"/>
      <c r="J1" s="4"/>
      <c r="K1" s="4"/>
    </row>
    <row r="2" spans="1:11" ht="19.5" customHeight="1">
      <c r="A2" s="81" t="s">
        <v>2</v>
      </c>
      <c r="B2" s="81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33">Sites[Site]</f>
        <v>10 Walpole Park South</v>
      </c>
      <c r="B4" s="29" t="str" cm="1">
        <f t="array" ref="B4:B33">Sites[State]</f>
        <v>MA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6">
      <c r="A5" s="30" t="str">
        <v>15 Walpole Park South</v>
      </c>
      <c r="B5" s="31" t="str">
        <v>MA</v>
      </c>
      <c r="C5" s="11"/>
      <c r="D5" s="18"/>
      <c r="E5" s="18" t="str">
        <f t="shared" ref="E5:E33" si="0">IF(AND(ISNUMBER(C5),ISNUMBER(D5)), C5-D5, "")</f>
        <v/>
      </c>
      <c r="F5" s="19" t="str">
        <f>IFERROR(E5/D5, "")</f>
        <v/>
      </c>
      <c r="G5" s="20"/>
      <c r="H5" s="20" t="str">
        <f t="shared" ref="H5:H33" si="1">IF(AND(ISNUMBER(C5),ISNUMBER(G5)), C5-G5, "")</f>
        <v/>
      </c>
      <c r="I5" s="19" t="str">
        <f t="shared" ref="I5:I33" si="2">IFERROR(H5/G5, "")</f>
        <v/>
      </c>
      <c r="J5" s="41"/>
      <c r="K5" s="41"/>
    </row>
    <row r="6" spans="1:11" ht="15.6">
      <c r="A6" s="28" t="str">
        <v>19 Walpole Park South</v>
      </c>
      <c r="B6" s="29" t="str">
        <v>MA</v>
      </c>
      <c r="C6" s="24"/>
      <c r="D6" s="13"/>
      <c r="E6" s="13" t="str">
        <f t="shared" si="0"/>
        <v/>
      </c>
      <c r="F6" s="14" t="str">
        <f t="shared" ref="F6:F33" si="3">IFERROR(E6/D6, "")</f>
        <v/>
      </c>
      <c r="G6" s="15"/>
      <c r="H6" s="15" t="str">
        <f t="shared" si="1"/>
        <v/>
      </c>
      <c r="I6" s="16" t="str">
        <f t="shared" si="2"/>
        <v/>
      </c>
      <c r="J6" s="40"/>
      <c r="K6" s="40"/>
    </row>
    <row r="7" spans="1:11" ht="15.6">
      <c r="A7" s="30" t="str">
        <v>23 Walpole Park South</v>
      </c>
      <c r="B7" s="31" t="str">
        <v>MA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1"/>
      <c r="K7" s="42"/>
    </row>
    <row r="8" spans="1:11" ht="15.6">
      <c r="A8" s="28" t="str">
        <v>24 Walpole Park South</v>
      </c>
      <c r="B8" s="29" t="str">
        <v>MA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0"/>
      <c r="K8" s="40"/>
    </row>
    <row r="9" spans="1:11" ht="15.6">
      <c r="A9" s="30" t="str">
        <v>25 Walpole Park South</v>
      </c>
      <c r="B9" s="31" t="str">
        <v>MA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1"/>
      <c r="K9" s="42"/>
    </row>
    <row r="10" spans="1:11" ht="15.6">
      <c r="A10" s="28" t="str">
        <v>3 Walpole Park South</v>
      </c>
      <c r="B10" s="29" t="str">
        <v>MA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0"/>
      <c r="K10" s="40"/>
    </row>
    <row r="11" spans="1:11" ht="15.6">
      <c r="A11" s="30" t="str">
        <v>4 Walpole Park South</v>
      </c>
      <c r="B11" s="31" t="str">
        <v>MA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1"/>
      <c r="K11" s="42"/>
    </row>
    <row r="12" spans="1:11" ht="15.6">
      <c r="A12" s="28" t="str">
        <v>Brockton</v>
      </c>
      <c r="B12" s="29" t="str">
        <v>MA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0"/>
      <c r="K12" s="40"/>
    </row>
    <row r="13" spans="1:11" ht="15.6">
      <c r="A13" s="30" t="str">
        <v>Canton</v>
      </c>
      <c r="B13" s="31" t="str">
        <v>MA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1"/>
      <c r="K13" s="42"/>
    </row>
    <row r="14" spans="1:11" ht="15.6">
      <c r="A14" s="28" t="str">
        <v>Chelsea</v>
      </c>
      <c r="B14" s="29" t="str">
        <v>MA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0"/>
      <c r="K14" s="40"/>
    </row>
    <row r="15" spans="1:11" ht="15.6">
      <c r="A15" s="30" t="str">
        <v>Hamilton Landfill</v>
      </c>
      <c r="B15" s="31" t="str">
        <v>MA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1"/>
      <c r="K15" s="42"/>
    </row>
    <row r="16" spans="1:11" ht="15.6">
      <c r="A16" s="28" t="str">
        <v>Holliston</v>
      </c>
      <c r="B16" s="29" t="str">
        <v>MA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0"/>
      <c r="K16" s="40"/>
    </row>
    <row r="17" spans="1:11" ht="15.6">
      <c r="A17" s="30" t="str">
        <v>Natick HS - Carports</v>
      </c>
      <c r="B17" s="31" t="str">
        <v>MA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1"/>
      <c r="K17" s="42"/>
    </row>
    <row r="18" spans="1:11" ht="12.75" customHeight="1">
      <c r="A18" s="32" t="str">
        <v>Norton</v>
      </c>
      <c r="B18" s="29" t="str">
        <v>MA</v>
      </c>
      <c r="C18" s="24"/>
      <c r="D18" s="13"/>
      <c r="E18" s="13" t="str">
        <f t="shared" si="0"/>
        <v/>
      </c>
      <c r="F18" s="14" t="str">
        <f t="shared" si="3"/>
        <v/>
      </c>
      <c r="G18" s="15"/>
      <c r="H18" s="15" t="str">
        <f t="shared" si="1"/>
        <v/>
      </c>
      <c r="I18" s="16" t="str">
        <f t="shared" si="2"/>
        <v/>
      </c>
      <c r="J18" s="40"/>
      <c r="K18" s="40"/>
    </row>
    <row r="19" spans="1:11" ht="15.6">
      <c r="A19" s="30" t="str">
        <v>Palmer - Boston Rd.</v>
      </c>
      <c r="B19" s="31" t="str">
        <v>MA</v>
      </c>
      <c r="C19" s="11"/>
      <c r="D19" s="18"/>
      <c r="E19" s="18" t="str">
        <f t="shared" si="0"/>
        <v/>
      </c>
      <c r="F19" s="19" t="str">
        <f t="shared" si="3"/>
        <v/>
      </c>
      <c r="G19" s="20"/>
      <c r="H19" s="20" t="str">
        <f t="shared" si="1"/>
        <v/>
      </c>
      <c r="I19" s="19" t="str">
        <f t="shared" si="2"/>
        <v/>
      </c>
      <c r="J19" s="41"/>
      <c r="K19" s="41"/>
    </row>
    <row r="20" spans="1:11" ht="15.6">
      <c r="A20" s="28" t="str">
        <v>Shirley Bartkus</v>
      </c>
      <c r="B20" s="29" t="str">
        <v>MA</v>
      </c>
      <c r="C20" s="24"/>
      <c r="D20" s="13"/>
      <c r="E20" s="13" t="str">
        <f t="shared" si="0"/>
        <v/>
      </c>
      <c r="F20" s="14" t="str">
        <f t="shared" si="3"/>
        <v/>
      </c>
      <c r="G20" s="15"/>
      <c r="H20" s="15" t="str">
        <f t="shared" si="1"/>
        <v/>
      </c>
      <c r="I20" s="16" t="str">
        <f t="shared" si="2"/>
        <v/>
      </c>
      <c r="J20" s="40"/>
      <c r="K20" s="40"/>
    </row>
    <row r="21" spans="1:11" ht="15.6">
      <c r="A21" s="30" t="str">
        <v>Stoughton</v>
      </c>
      <c r="B21" s="31" t="str">
        <v>MA</v>
      </c>
      <c r="C21" s="11"/>
      <c r="D21" s="18"/>
      <c r="E21" s="18" t="str">
        <f t="shared" si="0"/>
        <v/>
      </c>
      <c r="F21" s="19" t="str">
        <f t="shared" si="3"/>
        <v/>
      </c>
      <c r="G21" s="20"/>
      <c r="H21" s="20" t="str">
        <f t="shared" si="1"/>
        <v/>
      </c>
      <c r="I21" s="19" t="str">
        <f t="shared" si="2"/>
        <v/>
      </c>
      <c r="J21" s="41"/>
      <c r="K21" s="42"/>
    </row>
    <row r="22" spans="1:11" ht="15.6">
      <c r="A22" s="28" t="str">
        <v>Wellfleet Landfill</v>
      </c>
      <c r="B22" s="29" t="str">
        <v>MA</v>
      </c>
      <c r="C22" s="24"/>
      <c r="D22" s="13"/>
      <c r="E22" s="13" t="str">
        <f t="shared" si="0"/>
        <v/>
      </c>
      <c r="F22" s="14" t="str">
        <f t="shared" si="3"/>
        <v/>
      </c>
      <c r="G22" s="15"/>
      <c r="H22" s="15" t="str">
        <f t="shared" si="1"/>
        <v/>
      </c>
      <c r="I22" s="16" t="str">
        <f t="shared" si="2"/>
        <v/>
      </c>
      <c r="J22" s="40"/>
      <c r="K22" s="40"/>
    </row>
    <row r="23" spans="1:11" ht="15.6">
      <c r="A23" s="30" t="str">
        <v>Wilmington Garage &amp; Building 7</v>
      </c>
      <c r="B23" s="31" t="str">
        <v>MA</v>
      </c>
      <c r="C23" s="11"/>
      <c r="D23" s="18"/>
      <c r="E23" s="18" t="str">
        <f t="shared" si="0"/>
        <v/>
      </c>
      <c r="F23" s="19" t="str">
        <f t="shared" si="3"/>
        <v/>
      </c>
      <c r="G23" s="20"/>
      <c r="H23" s="20" t="str">
        <f t="shared" si="1"/>
        <v/>
      </c>
      <c r="I23" s="19" t="str">
        <f t="shared" si="2"/>
        <v/>
      </c>
      <c r="J23" s="41"/>
      <c r="K23" s="42"/>
    </row>
    <row r="24" spans="1:11" ht="15.6">
      <c r="A24" s="28" t="str">
        <v>Woburn</v>
      </c>
      <c r="B24" s="29" t="str">
        <v>MA</v>
      </c>
      <c r="C24" s="24"/>
      <c r="D24" s="13"/>
      <c r="E24" s="13" t="str">
        <f t="shared" si="0"/>
        <v/>
      </c>
      <c r="F24" s="14" t="str">
        <f t="shared" si="3"/>
        <v/>
      </c>
      <c r="G24" s="15"/>
      <c r="H24" s="15" t="str">
        <f t="shared" si="1"/>
        <v/>
      </c>
      <c r="I24" s="16" t="str">
        <f t="shared" si="2"/>
        <v/>
      </c>
      <c r="J24" s="40"/>
      <c r="K24" s="40"/>
    </row>
    <row r="25" spans="1:11" ht="15.6">
      <c r="A25" s="30" t="str">
        <v>Friendship Solar 1</v>
      </c>
      <c r="B25" s="31" t="str">
        <v>MD</v>
      </c>
      <c r="C25" s="11"/>
      <c r="D25" s="18"/>
      <c r="E25" s="18" t="str">
        <f t="shared" si="0"/>
        <v/>
      </c>
      <c r="F25" s="19" t="str">
        <f t="shared" si="3"/>
        <v/>
      </c>
      <c r="G25" s="20"/>
      <c r="H25" s="20" t="str">
        <f t="shared" si="1"/>
        <v/>
      </c>
      <c r="I25" s="19" t="str">
        <f t="shared" si="2"/>
        <v/>
      </c>
      <c r="J25" s="41"/>
      <c r="K25" s="42"/>
    </row>
    <row r="26" spans="1:11" ht="15.6">
      <c r="A26" s="28" t="str">
        <v>Friendship Solar 2</v>
      </c>
      <c r="B26" s="29" t="str">
        <v>MD</v>
      </c>
      <c r="C26" s="24"/>
      <c r="D26" s="13"/>
      <c r="E26" s="13" t="str">
        <f t="shared" si="0"/>
        <v/>
      </c>
      <c r="F26" s="14" t="str">
        <f t="shared" si="3"/>
        <v/>
      </c>
      <c r="G26" s="15"/>
      <c r="H26" s="15" t="str">
        <f t="shared" si="1"/>
        <v/>
      </c>
      <c r="I26" s="16" t="str">
        <f t="shared" si="2"/>
        <v/>
      </c>
      <c r="J26" s="40"/>
      <c r="K26" s="40"/>
    </row>
    <row r="27" spans="1:11" ht="15.6">
      <c r="A27" s="30" t="str">
        <v>101 Carnegie Center</v>
      </c>
      <c r="B27" s="31" t="str">
        <v>NJ</v>
      </c>
      <c r="C27" s="11"/>
      <c r="D27" s="18"/>
      <c r="E27" s="18" t="str">
        <f t="shared" si="0"/>
        <v/>
      </c>
      <c r="F27" s="19" t="str">
        <f t="shared" si="3"/>
        <v/>
      </c>
      <c r="G27" s="20"/>
      <c r="H27" s="20" t="str">
        <f t="shared" si="1"/>
        <v/>
      </c>
      <c r="I27" s="19" t="str">
        <f t="shared" si="2"/>
        <v/>
      </c>
      <c r="J27" s="41"/>
      <c r="K27" s="42"/>
    </row>
    <row r="28" spans="1:11" ht="15.6">
      <c r="A28" s="28" t="str">
        <v>302 Carnegie Center</v>
      </c>
      <c r="B28" s="29" t="str">
        <v>NJ</v>
      </c>
      <c r="C28" s="24"/>
      <c r="D28" s="13"/>
      <c r="E28" s="13" t="str">
        <f t="shared" si="0"/>
        <v/>
      </c>
      <c r="F28" s="14" t="str">
        <f t="shared" si="3"/>
        <v/>
      </c>
      <c r="G28" s="15"/>
      <c r="H28" s="15" t="str">
        <f t="shared" si="1"/>
        <v/>
      </c>
      <c r="I28" s="16" t="str">
        <f t="shared" si="2"/>
        <v/>
      </c>
      <c r="J28" s="40"/>
      <c r="K28" s="40"/>
    </row>
    <row r="29" spans="1:11" ht="15.6">
      <c r="A29" s="30" t="str">
        <v>510 Carnegie Center</v>
      </c>
      <c r="B29" s="31" t="str">
        <v>NJ</v>
      </c>
      <c r="C29" s="11"/>
      <c r="D29" s="18"/>
      <c r="E29" s="18" t="str">
        <f t="shared" si="0"/>
        <v/>
      </c>
      <c r="F29" s="19" t="str">
        <f t="shared" si="3"/>
        <v/>
      </c>
      <c r="G29" s="20"/>
      <c r="H29" s="20" t="str">
        <f t="shared" si="1"/>
        <v/>
      </c>
      <c r="I29" s="19" t="str">
        <f t="shared" si="2"/>
        <v/>
      </c>
      <c r="J29" s="41"/>
      <c r="K29" s="42"/>
    </row>
    <row r="30" spans="1:11" ht="15.6">
      <c r="A30" s="28" t="str">
        <v>701 Carnegie Center</v>
      </c>
      <c r="B30" s="29" t="str">
        <v>NJ</v>
      </c>
      <c r="C30" s="24"/>
      <c r="D30" s="13"/>
      <c r="E30" s="13" t="str">
        <f t="shared" si="0"/>
        <v/>
      </c>
      <c r="F30" s="14" t="str">
        <f t="shared" si="3"/>
        <v/>
      </c>
      <c r="G30" s="15"/>
      <c r="H30" s="15" t="str">
        <f t="shared" si="1"/>
        <v/>
      </c>
      <c r="I30" s="16" t="str">
        <f t="shared" si="2"/>
        <v/>
      </c>
      <c r="J30" s="40"/>
      <c r="K30" s="40"/>
    </row>
    <row r="31" spans="1:11" ht="15.6">
      <c r="A31" s="30" t="str">
        <v>Hudson County Correction</v>
      </c>
      <c r="B31" s="31" t="str">
        <v>NJ</v>
      </c>
      <c r="C31" s="11"/>
      <c r="D31" s="18"/>
      <c r="E31" s="18" t="str">
        <f t="shared" si="0"/>
        <v/>
      </c>
      <c r="F31" s="19" t="str">
        <f t="shared" si="3"/>
        <v/>
      </c>
      <c r="G31" s="20"/>
      <c r="H31" s="20" t="str">
        <f t="shared" si="1"/>
        <v/>
      </c>
      <c r="I31" s="19" t="str">
        <f t="shared" si="2"/>
        <v/>
      </c>
      <c r="J31" s="41"/>
      <c r="K31" s="42"/>
    </row>
    <row r="32" spans="1:11" ht="15.6">
      <c r="A32" s="28" t="str">
        <v>ER Bison Solar</v>
      </c>
      <c r="B32" s="29" t="str">
        <v>PA</v>
      </c>
      <c r="C32" s="24"/>
      <c r="D32" s="13"/>
      <c r="E32" s="13" t="str">
        <f t="shared" si="0"/>
        <v/>
      </c>
      <c r="F32" s="14" t="str">
        <f t="shared" si="3"/>
        <v/>
      </c>
      <c r="G32" s="15"/>
      <c r="H32" s="15" t="str">
        <f t="shared" si="1"/>
        <v/>
      </c>
      <c r="I32" s="16" t="str">
        <f t="shared" si="2"/>
        <v/>
      </c>
      <c r="J32" s="40"/>
      <c r="K32" s="40"/>
    </row>
    <row r="33" spans="1:11" ht="15.6">
      <c r="A33" s="30" t="str">
        <v>Danville</v>
      </c>
      <c r="B33" s="31" t="str">
        <v>IL</v>
      </c>
      <c r="C33" s="11"/>
      <c r="D33" s="18"/>
      <c r="E33" s="18" t="str">
        <f t="shared" si="0"/>
        <v/>
      </c>
      <c r="F33" s="19" t="str">
        <f t="shared" si="3"/>
        <v/>
      </c>
      <c r="G33" s="20"/>
      <c r="H33" s="20" t="str">
        <f t="shared" si="1"/>
        <v/>
      </c>
      <c r="I33" s="19" t="str">
        <f t="shared" si="2"/>
        <v/>
      </c>
      <c r="J33" s="41"/>
      <c r="K33" s="42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45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15" priority="3" stopIfTrue="1" operator="lessThanOrEqual">
      <formula>-0.1</formula>
    </cfRule>
    <cfRule type="expression" dxfId="14" priority="4">
      <formula>AND(ISNUMBER(F2), F2&gt;=0.1)</formula>
    </cfRule>
  </conditionalFormatting>
  <conditionalFormatting sqref="F4:F100 I4:I100">
    <cfRule type="cellIs" dxfId="13" priority="1" stopIfTrue="1" operator="lessThanOrEqual">
      <formula>-0.1</formula>
    </cfRule>
    <cfRule type="expression" dxfId="12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42"/>
  <sheetViews>
    <sheetView workbookViewId="0">
      <pane xSplit="2" ySplit="3" topLeftCell="C11" activePane="bottomRight" state="frozen"/>
      <selection pane="bottomRight" activeCell="G30" sqref="G30"/>
      <selection pane="bottomLeft" activeCell="G30" sqref="G30"/>
      <selection pane="topRight" activeCell="G30" sqref="G30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9" t="str" cm="1">
        <f t="array" ref="A1">portfolio</f>
        <v>Greenbacker</v>
      </c>
      <c r="B1" s="79"/>
      <c r="C1" s="79"/>
      <c r="D1" s="80" t="s">
        <v>172</v>
      </c>
      <c r="E1" s="80"/>
      <c r="F1" s="80"/>
      <c r="G1" s="78" t="s">
        <v>173</v>
      </c>
      <c r="H1" s="78"/>
      <c r="I1" s="78"/>
      <c r="J1" s="4"/>
      <c r="K1" s="4"/>
    </row>
    <row r="2" spans="1:11" ht="19.5" customHeight="1">
      <c r="A2" s="81" t="s">
        <v>2</v>
      </c>
      <c r="B2" s="81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33">Sites[Site]</f>
        <v>10 Walpole Park South</v>
      </c>
      <c r="B4" s="29" t="str" cm="1">
        <f t="array" ref="B4:B33">Sites[State]</f>
        <v>MA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6">
      <c r="A5" s="30" t="str">
        <v>15 Walpole Park South</v>
      </c>
      <c r="B5" s="31" t="str">
        <v>MA</v>
      </c>
      <c r="C5" s="11"/>
      <c r="D5" s="18"/>
      <c r="E5" s="18" t="str">
        <f t="shared" ref="E5:E33" si="0">IF(AND(ISNUMBER(C5),ISNUMBER(D5)), C5-D5, "")</f>
        <v/>
      </c>
      <c r="F5" s="19" t="str">
        <f>IFERROR(E5/D5, "")</f>
        <v/>
      </c>
      <c r="G5" s="20"/>
      <c r="H5" s="20" t="str">
        <f t="shared" ref="H5:H33" si="1">IF(AND(ISNUMBER(C5),ISNUMBER(G5)), C5-G5, "")</f>
        <v/>
      </c>
      <c r="I5" s="19" t="str">
        <f t="shared" ref="I5:I33" si="2">IFERROR(H5/G5, "")</f>
        <v/>
      </c>
      <c r="J5" s="41"/>
      <c r="K5" s="41"/>
    </row>
    <row r="6" spans="1:11" ht="15.6">
      <c r="A6" s="28" t="str">
        <v>19 Walpole Park South</v>
      </c>
      <c r="B6" s="29" t="str">
        <v>MA</v>
      </c>
      <c r="C6" s="24"/>
      <c r="D6" s="13"/>
      <c r="E6" s="13" t="str">
        <f t="shared" si="0"/>
        <v/>
      </c>
      <c r="F6" s="14" t="str">
        <f t="shared" ref="F6:F33" si="3">IFERROR(E6/D6, "")</f>
        <v/>
      </c>
      <c r="G6" s="15"/>
      <c r="H6" s="15" t="str">
        <f t="shared" si="1"/>
        <v/>
      </c>
      <c r="I6" s="16" t="str">
        <f t="shared" si="2"/>
        <v/>
      </c>
      <c r="J6" s="40"/>
      <c r="K6" s="40"/>
    </row>
    <row r="7" spans="1:11" ht="15.6">
      <c r="A7" s="30" t="str">
        <v>23 Walpole Park South</v>
      </c>
      <c r="B7" s="31" t="str">
        <v>MA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1"/>
      <c r="K7" s="42"/>
    </row>
    <row r="8" spans="1:11" ht="15.6">
      <c r="A8" s="28" t="str">
        <v>24 Walpole Park South</v>
      </c>
      <c r="B8" s="29" t="str">
        <v>MA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0"/>
      <c r="K8" s="40"/>
    </row>
    <row r="9" spans="1:11" ht="15.6">
      <c r="A9" s="30" t="str">
        <v>25 Walpole Park South</v>
      </c>
      <c r="B9" s="31" t="str">
        <v>MA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1"/>
      <c r="K9" s="42"/>
    </row>
    <row r="10" spans="1:11" ht="15.6">
      <c r="A10" s="28" t="str">
        <v>3 Walpole Park South</v>
      </c>
      <c r="B10" s="29" t="str">
        <v>MA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0"/>
      <c r="K10" s="40"/>
    </row>
    <row r="11" spans="1:11" ht="15.6">
      <c r="A11" s="30" t="str">
        <v>4 Walpole Park South</v>
      </c>
      <c r="B11" s="31" t="str">
        <v>MA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1"/>
      <c r="K11" s="42"/>
    </row>
    <row r="12" spans="1:11" ht="15.6">
      <c r="A12" s="28" t="str">
        <v>Brockton</v>
      </c>
      <c r="B12" s="29" t="str">
        <v>MA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0"/>
      <c r="K12" s="40"/>
    </row>
    <row r="13" spans="1:11" ht="15.6">
      <c r="A13" s="30" t="str">
        <v>Canton</v>
      </c>
      <c r="B13" s="31" t="str">
        <v>MA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1"/>
      <c r="K13" s="42"/>
    </row>
    <row r="14" spans="1:11" ht="15.6">
      <c r="A14" s="28" t="str">
        <v>Chelsea</v>
      </c>
      <c r="B14" s="29" t="str">
        <v>MA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0"/>
      <c r="K14" s="40"/>
    </row>
    <row r="15" spans="1:11" ht="15.6">
      <c r="A15" s="30" t="str">
        <v>Hamilton Landfill</v>
      </c>
      <c r="B15" s="31" t="str">
        <v>MA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1"/>
      <c r="K15" s="42"/>
    </row>
    <row r="16" spans="1:11" ht="15.6">
      <c r="A16" s="28" t="str">
        <v>Holliston</v>
      </c>
      <c r="B16" s="29" t="str">
        <v>MA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0"/>
      <c r="K16" s="40"/>
    </row>
    <row r="17" spans="1:11" ht="15.6">
      <c r="A17" s="30" t="str">
        <v>Natick HS - Carports</v>
      </c>
      <c r="B17" s="31" t="str">
        <v>MA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1"/>
      <c r="K17" s="42"/>
    </row>
    <row r="18" spans="1:11" ht="12.75" customHeight="1">
      <c r="A18" s="32" t="str">
        <v>Norton</v>
      </c>
      <c r="B18" s="29" t="str">
        <v>MA</v>
      </c>
      <c r="C18" s="24"/>
      <c r="D18" s="13"/>
      <c r="E18" s="13" t="str">
        <f t="shared" si="0"/>
        <v/>
      </c>
      <c r="F18" s="14" t="str">
        <f t="shared" si="3"/>
        <v/>
      </c>
      <c r="G18" s="15"/>
      <c r="H18" s="15" t="str">
        <f t="shared" si="1"/>
        <v/>
      </c>
      <c r="I18" s="16" t="str">
        <f t="shared" si="2"/>
        <v/>
      </c>
      <c r="J18" s="40"/>
      <c r="K18" s="40"/>
    </row>
    <row r="19" spans="1:11" ht="15.6">
      <c r="A19" s="30" t="str">
        <v>Palmer - Boston Rd.</v>
      </c>
      <c r="B19" s="31" t="str">
        <v>MA</v>
      </c>
      <c r="C19" s="11"/>
      <c r="D19" s="18"/>
      <c r="E19" s="18" t="str">
        <f t="shared" si="0"/>
        <v/>
      </c>
      <c r="F19" s="19" t="str">
        <f t="shared" si="3"/>
        <v/>
      </c>
      <c r="G19" s="20"/>
      <c r="H19" s="20" t="str">
        <f t="shared" si="1"/>
        <v/>
      </c>
      <c r="I19" s="19" t="str">
        <f t="shared" si="2"/>
        <v/>
      </c>
      <c r="J19" s="41"/>
      <c r="K19" s="41"/>
    </row>
    <row r="20" spans="1:11" ht="15.6">
      <c r="A20" s="28" t="str">
        <v>Shirley Bartkus</v>
      </c>
      <c r="B20" s="29" t="str">
        <v>MA</v>
      </c>
      <c r="C20" s="24"/>
      <c r="D20" s="13"/>
      <c r="E20" s="13" t="str">
        <f t="shared" si="0"/>
        <v/>
      </c>
      <c r="F20" s="14" t="str">
        <f t="shared" si="3"/>
        <v/>
      </c>
      <c r="G20" s="15"/>
      <c r="H20" s="15" t="str">
        <f t="shared" si="1"/>
        <v/>
      </c>
      <c r="I20" s="16" t="str">
        <f t="shared" si="2"/>
        <v/>
      </c>
      <c r="J20" s="40"/>
      <c r="K20" s="40"/>
    </row>
    <row r="21" spans="1:11" ht="15.6">
      <c r="A21" s="30" t="str">
        <v>Stoughton</v>
      </c>
      <c r="B21" s="31" t="str">
        <v>MA</v>
      </c>
      <c r="C21" s="11"/>
      <c r="D21" s="18"/>
      <c r="E21" s="18" t="str">
        <f t="shared" si="0"/>
        <v/>
      </c>
      <c r="F21" s="19" t="str">
        <f t="shared" si="3"/>
        <v/>
      </c>
      <c r="G21" s="20"/>
      <c r="H21" s="20" t="str">
        <f t="shared" si="1"/>
        <v/>
      </c>
      <c r="I21" s="19" t="str">
        <f t="shared" si="2"/>
        <v/>
      </c>
      <c r="J21" s="41"/>
      <c r="K21" s="42"/>
    </row>
    <row r="22" spans="1:11" ht="15.6">
      <c r="A22" s="28" t="str">
        <v>Wellfleet Landfill</v>
      </c>
      <c r="B22" s="29" t="str">
        <v>MA</v>
      </c>
      <c r="C22" s="24"/>
      <c r="D22" s="13"/>
      <c r="E22" s="13" t="str">
        <f t="shared" si="0"/>
        <v/>
      </c>
      <c r="F22" s="14" t="str">
        <f t="shared" si="3"/>
        <v/>
      </c>
      <c r="G22" s="15"/>
      <c r="H22" s="15" t="str">
        <f t="shared" si="1"/>
        <v/>
      </c>
      <c r="I22" s="16" t="str">
        <f t="shared" si="2"/>
        <v/>
      </c>
      <c r="J22" s="40"/>
      <c r="K22" s="40"/>
    </row>
    <row r="23" spans="1:11" ht="15.6">
      <c r="A23" s="30" t="str">
        <v>Wilmington Garage &amp; Building 7</v>
      </c>
      <c r="B23" s="31" t="str">
        <v>MA</v>
      </c>
      <c r="C23" s="11"/>
      <c r="D23" s="18"/>
      <c r="E23" s="18" t="str">
        <f t="shared" si="0"/>
        <v/>
      </c>
      <c r="F23" s="19" t="str">
        <f t="shared" si="3"/>
        <v/>
      </c>
      <c r="G23" s="20"/>
      <c r="H23" s="20" t="str">
        <f t="shared" si="1"/>
        <v/>
      </c>
      <c r="I23" s="19" t="str">
        <f t="shared" si="2"/>
        <v/>
      </c>
      <c r="J23" s="41"/>
      <c r="K23" s="42"/>
    </row>
    <row r="24" spans="1:11" ht="15.6">
      <c r="A24" s="28" t="str">
        <v>Woburn</v>
      </c>
      <c r="B24" s="29" t="str">
        <v>MA</v>
      </c>
      <c r="C24" s="24"/>
      <c r="D24" s="13"/>
      <c r="E24" s="13" t="str">
        <f t="shared" si="0"/>
        <v/>
      </c>
      <c r="F24" s="14" t="str">
        <f t="shared" si="3"/>
        <v/>
      </c>
      <c r="G24" s="15"/>
      <c r="H24" s="15" t="str">
        <f t="shared" si="1"/>
        <v/>
      </c>
      <c r="I24" s="16" t="str">
        <f t="shared" si="2"/>
        <v/>
      </c>
      <c r="J24" s="40"/>
      <c r="K24" s="40"/>
    </row>
    <row r="25" spans="1:11" ht="15.6">
      <c r="A25" s="30" t="str">
        <v>Friendship Solar 1</v>
      </c>
      <c r="B25" s="31" t="str">
        <v>MD</v>
      </c>
      <c r="C25" s="11"/>
      <c r="D25" s="18"/>
      <c r="E25" s="18" t="str">
        <f t="shared" si="0"/>
        <v/>
      </c>
      <c r="F25" s="19" t="str">
        <f t="shared" si="3"/>
        <v/>
      </c>
      <c r="G25" s="20"/>
      <c r="H25" s="20" t="str">
        <f t="shared" si="1"/>
        <v/>
      </c>
      <c r="I25" s="19" t="str">
        <f t="shared" si="2"/>
        <v/>
      </c>
      <c r="J25" s="41"/>
      <c r="K25" s="42"/>
    </row>
    <row r="26" spans="1:11" ht="15.6">
      <c r="A26" s="28" t="str">
        <v>Friendship Solar 2</v>
      </c>
      <c r="B26" s="29" t="str">
        <v>MD</v>
      </c>
      <c r="C26" s="24"/>
      <c r="D26" s="13"/>
      <c r="E26" s="13" t="str">
        <f t="shared" si="0"/>
        <v/>
      </c>
      <c r="F26" s="14" t="str">
        <f t="shared" si="3"/>
        <v/>
      </c>
      <c r="G26" s="15"/>
      <c r="H26" s="15" t="str">
        <f t="shared" si="1"/>
        <v/>
      </c>
      <c r="I26" s="16" t="str">
        <f t="shared" si="2"/>
        <v/>
      </c>
      <c r="J26" s="40"/>
      <c r="K26" s="40"/>
    </row>
    <row r="27" spans="1:11" ht="15.6">
      <c r="A27" s="30" t="str">
        <v>101 Carnegie Center</v>
      </c>
      <c r="B27" s="31" t="str">
        <v>NJ</v>
      </c>
      <c r="C27" s="11"/>
      <c r="D27" s="18"/>
      <c r="E27" s="18" t="str">
        <f t="shared" si="0"/>
        <v/>
      </c>
      <c r="F27" s="19" t="str">
        <f t="shared" si="3"/>
        <v/>
      </c>
      <c r="G27" s="20"/>
      <c r="H27" s="20" t="str">
        <f t="shared" si="1"/>
        <v/>
      </c>
      <c r="I27" s="19" t="str">
        <f t="shared" si="2"/>
        <v/>
      </c>
      <c r="J27" s="41"/>
      <c r="K27" s="42"/>
    </row>
    <row r="28" spans="1:11" ht="15.6">
      <c r="A28" s="28" t="str">
        <v>302 Carnegie Center</v>
      </c>
      <c r="B28" s="29" t="str">
        <v>NJ</v>
      </c>
      <c r="C28" s="24"/>
      <c r="D28" s="13"/>
      <c r="E28" s="13" t="str">
        <f t="shared" si="0"/>
        <v/>
      </c>
      <c r="F28" s="14" t="str">
        <f t="shared" si="3"/>
        <v/>
      </c>
      <c r="G28" s="15"/>
      <c r="H28" s="15" t="str">
        <f t="shared" si="1"/>
        <v/>
      </c>
      <c r="I28" s="16" t="str">
        <f t="shared" si="2"/>
        <v/>
      </c>
      <c r="J28" s="40"/>
      <c r="K28" s="40"/>
    </row>
    <row r="29" spans="1:11" ht="15.6">
      <c r="A29" s="30" t="str">
        <v>510 Carnegie Center</v>
      </c>
      <c r="B29" s="31" t="str">
        <v>NJ</v>
      </c>
      <c r="C29" s="11"/>
      <c r="D29" s="18"/>
      <c r="E29" s="18" t="str">
        <f t="shared" si="0"/>
        <v/>
      </c>
      <c r="F29" s="19" t="str">
        <f t="shared" si="3"/>
        <v/>
      </c>
      <c r="G29" s="20"/>
      <c r="H29" s="20" t="str">
        <f t="shared" si="1"/>
        <v/>
      </c>
      <c r="I29" s="19" t="str">
        <f t="shared" si="2"/>
        <v/>
      </c>
      <c r="J29" s="41"/>
      <c r="K29" s="42"/>
    </row>
    <row r="30" spans="1:11" ht="15.6">
      <c r="A30" s="28" t="str">
        <v>701 Carnegie Center</v>
      </c>
      <c r="B30" s="29" t="str">
        <v>NJ</v>
      </c>
      <c r="C30" s="24"/>
      <c r="D30" s="13"/>
      <c r="E30" s="13" t="str">
        <f t="shared" si="0"/>
        <v/>
      </c>
      <c r="F30" s="14" t="str">
        <f t="shared" si="3"/>
        <v/>
      </c>
      <c r="G30" s="15"/>
      <c r="H30" s="15" t="str">
        <f t="shared" si="1"/>
        <v/>
      </c>
      <c r="I30" s="16" t="str">
        <f t="shared" si="2"/>
        <v/>
      </c>
      <c r="J30" s="40"/>
      <c r="K30" s="40"/>
    </row>
    <row r="31" spans="1:11" ht="15.6">
      <c r="A31" s="30" t="str">
        <v>Hudson County Correction</v>
      </c>
      <c r="B31" s="31" t="str">
        <v>NJ</v>
      </c>
      <c r="C31" s="11"/>
      <c r="D31" s="18"/>
      <c r="E31" s="18" t="str">
        <f t="shared" si="0"/>
        <v/>
      </c>
      <c r="F31" s="19" t="str">
        <f t="shared" si="3"/>
        <v/>
      </c>
      <c r="G31" s="20"/>
      <c r="H31" s="20" t="str">
        <f t="shared" si="1"/>
        <v/>
      </c>
      <c r="I31" s="19" t="str">
        <f t="shared" si="2"/>
        <v/>
      </c>
      <c r="J31" s="41"/>
      <c r="K31" s="42"/>
    </row>
    <row r="32" spans="1:11" ht="15.6">
      <c r="A32" s="28" t="str">
        <v>ER Bison Solar</v>
      </c>
      <c r="B32" s="29" t="str">
        <v>PA</v>
      </c>
      <c r="C32" s="24"/>
      <c r="D32" s="13"/>
      <c r="E32" s="13" t="str">
        <f t="shared" si="0"/>
        <v/>
      </c>
      <c r="F32" s="14" t="str">
        <f t="shared" si="3"/>
        <v/>
      </c>
      <c r="G32" s="15"/>
      <c r="H32" s="15" t="str">
        <f t="shared" si="1"/>
        <v/>
      </c>
      <c r="I32" s="16" t="str">
        <f t="shared" si="2"/>
        <v/>
      </c>
      <c r="J32" s="40"/>
      <c r="K32" s="40"/>
    </row>
    <row r="33" spans="1:11" ht="15.6">
      <c r="A33" s="30" t="str">
        <v>Danville</v>
      </c>
      <c r="B33" s="31" t="str">
        <v>IL</v>
      </c>
      <c r="C33" s="11"/>
      <c r="D33" s="18"/>
      <c r="E33" s="18" t="str">
        <f t="shared" si="0"/>
        <v/>
      </c>
      <c r="F33" s="19" t="str">
        <f t="shared" si="3"/>
        <v/>
      </c>
      <c r="G33" s="20"/>
      <c r="H33" s="20" t="str">
        <f t="shared" si="1"/>
        <v/>
      </c>
      <c r="I33" s="19" t="str">
        <f t="shared" si="2"/>
        <v/>
      </c>
      <c r="J33" s="41"/>
      <c r="K33" s="42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45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11" priority="3" stopIfTrue="1" operator="lessThanOrEqual">
      <formula>-0.1</formula>
    </cfRule>
    <cfRule type="expression" dxfId="10" priority="4">
      <formula>AND(ISNUMBER(F2), F2&gt;=0.1)</formula>
    </cfRule>
  </conditionalFormatting>
  <conditionalFormatting sqref="F4:F100 I4:I100">
    <cfRule type="cellIs" dxfId="9" priority="1" stopIfTrue="1" operator="lessThanOrEqual">
      <formula>-0.1</formula>
    </cfRule>
    <cfRule type="expression" dxfId="8" priority="2">
      <formula>AND(ISNUMBER(F4), F4&gt;=0.1)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42"/>
  <sheetViews>
    <sheetView workbookViewId="0">
      <pane xSplit="2" ySplit="3" topLeftCell="G29" activePane="bottomRight" state="frozen"/>
      <selection pane="bottomRight" activeCell="G30" sqref="G30"/>
      <selection pane="bottomLeft" activeCell="G30" sqref="G30"/>
      <selection pane="topRight" activeCell="G30" sqref="G30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9" t="str" cm="1">
        <f t="array" ref="A1">portfolio</f>
        <v>Greenbacker</v>
      </c>
      <c r="B1" s="79"/>
      <c r="C1" s="79"/>
      <c r="D1" s="80" t="s">
        <v>174</v>
      </c>
      <c r="E1" s="80"/>
      <c r="F1" s="80"/>
      <c r="G1" s="78" t="s">
        <v>175</v>
      </c>
      <c r="H1" s="78"/>
      <c r="I1" s="78"/>
      <c r="J1" s="4"/>
      <c r="K1" s="4"/>
    </row>
    <row r="2" spans="1:11" ht="19.5" customHeight="1">
      <c r="A2" s="81" t="s">
        <v>2</v>
      </c>
      <c r="B2" s="81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33">Sites[Site]</f>
        <v>10 Walpole Park South</v>
      </c>
      <c r="B4" s="29" t="str" cm="1">
        <f t="array" ref="B4:B33">Sites[State]</f>
        <v>MA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6">
      <c r="A5" s="30" t="str">
        <v>15 Walpole Park South</v>
      </c>
      <c r="B5" s="31" t="str">
        <v>MA</v>
      </c>
      <c r="C5" s="11"/>
      <c r="D5" s="18"/>
      <c r="E5" s="18" t="str">
        <f t="shared" ref="E5:E33" si="0">IF(AND(ISNUMBER(C5),ISNUMBER(D5)), C5-D5, "")</f>
        <v/>
      </c>
      <c r="F5" s="19" t="str">
        <f>IFERROR(E5/D5, "")</f>
        <v/>
      </c>
      <c r="G5" s="20"/>
      <c r="H5" s="20" t="str">
        <f t="shared" ref="H5:H33" si="1">IF(AND(ISNUMBER(C5),ISNUMBER(G5)), C5-G5, "")</f>
        <v/>
      </c>
      <c r="I5" s="19" t="str">
        <f t="shared" ref="I5:I33" si="2">IFERROR(H5/G5, "")</f>
        <v/>
      </c>
      <c r="J5" s="41"/>
      <c r="K5" s="41"/>
    </row>
    <row r="6" spans="1:11" ht="15.6">
      <c r="A6" s="28" t="str">
        <v>19 Walpole Park South</v>
      </c>
      <c r="B6" s="29" t="str">
        <v>MA</v>
      </c>
      <c r="C6" s="24"/>
      <c r="D6" s="13"/>
      <c r="E6" s="13" t="str">
        <f t="shared" si="0"/>
        <v/>
      </c>
      <c r="F6" s="14" t="str">
        <f t="shared" ref="F6:F33" si="3">IFERROR(E6/D6, "")</f>
        <v/>
      </c>
      <c r="G6" s="15"/>
      <c r="H6" s="15" t="str">
        <f t="shared" si="1"/>
        <v/>
      </c>
      <c r="I6" s="16" t="str">
        <f t="shared" si="2"/>
        <v/>
      </c>
      <c r="J6" s="40"/>
      <c r="K6" s="40"/>
    </row>
    <row r="7" spans="1:11" ht="15.6">
      <c r="A7" s="30" t="str">
        <v>23 Walpole Park South</v>
      </c>
      <c r="B7" s="31" t="str">
        <v>MA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1"/>
      <c r="K7" s="42"/>
    </row>
    <row r="8" spans="1:11" ht="15.6">
      <c r="A8" s="28" t="str">
        <v>24 Walpole Park South</v>
      </c>
      <c r="B8" s="29" t="str">
        <v>MA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0"/>
      <c r="K8" s="40"/>
    </row>
    <row r="9" spans="1:11" ht="15.6">
      <c r="A9" s="30" t="str">
        <v>25 Walpole Park South</v>
      </c>
      <c r="B9" s="31" t="str">
        <v>MA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1"/>
      <c r="K9" s="42"/>
    </row>
    <row r="10" spans="1:11" ht="15.6">
      <c r="A10" s="28" t="str">
        <v>3 Walpole Park South</v>
      </c>
      <c r="B10" s="29" t="str">
        <v>MA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0"/>
      <c r="K10" s="40"/>
    </row>
    <row r="11" spans="1:11" ht="15.6">
      <c r="A11" s="30" t="str">
        <v>4 Walpole Park South</v>
      </c>
      <c r="B11" s="31" t="str">
        <v>MA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1"/>
      <c r="K11" s="42"/>
    </row>
    <row r="12" spans="1:11" ht="15.6">
      <c r="A12" s="28" t="str">
        <v>Brockton</v>
      </c>
      <c r="B12" s="29" t="str">
        <v>MA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0"/>
      <c r="K12" s="40"/>
    </row>
    <row r="13" spans="1:11" ht="15.6">
      <c r="A13" s="30" t="str">
        <v>Canton</v>
      </c>
      <c r="B13" s="31" t="str">
        <v>MA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1"/>
      <c r="K13" s="42"/>
    </row>
    <row r="14" spans="1:11" ht="15.6">
      <c r="A14" s="28" t="str">
        <v>Chelsea</v>
      </c>
      <c r="B14" s="29" t="str">
        <v>MA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0"/>
      <c r="K14" s="40"/>
    </row>
    <row r="15" spans="1:11" ht="15.6">
      <c r="A15" s="30" t="str">
        <v>Hamilton Landfill</v>
      </c>
      <c r="B15" s="31" t="str">
        <v>MA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1"/>
      <c r="K15" s="42"/>
    </row>
    <row r="16" spans="1:11" ht="15.6">
      <c r="A16" s="28" t="str">
        <v>Holliston</v>
      </c>
      <c r="B16" s="29" t="str">
        <v>MA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0"/>
      <c r="K16" s="40"/>
    </row>
    <row r="17" spans="1:11" ht="15.6">
      <c r="A17" s="30" t="str">
        <v>Natick HS - Carports</v>
      </c>
      <c r="B17" s="31" t="str">
        <v>MA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1"/>
      <c r="K17" s="42"/>
    </row>
    <row r="18" spans="1:11" ht="12.75" customHeight="1">
      <c r="A18" s="32" t="str">
        <v>Norton</v>
      </c>
      <c r="B18" s="29" t="str">
        <v>MA</v>
      </c>
      <c r="C18" s="24"/>
      <c r="D18" s="13"/>
      <c r="E18" s="13" t="str">
        <f t="shared" si="0"/>
        <v/>
      </c>
      <c r="F18" s="14" t="str">
        <f t="shared" si="3"/>
        <v/>
      </c>
      <c r="G18" s="15"/>
      <c r="H18" s="15" t="str">
        <f t="shared" si="1"/>
        <v/>
      </c>
      <c r="I18" s="16" t="str">
        <f t="shared" si="2"/>
        <v/>
      </c>
      <c r="J18" s="40"/>
      <c r="K18" s="40"/>
    </row>
    <row r="19" spans="1:11" ht="15.6">
      <c r="A19" s="30" t="str">
        <v>Palmer - Boston Rd.</v>
      </c>
      <c r="B19" s="31" t="str">
        <v>MA</v>
      </c>
      <c r="C19" s="11"/>
      <c r="D19" s="18"/>
      <c r="E19" s="18" t="str">
        <f t="shared" si="0"/>
        <v/>
      </c>
      <c r="F19" s="19" t="str">
        <f t="shared" si="3"/>
        <v/>
      </c>
      <c r="G19" s="20"/>
      <c r="H19" s="20" t="str">
        <f t="shared" si="1"/>
        <v/>
      </c>
      <c r="I19" s="19" t="str">
        <f t="shared" si="2"/>
        <v/>
      </c>
      <c r="J19" s="41"/>
      <c r="K19" s="41"/>
    </row>
    <row r="20" spans="1:11" ht="15.6">
      <c r="A20" s="28" t="str">
        <v>Shirley Bartkus</v>
      </c>
      <c r="B20" s="29" t="str">
        <v>MA</v>
      </c>
      <c r="C20" s="24"/>
      <c r="D20" s="13"/>
      <c r="E20" s="13" t="str">
        <f t="shared" si="0"/>
        <v/>
      </c>
      <c r="F20" s="14" t="str">
        <f t="shared" si="3"/>
        <v/>
      </c>
      <c r="G20" s="15"/>
      <c r="H20" s="15" t="str">
        <f t="shared" si="1"/>
        <v/>
      </c>
      <c r="I20" s="16" t="str">
        <f t="shared" si="2"/>
        <v/>
      </c>
      <c r="J20" s="40"/>
      <c r="K20" s="40"/>
    </row>
    <row r="21" spans="1:11" ht="15.6">
      <c r="A21" s="30" t="str">
        <v>Stoughton</v>
      </c>
      <c r="B21" s="31" t="str">
        <v>MA</v>
      </c>
      <c r="C21" s="11"/>
      <c r="D21" s="18"/>
      <c r="E21" s="18" t="str">
        <f t="shared" si="0"/>
        <v/>
      </c>
      <c r="F21" s="19" t="str">
        <f t="shared" si="3"/>
        <v/>
      </c>
      <c r="G21" s="20"/>
      <c r="H21" s="20" t="str">
        <f t="shared" si="1"/>
        <v/>
      </c>
      <c r="I21" s="19" t="str">
        <f t="shared" si="2"/>
        <v/>
      </c>
      <c r="J21" s="41"/>
      <c r="K21" s="42"/>
    </row>
    <row r="22" spans="1:11" ht="15.6">
      <c r="A22" s="28" t="str">
        <v>Wellfleet Landfill</v>
      </c>
      <c r="B22" s="29" t="str">
        <v>MA</v>
      </c>
      <c r="C22" s="24"/>
      <c r="D22" s="13"/>
      <c r="E22" s="13" t="str">
        <f t="shared" si="0"/>
        <v/>
      </c>
      <c r="F22" s="14" t="str">
        <f t="shared" si="3"/>
        <v/>
      </c>
      <c r="G22" s="15"/>
      <c r="H22" s="15" t="str">
        <f t="shared" si="1"/>
        <v/>
      </c>
      <c r="I22" s="16" t="str">
        <f t="shared" si="2"/>
        <v/>
      </c>
      <c r="J22" s="40"/>
      <c r="K22" s="40"/>
    </row>
    <row r="23" spans="1:11" ht="15.6">
      <c r="A23" s="30" t="str">
        <v>Wilmington Garage &amp; Building 7</v>
      </c>
      <c r="B23" s="31" t="str">
        <v>MA</v>
      </c>
      <c r="C23" s="11"/>
      <c r="D23" s="18"/>
      <c r="E23" s="18" t="str">
        <f t="shared" si="0"/>
        <v/>
      </c>
      <c r="F23" s="19" t="str">
        <f t="shared" si="3"/>
        <v/>
      </c>
      <c r="G23" s="20"/>
      <c r="H23" s="20" t="str">
        <f t="shared" si="1"/>
        <v/>
      </c>
      <c r="I23" s="19" t="str">
        <f t="shared" si="2"/>
        <v/>
      </c>
      <c r="J23" s="41"/>
      <c r="K23" s="42"/>
    </row>
    <row r="24" spans="1:11" ht="15.6">
      <c r="A24" s="28" t="str">
        <v>Woburn</v>
      </c>
      <c r="B24" s="29" t="str">
        <v>MA</v>
      </c>
      <c r="C24" s="24"/>
      <c r="D24" s="13"/>
      <c r="E24" s="13" t="str">
        <f t="shared" si="0"/>
        <v/>
      </c>
      <c r="F24" s="14" t="str">
        <f t="shared" si="3"/>
        <v/>
      </c>
      <c r="G24" s="15"/>
      <c r="H24" s="15" t="str">
        <f t="shared" si="1"/>
        <v/>
      </c>
      <c r="I24" s="16" t="str">
        <f t="shared" si="2"/>
        <v/>
      </c>
      <c r="J24" s="40"/>
      <c r="K24" s="40"/>
    </row>
    <row r="25" spans="1:11" ht="15.6">
      <c r="A25" s="30" t="str">
        <v>Friendship Solar 1</v>
      </c>
      <c r="B25" s="31" t="str">
        <v>MD</v>
      </c>
      <c r="C25" s="11"/>
      <c r="D25" s="18"/>
      <c r="E25" s="18" t="str">
        <f t="shared" si="0"/>
        <v/>
      </c>
      <c r="F25" s="19" t="str">
        <f t="shared" si="3"/>
        <v/>
      </c>
      <c r="G25" s="20"/>
      <c r="H25" s="20" t="str">
        <f t="shared" si="1"/>
        <v/>
      </c>
      <c r="I25" s="19" t="str">
        <f t="shared" si="2"/>
        <v/>
      </c>
      <c r="J25" s="41"/>
      <c r="K25" s="42"/>
    </row>
    <row r="26" spans="1:11" ht="15.6">
      <c r="A26" s="28" t="str">
        <v>Friendship Solar 2</v>
      </c>
      <c r="B26" s="29" t="str">
        <v>MD</v>
      </c>
      <c r="C26" s="24"/>
      <c r="D26" s="13"/>
      <c r="E26" s="13" t="str">
        <f t="shared" si="0"/>
        <v/>
      </c>
      <c r="F26" s="14" t="str">
        <f t="shared" si="3"/>
        <v/>
      </c>
      <c r="G26" s="15"/>
      <c r="H26" s="15" t="str">
        <f t="shared" si="1"/>
        <v/>
      </c>
      <c r="I26" s="16" t="str">
        <f t="shared" si="2"/>
        <v/>
      </c>
      <c r="J26" s="40"/>
      <c r="K26" s="40"/>
    </row>
    <row r="27" spans="1:11" ht="15.6">
      <c r="A27" s="30" t="str">
        <v>101 Carnegie Center</v>
      </c>
      <c r="B27" s="31" t="str">
        <v>NJ</v>
      </c>
      <c r="C27" s="11"/>
      <c r="D27" s="18"/>
      <c r="E27" s="18" t="str">
        <f t="shared" si="0"/>
        <v/>
      </c>
      <c r="F27" s="19" t="str">
        <f t="shared" si="3"/>
        <v/>
      </c>
      <c r="G27" s="20"/>
      <c r="H27" s="20" t="str">
        <f t="shared" si="1"/>
        <v/>
      </c>
      <c r="I27" s="19" t="str">
        <f t="shared" si="2"/>
        <v/>
      </c>
      <c r="J27" s="41"/>
      <c r="K27" s="42"/>
    </row>
    <row r="28" spans="1:11" ht="15.6">
      <c r="A28" s="28" t="str">
        <v>302 Carnegie Center</v>
      </c>
      <c r="B28" s="29" t="str">
        <v>NJ</v>
      </c>
      <c r="C28" s="24"/>
      <c r="D28" s="13"/>
      <c r="E28" s="13" t="str">
        <f t="shared" si="0"/>
        <v/>
      </c>
      <c r="F28" s="14" t="str">
        <f t="shared" si="3"/>
        <v/>
      </c>
      <c r="G28" s="15"/>
      <c r="H28" s="15" t="str">
        <f t="shared" si="1"/>
        <v/>
      </c>
      <c r="I28" s="16" t="str">
        <f t="shared" si="2"/>
        <v/>
      </c>
      <c r="J28" s="40"/>
      <c r="K28" s="40"/>
    </row>
    <row r="29" spans="1:11" ht="15.6">
      <c r="A29" s="30" t="str">
        <v>510 Carnegie Center</v>
      </c>
      <c r="B29" s="31" t="str">
        <v>NJ</v>
      </c>
      <c r="C29" s="11"/>
      <c r="D29" s="18"/>
      <c r="E29" s="18" t="str">
        <f t="shared" si="0"/>
        <v/>
      </c>
      <c r="F29" s="19" t="str">
        <f t="shared" si="3"/>
        <v/>
      </c>
      <c r="G29" s="20"/>
      <c r="H29" s="20" t="str">
        <f t="shared" si="1"/>
        <v/>
      </c>
      <c r="I29" s="19" t="str">
        <f t="shared" si="2"/>
        <v/>
      </c>
      <c r="J29" s="41"/>
      <c r="K29" s="42"/>
    </row>
    <row r="30" spans="1:11" ht="15.6">
      <c r="A30" s="28" t="str">
        <v>701 Carnegie Center</v>
      </c>
      <c r="B30" s="29" t="str">
        <v>NJ</v>
      </c>
      <c r="C30" s="24"/>
      <c r="D30" s="13"/>
      <c r="E30" s="13" t="str">
        <f t="shared" si="0"/>
        <v/>
      </c>
      <c r="F30" s="14" t="str">
        <f t="shared" si="3"/>
        <v/>
      </c>
      <c r="G30" s="15"/>
      <c r="H30" s="15" t="str">
        <f t="shared" si="1"/>
        <v/>
      </c>
      <c r="I30" s="16" t="str">
        <f t="shared" si="2"/>
        <v/>
      </c>
      <c r="J30" s="40"/>
      <c r="K30" s="40"/>
    </row>
    <row r="31" spans="1:11" ht="15.6">
      <c r="A31" s="30" t="str">
        <v>Hudson County Correction</v>
      </c>
      <c r="B31" s="31" t="str">
        <v>NJ</v>
      </c>
      <c r="C31" s="11"/>
      <c r="D31" s="18"/>
      <c r="E31" s="18" t="str">
        <f t="shared" si="0"/>
        <v/>
      </c>
      <c r="F31" s="19" t="str">
        <f t="shared" si="3"/>
        <v/>
      </c>
      <c r="G31" s="20"/>
      <c r="H31" s="20" t="str">
        <f t="shared" si="1"/>
        <v/>
      </c>
      <c r="I31" s="19" t="str">
        <f t="shared" si="2"/>
        <v/>
      </c>
      <c r="J31" s="41"/>
      <c r="K31" s="42"/>
    </row>
    <row r="32" spans="1:11" ht="15.6">
      <c r="A32" s="28" t="str">
        <v>ER Bison Solar</v>
      </c>
      <c r="B32" s="29" t="str">
        <v>PA</v>
      </c>
      <c r="C32" s="24"/>
      <c r="D32" s="13"/>
      <c r="E32" s="13" t="str">
        <f t="shared" si="0"/>
        <v/>
      </c>
      <c r="F32" s="14" t="str">
        <f t="shared" si="3"/>
        <v/>
      </c>
      <c r="G32" s="15"/>
      <c r="H32" s="15" t="str">
        <f t="shared" si="1"/>
        <v/>
      </c>
      <c r="I32" s="16" t="str">
        <f t="shared" si="2"/>
        <v/>
      </c>
      <c r="J32" s="40"/>
      <c r="K32" s="40"/>
    </row>
    <row r="33" spans="1:11" ht="15.6">
      <c r="A33" s="30" t="str">
        <v>Danville</v>
      </c>
      <c r="B33" s="31" t="str">
        <v>IL</v>
      </c>
      <c r="C33" s="11"/>
      <c r="D33" s="18"/>
      <c r="E33" s="18" t="str">
        <f t="shared" si="0"/>
        <v/>
      </c>
      <c r="F33" s="19" t="str">
        <f t="shared" si="3"/>
        <v/>
      </c>
      <c r="G33" s="20"/>
      <c r="H33" s="20" t="str">
        <f t="shared" si="1"/>
        <v/>
      </c>
      <c r="I33" s="19" t="str">
        <f t="shared" si="2"/>
        <v/>
      </c>
      <c r="J33" s="41"/>
      <c r="K33" s="42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45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7" priority="3" stopIfTrue="1" operator="lessThanOrEqual">
      <formula>-0.1</formula>
    </cfRule>
    <cfRule type="expression" dxfId="6" priority="4">
      <formula>AND(ISNUMBER(F2), F2&gt;=0.1)</formula>
    </cfRule>
  </conditionalFormatting>
  <conditionalFormatting sqref="F4:F100 I4:I100">
    <cfRule type="cellIs" dxfId="5" priority="1" stopIfTrue="1" operator="lessThanOrEqual">
      <formula>-0.1</formula>
    </cfRule>
    <cfRule type="expression" dxfId="4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3"/>
  <sheetViews>
    <sheetView workbookViewId="0">
      <pane ySplit="3" topLeftCell="A5" activePane="bottomLeft" state="frozen"/>
      <selection pane="bottomLeft" activeCell="C37" sqref="C37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176</v>
      </c>
      <c r="B1" t="s">
        <v>177</v>
      </c>
    </row>
    <row r="3" spans="1:12" ht="13.15">
      <c r="A3" t="s">
        <v>178</v>
      </c>
      <c r="B3" t="s">
        <v>3</v>
      </c>
      <c r="C3" t="s">
        <v>4</v>
      </c>
      <c r="D3" t="s">
        <v>179</v>
      </c>
      <c r="E3" s="2" t="s">
        <v>180</v>
      </c>
    </row>
    <row r="4" spans="1:12" ht="14.45">
      <c r="A4" s="3" t="s">
        <v>181</v>
      </c>
      <c r="B4" t="s">
        <v>181</v>
      </c>
      <c r="C4" s="52" t="s">
        <v>182</v>
      </c>
      <c r="E4" s="52" t="s">
        <v>183</v>
      </c>
      <c r="G4" s="3"/>
    </row>
    <row r="5" spans="1:12" ht="14.45">
      <c r="A5" s="3" t="s">
        <v>184</v>
      </c>
      <c r="B5" t="s">
        <v>184</v>
      </c>
      <c r="C5" s="52" t="s">
        <v>182</v>
      </c>
      <c r="E5" s="52" t="s">
        <v>183</v>
      </c>
      <c r="G5" s="3"/>
    </row>
    <row r="6" spans="1:12" ht="14.45">
      <c r="A6" s="3" t="s">
        <v>185</v>
      </c>
      <c r="B6" t="s">
        <v>185</v>
      </c>
      <c r="C6" s="52" t="s">
        <v>182</v>
      </c>
      <c r="E6" s="52" t="s">
        <v>183</v>
      </c>
      <c r="G6" s="3"/>
    </row>
    <row r="7" spans="1:12" ht="12.75" customHeight="1">
      <c r="A7" s="3" t="s">
        <v>186</v>
      </c>
      <c r="B7" t="s">
        <v>186</v>
      </c>
      <c r="C7" s="52" t="s">
        <v>182</v>
      </c>
      <c r="E7" s="52" t="s">
        <v>183</v>
      </c>
    </row>
    <row r="8" spans="1:12" ht="12.75" customHeight="1">
      <c r="A8" s="3" t="s">
        <v>187</v>
      </c>
      <c r="B8" t="s">
        <v>187</v>
      </c>
      <c r="C8" s="52" t="s">
        <v>182</v>
      </c>
      <c r="E8" s="52" t="s">
        <v>183</v>
      </c>
    </row>
    <row r="9" spans="1:12" ht="12.75" customHeight="1">
      <c r="A9" s="3" t="s">
        <v>188</v>
      </c>
      <c r="B9" t="s">
        <v>188</v>
      </c>
      <c r="C9" s="52" t="s">
        <v>182</v>
      </c>
      <c r="E9" s="52" t="s">
        <v>183</v>
      </c>
    </row>
    <row r="10" spans="1:12" ht="12.75" customHeight="1">
      <c r="A10" s="3" t="s">
        <v>189</v>
      </c>
      <c r="B10" t="s">
        <v>189</v>
      </c>
      <c r="C10" s="52" t="s">
        <v>182</v>
      </c>
      <c r="E10" s="52" t="s">
        <v>183</v>
      </c>
      <c r="K10" s="43"/>
      <c r="L10" s="43"/>
    </row>
    <row r="11" spans="1:12" ht="12.75" customHeight="1">
      <c r="A11" s="3" t="s">
        <v>190</v>
      </c>
      <c r="B11" t="s">
        <v>190</v>
      </c>
      <c r="C11" s="52" t="s">
        <v>182</v>
      </c>
      <c r="E11" s="52" t="s">
        <v>183</v>
      </c>
      <c r="K11" s="43"/>
      <c r="L11" s="43"/>
    </row>
    <row r="12" spans="1:12" ht="12.75" customHeight="1">
      <c r="A12" s="3" t="s">
        <v>191</v>
      </c>
      <c r="B12" t="s">
        <v>191</v>
      </c>
      <c r="C12" s="52" t="s">
        <v>182</v>
      </c>
      <c r="E12" s="52" t="s">
        <v>183</v>
      </c>
      <c r="K12" s="43"/>
      <c r="L12" s="43"/>
    </row>
    <row r="13" spans="1:12" ht="12.75" customHeight="1">
      <c r="A13" s="3" t="s">
        <v>192</v>
      </c>
      <c r="B13" t="s">
        <v>192</v>
      </c>
      <c r="C13" s="52" t="s">
        <v>182</v>
      </c>
      <c r="E13" s="52" t="s">
        <v>183</v>
      </c>
      <c r="K13" s="43"/>
      <c r="L13" s="43"/>
    </row>
    <row r="14" spans="1:12" ht="12.75" customHeight="1">
      <c r="A14" s="3" t="s">
        <v>193</v>
      </c>
      <c r="B14" t="s">
        <v>193</v>
      </c>
      <c r="C14" s="52" t="s">
        <v>182</v>
      </c>
      <c r="E14" s="52" t="s">
        <v>183</v>
      </c>
      <c r="K14" s="43"/>
      <c r="L14" s="43"/>
    </row>
    <row r="15" spans="1:12" ht="12.75" customHeight="1">
      <c r="A15" s="52" t="s">
        <v>194</v>
      </c>
      <c r="B15" t="s">
        <v>195</v>
      </c>
      <c r="C15" t="s">
        <v>182</v>
      </c>
      <c r="E15" t="s">
        <v>196</v>
      </c>
      <c r="K15" s="43"/>
      <c r="L15" s="43"/>
    </row>
    <row r="16" spans="1:12" ht="12.75" customHeight="1">
      <c r="A16" s="3" t="s">
        <v>197</v>
      </c>
      <c r="B16" t="s">
        <v>197</v>
      </c>
      <c r="C16" s="52" t="s">
        <v>182</v>
      </c>
      <c r="E16" s="52" t="s">
        <v>183</v>
      </c>
      <c r="K16" s="43"/>
      <c r="L16" s="43"/>
    </row>
    <row r="17" spans="1:12" ht="12.75" customHeight="1">
      <c r="A17" s="52" t="s">
        <v>198</v>
      </c>
      <c r="B17" t="s">
        <v>199</v>
      </c>
      <c r="C17" t="s">
        <v>182</v>
      </c>
      <c r="E17" t="s">
        <v>196</v>
      </c>
      <c r="K17" s="43"/>
      <c r="L17" s="43"/>
    </row>
    <row r="18" spans="1:12" ht="12.75" customHeight="1">
      <c r="A18" s="3" t="s">
        <v>200</v>
      </c>
      <c r="B18" t="s">
        <v>200</v>
      </c>
      <c r="C18" s="52" t="s">
        <v>182</v>
      </c>
      <c r="E18" s="52" t="s">
        <v>183</v>
      </c>
      <c r="K18" s="43"/>
      <c r="L18" s="43"/>
    </row>
    <row r="19" spans="1:12" ht="12.75" customHeight="1">
      <c r="A19" s="3" t="s">
        <v>201</v>
      </c>
      <c r="B19" t="s">
        <v>201</v>
      </c>
      <c r="C19" s="52" t="s">
        <v>182</v>
      </c>
      <c r="E19" s="52" t="s">
        <v>183</v>
      </c>
      <c r="K19" s="43"/>
      <c r="L19" s="43"/>
    </row>
    <row r="20" spans="1:12" ht="12.75" customHeight="1">
      <c r="A20" s="3" t="s">
        <v>202</v>
      </c>
      <c r="B20" t="s">
        <v>202</v>
      </c>
      <c r="C20" s="52" t="s">
        <v>182</v>
      </c>
      <c r="E20" s="52" t="s">
        <v>183</v>
      </c>
      <c r="K20" s="43"/>
      <c r="L20" s="43"/>
    </row>
    <row r="21" spans="1:12" ht="12.75" customHeight="1">
      <c r="A21" s="3" t="s">
        <v>203</v>
      </c>
      <c r="B21" t="s">
        <v>203</v>
      </c>
      <c r="C21" s="52" t="s">
        <v>182</v>
      </c>
      <c r="E21" s="52" t="s">
        <v>183</v>
      </c>
      <c r="K21" s="43"/>
      <c r="L21" s="43"/>
    </row>
    <row r="22" spans="1:12" ht="12.75" customHeight="1">
      <c r="A22" s="52" t="s">
        <v>204</v>
      </c>
      <c r="B22" t="s">
        <v>205</v>
      </c>
      <c r="C22" t="s">
        <v>182</v>
      </c>
      <c r="E22" t="s">
        <v>196</v>
      </c>
      <c r="K22" s="43"/>
      <c r="L22" s="43"/>
    </row>
    <row r="23" spans="1:12" ht="12.75" customHeight="1">
      <c r="A23" s="3" t="s">
        <v>206</v>
      </c>
      <c r="B23" t="s">
        <v>206</v>
      </c>
      <c r="C23" s="52" t="s">
        <v>182</v>
      </c>
      <c r="E23" s="52" t="s">
        <v>183</v>
      </c>
      <c r="K23" s="43"/>
      <c r="L23" s="43"/>
    </row>
    <row r="24" spans="1:12" ht="12.75" customHeight="1">
      <c r="A24" s="3" t="s">
        <v>207</v>
      </c>
      <c r="B24" t="s">
        <v>207</v>
      </c>
      <c r="C24" s="52" t="s">
        <v>182</v>
      </c>
      <c r="E24" s="52" t="s">
        <v>183</v>
      </c>
      <c r="K24" s="43"/>
      <c r="L24" s="43"/>
    </row>
    <row r="25" spans="1:12" ht="12.75" customHeight="1">
      <c r="A25" s="3" t="s">
        <v>208</v>
      </c>
      <c r="B25" t="s">
        <v>208</v>
      </c>
      <c r="C25" s="52" t="s">
        <v>209</v>
      </c>
      <c r="E25" s="52" t="s">
        <v>183</v>
      </c>
      <c r="K25" s="43"/>
      <c r="L25" s="43"/>
    </row>
    <row r="26" spans="1:12" ht="12.75" customHeight="1">
      <c r="A26" s="3" t="s">
        <v>210</v>
      </c>
      <c r="B26" t="s">
        <v>210</v>
      </c>
      <c r="C26" s="52" t="s">
        <v>209</v>
      </c>
      <c r="E26" s="52" t="s">
        <v>183</v>
      </c>
      <c r="K26" s="43"/>
      <c r="L26" s="43"/>
    </row>
    <row r="27" spans="1:12" ht="12.75" customHeight="1">
      <c r="A27" s="52" t="s">
        <v>211</v>
      </c>
      <c r="B27" t="s">
        <v>211</v>
      </c>
      <c r="C27" t="s">
        <v>212</v>
      </c>
      <c r="E27" t="s">
        <v>196</v>
      </c>
      <c r="K27" s="43"/>
      <c r="L27" s="43"/>
    </row>
    <row r="28" spans="1:12" ht="12.75" customHeight="1">
      <c r="A28" s="52" t="s">
        <v>213</v>
      </c>
      <c r="B28" t="s">
        <v>213</v>
      </c>
      <c r="C28" t="s">
        <v>212</v>
      </c>
      <c r="E28" t="s">
        <v>196</v>
      </c>
      <c r="K28" s="43"/>
      <c r="L28" s="43"/>
    </row>
    <row r="29" spans="1:12" ht="12.75" customHeight="1">
      <c r="A29" s="52" t="s">
        <v>214</v>
      </c>
      <c r="B29" t="s">
        <v>214</v>
      </c>
      <c r="C29" t="s">
        <v>212</v>
      </c>
      <c r="E29" t="s">
        <v>196</v>
      </c>
      <c r="K29" s="43"/>
      <c r="L29" s="43"/>
    </row>
    <row r="30" spans="1:12" ht="12.75" customHeight="1">
      <c r="A30" s="52" t="s">
        <v>215</v>
      </c>
      <c r="B30" t="s">
        <v>215</v>
      </c>
      <c r="C30" t="s">
        <v>212</v>
      </c>
      <c r="E30" t="s">
        <v>196</v>
      </c>
      <c r="K30" s="43"/>
      <c r="L30" s="43"/>
    </row>
    <row r="31" spans="1:12" ht="12.75" customHeight="1">
      <c r="A31" s="3" t="s">
        <v>216</v>
      </c>
      <c r="B31" t="s">
        <v>216</v>
      </c>
      <c r="C31" s="52" t="s">
        <v>212</v>
      </c>
      <c r="E31" s="52" t="s">
        <v>183</v>
      </c>
      <c r="K31" s="43"/>
      <c r="L31" s="43"/>
    </row>
    <row r="32" spans="1:12" ht="12.75" customHeight="1">
      <c r="A32" s="3" t="s">
        <v>217</v>
      </c>
      <c r="B32" t="s">
        <v>217</v>
      </c>
      <c r="C32" s="52" t="s">
        <v>218</v>
      </c>
      <c r="E32" s="52" t="s">
        <v>183</v>
      </c>
    </row>
    <row r="33" spans="1:5" ht="12.75" customHeight="1">
      <c r="A33" s="52" t="s">
        <v>219</v>
      </c>
      <c r="B33" s="52" t="s">
        <v>219</v>
      </c>
      <c r="C33" s="52" t="s">
        <v>220</v>
      </c>
      <c r="E33" t="s">
        <v>196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7.xml>��
</file>

<file path=customXml/item8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F6B2B1A1-1C4B-4AC9-9A7D-7A102DD1C942}"/>
</file>

<file path=customXml/itemProps2.xml><?xml version="1.0" encoding="utf-8"?>
<ds:datastoreItem xmlns:ds="http://schemas.openxmlformats.org/officeDocument/2006/customXml" ds:itemID="{E20E8303-6A67-485C-B6F4-303542CC295C}"/>
</file>

<file path=customXml/itemProps3.xml><?xml version="1.0" encoding="utf-8"?>
<ds:datastoreItem xmlns:ds="http://schemas.openxmlformats.org/officeDocument/2006/customXml" ds:itemID="{BF5C6359-7763-4C37-8EAF-2BC4698CB285}"/>
</file>

<file path=customXml/itemProps4.xml><?xml version="1.0" encoding="utf-8"?>
<ds:datastoreItem xmlns:ds="http://schemas.openxmlformats.org/officeDocument/2006/customXml" ds:itemID="{0389C43E-394D-44C0-87DC-4780FCFCFB40}"/>
</file>

<file path=customXml/itemProps5.xml><?xml version="1.0" encoding="utf-8"?>
<ds:datastoreItem xmlns:ds="http://schemas.openxmlformats.org/officeDocument/2006/customXml" ds:itemID="{078388C9-06F9-42F4-B857-EF76B5CAF1FD}"/>
</file>

<file path=customXml/itemProps6.xml><?xml version="1.0" encoding="utf-8"?>
<ds:datastoreItem xmlns:ds="http://schemas.openxmlformats.org/officeDocument/2006/customXml" ds:itemID="{8D732231-4216-4543-A665-18A2886B0EB7}"/>
</file>

<file path=customXml/itemProps7.xml><?xml version="1.0" encoding="utf-8"?>
<ds:datastoreItem xmlns:ds="http://schemas.openxmlformats.org/officeDocument/2006/customXml" ds:itemID="{98A113BB-8B7A-453C-8BD4-8EFC67FC2D3F}"/>
</file>

<file path=customXml/itemProps8.xml><?xml version="1.0" encoding="utf-8"?>
<ds:datastoreItem xmlns:ds="http://schemas.openxmlformats.org/officeDocument/2006/customXml" ds:itemID="{C0BCDC1E-6052-4E48-9BAF-94A40814E7C2}"/>
</file>

<file path=customXml/itemProps9.xml><?xml version="1.0" encoding="utf-8"?>
<ds:datastoreItem xmlns:ds="http://schemas.openxmlformats.org/officeDocument/2006/customXml" ds:itemID="{F12EFA50-0068-4A8C-85A0-F1B26389EBC3}"/>
</file>

<file path=customXml/itemProps10.xml><?xml version="1.0" encoding="utf-8"?>
<ds:datastoreItem xmlns:ds="http://schemas.openxmlformats.org/officeDocument/2006/customXml" ds:itemID="{CB52044A-5C0B-44A2-99D0-C1C315EC302D}"/>
</file>

<file path=customXml/itemProps11.xml><?xml version="1.0" encoding="utf-8"?>
<ds:datastoreItem xmlns:ds="http://schemas.openxmlformats.org/officeDocument/2006/customXml" ds:itemID="{BE26B669-A686-459C-A5E9-FEC3409C4C81}"/>
</file>

<file path=customXml/itemProps12.xml><?xml version="1.0" encoding="utf-8"?>
<ds:datastoreItem xmlns:ds="http://schemas.openxmlformats.org/officeDocument/2006/customXml" ds:itemID="{14966E4F-347B-477B-B74C-9DAC05405806}"/>
</file>

<file path=customXml/itemProps13.xml><?xml version="1.0" encoding="utf-8"?>
<ds:datastoreItem xmlns:ds="http://schemas.openxmlformats.org/officeDocument/2006/customXml" ds:itemID="{E3716282-BFD2-4ED2-BA47-BFA1123827F0}"/>
</file>

<file path=customXml/itemProps14.xml><?xml version="1.0" encoding="utf-8"?>
<ds:datastoreItem xmlns:ds="http://schemas.openxmlformats.org/officeDocument/2006/customXml" ds:itemID="{1954BBA4-0359-438C-B0EC-A756015F7C02}"/>
</file>

<file path=customXml/itemProps15.xml><?xml version="1.0" encoding="utf-8"?>
<ds:datastoreItem xmlns:ds="http://schemas.openxmlformats.org/officeDocument/2006/customXml" ds:itemID="{89CF5C07-45EB-4100-9AFB-2C6AF77FA787}"/>
</file>

<file path=customXml/itemProps16.xml><?xml version="1.0" encoding="utf-8"?>
<ds:datastoreItem xmlns:ds="http://schemas.openxmlformats.org/officeDocument/2006/customXml" ds:itemID="{D3A7101F-9A85-4235-8B03-415370C100B2}"/>
</file>

<file path=customXml/itemProps17.xml><?xml version="1.0" encoding="utf-8"?>
<ds:datastoreItem xmlns:ds="http://schemas.openxmlformats.org/officeDocument/2006/customXml" ds:itemID="{7946C510-7D04-49D8-9B25-EEC04582A1CA}"/>
</file>

<file path=customXml/itemProps18.xml><?xml version="1.0" encoding="utf-8"?>
<ds:datastoreItem xmlns:ds="http://schemas.openxmlformats.org/officeDocument/2006/customXml" ds:itemID="{2BC74AAC-D69B-4AF1-9649-B21EF3C1C463}"/>
</file>

<file path=customXml/itemProps19.xml><?xml version="1.0" encoding="utf-8"?>
<ds:datastoreItem xmlns:ds="http://schemas.openxmlformats.org/officeDocument/2006/customXml" ds:itemID="{3AEAA9D8-2182-46BA-A58E-96C72DDA1C54}"/>
</file>

<file path=customXml/itemProps20.xml><?xml version="1.0" encoding="utf-8"?>
<ds:datastoreItem xmlns:ds="http://schemas.openxmlformats.org/officeDocument/2006/customXml" ds:itemID="{66B09F59-6532-46F8-924A-9A02417E070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Srinivasa Krishnan [Libsys]</cp:lastModifiedBy>
  <cp:revision/>
  <dcterms:created xsi:type="dcterms:W3CDTF">2021-01-01T16:39:53Z</dcterms:created>
  <dcterms:modified xsi:type="dcterms:W3CDTF">2025-01-24T22:18:51Z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