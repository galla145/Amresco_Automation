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28" documentId="13_ncr:1_{021D97B8-2426-411B-BA53-176E504A2327}" xr6:coauthVersionLast="47" xr6:coauthVersionMax="47" xr10:uidLastSave="{358A5D35-892C-4CB6-BE8F-75C9152D88BE}"/>
  <bookViews>
    <workbookView xWindow="-98" yWindow="-98" windowWidth="21795" windowHeight="12975" tabRatio="866" firstSheet="2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4" i="18"/>
  <c r="E4" i="19"/>
  <c r="E6" i="72" l="1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C6" i="29"/>
  <c r="D5" i="29"/>
  <c r="C5" i="29"/>
  <c r="E5" i="29" s="1"/>
  <c r="F5" i="29" s="1"/>
  <c r="D4" i="29"/>
  <c r="D2" i="29" s="1"/>
  <c r="C4" i="29"/>
  <c r="D6" i="18"/>
  <c r="C6" i="18"/>
  <c r="E6" i="18" s="1"/>
  <c r="F6" i="18" s="1"/>
  <c r="D5" i="18"/>
  <c r="C5" i="18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H6" i="33"/>
  <c r="E6" i="33"/>
  <c r="F6" i="33" s="1"/>
  <c r="I5" i="33"/>
  <c r="H5" i="33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F4" i="19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F4" i="2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E4" i="18" l="1"/>
  <c r="F4" i="18" s="1"/>
  <c r="E5" i="18"/>
  <c r="F5" i="18" s="1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<sst xmlns="http://schemas.openxmlformats.org/spreadsheetml/2006/main" count="270" uniqueCount="74">
  <si>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</si>
  <si>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</si>
  <si>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</si>
  <si>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</si>
  <si>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</si>
  <si>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</si>
  <si>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</si>
  <si>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</si>
  <si>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</si>
  <si>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</si>
  <si>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</si>
  <si>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</si>
  <si>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</si>
  <si>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</si>
  <si>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</si>
  <si>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</si>
  <si>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</si>
  <si>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</si>
  <si>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</si>
  <si>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</si>
  <si>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</si>
  <si>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</si>
  <si>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was offline from 09/13/2023</t>
  </si>
  <si>
    <t>1. SR076020</t>
  </si>
  <si>
    <t>February Actual v. Expected</t>
  </si>
  <si>
    <t>February Actual v. Forecasted</t>
  </si>
  <si>
    <t>1. Inverter 1 is offline from 09/13/2023</t>
  </si>
  <si>
    <t>1. SR076020, SR074671</t>
  </si>
  <si>
    <t>March Actual v. Expected</t>
  </si>
  <si>
    <t>March Actual v. Forecasted</t>
  </si>
  <si>
    <t xml:space="preserve">1. Inverter 1 tripped offline on 03/09 and back online on 03/12 </t>
  </si>
  <si>
    <t>1. SR081724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</si>
  <si>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</si>
  <si>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</si>
  <si>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</si>
  <si>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</si>
  <si>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</si>
  <si>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</si>
  <si>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</si>
  <si>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</si>
  <si>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</si>
  <si>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</si>
  <si>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</si>
  <si>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</si>
  <si>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</si>
  <si>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</si>
  <si>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</si>
  <si>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</si>
  <si>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</si>
  <si>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</si>
  <si>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</si>
  <si>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RINGS END</t>
  </si>
  <si>
    <t>Site DAS Name</t>
  </si>
  <si>
    <t>Update</t>
  </si>
  <si>
    <t>DAS</t>
  </si>
  <si>
    <t>Ring's End - Branford Store</t>
  </si>
  <si>
    <t>Branford - Rings End</t>
  </si>
  <si>
    <t>CT</t>
  </si>
  <si>
    <t>AF</t>
  </si>
  <si>
    <t>PowerTrack</t>
  </si>
  <si>
    <t>Ring's End - Milford</t>
  </si>
  <si>
    <t>Milford - Rings End</t>
  </si>
  <si>
    <t>Ring's End - New Milford</t>
  </si>
  <si>
    <t>New Milford - Rings End</t>
  </si>
  <si>
    <t>A</t>
  </si>
  <si>
    <t>1.SR076020</t>
  </si>
  <si>
    <t>1.Inverter 1 is offline from 09/13/2023 and back online on 04/24</t>
  </si>
  <si>
    <t>1.Inverter 1 is underperforming by 9-10 kW since 6/4/24.</t>
  </si>
  <si>
    <t>1.SR085597</t>
  </si>
  <si>
    <t>1. Inverter 2 down a string approximately 2kWon 7/22/23.</t>
  </si>
  <si>
    <t>1.SR085016</t>
  </si>
  <si>
    <t>1.Inverter 1 is tripping on and offline throuhout the month</t>
  </si>
  <si>
    <t>1.SR083449</t>
  </si>
  <si>
    <t>1.Inverter 1 tripping on and off line throughout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</si>
</sst>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5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9" fontId="1" fillId="38" borderId="12" xfId="2" applyFont="1" applyFill="1" applyBorder="1" applyAlignment="1">
      <alignment horizontal="left" vertical="top"/>
    </xf>
    <xf numFmtId="0" fontId="35" fillId="40" borderId="13" xfId="43" applyFont="1" applyFill="1" applyBorder="1"/>
    <xf numFmtId="0" fontId="0" fillId="0" borderId="0" xfId="0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56" dataCellStyle="Normal 2"/>
    <tableColumn id="1" xr3:uid="{9A753695-C18C-437C-AD9C-C2CE5C1A806E}" name="Site" dataDxfId="55" dataCellStyle="Normal 2"/>
    <tableColumn id="2" xr3:uid="{250F229D-34D2-4043-BE8F-6D9C210E223F}" name="State" dataDxfId="5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topRight"/>
      <selection pane="bottomLeft"/>
      <selection pane="bottomRight" activeCell="B14" sqref="B14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5" t="str" cm="1">
        <f t="array" ref="A1">portfolio</f>
        <v>RINGS END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SUM(C4:C100)</f>
        <v>84897.790996337775</v>
      </c>
      <c r="D2" s="5">
        <f>SUM(D4:D100)</f>
        <v>0</v>
      </c>
      <c r="E2" s="5">
        <f>C2-D2</f>
        <v>84897.790996337775</v>
      </c>
      <c r="F2" s="6">
        <f>IFERROR(E2/D2, 0)</f>
        <v>0</v>
      </c>
      <c r="G2" s="5">
        <f>SUM(G4:G100)</f>
        <v>104581.476</v>
      </c>
      <c r="H2" s="7">
        <f>C2-G2</f>
        <v>-19683.68500366222</v>
      </c>
      <c r="I2" s="6">
        <f>IFERROR(H2/G2, 0)</f>
        <v>-0.18821387645802801</v>
      </c>
    </row>
    <row r="3" spans="1:9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 x14ac:dyDescent="0.35">
      <c r="A4" s="12" t="str" cm="1">
        <f t="array" ref="A4:A6">Sites[Site]</f>
        <v>Branford - Rings End</v>
      </c>
      <c r="B4" s="9" t="str" cm="1">
        <f t="array" ref="B4:B6">Sites[State]</f>
        <v>CT</v>
      </c>
      <c r="C4" s="24">
        <f>SUM('1st Qtr'!C4, '2nd Qtr'!C4, '3rd Qtr'!C4, '4th Qtr'!C4)</f>
        <v>54446.451000000001</v>
      </c>
      <c r="D4" s="13">
        <f>SUM('1st Qtr'!D4, '2nd Qtr'!D4, '3rd Qtr'!D4, '4th Qtr'!D4)</f>
        <v>0</v>
      </c>
      <c r="E4" s="13">
        <f>IF(AND(ISNUMBER(C4),ISNUMBER(D4)), C4-D4, "")</f>
        <v>54446.451000000001</v>
      </c>
      <c r="F4" s="14" t="str">
        <f>IFERROR(E4/D4, "")</f>
        <v/>
      </c>
      <c r="G4" s="15">
        <f>SUM('1st Qtr'!G4, '2nd Qtr'!G4, '3rd Qtr'!G4, '4th Qtr'!G4)</f>
        <v>67921.475999999995</v>
      </c>
      <c r="H4" s="15">
        <f>SUM('1st Qtr'!H4, '2nd Qtr'!H4, '3rd Qtr'!H4, '4th Qtr'!H4)</f>
        <v>-13475.025</v>
      </c>
      <c r="I4" s="16">
        <f>IFERROR(H4/G4, "")</f>
        <v>-0.1983912275404616</v>
      </c>
    </row>
    <row r="5" spans="1:9" ht="15.75" x14ac:dyDescent="0.35">
      <c r="A5" s="17" t="str">
        <v>Milford - Rings End</v>
      </c>
      <c r="B5" s="10" t="str">
        <v>CT</v>
      </c>
      <c r="C5" s="11">
        <f>SUM(Jan!C5, Feb!C5, Mar!C5)</f>
        <v>16892.285003661989</v>
      </c>
      <c r="D5" s="18">
        <f>SUM(Jan!D5, Feb!D5, Mar!D5)</f>
        <v>0</v>
      </c>
      <c r="E5" s="18">
        <f t="shared" ref="E5:E6" si="0">IF(AND(ISNUMBER(C5),ISNUMBER(D5)), C5-D5, "")</f>
        <v>16892.285003661989</v>
      </c>
      <c r="F5" s="19" t="str">
        <f>IFERROR(E5/D5, "")</f>
        <v/>
      </c>
      <c r="G5" s="20">
        <f>SUM('1st Qtr'!G5, '2nd Qtr'!G5, '3rd Qtr'!G5, '4th Qtr'!G5)</f>
        <v>36660</v>
      </c>
      <c r="H5" s="20">
        <f>SUM(Jan!H5, Feb!H5, Mar!H5)</f>
        <v>3270.2850036619898</v>
      </c>
      <c r="I5" s="19">
        <f>IFERROR(H5/G5, "")</f>
        <v>8.9205810247190126E-2</v>
      </c>
    </row>
    <row r="6" spans="1:9" ht="15.75" x14ac:dyDescent="0.35">
      <c r="A6" s="12" t="str">
        <v>New Milford - Rings End</v>
      </c>
      <c r="B6" s="9" t="str">
        <v>CT</v>
      </c>
      <c r="C6" s="24">
        <f>SUM(Jan!C6, Feb!C6, Mar!C6)</f>
        <v>13559.054992675781</v>
      </c>
      <c r="D6" s="13">
        <f>SUM(Jan!D6, Feb!D6, Mar!D6)</f>
        <v>0</v>
      </c>
      <c r="E6" s="13">
        <f t="shared" si="0"/>
        <v>13559.054992675781</v>
      </c>
      <c r="F6" s="14" t="str">
        <f t="shared" ref="F6" si="1">IFERROR(E6/D6, "")</f>
        <v/>
      </c>
      <c r="G6" s="15">
        <f>SUM('1st Qtr'!G6, '2nd Qtr'!G6, '3rd Qtr'!G6, '4th Qtr'!G6)</f>
        <v>0</v>
      </c>
      <c r="H6" s="15">
        <f>SUM(Jan!H6, Feb!H6, Mar!H6)</f>
        <v>13559.054992675781</v>
      </c>
      <c r="I6" s="16" t="str">
        <f t="shared" ref="I6" si="2">IFERROR(H6/G6, "")</f>
        <v/>
      </c>
    </row>
    <row r="7" spans="1:9" x14ac:dyDescent="0.35">
      <c r="F7"/>
      <c r="I7"/>
    </row>
    <row r="8" spans="1:9" x14ac:dyDescent="0.35">
      <c r="F8"/>
      <c r="I8"/>
    </row>
    <row r="9" spans="1:9" x14ac:dyDescent="0.35">
      <c r="F9"/>
      <c r="I9"/>
    </row>
    <row r="10" spans="1:9" x14ac:dyDescent="0.35">
      <c r="F10"/>
      <c r="I10"/>
    </row>
    <row r="11" spans="1:9" x14ac:dyDescent="0.35">
      <c r="F11"/>
      <c r="I11"/>
    </row>
    <row r="12" spans="1:9" x14ac:dyDescent="0.35">
      <c r="F12"/>
      <c r="I12"/>
    </row>
    <row r="13" spans="1:9" x14ac:dyDescent="0.35">
      <c r="F13"/>
      <c r="I13"/>
    </row>
    <row r="14" spans="1:9" x14ac:dyDescent="0.35">
      <c r="F14"/>
      <c r="I14"/>
    </row>
    <row r="15" spans="1:9" x14ac:dyDescent="0.35">
      <c r="F15"/>
      <c r="I15"/>
    </row>
    <row r="16" spans="1:9" x14ac:dyDescent="0.35">
      <c r="F16"/>
      <c r="I16"/>
    </row>
    <row r="17" spans="1:9" x14ac:dyDescent="0.35">
      <c r="F17"/>
      <c r="I17"/>
    </row>
    <row r="18" spans="1:9" ht="12.75" customHeight="1" x14ac:dyDescent="0.35">
      <c r="F18"/>
      <c r="I18"/>
    </row>
    <row r="19" spans="1:9" x14ac:dyDescent="0.35">
      <c r="F19"/>
      <c r="I19"/>
    </row>
    <row r="20" spans="1:9" x14ac:dyDescent="0.35">
      <c r="F20"/>
      <c r="I20"/>
    </row>
    <row r="21" spans="1:9" x14ac:dyDescent="0.35">
      <c r="F21"/>
      <c r="I21"/>
    </row>
    <row r="22" spans="1:9" x14ac:dyDescent="0.35">
      <c r="F22"/>
      <c r="I22"/>
    </row>
    <row r="23" spans="1:9" x14ac:dyDescent="0.35">
      <c r="F23"/>
      <c r="I23"/>
    </row>
    <row r="24" spans="1:9" x14ac:dyDescent="0.35">
      <c r="F24"/>
      <c r="I24"/>
    </row>
    <row r="25" spans="1:9" x14ac:dyDescent="0.35">
      <c r="F25"/>
      <c r="I25"/>
    </row>
    <row r="26" spans="1:9" ht="13.15" x14ac:dyDescent="0.4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 x14ac:dyDescent="0.4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 x14ac:dyDescent="0.4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 x14ac:dyDescent="0.4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 x14ac:dyDescent="0.4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 x14ac:dyDescent="0.4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 x14ac:dyDescent="0.4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 x14ac:dyDescent="0.4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 x14ac:dyDescent="0.4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 x14ac:dyDescent="0.4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 x14ac:dyDescent="0.4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 x14ac:dyDescent="0.4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 x14ac:dyDescent="0.4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 x14ac:dyDescent="0.4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 x14ac:dyDescent="0.4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 x14ac:dyDescent="0.4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 x14ac:dyDescent="0.4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 x14ac:dyDescent="0.4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 x14ac:dyDescent="0.4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 x14ac:dyDescent="0.4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 x14ac:dyDescent="0.4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 x14ac:dyDescent="0.4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 x14ac:dyDescent="0.4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 x14ac:dyDescent="0.4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 x14ac:dyDescent="0.4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 x14ac:dyDescent="0.4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 x14ac:dyDescent="0.4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 x14ac:dyDescent="0.4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 x14ac:dyDescent="0.4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 x14ac:dyDescent="0.4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 x14ac:dyDescent="0.4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 x14ac:dyDescent="0.4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 x14ac:dyDescent="0.4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 x14ac:dyDescent="0.4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 x14ac:dyDescent="0.4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 x14ac:dyDescent="0.4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 x14ac:dyDescent="0.4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 x14ac:dyDescent="0.4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 x14ac:dyDescent="0.4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 x14ac:dyDescent="0.4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 x14ac:dyDescent="0.4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 x14ac:dyDescent="0.4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 x14ac:dyDescent="0.4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 x14ac:dyDescent="0.4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 x14ac:dyDescent="0.4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 x14ac:dyDescent="0.4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 x14ac:dyDescent="0.4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 x14ac:dyDescent="0.4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 x14ac:dyDescent="0.4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 x14ac:dyDescent="0.4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 x14ac:dyDescent="0.4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 x14ac:dyDescent="0.4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 x14ac:dyDescent="0.4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 x14ac:dyDescent="0.4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 x14ac:dyDescent="0.4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 x14ac:dyDescent="0.4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 x14ac:dyDescent="0.4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 x14ac:dyDescent="0.4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 x14ac:dyDescent="0.4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 x14ac:dyDescent="0.4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 x14ac:dyDescent="0.4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 x14ac:dyDescent="0.4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 x14ac:dyDescent="0.4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 x14ac:dyDescent="0.4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 x14ac:dyDescent="0.4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 x14ac:dyDescent="0.4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 x14ac:dyDescent="0.4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 x14ac:dyDescent="0.4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 x14ac:dyDescent="0.4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 x14ac:dyDescent="0.4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 x14ac:dyDescent="0.4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 x14ac:dyDescent="0.4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 x14ac:dyDescent="0.4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 x14ac:dyDescent="0.4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 x14ac:dyDescent="0.4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 x14ac:dyDescent="0.4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 x14ac:dyDescent="0.4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 x14ac:dyDescent="0.4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 x14ac:dyDescent="0.4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 x14ac:dyDescent="0.4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 x14ac:dyDescent="0.4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 x14ac:dyDescent="0.4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 x14ac:dyDescent="0.4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 x14ac:dyDescent="0.4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 x14ac:dyDescent="0.4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 x14ac:dyDescent="0.4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 x14ac:dyDescent="0.4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 x14ac:dyDescent="0.4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 x14ac:dyDescent="0.4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 x14ac:dyDescent="0.4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 x14ac:dyDescent="0.4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 x14ac:dyDescent="0.4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 x14ac:dyDescent="0.4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 x14ac:dyDescent="0.4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 x14ac:dyDescent="0.4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 x14ac:dyDescent="0.4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 x14ac:dyDescent="0.4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 x14ac:dyDescent="0.4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 x14ac:dyDescent="0.4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 x14ac:dyDescent="0.4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 x14ac:dyDescent="0.4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 x14ac:dyDescent="0.4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 x14ac:dyDescent="0.4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 x14ac:dyDescent="0.4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 x14ac:dyDescent="0.4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 x14ac:dyDescent="0.4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 x14ac:dyDescent="0.4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 x14ac:dyDescent="0.4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 x14ac:dyDescent="0.4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 x14ac:dyDescent="0.4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 x14ac:dyDescent="0.4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 x14ac:dyDescent="0.4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 x14ac:dyDescent="0.4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 x14ac:dyDescent="0.4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 x14ac:dyDescent="0.4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 x14ac:dyDescent="0.4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 x14ac:dyDescent="0.4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 x14ac:dyDescent="0.4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 x14ac:dyDescent="0.4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 x14ac:dyDescent="0.4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 x14ac:dyDescent="0.4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 x14ac:dyDescent="0.4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 x14ac:dyDescent="0.4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 x14ac:dyDescent="0.4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 x14ac:dyDescent="0.4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 x14ac:dyDescent="0.4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 x14ac:dyDescent="0.4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 x14ac:dyDescent="0.4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 x14ac:dyDescent="0.4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 x14ac:dyDescent="0.4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 x14ac:dyDescent="0.4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 x14ac:dyDescent="0.4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 x14ac:dyDescent="0.4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 x14ac:dyDescent="0.4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 x14ac:dyDescent="0.4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 x14ac:dyDescent="0.4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 x14ac:dyDescent="0.4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 x14ac:dyDescent="0.4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 x14ac:dyDescent="0.4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 x14ac:dyDescent="0.4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 x14ac:dyDescent="0.4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 x14ac:dyDescent="0.4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 x14ac:dyDescent="0.4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 x14ac:dyDescent="0.4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 x14ac:dyDescent="0.4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 x14ac:dyDescent="0.4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 x14ac:dyDescent="0.4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 x14ac:dyDescent="0.4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 x14ac:dyDescent="0.4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 x14ac:dyDescent="0.4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 x14ac:dyDescent="0.4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 x14ac:dyDescent="0.4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 x14ac:dyDescent="0.4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 x14ac:dyDescent="0.4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 x14ac:dyDescent="0.4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 x14ac:dyDescent="0.4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 x14ac:dyDescent="0.4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 x14ac:dyDescent="0.4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 x14ac:dyDescent="0.4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 x14ac:dyDescent="0.4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 x14ac:dyDescent="0.4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 x14ac:dyDescent="0.4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 x14ac:dyDescent="0.4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 x14ac:dyDescent="0.4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 x14ac:dyDescent="0.4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 x14ac:dyDescent="0.4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 x14ac:dyDescent="0.4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 x14ac:dyDescent="0.4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 x14ac:dyDescent="0.4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 x14ac:dyDescent="0.4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 x14ac:dyDescent="0.4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 x14ac:dyDescent="0.4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 x14ac:dyDescent="0.4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 x14ac:dyDescent="0.4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 x14ac:dyDescent="0.4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 x14ac:dyDescent="0.4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 x14ac:dyDescent="0.4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 x14ac:dyDescent="0.4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 x14ac:dyDescent="0.4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 x14ac:dyDescent="0.4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 x14ac:dyDescent="0.4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 x14ac:dyDescent="0.4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 x14ac:dyDescent="0.4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 x14ac:dyDescent="0.4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 x14ac:dyDescent="0.4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 x14ac:dyDescent="0.4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 x14ac:dyDescent="0.4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 x14ac:dyDescent="0.4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 x14ac:dyDescent="0.4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 x14ac:dyDescent="0.4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 x14ac:dyDescent="0.4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 x14ac:dyDescent="0.4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 x14ac:dyDescent="0.4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 x14ac:dyDescent="0.4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 x14ac:dyDescent="0.4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 x14ac:dyDescent="0.4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 x14ac:dyDescent="0.4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 x14ac:dyDescent="0.4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 x14ac:dyDescent="0.4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 x14ac:dyDescent="0.4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 x14ac:dyDescent="0.4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 x14ac:dyDescent="0.4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 x14ac:dyDescent="0.4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 x14ac:dyDescent="0.4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 x14ac:dyDescent="0.4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 x14ac:dyDescent="0.4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 x14ac:dyDescent="0.4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 x14ac:dyDescent="0.4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 x14ac:dyDescent="0.4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 x14ac:dyDescent="0.4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 x14ac:dyDescent="0.4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 x14ac:dyDescent="0.4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 x14ac:dyDescent="0.4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 x14ac:dyDescent="0.4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 x14ac:dyDescent="0.4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 x14ac:dyDescent="0.4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 x14ac:dyDescent="0.4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 x14ac:dyDescent="0.4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 x14ac:dyDescent="0.4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 x14ac:dyDescent="0.4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 x14ac:dyDescent="0.4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 x14ac:dyDescent="0.4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 x14ac:dyDescent="0.4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 x14ac:dyDescent="0.4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 x14ac:dyDescent="0.4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 x14ac:dyDescent="0.4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 x14ac:dyDescent="0.4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 x14ac:dyDescent="0.4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 x14ac:dyDescent="0.4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 x14ac:dyDescent="0.4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 x14ac:dyDescent="0.4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 x14ac:dyDescent="0.4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 x14ac:dyDescent="0.4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 x14ac:dyDescent="0.4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 x14ac:dyDescent="0.4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 x14ac:dyDescent="0.4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 x14ac:dyDescent="0.4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 x14ac:dyDescent="0.4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 x14ac:dyDescent="0.4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 x14ac:dyDescent="0.4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 x14ac:dyDescent="0.4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 x14ac:dyDescent="0.4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 x14ac:dyDescent="0.4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 x14ac:dyDescent="0.4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 x14ac:dyDescent="0.4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 x14ac:dyDescent="0.4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 x14ac:dyDescent="0.4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 x14ac:dyDescent="0.4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 x14ac:dyDescent="0.4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 x14ac:dyDescent="0.4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 x14ac:dyDescent="0.4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 x14ac:dyDescent="0.4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 x14ac:dyDescent="0.4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 x14ac:dyDescent="0.4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 x14ac:dyDescent="0.4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 x14ac:dyDescent="0.4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 x14ac:dyDescent="0.4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 x14ac:dyDescent="0.4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 x14ac:dyDescent="0.4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 x14ac:dyDescent="0.4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 x14ac:dyDescent="0.4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 x14ac:dyDescent="0.4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 x14ac:dyDescent="0.4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 x14ac:dyDescent="0.4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 x14ac:dyDescent="0.4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 x14ac:dyDescent="0.4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 x14ac:dyDescent="0.4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 x14ac:dyDescent="0.4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 x14ac:dyDescent="0.4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 x14ac:dyDescent="0.4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 x14ac:dyDescent="0.4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 x14ac:dyDescent="0.4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 x14ac:dyDescent="0.4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 x14ac:dyDescent="0.4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 x14ac:dyDescent="0.4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 x14ac:dyDescent="0.4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 x14ac:dyDescent="0.4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 x14ac:dyDescent="0.4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 x14ac:dyDescent="0.4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 x14ac:dyDescent="0.4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 x14ac:dyDescent="0.4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 x14ac:dyDescent="0.4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 x14ac:dyDescent="0.4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 x14ac:dyDescent="0.4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 x14ac:dyDescent="0.4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 x14ac:dyDescent="0.4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 x14ac:dyDescent="0.4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 x14ac:dyDescent="0.4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 x14ac:dyDescent="0.4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 x14ac:dyDescent="0.4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 x14ac:dyDescent="0.4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 x14ac:dyDescent="0.4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 x14ac:dyDescent="0.4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 x14ac:dyDescent="0.4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 x14ac:dyDescent="0.4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 x14ac:dyDescent="0.4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 x14ac:dyDescent="0.4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 x14ac:dyDescent="0.4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 x14ac:dyDescent="0.4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 x14ac:dyDescent="0.4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 x14ac:dyDescent="0.4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 x14ac:dyDescent="0.4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 x14ac:dyDescent="0.4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 x14ac:dyDescent="0.4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 x14ac:dyDescent="0.4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 x14ac:dyDescent="0.4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 x14ac:dyDescent="0.4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 x14ac:dyDescent="0.4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 x14ac:dyDescent="0.4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 x14ac:dyDescent="0.4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 x14ac:dyDescent="0.4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 x14ac:dyDescent="0.4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 x14ac:dyDescent="0.4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 x14ac:dyDescent="0.4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 x14ac:dyDescent="0.4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 x14ac:dyDescent="0.4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 x14ac:dyDescent="0.4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 I4:I6 F26:F100 I26:I10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5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C10" sqref="C10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5" t="str" cm="1">
        <f t="array" ref="A1">portfolio</f>
        <v>RINGS END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SUM(C4:C73)</f>
        <v>47309.029996337777</v>
      </c>
      <c r="D2" s="5">
        <f>SUM(D4:D73)</f>
        <v>0</v>
      </c>
      <c r="E2" s="5">
        <f>C2-D2</f>
        <v>47309.029996337777</v>
      </c>
      <c r="F2" s="6">
        <f>IFERROR(E2/D2, 0)</f>
        <v>0</v>
      </c>
      <c r="G2" s="5">
        <f>SUM(G4:G73)</f>
        <v>39533.952000000005</v>
      </c>
      <c r="H2" s="7">
        <f>C2-G2</f>
        <v>7775.0779963377718</v>
      </c>
      <c r="I2" s="6">
        <f>IFERROR(H2/G2, 0)</f>
        <v>0.1966683724495282</v>
      </c>
    </row>
    <row r="3" spans="1:9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 x14ac:dyDescent="0.35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SUM(Jan!C4, Feb!C4, Mar!C4)</f>
        <v>16857.690000000002</v>
      </c>
      <c r="D4" s="13">
        <f>SUM(Jan!D4, Feb!D4, Mar!D4)</f>
        <v>0</v>
      </c>
      <c r="E4" s="13">
        <f>IF(AND(ISNUMBER(C4),ISNUMBER(D4)), C4-D4, "")</f>
        <v>16857.690000000002</v>
      </c>
      <c r="F4" s="14" t="str">
        <f>IFERROR(E4/D4, "")</f>
        <v/>
      </c>
      <c r="G4" s="15">
        <f>SUM(Jan!G4, Feb!G4, Mar!G4)</f>
        <v>25911.952000000001</v>
      </c>
      <c r="H4" s="15">
        <f>SUM(Jan!H4, Feb!H4, Mar!H4)</f>
        <v>-9054.2620000000006</v>
      </c>
      <c r="I4" s="16">
        <f>IFERROR(H4/G4, "")</f>
        <v>-0.34942415762425</v>
      </c>
    </row>
    <row r="5" spans="1:9" ht="15.75" x14ac:dyDescent="0.35">
      <c r="A5" s="47" t="str">
        <v>Milford - Rings End</v>
      </c>
      <c r="B5" s="10" t="str">
        <v>CT</v>
      </c>
      <c r="C5" s="11">
        <f>SUM(Jan!C5, Feb!C5, Mar!C5)</f>
        <v>16892.285003661989</v>
      </c>
      <c r="D5" s="18">
        <f>SUM(Jan!D5, Feb!D5, Mar!D5)</f>
        <v>0</v>
      </c>
      <c r="E5" s="18">
        <f t="shared" ref="E5:E6" si="0">IF(AND(ISNUMBER(C5),ISNUMBER(D5)), C5-D5, "")</f>
        <v>16892.285003661989</v>
      </c>
      <c r="F5" s="19" t="str">
        <f>IFERROR(E5/D5, "")</f>
        <v/>
      </c>
      <c r="G5" s="20">
        <f>SUM(Jan!G5, Feb!G5, Mar!G5)</f>
        <v>13622</v>
      </c>
      <c r="H5" s="20">
        <f>SUM(Jan!H5, Feb!H5, Mar!H5)</f>
        <v>3270.2850036619898</v>
      </c>
      <c r="I5" s="19">
        <f>IFERROR(H5/G5, "")</f>
        <v>0.24007377798135293</v>
      </c>
    </row>
    <row r="6" spans="1:9" ht="15.75" x14ac:dyDescent="0.35">
      <c r="A6" s="46" t="str">
        <v>New Milford - Rings End</v>
      </c>
      <c r="B6" s="9" t="str">
        <v>CT</v>
      </c>
      <c r="C6" s="24">
        <f>SUM(Jan!C6, Feb!C6, Mar!C6)</f>
        <v>13559.054992675781</v>
      </c>
      <c r="D6" s="13">
        <f>SUM(Jan!D6, Feb!D6, Mar!D6)</f>
        <v>0</v>
      </c>
      <c r="E6" s="13">
        <f t="shared" si="0"/>
        <v>13559.054992675781</v>
      </c>
      <c r="F6" s="14" t="str">
        <f t="shared" ref="F6" si="1">IFERROR(E6/D6, "")</f>
        <v/>
      </c>
      <c r="G6" s="15">
        <f>SUM(Jan!G6, Feb!G6, Mar!G6)</f>
        <v>0</v>
      </c>
      <c r="H6" s="15">
        <f>SUM(Jan!H6, Feb!H6, Mar!H6)</f>
        <v>13559.054992675781</v>
      </c>
      <c r="I6" s="16" t="str">
        <f t="shared" ref="I6" si="2">IFERROR(H6/G6, "")</f>
        <v/>
      </c>
    </row>
    <row r="7" spans="1:9" ht="13.15" x14ac:dyDescent="0.4">
      <c r="A7" s="21"/>
      <c r="B7" s="21"/>
      <c r="C7" s="21"/>
      <c r="D7" s="21"/>
      <c r="E7" s="21"/>
      <c r="F7" s="22"/>
      <c r="G7" s="21"/>
      <c r="H7" s="21"/>
      <c r="I7" s="22"/>
    </row>
    <row r="8" spans="1:9" ht="13.15" x14ac:dyDescent="0.4">
      <c r="A8" s="21"/>
      <c r="B8" s="21"/>
      <c r="C8" s="21"/>
      <c r="D8" s="21"/>
      <c r="E8" s="21"/>
      <c r="F8" s="22"/>
      <c r="G8" s="21"/>
      <c r="H8" s="21"/>
      <c r="I8" s="22"/>
    </row>
    <row r="9" spans="1:9" ht="13.15" x14ac:dyDescent="0.4">
      <c r="A9" s="21"/>
      <c r="B9" s="21"/>
      <c r="C9" s="21"/>
      <c r="D9" s="21"/>
      <c r="E9" s="21"/>
      <c r="F9" s="22"/>
      <c r="G9" s="21"/>
      <c r="H9" s="21"/>
      <c r="I9" s="22"/>
    </row>
    <row r="10" spans="1:9" ht="13.15" x14ac:dyDescent="0.4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 x14ac:dyDescent="0.4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 x14ac:dyDescent="0.4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 x14ac:dyDescent="0.4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 x14ac:dyDescent="0.4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 x14ac:dyDescent="0.4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 x14ac:dyDescent="0.4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 x14ac:dyDescent="0.4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 x14ac:dyDescent="0.4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 x14ac:dyDescent="0.4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 x14ac:dyDescent="0.4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 x14ac:dyDescent="0.4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 x14ac:dyDescent="0.4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 x14ac:dyDescent="0.4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 x14ac:dyDescent="0.4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 x14ac:dyDescent="0.4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 x14ac:dyDescent="0.4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 x14ac:dyDescent="0.4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 x14ac:dyDescent="0.4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 x14ac:dyDescent="0.4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 x14ac:dyDescent="0.4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 x14ac:dyDescent="0.4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 x14ac:dyDescent="0.4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 x14ac:dyDescent="0.4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 x14ac:dyDescent="0.4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 x14ac:dyDescent="0.4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 x14ac:dyDescent="0.4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 x14ac:dyDescent="0.4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 x14ac:dyDescent="0.4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 x14ac:dyDescent="0.4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 x14ac:dyDescent="0.4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 x14ac:dyDescent="0.4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 x14ac:dyDescent="0.4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 x14ac:dyDescent="0.4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 x14ac:dyDescent="0.4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 x14ac:dyDescent="0.4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 x14ac:dyDescent="0.4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 x14ac:dyDescent="0.4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 x14ac:dyDescent="0.4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 x14ac:dyDescent="0.4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 x14ac:dyDescent="0.4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 x14ac:dyDescent="0.4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 x14ac:dyDescent="0.4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 x14ac:dyDescent="0.4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 x14ac:dyDescent="0.4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 x14ac:dyDescent="0.4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 x14ac:dyDescent="0.4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 x14ac:dyDescent="0.4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 x14ac:dyDescent="0.4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 x14ac:dyDescent="0.4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 x14ac:dyDescent="0.4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 x14ac:dyDescent="0.4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 x14ac:dyDescent="0.4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 x14ac:dyDescent="0.4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 x14ac:dyDescent="0.4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 x14ac:dyDescent="0.4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 x14ac:dyDescent="0.4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 x14ac:dyDescent="0.4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 x14ac:dyDescent="0.4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 x14ac:dyDescent="0.4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 x14ac:dyDescent="0.4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 x14ac:dyDescent="0.4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 x14ac:dyDescent="0.4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 x14ac:dyDescent="0.4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 x14ac:dyDescent="0.4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 x14ac:dyDescent="0.4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 x14ac:dyDescent="0.4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 x14ac:dyDescent="0.4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 x14ac:dyDescent="0.4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 x14ac:dyDescent="0.4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 x14ac:dyDescent="0.4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 x14ac:dyDescent="0.4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 x14ac:dyDescent="0.4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 x14ac:dyDescent="0.4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 x14ac:dyDescent="0.4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 x14ac:dyDescent="0.4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 x14ac:dyDescent="0.4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 x14ac:dyDescent="0.4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 x14ac:dyDescent="0.4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 x14ac:dyDescent="0.4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 x14ac:dyDescent="0.4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 x14ac:dyDescent="0.4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 x14ac:dyDescent="0.4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 x14ac:dyDescent="0.4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 x14ac:dyDescent="0.4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 x14ac:dyDescent="0.4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 x14ac:dyDescent="0.4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 x14ac:dyDescent="0.4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 x14ac:dyDescent="0.4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 x14ac:dyDescent="0.4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 x14ac:dyDescent="0.4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 x14ac:dyDescent="0.4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 x14ac:dyDescent="0.4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 x14ac:dyDescent="0.4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 x14ac:dyDescent="0.4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 x14ac:dyDescent="0.4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 x14ac:dyDescent="0.4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 x14ac:dyDescent="0.4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 x14ac:dyDescent="0.4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 x14ac:dyDescent="0.4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 x14ac:dyDescent="0.4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 x14ac:dyDescent="0.4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 x14ac:dyDescent="0.4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 x14ac:dyDescent="0.4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 x14ac:dyDescent="0.4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 x14ac:dyDescent="0.4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 x14ac:dyDescent="0.4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 x14ac:dyDescent="0.4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 x14ac:dyDescent="0.4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 x14ac:dyDescent="0.4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 x14ac:dyDescent="0.4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 x14ac:dyDescent="0.4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 x14ac:dyDescent="0.4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 x14ac:dyDescent="0.4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 x14ac:dyDescent="0.4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 x14ac:dyDescent="0.4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 x14ac:dyDescent="0.4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 x14ac:dyDescent="0.4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 x14ac:dyDescent="0.4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 x14ac:dyDescent="0.4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 x14ac:dyDescent="0.4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 x14ac:dyDescent="0.4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 x14ac:dyDescent="0.4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 x14ac:dyDescent="0.4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 x14ac:dyDescent="0.4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 x14ac:dyDescent="0.4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 x14ac:dyDescent="0.4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 x14ac:dyDescent="0.4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 x14ac:dyDescent="0.4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 x14ac:dyDescent="0.4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 x14ac:dyDescent="0.4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 x14ac:dyDescent="0.4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 x14ac:dyDescent="0.4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 x14ac:dyDescent="0.4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 x14ac:dyDescent="0.4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 x14ac:dyDescent="0.4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 x14ac:dyDescent="0.4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 x14ac:dyDescent="0.4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 x14ac:dyDescent="0.4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 x14ac:dyDescent="0.4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 x14ac:dyDescent="0.4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 x14ac:dyDescent="0.4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 x14ac:dyDescent="0.4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 x14ac:dyDescent="0.4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 x14ac:dyDescent="0.4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 x14ac:dyDescent="0.4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 x14ac:dyDescent="0.4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 x14ac:dyDescent="0.4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 x14ac:dyDescent="0.4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 x14ac:dyDescent="0.4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 x14ac:dyDescent="0.4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 x14ac:dyDescent="0.4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 x14ac:dyDescent="0.4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 x14ac:dyDescent="0.4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 x14ac:dyDescent="0.4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 x14ac:dyDescent="0.4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 x14ac:dyDescent="0.4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 x14ac:dyDescent="0.4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 x14ac:dyDescent="0.4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 x14ac:dyDescent="0.4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 x14ac:dyDescent="0.4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 x14ac:dyDescent="0.4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 x14ac:dyDescent="0.4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 x14ac:dyDescent="0.4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 x14ac:dyDescent="0.4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 x14ac:dyDescent="0.4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 x14ac:dyDescent="0.4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 x14ac:dyDescent="0.4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 x14ac:dyDescent="0.4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 x14ac:dyDescent="0.4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 x14ac:dyDescent="0.4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 x14ac:dyDescent="0.4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 x14ac:dyDescent="0.4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 x14ac:dyDescent="0.4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 x14ac:dyDescent="0.4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 x14ac:dyDescent="0.4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 x14ac:dyDescent="0.4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 x14ac:dyDescent="0.4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 x14ac:dyDescent="0.4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 x14ac:dyDescent="0.4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 x14ac:dyDescent="0.4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 x14ac:dyDescent="0.4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 x14ac:dyDescent="0.4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 x14ac:dyDescent="0.4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 x14ac:dyDescent="0.4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 x14ac:dyDescent="0.4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 x14ac:dyDescent="0.4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 x14ac:dyDescent="0.4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 x14ac:dyDescent="0.4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 x14ac:dyDescent="0.4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 x14ac:dyDescent="0.4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 x14ac:dyDescent="0.4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 x14ac:dyDescent="0.4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 x14ac:dyDescent="0.4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 x14ac:dyDescent="0.4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 x14ac:dyDescent="0.4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 x14ac:dyDescent="0.4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 x14ac:dyDescent="0.4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 x14ac:dyDescent="0.4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 x14ac:dyDescent="0.4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 x14ac:dyDescent="0.4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 x14ac:dyDescent="0.4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 x14ac:dyDescent="0.4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 x14ac:dyDescent="0.4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 x14ac:dyDescent="0.4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 x14ac:dyDescent="0.4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 x14ac:dyDescent="0.4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 x14ac:dyDescent="0.4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 x14ac:dyDescent="0.4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 x14ac:dyDescent="0.4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 x14ac:dyDescent="0.4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 x14ac:dyDescent="0.4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 x14ac:dyDescent="0.4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 x14ac:dyDescent="0.4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 x14ac:dyDescent="0.4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 x14ac:dyDescent="0.4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 x14ac:dyDescent="0.4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 x14ac:dyDescent="0.4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 x14ac:dyDescent="0.4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 x14ac:dyDescent="0.4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 x14ac:dyDescent="0.4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 x14ac:dyDescent="0.4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 x14ac:dyDescent="0.4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 x14ac:dyDescent="0.4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 x14ac:dyDescent="0.4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 x14ac:dyDescent="0.4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 x14ac:dyDescent="0.4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 x14ac:dyDescent="0.4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 x14ac:dyDescent="0.4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 x14ac:dyDescent="0.4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 x14ac:dyDescent="0.4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 x14ac:dyDescent="0.4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 x14ac:dyDescent="0.4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 x14ac:dyDescent="0.4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 x14ac:dyDescent="0.4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 x14ac:dyDescent="0.4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 x14ac:dyDescent="0.4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 x14ac:dyDescent="0.4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 x14ac:dyDescent="0.4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 x14ac:dyDescent="0.4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 x14ac:dyDescent="0.4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 x14ac:dyDescent="0.4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 x14ac:dyDescent="0.4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 x14ac:dyDescent="0.4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 x14ac:dyDescent="0.4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 x14ac:dyDescent="0.4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 x14ac:dyDescent="0.4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 x14ac:dyDescent="0.4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 x14ac:dyDescent="0.4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 x14ac:dyDescent="0.4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 x14ac:dyDescent="0.4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 x14ac:dyDescent="0.4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 x14ac:dyDescent="0.4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 x14ac:dyDescent="0.4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 x14ac:dyDescent="0.4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 x14ac:dyDescent="0.4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 x14ac:dyDescent="0.4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 x14ac:dyDescent="0.4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 x14ac:dyDescent="0.4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 x14ac:dyDescent="0.4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 x14ac:dyDescent="0.4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 x14ac:dyDescent="0.4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 x14ac:dyDescent="0.4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 x14ac:dyDescent="0.4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 x14ac:dyDescent="0.4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 x14ac:dyDescent="0.4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 x14ac:dyDescent="0.4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 x14ac:dyDescent="0.4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 x14ac:dyDescent="0.4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 x14ac:dyDescent="0.4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 x14ac:dyDescent="0.4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 x14ac:dyDescent="0.4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 x14ac:dyDescent="0.4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 x14ac:dyDescent="0.4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 x14ac:dyDescent="0.4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 x14ac:dyDescent="0.4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 x14ac:dyDescent="0.4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 x14ac:dyDescent="0.4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 x14ac:dyDescent="0.4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 x14ac:dyDescent="0.4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 x14ac:dyDescent="0.4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 x14ac:dyDescent="0.4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 x14ac:dyDescent="0.4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 x14ac:dyDescent="0.4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 x14ac:dyDescent="0.4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 x14ac:dyDescent="0.4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 x14ac:dyDescent="0.4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 x14ac:dyDescent="0.4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 x14ac:dyDescent="0.4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 x14ac:dyDescent="0.4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 x14ac:dyDescent="0.4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 x14ac:dyDescent="0.4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 x14ac:dyDescent="0.4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 x14ac:dyDescent="0.4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 x14ac:dyDescent="0.4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 x14ac:dyDescent="0.4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 x14ac:dyDescent="0.4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 x14ac:dyDescent="0.4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 x14ac:dyDescent="0.4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 x14ac:dyDescent="0.4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 x14ac:dyDescent="0.4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 x14ac:dyDescent="0.4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 x14ac:dyDescent="0.4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 x14ac:dyDescent="0.4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 x14ac:dyDescent="0.4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 x14ac:dyDescent="0.4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3 I4:I73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5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G10" sqref="G10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5" t="str" cm="1">
        <f t="array" ref="A1">portfolio</f>
        <v>RINGS END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SUM(C4:C73)</f>
        <v>106000.55100000001</v>
      </c>
      <c r="D2" s="5">
        <f>SUM(D4:D73)</f>
        <v>0</v>
      </c>
      <c r="E2" s="5">
        <f>C2-D2</f>
        <v>106000.55100000001</v>
      </c>
      <c r="F2" s="6">
        <f>IFERROR(E2/D2, 0)</f>
        <v>0</v>
      </c>
      <c r="G2" s="5">
        <f>SUM(G4:G73)</f>
        <v>65047.523999999998</v>
      </c>
      <c r="H2" s="7">
        <f>C2-G2</f>
        <v>40953.027000000009</v>
      </c>
      <c r="I2" s="6">
        <f>IFERROR(H2/G2, 0)</f>
        <v>0.62958625450524464</v>
      </c>
    </row>
    <row r="3" spans="1:9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 x14ac:dyDescent="0.35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SUM(Apr!C4, May!C4, Jun!C4)</f>
        <v>37588.760999999999</v>
      </c>
      <c r="D4" s="13">
        <f>SUM(Apr!D4, May!D4, Jun!D4)</f>
        <v>0</v>
      </c>
      <c r="E4" s="13">
        <f>IF(AND(ISNUMBER(C4),ISNUMBER(D4)), C4-D4, "")</f>
        <v>37588.760999999999</v>
      </c>
      <c r="F4" s="14" t="str">
        <f>IFERROR(E4/D4, "")</f>
        <v/>
      </c>
      <c r="G4" s="15">
        <f>SUM(Apr!G4,May!G4,Jun!G4)</f>
        <v>42009.523999999998</v>
      </c>
      <c r="H4" s="15">
        <f>SUM(Apr!H4, May!H4, Jun!H4)</f>
        <v>-4420.762999999999</v>
      </c>
      <c r="I4" s="16">
        <f>IFERROR(H4/G4, "")</f>
        <v>-0.10523239920547539</v>
      </c>
    </row>
    <row r="5" spans="1:9" ht="15.75" x14ac:dyDescent="0.35">
      <c r="A5" s="47" t="str">
        <v>Milford - Rings End</v>
      </c>
      <c r="B5" s="10" t="str">
        <v>CT</v>
      </c>
      <c r="C5" s="11">
        <f>SUM(Apr!C5, May!C5, Jun!C5)</f>
        <v>38953.89</v>
      </c>
      <c r="D5" s="18">
        <f>SUM(Apr!D5, May!D5, Jun!D5)</f>
        <v>0</v>
      </c>
      <c r="E5" s="18">
        <f t="shared" ref="E5:E6" si="0">IF(AND(ISNUMBER(C5),ISNUMBER(D5)), C5-D5, "")</f>
        <v>38953.89</v>
      </c>
      <c r="F5" s="19" t="str">
        <f>IFERROR(E5/D5, "")</f>
        <v/>
      </c>
      <c r="G5" s="18">
        <f>SUM(Apr!G5,May!G5,Jun!G5)</f>
        <v>23038</v>
      </c>
      <c r="H5" s="20">
        <f>SUM(Apr!H5, May!H5, Jun!H5)</f>
        <v>15915.890000000001</v>
      </c>
      <c r="I5" s="19">
        <f>IFERROR(H5/G5, "")</f>
        <v>0.69085380675405861</v>
      </c>
    </row>
    <row r="6" spans="1:9" ht="15.75" x14ac:dyDescent="0.35">
      <c r="A6" s="46" t="str">
        <v>New Milford - Rings End</v>
      </c>
      <c r="B6" s="9" t="str">
        <v>CT</v>
      </c>
      <c r="C6" s="24">
        <f>SUM(Apr!C6, May!C6, Jun!C6)</f>
        <v>29457.9</v>
      </c>
      <c r="D6" s="13">
        <f>SUM(Apr!D6, May!D6, Jun!D6)</f>
        <v>0</v>
      </c>
      <c r="E6" s="13">
        <f t="shared" si="0"/>
        <v>29457.9</v>
      </c>
      <c r="F6" s="14" t="str">
        <f t="shared" ref="F6" si="1">IFERROR(E6/D6, "")</f>
        <v/>
      </c>
      <c r="G6" s="15">
        <f>SUM(Apr!G6,May!G6,Jun!G6)</f>
        <v>0</v>
      </c>
      <c r="H6" s="15">
        <f>SUM(Apr!H6, May!H6, Jun!H6)</f>
        <v>29457.9</v>
      </c>
      <c r="I6" s="16" t="str">
        <f t="shared" ref="I6" si="2">IFERROR(H6/G6, "")</f>
        <v/>
      </c>
    </row>
    <row r="7" spans="1:9" ht="13.15" x14ac:dyDescent="0.4">
      <c r="A7" s="21"/>
      <c r="B7" s="21"/>
      <c r="C7" s="21"/>
      <c r="D7" s="21"/>
      <c r="E7" s="21"/>
      <c r="F7" s="22"/>
      <c r="G7" s="21"/>
      <c r="H7" s="21"/>
      <c r="I7" s="22"/>
    </row>
    <row r="8" spans="1:9" ht="13.15" x14ac:dyDescent="0.4">
      <c r="A8" s="21"/>
      <c r="B8" s="21"/>
      <c r="C8" s="21"/>
      <c r="D8" s="21"/>
      <c r="E8" s="21"/>
      <c r="F8" s="22"/>
      <c r="G8" s="21"/>
      <c r="H8" s="21"/>
      <c r="I8" s="22"/>
    </row>
    <row r="9" spans="1:9" ht="13.15" x14ac:dyDescent="0.4">
      <c r="A9" s="21"/>
      <c r="B9" s="21"/>
      <c r="C9" s="21"/>
      <c r="D9" s="21"/>
      <c r="E9" s="21"/>
      <c r="F9" s="22"/>
      <c r="G9" s="21"/>
      <c r="H9" s="21"/>
      <c r="I9" s="22"/>
    </row>
    <row r="10" spans="1:9" ht="13.15" x14ac:dyDescent="0.4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 x14ac:dyDescent="0.4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 x14ac:dyDescent="0.4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 x14ac:dyDescent="0.4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 x14ac:dyDescent="0.4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 x14ac:dyDescent="0.4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 x14ac:dyDescent="0.4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 x14ac:dyDescent="0.4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 x14ac:dyDescent="0.4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 x14ac:dyDescent="0.4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 x14ac:dyDescent="0.4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 x14ac:dyDescent="0.4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 x14ac:dyDescent="0.4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 x14ac:dyDescent="0.4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 x14ac:dyDescent="0.4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 x14ac:dyDescent="0.4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 x14ac:dyDescent="0.4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 x14ac:dyDescent="0.4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 x14ac:dyDescent="0.4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 x14ac:dyDescent="0.4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 x14ac:dyDescent="0.4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 x14ac:dyDescent="0.4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 x14ac:dyDescent="0.4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 x14ac:dyDescent="0.4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 x14ac:dyDescent="0.4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 x14ac:dyDescent="0.4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 x14ac:dyDescent="0.4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 x14ac:dyDescent="0.4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 x14ac:dyDescent="0.4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 x14ac:dyDescent="0.4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 x14ac:dyDescent="0.4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 x14ac:dyDescent="0.4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 x14ac:dyDescent="0.4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 x14ac:dyDescent="0.4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 x14ac:dyDescent="0.4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 x14ac:dyDescent="0.4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 x14ac:dyDescent="0.4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 x14ac:dyDescent="0.4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 x14ac:dyDescent="0.4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 x14ac:dyDescent="0.4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 x14ac:dyDescent="0.4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 x14ac:dyDescent="0.4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 x14ac:dyDescent="0.4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 x14ac:dyDescent="0.4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 x14ac:dyDescent="0.4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 x14ac:dyDescent="0.4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 x14ac:dyDescent="0.4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 x14ac:dyDescent="0.4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 x14ac:dyDescent="0.4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 x14ac:dyDescent="0.4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 x14ac:dyDescent="0.4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 x14ac:dyDescent="0.4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 x14ac:dyDescent="0.4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 x14ac:dyDescent="0.4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 x14ac:dyDescent="0.4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 x14ac:dyDescent="0.4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 x14ac:dyDescent="0.4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 x14ac:dyDescent="0.4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 x14ac:dyDescent="0.4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 x14ac:dyDescent="0.4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 x14ac:dyDescent="0.4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 x14ac:dyDescent="0.4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 x14ac:dyDescent="0.4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 x14ac:dyDescent="0.4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 x14ac:dyDescent="0.4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 x14ac:dyDescent="0.4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 x14ac:dyDescent="0.4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 x14ac:dyDescent="0.4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 x14ac:dyDescent="0.4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 x14ac:dyDescent="0.4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 x14ac:dyDescent="0.4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 x14ac:dyDescent="0.4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 x14ac:dyDescent="0.4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 x14ac:dyDescent="0.4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 x14ac:dyDescent="0.4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 x14ac:dyDescent="0.4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 x14ac:dyDescent="0.4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 x14ac:dyDescent="0.4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 x14ac:dyDescent="0.4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 x14ac:dyDescent="0.4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 x14ac:dyDescent="0.4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 x14ac:dyDescent="0.4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 x14ac:dyDescent="0.4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 x14ac:dyDescent="0.4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 x14ac:dyDescent="0.4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 x14ac:dyDescent="0.4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 x14ac:dyDescent="0.4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 x14ac:dyDescent="0.4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 x14ac:dyDescent="0.4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 x14ac:dyDescent="0.4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 x14ac:dyDescent="0.4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 x14ac:dyDescent="0.4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 x14ac:dyDescent="0.4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 x14ac:dyDescent="0.4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 x14ac:dyDescent="0.4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 x14ac:dyDescent="0.4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 x14ac:dyDescent="0.4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 x14ac:dyDescent="0.4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 x14ac:dyDescent="0.4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 x14ac:dyDescent="0.4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 x14ac:dyDescent="0.4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 x14ac:dyDescent="0.4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 x14ac:dyDescent="0.4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 x14ac:dyDescent="0.4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 x14ac:dyDescent="0.4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 x14ac:dyDescent="0.4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 x14ac:dyDescent="0.4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 x14ac:dyDescent="0.4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 x14ac:dyDescent="0.4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 x14ac:dyDescent="0.4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 x14ac:dyDescent="0.4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 x14ac:dyDescent="0.4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 x14ac:dyDescent="0.4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 x14ac:dyDescent="0.4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 x14ac:dyDescent="0.4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 x14ac:dyDescent="0.4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 x14ac:dyDescent="0.4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 x14ac:dyDescent="0.4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 x14ac:dyDescent="0.4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 x14ac:dyDescent="0.4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 x14ac:dyDescent="0.4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 x14ac:dyDescent="0.4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 x14ac:dyDescent="0.4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 x14ac:dyDescent="0.4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 x14ac:dyDescent="0.4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 x14ac:dyDescent="0.4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 x14ac:dyDescent="0.4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 x14ac:dyDescent="0.4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 x14ac:dyDescent="0.4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 x14ac:dyDescent="0.4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 x14ac:dyDescent="0.4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 x14ac:dyDescent="0.4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 x14ac:dyDescent="0.4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 x14ac:dyDescent="0.4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 x14ac:dyDescent="0.4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 x14ac:dyDescent="0.4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 x14ac:dyDescent="0.4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 x14ac:dyDescent="0.4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 x14ac:dyDescent="0.4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 x14ac:dyDescent="0.4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 x14ac:dyDescent="0.4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 x14ac:dyDescent="0.4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 x14ac:dyDescent="0.4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 x14ac:dyDescent="0.4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 x14ac:dyDescent="0.4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 x14ac:dyDescent="0.4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 x14ac:dyDescent="0.4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 x14ac:dyDescent="0.4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 x14ac:dyDescent="0.4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 x14ac:dyDescent="0.4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 x14ac:dyDescent="0.4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 x14ac:dyDescent="0.4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 x14ac:dyDescent="0.4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 x14ac:dyDescent="0.4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 x14ac:dyDescent="0.4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 x14ac:dyDescent="0.4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 x14ac:dyDescent="0.4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 x14ac:dyDescent="0.4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 x14ac:dyDescent="0.4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 x14ac:dyDescent="0.4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 x14ac:dyDescent="0.4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 x14ac:dyDescent="0.4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 x14ac:dyDescent="0.4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 x14ac:dyDescent="0.4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 x14ac:dyDescent="0.4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 x14ac:dyDescent="0.4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 x14ac:dyDescent="0.4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 x14ac:dyDescent="0.4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 x14ac:dyDescent="0.4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 x14ac:dyDescent="0.4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 x14ac:dyDescent="0.4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 x14ac:dyDescent="0.4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 x14ac:dyDescent="0.4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 x14ac:dyDescent="0.4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 x14ac:dyDescent="0.4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 x14ac:dyDescent="0.4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 x14ac:dyDescent="0.4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 x14ac:dyDescent="0.4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 x14ac:dyDescent="0.4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 x14ac:dyDescent="0.4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 x14ac:dyDescent="0.4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 x14ac:dyDescent="0.4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 x14ac:dyDescent="0.4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 x14ac:dyDescent="0.4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 x14ac:dyDescent="0.4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 x14ac:dyDescent="0.4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 x14ac:dyDescent="0.4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 x14ac:dyDescent="0.4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 x14ac:dyDescent="0.4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 x14ac:dyDescent="0.4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 x14ac:dyDescent="0.4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 x14ac:dyDescent="0.4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 x14ac:dyDescent="0.4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 x14ac:dyDescent="0.4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 x14ac:dyDescent="0.4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 x14ac:dyDescent="0.4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 x14ac:dyDescent="0.4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 x14ac:dyDescent="0.4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 x14ac:dyDescent="0.4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 x14ac:dyDescent="0.4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 x14ac:dyDescent="0.4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 x14ac:dyDescent="0.4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 x14ac:dyDescent="0.4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 x14ac:dyDescent="0.4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 x14ac:dyDescent="0.4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 x14ac:dyDescent="0.4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 x14ac:dyDescent="0.4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 x14ac:dyDescent="0.4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 x14ac:dyDescent="0.4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 x14ac:dyDescent="0.4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 x14ac:dyDescent="0.4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 x14ac:dyDescent="0.4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 x14ac:dyDescent="0.4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 x14ac:dyDescent="0.4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 x14ac:dyDescent="0.4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 x14ac:dyDescent="0.4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 x14ac:dyDescent="0.4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 x14ac:dyDescent="0.4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 x14ac:dyDescent="0.4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 x14ac:dyDescent="0.4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 x14ac:dyDescent="0.4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 x14ac:dyDescent="0.4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 x14ac:dyDescent="0.4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 x14ac:dyDescent="0.4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 x14ac:dyDescent="0.4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 x14ac:dyDescent="0.4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 x14ac:dyDescent="0.4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 x14ac:dyDescent="0.4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 x14ac:dyDescent="0.4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 x14ac:dyDescent="0.4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 x14ac:dyDescent="0.4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 x14ac:dyDescent="0.4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 x14ac:dyDescent="0.4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 x14ac:dyDescent="0.4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 x14ac:dyDescent="0.4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 x14ac:dyDescent="0.4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 x14ac:dyDescent="0.4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 x14ac:dyDescent="0.4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 x14ac:dyDescent="0.4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 x14ac:dyDescent="0.4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 x14ac:dyDescent="0.4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 x14ac:dyDescent="0.4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 x14ac:dyDescent="0.4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 x14ac:dyDescent="0.4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 x14ac:dyDescent="0.4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 x14ac:dyDescent="0.4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 x14ac:dyDescent="0.4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 x14ac:dyDescent="0.4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 x14ac:dyDescent="0.4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 x14ac:dyDescent="0.4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 x14ac:dyDescent="0.4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 x14ac:dyDescent="0.4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 x14ac:dyDescent="0.4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 x14ac:dyDescent="0.4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 x14ac:dyDescent="0.4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 x14ac:dyDescent="0.4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 x14ac:dyDescent="0.4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 x14ac:dyDescent="0.4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 x14ac:dyDescent="0.4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 x14ac:dyDescent="0.4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 x14ac:dyDescent="0.4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 x14ac:dyDescent="0.4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 x14ac:dyDescent="0.4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 x14ac:dyDescent="0.4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 x14ac:dyDescent="0.4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 x14ac:dyDescent="0.4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 x14ac:dyDescent="0.4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 x14ac:dyDescent="0.4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 x14ac:dyDescent="0.4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 x14ac:dyDescent="0.4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 x14ac:dyDescent="0.4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 x14ac:dyDescent="0.4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 x14ac:dyDescent="0.4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 x14ac:dyDescent="0.4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 x14ac:dyDescent="0.4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 x14ac:dyDescent="0.4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 x14ac:dyDescent="0.4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 x14ac:dyDescent="0.4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 x14ac:dyDescent="0.4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 x14ac:dyDescent="0.4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 x14ac:dyDescent="0.4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 x14ac:dyDescent="0.4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 x14ac:dyDescent="0.4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 x14ac:dyDescent="0.4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 x14ac:dyDescent="0.4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 x14ac:dyDescent="0.4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 x14ac:dyDescent="0.4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 x14ac:dyDescent="0.4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 x14ac:dyDescent="0.4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 x14ac:dyDescent="0.4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 x14ac:dyDescent="0.4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 x14ac:dyDescent="0.4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 x14ac:dyDescent="0.4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 x14ac:dyDescent="0.4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 x14ac:dyDescent="0.4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 x14ac:dyDescent="0.4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 x14ac:dyDescent="0.4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 x14ac:dyDescent="0.4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 x14ac:dyDescent="0.4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 x14ac:dyDescent="0.4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 x14ac:dyDescent="0.4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 x14ac:dyDescent="0.4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 x14ac:dyDescent="0.4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 x14ac:dyDescent="0.4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 x14ac:dyDescent="0.4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 x14ac:dyDescent="0.4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3 I4:I73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5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C10" sqref="C10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5" t="str" cm="1">
        <f t="array" ref="A1">portfolio</f>
        <v>RINGS END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 x14ac:dyDescent="0.35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 x14ac:dyDescent="0.35">
      <c r="A5" s="47" t="str">
        <v>Milford - Rings End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 x14ac:dyDescent="0.35">
      <c r="A6" s="46" t="str">
        <v>New Milford - Rings End</v>
      </c>
      <c r="B6" s="9" t="str">
        <v>CT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" si="1">IFERROR(E6/D6, "")</f>
        <v/>
      </c>
      <c r="G6" s="15"/>
      <c r="H6" s="15">
        <f>SUM(Jul!H6, Aug!H6, Sep!H6)</f>
        <v>0</v>
      </c>
      <c r="I6" s="16" t="str">
        <f t="shared" ref="I6" si="2">IFERROR(H6/G6, "")</f>
        <v/>
      </c>
    </row>
    <row r="7" spans="1:9" ht="13.15" x14ac:dyDescent="0.4">
      <c r="A7" s="21"/>
      <c r="B7" s="21"/>
      <c r="C7" s="21"/>
      <c r="D7" s="21"/>
      <c r="E7" s="21"/>
      <c r="F7" s="22"/>
      <c r="G7" s="21"/>
      <c r="H7" s="21"/>
      <c r="I7" s="22"/>
    </row>
    <row r="8" spans="1:9" ht="13.15" x14ac:dyDescent="0.4">
      <c r="A8" s="21"/>
      <c r="B8" s="21"/>
      <c r="C8" s="21"/>
      <c r="D8" s="21"/>
      <c r="E8" s="21"/>
      <c r="F8" s="22"/>
      <c r="G8" s="21"/>
      <c r="H8" s="21"/>
      <c r="I8" s="22"/>
    </row>
    <row r="9" spans="1:9" ht="13.15" x14ac:dyDescent="0.4">
      <c r="A9" s="21"/>
      <c r="B9" s="21"/>
      <c r="C9" s="21"/>
      <c r="D9" s="21"/>
      <c r="E9" s="21"/>
      <c r="F9" s="22"/>
      <c r="G9" s="21"/>
      <c r="H9" s="21"/>
      <c r="I9" s="22"/>
    </row>
    <row r="10" spans="1:9" ht="13.15" x14ac:dyDescent="0.4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 x14ac:dyDescent="0.4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 x14ac:dyDescent="0.4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 x14ac:dyDescent="0.4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 x14ac:dyDescent="0.4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 x14ac:dyDescent="0.4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 x14ac:dyDescent="0.4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 x14ac:dyDescent="0.4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 x14ac:dyDescent="0.4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 x14ac:dyDescent="0.4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 x14ac:dyDescent="0.4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 x14ac:dyDescent="0.4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 x14ac:dyDescent="0.4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 x14ac:dyDescent="0.4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 x14ac:dyDescent="0.4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 x14ac:dyDescent="0.4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 x14ac:dyDescent="0.4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 x14ac:dyDescent="0.4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 x14ac:dyDescent="0.4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 x14ac:dyDescent="0.4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 x14ac:dyDescent="0.4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 x14ac:dyDescent="0.4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 x14ac:dyDescent="0.4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 x14ac:dyDescent="0.4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 x14ac:dyDescent="0.4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 x14ac:dyDescent="0.4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 x14ac:dyDescent="0.4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 x14ac:dyDescent="0.4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 x14ac:dyDescent="0.4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 x14ac:dyDescent="0.4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 x14ac:dyDescent="0.4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 x14ac:dyDescent="0.4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 x14ac:dyDescent="0.4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 x14ac:dyDescent="0.4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 x14ac:dyDescent="0.4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 x14ac:dyDescent="0.4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 x14ac:dyDescent="0.4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 x14ac:dyDescent="0.4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 x14ac:dyDescent="0.4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 x14ac:dyDescent="0.4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 x14ac:dyDescent="0.4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 x14ac:dyDescent="0.4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 x14ac:dyDescent="0.4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 x14ac:dyDescent="0.4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 x14ac:dyDescent="0.4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 x14ac:dyDescent="0.4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 x14ac:dyDescent="0.4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 x14ac:dyDescent="0.4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 x14ac:dyDescent="0.4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 x14ac:dyDescent="0.4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 x14ac:dyDescent="0.4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 x14ac:dyDescent="0.4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 x14ac:dyDescent="0.4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 x14ac:dyDescent="0.4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 x14ac:dyDescent="0.4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 x14ac:dyDescent="0.4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 x14ac:dyDescent="0.4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 x14ac:dyDescent="0.4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 x14ac:dyDescent="0.4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 x14ac:dyDescent="0.4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 x14ac:dyDescent="0.4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 x14ac:dyDescent="0.4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 x14ac:dyDescent="0.4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 x14ac:dyDescent="0.4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 x14ac:dyDescent="0.4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 x14ac:dyDescent="0.4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 x14ac:dyDescent="0.4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 x14ac:dyDescent="0.4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 x14ac:dyDescent="0.4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 x14ac:dyDescent="0.4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 x14ac:dyDescent="0.4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 x14ac:dyDescent="0.4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 x14ac:dyDescent="0.4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 x14ac:dyDescent="0.4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 x14ac:dyDescent="0.4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 x14ac:dyDescent="0.4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 x14ac:dyDescent="0.4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 x14ac:dyDescent="0.4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 x14ac:dyDescent="0.4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 x14ac:dyDescent="0.4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 x14ac:dyDescent="0.4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 x14ac:dyDescent="0.4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 x14ac:dyDescent="0.4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 x14ac:dyDescent="0.4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 x14ac:dyDescent="0.4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 x14ac:dyDescent="0.4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 x14ac:dyDescent="0.4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 x14ac:dyDescent="0.4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 x14ac:dyDescent="0.4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 x14ac:dyDescent="0.4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 x14ac:dyDescent="0.4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 x14ac:dyDescent="0.4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 x14ac:dyDescent="0.4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 x14ac:dyDescent="0.4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 x14ac:dyDescent="0.4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 x14ac:dyDescent="0.4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 x14ac:dyDescent="0.4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 x14ac:dyDescent="0.4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 x14ac:dyDescent="0.4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 x14ac:dyDescent="0.4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 x14ac:dyDescent="0.4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 x14ac:dyDescent="0.4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 x14ac:dyDescent="0.4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 x14ac:dyDescent="0.4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 x14ac:dyDescent="0.4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 x14ac:dyDescent="0.4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 x14ac:dyDescent="0.4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 x14ac:dyDescent="0.4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 x14ac:dyDescent="0.4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 x14ac:dyDescent="0.4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 x14ac:dyDescent="0.4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 x14ac:dyDescent="0.4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 x14ac:dyDescent="0.4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 x14ac:dyDescent="0.4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 x14ac:dyDescent="0.4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 x14ac:dyDescent="0.4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 x14ac:dyDescent="0.4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 x14ac:dyDescent="0.4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 x14ac:dyDescent="0.4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 x14ac:dyDescent="0.4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 x14ac:dyDescent="0.4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 x14ac:dyDescent="0.4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 x14ac:dyDescent="0.4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 x14ac:dyDescent="0.4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 x14ac:dyDescent="0.4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 x14ac:dyDescent="0.4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 x14ac:dyDescent="0.4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 x14ac:dyDescent="0.4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 x14ac:dyDescent="0.4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 x14ac:dyDescent="0.4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 x14ac:dyDescent="0.4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 x14ac:dyDescent="0.4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 x14ac:dyDescent="0.4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 x14ac:dyDescent="0.4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 x14ac:dyDescent="0.4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 x14ac:dyDescent="0.4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 x14ac:dyDescent="0.4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 x14ac:dyDescent="0.4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 x14ac:dyDescent="0.4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 x14ac:dyDescent="0.4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 x14ac:dyDescent="0.4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 x14ac:dyDescent="0.4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 x14ac:dyDescent="0.4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 x14ac:dyDescent="0.4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 x14ac:dyDescent="0.4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 x14ac:dyDescent="0.4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 x14ac:dyDescent="0.4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 x14ac:dyDescent="0.4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 x14ac:dyDescent="0.4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 x14ac:dyDescent="0.4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 x14ac:dyDescent="0.4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 x14ac:dyDescent="0.4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 x14ac:dyDescent="0.4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 x14ac:dyDescent="0.4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 x14ac:dyDescent="0.4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 x14ac:dyDescent="0.4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 x14ac:dyDescent="0.4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 x14ac:dyDescent="0.4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 x14ac:dyDescent="0.4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 x14ac:dyDescent="0.4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 x14ac:dyDescent="0.4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 x14ac:dyDescent="0.4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 x14ac:dyDescent="0.4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 x14ac:dyDescent="0.4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 x14ac:dyDescent="0.4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 x14ac:dyDescent="0.4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 x14ac:dyDescent="0.4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 x14ac:dyDescent="0.4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 x14ac:dyDescent="0.4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 x14ac:dyDescent="0.4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 x14ac:dyDescent="0.4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 x14ac:dyDescent="0.4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 x14ac:dyDescent="0.4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 x14ac:dyDescent="0.4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 x14ac:dyDescent="0.4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 x14ac:dyDescent="0.4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 x14ac:dyDescent="0.4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 x14ac:dyDescent="0.4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 x14ac:dyDescent="0.4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 x14ac:dyDescent="0.4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 x14ac:dyDescent="0.4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 x14ac:dyDescent="0.4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 x14ac:dyDescent="0.4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 x14ac:dyDescent="0.4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 x14ac:dyDescent="0.4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 x14ac:dyDescent="0.4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 x14ac:dyDescent="0.4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 x14ac:dyDescent="0.4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 x14ac:dyDescent="0.4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 x14ac:dyDescent="0.4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 x14ac:dyDescent="0.4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 x14ac:dyDescent="0.4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 x14ac:dyDescent="0.4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 x14ac:dyDescent="0.4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 x14ac:dyDescent="0.4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 x14ac:dyDescent="0.4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 x14ac:dyDescent="0.4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 x14ac:dyDescent="0.4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 x14ac:dyDescent="0.4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 x14ac:dyDescent="0.4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 x14ac:dyDescent="0.4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 x14ac:dyDescent="0.4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 x14ac:dyDescent="0.4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 x14ac:dyDescent="0.4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 x14ac:dyDescent="0.4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 x14ac:dyDescent="0.4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 x14ac:dyDescent="0.4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 x14ac:dyDescent="0.4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 x14ac:dyDescent="0.4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 x14ac:dyDescent="0.4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 x14ac:dyDescent="0.4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 x14ac:dyDescent="0.4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 x14ac:dyDescent="0.4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 x14ac:dyDescent="0.4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 x14ac:dyDescent="0.4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 x14ac:dyDescent="0.4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 x14ac:dyDescent="0.4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 x14ac:dyDescent="0.4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 x14ac:dyDescent="0.4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 x14ac:dyDescent="0.4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 x14ac:dyDescent="0.4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 x14ac:dyDescent="0.4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 x14ac:dyDescent="0.4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 x14ac:dyDescent="0.4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 x14ac:dyDescent="0.4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 x14ac:dyDescent="0.4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 x14ac:dyDescent="0.4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 x14ac:dyDescent="0.4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 x14ac:dyDescent="0.4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 x14ac:dyDescent="0.4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 x14ac:dyDescent="0.4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 x14ac:dyDescent="0.4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 x14ac:dyDescent="0.4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 x14ac:dyDescent="0.4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 x14ac:dyDescent="0.4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 x14ac:dyDescent="0.4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 x14ac:dyDescent="0.4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 x14ac:dyDescent="0.4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 x14ac:dyDescent="0.4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 x14ac:dyDescent="0.4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 x14ac:dyDescent="0.4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 x14ac:dyDescent="0.4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 x14ac:dyDescent="0.4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 x14ac:dyDescent="0.4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 x14ac:dyDescent="0.4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 x14ac:dyDescent="0.4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 x14ac:dyDescent="0.4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 x14ac:dyDescent="0.4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 x14ac:dyDescent="0.4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 x14ac:dyDescent="0.4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 x14ac:dyDescent="0.4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 x14ac:dyDescent="0.4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 x14ac:dyDescent="0.4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 x14ac:dyDescent="0.4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 x14ac:dyDescent="0.4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 x14ac:dyDescent="0.4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 x14ac:dyDescent="0.4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 x14ac:dyDescent="0.4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 x14ac:dyDescent="0.4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 x14ac:dyDescent="0.4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 x14ac:dyDescent="0.4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 x14ac:dyDescent="0.4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 x14ac:dyDescent="0.4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 x14ac:dyDescent="0.4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 x14ac:dyDescent="0.4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 x14ac:dyDescent="0.4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 x14ac:dyDescent="0.4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 x14ac:dyDescent="0.4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 x14ac:dyDescent="0.4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 x14ac:dyDescent="0.4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 x14ac:dyDescent="0.4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 x14ac:dyDescent="0.4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 x14ac:dyDescent="0.4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 x14ac:dyDescent="0.4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 x14ac:dyDescent="0.4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 x14ac:dyDescent="0.4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 x14ac:dyDescent="0.4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 x14ac:dyDescent="0.4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 x14ac:dyDescent="0.4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 x14ac:dyDescent="0.4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 x14ac:dyDescent="0.4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 x14ac:dyDescent="0.4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 x14ac:dyDescent="0.4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 x14ac:dyDescent="0.4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 x14ac:dyDescent="0.4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 x14ac:dyDescent="0.4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 x14ac:dyDescent="0.4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 x14ac:dyDescent="0.4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 x14ac:dyDescent="0.4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 x14ac:dyDescent="0.4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 x14ac:dyDescent="0.4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 x14ac:dyDescent="0.4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 x14ac:dyDescent="0.4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 x14ac:dyDescent="0.4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 x14ac:dyDescent="0.4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 x14ac:dyDescent="0.4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 x14ac:dyDescent="0.4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 x14ac:dyDescent="0.4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 x14ac:dyDescent="0.4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 x14ac:dyDescent="0.4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 x14ac:dyDescent="0.4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 x14ac:dyDescent="0.4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 x14ac:dyDescent="0.4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 x14ac:dyDescent="0.4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 x14ac:dyDescent="0.4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 x14ac:dyDescent="0.4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47" priority="1" stopIfTrue="1" operator="lessThanOrEqual">
      <formula>-0.1</formula>
    </cfRule>
    <cfRule type="expression" dxfId="4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5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C10" sqref="C10"/>
    </sheetView>
  </sheetViews>
  <sheetFormatPr defaultRowHeight="12.75" x14ac:dyDescent="0.35"/>
  <cols>
    <col min="1" max="1" width="35.86328125" bestFit="1" customWidth="1"/>
    <col min="2" max="2" width="8.4648437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35">
      <c r="A1" s="55" t="str" cm="1">
        <f t="array" ref="A1">portfolio</f>
        <v>RINGS END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 x14ac:dyDescent="0.35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 x14ac:dyDescent="0.35">
      <c r="A5" s="47" t="str">
        <v>Milford - Rings End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 x14ac:dyDescent="0.35">
      <c r="A6" s="46" t="str">
        <v>New Milford - Rings End</v>
      </c>
      <c r="B6" s="9" t="str">
        <v>CT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" si="1">IFERROR(E6/D6, "")</f>
        <v/>
      </c>
      <c r="G6" s="15"/>
      <c r="H6" s="15">
        <f>SUM(Oct!H6, Nov!H6, Dec!H6)</f>
        <v>0</v>
      </c>
      <c r="I6" s="16" t="str">
        <f t="shared" ref="I6" si="2">IFERROR(H6/G6, "")</f>
        <v/>
      </c>
    </row>
    <row r="7" spans="1:9" ht="13.15" x14ac:dyDescent="0.4">
      <c r="A7" s="21"/>
      <c r="B7" s="21"/>
      <c r="C7" s="21"/>
      <c r="D7" s="21"/>
      <c r="E7" s="21"/>
      <c r="F7" s="22"/>
      <c r="G7" s="21"/>
      <c r="H7" s="21"/>
      <c r="I7" s="22"/>
    </row>
    <row r="8" spans="1:9" ht="13.15" x14ac:dyDescent="0.4">
      <c r="A8" s="21"/>
      <c r="B8" s="21"/>
      <c r="C8" s="21"/>
      <c r="D8" s="21"/>
      <c r="E8" s="21"/>
      <c r="F8" s="22"/>
      <c r="G8" s="21"/>
      <c r="H8" s="21"/>
      <c r="I8" s="22"/>
    </row>
    <row r="9" spans="1:9" ht="13.15" x14ac:dyDescent="0.4">
      <c r="A9" s="21"/>
      <c r="B9" s="21"/>
      <c r="C9" s="21"/>
      <c r="D9" s="21"/>
      <c r="E9" s="21"/>
      <c r="F9" s="22"/>
      <c r="G9" s="21"/>
      <c r="H9" s="21"/>
      <c r="I9" s="22"/>
    </row>
    <row r="10" spans="1:9" ht="13.15" x14ac:dyDescent="0.4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 x14ac:dyDescent="0.4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 x14ac:dyDescent="0.4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 x14ac:dyDescent="0.4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 x14ac:dyDescent="0.4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 x14ac:dyDescent="0.4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 x14ac:dyDescent="0.4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 x14ac:dyDescent="0.4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 x14ac:dyDescent="0.4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 x14ac:dyDescent="0.4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 x14ac:dyDescent="0.4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 x14ac:dyDescent="0.4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 x14ac:dyDescent="0.4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 x14ac:dyDescent="0.4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 x14ac:dyDescent="0.4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 x14ac:dyDescent="0.4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 x14ac:dyDescent="0.4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 x14ac:dyDescent="0.4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 x14ac:dyDescent="0.4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 x14ac:dyDescent="0.4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 x14ac:dyDescent="0.4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 x14ac:dyDescent="0.4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 x14ac:dyDescent="0.4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 x14ac:dyDescent="0.4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 x14ac:dyDescent="0.4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 x14ac:dyDescent="0.4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 x14ac:dyDescent="0.4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 x14ac:dyDescent="0.4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 x14ac:dyDescent="0.4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 x14ac:dyDescent="0.4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 x14ac:dyDescent="0.4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 x14ac:dyDescent="0.4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 x14ac:dyDescent="0.4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 x14ac:dyDescent="0.4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 x14ac:dyDescent="0.4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 x14ac:dyDescent="0.4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 x14ac:dyDescent="0.4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 x14ac:dyDescent="0.4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 x14ac:dyDescent="0.4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 x14ac:dyDescent="0.4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 x14ac:dyDescent="0.4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 x14ac:dyDescent="0.4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 x14ac:dyDescent="0.4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 x14ac:dyDescent="0.4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 x14ac:dyDescent="0.4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 x14ac:dyDescent="0.4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 x14ac:dyDescent="0.4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 x14ac:dyDescent="0.4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 x14ac:dyDescent="0.4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 x14ac:dyDescent="0.4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 x14ac:dyDescent="0.4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 x14ac:dyDescent="0.4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 x14ac:dyDescent="0.4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 x14ac:dyDescent="0.4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 x14ac:dyDescent="0.4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 x14ac:dyDescent="0.4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 x14ac:dyDescent="0.4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 x14ac:dyDescent="0.4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 x14ac:dyDescent="0.4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 x14ac:dyDescent="0.4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 x14ac:dyDescent="0.4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 x14ac:dyDescent="0.4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 x14ac:dyDescent="0.4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 x14ac:dyDescent="0.4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 x14ac:dyDescent="0.4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 x14ac:dyDescent="0.4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 x14ac:dyDescent="0.4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 x14ac:dyDescent="0.4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 x14ac:dyDescent="0.4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 x14ac:dyDescent="0.4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 x14ac:dyDescent="0.4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 x14ac:dyDescent="0.4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 x14ac:dyDescent="0.4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 x14ac:dyDescent="0.4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 x14ac:dyDescent="0.4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 x14ac:dyDescent="0.4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 x14ac:dyDescent="0.4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 x14ac:dyDescent="0.4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 x14ac:dyDescent="0.4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 x14ac:dyDescent="0.4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 x14ac:dyDescent="0.4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 x14ac:dyDescent="0.4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 x14ac:dyDescent="0.4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 x14ac:dyDescent="0.4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 x14ac:dyDescent="0.4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 x14ac:dyDescent="0.4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 x14ac:dyDescent="0.4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 x14ac:dyDescent="0.4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 x14ac:dyDescent="0.4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 x14ac:dyDescent="0.4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 x14ac:dyDescent="0.4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 x14ac:dyDescent="0.4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 x14ac:dyDescent="0.4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 x14ac:dyDescent="0.4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 x14ac:dyDescent="0.4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 x14ac:dyDescent="0.4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 x14ac:dyDescent="0.4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 x14ac:dyDescent="0.4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 x14ac:dyDescent="0.4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 x14ac:dyDescent="0.4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 x14ac:dyDescent="0.4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 x14ac:dyDescent="0.4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 x14ac:dyDescent="0.4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 x14ac:dyDescent="0.4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 x14ac:dyDescent="0.4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 x14ac:dyDescent="0.4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 x14ac:dyDescent="0.4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 x14ac:dyDescent="0.4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 x14ac:dyDescent="0.4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 x14ac:dyDescent="0.4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 x14ac:dyDescent="0.4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 x14ac:dyDescent="0.4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 x14ac:dyDescent="0.4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 x14ac:dyDescent="0.4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 x14ac:dyDescent="0.4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 x14ac:dyDescent="0.4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 x14ac:dyDescent="0.4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 x14ac:dyDescent="0.4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 x14ac:dyDescent="0.4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 x14ac:dyDescent="0.4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 x14ac:dyDescent="0.4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 x14ac:dyDescent="0.4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 x14ac:dyDescent="0.4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 x14ac:dyDescent="0.4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 x14ac:dyDescent="0.4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 x14ac:dyDescent="0.4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 x14ac:dyDescent="0.4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 x14ac:dyDescent="0.4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 x14ac:dyDescent="0.4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 x14ac:dyDescent="0.4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 x14ac:dyDescent="0.4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 x14ac:dyDescent="0.4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 x14ac:dyDescent="0.4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 x14ac:dyDescent="0.4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 x14ac:dyDescent="0.4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 x14ac:dyDescent="0.4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 x14ac:dyDescent="0.4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 x14ac:dyDescent="0.4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 x14ac:dyDescent="0.4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 x14ac:dyDescent="0.4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 x14ac:dyDescent="0.4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 x14ac:dyDescent="0.4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 x14ac:dyDescent="0.4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 x14ac:dyDescent="0.4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 x14ac:dyDescent="0.4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 x14ac:dyDescent="0.4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 x14ac:dyDescent="0.4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 x14ac:dyDescent="0.4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 x14ac:dyDescent="0.4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 x14ac:dyDescent="0.4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 x14ac:dyDescent="0.4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 x14ac:dyDescent="0.4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 x14ac:dyDescent="0.4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 x14ac:dyDescent="0.4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 x14ac:dyDescent="0.4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 x14ac:dyDescent="0.4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 x14ac:dyDescent="0.4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 x14ac:dyDescent="0.4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 x14ac:dyDescent="0.4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 x14ac:dyDescent="0.4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 x14ac:dyDescent="0.4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 x14ac:dyDescent="0.4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 x14ac:dyDescent="0.4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 x14ac:dyDescent="0.4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 x14ac:dyDescent="0.4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 x14ac:dyDescent="0.4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 x14ac:dyDescent="0.4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 x14ac:dyDescent="0.4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 x14ac:dyDescent="0.4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 x14ac:dyDescent="0.4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 x14ac:dyDescent="0.4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 x14ac:dyDescent="0.4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 x14ac:dyDescent="0.4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 x14ac:dyDescent="0.4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 x14ac:dyDescent="0.4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 x14ac:dyDescent="0.4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 x14ac:dyDescent="0.4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 x14ac:dyDescent="0.4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 x14ac:dyDescent="0.4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 x14ac:dyDescent="0.4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 x14ac:dyDescent="0.4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 x14ac:dyDescent="0.4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 x14ac:dyDescent="0.4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 x14ac:dyDescent="0.4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 x14ac:dyDescent="0.4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 x14ac:dyDescent="0.4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 x14ac:dyDescent="0.4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 x14ac:dyDescent="0.4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 x14ac:dyDescent="0.4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 x14ac:dyDescent="0.4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 x14ac:dyDescent="0.4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 x14ac:dyDescent="0.4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 x14ac:dyDescent="0.4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 x14ac:dyDescent="0.4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 x14ac:dyDescent="0.4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 x14ac:dyDescent="0.4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 x14ac:dyDescent="0.4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 x14ac:dyDescent="0.4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 x14ac:dyDescent="0.4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 x14ac:dyDescent="0.4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 x14ac:dyDescent="0.4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 x14ac:dyDescent="0.4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 x14ac:dyDescent="0.4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 x14ac:dyDescent="0.4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 x14ac:dyDescent="0.4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 x14ac:dyDescent="0.4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 x14ac:dyDescent="0.4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 x14ac:dyDescent="0.4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 x14ac:dyDescent="0.4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 x14ac:dyDescent="0.4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 x14ac:dyDescent="0.4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 x14ac:dyDescent="0.4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 x14ac:dyDescent="0.4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 x14ac:dyDescent="0.4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 x14ac:dyDescent="0.4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 x14ac:dyDescent="0.4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 x14ac:dyDescent="0.4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 x14ac:dyDescent="0.4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 x14ac:dyDescent="0.4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 x14ac:dyDescent="0.4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 x14ac:dyDescent="0.4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 x14ac:dyDescent="0.4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 x14ac:dyDescent="0.4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 x14ac:dyDescent="0.4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 x14ac:dyDescent="0.4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 x14ac:dyDescent="0.4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 x14ac:dyDescent="0.4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 x14ac:dyDescent="0.4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 x14ac:dyDescent="0.4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 x14ac:dyDescent="0.4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 x14ac:dyDescent="0.4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 x14ac:dyDescent="0.4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 x14ac:dyDescent="0.4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 x14ac:dyDescent="0.4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 x14ac:dyDescent="0.4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 x14ac:dyDescent="0.4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 x14ac:dyDescent="0.4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 x14ac:dyDescent="0.4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 x14ac:dyDescent="0.4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 x14ac:dyDescent="0.4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 x14ac:dyDescent="0.4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 x14ac:dyDescent="0.4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 x14ac:dyDescent="0.4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 x14ac:dyDescent="0.4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 x14ac:dyDescent="0.4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 x14ac:dyDescent="0.4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 x14ac:dyDescent="0.4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 x14ac:dyDescent="0.4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 x14ac:dyDescent="0.4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 x14ac:dyDescent="0.4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 x14ac:dyDescent="0.4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 x14ac:dyDescent="0.4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 x14ac:dyDescent="0.4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 x14ac:dyDescent="0.4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 x14ac:dyDescent="0.4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 x14ac:dyDescent="0.4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 x14ac:dyDescent="0.4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 x14ac:dyDescent="0.4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 x14ac:dyDescent="0.4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 x14ac:dyDescent="0.4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 x14ac:dyDescent="0.4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 x14ac:dyDescent="0.4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 x14ac:dyDescent="0.4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 x14ac:dyDescent="0.4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 x14ac:dyDescent="0.4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 x14ac:dyDescent="0.4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 x14ac:dyDescent="0.4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 x14ac:dyDescent="0.4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 x14ac:dyDescent="0.4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 x14ac:dyDescent="0.4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 x14ac:dyDescent="0.4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 x14ac:dyDescent="0.4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 x14ac:dyDescent="0.4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 x14ac:dyDescent="0.4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 x14ac:dyDescent="0.4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 x14ac:dyDescent="0.4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 x14ac:dyDescent="0.4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 x14ac:dyDescent="0.4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 x14ac:dyDescent="0.4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 x14ac:dyDescent="0.4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 x14ac:dyDescent="0.4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 x14ac:dyDescent="0.4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 x14ac:dyDescent="0.4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 x14ac:dyDescent="0.4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 x14ac:dyDescent="0.4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 x14ac:dyDescent="0.4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 x14ac:dyDescent="0.4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 x14ac:dyDescent="0.4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 x14ac:dyDescent="0.4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 x14ac:dyDescent="0.4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 x14ac:dyDescent="0.4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 x14ac:dyDescent="0.4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 x14ac:dyDescent="0.4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 x14ac:dyDescent="0.4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 x14ac:dyDescent="0.4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 x14ac:dyDescent="0.4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 x14ac:dyDescent="0.4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 x14ac:dyDescent="0.4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 x14ac:dyDescent="0.4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 x14ac:dyDescent="0.4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 x14ac:dyDescent="0.4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 x14ac:dyDescent="0.4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 x14ac:dyDescent="0.4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 x14ac:dyDescent="0.4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 x14ac:dyDescent="0.4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 x14ac:dyDescent="0.4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45" priority="1" stopIfTrue="1" operator="lessThanOrEqual">
      <formula>-0.1</formula>
    </cfRule>
    <cfRule type="expression" dxfId="4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4"/>
  <sheetViews>
    <sheetView zoomScale="90" zoomScaleNormal="90" workbookViewId="0">
      <pane xSplit="2" ySplit="3" topLeftCell="D4" activePane="bottomRight" state="frozen"/>
      <selection pane="topRight" activeCell="C10" sqref="C10"/>
      <selection pane="bottomLeft" activeCell="C10" sqref="C10"/>
      <selection pane="bottomRight" activeCell="H22" sqref="H22"/>
    </sheetView>
  </sheetViews>
  <sheetFormatPr defaultRowHeight="13.5" x14ac:dyDescent="0.35"/>
  <cols>
    <col min="1" max="1" width="35.86328125" bestFit="1" customWidth="1"/>
    <col min="2" max="2" width="8.4648437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RINGS END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SUM(C4:C72)</f>
        <v>7806.0299963377702</v>
      </c>
      <c r="D2" s="5">
        <f>SUM(D4:D72)</f>
        <v>0</v>
      </c>
      <c r="E2" s="5">
        <f>C2-D2</f>
        <v>7806.0299963377702</v>
      </c>
      <c r="F2" s="6">
        <f>IFERROR(E2/D2, 0)</f>
        <v>0</v>
      </c>
      <c r="G2" s="5">
        <f>SUM(G4:G72)</f>
        <v>9581.9520000000011</v>
      </c>
      <c r="H2" s="7">
        <f>C2-G2</f>
        <v>-1775.922003662231</v>
      </c>
      <c r="I2" s="6">
        <f>IFERROR(H2/G2, 0)</f>
        <v>-0.18534031517400951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48" t="str" cm="1">
        <f t="array" ref="A4:A6">Sites[Site]</f>
        <v>Branford - Rings End</v>
      </c>
      <c r="B4" s="29" t="str" cm="1">
        <f t="array" ref="B4:B6">Sites[State]</f>
        <v>CT</v>
      </c>
      <c r="C4" s="13">
        <v>3149.69</v>
      </c>
      <c r="D4" s="13">
        <v>0</v>
      </c>
      <c r="E4" s="13">
        <f>IF(AND(ISNUMBER(C4),ISNUMBER(D4)), C4-D4, "")</f>
        <v>3149.69</v>
      </c>
      <c r="F4" s="13" t="str">
        <f>IFERROR(E4/D4, "")</f>
        <v/>
      </c>
      <c r="G4" s="15">
        <v>6283.9520000000002</v>
      </c>
      <c r="H4" s="15">
        <f>IF(AND(ISNUMBER(C4),ISNUMBER(G4)), C4-G4, "")</f>
        <v>-3134.2620000000002</v>
      </c>
      <c r="I4" s="16">
        <f>IFERROR(H4/G4, "")</f>
        <v>-0.49877242856088017</v>
      </c>
      <c r="J4" s="51" t="s">
        <v>22</v>
      </c>
      <c r="K4" s="51" t="s">
        <v>23</v>
      </c>
    </row>
    <row r="5" spans="1:11" ht="15.75" x14ac:dyDescent="0.35">
      <c r="A5" s="49" t="str">
        <v>Milford - Rings End</v>
      </c>
      <c r="B5" s="31" t="str">
        <v>CT</v>
      </c>
      <c r="C5" s="18">
        <v>2701.2850036619898</v>
      </c>
      <c r="D5" s="18">
        <v>0</v>
      </c>
      <c r="E5" s="18">
        <f t="shared" ref="E5:E6" si="0">IF(AND(ISNUMBER(C5),ISNUMBER(D5)), C5-D5, "")</f>
        <v>2701.2850036619898</v>
      </c>
      <c r="F5" s="18" t="str">
        <f t="shared" ref="F5:F6" si="1">IFERROR(E5/D5, "")</f>
        <v/>
      </c>
      <c r="G5" s="20">
        <v>3298</v>
      </c>
      <c r="H5" s="20">
        <f t="shared" ref="H5:H6" si="2">IF(AND(ISNUMBER(C5),ISNUMBER(G5)), C5-G5, "")</f>
        <v>-596.71499633801022</v>
      </c>
      <c r="I5" s="19">
        <f t="shared" ref="I5:I6" si="3">IFERROR(H5/G5, "")</f>
        <v>-0.18093238215221658</v>
      </c>
      <c r="J5" s="42"/>
      <c r="K5" s="42"/>
    </row>
    <row r="6" spans="1:11" ht="15.75" x14ac:dyDescent="0.35">
      <c r="A6" s="50" t="str">
        <v>New Milford - Rings End</v>
      </c>
      <c r="B6" s="29" t="str">
        <v>CT</v>
      </c>
      <c r="C6" s="13">
        <v>1955.0549926757801</v>
      </c>
      <c r="D6" s="13">
        <v>0</v>
      </c>
      <c r="E6" s="13">
        <f t="shared" si="0"/>
        <v>1955.0549926757801</v>
      </c>
      <c r="F6" s="44" t="str">
        <f t="shared" si="1"/>
        <v/>
      </c>
      <c r="G6" s="15">
        <v>0</v>
      </c>
      <c r="H6" s="15">
        <f t="shared" si="2"/>
        <v>1955.0549926757801</v>
      </c>
      <c r="I6" s="16" t="str">
        <f t="shared" si="3"/>
        <v/>
      </c>
      <c r="J6" s="41"/>
      <c r="K6" s="41"/>
    </row>
    <row r="7" spans="1:11" ht="14.25" x14ac:dyDescent="0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 x14ac:dyDescent="0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 x14ac:dyDescent="0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 x14ac:dyDescent="0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 x14ac:dyDescent="0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 x14ac:dyDescent="0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 x14ac:dyDescent="0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 x14ac:dyDescent="0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 x14ac:dyDescent="0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 x14ac:dyDescent="0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 x14ac:dyDescent="0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 x14ac:dyDescent="0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 x14ac:dyDescent="0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 x14ac:dyDescent="0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 x14ac:dyDescent="0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 x14ac:dyDescent="0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 x14ac:dyDescent="0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 x14ac:dyDescent="0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 x14ac:dyDescent="0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 x14ac:dyDescent="0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 x14ac:dyDescent="0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 x14ac:dyDescent="0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 x14ac:dyDescent="0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 x14ac:dyDescent="0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 x14ac:dyDescent="0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 x14ac:dyDescent="0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 x14ac:dyDescent="0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 x14ac:dyDescent="0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 x14ac:dyDescent="0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 x14ac:dyDescent="0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 x14ac:dyDescent="0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 x14ac:dyDescent="0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</sheetData>
  <mergeCells count="4">
    <mergeCell ref="D1:F1"/>
    <mergeCell ref="A1:C1"/>
    <mergeCell ref="G1:I1"/>
    <mergeCell ref="A2:B2"/>
  </mergeCells>
  <conditionalFormatting sqref="F2 I2 I4:I72 F7:F72">
    <cfRule type="cellIs" dxfId="43" priority="4" stopIfTrue="1" operator="lessThanOrEqual">
      <formula>-0.1</formula>
    </cfRule>
    <cfRule type="expression" dxfId="42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5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J20" sqref="J20"/>
    </sheetView>
  </sheetViews>
  <sheetFormatPr defaultRowHeight="13.5" x14ac:dyDescent="0.35"/>
  <cols>
    <col min="1" max="1" width="35.86328125" bestFit="1" customWidth="1"/>
    <col min="2" max="2" width="8.4648437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RINGS END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SUM(C4:C73)</f>
        <v>13636</v>
      </c>
      <c r="D2" s="5">
        <f>SUM(D4:D73)</f>
        <v>0</v>
      </c>
      <c r="E2" s="5">
        <f>C2-D2</f>
        <v>13636</v>
      </c>
      <c r="F2" s="6">
        <f>IFERROR(E2/D2, 0)</f>
        <v>0</v>
      </c>
      <c r="G2" s="5">
        <f>SUM(G4:G73)</f>
        <v>12156</v>
      </c>
      <c r="H2" s="7">
        <f>C2-G2</f>
        <v>1480</v>
      </c>
      <c r="I2" s="6">
        <f>IFERROR(H2/G2, 0)</f>
        <v>0.1217505758473182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48" t="str" cm="1">
        <f t="array" ref="A4:A6">Sites[Site]</f>
        <v>Branford - Rings End</v>
      </c>
      <c r="B4" s="29" t="str" cm="1">
        <f t="array" ref="B4:B6">Sites[State]</f>
        <v>CT</v>
      </c>
      <c r="C4" s="24">
        <v>5190</v>
      </c>
      <c r="D4" s="13">
        <v>0</v>
      </c>
      <c r="E4" s="13">
        <f>IF(AND(ISNUMBER(C4),ISNUMBER(D4)), C4-D4, "")</f>
        <v>5190</v>
      </c>
      <c r="F4" s="14" t="str">
        <f>IFERROR(E4/D4, "")</f>
        <v/>
      </c>
      <c r="G4" s="15">
        <v>7951</v>
      </c>
      <c r="H4" s="15">
        <f>IF(AND(ISNUMBER(C4),ISNUMBER(G4)), C4-G4, "")</f>
        <v>-2761</v>
      </c>
      <c r="I4" s="16">
        <f>IFERROR(H4/G4, "")</f>
        <v>-0.34725191799773614</v>
      </c>
      <c r="J4" s="41" t="s">
        <v>26</v>
      </c>
      <c r="K4" s="41" t="s">
        <v>27</v>
      </c>
    </row>
    <row r="5" spans="1:11" ht="15.75" x14ac:dyDescent="0.35">
      <c r="A5" s="49" t="str">
        <v>Milford - Rings End</v>
      </c>
      <c r="B5" s="31" t="str">
        <v>CT</v>
      </c>
      <c r="C5" s="11">
        <v>4570</v>
      </c>
      <c r="D5" s="18">
        <v>0</v>
      </c>
      <c r="E5" s="18">
        <f t="shared" ref="E5:E6" si="0">IF(AND(ISNUMBER(C5),ISNUMBER(D5)), C5-D5, "")</f>
        <v>4570</v>
      </c>
      <c r="F5" s="19" t="str">
        <f>IFERROR(E5/D5, "")</f>
        <v/>
      </c>
      <c r="G5" s="20">
        <v>4205</v>
      </c>
      <c r="H5" s="20">
        <f t="shared" ref="H5:H6" si="1">IF(AND(ISNUMBER(C5),ISNUMBER(G5)), C5-G5, "")</f>
        <v>365</v>
      </c>
      <c r="I5" s="19">
        <f t="shared" ref="I5:I6" si="2">IFERROR(H5/G5, "")</f>
        <v>8.680142687277051E-2</v>
      </c>
      <c r="J5" s="42"/>
      <c r="K5" s="42"/>
    </row>
    <row r="6" spans="1:11" ht="15.75" x14ac:dyDescent="0.35">
      <c r="A6" s="50" t="str">
        <v>New Milford - Rings End</v>
      </c>
      <c r="B6" s="29" t="str">
        <v>CT</v>
      </c>
      <c r="C6" s="24">
        <v>3876</v>
      </c>
      <c r="D6" s="13">
        <v>0</v>
      </c>
      <c r="E6" s="13">
        <f t="shared" si="0"/>
        <v>3876</v>
      </c>
      <c r="F6" s="14" t="str">
        <f t="shared" ref="F6" si="3">IFERROR(E6/D6, "")</f>
        <v/>
      </c>
      <c r="G6" s="15">
        <v>0</v>
      </c>
      <c r="H6" s="15">
        <f t="shared" si="1"/>
        <v>3876</v>
      </c>
      <c r="I6" s="16" t="str">
        <f t="shared" si="2"/>
        <v/>
      </c>
      <c r="J6" s="41"/>
      <c r="K6" s="41"/>
    </row>
    <row r="7" spans="1:11" ht="14.25" x14ac:dyDescent="0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 x14ac:dyDescent="0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 x14ac:dyDescent="0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 x14ac:dyDescent="0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 x14ac:dyDescent="0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 x14ac:dyDescent="0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 x14ac:dyDescent="0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 x14ac:dyDescent="0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 x14ac:dyDescent="0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 x14ac:dyDescent="0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 x14ac:dyDescent="0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 x14ac:dyDescent="0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 x14ac:dyDescent="0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 x14ac:dyDescent="0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 x14ac:dyDescent="0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 x14ac:dyDescent="0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 x14ac:dyDescent="0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 x14ac:dyDescent="0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 x14ac:dyDescent="0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 x14ac:dyDescent="0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 x14ac:dyDescent="0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 x14ac:dyDescent="0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 x14ac:dyDescent="0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 x14ac:dyDescent="0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 x14ac:dyDescent="0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 x14ac:dyDescent="0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 x14ac:dyDescent="0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 x14ac:dyDescent="0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 x14ac:dyDescent="0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 x14ac:dyDescent="0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 x14ac:dyDescent="0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 x14ac:dyDescent="0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 x14ac:dyDescent="0.4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F4:F73 I4:I73">
    <cfRule type="cellIs" dxfId="41" priority="1" stopIfTrue="1" operator="lessThanOrEqual">
      <formula>-0.1</formula>
    </cfRule>
    <cfRule type="expression" dxfId="4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5"/>
  <sheetViews>
    <sheetView workbookViewId="0">
      <pane xSplit="2" ySplit="3" topLeftCell="G4" activePane="bottomRight" state="frozen"/>
      <selection pane="topRight" activeCell="C10" sqref="C10"/>
      <selection pane="bottomLeft" activeCell="C10" sqref="C10"/>
      <selection pane="bottomRight" activeCell="J19" sqref="J19"/>
    </sheetView>
  </sheetViews>
  <sheetFormatPr defaultRowHeight="13.5" x14ac:dyDescent="0.35"/>
  <cols>
    <col min="1" max="1" width="35.86328125" bestFit="1" customWidth="1"/>
    <col min="2" max="2" width="8.4648437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RINGS END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SUM(C4:C73)</f>
        <v>25867</v>
      </c>
      <c r="D2" s="5">
        <f>SUM(D4:D73)</f>
        <v>0</v>
      </c>
      <c r="E2" s="5">
        <f>C2-D2</f>
        <v>25867</v>
      </c>
      <c r="F2" s="6">
        <f>IFERROR(E2/D2, 0)</f>
        <v>0</v>
      </c>
      <c r="G2" s="5">
        <f>SUM(G4:G73)</f>
        <v>17796</v>
      </c>
      <c r="H2" s="7">
        <f>C2-G2</f>
        <v>8071</v>
      </c>
      <c r="I2" s="6">
        <f>IFERROR(H2/G2, 0)</f>
        <v>0.45352888289503257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8518</v>
      </c>
      <c r="D4" s="13">
        <v>0</v>
      </c>
      <c r="E4" s="13">
        <f>IF(AND(ISNUMBER(C4),ISNUMBER(D4)), C4-D4, "")</f>
        <v>8518</v>
      </c>
      <c r="F4" s="14" t="str">
        <f>IFERROR(E4/D4, "")</f>
        <v/>
      </c>
      <c r="G4" s="15">
        <v>11677</v>
      </c>
      <c r="H4" s="15">
        <f>IF(AND(ISNUMBER(C4),ISNUMBER(G4)), C4-G4, "")</f>
        <v>-3159</v>
      </c>
      <c r="I4" s="16">
        <f>IFERROR(H4/G4, "")</f>
        <v>-0.27053181467842768</v>
      </c>
      <c r="J4" s="41" t="s">
        <v>26</v>
      </c>
      <c r="K4" s="41" t="s">
        <v>23</v>
      </c>
    </row>
    <row r="5" spans="1:11" ht="15.75" x14ac:dyDescent="0.35">
      <c r="A5" s="30" t="str">
        <v>Milford - Rings End</v>
      </c>
      <c r="B5" s="31" t="str">
        <v>CT</v>
      </c>
      <c r="C5" s="11">
        <v>9621</v>
      </c>
      <c r="D5" s="18">
        <v>0</v>
      </c>
      <c r="E5" s="18">
        <f t="shared" ref="E5:E6" si="0">IF(AND(ISNUMBER(C5),ISNUMBER(D5)), C5-D5, "")</f>
        <v>9621</v>
      </c>
      <c r="F5" s="19" t="str">
        <f>IFERROR(E5/D5, "")</f>
        <v/>
      </c>
      <c r="G5" s="20">
        <v>6119</v>
      </c>
      <c r="H5" s="20">
        <f t="shared" ref="H5:H6" si="1">IF(AND(ISNUMBER(C5),ISNUMBER(G5)), C5-G5, "")</f>
        <v>3502</v>
      </c>
      <c r="I5" s="19">
        <f t="shared" ref="I5:I6" si="2">IFERROR(H5/G5, "")</f>
        <v>0.57231573786566436</v>
      </c>
      <c r="J5" s="42" t="s">
        <v>30</v>
      </c>
      <c r="K5" s="42" t="s">
        <v>31</v>
      </c>
    </row>
    <row r="6" spans="1:11" ht="15.75" x14ac:dyDescent="0.35">
      <c r="A6" s="28" t="str">
        <v>New Milford - Rings End</v>
      </c>
      <c r="B6" s="29" t="str">
        <v>CT</v>
      </c>
      <c r="C6" s="24">
        <v>7728</v>
      </c>
      <c r="D6" s="13">
        <v>0</v>
      </c>
      <c r="E6" s="13">
        <f t="shared" si="0"/>
        <v>7728</v>
      </c>
      <c r="F6" s="14" t="str">
        <f t="shared" ref="F6" si="3">IFERROR(E6/D6, "")</f>
        <v/>
      </c>
      <c r="G6" s="15">
        <v>0</v>
      </c>
      <c r="H6" s="15">
        <f t="shared" si="1"/>
        <v>7728</v>
      </c>
      <c r="I6" s="16" t="str">
        <f t="shared" si="2"/>
        <v/>
      </c>
      <c r="J6" s="41"/>
      <c r="K6" s="41"/>
    </row>
    <row r="7" spans="1:11" ht="14.25" x14ac:dyDescent="0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 x14ac:dyDescent="0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 x14ac:dyDescent="0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 x14ac:dyDescent="0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 x14ac:dyDescent="0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 x14ac:dyDescent="0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 x14ac:dyDescent="0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 x14ac:dyDescent="0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 x14ac:dyDescent="0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 x14ac:dyDescent="0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 x14ac:dyDescent="0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 x14ac:dyDescent="0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 x14ac:dyDescent="0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 x14ac:dyDescent="0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 x14ac:dyDescent="0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 x14ac:dyDescent="0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 x14ac:dyDescent="0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 x14ac:dyDescent="0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 x14ac:dyDescent="0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 x14ac:dyDescent="0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 x14ac:dyDescent="0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 x14ac:dyDescent="0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 x14ac:dyDescent="0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 x14ac:dyDescent="0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 x14ac:dyDescent="0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 x14ac:dyDescent="0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 x14ac:dyDescent="0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 x14ac:dyDescent="0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 x14ac:dyDescent="0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 x14ac:dyDescent="0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 x14ac:dyDescent="0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 x14ac:dyDescent="0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 x14ac:dyDescent="0.4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9" priority="3" stopIfTrue="1" operator="lessThanOrEqual">
      <formula>-0.1</formula>
    </cfRule>
    <cfRule type="expression" dxfId="38" priority="4">
      <formula>AND(ISNUMBER(F2), F2&gt;=0.1)</formula>
    </cfRule>
  </conditionalFormatting>
  <conditionalFormatting sqref="F4:F73 I4:I73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5"/>
  <sheetViews>
    <sheetView workbookViewId="0">
      <pane xSplit="2" ySplit="3" topLeftCell="G4" activePane="bottomRight" state="frozen"/>
      <selection pane="topRight" activeCell="C10" sqref="C10"/>
      <selection pane="bottomLeft" activeCell="C10" sqref="C10"/>
      <selection pane="bottomRight" activeCell="J20" sqref="J20"/>
    </sheetView>
  </sheetViews>
  <sheetFormatPr defaultRowHeight="13.5" x14ac:dyDescent="0.35"/>
  <cols>
    <col min="1" max="1" width="35.86328125" bestFit="1" customWidth="1"/>
    <col min="2" max="2" width="8.4648437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RINGS END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SUM(C4:C73)</f>
        <v>28343.118999999999</v>
      </c>
      <c r="D2" s="5">
        <f>SUM(D4:D73)</f>
        <v>0</v>
      </c>
      <c r="E2" s="5">
        <f>C2-D2</f>
        <v>28343.118999999999</v>
      </c>
      <c r="F2" s="6">
        <f>IFERROR(E2/D2, 0)</f>
        <v>0</v>
      </c>
      <c r="G2" s="5">
        <f>SUM(G4:G73)</f>
        <v>19973.222999999998</v>
      </c>
      <c r="H2" s="7">
        <f>C2-G2</f>
        <v>8369.8960000000006</v>
      </c>
      <c r="I2" s="6">
        <f>IFERROR(H2/G2, 0)</f>
        <v>0.41905585292869363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9545.5290000000005</v>
      </c>
      <c r="D4" s="13">
        <v>0</v>
      </c>
      <c r="E4" s="13"/>
      <c r="F4" s="14" t="str">
        <f>IFERROR(E4/D4, "")</f>
        <v/>
      </c>
      <c r="G4" s="15">
        <v>12750.223</v>
      </c>
      <c r="H4" s="15">
        <f>IF(AND(ISNUMBER(C4),ISNUMBER(G4)), C4-G4, "")</f>
        <v>-3204.6939999999995</v>
      </c>
      <c r="I4" s="16">
        <f>IFERROR(H4/G4, "")</f>
        <v>-0.25134415296108936</v>
      </c>
      <c r="J4" s="41" t="s">
        <v>66</v>
      </c>
      <c r="K4" s="41" t="s">
        <v>65</v>
      </c>
    </row>
    <row r="5" spans="1:11" ht="15.75" x14ac:dyDescent="0.35">
      <c r="A5" s="30" t="str">
        <v>Milford - Rings End</v>
      </c>
      <c r="B5" s="31" t="str">
        <v>CT</v>
      </c>
      <c r="C5" s="11">
        <v>10925.69</v>
      </c>
      <c r="D5" s="18">
        <v>0</v>
      </c>
      <c r="E5" s="18">
        <f t="shared" ref="E5:E6" si="0">IF(AND(ISNUMBER(C5),ISNUMBER(D5)), C5-D5, "")</f>
        <v>10925.69</v>
      </c>
      <c r="F5" s="19" t="str">
        <f>IFERROR(E5/D5, "")</f>
        <v/>
      </c>
      <c r="G5" s="20">
        <v>7223</v>
      </c>
      <c r="H5" s="20">
        <f t="shared" ref="H5:H6" si="1">IF(AND(ISNUMBER(C5),ISNUMBER(G5)), C5-G5, "")</f>
        <v>3702.6900000000005</v>
      </c>
      <c r="I5" s="19">
        <f t="shared" ref="I5:I6" si="2">IFERROR(H5/G5, "")</f>
        <v>0.51262494808251424</v>
      </c>
      <c r="J5" s="42"/>
      <c r="K5" s="42"/>
    </row>
    <row r="6" spans="1:11" ht="15.75" x14ac:dyDescent="0.35">
      <c r="A6" s="28" t="str">
        <v>New Milford - Rings End</v>
      </c>
      <c r="B6" s="29" t="str">
        <v>CT</v>
      </c>
      <c r="C6" s="24">
        <v>7871.9</v>
      </c>
      <c r="D6" s="13">
        <v>0</v>
      </c>
      <c r="E6" s="13">
        <f t="shared" si="0"/>
        <v>7871.9</v>
      </c>
      <c r="F6" s="14" t="str">
        <f t="shared" ref="F6" si="3">IFERROR(E6/D6, "")</f>
        <v/>
      </c>
      <c r="G6" s="15">
        <v>0</v>
      </c>
      <c r="H6" s="15">
        <f t="shared" si="1"/>
        <v>7871.9</v>
      </c>
      <c r="I6" s="16" t="str">
        <f t="shared" si="2"/>
        <v/>
      </c>
      <c r="J6" s="41" t="s">
        <v>71</v>
      </c>
      <c r="K6" s="41" t="s">
        <v>72</v>
      </c>
    </row>
    <row r="7" spans="1:11" ht="14.25" x14ac:dyDescent="0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 x14ac:dyDescent="0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 x14ac:dyDescent="0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 x14ac:dyDescent="0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 x14ac:dyDescent="0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 x14ac:dyDescent="0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 x14ac:dyDescent="0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 x14ac:dyDescent="0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 x14ac:dyDescent="0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 x14ac:dyDescent="0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 x14ac:dyDescent="0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 x14ac:dyDescent="0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 x14ac:dyDescent="0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 x14ac:dyDescent="0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 x14ac:dyDescent="0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 x14ac:dyDescent="0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 x14ac:dyDescent="0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 x14ac:dyDescent="0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 x14ac:dyDescent="0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 x14ac:dyDescent="0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 x14ac:dyDescent="0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 x14ac:dyDescent="0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 x14ac:dyDescent="0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 x14ac:dyDescent="0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 x14ac:dyDescent="0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 x14ac:dyDescent="0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 x14ac:dyDescent="0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 x14ac:dyDescent="0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 x14ac:dyDescent="0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 x14ac:dyDescent="0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 x14ac:dyDescent="0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 x14ac:dyDescent="0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 x14ac:dyDescent="0.4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5" priority="3" stopIfTrue="1" operator="lessThanOrEqual">
      <formula>-0.1</formula>
    </cfRule>
    <cfRule type="expression" dxfId="34" priority="4">
      <formula>AND(ISNUMBER(F2), F2&gt;=0.1)</formula>
    </cfRule>
  </conditionalFormatting>
  <conditionalFormatting sqref="F4:F73 I4:I73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5"/>
  <sheetViews>
    <sheetView workbookViewId="0">
      <pane xSplit="2" ySplit="3" topLeftCell="G4" activePane="bottomRight" state="frozen"/>
      <selection pane="topRight" activeCell="C10" sqref="C10"/>
      <selection pane="bottomLeft" activeCell="C10" sqref="C10"/>
      <selection pane="bottomRight" activeCell="J21" sqref="J21"/>
    </sheetView>
  </sheetViews>
  <sheetFormatPr defaultRowHeight="13.5" x14ac:dyDescent="0.35"/>
  <cols>
    <col min="1" max="1" width="35.86328125" bestFit="1" customWidth="1"/>
    <col min="2" max="2" width="8.4648437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RINGS END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SUM(C4:C73)</f>
        <v>37382.084000000003</v>
      </c>
      <c r="D2" s="5">
        <f>SUM(D4:D73)</f>
        <v>0</v>
      </c>
      <c r="E2" s="5">
        <f>C2-D2</f>
        <v>37382.084000000003</v>
      </c>
      <c r="F2" s="6">
        <f>IFERROR(E2/D2, 0)</f>
        <v>0</v>
      </c>
      <c r="G2" s="5">
        <f>SUM(G4:G73)</f>
        <v>22307.201999999997</v>
      </c>
      <c r="H2" s="7">
        <f>C2-G2</f>
        <v>15074.882000000005</v>
      </c>
      <c r="I2" s="6">
        <f>IFERROR(H2/G2, 0)</f>
        <v>0.67578542571139166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14011.164000000001</v>
      </c>
      <c r="D4" s="13">
        <v>0</v>
      </c>
      <c r="E4" s="13">
        <f>IF(AND(ISNUMBER(C4),ISNUMBER(D4)), C4-D4, "")</f>
        <v>14011.164000000001</v>
      </c>
      <c r="F4" s="14" t="str">
        <f>IFERROR(E4/D4, "")</f>
        <v/>
      </c>
      <c r="G4" s="15">
        <v>14563.201999999999</v>
      </c>
      <c r="H4" s="15">
        <f>IF(AND(ISNUMBER(C4),ISNUMBER(G4)), C4-G4, "")</f>
        <v>-552.03799999999865</v>
      </c>
      <c r="I4" s="16">
        <f>IFERROR(H4/G4, "")</f>
        <v>-3.7906361526812489E-2</v>
      </c>
      <c r="J4" s="41" t="s">
        <v>69</v>
      </c>
      <c r="K4" s="41" t="s">
        <v>70</v>
      </c>
    </row>
    <row r="5" spans="1:11" ht="15.75" x14ac:dyDescent="0.35">
      <c r="A5" s="30" t="str">
        <v>Milford - Rings End</v>
      </c>
      <c r="B5" s="31" t="str">
        <v>CT</v>
      </c>
      <c r="C5" s="11">
        <v>13003.42</v>
      </c>
      <c r="D5" s="18">
        <v>0</v>
      </c>
      <c r="E5" s="18">
        <f t="shared" ref="E5:E6" si="0">IF(AND(ISNUMBER(C5),ISNUMBER(D5)), C5-D5, "")</f>
        <v>13003.42</v>
      </c>
      <c r="F5" s="19" t="str">
        <f>IFERROR(E5/D5, "")</f>
        <v/>
      </c>
      <c r="G5" s="20">
        <v>7744</v>
      </c>
      <c r="H5" s="20">
        <f t="shared" ref="H5:H6" si="1">IF(AND(ISNUMBER(C5),ISNUMBER(G5)), C5-G5, "")</f>
        <v>5259.42</v>
      </c>
      <c r="I5" s="19">
        <f t="shared" ref="I5:I6" si="2">IFERROR(H5/G5, "")</f>
        <v>0.67916064049586777</v>
      </c>
      <c r="J5" s="42"/>
      <c r="K5" s="42"/>
    </row>
    <row r="6" spans="1:11" ht="15.75" x14ac:dyDescent="0.35">
      <c r="A6" s="28" t="str">
        <v>New Milford - Rings End</v>
      </c>
      <c r="B6" s="29" t="str">
        <v>CT</v>
      </c>
      <c r="C6" s="24">
        <v>10367.5</v>
      </c>
      <c r="D6" s="13">
        <v>0</v>
      </c>
      <c r="E6" s="13">
        <f t="shared" si="0"/>
        <v>10367.5</v>
      </c>
      <c r="F6" s="14" t="str">
        <f t="shared" ref="F6" si="3">IFERROR(E6/D6, "")</f>
        <v/>
      </c>
      <c r="G6" s="15">
        <v>0</v>
      </c>
      <c r="H6" s="15">
        <f t="shared" si="1"/>
        <v>10367.5</v>
      </c>
      <c r="I6" s="16" t="str">
        <f t="shared" si="2"/>
        <v/>
      </c>
      <c r="J6" s="41" t="s">
        <v>71</v>
      </c>
      <c r="K6" s="41" t="s">
        <v>72</v>
      </c>
    </row>
    <row r="7" spans="1:11" ht="14.25" x14ac:dyDescent="0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 x14ac:dyDescent="0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 x14ac:dyDescent="0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 x14ac:dyDescent="0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 x14ac:dyDescent="0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 x14ac:dyDescent="0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 x14ac:dyDescent="0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 x14ac:dyDescent="0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 x14ac:dyDescent="0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 x14ac:dyDescent="0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 x14ac:dyDescent="0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 x14ac:dyDescent="0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 x14ac:dyDescent="0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 x14ac:dyDescent="0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 x14ac:dyDescent="0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 x14ac:dyDescent="0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 x14ac:dyDescent="0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 x14ac:dyDescent="0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 x14ac:dyDescent="0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 x14ac:dyDescent="0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 x14ac:dyDescent="0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 x14ac:dyDescent="0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 x14ac:dyDescent="0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 x14ac:dyDescent="0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 x14ac:dyDescent="0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 x14ac:dyDescent="0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 x14ac:dyDescent="0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 x14ac:dyDescent="0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 x14ac:dyDescent="0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 x14ac:dyDescent="0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 x14ac:dyDescent="0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 x14ac:dyDescent="0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 x14ac:dyDescent="0.4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73 I4:I73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5"/>
  <sheetViews>
    <sheetView tabSelected="1"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E15" sqref="E15"/>
    </sheetView>
  </sheetViews>
  <sheetFormatPr defaultRowHeight="13.5" x14ac:dyDescent="0.35"/>
  <cols>
    <col min="1" max="1" width="35.86328125" bestFit="1" customWidth="1"/>
    <col min="2" max="2" width="8.4648437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RINGS END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SUM(C4:C73)</f>
        <v>40275.347999999998</v>
      </c>
      <c r="D2" s="5">
        <f>SUM(D4:D73)</f>
        <v>0</v>
      </c>
      <c r="E2" s="5">
        <f>C2-D2</f>
        <v>40275.347999999998</v>
      </c>
      <c r="F2" s="6">
        <f>IFERROR(E2/D2, 0)</f>
        <v>0</v>
      </c>
      <c r="G2" s="5">
        <f>SUM(G4:G73)</f>
        <v>22767.099000000002</v>
      </c>
      <c r="H2" s="7">
        <f>C2-G2</f>
        <v>17508.248999999996</v>
      </c>
      <c r="I2" s="6">
        <f>IFERROR(H2/G2, 0)</f>
        <v>0.76901536730700715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14032.067999999999</v>
      </c>
      <c r="D4" s="13">
        <v>0</v>
      </c>
      <c r="E4" s="13">
        <f>IF(AND(ISNUMBER(C4),ISNUMBER(D4)), C4-D4, "")</f>
        <v>14032.067999999999</v>
      </c>
      <c r="F4" s="14" t="str">
        <f>IFERROR(E4/D4, "")</f>
        <v/>
      </c>
      <c r="G4" s="15">
        <v>14696.099</v>
      </c>
      <c r="H4" s="15">
        <f>IF(AND(ISNUMBER(C4),ISNUMBER(G4)), C4-G4, "")</f>
        <v>-664.03100000000086</v>
      </c>
      <c r="I4" s="16">
        <f>IFERROR(H4/G4, "")</f>
        <v>-4.5184167580798199E-2</v>
      </c>
      <c r="J4" s="41" t="s">
        <v>67</v>
      </c>
      <c r="K4" s="41" t="s">
        <v>68</v>
      </c>
    </row>
    <row r="5" spans="1:11" ht="15.75" x14ac:dyDescent="0.35">
      <c r="A5" s="30" t="str">
        <v>Milford - Rings End</v>
      </c>
      <c r="B5" s="31" t="str">
        <v>CT</v>
      </c>
      <c r="C5" s="11">
        <v>15024.78</v>
      </c>
      <c r="D5" s="18">
        <v>0</v>
      </c>
      <c r="E5" s="18">
        <f t="shared" ref="E5:E6" si="0">IF(AND(ISNUMBER(C5),ISNUMBER(D5)), C5-D5, "")</f>
        <v>15024.78</v>
      </c>
      <c r="F5" s="19" t="str">
        <f>IFERROR(E5/D5, "")</f>
        <v/>
      </c>
      <c r="G5" s="20">
        <v>8071</v>
      </c>
      <c r="H5" s="20">
        <f t="shared" ref="H5:H6" si="1">IF(AND(ISNUMBER(C5),ISNUMBER(G5)), C5-G5, "")</f>
        <v>6953.7800000000007</v>
      </c>
      <c r="I5" s="19">
        <f t="shared" ref="I5:I6" si="2">IFERROR(H5/G5, "")</f>
        <v>0.86157601288564001</v>
      </c>
      <c r="J5" s="42"/>
      <c r="K5" s="42"/>
    </row>
    <row r="6" spans="1:11" ht="15.75" x14ac:dyDescent="0.35">
      <c r="A6" s="28" t="str">
        <v>New Milford - Rings End</v>
      </c>
      <c r="B6" s="29" t="str">
        <v>CT</v>
      </c>
      <c r="C6" s="24">
        <v>11218.5</v>
      </c>
      <c r="D6" s="13">
        <v>0</v>
      </c>
      <c r="E6" s="13">
        <f t="shared" si="0"/>
        <v>11218.5</v>
      </c>
      <c r="F6" s="14" t="str">
        <f t="shared" ref="F6" si="3">IFERROR(E6/D6, "")</f>
        <v/>
      </c>
      <c r="G6" s="15">
        <v>0</v>
      </c>
      <c r="H6" s="15">
        <f t="shared" si="1"/>
        <v>11218.5</v>
      </c>
      <c r="I6" s="16" t="str">
        <f t="shared" si="2"/>
        <v/>
      </c>
      <c r="J6" s="41" t="s">
        <v>73</v>
      </c>
      <c r="K6" s="41" t="s">
        <v>72</v>
      </c>
    </row>
    <row r="7" spans="1:11" ht="14.25" x14ac:dyDescent="0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 x14ac:dyDescent="0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 x14ac:dyDescent="0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 x14ac:dyDescent="0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 x14ac:dyDescent="0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 x14ac:dyDescent="0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 x14ac:dyDescent="0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 x14ac:dyDescent="0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 x14ac:dyDescent="0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 x14ac:dyDescent="0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 x14ac:dyDescent="0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 x14ac:dyDescent="0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 x14ac:dyDescent="0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 x14ac:dyDescent="0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 x14ac:dyDescent="0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 x14ac:dyDescent="0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 x14ac:dyDescent="0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 x14ac:dyDescent="0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 x14ac:dyDescent="0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 x14ac:dyDescent="0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 x14ac:dyDescent="0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 x14ac:dyDescent="0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 x14ac:dyDescent="0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 x14ac:dyDescent="0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 x14ac:dyDescent="0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 x14ac:dyDescent="0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 x14ac:dyDescent="0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 x14ac:dyDescent="0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 x14ac:dyDescent="0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 x14ac:dyDescent="0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 x14ac:dyDescent="0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 x14ac:dyDescent="0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 x14ac:dyDescent="0.4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27" priority="3" stopIfTrue="1" operator="lessThanOrEqual">
      <formula>-0.1</formula>
    </cfRule>
    <cfRule type="expression" dxfId="26" priority="4">
      <formula>AND(ISNUMBER(F2), F2&gt;=0.1)</formula>
    </cfRule>
  </conditionalFormatting>
  <conditionalFormatting sqref="F4:F73 I4:I73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5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C10" sqref="C10"/>
    </sheetView>
  </sheetViews>
  <sheetFormatPr defaultRowHeight="13.5" x14ac:dyDescent="0.35"/>
  <cols>
    <col min="1" max="1" width="35.86328125" bestFit="1" customWidth="1"/>
    <col min="2" max="2" width="8.4648437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RINGS END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35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 x14ac:dyDescent="0.35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25" x14ac:dyDescent="0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 x14ac:dyDescent="0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 x14ac:dyDescent="0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 x14ac:dyDescent="0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 x14ac:dyDescent="0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 x14ac:dyDescent="0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 x14ac:dyDescent="0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 x14ac:dyDescent="0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 x14ac:dyDescent="0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 x14ac:dyDescent="0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 x14ac:dyDescent="0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 x14ac:dyDescent="0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 x14ac:dyDescent="0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 x14ac:dyDescent="0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 x14ac:dyDescent="0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 x14ac:dyDescent="0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 x14ac:dyDescent="0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 x14ac:dyDescent="0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 x14ac:dyDescent="0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 x14ac:dyDescent="0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 x14ac:dyDescent="0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 x14ac:dyDescent="0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 x14ac:dyDescent="0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 x14ac:dyDescent="0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 x14ac:dyDescent="0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 x14ac:dyDescent="0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 x14ac:dyDescent="0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 x14ac:dyDescent="0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 x14ac:dyDescent="0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 x14ac:dyDescent="0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 x14ac:dyDescent="0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 x14ac:dyDescent="0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 x14ac:dyDescent="0.4">
      <c r="C315" s="21"/>
      <c r="D315" s="21"/>
      <c r="E315" s="21"/>
      <c r="F315" s="22"/>
      <c r="G315" s="21"/>
      <c r="H315" s="21"/>
      <c r="I315" s="22"/>
      <c r="J315" s="21"/>
      <c r="K315" s="21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73 I4:I73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5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C10" sqref="C10"/>
    </sheetView>
  </sheetViews>
  <sheetFormatPr defaultRowHeight="13.5" x14ac:dyDescent="0.35"/>
  <cols>
    <col min="1" max="1" width="35.86328125" bestFit="1" customWidth="1"/>
    <col min="2" max="2" width="8.4648437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RINGS END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35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 x14ac:dyDescent="0.35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25" x14ac:dyDescent="0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 x14ac:dyDescent="0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 x14ac:dyDescent="0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 x14ac:dyDescent="0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 x14ac:dyDescent="0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 x14ac:dyDescent="0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 x14ac:dyDescent="0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 x14ac:dyDescent="0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 x14ac:dyDescent="0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 x14ac:dyDescent="0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 x14ac:dyDescent="0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 x14ac:dyDescent="0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 x14ac:dyDescent="0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 x14ac:dyDescent="0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 x14ac:dyDescent="0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 x14ac:dyDescent="0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 x14ac:dyDescent="0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 x14ac:dyDescent="0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 x14ac:dyDescent="0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 x14ac:dyDescent="0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 x14ac:dyDescent="0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 x14ac:dyDescent="0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 x14ac:dyDescent="0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 x14ac:dyDescent="0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 x14ac:dyDescent="0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 x14ac:dyDescent="0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 x14ac:dyDescent="0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 x14ac:dyDescent="0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 x14ac:dyDescent="0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 x14ac:dyDescent="0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 x14ac:dyDescent="0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 x14ac:dyDescent="0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 x14ac:dyDescent="0.4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73 I4:I73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5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C10" sqref="C10"/>
    </sheetView>
  </sheetViews>
  <sheetFormatPr defaultRowHeight="13.5" x14ac:dyDescent="0.35"/>
  <cols>
    <col min="1" max="1" width="35.86328125" bestFit="1" customWidth="1"/>
    <col min="2" max="2" width="8.4648437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RINGS END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35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 x14ac:dyDescent="0.35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25" x14ac:dyDescent="0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 x14ac:dyDescent="0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 x14ac:dyDescent="0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 x14ac:dyDescent="0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 x14ac:dyDescent="0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 x14ac:dyDescent="0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 x14ac:dyDescent="0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 x14ac:dyDescent="0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 x14ac:dyDescent="0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 x14ac:dyDescent="0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 x14ac:dyDescent="0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 x14ac:dyDescent="0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 x14ac:dyDescent="0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 x14ac:dyDescent="0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 x14ac:dyDescent="0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 x14ac:dyDescent="0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 x14ac:dyDescent="0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 x14ac:dyDescent="0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 x14ac:dyDescent="0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 x14ac:dyDescent="0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 x14ac:dyDescent="0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 x14ac:dyDescent="0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 x14ac:dyDescent="0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 x14ac:dyDescent="0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 x14ac:dyDescent="0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 x14ac:dyDescent="0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 x14ac:dyDescent="0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 x14ac:dyDescent="0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 x14ac:dyDescent="0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 x14ac:dyDescent="0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 x14ac:dyDescent="0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 x14ac:dyDescent="0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 x14ac:dyDescent="0.4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73 I4:I73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5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C10" sqref="C10"/>
    </sheetView>
  </sheetViews>
  <sheetFormatPr defaultRowHeight="13.5" x14ac:dyDescent="0.35"/>
  <cols>
    <col min="1" max="1" width="35.86328125" bestFit="1" customWidth="1"/>
    <col min="2" max="2" width="8.4648437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RINGS END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35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 x14ac:dyDescent="0.35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25" x14ac:dyDescent="0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 x14ac:dyDescent="0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 x14ac:dyDescent="0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 x14ac:dyDescent="0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 x14ac:dyDescent="0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 x14ac:dyDescent="0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 x14ac:dyDescent="0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 x14ac:dyDescent="0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 x14ac:dyDescent="0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 x14ac:dyDescent="0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 x14ac:dyDescent="0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 x14ac:dyDescent="0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 x14ac:dyDescent="0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 x14ac:dyDescent="0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 x14ac:dyDescent="0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 x14ac:dyDescent="0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 x14ac:dyDescent="0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 x14ac:dyDescent="0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 x14ac:dyDescent="0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 x14ac:dyDescent="0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 x14ac:dyDescent="0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 x14ac:dyDescent="0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 x14ac:dyDescent="0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 x14ac:dyDescent="0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 x14ac:dyDescent="0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 x14ac:dyDescent="0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 x14ac:dyDescent="0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 x14ac:dyDescent="0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 x14ac:dyDescent="0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 x14ac:dyDescent="0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 x14ac:dyDescent="0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 x14ac:dyDescent="0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 x14ac:dyDescent="0.4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73 I4:I73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5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C10" sqref="C10"/>
    </sheetView>
  </sheetViews>
  <sheetFormatPr defaultRowHeight="13.5" x14ac:dyDescent="0.35"/>
  <cols>
    <col min="1" max="1" width="35.86328125" bestFit="1" customWidth="1"/>
    <col min="2" max="2" width="8.4648437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RINGS END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35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 x14ac:dyDescent="0.35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25" x14ac:dyDescent="0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 x14ac:dyDescent="0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 x14ac:dyDescent="0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 x14ac:dyDescent="0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 x14ac:dyDescent="0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 x14ac:dyDescent="0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 x14ac:dyDescent="0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 x14ac:dyDescent="0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 x14ac:dyDescent="0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 x14ac:dyDescent="0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 x14ac:dyDescent="0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 x14ac:dyDescent="0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 x14ac:dyDescent="0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 x14ac:dyDescent="0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 x14ac:dyDescent="0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 x14ac:dyDescent="0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 x14ac:dyDescent="0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 x14ac:dyDescent="0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 x14ac:dyDescent="0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 x14ac:dyDescent="0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 x14ac:dyDescent="0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 x14ac:dyDescent="0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 x14ac:dyDescent="0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 x14ac:dyDescent="0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 x14ac:dyDescent="0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 x14ac:dyDescent="0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 x14ac:dyDescent="0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 x14ac:dyDescent="0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 x14ac:dyDescent="0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 x14ac:dyDescent="0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 x14ac:dyDescent="0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 x14ac:dyDescent="0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 x14ac:dyDescent="0.4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73 I4:I73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5"/>
  <sheetViews>
    <sheetView workbookViewId="0">
      <pane xSplit="2" ySplit="3" topLeftCell="C4" activePane="bottomRight" state="frozen"/>
      <selection pane="topRight" activeCell="C10" sqref="C10"/>
      <selection pane="bottomLeft" activeCell="C10" sqref="C10"/>
      <selection pane="bottomRight" activeCell="C10" sqref="C10"/>
    </sheetView>
  </sheetViews>
  <sheetFormatPr defaultRowHeight="13.5" x14ac:dyDescent="0.35"/>
  <cols>
    <col min="1" max="1" width="35.86328125" bestFit="1" customWidth="1"/>
    <col min="2" max="2" width="8.4648437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3125" customWidth="1"/>
    <col min="11" max="11" width="20.53125" bestFit="1" customWidth="1"/>
  </cols>
  <sheetData>
    <row r="1" spans="1:11" ht="19.5" customHeight="1" x14ac:dyDescent="0.35">
      <c r="A1" s="55" t="str" cm="1">
        <f t="array" ref="A1">portfolio</f>
        <v>RINGS END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 x14ac:dyDescent="0.5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 x14ac:dyDescent="0.35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 x14ac:dyDescent="0.35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25" x14ac:dyDescent="0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 x14ac:dyDescent="0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 x14ac:dyDescent="0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 x14ac:dyDescent="0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 x14ac:dyDescent="0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 x14ac:dyDescent="0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 x14ac:dyDescent="0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 x14ac:dyDescent="0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 x14ac:dyDescent="0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 x14ac:dyDescent="0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 x14ac:dyDescent="0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 x14ac:dyDescent="0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 x14ac:dyDescent="0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 x14ac:dyDescent="0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 x14ac:dyDescent="0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 x14ac:dyDescent="0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 x14ac:dyDescent="0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 x14ac:dyDescent="0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 x14ac:dyDescent="0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 x14ac:dyDescent="0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 x14ac:dyDescent="0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 x14ac:dyDescent="0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 x14ac:dyDescent="0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 x14ac:dyDescent="0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 x14ac:dyDescent="0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 x14ac:dyDescent="0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 x14ac:dyDescent="0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 x14ac:dyDescent="0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 x14ac:dyDescent="0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 x14ac:dyDescent="0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 x14ac:dyDescent="0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 x14ac:dyDescent="0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 x14ac:dyDescent="0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 x14ac:dyDescent="0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 x14ac:dyDescent="0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 x14ac:dyDescent="0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 x14ac:dyDescent="0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 x14ac:dyDescent="0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 x14ac:dyDescent="0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 x14ac:dyDescent="0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 x14ac:dyDescent="0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 x14ac:dyDescent="0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 x14ac:dyDescent="0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 x14ac:dyDescent="0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 x14ac:dyDescent="0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 x14ac:dyDescent="0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 x14ac:dyDescent="0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 x14ac:dyDescent="0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 x14ac:dyDescent="0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 x14ac:dyDescent="0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 x14ac:dyDescent="0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 x14ac:dyDescent="0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 x14ac:dyDescent="0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 x14ac:dyDescent="0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 x14ac:dyDescent="0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 x14ac:dyDescent="0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 x14ac:dyDescent="0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 x14ac:dyDescent="0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 x14ac:dyDescent="0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 x14ac:dyDescent="0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 x14ac:dyDescent="0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 x14ac:dyDescent="0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 x14ac:dyDescent="0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 x14ac:dyDescent="0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 x14ac:dyDescent="0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 x14ac:dyDescent="0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 x14ac:dyDescent="0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 x14ac:dyDescent="0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 x14ac:dyDescent="0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 x14ac:dyDescent="0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 x14ac:dyDescent="0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 x14ac:dyDescent="0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 x14ac:dyDescent="0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 x14ac:dyDescent="0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 x14ac:dyDescent="0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 x14ac:dyDescent="0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 x14ac:dyDescent="0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 x14ac:dyDescent="0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 x14ac:dyDescent="0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 x14ac:dyDescent="0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 x14ac:dyDescent="0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 x14ac:dyDescent="0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 x14ac:dyDescent="0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 x14ac:dyDescent="0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 x14ac:dyDescent="0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 x14ac:dyDescent="0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 x14ac:dyDescent="0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 x14ac:dyDescent="0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 x14ac:dyDescent="0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 x14ac:dyDescent="0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 x14ac:dyDescent="0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 x14ac:dyDescent="0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 x14ac:dyDescent="0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 x14ac:dyDescent="0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 x14ac:dyDescent="0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 x14ac:dyDescent="0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 x14ac:dyDescent="0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 x14ac:dyDescent="0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 x14ac:dyDescent="0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 x14ac:dyDescent="0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 x14ac:dyDescent="0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 x14ac:dyDescent="0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 x14ac:dyDescent="0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 x14ac:dyDescent="0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 x14ac:dyDescent="0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 x14ac:dyDescent="0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 x14ac:dyDescent="0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 x14ac:dyDescent="0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 x14ac:dyDescent="0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 x14ac:dyDescent="0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 x14ac:dyDescent="0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 x14ac:dyDescent="0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 x14ac:dyDescent="0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 x14ac:dyDescent="0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 x14ac:dyDescent="0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 x14ac:dyDescent="0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 x14ac:dyDescent="0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 x14ac:dyDescent="0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 x14ac:dyDescent="0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 x14ac:dyDescent="0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 x14ac:dyDescent="0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 x14ac:dyDescent="0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 x14ac:dyDescent="0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 x14ac:dyDescent="0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 x14ac:dyDescent="0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 x14ac:dyDescent="0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 x14ac:dyDescent="0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 x14ac:dyDescent="0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 x14ac:dyDescent="0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 x14ac:dyDescent="0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 x14ac:dyDescent="0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 x14ac:dyDescent="0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 x14ac:dyDescent="0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 x14ac:dyDescent="0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 x14ac:dyDescent="0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 x14ac:dyDescent="0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 x14ac:dyDescent="0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 x14ac:dyDescent="0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 x14ac:dyDescent="0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 x14ac:dyDescent="0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 x14ac:dyDescent="0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 x14ac:dyDescent="0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 x14ac:dyDescent="0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 x14ac:dyDescent="0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 x14ac:dyDescent="0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 x14ac:dyDescent="0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 x14ac:dyDescent="0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 x14ac:dyDescent="0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 x14ac:dyDescent="0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 x14ac:dyDescent="0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 x14ac:dyDescent="0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 x14ac:dyDescent="0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 x14ac:dyDescent="0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 x14ac:dyDescent="0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 x14ac:dyDescent="0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 x14ac:dyDescent="0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 x14ac:dyDescent="0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 x14ac:dyDescent="0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 x14ac:dyDescent="0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 x14ac:dyDescent="0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 x14ac:dyDescent="0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 x14ac:dyDescent="0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 x14ac:dyDescent="0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 x14ac:dyDescent="0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 x14ac:dyDescent="0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 x14ac:dyDescent="0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 x14ac:dyDescent="0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 x14ac:dyDescent="0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 x14ac:dyDescent="0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 x14ac:dyDescent="0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 x14ac:dyDescent="0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 x14ac:dyDescent="0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 x14ac:dyDescent="0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 x14ac:dyDescent="0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 x14ac:dyDescent="0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 x14ac:dyDescent="0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 x14ac:dyDescent="0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 x14ac:dyDescent="0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 x14ac:dyDescent="0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 x14ac:dyDescent="0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 x14ac:dyDescent="0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 x14ac:dyDescent="0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 x14ac:dyDescent="0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 x14ac:dyDescent="0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 x14ac:dyDescent="0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 x14ac:dyDescent="0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 x14ac:dyDescent="0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 x14ac:dyDescent="0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 x14ac:dyDescent="0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 x14ac:dyDescent="0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 x14ac:dyDescent="0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 x14ac:dyDescent="0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 x14ac:dyDescent="0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 x14ac:dyDescent="0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 x14ac:dyDescent="0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 x14ac:dyDescent="0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 x14ac:dyDescent="0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 x14ac:dyDescent="0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 x14ac:dyDescent="0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 x14ac:dyDescent="0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 x14ac:dyDescent="0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 x14ac:dyDescent="0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 x14ac:dyDescent="0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 x14ac:dyDescent="0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 x14ac:dyDescent="0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 x14ac:dyDescent="0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 x14ac:dyDescent="0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 x14ac:dyDescent="0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 x14ac:dyDescent="0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 x14ac:dyDescent="0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 x14ac:dyDescent="0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 x14ac:dyDescent="0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 x14ac:dyDescent="0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 x14ac:dyDescent="0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 x14ac:dyDescent="0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 x14ac:dyDescent="0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 x14ac:dyDescent="0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 x14ac:dyDescent="0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 x14ac:dyDescent="0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 x14ac:dyDescent="0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 x14ac:dyDescent="0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 x14ac:dyDescent="0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 x14ac:dyDescent="0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 x14ac:dyDescent="0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 x14ac:dyDescent="0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 x14ac:dyDescent="0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 x14ac:dyDescent="0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 x14ac:dyDescent="0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 x14ac:dyDescent="0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 x14ac:dyDescent="0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 x14ac:dyDescent="0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 x14ac:dyDescent="0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 x14ac:dyDescent="0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 x14ac:dyDescent="0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 x14ac:dyDescent="0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 x14ac:dyDescent="0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 x14ac:dyDescent="0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 x14ac:dyDescent="0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 x14ac:dyDescent="0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 x14ac:dyDescent="0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 x14ac:dyDescent="0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 x14ac:dyDescent="0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 x14ac:dyDescent="0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 x14ac:dyDescent="0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 x14ac:dyDescent="0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 x14ac:dyDescent="0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 x14ac:dyDescent="0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 x14ac:dyDescent="0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 x14ac:dyDescent="0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 x14ac:dyDescent="0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 x14ac:dyDescent="0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 x14ac:dyDescent="0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 x14ac:dyDescent="0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 x14ac:dyDescent="0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 x14ac:dyDescent="0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 x14ac:dyDescent="0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 x14ac:dyDescent="0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 x14ac:dyDescent="0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 x14ac:dyDescent="0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 x14ac:dyDescent="0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 x14ac:dyDescent="0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 x14ac:dyDescent="0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 x14ac:dyDescent="0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 x14ac:dyDescent="0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 x14ac:dyDescent="0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 x14ac:dyDescent="0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 x14ac:dyDescent="0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 x14ac:dyDescent="0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 x14ac:dyDescent="0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 x14ac:dyDescent="0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 x14ac:dyDescent="0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 x14ac:dyDescent="0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 x14ac:dyDescent="0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 x14ac:dyDescent="0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 x14ac:dyDescent="0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 x14ac:dyDescent="0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 x14ac:dyDescent="0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 x14ac:dyDescent="0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 x14ac:dyDescent="0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 x14ac:dyDescent="0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 x14ac:dyDescent="0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 x14ac:dyDescent="0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 x14ac:dyDescent="0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 x14ac:dyDescent="0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 x14ac:dyDescent="0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 x14ac:dyDescent="0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 x14ac:dyDescent="0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 x14ac:dyDescent="0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 x14ac:dyDescent="0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 x14ac:dyDescent="0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 x14ac:dyDescent="0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 x14ac:dyDescent="0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 x14ac:dyDescent="0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 x14ac:dyDescent="0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 x14ac:dyDescent="0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 x14ac:dyDescent="0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 x14ac:dyDescent="0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 x14ac:dyDescent="0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 x14ac:dyDescent="0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 x14ac:dyDescent="0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 x14ac:dyDescent="0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 x14ac:dyDescent="0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 x14ac:dyDescent="0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 x14ac:dyDescent="0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 x14ac:dyDescent="0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 x14ac:dyDescent="0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 x14ac:dyDescent="0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 x14ac:dyDescent="0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 x14ac:dyDescent="0.4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" priority="5" stopIfTrue="1" operator="lessThanOrEqual">
      <formula>-0.1</formula>
    </cfRule>
    <cfRule type="expression" dxfId="2" priority="6">
      <formula>AND(ISNUMBER(F2), F2&gt;=0.1)</formula>
    </cfRule>
  </conditionalFormatting>
  <conditionalFormatting sqref="F4:F73 I4:I73">
    <cfRule type="cellIs" dxfId="1" priority="3" stopIfTrue="1" operator="lessThanOrEqual">
      <formula>-0.1</formula>
    </cfRule>
    <cfRule type="expression" dxfId="0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0" sqref="E10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50</v>
      </c>
      <c r="B1" t="s">
        <v>51</v>
      </c>
    </row>
    <row r="3" spans="1:12" x14ac:dyDescent="0.3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25" x14ac:dyDescent="0.45">
      <c r="A4" s="53" t="s">
        <v>55</v>
      </c>
      <c r="B4" s="53" t="s">
        <v>56</v>
      </c>
      <c r="C4" s="2" t="s">
        <v>57</v>
      </c>
      <c r="D4" s="45" t="s">
        <v>58</v>
      </c>
      <c r="E4" s="52" t="s">
        <v>59</v>
      </c>
      <c r="G4" s="3"/>
    </row>
    <row r="5" spans="1:12" ht="14.25" x14ac:dyDescent="0.45">
      <c r="A5" s="53" t="s">
        <v>60</v>
      </c>
      <c r="B5" s="53" t="s">
        <v>61</v>
      </c>
      <c r="C5" s="2" t="s">
        <v>57</v>
      </c>
      <c r="D5" s="45" t="s">
        <v>58</v>
      </c>
      <c r="E5" s="53" t="s">
        <v>59</v>
      </c>
      <c r="G5" s="3"/>
    </row>
    <row r="6" spans="1:12" ht="14.25" x14ac:dyDescent="0.45">
      <c r="A6" s="53" t="s">
        <v>62</v>
      </c>
      <c r="B6" s="53" t="s">
        <v>63</v>
      </c>
      <c r="C6" s="2" t="s">
        <v>57</v>
      </c>
      <c r="D6" s="45" t="s">
        <v>64</v>
      </c>
      <c r="E6" s="52" t="s">
        <v>59</v>
      </c>
      <c r="G6" s="3"/>
    </row>
    <row r="10" spans="1:12" ht="12.75" customHeight="1" x14ac:dyDescent="0.35">
      <c r="K10" s="43"/>
      <c r="L10" s="43"/>
    </row>
    <row r="11" spans="1:12" ht="12.75" customHeight="1" x14ac:dyDescent="0.35">
      <c r="K11" s="43"/>
      <c r="L11" s="43"/>
    </row>
    <row r="12" spans="1:12" ht="12.75" customHeight="1" x14ac:dyDescent="0.35">
      <c r="K12" s="43"/>
      <c r="L12" s="43"/>
    </row>
    <row r="13" spans="1:12" ht="12.75" customHeight="1" x14ac:dyDescent="0.35">
      <c r="K13" s="43"/>
      <c r="L13" s="43"/>
    </row>
    <row r="14" spans="1:12" ht="12.75" customHeight="1" x14ac:dyDescent="0.35">
      <c r="K14" s="43"/>
      <c r="L14" s="43"/>
    </row>
    <row r="15" spans="1:12" ht="12.75" customHeight="1" x14ac:dyDescent="0.35">
      <c r="K15" s="43"/>
      <c r="L15" s="43"/>
    </row>
    <row r="16" spans="1:12" ht="12.75" customHeight="1" x14ac:dyDescent="0.35">
      <c r="K16" s="43"/>
      <c r="L16" s="43"/>
    </row>
    <row r="17" spans="11:12" ht="12.75" customHeight="1" x14ac:dyDescent="0.35">
      <c r="K17" s="43"/>
      <c r="L17" s="43"/>
    </row>
    <row r="18" spans="11:12" ht="12.75" customHeight="1" x14ac:dyDescent="0.35">
      <c r="K18" s="43"/>
      <c r="L18" s="43"/>
    </row>
    <row r="19" spans="11:12" ht="12.75" customHeight="1" x14ac:dyDescent="0.35">
      <c r="K19" s="43"/>
      <c r="L19" s="43"/>
    </row>
    <row r="20" spans="11:12" ht="12.75" customHeight="1" x14ac:dyDescent="0.35">
      <c r="K20" s="43"/>
      <c r="L20" s="43"/>
    </row>
    <row r="21" spans="11:12" ht="12.75" customHeight="1" x14ac:dyDescent="0.35">
      <c r="K21" s="43"/>
      <c r="L21" s="43"/>
    </row>
    <row r="22" spans="11:12" ht="12.75" customHeight="1" x14ac:dyDescent="0.35">
      <c r="K22" s="43"/>
      <c r="L22" s="43"/>
    </row>
    <row r="23" spans="11:12" ht="12.75" customHeight="1" x14ac:dyDescent="0.35">
      <c r="K23" s="43"/>
      <c r="L23" s="43"/>
    </row>
    <row r="24" spans="11:12" ht="12.75" customHeight="1" x14ac:dyDescent="0.35">
      <c r="K24" s="43"/>
      <c r="L24" s="43"/>
    </row>
    <row r="25" spans="11:12" ht="12.75" customHeight="1" x14ac:dyDescent="0.35">
      <c r="K25" s="43"/>
      <c r="L25" s="43"/>
    </row>
    <row r="26" spans="11:12" ht="12.75" customHeight="1" x14ac:dyDescent="0.35">
      <c r="K26" s="43"/>
      <c r="L26" s="43"/>
    </row>
    <row r="27" spans="11:12" ht="12.75" customHeight="1" x14ac:dyDescent="0.35">
      <c r="K27" s="43"/>
      <c r="L27" s="43"/>
    </row>
    <row r="28" spans="11:12" ht="12.75" customHeight="1" x14ac:dyDescent="0.35">
      <c r="K28" s="43"/>
      <c r="L28" s="43"/>
    </row>
    <row r="29" spans="11:12" ht="12.75" customHeight="1" x14ac:dyDescent="0.35">
      <c r="K29" s="43"/>
      <c r="L29" s="43"/>
    </row>
    <row r="30" spans="11:12" ht="12.75" customHeight="1" x14ac:dyDescent="0.35">
      <c r="K30" s="43"/>
      <c r="L30" s="43"/>
    </row>
    <row r="31" spans="11:12" ht="12.75" customHeight="1" x14ac:dyDescent="0.35">
      <c r="K31" s="43"/>
      <c r="L31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4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5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9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0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1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3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4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7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8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9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8D732231-4216-4543-A665-18A2886B0EB7}">
  <ds:schemaRefs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7f39bfab-6331-41a1-b6d4-5b974a316951"/>
    <ds:schemaRef ds:uri="http://www.w3.org/XML/1998/namespace"/>
    <ds:schemaRef ds:uri="http://schemas.microsoft.com/office/2006/documentManagement/types"/>
    <ds:schemaRef ds:uri="ddcd8467-55ca-498e-a9f8-86795db5db7a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 [AGS]</cp:lastModifiedBy>
  <cp:revision/>
  <dcterms:created xsi:type="dcterms:W3CDTF">2021-01-01T16:39:53Z</dcterms:created>
  <dcterms:modified xsi:type="dcterms:W3CDTF">2024-07-12T08:21:13Z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