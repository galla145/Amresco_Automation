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sanjaykumarg_amgsol_com/Documents/Microsoft Teams Chat Files/"/>
    </mc:Choice>
  </mc:AlternateContent>
  <xr:revisionPtr revIDLastSave="0" documentId="8_{2D4EC769-ADDA-4E05-A63E-D276D7EC873B}" xr6:coauthVersionLast="47" xr6:coauthVersionMax="47" xr10:uidLastSave="{00000000-0000-0000-0000-000000000000}"/>
  <bookViews>
    <workbookView xWindow="-98" yWindow="-98" windowWidth="21795" windowHeight="12975" tabRatio="866" firstSheet="10" activeTab="10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" i="19" l="1"/>
  <c r="I18" i="19"/>
  <c r="I19" i="19"/>
  <c r="I20" i="19"/>
  <c r="H17" i="19"/>
  <c r="H18" i="19"/>
  <c r="H19" i="19"/>
  <c r="H20" i="19"/>
  <c r="F18" i="19"/>
  <c r="F19" i="19"/>
  <c r="F20" i="19"/>
  <c r="E16" i="19"/>
  <c r="E17" i="19"/>
  <c r="E18" i="19"/>
  <c r="E19" i="19"/>
  <c r="E20" i="19"/>
  <c r="A4" i="20" a="1"/>
  <c r="A4" i="20"/>
  <c r="H18" i="20"/>
  <c r="I18" i="20" s="1"/>
  <c r="H19" i="20"/>
  <c r="I19" i="20" s="1"/>
  <c r="H20" i="20"/>
  <c r="I20" i="20" s="1"/>
  <c r="E18" i="20"/>
  <c r="F18" i="20" s="1"/>
  <c r="E19" i="20"/>
  <c r="F19" i="20"/>
  <c r="E20" i="20"/>
  <c r="F20" i="20" s="1"/>
  <c r="G5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4" i="18"/>
  <c r="H18" i="21"/>
  <c r="I18" i="21" s="1"/>
  <c r="H19" i="21"/>
  <c r="I19" i="21" s="1"/>
  <c r="H20" i="21"/>
  <c r="I20" i="21" s="1"/>
  <c r="E18" i="21"/>
  <c r="F18" i="21" s="1"/>
  <c r="E19" i="21"/>
  <c r="F19" i="21" s="1"/>
  <c r="E20" i="21"/>
  <c r="F20" i="21" s="1"/>
  <c r="H20" i="4"/>
  <c r="I20" i="4"/>
  <c r="E20" i="4"/>
  <c r="F20" i="4"/>
  <c r="H19" i="4"/>
  <c r="I19" i="4" s="1"/>
  <c r="E19" i="4"/>
  <c r="F19" i="4" s="1"/>
  <c r="H18" i="4"/>
  <c r="I18" i="4"/>
  <c r="E18" i="4"/>
  <c r="F18" i="4" s="1"/>
  <c r="I18" i="3"/>
  <c r="I19" i="3"/>
  <c r="I20" i="3"/>
  <c r="H18" i="3"/>
  <c r="H19" i="3"/>
  <c r="H20" i="3"/>
  <c r="F18" i="3"/>
  <c r="F19" i="3"/>
  <c r="F20" i="3"/>
  <c r="E18" i="3"/>
  <c r="E19" i="3"/>
  <c r="E20" i="3"/>
  <c r="C4" i="18"/>
  <c r="D4" i="18"/>
  <c r="C5" i="18"/>
  <c r="D5" i="18"/>
  <c r="C6" i="18"/>
  <c r="D6" i="18"/>
  <c r="C7" i="18"/>
  <c r="D7" i="18"/>
  <c r="C8" i="18"/>
  <c r="D8" i="18"/>
  <c r="C9" i="18"/>
  <c r="D9" i="18"/>
  <c r="C10" i="18"/>
  <c r="D10" i="18"/>
  <c r="C11" i="18"/>
  <c r="D11" i="18"/>
  <c r="C12" i="18"/>
  <c r="D12" i="18"/>
  <c r="C13" i="18"/>
  <c r="D13" i="18"/>
  <c r="C14" i="18"/>
  <c r="D14" i="18"/>
  <c r="C15" i="18"/>
  <c r="D15" i="18"/>
  <c r="C16" i="18"/>
  <c r="D16" i="18"/>
  <c r="C17" i="18"/>
  <c r="D17" i="18"/>
  <c r="C18" i="18"/>
  <c r="D18" i="18"/>
  <c r="C19" i="18"/>
  <c r="D19" i="18"/>
  <c r="C20" i="18"/>
  <c r="D20" i="18"/>
  <c r="C18" i="29" l="1"/>
  <c r="E18" i="29" s="1"/>
  <c r="F18" i="29" s="1"/>
  <c r="D18" i="29"/>
  <c r="H18" i="29"/>
  <c r="I18" i="29" s="1"/>
  <c r="C19" i="29"/>
  <c r="D19" i="29"/>
  <c r="H19" i="29"/>
  <c r="I19" i="29" s="1"/>
  <c r="C20" i="29"/>
  <c r="D20" i="29"/>
  <c r="H20" i="29"/>
  <c r="I20" i="29" s="1"/>
  <c r="H18" i="18"/>
  <c r="I18" i="18" s="1"/>
  <c r="H19" i="18"/>
  <c r="I19" i="18" s="1"/>
  <c r="H20" i="18"/>
  <c r="I20" i="18" s="1"/>
  <c r="D18" i="34"/>
  <c r="D19" i="34"/>
  <c r="D20" i="34"/>
  <c r="E20" i="18" l="1"/>
  <c r="F20" i="18" s="1"/>
  <c r="E17" i="18"/>
  <c r="F17" i="18" s="1"/>
  <c r="E20" i="29"/>
  <c r="F20" i="29" s="1"/>
  <c r="E19" i="29"/>
  <c r="F19" i="29" s="1"/>
  <c r="E19" i="18"/>
  <c r="F19" i="18" s="1"/>
  <c r="E18" i="18"/>
  <c r="F18" i="18" s="1"/>
  <c r="C18" i="1"/>
  <c r="C18" i="34" s="1"/>
  <c r="E18" i="34" s="1"/>
  <c r="F18" i="34" s="1"/>
  <c r="D18" i="1"/>
  <c r="G18" i="1"/>
  <c r="G18" i="34" s="1"/>
  <c r="C19" i="1"/>
  <c r="C19" i="34" s="1"/>
  <c r="E19" i="34" s="1"/>
  <c r="F19" i="34" s="1"/>
  <c r="D19" i="1"/>
  <c r="G19" i="1"/>
  <c r="G19" i="34" s="1"/>
  <c r="C20" i="1"/>
  <c r="C20" i="34" s="1"/>
  <c r="E20" i="34" s="1"/>
  <c r="F20" i="34" s="1"/>
  <c r="D20" i="1"/>
  <c r="G20" i="1"/>
  <c r="C18" i="30"/>
  <c r="D18" i="30"/>
  <c r="H18" i="30"/>
  <c r="I18" i="30" s="1"/>
  <c r="C19" i="30"/>
  <c r="D19" i="30"/>
  <c r="H19" i="30"/>
  <c r="I19" i="30" s="1"/>
  <c r="C20" i="30"/>
  <c r="D20" i="30"/>
  <c r="H20" i="30"/>
  <c r="I20" i="30" s="1"/>
  <c r="E18" i="72"/>
  <c r="F18" i="72" s="1"/>
  <c r="E19" i="72"/>
  <c r="F19" i="72" s="1"/>
  <c r="E20" i="72"/>
  <c r="F20" i="72" s="1"/>
  <c r="H18" i="72"/>
  <c r="H18" i="1" s="1"/>
  <c r="H19" i="72"/>
  <c r="H19" i="1" s="1"/>
  <c r="H20" i="72"/>
  <c r="H20" i="1" s="1"/>
  <c r="C16" i="30"/>
  <c r="D16" i="30"/>
  <c r="E16" i="30"/>
  <c r="F16" i="30"/>
  <c r="C17" i="30"/>
  <c r="E17" i="30" s="1"/>
  <c r="F17" i="30" s="1"/>
  <c r="D17" i="30"/>
  <c r="C16" i="29"/>
  <c r="D16" i="29"/>
  <c r="E16" i="29"/>
  <c r="F16" i="29" s="1"/>
  <c r="C17" i="29"/>
  <c r="D17" i="29"/>
  <c r="E17" i="29" s="1"/>
  <c r="F17" i="29" s="1"/>
  <c r="E16" i="18"/>
  <c r="F16" i="18" s="1"/>
  <c r="C16" i="1"/>
  <c r="C16" i="34" s="1"/>
  <c r="D16" i="1"/>
  <c r="G16" i="1"/>
  <c r="G16" i="34" s="1"/>
  <c r="C17" i="1"/>
  <c r="C17" i="34" s="1"/>
  <c r="D17" i="1"/>
  <c r="G17" i="1"/>
  <c r="G17" i="34" s="1"/>
  <c r="D16" i="34"/>
  <c r="D17" i="34"/>
  <c r="H17" i="33"/>
  <c r="I17" i="33" s="1"/>
  <c r="E17" i="33"/>
  <c r="F17" i="33" s="1"/>
  <c r="H16" i="33"/>
  <c r="I16" i="33" s="1"/>
  <c r="E16" i="33"/>
  <c r="F16" i="33" s="1"/>
  <c r="H17" i="32"/>
  <c r="I17" i="32" s="1"/>
  <c r="E17" i="32"/>
  <c r="F17" i="32" s="1"/>
  <c r="H16" i="32"/>
  <c r="I16" i="32" s="1"/>
  <c r="E16" i="32"/>
  <c r="F16" i="32" s="1"/>
  <c r="H17" i="31"/>
  <c r="I17" i="31" s="1"/>
  <c r="E17" i="31"/>
  <c r="F17" i="31" s="1"/>
  <c r="H16" i="31"/>
  <c r="I16" i="31" s="1"/>
  <c r="E16" i="31"/>
  <c r="F16" i="31" s="1"/>
  <c r="H17" i="28"/>
  <c r="I17" i="28" s="1"/>
  <c r="E17" i="28"/>
  <c r="F17" i="28" s="1"/>
  <c r="H16" i="28"/>
  <c r="I16" i="28" s="1"/>
  <c r="E16" i="28"/>
  <c r="F16" i="28" s="1"/>
  <c r="H17" i="27"/>
  <c r="I17" i="27" s="1"/>
  <c r="E17" i="27"/>
  <c r="F17" i="27" s="1"/>
  <c r="H16" i="27"/>
  <c r="I16" i="27" s="1"/>
  <c r="E16" i="27"/>
  <c r="F16" i="27" s="1"/>
  <c r="H17" i="26"/>
  <c r="I17" i="26" s="1"/>
  <c r="E17" i="26"/>
  <c r="F17" i="26" s="1"/>
  <c r="H16" i="26"/>
  <c r="I16" i="26" s="1"/>
  <c r="E16" i="26"/>
  <c r="F16" i="26" s="1"/>
  <c r="F17" i="19"/>
  <c r="H16" i="19"/>
  <c r="I16" i="19" s="1"/>
  <c r="F16" i="19"/>
  <c r="H17" i="20"/>
  <c r="I17" i="20" s="1"/>
  <c r="E17" i="20"/>
  <c r="F17" i="20" s="1"/>
  <c r="H16" i="20"/>
  <c r="I16" i="20" s="1"/>
  <c r="E16" i="20"/>
  <c r="F16" i="20" s="1"/>
  <c r="H17" i="21"/>
  <c r="E17" i="21"/>
  <c r="F17" i="21" s="1"/>
  <c r="H16" i="21"/>
  <c r="I16" i="21" s="1"/>
  <c r="E16" i="21"/>
  <c r="F16" i="21" s="1"/>
  <c r="H17" i="4"/>
  <c r="I17" i="4" s="1"/>
  <c r="E17" i="4"/>
  <c r="F17" i="4" s="1"/>
  <c r="H16" i="4"/>
  <c r="I16" i="4" s="1"/>
  <c r="E16" i="4"/>
  <c r="F16" i="4" s="1"/>
  <c r="E16" i="3"/>
  <c r="F16" i="3" s="1"/>
  <c r="H16" i="3"/>
  <c r="I16" i="3" s="1"/>
  <c r="E17" i="3"/>
  <c r="F17" i="3" s="1"/>
  <c r="H17" i="3"/>
  <c r="I17" i="3" s="1"/>
  <c r="E16" i="72"/>
  <c r="F16" i="72" s="1"/>
  <c r="H16" i="72"/>
  <c r="E17" i="72"/>
  <c r="F17" i="72" s="1"/>
  <c r="H17" i="72"/>
  <c r="E15" i="72"/>
  <c r="F15" i="72" s="1"/>
  <c r="E14" i="72"/>
  <c r="F14" i="72" s="1"/>
  <c r="E13" i="72"/>
  <c r="F13" i="72" s="1"/>
  <c r="E12" i="72"/>
  <c r="F12" i="72" s="1"/>
  <c r="E11" i="72"/>
  <c r="F11" i="72" s="1"/>
  <c r="E10" i="72"/>
  <c r="F10" i="72" s="1"/>
  <c r="E9" i="72"/>
  <c r="F9" i="72" s="1"/>
  <c r="E8" i="72"/>
  <c r="F8" i="72" s="1"/>
  <c r="E7" i="72"/>
  <c r="F7" i="72" s="1"/>
  <c r="E6" i="72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/>
  <c r="E5" i="3"/>
  <c r="F5" i="3" s="1"/>
  <c r="H5" i="3"/>
  <c r="I5" i="3" s="1"/>
  <c r="E6" i="3"/>
  <c r="F6" i="3" s="1"/>
  <c r="H6" i="3"/>
  <c r="I6" i="3" s="1"/>
  <c r="E7" i="3"/>
  <c r="F7" i="3" s="1"/>
  <c r="H7" i="3"/>
  <c r="I7" i="3" s="1"/>
  <c r="E8" i="3"/>
  <c r="F8" i="3" s="1"/>
  <c r="H8" i="3"/>
  <c r="I8" i="3" s="1"/>
  <c r="E9" i="3"/>
  <c r="F9" i="3" s="1"/>
  <c r="H9" i="3"/>
  <c r="I9" i="3" s="1"/>
  <c r="E10" i="3"/>
  <c r="F10" i="3" s="1"/>
  <c r="H10" i="3"/>
  <c r="I10" i="3" s="1"/>
  <c r="E11" i="3"/>
  <c r="F11" i="3" s="1"/>
  <c r="H11" i="3"/>
  <c r="I11" i="3" s="1"/>
  <c r="E12" i="3"/>
  <c r="F12" i="3" s="1"/>
  <c r="H12" i="3"/>
  <c r="I12" i="3" s="1"/>
  <c r="E13" i="3"/>
  <c r="F13" i="3" s="1"/>
  <c r="H13" i="3"/>
  <c r="I13" i="3" s="1"/>
  <c r="E14" i="3"/>
  <c r="F14" i="3" s="1"/>
  <c r="H14" i="3"/>
  <c r="I14" i="3" s="1"/>
  <c r="E15" i="3"/>
  <c r="F15" i="3" s="1"/>
  <c r="H15" i="3"/>
  <c r="I15" i="3" s="1"/>
  <c r="G6" i="1"/>
  <c r="G6" i="34" s="1"/>
  <c r="G7" i="1"/>
  <c r="G7" i="34" s="1"/>
  <c r="G8" i="1"/>
  <c r="G8" i="34" s="1"/>
  <c r="G9" i="1"/>
  <c r="G9" i="34" s="1"/>
  <c r="G10" i="1"/>
  <c r="G10" i="34" s="1"/>
  <c r="G11" i="1"/>
  <c r="G11" i="34" s="1"/>
  <c r="G12" i="1"/>
  <c r="G12" i="34" s="1"/>
  <c r="G13" i="1"/>
  <c r="G13" i="34" s="1"/>
  <c r="G14" i="1"/>
  <c r="G14" i="34" s="1"/>
  <c r="G15" i="1"/>
  <c r="G15" i="34" s="1"/>
  <c r="G5" i="1"/>
  <c r="G5" i="34" s="1"/>
  <c r="G4" i="1"/>
  <c r="G4" i="34" s="1"/>
  <c r="D15" i="34"/>
  <c r="D14" i="34"/>
  <c r="D13" i="34"/>
  <c r="D12" i="34"/>
  <c r="D11" i="34"/>
  <c r="D10" i="34"/>
  <c r="D9" i="34"/>
  <c r="D8" i="34"/>
  <c r="D7" i="34"/>
  <c r="D6" i="34"/>
  <c r="D5" i="34"/>
  <c r="B4" i="34" a="1"/>
  <c r="B4" i="34" s="1"/>
  <c r="A4" i="34" a="1"/>
  <c r="A4" i="34" s="1"/>
  <c r="A1" i="34" a="1"/>
  <c r="A1" i="34" s="1"/>
  <c r="D15" i="30"/>
  <c r="C15" i="30"/>
  <c r="D14" i="30"/>
  <c r="C14" i="30"/>
  <c r="D13" i="30"/>
  <c r="C13" i="30"/>
  <c r="D12" i="30"/>
  <c r="C12" i="30"/>
  <c r="E12" i="30" s="1"/>
  <c r="F12" i="30" s="1"/>
  <c r="D11" i="30"/>
  <c r="C11" i="30"/>
  <c r="D10" i="30"/>
  <c r="C10" i="30"/>
  <c r="D9" i="30"/>
  <c r="C9" i="30"/>
  <c r="E9" i="30" s="1"/>
  <c r="F9" i="30" s="1"/>
  <c r="D8" i="30"/>
  <c r="C8" i="30"/>
  <c r="E8" i="30" s="1"/>
  <c r="F8" i="30" s="1"/>
  <c r="D7" i="30"/>
  <c r="C7" i="30"/>
  <c r="D6" i="30"/>
  <c r="C6" i="30"/>
  <c r="E6" i="30" s="1"/>
  <c r="F6" i="30" s="1"/>
  <c r="D5" i="30"/>
  <c r="C5" i="30"/>
  <c r="D4" i="30"/>
  <c r="C4" i="30"/>
  <c r="D15" i="29"/>
  <c r="C15" i="29"/>
  <c r="D14" i="29"/>
  <c r="C14" i="29"/>
  <c r="E14" i="29" s="1"/>
  <c r="F14" i="29" s="1"/>
  <c r="D13" i="29"/>
  <c r="C13" i="29"/>
  <c r="D12" i="29"/>
  <c r="C12" i="29"/>
  <c r="D11" i="29"/>
  <c r="C11" i="29"/>
  <c r="D10" i="29"/>
  <c r="C10" i="29"/>
  <c r="E10" i="29" s="1"/>
  <c r="F10" i="29" s="1"/>
  <c r="D9" i="29"/>
  <c r="C9" i="29"/>
  <c r="E9" i="29" s="1"/>
  <c r="F9" i="29" s="1"/>
  <c r="D8" i="29"/>
  <c r="C8" i="29"/>
  <c r="D7" i="29"/>
  <c r="C7" i="29"/>
  <c r="D6" i="29"/>
  <c r="C6" i="29"/>
  <c r="E6" i="29" s="1"/>
  <c r="F6" i="29" s="1"/>
  <c r="D5" i="29"/>
  <c r="C5" i="29"/>
  <c r="E5" i="29" s="1"/>
  <c r="F5" i="29" s="1"/>
  <c r="D4" i="29"/>
  <c r="D2" i="29" s="1"/>
  <c r="C4" i="29"/>
  <c r="E14" i="18"/>
  <c r="F14" i="18" s="1"/>
  <c r="E13" i="18"/>
  <c r="F13" i="18" s="1"/>
  <c r="E10" i="18"/>
  <c r="F10" i="18" s="1"/>
  <c r="E9" i="18"/>
  <c r="F9" i="18" s="1"/>
  <c r="E6" i="18"/>
  <c r="F6" i="18" s="1"/>
  <c r="E5" i="18"/>
  <c r="F5" i="18" s="1"/>
  <c r="D2" i="18"/>
  <c r="E11" i="30"/>
  <c r="F11" i="30" s="1"/>
  <c r="E13" i="29"/>
  <c r="F13" i="29" s="1"/>
  <c r="E15" i="30"/>
  <c r="F15" i="30" s="1"/>
  <c r="E13" i="30"/>
  <c r="F13" i="30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15" i="1"/>
  <c r="C15" i="34" s="1"/>
  <c r="C14" i="1"/>
  <c r="C14" i="34" s="1"/>
  <c r="C13" i="1"/>
  <c r="C13" i="34" s="1"/>
  <c r="C12" i="1"/>
  <c r="C12" i="34" s="1"/>
  <c r="C11" i="1"/>
  <c r="C11" i="34" s="1"/>
  <c r="C10" i="1"/>
  <c r="C10" i="34" s="1"/>
  <c r="C9" i="1"/>
  <c r="C9" i="34" s="1"/>
  <c r="C8" i="1"/>
  <c r="C8" i="34" s="1"/>
  <c r="C7" i="1"/>
  <c r="C7" i="34" s="1"/>
  <c r="C6" i="1"/>
  <c r="C6" i="34" s="1"/>
  <c r="C5" i="1"/>
  <c r="C5" i="34" s="1"/>
  <c r="C4" i="1"/>
  <c r="D6" i="1"/>
  <c r="D7" i="1"/>
  <c r="D8" i="1"/>
  <c r="D9" i="1"/>
  <c r="D10" i="1"/>
  <c r="D11" i="1"/>
  <c r="D12" i="1"/>
  <c r="D13" i="1"/>
  <c r="D14" i="1"/>
  <c r="D15" i="1"/>
  <c r="D5" i="1"/>
  <c r="D4" i="1"/>
  <c r="D4" i="34" s="1"/>
  <c r="B4" i="1" a="1"/>
  <c r="B4" i="1" s="1"/>
  <c r="A4" i="1" a="1"/>
  <c r="A4" i="1" s="1"/>
  <c r="A1" i="1" a="1"/>
  <c r="A1" i="1" s="1"/>
  <c r="H15" i="33"/>
  <c r="I15" i="33" s="1"/>
  <c r="E15" i="33"/>
  <c r="F15" i="33" s="1"/>
  <c r="I14" i="33"/>
  <c r="H14" i="33"/>
  <c r="E14" i="33"/>
  <c r="F14" i="33" s="1"/>
  <c r="H13" i="33"/>
  <c r="I13" i="33" s="1"/>
  <c r="E13" i="33"/>
  <c r="F13" i="33" s="1"/>
  <c r="I12" i="33"/>
  <c r="H12" i="33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H8" i="33"/>
  <c r="I8" i="33" s="1"/>
  <c r="E8" i="33"/>
  <c r="F8" i="33" s="1"/>
  <c r="H7" i="33"/>
  <c r="I7" i="33" s="1"/>
  <c r="E7" i="33"/>
  <c r="F7" i="33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15" i="32"/>
  <c r="I15" i="32" s="1"/>
  <c r="E15" i="32"/>
  <c r="F15" i="32" s="1"/>
  <c r="H14" i="32"/>
  <c r="I14" i="32" s="1"/>
  <c r="E14" i="32"/>
  <c r="F14" i="32" s="1"/>
  <c r="H13" i="32"/>
  <c r="I13" i="32" s="1"/>
  <c r="E13" i="32"/>
  <c r="F13" i="32" s="1"/>
  <c r="H12" i="32"/>
  <c r="I12" i="32" s="1"/>
  <c r="F12" i="32"/>
  <c r="E12" i="32"/>
  <c r="H11" i="32"/>
  <c r="I11" i="32" s="1"/>
  <c r="E11" i="32"/>
  <c r="F11" i="32" s="1"/>
  <c r="H10" i="32"/>
  <c r="I10" i="32" s="1"/>
  <c r="E10" i="32"/>
  <c r="F10" i="32" s="1"/>
  <c r="H9" i="32"/>
  <c r="I9" i="32" s="1"/>
  <c r="F9" i="32"/>
  <c r="E9" i="32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5" i="28"/>
  <c r="I15" i="28" s="1"/>
  <c r="E15" i="28"/>
  <c r="F15" i="28" s="1"/>
  <c r="H14" i="28"/>
  <c r="I14" i="28" s="1"/>
  <c r="E14" i="28"/>
  <c r="F14" i="28" s="1"/>
  <c r="I13" i="28"/>
  <c r="H13" i="28"/>
  <c r="E13" i="28"/>
  <c r="F13" i="28" s="1"/>
  <c r="H12" i="28"/>
  <c r="I12" i="28" s="1"/>
  <c r="E12" i="28"/>
  <c r="F12" i="28" s="1"/>
  <c r="H11" i="28"/>
  <c r="I11" i="28" s="1"/>
  <c r="E11" i="28"/>
  <c r="F11" i="28" s="1"/>
  <c r="I10" i="28"/>
  <c r="H10" i="28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I4" i="28"/>
  <c r="H4" i="28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5" i="27"/>
  <c r="I15" i="27" s="1"/>
  <c r="E15" i="27"/>
  <c r="F15" i="27" s="1"/>
  <c r="H14" i="27"/>
  <c r="I14" i="27" s="1"/>
  <c r="F14" i="27"/>
  <c r="E14" i="27"/>
  <c r="H13" i="27"/>
  <c r="H13" i="29" s="1"/>
  <c r="I13" i="29" s="1"/>
  <c r="E13" i="27"/>
  <c r="F13" i="27" s="1"/>
  <c r="H12" i="27"/>
  <c r="I12" i="27" s="1"/>
  <c r="E12" i="27"/>
  <c r="F12" i="27" s="1"/>
  <c r="H11" i="27"/>
  <c r="I11" i="27" s="1"/>
  <c r="F11" i="27"/>
  <c r="E11" i="27"/>
  <c r="H10" i="27"/>
  <c r="E10" i="27"/>
  <c r="F10" i="27" s="1"/>
  <c r="H9" i="27"/>
  <c r="I9" i="27" s="1"/>
  <c r="E9" i="27"/>
  <c r="F9" i="27" s="1"/>
  <c r="H8" i="27"/>
  <c r="I8" i="27" s="1"/>
  <c r="F8" i="27"/>
  <c r="E8" i="27"/>
  <c r="H7" i="27"/>
  <c r="I7" i="27" s="1"/>
  <c r="E7" i="27"/>
  <c r="F7" i="27" s="1"/>
  <c r="H6" i="27"/>
  <c r="I6" i="27" s="1"/>
  <c r="E6" i="27"/>
  <c r="F6" i="27" s="1"/>
  <c r="H5" i="27"/>
  <c r="I5" i="27" s="1"/>
  <c r="F5" i="27"/>
  <c r="E5" i="27"/>
  <c r="H4" i="27"/>
  <c r="I4" i="27" s="1"/>
  <c r="E4" i="27"/>
  <c r="F4" i="27" s="1"/>
  <c r="G2" i="27"/>
  <c r="D2" i="27"/>
  <c r="C2" i="27"/>
  <c r="A1" i="27" a="1"/>
  <c r="A1" i="27" s="1"/>
  <c r="H15" i="26"/>
  <c r="H15" i="29" s="1"/>
  <c r="I15" i="29" s="1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H12" i="29" s="1"/>
  <c r="I12" i="29" s="1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H9" i="29" s="1"/>
  <c r="I9" i="29" s="1"/>
  <c r="E9" i="26"/>
  <c r="F9" i="26" s="1"/>
  <c r="H8" i="26"/>
  <c r="I8" i="26" s="1"/>
  <c r="E8" i="26"/>
  <c r="F8" i="26" s="1"/>
  <c r="H7" i="26"/>
  <c r="H7" i="29" s="1"/>
  <c r="I7" i="29" s="1"/>
  <c r="E7" i="26"/>
  <c r="F7" i="26" s="1"/>
  <c r="H6" i="26"/>
  <c r="H6" i="29" s="1"/>
  <c r="I6" i="29" s="1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15" i="19"/>
  <c r="I15" i="19" s="1"/>
  <c r="E15" i="19"/>
  <c r="F15" i="19" s="1"/>
  <c r="H14" i="19"/>
  <c r="I14" i="19" s="1"/>
  <c r="E14" i="19"/>
  <c r="F14" i="19" s="1"/>
  <c r="H13" i="19"/>
  <c r="I13" i="19" s="1"/>
  <c r="E13" i="19"/>
  <c r="F13" i="19" s="1"/>
  <c r="H12" i="19"/>
  <c r="I12" i="19" s="1"/>
  <c r="E12" i="19"/>
  <c r="F12" i="19" s="1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15" i="4"/>
  <c r="I15" i="4" s="1"/>
  <c r="E15" i="4"/>
  <c r="F15" i="4" s="1"/>
  <c r="H14" i="4"/>
  <c r="I14" i="4" s="1"/>
  <c r="E14" i="4"/>
  <c r="F14" i="4" s="1"/>
  <c r="H13" i="4"/>
  <c r="I13" i="4" s="1"/>
  <c r="E13" i="4"/>
  <c r="F13" i="4" s="1"/>
  <c r="H12" i="4"/>
  <c r="I12" i="4" s="1"/>
  <c r="E12" i="4"/>
  <c r="F12" i="4" s="1"/>
  <c r="H11" i="4"/>
  <c r="I11" i="4" s="1"/>
  <c r="E11" i="4"/>
  <c r="F11" i="4" s="1"/>
  <c r="H10" i="4"/>
  <c r="I10" i="4" s="1"/>
  <c r="E10" i="4"/>
  <c r="F10" i="4" s="1"/>
  <c r="H9" i="4"/>
  <c r="I9" i="4" s="1"/>
  <c r="E9" i="4"/>
  <c r="F9" i="4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A1" i="72" a="1"/>
  <c r="A1" i="72" s="1"/>
  <c r="H17" i="29" l="1"/>
  <c r="I17" i="29" s="1"/>
  <c r="H10" i="29"/>
  <c r="I10" i="29" s="1"/>
  <c r="E10" i="30"/>
  <c r="F10" i="30" s="1"/>
  <c r="E14" i="30"/>
  <c r="F14" i="30" s="1"/>
  <c r="I10" i="27"/>
  <c r="I13" i="27"/>
  <c r="E7" i="18"/>
  <c r="F7" i="18" s="1"/>
  <c r="E11" i="18"/>
  <c r="F11" i="18" s="1"/>
  <c r="E15" i="18"/>
  <c r="F15" i="18" s="1"/>
  <c r="E11" i="29"/>
  <c r="F11" i="29" s="1"/>
  <c r="H6" i="30"/>
  <c r="I6" i="30" s="1"/>
  <c r="H16" i="18"/>
  <c r="I16" i="18" s="1"/>
  <c r="H16" i="30"/>
  <c r="I16" i="30" s="1"/>
  <c r="E19" i="30"/>
  <c r="F19" i="30" s="1"/>
  <c r="H17" i="1"/>
  <c r="I17" i="1" s="1"/>
  <c r="E4" i="18"/>
  <c r="F4" i="18" s="1"/>
  <c r="E8" i="18"/>
  <c r="F8" i="18" s="1"/>
  <c r="E12" i="18"/>
  <c r="F12" i="18" s="1"/>
  <c r="E8" i="29"/>
  <c r="F8" i="29" s="1"/>
  <c r="E12" i="29"/>
  <c r="F12" i="29" s="1"/>
  <c r="E4" i="30"/>
  <c r="F4" i="30" s="1"/>
  <c r="H17" i="30"/>
  <c r="I17" i="30" s="1"/>
  <c r="H16" i="1"/>
  <c r="I16" i="1" s="1"/>
  <c r="E5" i="30"/>
  <c r="F5" i="30" s="1"/>
  <c r="I17" i="21"/>
  <c r="H17" i="18"/>
  <c r="I17" i="18" s="1"/>
  <c r="H16" i="29"/>
  <c r="I16" i="29" s="1"/>
  <c r="E20" i="30"/>
  <c r="F20" i="30" s="1"/>
  <c r="I20" i="72"/>
  <c r="H20" i="34"/>
  <c r="I19" i="72"/>
  <c r="H19" i="34"/>
  <c r="I19" i="34" s="1"/>
  <c r="I18" i="72"/>
  <c r="H18" i="34"/>
  <c r="I18" i="34" s="1"/>
  <c r="E18" i="30"/>
  <c r="F18" i="30" s="1"/>
  <c r="E19" i="1"/>
  <c r="F19" i="1" s="1"/>
  <c r="I18" i="1"/>
  <c r="E18" i="1"/>
  <c r="F18" i="1" s="1"/>
  <c r="I20" i="1"/>
  <c r="G20" i="34"/>
  <c r="E20" i="1"/>
  <c r="F20" i="1" s="1"/>
  <c r="I19" i="1"/>
  <c r="D2" i="30"/>
  <c r="E16" i="34"/>
  <c r="F16" i="34" s="1"/>
  <c r="E17" i="1"/>
  <c r="F17" i="1" s="1"/>
  <c r="E17" i="34"/>
  <c r="F17" i="34" s="1"/>
  <c r="E16" i="1"/>
  <c r="F16" i="1" s="1"/>
  <c r="I17" i="72"/>
  <c r="H16" i="34"/>
  <c r="I16" i="34" s="1"/>
  <c r="I16" i="72"/>
  <c r="H17" i="34"/>
  <c r="I17" i="34" s="1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11" i="34"/>
  <c r="F11" i="34" s="1"/>
  <c r="E7" i="1"/>
  <c r="F7" i="1" s="1"/>
  <c r="E15" i="1"/>
  <c r="F15" i="1" s="1"/>
  <c r="E12" i="34"/>
  <c r="F12" i="34" s="1"/>
  <c r="E5" i="34"/>
  <c r="F5" i="34" s="1"/>
  <c r="E13" i="34"/>
  <c r="F13" i="34" s="1"/>
  <c r="G2" i="1"/>
  <c r="E6" i="34"/>
  <c r="F6" i="34" s="1"/>
  <c r="D2" i="34"/>
  <c r="E8" i="1"/>
  <c r="F8" i="1" s="1"/>
  <c r="E11" i="1"/>
  <c r="F11" i="1" s="1"/>
  <c r="E9" i="1"/>
  <c r="F9" i="1" s="1"/>
  <c r="E10" i="1"/>
  <c r="F10" i="1" s="1"/>
  <c r="E12" i="1"/>
  <c r="F12" i="1" s="1"/>
  <c r="E9" i="34"/>
  <c r="F9" i="34" s="1"/>
  <c r="E5" i="1"/>
  <c r="F5" i="1" s="1"/>
  <c r="E13" i="1"/>
  <c r="F13" i="1" s="1"/>
  <c r="E10" i="34"/>
  <c r="F10" i="34" s="1"/>
  <c r="E6" i="1"/>
  <c r="F6" i="1" s="1"/>
  <c r="E14" i="1"/>
  <c r="F14" i="1" s="1"/>
  <c r="H14" i="30"/>
  <c r="I14" i="30" s="1"/>
  <c r="H9" i="30"/>
  <c r="I9" i="30" s="1"/>
  <c r="H4" i="30"/>
  <c r="I4" i="30" s="1"/>
  <c r="E7" i="30"/>
  <c r="F7" i="30" s="1"/>
  <c r="H12" i="30"/>
  <c r="I12" i="30" s="1"/>
  <c r="H7" i="30"/>
  <c r="I7" i="30" s="1"/>
  <c r="H15" i="30"/>
  <c r="I15" i="30" s="1"/>
  <c r="H10" i="30"/>
  <c r="I10" i="30" s="1"/>
  <c r="H5" i="30"/>
  <c r="I5" i="30" s="1"/>
  <c r="H13" i="30"/>
  <c r="I13" i="30" s="1"/>
  <c r="H8" i="30"/>
  <c r="I8" i="30" s="1"/>
  <c r="H11" i="30"/>
  <c r="I11" i="30" s="1"/>
  <c r="E7" i="29"/>
  <c r="F7" i="29" s="1"/>
  <c r="H8" i="29"/>
  <c r="I8" i="29" s="1"/>
  <c r="H11" i="29"/>
  <c r="I11" i="29" s="1"/>
  <c r="I6" i="26"/>
  <c r="I9" i="26"/>
  <c r="I12" i="26"/>
  <c r="I15" i="26"/>
  <c r="H14" i="29"/>
  <c r="I14" i="29" s="1"/>
  <c r="H4" i="29"/>
  <c r="I4" i="29" s="1"/>
  <c r="E15" i="29"/>
  <c r="F15" i="29" s="1"/>
  <c r="H5" i="29"/>
  <c r="I5" i="29" s="1"/>
  <c r="I7" i="26"/>
  <c r="H14" i="18"/>
  <c r="I14" i="18" s="1"/>
  <c r="H9" i="18"/>
  <c r="I9" i="18" s="1"/>
  <c r="H6" i="18"/>
  <c r="I6" i="18" s="1"/>
  <c r="H4" i="18"/>
  <c r="I4" i="18" s="1"/>
  <c r="H12" i="18"/>
  <c r="I12" i="18" s="1"/>
  <c r="H7" i="18"/>
  <c r="I7" i="18" s="1"/>
  <c r="H15" i="18"/>
  <c r="I15" i="18" s="1"/>
  <c r="H10" i="18"/>
  <c r="I10" i="18" s="1"/>
  <c r="C4" i="34"/>
  <c r="E4" i="34" s="1"/>
  <c r="F4" i="34" s="1"/>
  <c r="H5" i="18"/>
  <c r="I5" i="18" s="1"/>
  <c r="H13" i="18"/>
  <c r="I13" i="18" s="1"/>
  <c r="H8" i="18"/>
  <c r="I8" i="18" s="1"/>
  <c r="H11" i="18"/>
  <c r="I11" i="18" s="1"/>
  <c r="H6" i="34"/>
  <c r="I6" i="34" s="1"/>
  <c r="H7" i="34"/>
  <c r="I7" i="34" s="1"/>
  <c r="H8" i="34"/>
  <c r="I8" i="34" s="1"/>
  <c r="H5" i="34"/>
  <c r="I5" i="34" s="1"/>
  <c r="H9" i="34"/>
  <c r="I9" i="34" s="1"/>
  <c r="H10" i="34"/>
  <c r="I10" i="34" s="1"/>
  <c r="H11" i="34"/>
  <c r="I11" i="34" s="1"/>
  <c r="H12" i="34"/>
  <c r="I12" i="34" s="1"/>
  <c r="H13" i="34"/>
  <c r="I13" i="34" s="1"/>
  <c r="H14" i="34"/>
  <c r="I14" i="34" s="1"/>
  <c r="H15" i="34"/>
  <c r="I15" i="34" s="1"/>
  <c r="E7" i="34"/>
  <c r="F7" i="34" s="1"/>
  <c r="E8" i="34"/>
  <c r="F8" i="34" s="1"/>
  <c r="E14" i="34"/>
  <c r="F14" i="34" s="1"/>
  <c r="E15" i="34"/>
  <c r="F15" i="34" s="1"/>
  <c r="C2" i="29"/>
  <c r="E2" i="29" s="1"/>
  <c r="F2" i="29" s="1"/>
  <c r="C2" i="30"/>
  <c r="E4" i="29"/>
  <c r="F4" i="29" s="1"/>
  <c r="C2" i="18"/>
  <c r="H7" i="1"/>
  <c r="I7" i="1" s="1"/>
  <c r="H4" i="1"/>
  <c r="H5" i="1"/>
  <c r="I5" i="1" s="1"/>
  <c r="H15" i="1"/>
  <c r="I15" i="1" s="1"/>
  <c r="H12" i="1"/>
  <c r="I12" i="1" s="1"/>
  <c r="H11" i="1"/>
  <c r="I11" i="1" s="1"/>
  <c r="H10" i="1"/>
  <c r="I10" i="1" s="1"/>
  <c r="H6" i="1"/>
  <c r="I6" i="1" s="1"/>
  <c r="C2" i="1"/>
  <c r="E2" i="3"/>
  <c r="F2" i="3" s="1"/>
  <c r="E4" i="1"/>
  <c r="F4" i="1" s="1"/>
  <c r="H14" i="1"/>
  <c r="I14" i="1" s="1"/>
  <c r="H13" i="1"/>
  <c r="I13" i="1" s="1"/>
  <c r="H9" i="1"/>
  <c r="I9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I20" i="34" l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<sst xmlns="http://schemas.openxmlformats.org/spreadsheetml/2006/main" count="436" uniqueCount="181">
  <si>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</si>
  <si>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</si>
  <si>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</si>
  <si>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</si>
  <si>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</si>
  <si>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</si>
  <si>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</si>
  <si>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</si>
  <si>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</si>
  <si>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</si>
  <si>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</si>
  <si>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</si>
  <si>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</si>
  <si>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</si>
  <si>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</si>
  <si>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</si>
  <si>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</si>
  <si>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</si>
  <si>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</si>
  <si>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</si>
  <si>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</si>
  <si>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</si>
  <si>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/>
  </si>
  <si>
    <t>1. Site tripped offline on 01/13 multiple times early in the morningand auto-closed shortly after</t>
  </si>
  <si>
    <t>1. SR080185</t>
  </si>
  <si>
    <t>1. Site tripped on 01/14 at 14:30 and later back online on 01/15 at 10:00AM
2. Site tripped offline on 01/25 at 11:06AM and later back online 01/25 at 11:27AM.</t>
  </si>
  <si>
    <t>1. SR080209
2. SR080465</t>
  </si>
  <si>
    <t>1. Inverter 3.3 is offline on 01/13 at 07:00AM, later back online
 on 01/13 at 12:45PM and tripping on and off multiple days on and off.</t>
  </si>
  <si>
    <t>1. SR080193</t>
  </si>
  <si>
    <t>1. Site tripped offline on 01/29 at 16:00 and later back online on 01/30 at 11:15AM.</t>
  </si>
  <si>
    <t>1. SR080590</t>
  </si>
  <si>
    <t>1. Site tripped on 01/14 at 16:45 and later back online on 01/15 at 14:30.
2. Site tripped offline due to utility outage on 01/16 at 11:30AM and utility cleared outage on 01/18 at 07:45AM.</t>
  </si>
  <si>
    <t>1. SR080216
2. SR080258</t>
  </si>
  <si>
    <t>1. SR080217
2. SR080259</t>
  </si>
  <si>
    <t>1. Site tripped offline on 01/11 at 07:00AM and later back online on 01/12 at 07:45AM.
2. Inverter 47 was offline after site re-energize the site on 01/12  and back online on 14:15.</t>
  </si>
  <si>
    <t>1. SR080149
2. SR080171</t>
  </si>
  <si>
    <t>1. Site tripped offline on 01/10 at 03:26AM and later back online on 01/10 at 06:24AM.</t>
  </si>
  <si>
    <t>1. SR080115</t>
  </si>
  <si>
    <t>February Actual v. Expected</t>
  </si>
  <si>
    <t>February Actual v. Forecasted</t>
  </si>
  <si>
    <t>1.  Inverters 1.01 &amp; 1.02 tripped offline on 02/28  at 10:00 AM and resolved at 11:30AM</t>
  </si>
  <si>
    <t>1. SR081451</t>
  </si>
  <si>
    <t>1. Site offline on 02/16 at  04:45AM and back online at 10:15
2. Site offline on 02/20 at 18:30 and back online on 02/21 at 08:15AM</t>
  </si>
  <si>
    <t>1. SR081034
2.  SR081141</t>
  </si>
  <si>
    <t>1. Inverter 3.3 is offline on 02/02 and back online on 02/03 at 07:00AM and tripping on and off multiple days on and off.</t>
  </si>
  <si>
    <t>1. Site is offline due to utility outage On 02/13 at 14:30PM and back online on 02/14 at 09:00AM</t>
  </si>
  <si>
    <t>1.  SR080991</t>
  </si>
  <si>
    <t xml:space="preserve">1. Inverter 3.3 is offline on 02/16 at 12:45 and back online on 02/20 at 06:15AM.
2.  Inverter 3.3 tripped offline on 02/24 at 14:00PM and back online on 02/25 
3. Inverter 3.3 tripped offline on 02/28 at 10:45AM and back online at EOD and again tripped offline at 10:15 on 02/29
</t>
  </si>
  <si>
    <t>1. SR081063
2. SR081294
3. SR081405</t>
  </si>
  <si>
    <t>1. Inverter 5.1 tripped offline from 02/28 at 11:15</t>
  </si>
  <si>
    <t>1. SR081422</t>
  </si>
  <si>
    <t>1.  Inverter 47 derating after 10 am on sunny days. Possible fan issue.</t>
  </si>
  <si>
    <t>1. SR081128</t>
  </si>
  <si>
    <t>March Actual v. Expected</t>
  </si>
  <si>
    <t>March Actual v. Forecasted</t>
  </si>
  <si>
    <t>1. Relay tripped offline but voltages are available on 03/23 at 17:00 and back online at 13:00 on 03/24</t>
  </si>
  <si>
    <t>1. SR082602</t>
  </si>
  <si>
    <t>1. The relay tripped at 6:08PM and auto-closed within five minutes.</t>
  </si>
  <si>
    <t>1. SR082604</t>
  </si>
  <si>
    <t>1. Inverter 3.3 is offline on 03/04 and back online at 14:00 on 03/04 and again offline on 03/05 and back online on 03/06 at 10:30am.</t>
  </si>
  <si>
    <t>April Actual v. Expected</t>
  </si>
  <si>
    <t>April Actual v. Forecasted</t>
  </si>
  <si>
    <t>1. Inverter 1.3 tripped offline on 04/05 at 10:24 and back online at 14:17</t>
  </si>
  <si>
    <t>1. SR083119</t>
  </si>
  <si>
    <t>1. Site was taken offline by technician on 04/22 between 07:45 to 08:45</t>
  </si>
  <si>
    <t>1. PM 2694</t>
  </si>
  <si>
    <t>1. Site was taken offline by technician on 04/11 between 08:15am to 09:00am</t>
  </si>
  <si>
    <t>1. PM 2695</t>
  </si>
  <si>
    <t>1. Site was taken offline by technician on 04/22 between 10:00am to 11:00am</t>
  </si>
  <si>
    <t>1. PM 2747</t>
  </si>
  <si>
    <t>1. Site was taken offline by technician on 04/10 between 12:00am to 12:50am</t>
  </si>
  <si>
    <t>1. PM 2820</t>
  </si>
  <si>
    <t>1. Site was taken offline by techinican on 04/25 between 13:00 to 14:05</t>
  </si>
  <si>
    <t>1. PM 2921</t>
  </si>
  <si>
    <t>1. Site was taken offline by technician on 04/10 between 08:30am to 10:15am</t>
  </si>
  <si>
    <t>1. PM 2834</t>
  </si>
  <si>
    <t>1. Site was offline on 04/17 between 10:00am to 13:45 due to planned outage
2. Inverter 2.18 reading errronous values after 4:00pm feom 04/17 and offline on 04/25 &amp; 04/26
3. Inverter 2.14 tripped offline on 04/24 at 16:00 and offline from 04/26
4. Inverter 1.1 derating on sunny days, resolved on 04/26</t>
  </si>
  <si>
    <t>1. SR082212
2. SR083576
3. SR083786
4. SR083337</t>
  </si>
  <si>
    <t xml:space="preserve">1. Inverters 13, 15 to 28 offline between at 09:30 to 15:30 on 04/25 </t>
  </si>
  <si>
    <t>1. SR083806</t>
  </si>
  <si>
    <t>1. Site was taken offline on 04/29 at 09:45 and back online on 04/30 at 16:15
2. Site tripped offline on 04/16 and back online on 04/19 at 09:45am. Again tripped offline on 04/20 at 10:45 and back online at 16:15
3. Site tripped offline on 04/08 at 09:00am and back online at 11:15am
4. Site tripped offline on 04/07 at 12:10 and back online at 13:30</t>
  </si>
  <si>
    <t>1. SR082929
2. SR083489
3. SR083169
4. SR083160</t>
  </si>
  <si>
    <t>1. Inverter 11 offline on 04/16, 04/18, 04/29, 04/30</t>
  </si>
  <si>
    <t>1. SR083504</t>
  </si>
  <si>
    <t>May Actual v. Expected</t>
  </si>
  <si>
    <t>May Actual v. Forecasted</t>
  </si>
  <si>
    <t>1. Inverter 3.15 tripped offline on 05/22 at 15:30 and later self resolved on 05/23 at 05:00 am.
2. Site was offline between 04:30am to 12:15pm on 05/30 
3. Meter reporting errenous values and having intermittent communication. Meter being RMA'd</t>
  </si>
  <si>
    <t>1. SR085031
2. SR085295
3. SR080661</t>
  </si>
  <si>
    <t>1. Site was offline due to utility outage on 05/31 from 14:00 to 16:45.</t>
  </si>
  <si>
    <t>1. SR085385</t>
  </si>
  <si>
    <t>1. Site was offline due to SEL recloser open on 05/26 at 15:30 and later SEL recloser was remotely closed at 16:45.</t>
  </si>
  <si>
    <t>1.SR085170</t>
  </si>
  <si>
    <t>1. SR085169</t>
  </si>
  <si>
    <t>1. Site was offline due to utility outage on 05/08 from 05:00 am to 11:00am.</t>
  </si>
  <si>
    <t>1. SR084479</t>
  </si>
  <si>
    <t xml:space="preserve">1. Inverter1.1 was offline on 05/11, 05/26, 05/30 and 05/31.
2. Site was offline due to uitility outage on 05/30 from 13:30 to 15:15.
3. Inverter 2.1 was offline after the utility outage has cleared on 05/30 at 15:15 and later back online on 05/31.
4. Inverter 2.14 was offline due to "Over- temperature fault" from 05/01 to 05/13. </t>
  </si>
  <si>
    <t>1. SR084577
2. SR085329
3. SR085332
4. SR083786</t>
  </si>
  <si>
    <t>1. Inverter 2.6 derated by 20kW from 05/11 to 05/13.</t>
  </si>
  <si>
    <t>1. SR084645</t>
  </si>
  <si>
    <t>1. Inverter 47 derated by 27kW 0n 05/01, 05/22 to 05/25.</t>
  </si>
  <si>
    <t>1. SR084130,SR085001</t>
  </si>
  <si>
    <t>1. Inverter 11 was offline on 01/05,03/05, 05/05, 06/05, 14/05, 19/05 - 21/05.</t>
  </si>
  <si>
    <t xml:space="preserve">1. SR083504 </t>
  </si>
  <si>
    <t>June Actual v. Expected</t>
  </si>
  <si>
    <t>June Actual v. Forecasted</t>
  </si>
  <si>
    <t>1. Site was offline from 18:45 on 06/19 and back online at 22:15 on 06/19</t>
  </si>
  <si>
    <t>1. SR086454</t>
  </si>
  <si>
    <t>1. Site was offline from 19:45 on 06/05 and back online at 08:15AM on 06/06
2. Site was offline from 18:53 on 06/19 and back online on 06/20</t>
  </si>
  <si>
    <t>1. SR085605
2. SR086451</t>
  </si>
  <si>
    <t>1. Site has experienced a brief outage from 17:42 to 18:02 on 06/ 19 and auto reclosed.
2.  Inverter 1.2 was underperforming compared to its peers</t>
  </si>
  <si>
    <t>1. SR086449
2.SR086155,SR084740</t>
  </si>
  <si>
    <t>1. Inverter 2.1 tripped offline at 13:00 on 06/02 and back online on 06/03</t>
  </si>
  <si>
    <t>1. SR085431</t>
  </si>
  <si>
    <t>1. Site was offline from 01:45am to 6am on 06/24</t>
  </si>
  <si>
    <t>1. SR086817</t>
  </si>
  <si>
    <t>1. Site was offline from 1:45am to 8:45am on 06/24</t>
  </si>
  <si>
    <t>1. SR086818</t>
  </si>
  <si>
    <t>1. Inverter 3.16 down a string from 05/13/2024
2.Site was offline from 7:50am of 06/20 to 9am of 06/21</t>
  </si>
  <si>
    <t>1. SR085098
2.SR086465</t>
  </si>
  <si>
    <t>1. Inverter 1-1 was offline on 06/01, 06/24 and 06/29</t>
  </si>
  <si>
    <t>1. SR086837</t>
  </si>
  <si>
    <t>1. Inverter 1.6 dropped a string on 5/22/24. Underproduced 2kW for the whole month and inverter 3.1 dropped a string on 5/22/24. Underproduced 6kW for the whole month</t>
  </si>
  <si>
    <t>1. SR085079</t>
  </si>
  <si>
    <t>1.  Inverter 22 underproducing by 4kW.
 inverter 2 underproducing by 3kW
 inverter 5 underproducing by 4kW.
 inverter 13 underproducing by 5kW
Inverter 25 was underperforming by 6kW
All mentioned inverters underproduced for the whole month</t>
  </si>
  <si>
    <t>1. SR083764</t>
  </si>
  <si>
    <t>1.  Inverters 3, 17, 21, 41, 46 underproduced for the whole month</t>
  </si>
  <si>
    <t>1. SR083330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</si>
  <si>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</si>
  <si>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</si>
  <si>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</si>
  <si>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</si>
  <si>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</si>
  <si>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</si>
  <si>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</si>
  <si>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</si>
  <si>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</si>
  <si>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</si>
  <si>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</si>
  <si>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</si>
  <si>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</si>
  <si>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MN8 KEF</t>
  </si>
  <si>
    <t>Site DAS Name</t>
  </si>
  <si>
    <t>Update</t>
  </si>
  <si>
    <t>DAS</t>
  </si>
  <si>
    <t>MA-11-001 - Williamsburg A #1058</t>
  </si>
  <si>
    <t>Williamsburg A</t>
  </si>
  <si>
    <t>MA</t>
  </si>
  <si>
    <t>AEF</t>
  </si>
  <si>
    <t>PowerTrack</t>
  </si>
  <si>
    <t>MA-11-002 - Orange A KB</t>
  </si>
  <si>
    <t>Orange A KB</t>
  </si>
  <si>
    <t>MA-11-003 - Goshen A #1052</t>
  </si>
  <si>
    <t>Goshen A</t>
  </si>
  <si>
    <t>MA-11-004 - Phillipston A KB</t>
  </si>
  <si>
    <t>Phillipston A KB</t>
  </si>
  <si>
    <t>MA-11-005 - Uxbridge D</t>
  </si>
  <si>
    <t>Uxbridge D</t>
  </si>
  <si>
    <t>MA-11-006 - West Bridgewater A&amp;B #1063</t>
  </si>
  <si>
    <t>West Bridgewater A&amp;B</t>
  </si>
  <si>
    <t>MA-11-007 - Sutton A #1054</t>
  </si>
  <si>
    <t>Sutton A</t>
  </si>
  <si>
    <t>MA-11-008 - North Adams A #1079</t>
  </si>
  <si>
    <t>North Adams A</t>
  </si>
  <si>
    <t>MA-11-009 - North Adams B #1080</t>
  </si>
  <si>
    <t>North Adams B</t>
  </si>
  <si>
    <t>MA-11-010 - Clarksburg A #1081</t>
  </si>
  <si>
    <t>Clarksburg A</t>
  </si>
  <si>
    <t>MA-11-011 - Swansea B #1098</t>
  </si>
  <si>
    <t>Swansea B</t>
  </si>
  <si>
    <t>MA-11-012 - Wareham 2</t>
  </si>
  <si>
    <t>Wareham 2</t>
  </si>
  <si>
    <t>MA-11-013 - Kingston 1 KB</t>
  </si>
  <si>
    <t>Kingston 1 KB</t>
  </si>
  <si>
    <t>MA-11-014 - Kingston 2 KB</t>
  </si>
  <si>
    <t>Kingston 2 KB</t>
  </si>
  <si>
    <t>MA-11-015 - Holliston B</t>
  </si>
  <si>
    <t>Holliston B</t>
  </si>
  <si>
    <t>MA-11-016 - Fairhaven C</t>
  </si>
  <si>
    <t>Fairhaven C</t>
  </si>
  <si>
    <t>MA-11-017 - Plympton A</t>
  </si>
  <si>
    <t>Plympton A-2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</si>
</sst>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82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0" borderId="0" xfId="0" applyNumberFormat="1" applyFont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49" fontId="27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0" fillId="0" borderId="0" xfId="2" applyNumberFormat="1" applyFont="1" applyFill="1" applyBorder="1" applyAlignment="1">
      <alignment vertical="top" wrapText="1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0" fontId="0" fillId="0" borderId="0" xfId="0" applyAlignment="1">
      <alignment horizontal="left" wrapText="1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9" fontId="24" fillId="41" borderId="11" xfId="2" applyFont="1" applyFill="1" applyBorder="1" applyAlignment="1">
      <alignment horizontal="center" vertical="center" wrapText="1"/>
    </xf>
    <xf numFmtId="0" fontId="24" fillId="42" borderId="11" xfId="0" applyFont="1" applyFill="1" applyBorder="1" applyAlignment="1">
      <alignment horizontal="center" vertical="center"/>
    </xf>
    <xf numFmtId="0" fontId="24" fillId="42" borderId="11" xfId="0" applyFont="1" applyFill="1" applyBorder="1" applyAlignment="1">
      <alignment horizontal="center" vertical="center" wrapText="1"/>
    </xf>
    <xf numFmtId="9" fontId="24" fillId="42" borderId="11" xfId="2" applyFont="1" applyFill="1" applyBorder="1" applyAlignment="1">
      <alignment horizontal="center" vertical="center" wrapText="1"/>
    </xf>
    <xf numFmtId="0" fontId="5" fillId="45" borderId="11" xfId="0" applyFont="1" applyFill="1" applyBorder="1" applyAlignment="1">
      <alignment horizontal="center" vertical="center"/>
    </xf>
    <xf numFmtId="0" fontId="34" fillId="40" borderId="1" xfId="0" applyFont="1" applyFill="1" applyBorder="1" applyAlignment="1">
      <alignment horizontal="left"/>
    </xf>
    <xf numFmtId="0" fontId="28" fillId="40" borderId="1" xfId="0" applyFont="1" applyFill="1" applyBorder="1" applyAlignment="1">
      <alignment horizontal="center" vertical="center"/>
    </xf>
    <xf numFmtId="3" fontId="30" fillId="3" borderId="1" xfId="0" applyNumberFormat="1" applyFont="1" applyFill="1" applyBorder="1" applyAlignment="1">
      <alignment horizontal="right" vertical="center"/>
    </xf>
    <xf numFmtId="9" fontId="30" fillId="37" borderId="1" xfId="2" applyFont="1" applyFill="1" applyBorder="1" applyAlignment="1">
      <alignment horizontal="center" vertical="center"/>
    </xf>
    <xf numFmtId="3" fontId="30" fillId="4" borderId="1" xfId="1" applyNumberFormat="1" applyFont="1" applyFill="1" applyBorder="1" applyAlignment="1">
      <alignment vertical="center"/>
    </xf>
    <xf numFmtId="49" fontId="30" fillId="38" borderId="1" xfId="2" applyNumberFormat="1" applyFont="1" applyFill="1" applyBorder="1" applyAlignment="1">
      <alignment vertical="top" wrapText="1"/>
    </xf>
    <xf numFmtId="0" fontId="27" fillId="0" borderId="1" xfId="0" applyFont="1" applyBorder="1" applyAlignment="1">
      <alignment horizontal="left" vertical="center"/>
    </xf>
    <xf numFmtId="0" fontId="28" fillId="0" borderId="1" xfId="0" applyFont="1" applyBorder="1" applyAlignment="1">
      <alignment horizontal="center" vertical="center"/>
    </xf>
    <xf numFmtId="3" fontId="30" fillId="0" borderId="1" xfId="0" applyNumberFormat="1" applyFont="1" applyBorder="1" applyAlignment="1">
      <alignment horizontal="right" vertical="center"/>
    </xf>
    <xf numFmtId="9" fontId="30" fillId="0" borderId="1" xfId="2" applyFont="1" applyFill="1" applyBorder="1" applyAlignment="1">
      <alignment horizontal="center" vertical="center"/>
    </xf>
    <xf numFmtId="3" fontId="30" fillId="0" borderId="1" xfId="1" applyNumberFormat="1" applyFont="1" applyFill="1" applyBorder="1" applyAlignment="1">
      <alignment vertical="center"/>
    </xf>
    <xf numFmtId="0" fontId="27" fillId="40" borderId="1" xfId="0" applyFont="1" applyFill="1" applyBorder="1" applyAlignment="1">
      <alignment horizontal="left" vertical="center"/>
    </xf>
    <xf numFmtId="0" fontId="27" fillId="0" borderId="1" xfId="0" applyFont="1" applyBorder="1" applyAlignment="1">
      <alignment horizontal="center" vertical="center"/>
    </xf>
    <xf numFmtId="0" fontId="27" fillId="40" borderId="1" xfId="0" applyFont="1" applyFill="1" applyBorder="1" applyAlignment="1">
      <alignment horizontal="center" vertical="center"/>
    </xf>
    <xf numFmtId="164" fontId="28" fillId="44" borderId="1" xfId="1" applyNumberFormat="1" applyFont="1" applyFill="1" applyBorder="1" applyAlignment="1">
      <alignment horizontal="center" vertical="center"/>
    </xf>
    <xf numFmtId="9" fontId="30" fillId="3" borderId="1" xfId="2" applyFont="1" applyFill="1" applyBorder="1" applyAlignment="1">
      <alignment horizontal="center" vertical="center"/>
    </xf>
    <xf numFmtId="164" fontId="28" fillId="0" borderId="1" xfId="1" applyNumberFormat="1" applyFont="1" applyBorder="1" applyAlignment="1">
      <alignment horizontal="center" vertical="center"/>
    </xf>
    <xf numFmtId="49" fontId="30" fillId="38" borderId="12" xfId="2" applyNumberFormat="1" applyFont="1" applyFill="1" applyBorder="1" applyAlignment="1">
      <alignment vertical="top" wrapText="1"/>
    </xf>
    <xf numFmtId="49" fontId="27" fillId="40" borderId="1" xfId="0" applyNumberFormat="1" applyFont="1" applyFill="1" applyBorder="1" applyAlignment="1">
      <alignment horizontal="center" vertical="center"/>
    </xf>
    <xf numFmtId="49" fontId="28" fillId="40" borderId="1" xfId="0" applyNumberFormat="1" applyFont="1" applyFill="1" applyBorder="1" applyAlignment="1">
      <alignment horizontal="center" vertical="center"/>
    </xf>
    <xf numFmtId="49" fontId="27" fillId="0" borderId="1" xfId="0" applyNumberFormat="1" applyFont="1" applyBorder="1" applyAlignment="1">
      <alignment horizontal="center" vertical="center"/>
    </xf>
    <xf numFmtId="49" fontId="28" fillId="0" borderId="1" xfId="0" applyNumberFormat="1" applyFont="1" applyBorder="1" applyAlignment="1">
      <alignment horizontal="center" vertical="center"/>
    </xf>
    <xf numFmtId="0" fontId="34" fillId="40" borderId="1" xfId="0" applyFont="1" applyFill="1" applyBorder="1" applyAlignment="1">
      <alignment horizontal="center"/>
    </xf>
    <xf numFmtId="49" fontId="27" fillId="40" borderId="1" xfId="0" applyNumberFormat="1" applyFont="1" applyFill="1" applyBorder="1" applyAlignment="1">
      <alignment horizontal="left" vertical="center"/>
    </xf>
    <xf numFmtId="49" fontId="27" fillId="0" borderId="1" xfId="0" applyNumberFormat="1" applyFont="1" applyBorder="1" applyAlignment="1">
      <alignment horizontal="left" vertical="center"/>
    </xf>
    <xf numFmtId="49" fontId="27" fillId="0" borderId="1" xfId="0" applyNumberFormat="1" applyFont="1" applyBorder="1" applyAlignment="1">
      <alignment horizontal="left" vertical="top" wrapText="1"/>
    </xf>
    <xf numFmtId="49" fontId="30" fillId="38" borderId="12" xfId="2" applyNumberFormat="1" applyFont="1" applyFill="1" applyBorder="1" applyAlignment="1">
      <alignment horizontal="left" vertical="top" wrapText="1"/>
    </xf>
    <xf numFmtId="49" fontId="30" fillId="38" borderId="1" xfId="2" applyNumberFormat="1" applyFont="1" applyFill="1" applyBorder="1" applyAlignment="1">
      <alignment horizontal="left" vertical="top" wrapText="1"/>
    </xf>
    <xf numFmtId="49" fontId="28" fillId="0" borderId="12" xfId="0" applyNumberFormat="1" applyFont="1" applyBorder="1" applyAlignment="1">
      <alignment horizontal="left" vertical="top" wrapText="1"/>
    </xf>
    <xf numFmtId="49" fontId="28" fillId="0" borderId="1" xfId="0" applyNumberFormat="1" applyFont="1" applyBorder="1" applyAlignment="1">
      <alignment horizontal="left" vertical="top" wrapText="1"/>
    </xf>
    <xf numFmtId="49" fontId="28" fillId="0" borderId="0" xfId="0" applyNumberFormat="1" applyFont="1" applyAlignment="1">
      <alignment horizontal="left" vertical="top" wrapText="1"/>
    </xf>
    <xf numFmtId="49" fontId="27" fillId="0" borderId="0" xfId="0" applyNumberFormat="1" applyFont="1" applyAlignment="1">
      <alignment horizontal="left" vertical="top" wrapText="1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vertical="top" wrapText="1"/>
    </xf>
    <xf numFmtId="0" fontId="34" fillId="40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20" totalsRowShown="0">
  <autoFilter ref="A3:E20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7"/>
  <sheetViews>
    <sheetView workbookViewId="0">
      <pane xSplit="2" ySplit="3" topLeftCell="C4" activePane="bottomRight" state="frozen"/>
      <selection pane="bottomRight" activeCell="D24" sqref="D24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9" t="str" cm="1">
        <f t="array" ref="A1">portfolio</f>
        <v>MN8 KEF</v>
      </c>
      <c r="B1" s="79"/>
      <c r="C1" s="79"/>
      <c r="D1" s="80" t="s">
        <v>0</v>
      </c>
      <c r="E1" s="80"/>
      <c r="F1" s="80"/>
      <c r="G1" s="78" t="s">
        <v>1</v>
      </c>
      <c r="H1" s="78"/>
      <c r="I1" s="78"/>
    </row>
    <row r="2" spans="1:9" ht="19.5" customHeight="1">
      <c r="A2" s="81" t="s">
        <v>2</v>
      </c>
      <c r="B2" s="81"/>
      <c r="C2" s="5">
        <f>SUM(C4:C95)</f>
        <v>1886899.5661834264</v>
      </c>
      <c r="D2" s="5">
        <f>SUM(D4:D95)</f>
        <v>6247086.5100000016</v>
      </c>
      <c r="E2" s="5">
        <f>C2-D2</f>
        <v>-4360186.9438165752</v>
      </c>
      <c r="F2" s="6">
        <f>IFERROR(E2/D2, 0)</f>
        <v>-0.69795526872199087</v>
      </c>
      <c r="G2" s="5">
        <f>SUM(G4:G95)</f>
        <v>15414644.030000001</v>
      </c>
      <c r="H2" s="7">
        <f>C2-G2</f>
        <v>-13527744.463816576</v>
      </c>
      <c r="I2" s="6">
        <f>IFERROR(H2/G2, 0)</f>
        <v>-0.87759045473180319</v>
      </c>
    </row>
    <row r="3" spans="1:9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</row>
    <row r="4" spans="1:9" ht="15.75">
      <c r="A4" s="61" t="str" cm="1">
        <f t="array" ref="A4:A20">Sites[Site]</f>
        <v>Williamsburg A</v>
      </c>
      <c r="B4" s="62" t="str" cm="1">
        <f t="array" ref="B4:B20">Sites[State]</f>
        <v>MA</v>
      </c>
      <c r="C4" s="57">
        <f>SUM('1st Qtr'!C4, '2nd Qtr'!C4, '3rd Qtr'!C4, '4th Qtr'!C4)</f>
        <v>798034.81221373961</v>
      </c>
      <c r="D4" s="45">
        <f>SUM('1st Qtr'!D4, '2nd Qtr'!D4, '3rd Qtr'!D4, '4th Qtr'!D4)</f>
        <v>847481.34</v>
      </c>
      <c r="E4" s="45">
        <f>IF(AND(ISNUMBER(C4),ISNUMBER(D4)), C4-D4, "")</f>
        <v>-49446.527786260354</v>
      </c>
      <c r="F4" s="58">
        <f>IFERROR(E4/D4, "")</f>
        <v>-5.8345270217112222E-2</v>
      </c>
      <c r="G4" s="47">
        <f>SUM('1st Qtr'!G4, '2nd Qtr'!G4, '3rd Qtr'!G4, '4th Qtr'!G4)</f>
        <v>891253.69</v>
      </c>
      <c r="H4" s="47">
        <f>SUM('1st Qtr'!H4, '2nd Qtr'!H4, '3rd Qtr'!H4, '4th Qtr'!H4)</f>
        <v>-93218.877786260404</v>
      </c>
      <c r="I4" s="46">
        <f>IFERROR(H4/G4, "")</f>
        <v>-0.10459297821954645</v>
      </c>
    </row>
    <row r="5" spans="1:9" ht="15.75">
      <c r="A5" s="63" t="str">
        <v>Orange A KB</v>
      </c>
      <c r="B5" s="64" t="str">
        <v>MA</v>
      </c>
      <c r="C5" s="59">
        <f>SUM('1st Qtr'!C5, '2nd Qtr'!C5, '3rd Qtr'!C5, '4th Qtr'!C5)</f>
        <v>641910.80396968708</v>
      </c>
      <c r="D5" s="51">
        <f>SUM(Jan!D5, Feb!D5, Mar!D5)</f>
        <v>258904.44999999998</v>
      </c>
      <c r="E5" s="51">
        <f t="shared" ref="E5:E15" si="0">IF(AND(ISNUMBER(C5),ISNUMBER(D5)), C5-D5, "")</f>
        <v>383006.35396968713</v>
      </c>
      <c r="F5" s="52">
        <f>IFERROR(E5/D5, "")</f>
        <v>1.4793347660485834</v>
      </c>
      <c r="G5" s="53">
        <f>SUM('1st Qtr'!G5, '2nd Qtr'!G5, '3rd Qtr'!G5, '4th Qtr'!G5)</f>
        <v>708553.29</v>
      </c>
      <c r="H5" s="53">
        <f>SUM(Jan!H5, Feb!H5, Mar!H5)</f>
        <v>-50872.194330708902</v>
      </c>
      <c r="I5" s="52">
        <f>IFERROR(H5/G5, "")</f>
        <v>-7.1797273470720735E-2</v>
      </c>
    </row>
    <row r="6" spans="1:9" ht="15.75">
      <c r="A6" s="61" t="str">
        <v>Goshen A</v>
      </c>
      <c r="B6" s="62" t="str">
        <v>MA</v>
      </c>
      <c r="C6" s="57">
        <f>SUM('1st Qtr'!C6, '2nd Qtr'!C6, '3rd Qtr'!C6, '4th Qtr'!C6)</f>
        <v>-11290267.75</v>
      </c>
      <c r="D6" s="45">
        <f>SUM(Jan!D6, Feb!D6, Mar!D6)</f>
        <v>308555.5</v>
      </c>
      <c r="E6" s="45">
        <f t="shared" si="0"/>
        <v>-11598823.25</v>
      </c>
      <c r="F6" s="58">
        <f t="shared" ref="F6:F15" si="1">IFERROR(E6/D6, "")</f>
        <v>-37.590719497788889</v>
      </c>
      <c r="G6" s="47">
        <f>SUM('1st Qtr'!G6, '2nd Qtr'!G6, '3rd Qtr'!G6, '4th Qtr'!G6)</f>
        <v>544590.26</v>
      </c>
      <c r="H6" s="47">
        <f>SUM(Jan!H6, Feb!H6, Mar!H6)</f>
        <v>70756.84</v>
      </c>
      <c r="I6" s="46">
        <f t="shared" ref="I6:I15" si="2">IFERROR(H6/G6, "")</f>
        <v>0.12992674529287393</v>
      </c>
    </row>
    <row r="7" spans="1:9" ht="15.75">
      <c r="A7" s="63" t="str">
        <v>Phillipston A KB</v>
      </c>
      <c r="B7" s="64" t="str">
        <v>MA</v>
      </c>
      <c r="C7" s="59">
        <f>SUM('1st Qtr'!C7, '2nd Qtr'!C7, '3rd Qtr'!C7, '4th Qtr'!C7)</f>
        <v>775933</v>
      </c>
      <c r="D7" s="51">
        <f>SUM(Jan!D7, Feb!D7, Mar!D7)</f>
        <v>395445.18</v>
      </c>
      <c r="E7" s="51">
        <f t="shared" si="0"/>
        <v>380487.82</v>
      </c>
      <c r="F7" s="52">
        <f t="shared" si="1"/>
        <v>0.96217589502544953</v>
      </c>
      <c r="G7" s="53">
        <f>SUM('1st Qtr'!G7, '2nd Qtr'!G7, '3rd Qtr'!G7, '4th Qtr'!G7)</f>
        <v>612970.98</v>
      </c>
      <c r="H7" s="53">
        <f>SUM(Jan!H7, Feb!H7, Mar!H7)</f>
        <v>63957.32</v>
      </c>
      <c r="I7" s="52">
        <f t="shared" si="2"/>
        <v>0.10433988245251023</v>
      </c>
    </row>
    <row r="8" spans="1:9" ht="15.75">
      <c r="A8" s="61" t="str">
        <v>Uxbridge D</v>
      </c>
      <c r="B8" s="62" t="str">
        <v>MA</v>
      </c>
      <c r="C8" s="57">
        <f>SUM('1st Qtr'!C8, '2nd Qtr'!C8, '3rd Qtr'!C8, '4th Qtr'!C8)</f>
        <v>808941</v>
      </c>
      <c r="D8" s="45">
        <f>SUM(Jan!D8, Feb!D8, Mar!D8)</f>
        <v>356457.4</v>
      </c>
      <c r="E8" s="45">
        <f t="shared" si="0"/>
        <v>452483.6</v>
      </c>
      <c r="F8" s="58">
        <f t="shared" si="1"/>
        <v>1.269390395598464</v>
      </c>
      <c r="G8" s="47">
        <f>SUM('1st Qtr'!G8, '2nd Qtr'!G8, '3rd Qtr'!G8, '4th Qtr'!G8)</f>
        <v>927253.20000000007</v>
      </c>
      <c r="H8" s="47">
        <f>SUM(Jan!H8, Feb!H8, Mar!H8)</f>
        <v>-77950.400000000009</v>
      </c>
      <c r="I8" s="46">
        <f t="shared" si="2"/>
        <v>-8.4065927192270684E-2</v>
      </c>
    </row>
    <row r="9" spans="1:9" ht="15.75">
      <c r="A9" s="63" t="str">
        <v>West Bridgewater A&amp;B</v>
      </c>
      <c r="B9" s="64" t="str">
        <v>MA</v>
      </c>
      <c r="C9" s="59">
        <f>SUM('1st Qtr'!C9, '2nd Qtr'!C9, '3rd Qtr'!C9, '4th Qtr'!C9)</f>
        <v>1342826.5</v>
      </c>
      <c r="D9" s="51">
        <f>SUM(Jan!D9, Feb!D9, Mar!D9)</f>
        <v>566022.19999999995</v>
      </c>
      <c r="E9" s="51">
        <f t="shared" si="0"/>
        <v>776804.3</v>
      </c>
      <c r="F9" s="52">
        <f t="shared" si="1"/>
        <v>1.3723919309171975</v>
      </c>
      <c r="G9" s="53">
        <f>SUM('1st Qtr'!G9, '2nd Qtr'!G9, '3rd Qtr'!G9, '4th Qtr'!G9)</f>
        <v>1556357</v>
      </c>
      <c r="H9" s="53">
        <f>SUM(Jan!H9, Feb!H9, Mar!H9)</f>
        <v>-146117.19999999998</v>
      </c>
      <c r="I9" s="52">
        <f t="shared" si="2"/>
        <v>-9.3884115276893401E-2</v>
      </c>
    </row>
    <row r="10" spans="1:9" ht="15.75">
      <c r="A10" s="61" t="str">
        <v>Sutton A</v>
      </c>
      <c r="B10" s="62" t="str">
        <v>MA</v>
      </c>
      <c r="C10" s="57">
        <f>SUM('1st Qtr'!C10, '2nd Qtr'!C10, '3rd Qtr'!C10, '4th Qtr'!C10)</f>
        <v>720088</v>
      </c>
      <c r="D10" s="45">
        <f>SUM(Jan!D10, Feb!D10, Mar!D10)</f>
        <v>302395.95</v>
      </c>
      <c r="E10" s="45">
        <f t="shared" si="0"/>
        <v>417692.05</v>
      </c>
      <c r="F10" s="58">
        <f t="shared" si="1"/>
        <v>1.3812752783230065</v>
      </c>
      <c r="G10" s="47">
        <f>SUM('1st Qtr'!G10, '2nd Qtr'!G10, '3rd Qtr'!G10, '4th Qtr'!G10)</f>
        <v>882158.02</v>
      </c>
      <c r="H10" s="47">
        <f>SUM(Jan!H10, Feb!H10, Mar!H10)</f>
        <v>-109860.32</v>
      </c>
      <c r="I10" s="46">
        <f t="shared" si="2"/>
        <v>-0.12453587396960922</v>
      </c>
    </row>
    <row r="11" spans="1:9" ht="15.75">
      <c r="A11" s="63" t="str">
        <v>North Adams A</v>
      </c>
      <c r="B11" s="64" t="str">
        <v>MA</v>
      </c>
      <c r="C11" s="59">
        <f>SUM('1st Qtr'!C11, '2nd Qtr'!C11, '3rd Qtr'!C11, '4th Qtr'!C11)</f>
        <v>742545</v>
      </c>
      <c r="D11" s="51">
        <f>SUM(Jan!D11, Feb!D11, Mar!D11)</f>
        <v>294516.74</v>
      </c>
      <c r="E11" s="51">
        <f t="shared" si="0"/>
        <v>448028.26</v>
      </c>
      <c r="F11" s="52">
        <f t="shared" si="1"/>
        <v>1.5212319000950507</v>
      </c>
      <c r="G11" s="53">
        <f>SUM('1st Qtr'!G11, '2nd Qtr'!G11, '3rd Qtr'!G11, '4th Qtr'!G11)</f>
        <v>910125.76</v>
      </c>
      <c r="H11" s="53">
        <f>SUM(Jan!H11, Feb!H11, Mar!H11)</f>
        <v>-104920.85999999999</v>
      </c>
      <c r="I11" s="52">
        <f t="shared" si="2"/>
        <v>-0.1152817166717707</v>
      </c>
    </row>
    <row r="12" spans="1:9" ht="15.75">
      <c r="A12" s="61" t="str">
        <v>North Adams B</v>
      </c>
      <c r="B12" s="62" t="str">
        <v>MA</v>
      </c>
      <c r="C12" s="57">
        <f>SUM('1st Qtr'!C12, '2nd Qtr'!C12, '3rd Qtr'!C12, '4th Qtr'!C12)</f>
        <v>720459</v>
      </c>
      <c r="D12" s="45">
        <f>SUM(Jan!D12, Feb!D12, Mar!D12)</f>
        <v>254351.52999999997</v>
      </c>
      <c r="E12" s="45">
        <f t="shared" si="0"/>
        <v>466107.47000000003</v>
      </c>
      <c r="F12" s="58">
        <f t="shared" si="1"/>
        <v>1.8325325977005136</v>
      </c>
      <c r="G12" s="47">
        <f>SUM('1st Qtr'!G12, '2nd Qtr'!G12, '3rd Qtr'!G12, '4th Qtr'!G12)</f>
        <v>910125.76</v>
      </c>
      <c r="H12" s="47">
        <f>SUM(Jan!H12, Feb!H12, Mar!H12)</f>
        <v>-122625.85999999999</v>
      </c>
      <c r="I12" s="46">
        <f t="shared" si="2"/>
        <v>-0.13473507221683295</v>
      </c>
    </row>
    <row r="13" spans="1:9" ht="15.75">
      <c r="A13" s="63" t="str">
        <v>Clarksburg A</v>
      </c>
      <c r="B13" s="64" t="str">
        <v>MA</v>
      </c>
      <c r="C13" s="59">
        <f>SUM('1st Qtr'!C13, '2nd Qtr'!C13, '3rd Qtr'!C13, '4th Qtr'!C13)</f>
        <v>735034</v>
      </c>
      <c r="D13" s="51">
        <f>SUM(Jan!D13, Feb!D13, Mar!D13)</f>
        <v>280640.43000000005</v>
      </c>
      <c r="E13" s="51">
        <f t="shared" si="0"/>
        <v>454393.56999999995</v>
      </c>
      <c r="F13" s="52">
        <f t="shared" si="1"/>
        <v>1.6191308215997242</v>
      </c>
      <c r="G13" s="53">
        <f>SUM('1st Qtr'!G13, '2nd Qtr'!G13, '3rd Qtr'!G13, '4th Qtr'!G13)</f>
        <v>905992.19</v>
      </c>
      <c r="H13" s="53">
        <f>SUM(Jan!H13, Feb!H13, Mar!H13)</f>
        <v>-108476.99</v>
      </c>
      <c r="I13" s="52">
        <f t="shared" si="2"/>
        <v>-0.11973280917576123</v>
      </c>
    </row>
    <row r="14" spans="1:9" ht="15.75">
      <c r="A14" s="61" t="str">
        <v>Swansea B</v>
      </c>
      <c r="B14" s="62" t="str">
        <v>MA</v>
      </c>
      <c r="C14" s="57">
        <f>SUM('1st Qtr'!C14, '2nd Qtr'!C14, '3rd Qtr'!C14, '4th Qtr'!C14)</f>
        <v>856890</v>
      </c>
      <c r="D14" s="45">
        <f>SUM(Jan!D14, Feb!D14, Mar!D14)</f>
        <v>361411.34</v>
      </c>
      <c r="E14" s="45">
        <f t="shared" si="0"/>
        <v>495478.66</v>
      </c>
      <c r="F14" s="58">
        <f t="shared" si="1"/>
        <v>1.3709549346182661</v>
      </c>
      <c r="G14" s="47">
        <f>SUM('1st Qtr'!G14, '2nd Qtr'!G14, '3rd Qtr'!G14, '4th Qtr'!G14)</f>
        <v>632885.11</v>
      </c>
      <c r="H14" s="47">
        <f>SUM(Jan!H14, Feb!H14, Mar!H14)</f>
        <v>99719.689999999988</v>
      </c>
      <c r="I14" s="46">
        <f t="shared" si="2"/>
        <v>0.15756365321977631</v>
      </c>
    </row>
    <row r="15" spans="1:9" ht="15.75">
      <c r="A15" s="63" t="str">
        <v>Wareham 2</v>
      </c>
      <c r="B15" s="64" t="str">
        <v>MA</v>
      </c>
      <c r="C15" s="59">
        <f>SUM('1st Qtr'!C15, '2nd Qtr'!C15, '3rd Qtr'!C15, '4th Qtr'!C15)</f>
        <v>749295.2</v>
      </c>
      <c r="D15" s="51">
        <f>SUM(Jan!D15, Feb!D15, Mar!D15)</f>
        <v>287011.73</v>
      </c>
      <c r="E15" s="51">
        <f t="shared" si="0"/>
        <v>462283.47</v>
      </c>
      <c r="F15" s="52">
        <f t="shared" si="1"/>
        <v>1.6106779677611085</v>
      </c>
      <c r="G15" s="53">
        <f>SUM('1st Qtr'!G15, '2nd Qtr'!G15, '3rd Qtr'!G15, '4th Qtr'!G15)</f>
        <v>989845.39999999991</v>
      </c>
      <c r="H15" s="53">
        <f>SUM(Jan!H15, Feb!H15, Mar!H15)</f>
        <v>-123800.45</v>
      </c>
      <c r="I15" s="52">
        <f t="shared" si="2"/>
        <v>-0.12507049080593799</v>
      </c>
    </row>
    <row r="16" spans="1:9" ht="15.75">
      <c r="A16" s="61" t="str">
        <v>Kingston 1 KB</v>
      </c>
      <c r="B16" s="62" t="str">
        <v>MA</v>
      </c>
      <c r="C16" s="57">
        <f>SUM('1st Qtr'!C16, '2nd Qtr'!C16, '3rd Qtr'!C16, '4th Qtr'!C16)</f>
        <v>690755</v>
      </c>
      <c r="D16" s="45">
        <f>SUM(Jan!D16, Feb!D16, Mar!D16)</f>
        <v>280103.39</v>
      </c>
      <c r="E16" s="45">
        <f t="shared" ref="E16:E19" si="3">IF(AND(ISNUMBER(C16),ISNUMBER(D16)), C16-D16, "")</f>
        <v>410651.61</v>
      </c>
      <c r="F16" s="58">
        <f t="shared" ref="F16:F19" si="4">IFERROR(E16/D16, "")</f>
        <v>1.4660715459388047</v>
      </c>
      <c r="G16" s="47">
        <f>SUM('1st Qtr'!G16, '2nd Qtr'!G16, '3rd Qtr'!G16, '4th Qtr'!G16)</f>
        <v>764601.79</v>
      </c>
      <c r="H16" s="47">
        <f>SUM(Jan!H16, Feb!H16, Mar!H16)</f>
        <v>-50948.990000000005</v>
      </c>
      <c r="I16" s="46">
        <f t="shared" ref="I16:I19" si="5">IFERROR(H16/G16, "")</f>
        <v>-6.663467267059367E-2</v>
      </c>
    </row>
    <row r="17" spans="1:9" ht="15.75">
      <c r="A17" s="63" t="str">
        <v>Kingston 2 KB</v>
      </c>
      <c r="B17" s="64" t="str">
        <v>MA</v>
      </c>
      <c r="C17" s="59">
        <f>SUM('1st Qtr'!C17, '2nd Qtr'!C17, '3rd Qtr'!C17, '4th Qtr'!C17)</f>
        <v>569582</v>
      </c>
      <c r="D17" s="51">
        <f>SUM(Jan!D17, Feb!D17, Mar!D17)</f>
        <v>180108.57</v>
      </c>
      <c r="E17" s="51">
        <f t="shared" si="3"/>
        <v>389473.43</v>
      </c>
      <c r="F17" s="52">
        <f t="shared" si="4"/>
        <v>2.1624369678799846</v>
      </c>
      <c r="G17" s="53">
        <f>SUM('1st Qtr'!G17, '2nd Qtr'!G17, '3rd Qtr'!G17, '4th Qtr'!G17)</f>
        <v>613718.07000000007</v>
      </c>
      <c r="H17" s="53">
        <f>SUM(Jan!H17, Feb!H17, Mar!H17)</f>
        <v>-33449.769999999997</v>
      </c>
      <c r="I17" s="52">
        <f t="shared" si="5"/>
        <v>-5.4503479097495033E-2</v>
      </c>
    </row>
    <row r="18" spans="1:9" ht="12.75" customHeight="1">
      <c r="A18" s="63" t="str">
        <v>Holliston B</v>
      </c>
      <c r="B18" s="63" t="str">
        <v>MA</v>
      </c>
      <c r="C18" s="57">
        <f>SUM('1st Qtr'!C18, '2nd Qtr'!C18, '3rd Qtr'!C18, '4th Qtr'!C18)</f>
        <v>795904</v>
      </c>
      <c r="D18" s="45">
        <f>SUM(Jan!D18, Feb!D18, Mar!D18)</f>
        <v>324177.82</v>
      </c>
      <c r="E18" s="45">
        <f t="shared" si="3"/>
        <v>471726.18</v>
      </c>
      <c r="F18" s="58">
        <f t="shared" si="4"/>
        <v>1.4551463761462766</v>
      </c>
      <c r="G18" s="47">
        <f>SUM('1st Qtr'!G18, '2nd Qtr'!G18, '3rd Qtr'!G18, '4th Qtr'!G18)</f>
        <v>926625.16999999993</v>
      </c>
      <c r="H18" s="47">
        <f>SUM(Jan!H18, Feb!H18, Mar!H18)</f>
        <v>-97796.77</v>
      </c>
      <c r="I18" s="46">
        <f t="shared" si="5"/>
        <v>-0.10554080891197895</v>
      </c>
    </row>
    <row r="19" spans="1:9" ht="15.75">
      <c r="A19" s="63" t="str">
        <v>Fairhaven C</v>
      </c>
      <c r="B19" s="63" t="str">
        <v>MA</v>
      </c>
      <c r="C19" s="59">
        <f>SUM('1st Qtr'!C19, '2nd Qtr'!C19, '3rd Qtr'!C19, '4th Qtr'!C19)</f>
        <v>1426678</v>
      </c>
      <c r="D19" s="51">
        <f>SUM(Jan!D19, Feb!D19, Mar!D19)</f>
        <v>619098.5</v>
      </c>
      <c r="E19" s="51">
        <f t="shared" si="3"/>
        <v>807579.5</v>
      </c>
      <c r="F19" s="52">
        <f t="shared" si="4"/>
        <v>1.3044442847139832</v>
      </c>
      <c r="G19" s="53">
        <f>SUM('1st Qtr'!G19, '2nd Qtr'!G19, '3rd Qtr'!G19, '4th Qtr'!G19)</f>
        <v>1702208.2000000002</v>
      </c>
      <c r="H19" s="53">
        <f>SUM(Jan!H19, Feb!H19, Mar!H19)</f>
        <v>-135592.90000000002</v>
      </c>
      <c r="I19" s="52">
        <f t="shared" si="5"/>
        <v>-7.9657059577083467E-2</v>
      </c>
    </row>
    <row r="20" spans="1:9" ht="15.75">
      <c r="A20" s="63" t="str">
        <v>Plympton A-2</v>
      </c>
      <c r="B20" s="63" t="str">
        <v>MA</v>
      </c>
      <c r="C20" s="57">
        <f>SUM('1st Qtr'!C20, '2nd Qtr'!C20, '3rd Qtr'!C20, '4th Qtr'!C20)</f>
        <v>802291</v>
      </c>
      <c r="D20" s="45">
        <f>SUM(Jan!D20, Feb!D20, Mar!D20)</f>
        <v>330404.44</v>
      </c>
      <c r="E20" s="45">
        <f t="shared" ref="E20" si="6">IF(AND(ISNUMBER(C20),ISNUMBER(D20)), C20-D20, "")</f>
        <v>471886.56</v>
      </c>
      <c r="F20" s="58">
        <f t="shared" ref="F20" si="7">IFERROR(E20/D20, "")</f>
        <v>1.4282088945293834</v>
      </c>
      <c r="G20" s="47">
        <f>SUM('1st Qtr'!G20, '2nd Qtr'!G20, '3rd Qtr'!G20, '4th Qtr'!G20)</f>
        <v>935380.14</v>
      </c>
      <c r="H20" s="47">
        <f>SUM(Jan!H20, Feb!H20, Mar!H20)</f>
        <v>-84032.239999999991</v>
      </c>
      <c r="I20" s="46">
        <f t="shared" ref="I20" si="8">IFERROR(H20/G20, "")</f>
        <v>-8.9837528515411921E-2</v>
      </c>
    </row>
    <row r="21" spans="1:9" ht="13.15">
      <c r="A21" s="14"/>
      <c r="B21" s="14"/>
      <c r="C21" s="14"/>
      <c r="D21" s="14"/>
      <c r="E21" s="14"/>
      <c r="F21" s="14"/>
      <c r="G21" s="14"/>
      <c r="H21" s="14"/>
      <c r="I21" s="14"/>
    </row>
    <row r="22" spans="1:9" ht="13.15">
      <c r="A22" s="14"/>
      <c r="B22" s="14"/>
      <c r="C22" s="14"/>
      <c r="D22" s="14"/>
      <c r="E22" s="14"/>
      <c r="F22" s="14"/>
      <c r="G22" s="14"/>
      <c r="H22" s="14"/>
      <c r="I22" s="14"/>
    </row>
    <row r="23" spans="1:9" ht="13.15">
      <c r="A23" s="14"/>
      <c r="B23" s="14"/>
      <c r="C23" s="14"/>
      <c r="D23" s="14"/>
      <c r="E23" s="14"/>
      <c r="F23" s="14"/>
      <c r="G23" s="14"/>
      <c r="H23" s="14"/>
      <c r="I23" s="14"/>
    </row>
    <row r="24" spans="1:9" ht="13.15">
      <c r="A24" s="14"/>
      <c r="B24" s="14"/>
      <c r="C24" s="14"/>
      <c r="D24" s="14"/>
      <c r="E24" s="14"/>
      <c r="F24" s="14"/>
      <c r="G24" s="14"/>
      <c r="H24" s="14"/>
      <c r="I24" s="14"/>
    </row>
    <row r="25" spans="1:9" ht="13.15">
      <c r="A25" s="14"/>
      <c r="B25" s="14"/>
      <c r="C25" s="14"/>
      <c r="D25" s="14"/>
      <c r="E25" s="14"/>
      <c r="F25" s="14"/>
      <c r="G25" s="14"/>
      <c r="H25" s="14"/>
      <c r="I25" s="14"/>
    </row>
    <row r="26" spans="1:9" ht="13.15">
      <c r="A26" s="14"/>
      <c r="B26" s="14"/>
      <c r="C26" s="14"/>
      <c r="D26" s="14"/>
      <c r="E26" s="14"/>
      <c r="F26" s="14"/>
      <c r="G26" s="14"/>
      <c r="H26" s="14"/>
      <c r="I26" s="14"/>
    </row>
    <row r="27" spans="1:9" ht="13.15">
      <c r="A27" s="14"/>
      <c r="B27" s="14"/>
      <c r="C27" s="14"/>
      <c r="D27" s="14"/>
      <c r="E27" s="14"/>
      <c r="F27" s="14"/>
      <c r="G27" s="14"/>
      <c r="H27" s="14"/>
      <c r="I27" s="14"/>
    </row>
    <row r="28" spans="1:9" ht="13.15">
      <c r="A28" s="14"/>
      <c r="B28" s="14"/>
      <c r="C28" s="14"/>
      <c r="D28" s="14"/>
      <c r="E28" s="14"/>
      <c r="F28" s="15"/>
      <c r="G28" s="14"/>
      <c r="H28" s="14"/>
      <c r="I28" s="15"/>
    </row>
    <row r="29" spans="1:9" ht="13.15">
      <c r="A29" s="14"/>
      <c r="B29" s="14"/>
      <c r="C29" s="14"/>
      <c r="D29" s="14"/>
      <c r="E29" s="14"/>
      <c r="F29" s="15"/>
      <c r="G29" s="14"/>
      <c r="H29" s="14"/>
      <c r="I29" s="15"/>
    </row>
    <row r="30" spans="1:9" ht="13.15">
      <c r="A30" s="14"/>
      <c r="B30" s="14"/>
      <c r="C30" s="14"/>
      <c r="D30" s="14"/>
      <c r="E30" s="14"/>
      <c r="F30" s="15"/>
      <c r="G30" s="14"/>
      <c r="H30" s="14"/>
      <c r="I30" s="15"/>
    </row>
    <row r="31" spans="1:9" ht="13.15">
      <c r="A31" s="14"/>
      <c r="B31" s="14"/>
      <c r="C31" s="14"/>
      <c r="D31" s="14"/>
      <c r="E31" s="14"/>
      <c r="F31" s="15"/>
      <c r="G31" s="14"/>
      <c r="H31" s="14"/>
      <c r="I31" s="15"/>
    </row>
    <row r="32" spans="1:9" ht="13.15">
      <c r="A32" s="14"/>
      <c r="B32" s="14"/>
      <c r="C32" s="14"/>
      <c r="D32" s="14"/>
      <c r="E32" s="14"/>
      <c r="F32" s="15"/>
      <c r="G32" s="14"/>
      <c r="H32" s="14"/>
      <c r="I32" s="15"/>
    </row>
    <row r="33" spans="1:9" ht="13.15">
      <c r="A33" s="14"/>
      <c r="B33" s="14"/>
      <c r="C33" s="14"/>
      <c r="D33" s="14"/>
      <c r="E33" s="14"/>
      <c r="F33" s="15"/>
      <c r="G33" s="14"/>
      <c r="H33" s="14"/>
      <c r="I33" s="15"/>
    </row>
    <row r="34" spans="1:9" ht="13.15">
      <c r="A34" s="14"/>
      <c r="B34" s="14"/>
      <c r="C34" s="14"/>
      <c r="D34" s="14"/>
      <c r="E34" s="14"/>
      <c r="F34" s="15"/>
      <c r="G34" s="14"/>
      <c r="H34" s="14"/>
      <c r="I34" s="15"/>
    </row>
    <row r="35" spans="1:9" ht="13.15">
      <c r="A35" s="14"/>
      <c r="B35" s="14"/>
      <c r="C35" s="14"/>
      <c r="D35" s="14"/>
      <c r="E35" s="14"/>
      <c r="F35" s="15"/>
      <c r="G35" s="14"/>
      <c r="H35" s="14"/>
      <c r="I35" s="15"/>
    </row>
    <row r="36" spans="1:9" ht="13.15">
      <c r="A36" s="14"/>
      <c r="B36" s="14"/>
      <c r="C36" s="14"/>
      <c r="D36" s="14"/>
      <c r="E36" s="14"/>
      <c r="F36" s="15"/>
      <c r="G36" s="14"/>
      <c r="H36" s="14"/>
      <c r="I36" s="15"/>
    </row>
    <row r="37" spans="1:9" ht="13.15">
      <c r="A37" s="14"/>
      <c r="B37" s="14"/>
      <c r="C37" s="14"/>
      <c r="D37" s="14"/>
      <c r="E37" s="14"/>
      <c r="F37" s="15"/>
      <c r="G37" s="14"/>
      <c r="H37" s="14"/>
      <c r="I37" s="15"/>
    </row>
    <row r="38" spans="1:9" ht="13.15">
      <c r="A38" s="14"/>
      <c r="B38" s="14"/>
      <c r="C38" s="14"/>
      <c r="D38" s="14"/>
      <c r="E38" s="14"/>
      <c r="F38" s="15"/>
      <c r="G38" s="14"/>
      <c r="H38" s="14"/>
      <c r="I38" s="15"/>
    </row>
    <row r="39" spans="1:9" ht="13.15">
      <c r="A39" s="14"/>
      <c r="B39" s="14"/>
      <c r="C39" s="14"/>
      <c r="D39" s="14"/>
      <c r="E39" s="14"/>
      <c r="F39" s="15"/>
      <c r="G39" s="14"/>
      <c r="H39" s="14"/>
      <c r="I39" s="15"/>
    </row>
    <row r="40" spans="1:9" ht="13.15">
      <c r="A40" s="14"/>
      <c r="B40" s="14"/>
      <c r="C40" s="14"/>
      <c r="D40" s="14"/>
      <c r="E40" s="14"/>
      <c r="F40" s="15"/>
      <c r="G40" s="14"/>
      <c r="H40" s="14"/>
      <c r="I40" s="15"/>
    </row>
    <row r="41" spans="1:9" ht="13.15">
      <c r="A41" s="14"/>
      <c r="B41" s="14"/>
      <c r="C41" s="14"/>
      <c r="D41" s="14"/>
      <c r="E41" s="14"/>
      <c r="F41" s="15"/>
      <c r="G41" s="14"/>
      <c r="H41" s="14"/>
      <c r="I41" s="15"/>
    </row>
    <row r="42" spans="1:9" ht="13.15">
      <c r="A42" s="14"/>
      <c r="B42" s="14"/>
      <c r="C42" s="14"/>
      <c r="D42" s="14"/>
      <c r="E42" s="14"/>
      <c r="F42" s="15"/>
      <c r="G42" s="14"/>
      <c r="H42" s="14"/>
      <c r="I42" s="15"/>
    </row>
    <row r="43" spans="1:9" ht="13.15">
      <c r="A43" s="14"/>
      <c r="B43" s="14"/>
      <c r="C43" s="14"/>
      <c r="D43" s="14"/>
      <c r="E43" s="14"/>
      <c r="F43" s="15"/>
      <c r="G43" s="14"/>
      <c r="H43" s="14"/>
      <c r="I43" s="15"/>
    </row>
    <row r="44" spans="1:9" ht="13.15">
      <c r="A44" s="14"/>
      <c r="B44" s="14"/>
      <c r="C44" s="14"/>
      <c r="D44" s="14"/>
      <c r="E44" s="14"/>
      <c r="F44" s="15"/>
      <c r="G44" s="14"/>
      <c r="H44" s="14"/>
      <c r="I44" s="15"/>
    </row>
    <row r="45" spans="1:9" ht="13.15">
      <c r="A45" s="14"/>
      <c r="B45" s="14"/>
      <c r="C45" s="14"/>
      <c r="D45" s="14"/>
      <c r="E45" s="14"/>
      <c r="F45" s="15"/>
      <c r="G45" s="14"/>
      <c r="H45" s="14"/>
      <c r="I45" s="15"/>
    </row>
    <row r="46" spans="1:9" ht="13.15">
      <c r="A46" s="14"/>
      <c r="B46" s="14"/>
      <c r="C46" s="14"/>
      <c r="D46" s="14"/>
      <c r="E46" s="14"/>
      <c r="F46" s="15"/>
      <c r="G46" s="14"/>
      <c r="H46" s="14"/>
      <c r="I46" s="15"/>
    </row>
    <row r="47" spans="1:9" ht="13.15">
      <c r="A47" s="14"/>
      <c r="B47" s="14"/>
      <c r="C47" s="14"/>
      <c r="D47" s="14"/>
      <c r="E47" s="14"/>
      <c r="F47" s="15"/>
      <c r="G47" s="14"/>
      <c r="H47" s="14"/>
      <c r="I47" s="15"/>
    </row>
    <row r="48" spans="1:9" ht="13.15">
      <c r="A48" s="14"/>
      <c r="B48" s="14"/>
      <c r="C48" s="14"/>
      <c r="D48" s="14"/>
      <c r="E48" s="14"/>
      <c r="F48" s="15"/>
      <c r="G48" s="14"/>
      <c r="H48" s="14"/>
      <c r="I48" s="15"/>
    </row>
    <row r="49" spans="1:9" ht="13.15">
      <c r="A49" s="14"/>
      <c r="B49" s="14"/>
      <c r="C49" s="14"/>
      <c r="D49" s="14"/>
      <c r="E49" s="14"/>
      <c r="F49" s="15"/>
      <c r="G49" s="14"/>
      <c r="H49" s="14"/>
      <c r="I49" s="15"/>
    </row>
    <row r="50" spans="1:9" ht="13.15">
      <c r="A50" s="14"/>
      <c r="B50" s="14"/>
      <c r="C50" s="14"/>
      <c r="D50" s="14"/>
      <c r="E50" s="14"/>
      <c r="F50" s="15"/>
      <c r="G50" s="14"/>
      <c r="H50" s="14"/>
      <c r="I50" s="15"/>
    </row>
    <row r="51" spans="1:9" ht="13.15">
      <c r="A51" s="14"/>
      <c r="B51" s="14"/>
      <c r="C51" s="14"/>
      <c r="D51" s="14"/>
      <c r="E51" s="14"/>
      <c r="F51" s="15"/>
      <c r="G51" s="14"/>
      <c r="H51" s="14"/>
      <c r="I51" s="15"/>
    </row>
    <row r="52" spans="1:9" ht="13.15">
      <c r="A52" s="14"/>
      <c r="B52" s="14"/>
      <c r="C52" s="14"/>
      <c r="D52" s="14"/>
      <c r="E52" s="14"/>
      <c r="F52" s="15"/>
      <c r="G52" s="14"/>
      <c r="H52" s="14"/>
      <c r="I52" s="15"/>
    </row>
    <row r="53" spans="1:9" ht="13.15">
      <c r="A53" s="14"/>
      <c r="B53" s="14"/>
      <c r="C53" s="14"/>
      <c r="D53" s="14"/>
      <c r="E53" s="14"/>
      <c r="F53" s="15"/>
      <c r="G53" s="14"/>
      <c r="H53" s="14"/>
      <c r="I53" s="15"/>
    </row>
    <row r="54" spans="1:9" ht="13.15">
      <c r="A54" s="14"/>
      <c r="B54" s="14"/>
      <c r="C54" s="14"/>
      <c r="D54" s="14"/>
      <c r="E54" s="14"/>
      <c r="F54" s="15"/>
      <c r="G54" s="14"/>
      <c r="H54" s="14"/>
      <c r="I54" s="15"/>
    </row>
    <row r="55" spans="1:9" ht="13.15">
      <c r="A55" s="14"/>
      <c r="B55" s="14"/>
      <c r="C55" s="14"/>
      <c r="D55" s="14"/>
      <c r="E55" s="14"/>
      <c r="F55" s="15"/>
      <c r="G55" s="14"/>
      <c r="H55" s="14"/>
      <c r="I55" s="15"/>
    </row>
    <row r="56" spans="1:9" ht="13.15">
      <c r="A56" s="14"/>
      <c r="B56" s="14"/>
      <c r="C56" s="14"/>
      <c r="D56" s="14"/>
      <c r="E56" s="14"/>
      <c r="F56" s="15"/>
      <c r="G56" s="14"/>
      <c r="H56" s="14"/>
      <c r="I56" s="15"/>
    </row>
    <row r="57" spans="1:9" ht="13.15">
      <c r="A57" s="14"/>
      <c r="B57" s="14"/>
      <c r="C57" s="14"/>
      <c r="D57" s="14"/>
      <c r="E57" s="14"/>
      <c r="F57" s="15"/>
      <c r="G57" s="14"/>
      <c r="H57" s="14"/>
      <c r="I57" s="15"/>
    </row>
    <row r="58" spans="1:9" ht="13.15">
      <c r="A58" s="14"/>
      <c r="B58" s="14"/>
      <c r="C58" s="14"/>
      <c r="D58" s="14"/>
      <c r="E58" s="14"/>
      <c r="F58" s="15"/>
      <c r="G58" s="14"/>
      <c r="H58" s="14"/>
      <c r="I58" s="15"/>
    </row>
    <row r="59" spans="1:9" ht="13.15">
      <c r="A59" s="14"/>
      <c r="B59" s="14"/>
      <c r="C59" s="14"/>
      <c r="D59" s="14"/>
      <c r="E59" s="14"/>
      <c r="F59" s="15"/>
      <c r="G59" s="14"/>
      <c r="H59" s="14"/>
      <c r="I59" s="15"/>
    </row>
    <row r="60" spans="1:9" ht="13.15">
      <c r="A60" s="14"/>
      <c r="B60" s="14"/>
      <c r="C60" s="14"/>
      <c r="D60" s="14"/>
      <c r="E60" s="14"/>
      <c r="F60" s="15"/>
      <c r="G60" s="14"/>
      <c r="H60" s="14"/>
      <c r="I60" s="15"/>
    </row>
    <row r="61" spans="1:9" ht="13.15">
      <c r="A61" s="14"/>
      <c r="B61" s="14"/>
      <c r="C61" s="14"/>
      <c r="D61" s="14"/>
      <c r="E61" s="14"/>
      <c r="F61" s="15"/>
      <c r="G61" s="14"/>
      <c r="H61" s="14"/>
      <c r="I61" s="15"/>
    </row>
    <row r="62" spans="1:9" ht="13.15">
      <c r="A62" s="14"/>
      <c r="B62" s="14"/>
      <c r="C62" s="14"/>
      <c r="D62" s="14"/>
      <c r="E62" s="14"/>
      <c r="F62" s="15"/>
      <c r="G62" s="14"/>
      <c r="H62" s="14"/>
      <c r="I62" s="15"/>
    </row>
    <row r="63" spans="1:9" ht="13.15">
      <c r="A63" s="14"/>
      <c r="B63" s="14"/>
      <c r="C63" s="14"/>
      <c r="D63" s="14"/>
      <c r="E63" s="14"/>
      <c r="F63" s="15"/>
      <c r="G63" s="14"/>
      <c r="H63" s="14"/>
      <c r="I63" s="15"/>
    </row>
    <row r="64" spans="1:9" ht="13.15">
      <c r="A64" s="14"/>
      <c r="B64" s="14"/>
      <c r="C64" s="14"/>
      <c r="D64" s="14"/>
      <c r="E64" s="14"/>
      <c r="F64" s="15"/>
      <c r="G64" s="14"/>
      <c r="H64" s="14"/>
      <c r="I64" s="15"/>
    </row>
    <row r="65" spans="1:9" ht="13.15">
      <c r="A65" s="14"/>
      <c r="B65" s="14"/>
      <c r="C65" s="14"/>
      <c r="D65" s="14"/>
      <c r="E65" s="14"/>
      <c r="F65" s="15"/>
      <c r="G65" s="14"/>
      <c r="H65" s="14"/>
      <c r="I65" s="15"/>
    </row>
    <row r="66" spans="1:9" ht="13.15">
      <c r="A66" s="14"/>
      <c r="B66" s="14"/>
      <c r="C66" s="14"/>
      <c r="D66" s="14"/>
      <c r="E66" s="14"/>
      <c r="F66" s="15"/>
      <c r="G66" s="14"/>
      <c r="H66" s="14"/>
      <c r="I66" s="15"/>
    </row>
    <row r="67" spans="1:9" ht="13.15">
      <c r="A67" s="14"/>
      <c r="B67" s="14"/>
      <c r="C67" s="14"/>
      <c r="D67" s="14"/>
      <c r="E67" s="14"/>
      <c r="F67" s="15"/>
      <c r="G67" s="14"/>
      <c r="H67" s="14"/>
      <c r="I67" s="15"/>
    </row>
    <row r="68" spans="1:9" ht="13.15">
      <c r="A68" s="14"/>
      <c r="B68" s="14"/>
      <c r="C68" s="14"/>
      <c r="D68" s="14"/>
      <c r="E68" s="14"/>
      <c r="F68" s="15"/>
      <c r="G68" s="14"/>
      <c r="H68" s="14"/>
      <c r="I68" s="15"/>
    </row>
    <row r="69" spans="1:9" ht="13.15">
      <c r="A69" s="14"/>
      <c r="B69" s="14"/>
      <c r="C69" s="14"/>
      <c r="D69" s="14"/>
      <c r="E69" s="14"/>
      <c r="F69" s="15"/>
      <c r="G69" s="14"/>
      <c r="H69" s="14"/>
      <c r="I69" s="15"/>
    </row>
    <row r="70" spans="1:9" ht="13.15">
      <c r="A70" s="14"/>
      <c r="B70" s="14"/>
      <c r="C70" s="14"/>
      <c r="D70" s="14"/>
      <c r="E70" s="14"/>
      <c r="F70" s="15"/>
      <c r="G70" s="14"/>
      <c r="H70" s="14"/>
      <c r="I70" s="15"/>
    </row>
    <row r="71" spans="1:9" ht="13.15">
      <c r="A71" s="14"/>
      <c r="B71" s="14"/>
      <c r="C71" s="14"/>
      <c r="D71" s="14"/>
      <c r="E71" s="14"/>
      <c r="F71" s="15"/>
      <c r="G71" s="14"/>
      <c r="H71" s="14"/>
      <c r="I71" s="15"/>
    </row>
    <row r="72" spans="1:9" ht="13.15">
      <c r="A72" s="14"/>
      <c r="B72" s="14"/>
      <c r="C72" s="14"/>
      <c r="D72" s="14"/>
      <c r="E72" s="14"/>
      <c r="F72" s="15"/>
      <c r="G72" s="14"/>
      <c r="H72" s="14"/>
      <c r="I72" s="15"/>
    </row>
    <row r="73" spans="1:9" ht="13.15">
      <c r="A73" s="14"/>
      <c r="B73" s="14"/>
      <c r="C73" s="14"/>
      <c r="D73" s="14"/>
      <c r="E73" s="14"/>
      <c r="F73" s="15"/>
      <c r="G73" s="14"/>
      <c r="H73" s="14"/>
      <c r="I73" s="15"/>
    </row>
    <row r="74" spans="1:9" ht="13.15">
      <c r="A74" s="14"/>
      <c r="B74" s="14"/>
      <c r="C74" s="14"/>
      <c r="D74" s="14"/>
      <c r="E74" s="14"/>
      <c r="F74" s="15"/>
      <c r="G74" s="14"/>
      <c r="H74" s="14"/>
      <c r="I74" s="15"/>
    </row>
    <row r="75" spans="1:9" ht="13.15">
      <c r="A75" s="14"/>
      <c r="B75" s="14"/>
      <c r="C75" s="14"/>
      <c r="D75" s="14"/>
      <c r="E75" s="14"/>
      <c r="F75" s="15"/>
      <c r="G75" s="14"/>
      <c r="H75" s="14"/>
      <c r="I75" s="15"/>
    </row>
    <row r="76" spans="1:9" ht="13.15">
      <c r="A76" s="14"/>
      <c r="B76" s="14"/>
      <c r="C76" s="14"/>
      <c r="D76" s="14"/>
      <c r="E76" s="14"/>
      <c r="F76" s="15"/>
      <c r="G76" s="14"/>
      <c r="H76" s="14"/>
      <c r="I76" s="15"/>
    </row>
    <row r="77" spans="1:9" ht="13.15">
      <c r="A77" s="14"/>
      <c r="B77" s="14"/>
      <c r="C77" s="14"/>
      <c r="D77" s="14"/>
      <c r="E77" s="14"/>
      <c r="F77" s="15"/>
      <c r="G77" s="14"/>
      <c r="H77" s="14"/>
      <c r="I77" s="15"/>
    </row>
    <row r="78" spans="1:9" ht="13.15">
      <c r="A78" s="14"/>
      <c r="B78" s="14"/>
      <c r="C78" s="14"/>
      <c r="D78" s="14"/>
      <c r="E78" s="14"/>
      <c r="F78" s="15"/>
      <c r="G78" s="14"/>
      <c r="H78" s="14"/>
      <c r="I78" s="15"/>
    </row>
    <row r="79" spans="1:9" ht="13.15">
      <c r="A79" s="14"/>
      <c r="B79" s="14"/>
      <c r="C79" s="14"/>
      <c r="D79" s="14"/>
      <c r="E79" s="14"/>
      <c r="F79" s="15"/>
      <c r="G79" s="14"/>
      <c r="H79" s="14"/>
      <c r="I79" s="15"/>
    </row>
    <row r="80" spans="1:9" ht="13.15">
      <c r="A80" s="14"/>
      <c r="B80" s="14"/>
      <c r="C80" s="14"/>
      <c r="D80" s="14"/>
      <c r="E80" s="14"/>
      <c r="F80" s="15"/>
      <c r="G80" s="14"/>
      <c r="H80" s="14"/>
      <c r="I80" s="15"/>
    </row>
    <row r="81" spans="1:9" ht="13.15">
      <c r="A81" s="14"/>
      <c r="B81" s="14"/>
      <c r="C81" s="14"/>
      <c r="D81" s="14"/>
      <c r="E81" s="14"/>
      <c r="F81" s="15"/>
      <c r="G81" s="14"/>
      <c r="H81" s="14"/>
      <c r="I81" s="15"/>
    </row>
    <row r="82" spans="1:9" ht="13.15">
      <c r="A82" s="14"/>
      <c r="B82" s="14"/>
      <c r="C82" s="14"/>
      <c r="D82" s="14"/>
      <c r="E82" s="14"/>
      <c r="F82" s="15"/>
      <c r="G82" s="14"/>
      <c r="H82" s="14"/>
      <c r="I82" s="15"/>
    </row>
    <row r="83" spans="1:9" ht="13.15">
      <c r="A83" s="14"/>
      <c r="B83" s="14"/>
      <c r="C83" s="14"/>
      <c r="D83" s="14"/>
      <c r="E83" s="14"/>
      <c r="F83" s="15"/>
      <c r="G83" s="14"/>
      <c r="H83" s="14"/>
      <c r="I83" s="15"/>
    </row>
    <row r="84" spans="1:9" ht="13.15">
      <c r="A84" s="14"/>
      <c r="B84" s="14"/>
      <c r="C84" s="14"/>
      <c r="D84" s="14"/>
      <c r="E84" s="14"/>
      <c r="F84" s="15"/>
      <c r="G84" s="14"/>
      <c r="H84" s="14"/>
      <c r="I84" s="15"/>
    </row>
    <row r="85" spans="1:9" ht="13.15">
      <c r="A85" s="14"/>
      <c r="B85" s="14"/>
      <c r="C85" s="14"/>
      <c r="D85" s="14"/>
      <c r="E85" s="14"/>
      <c r="F85" s="15"/>
      <c r="G85" s="14"/>
      <c r="H85" s="14"/>
      <c r="I85" s="15"/>
    </row>
    <row r="86" spans="1:9" ht="13.15">
      <c r="A86" s="14"/>
      <c r="B86" s="14"/>
      <c r="C86" s="14"/>
      <c r="D86" s="14"/>
      <c r="E86" s="14"/>
      <c r="F86" s="15"/>
      <c r="G86" s="14"/>
      <c r="H86" s="14"/>
      <c r="I86" s="15"/>
    </row>
    <row r="87" spans="1:9" ht="13.15">
      <c r="A87" s="14"/>
      <c r="B87" s="14"/>
      <c r="C87" s="14"/>
      <c r="D87" s="14"/>
      <c r="E87" s="14"/>
      <c r="F87" s="15"/>
      <c r="G87" s="14"/>
      <c r="H87" s="14"/>
      <c r="I87" s="15"/>
    </row>
    <row r="88" spans="1:9" ht="13.15">
      <c r="A88" s="14"/>
      <c r="B88" s="14"/>
      <c r="C88" s="14"/>
      <c r="D88" s="14"/>
      <c r="E88" s="14"/>
      <c r="F88" s="15"/>
      <c r="G88" s="14"/>
      <c r="H88" s="14"/>
      <c r="I88" s="15"/>
    </row>
    <row r="89" spans="1:9" ht="13.15">
      <c r="A89" s="14"/>
      <c r="B89" s="14"/>
      <c r="C89" s="14"/>
      <c r="D89" s="14"/>
      <c r="E89" s="14"/>
      <c r="F89" s="15"/>
      <c r="G89" s="14"/>
      <c r="H89" s="14"/>
      <c r="I89" s="15"/>
    </row>
    <row r="90" spans="1:9" ht="13.15">
      <c r="A90" s="14"/>
      <c r="B90" s="14"/>
      <c r="C90" s="14"/>
      <c r="D90" s="14"/>
      <c r="E90" s="14"/>
      <c r="F90" s="15"/>
      <c r="G90" s="14"/>
      <c r="H90" s="14"/>
      <c r="I90" s="15"/>
    </row>
    <row r="91" spans="1:9" ht="13.15">
      <c r="A91" s="14"/>
      <c r="B91" s="14"/>
      <c r="C91" s="14"/>
      <c r="D91" s="14"/>
      <c r="E91" s="14"/>
      <c r="F91" s="15"/>
      <c r="G91" s="14"/>
      <c r="H91" s="14"/>
      <c r="I91" s="15"/>
    </row>
    <row r="92" spans="1:9" ht="13.15">
      <c r="A92" s="14"/>
      <c r="B92" s="14"/>
      <c r="C92" s="14"/>
      <c r="D92" s="14"/>
      <c r="E92" s="14"/>
      <c r="F92" s="15"/>
      <c r="G92" s="14"/>
      <c r="H92" s="14"/>
      <c r="I92" s="15"/>
    </row>
    <row r="93" spans="1:9" ht="13.15">
      <c r="A93" s="14"/>
      <c r="B93" s="14"/>
      <c r="C93" s="14"/>
      <c r="D93" s="14"/>
      <c r="E93" s="14"/>
      <c r="F93" s="15"/>
      <c r="G93" s="14"/>
      <c r="H93" s="14"/>
      <c r="I93" s="15"/>
    </row>
    <row r="94" spans="1:9" ht="13.15">
      <c r="A94" s="14"/>
      <c r="B94" s="14"/>
      <c r="C94" s="14"/>
      <c r="D94" s="14"/>
      <c r="E94" s="14"/>
      <c r="F94" s="15"/>
      <c r="G94" s="14"/>
      <c r="H94" s="14"/>
      <c r="I94" s="15"/>
    </row>
    <row r="95" spans="1:9" ht="13.15">
      <c r="A95" s="14"/>
      <c r="B95" s="14"/>
      <c r="C95" s="14"/>
      <c r="D95" s="14"/>
      <c r="E95" s="14"/>
      <c r="F95" s="15"/>
      <c r="G95" s="14"/>
      <c r="H95" s="14"/>
      <c r="I95" s="15"/>
    </row>
    <row r="96" spans="1:9" ht="13.15">
      <c r="A96" s="14"/>
      <c r="B96" s="14"/>
      <c r="C96" s="14"/>
      <c r="D96" s="14"/>
      <c r="E96" s="14"/>
      <c r="F96" s="15"/>
      <c r="G96" s="14"/>
      <c r="H96" s="14"/>
      <c r="I96" s="15"/>
    </row>
    <row r="97" spans="1:9" ht="13.15">
      <c r="A97" s="14"/>
      <c r="B97" s="14"/>
      <c r="C97" s="14"/>
      <c r="D97" s="14"/>
      <c r="E97" s="14"/>
      <c r="F97" s="15"/>
      <c r="G97" s="14"/>
      <c r="H97" s="14"/>
      <c r="I97" s="15"/>
    </row>
    <row r="98" spans="1:9" ht="13.15">
      <c r="A98" s="14"/>
      <c r="B98" s="14"/>
      <c r="C98" s="14"/>
      <c r="D98" s="14"/>
      <c r="E98" s="14"/>
      <c r="F98" s="15"/>
      <c r="G98" s="14"/>
      <c r="H98" s="14"/>
      <c r="I98" s="15"/>
    </row>
    <row r="99" spans="1:9" ht="13.15">
      <c r="A99" s="14"/>
      <c r="B99" s="14"/>
      <c r="C99" s="14"/>
      <c r="D99" s="14"/>
      <c r="E99" s="14"/>
      <c r="F99" s="15"/>
      <c r="G99" s="14"/>
      <c r="H99" s="14"/>
      <c r="I99" s="15"/>
    </row>
    <row r="100" spans="1:9" ht="13.15">
      <c r="A100" s="14"/>
      <c r="B100" s="14"/>
      <c r="C100" s="14"/>
      <c r="D100" s="14"/>
      <c r="E100" s="14"/>
      <c r="F100" s="15"/>
      <c r="G100" s="14"/>
      <c r="H100" s="14"/>
      <c r="I100" s="15"/>
    </row>
    <row r="101" spans="1:9" ht="13.15">
      <c r="A101" s="14"/>
      <c r="B101" s="14"/>
      <c r="C101" s="14"/>
      <c r="D101" s="14"/>
      <c r="E101" s="14"/>
      <c r="F101" s="15"/>
      <c r="G101" s="14"/>
      <c r="H101" s="14"/>
      <c r="I101" s="15"/>
    </row>
    <row r="102" spans="1:9" ht="13.15">
      <c r="A102" s="14"/>
      <c r="B102" s="14"/>
      <c r="C102" s="14"/>
      <c r="D102" s="14"/>
      <c r="E102" s="14"/>
      <c r="F102" s="15"/>
      <c r="G102" s="14"/>
      <c r="H102" s="14"/>
      <c r="I102" s="15"/>
    </row>
    <row r="103" spans="1:9" ht="13.15">
      <c r="A103" s="14"/>
      <c r="B103" s="14"/>
      <c r="C103" s="14"/>
      <c r="D103" s="14"/>
      <c r="E103" s="14"/>
      <c r="F103" s="15"/>
      <c r="G103" s="14"/>
      <c r="H103" s="14"/>
      <c r="I103" s="15"/>
    </row>
    <row r="104" spans="1:9" ht="13.15">
      <c r="A104" s="14"/>
      <c r="B104" s="14"/>
      <c r="C104" s="14"/>
      <c r="D104" s="14"/>
      <c r="E104" s="14"/>
      <c r="F104" s="15"/>
      <c r="G104" s="14"/>
      <c r="H104" s="14"/>
      <c r="I104" s="15"/>
    </row>
    <row r="105" spans="1:9" ht="13.15">
      <c r="A105" s="14"/>
      <c r="B105" s="14"/>
      <c r="C105" s="14"/>
      <c r="D105" s="14"/>
      <c r="E105" s="14"/>
      <c r="F105" s="15"/>
      <c r="G105" s="14"/>
      <c r="H105" s="14"/>
      <c r="I105" s="15"/>
    </row>
    <row r="106" spans="1:9" ht="13.15">
      <c r="A106" s="14"/>
      <c r="B106" s="14"/>
      <c r="C106" s="14"/>
      <c r="D106" s="14"/>
      <c r="E106" s="14"/>
      <c r="F106" s="15"/>
      <c r="G106" s="14"/>
      <c r="H106" s="14"/>
      <c r="I106" s="15"/>
    </row>
    <row r="107" spans="1:9" ht="13.15">
      <c r="A107" s="14"/>
      <c r="B107" s="14"/>
      <c r="C107" s="14"/>
      <c r="D107" s="14"/>
      <c r="E107" s="14"/>
      <c r="F107" s="15"/>
      <c r="G107" s="14"/>
      <c r="H107" s="14"/>
      <c r="I107" s="15"/>
    </row>
    <row r="108" spans="1:9" ht="13.15">
      <c r="A108" s="14"/>
      <c r="B108" s="14"/>
      <c r="C108" s="14"/>
      <c r="D108" s="14"/>
      <c r="E108" s="14"/>
      <c r="F108" s="15"/>
      <c r="G108" s="14"/>
      <c r="H108" s="14"/>
      <c r="I108" s="15"/>
    </row>
    <row r="109" spans="1:9" ht="13.15">
      <c r="A109" s="14"/>
      <c r="B109" s="14"/>
      <c r="C109" s="14"/>
      <c r="D109" s="14"/>
      <c r="E109" s="14"/>
      <c r="F109" s="15"/>
      <c r="G109" s="14"/>
      <c r="H109" s="14"/>
      <c r="I109" s="15"/>
    </row>
    <row r="110" spans="1:9" ht="13.15">
      <c r="A110" s="14"/>
      <c r="B110" s="14"/>
      <c r="C110" s="14"/>
      <c r="D110" s="14"/>
      <c r="E110" s="14"/>
      <c r="F110" s="15"/>
      <c r="G110" s="14"/>
      <c r="H110" s="14"/>
      <c r="I110" s="15"/>
    </row>
    <row r="111" spans="1:9" ht="13.15">
      <c r="A111" s="14"/>
      <c r="B111" s="14"/>
      <c r="C111" s="14"/>
      <c r="D111" s="14"/>
      <c r="E111" s="14"/>
      <c r="F111" s="15"/>
      <c r="G111" s="14"/>
      <c r="H111" s="14"/>
      <c r="I111" s="15"/>
    </row>
    <row r="112" spans="1:9" ht="13.15">
      <c r="A112" s="14"/>
      <c r="B112" s="14"/>
      <c r="C112" s="14"/>
      <c r="D112" s="14"/>
      <c r="E112" s="14"/>
      <c r="F112" s="15"/>
      <c r="G112" s="14"/>
      <c r="H112" s="14"/>
      <c r="I112" s="15"/>
    </row>
    <row r="113" spans="1:9" ht="13.15">
      <c r="A113" s="14"/>
      <c r="B113" s="14"/>
      <c r="C113" s="14"/>
      <c r="D113" s="14"/>
      <c r="E113" s="14"/>
      <c r="F113" s="15"/>
      <c r="G113" s="14"/>
      <c r="H113" s="14"/>
      <c r="I113" s="15"/>
    </row>
    <row r="114" spans="1:9" ht="13.15">
      <c r="A114" s="14"/>
      <c r="B114" s="14"/>
      <c r="C114" s="14"/>
      <c r="D114" s="14"/>
      <c r="E114" s="14"/>
      <c r="F114" s="15"/>
      <c r="G114" s="14"/>
      <c r="H114" s="14"/>
      <c r="I114" s="15"/>
    </row>
    <row r="115" spans="1:9" ht="13.15">
      <c r="A115" s="14"/>
      <c r="B115" s="14"/>
      <c r="C115" s="14"/>
      <c r="D115" s="14"/>
      <c r="E115" s="14"/>
      <c r="F115" s="15"/>
      <c r="G115" s="14"/>
      <c r="H115" s="14"/>
      <c r="I115" s="15"/>
    </row>
    <row r="116" spans="1:9" ht="13.15">
      <c r="A116" s="14"/>
      <c r="B116" s="14"/>
      <c r="C116" s="14"/>
      <c r="D116" s="14"/>
      <c r="E116" s="14"/>
      <c r="F116" s="15"/>
      <c r="G116" s="14"/>
      <c r="H116" s="14"/>
      <c r="I116" s="15"/>
    </row>
    <row r="117" spans="1:9" ht="13.15">
      <c r="A117" s="14"/>
      <c r="B117" s="14"/>
      <c r="C117" s="14"/>
      <c r="D117" s="14"/>
      <c r="E117" s="14"/>
      <c r="F117" s="15"/>
      <c r="G117" s="14"/>
      <c r="H117" s="14"/>
      <c r="I117" s="15"/>
    </row>
    <row r="118" spans="1:9" ht="13.15">
      <c r="A118" s="14"/>
      <c r="B118" s="14"/>
      <c r="C118" s="14"/>
      <c r="D118" s="14"/>
      <c r="E118" s="14"/>
      <c r="F118" s="15"/>
      <c r="G118" s="14"/>
      <c r="H118" s="14"/>
      <c r="I118" s="15"/>
    </row>
    <row r="119" spans="1:9" ht="13.15">
      <c r="A119" s="14"/>
      <c r="B119" s="14"/>
      <c r="C119" s="14"/>
      <c r="D119" s="14"/>
      <c r="E119" s="14"/>
      <c r="F119" s="15"/>
      <c r="G119" s="14"/>
      <c r="H119" s="14"/>
      <c r="I119" s="15"/>
    </row>
    <row r="120" spans="1:9" ht="13.15">
      <c r="A120" s="14"/>
      <c r="B120" s="14"/>
      <c r="C120" s="14"/>
      <c r="D120" s="14"/>
      <c r="E120" s="14"/>
      <c r="F120" s="15"/>
      <c r="G120" s="14"/>
      <c r="H120" s="14"/>
      <c r="I120" s="15"/>
    </row>
    <row r="121" spans="1:9" ht="13.15">
      <c r="A121" s="14"/>
      <c r="B121" s="14"/>
      <c r="C121" s="14"/>
      <c r="D121" s="14"/>
      <c r="E121" s="14"/>
      <c r="F121" s="15"/>
      <c r="G121" s="14"/>
      <c r="H121" s="14"/>
      <c r="I121" s="15"/>
    </row>
    <row r="122" spans="1:9" ht="13.15">
      <c r="A122" s="14"/>
      <c r="B122" s="14"/>
      <c r="C122" s="14"/>
      <c r="D122" s="14"/>
      <c r="E122" s="14"/>
      <c r="F122" s="15"/>
      <c r="G122" s="14"/>
      <c r="H122" s="14"/>
      <c r="I122" s="15"/>
    </row>
    <row r="123" spans="1:9" ht="13.15">
      <c r="A123" s="14"/>
      <c r="B123" s="14"/>
      <c r="C123" s="14"/>
      <c r="D123" s="14"/>
      <c r="E123" s="14"/>
      <c r="F123" s="15"/>
      <c r="G123" s="14"/>
      <c r="H123" s="14"/>
      <c r="I123" s="15"/>
    </row>
    <row r="124" spans="1:9" ht="13.15">
      <c r="A124" s="14"/>
      <c r="B124" s="14"/>
      <c r="C124" s="14"/>
      <c r="D124" s="14"/>
      <c r="E124" s="14"/>
      <c r="F124" s="15"/>
      <c r="G124" s="14"/>
      <c r="H124" s="14"/>
      <c r="I124" s="15"/>
    </row>
    <row r="125" spans="1:9" ht="13.15">
      <c r="A125" s="14"/>
      <c r="B125" s="14"/>
      <c r="C125" s="14"/>
      <c r="D125" s="14"/>
      <c r="E125" s="14"/>
      <c r="F125" s="15"/>
      <c r="G125" s="14"/>
      <c r="H125" s="14"/>
      <c r="I125" s="15"/>
    </row>
    <row r="126" spans="1:9" ht="13.15">
      <c r="A126" s="14"/>
      <c r="B126" s="14"/>
      <c r="C126" s="14"/>
      <c r="D126" s="14"/>
      <c r="E126" s="14"/>
      <c r="F126" s="15"/>
      <c r="G126" s="14"/>
      <c r="H126" s="14"/>
      <c r="I126" s="15"/>
    </row>
    <row r="127" spans="1:9" ht="13.15">
      <c r="A127" s="14"/>
      <c r="B127" s="14"/>
      <c r="C127" s="14"/>
      <c r="D127" s="14"/>
      <c r="E127" s="14"/>
      <c r="F127" s="15"/>
      <c r="G127" s="14"/>
      <c r="H127" s="14"/>
      <c r="I127" s="15"/>
    </row>
    <row r="128" spans="1:9" ht="13.15">
      <c r="A128" s="14"/>
      <c r="B128" s="14"/>
      <c r="C128" s="14"/>
      <c r="D128" s="14"/>
      <c r="E128" s="14"/>
      <c r="F128" s="15"/>
      <c r="G128" s="14"/>
      <c r="H128" s="14"/>
      <c r="I128" s="15"/>
    </row>
    <row r="129" spans="1:9" ht="13.15">
      <c r="A129" s="14"/>
      <c r="B129" s="14"/>
      <c r="C129" s="14"/>
      <c r="D129" s="14"/>
      <c r="E129" s="14"/>
      <c r="F129" s="15"/>
      <c r="G129" s="14"/>
      <c r="H129" s="14"/>
      <c r="I129" s="15"/>
    </row>
    <row r="130" spans="1:9" ht="13.15">
      <c r="A130" s="14"/>
      <c r="B130" s="14"/>
      <c r="C130" s="14"/>
      <c r="D130" s="14"/>
      <c r="E130" s="14"/>
      <c r="F130" s="15"/>
      <c r="G130" s="14"/>
      <c r="H130" s="14"/>
      <c r="I130" s="15"/>
    </row>
    <row r="131" spans="1:9" ht="13.15">
      <c r="A131" s="14"/>
      <c r="B131" s="14"/>
      <c r="C131" s="14"/>
      <c r="D131" s="14"/>
      <c r="E131" s="14"/>
      <c r="F131" s="15"/>
      <c r="G131" s="14"/>
      <c r="H131" s="14"/>
      <c r="I131" s="15"/>
    </row>
    <row r="132" spans="1:9" ht="13.15">
      <c r="A132" s="14"/>
      <c r="B132" s="14"/>
      <c r="C132" s="14"/>
      <c r="D132" s="14"/>
      <c r="E132" s="14"/>
      <c r="F132" s="15"/>
      <c r="G132" s="14"/>
      <c r="H132" s="14"/>
      <c r="I132" s="15"/>
    </row>
    <row r="133" spans="1:9" ht="13.15">
      <c r="A133" s="14"/>
      <c r="B133" s="14"/>
      <c r="C133" s="14"/>
      <c r="D133" s="14"/>
      <c r="E133" s="14"/>
      <c r="F133" s="15"/>
      <c r="G133" s="14"/>
      <c r="H133" s="14"/>
      <c r="I133" s="15"/>
    </row>
    <row r="134" spans="1:9" ht="13.15">
      <c r="A134" s="14"/>
      <c r="B134" s="14"/>
      <c r="C134" s="14"/>
      <c r="D134" s="14"/>
      <c r="E134" s="14"/>
      <c r="F134" s="15"/>
      <c r="G134" s="14"/>
      <c r="H134" s="14"/>
      <c r="I134" s="15"/>
    </row>
    <row r="135" spans="1:9" ht="13.15">
      <c r="A135" s="14"/>
      <c r="B135" s="14"/>
      <c r="C135" s="14"/>
      <c r="D135" s="14"/>
      <c r="E135" s="14"/>
      <c r="F135" s="15"/>
      <c r="G135" s="14"/>
      <c r="H135" s="14"/>
      <c r="I135" s="15"/>
    </row>
    <row r="136" spans="1:9" ht="13.15">
      <c r="A136" s="14"/>
      <c r="B136" s="14"/>
      <c r="C136" s="14"/>
      <c r="D136" s="14"/>
      <c r="E136" s="14"/>
      <c r="F136" s="15"/>
      <c r="G136" s="14"/>
      <c r="H136" s="14"/>
      <c r="I136" s="15"/>
    </row>
    <row r="137" spans="1:9" ht="13.15">
      <c r="A137" s="14"/>
      <c r="B137" s="14"/>
      <c r="C137" s="14"/>
      <c r="D137" s="14"/>
      <c r="E137" s="14"/>
      <c r="F137" s="15"/>
      <c r="G137" s="14"/>
      <c r="H137" s="14"/>
      <c r="I137" s="15"/>
    </row>
    <row r="138" spans="1:9" ht="13.15">
      <c r="A138" s="14"/>
      <c r="B138" s="14"/>
      <c r="C138" s="14"/>
      <c r="D138" s="14"/>
      <c r="E138" s="14"/>
      <c r="F138" s="15"/>
      <c r="G138" s="14"/>
      <c r="H138" s="14"/>
      <c r="I138" s="15"/>
    </row>
    <row r="139" spans="1:9" ht="13.15">
      <c r="A139" s="14"/>
      <c r="B139" s="14"/>
      <c r="C139" s="14"/>
      <c r="D139" s="14"/>
      <c r="E139" s="14"/>
      <c r="F139" s="15"/>
      <c r="G139" s="14"/>
      <c r="H139" s="14"/>
      <c r="I139" s="15"/>
    </row>
    <row r="140" spans="1:9" ht="13.15">
      <c r="A140" s="14"/>
      <c r="B140" s="14"/>
      <c r="C140" s="14"/>
      <c r="D140" s="14"/>
      <c r="E140" s="14"/>
      <c r="F140" s="15"/>
      <c r="G140" s="14"/>
      <c r="H140" s="14"/>
      <c r="I140" s="15"/>
    </row>
    <row r="141" spans="1:9" ht="13.15">
      <c r="A141" s="14"/>
      <c r="B141" s="14"/>
      <c r="C141" s="14"/>
      <c r="D141" s="14"/>
      <c r="E141" s="14"/>
      <c r="F141" s="15"/>
      <c r="G141" s="14"/>
      <c r="H141" s="14"/>
      <c r="I141" s="15"/>
    </row>
    <row r="142" spans="1:9" ht="13.15">
      <c r="A142" s="14"/>
      <c r="B142" s="14"/>
      <c r="C142" s="14"/>
      <c r="D142" s="14"/>
      <c r="E142" s="14"/>
      <c r="F142" s="15"/>
      <c r="G142" s="14"/>
      <c r="H142" s="14"/>
      <c r="I142" s="15"/>
    </row>
    <row r="143" spans="1:9" ht="13.15">
      <c r="A143" s="14"/>
      <c r="B143" s="14"/>
      <c r="C143" s="14"/>
      <c r="D143" s="14"/>
      <c r="E143" s="14"/>
      <c r="F143" s="15"/>
      <c r="G143" s="14"/>
      <c r="H143" s="14"/>
      <c r="I143" s="15"/>
    </row>
    <row r="144" spans="1:9" ht="13.15">
      <c r="A144" s="14"/>
      <c r="B144" s="14"/>
      <c r="C144" s="14"/>
      <c r="D144" s="14"/>
      <c r="E144" s="14"/>
      <c r="F144" s="15"/>
      <c r="G144" s="14"/>
      <c r="H144" s="14"/>
      <c r="I144" s="15"/>
    </row>
    <row r="145" spans="1:9" ht="13.15">
      <c r="A145" s="14"/>
      <c r="B145" s="14"/>
      <c r="C145" s="14"/>
      <c r="D145" s="14"/>
      <c r="E145" s="14"/>
      <c r="F145" s="15"/>
      <c r="G145" s="14"/>
      <c r="H145" s="14"/>
      <c r="I145" s="15"/>
    </row>
    <row r="146" spans="1:9" ht="13.15">
      <c r="A146" s="14"/>
      <c r="B146" s="14"/>
      <c r="C146" s="14"/>
      <c r="D146" s="14"/>
      <c r="E146" s="14"/>
      <c r="F146" s="15"/>
      <c r="G146" s="14"/>
      <c r="H146" s="14"/>
      <c r="I146" s="15"/>
    </row>
    <row r="147" spans="1:9" ht="13.15">
      <c r="A147" s="14"/>
      <c r="B147" s="14"/>
      <c r="C147" s="14"/>
      <c r="D147" s="14"/>
      <c r="E147" s="14"/>
      <c r="F147" s="15"/>
      <c r="G147" s="14"/>
      <c r="H147" s="14"/>
      <c r="I147" s="15"/>
    </row>
    <row r="148" spans="1:9" ht="13.15">
      <c r="A148" s="14"/>
      <c r="B148" s="14"/>
      <c r="C148" s="14"/>
      <c r="D148" s="14"/>
      <c r="E148" s="14"/>
      <c r="F148" s="15"/>
      <c r="G148" s="14"/>
      <c r="H148" s="14"/>
      <c r="I148" s="15"/>
    </row>
    <row r="149" spans="1:9" ht="13.15">
      <c r="A149" s="14"/>
      <c r="B149" s="14"/>
      <c r="C149" s="14"/>
      <c r="D149" s="14"/>
      <c r="E149" s="14"/>
      <c r="F149" s="15"/>
      <c r="G149" s="14"/>
      <c r="H149" s="14"/>
      <c r="I149" s="15"/>
    </row>
    <row r="150" spans="1:9" ht="13.15">
      <c r="A150" s="14"/>
      <c r="B150" s="14"/>
      <c r="C150" s="14"/>
      <c r="D150" s="14"/>
      <c r="E150" s="14"/>
      <c r="F150" s="15"/>
      <c r="G150" s="14"/>
      <c r="H150" s="14"/>
      <c r="I150" s="15"/>
    </row>
    <row r="151" spans="1:9" ht="13.15">
      <c r="A151" s="14"/>
      <c r="B151" s="14"/>
      <c r="C151" s="14"/>
      <c r="D151" s="14"/>
      <c r="E151" s="14"/>
      <c r="F151" s="15"/>
      <c r="G151" s="14"/>
      <c r="H151" s="14"/>
      <c r="I151" s="15"/>
    </row>
    <row r="152" spans="1:9" ht="13.15">
      <c r="A152" s="14"/>
      <c r="B152" s="14"/>
      <c r="C152" s="14"/>
      <c r="D152" s="14"/>
      <c r="E152" s="14"/>
      <c r="F152" s="15"/>
      <c r="G152" s="14"/>
      <c r="H152" s="14"/>
      <c r="I152" s="15"/>
    </row>
    <row r="153" spans="1:9" ht="13.15">
      <c r="A153" s="14"/>
      <c r="B153" s="14"/>
      <c r="C153" s="14"/>
      <c r="D153" s="14"/>
      <c r="E153" s="14"/>
      <c r="F153" s="15"/>
      <c r="G153" s="14"/>
      <c r="H153" s="14"/>
      <c r="I153" s="15"/>
    </row>
    <row r="154" spans="1:9" ht="13.15">
      <c r="A154" s="14"/>
      <c r="B154" s="14"/>
      <c r="C154" s="14"/>
      <c r="D154" s="14"/>
      <c r="E154" s="14"/>
      <c r="F154" s="15"/>
      <c r="G154" s="14"/>
      <c r="H154" s="14"/>
      <c r="I154" s="15"/>
    </row>
    <row r="155" spans="1:9" ht="13.15">
      <c r="A155" s="14"/>
      <c r="B155" s="14"/>
      <c r="C155" s="14"/>
      <c r="D155" s="14"/>
      <c r="E155" s="14"/>
      <c r="F155" s="15"/>
      <c r="G155" s="14"/>
      <c r="H155" s="14"/>
      <c r="I155" s="15"/>
    </row>
    <row r="156" spans="1:9" ht="13.15">
      <c r="A156" s="14"/>
      <c r="B156" s="14"/>
      <c r="C156" s="14"/>
      <c r="D156" s="14"/>
      <c r="E156" s="14"/>
      <c r="F156" s="15"/>
      <c r="G156" s="14"/>
      <c r="H156" s="14"/>
      <c r="I156" s="15"/>
    </row>
    <row r="157" spans="1:9" ht="13.15">
      <c r="A157" s="14"/>
      <c r="B157" s="14"/>
      <c r="C157" s="14"/>
      <c r="D157" s="14"/>
      <c r="E157" s="14"/>
      <c r="F157" s="15"/>
      <c r="G157" s="14"/>
      <c r="H157" s="14"/>
      <c r="I157" s="15"/>
    </row>
    <row r="158" spans="1:9" ht="13.15">
      <c r="A158" s="14"/>
      <c r="B158" s="14"/>
      <c r="C158" s="14"/>
      <c r="D158" s="14"/>
      <c r="E158" s="14"/>
      <c r="F158" s="15"/>
      <c r="G158" s="14"/>
      <c r="H158" s="14"/>
      <c r="I158" s="15"/>
    </row>
    <row r="159" spans="1:9" ht="13.15">
      <c r="A159" s="14"/>
      <c r="B159" s="14"/>
      <c r="C159" s="14"/>
      <c r="D159" s="14"/>
      <c r="E159" s="14"/>
      <c r="F159" s="15"/>
      <c r="G159" s="14"/>
      <c r="H159" s="14"/>
      <c r="I159" s="15"/>
    </row>
    <row r="160" spans="1:9" ht="13.15">
      <c r="A160" s="14"/>
      <c r="B160" s="14"/>
      <c r="C160" s="14"/>
      <c r="D160" s="14"/>
      <c r="E160" s="14"/>
      <c r="F160" s="15"/>
      <c r="G160" s="14"/>
      <c r="H160" s="14"/>
      <c r="I160" s="15"/>
    </row>
    <row r="161" spans="1:9" ht="13.15">
      <c r="A161" s="14"/>
      <c r="B161" s="14"/>
      <c r="C161" s="14"/>
      <c r="D161" s="14"/>
      <c r="E161" s="14"/>
      <c r="F161" s="15"/>
      <c r="G161" s="14"/>
      <c r="H161" s="14"/>
      <c r="I161" s="15"/>
    </row>
    <row r="162" spans="1:9" ht="13.15">
      <c r="A162" s="14"/>
      <c r="B162" s="14"/>
      <c r="C162" s="14"/>
      <c r="D162" s="14"/>
      <c r="E162" s="14"/>
      <c r="F162" s="15"/>
      <c r="G162" s="14"/>
      <c r="H162" s="14"/>
      <c r="I162" s="15"/>
    </row>
    <row r="163" spans="1:9" ht="13.15">
      <c r="A163" s="14"/>
      <c r="B163" s="14"/>
      <c r="C163" s="14"/>
      <c r="D163" s="14"/>
      <c r="E163" s="14"/>
      <c r="F163" s="15"/>
      <c r="G163" s="14"/>
      <c r="H163" s="14"/>
      <c r="I163" s="15"/>
    </row>
    <row r="164" spans="1:9" ht="13.15">
      <c r="A164" s="14"/>
      <c r="B164" s="14"/>
      <c r="C164" s="14"/>
      <c r="D164" s="14"/>
      <c r="E164" s="14"/>
      <c r="F164" s="15"/>
      <c r="G164" s="14"/>
      <c r="H164" s="14"/>
      <c r="I164" s="15"/>
    </row>
    <row r="165" spans="1:9" ht="13.15">
      <c r="A165" s="14"/>
      <c r="B165" s="14"/>
      <c r="C165" s="14"/>
      <c r="D165" s="14"/>
      <c r="E165" s="14"/>
      <c r="F165" s="15"/>
      <c r="G165" s="14"/>
      <c r="H165" s="14"/>
      <c r="I165" s="15"/>
    </row>
    <row r="166" spans="1:9" ht="13.15">
      <c r="A166" s="14"/>
      <c r="B166" s="14"/>
      <c r="C166" s="14"/>
      <c r="D166" s="14"/>
      <c r="E166" s="14"/>
      <c r="F166" s="15"/>
      <c r="G166" s="14"/>
      <c r="H166" s="14"/>
      <c r="I166" s="15"/>
    </row>
    <row r="167" spans="1:9" ht="13.15">
      <c r="A167" s="14"/>
      <c r="B167" s="14"/>
      <c r="C167" s="14"/>
      <c r="D167" s="14"/>
      <c r="E167" s="14"/>
      <c r="F167" s="15"/>
      <c r="G167" s="14"/>
      <c r="H167" s="14"/>
      <c r="I167" s="15"/>
    </row>
    <row r="168" spans="1:9" ht="13.15">
      <c r="A168" s="14"/>
      <c r="B168" s="14"/>
      <c r="C168" s="14"/>
      <c r="D168" s="14"/>
      <c r="E168" s="14"/>
      <c r="F168" s="15"/>
      <c r="G168" s="14"/>
      <c r="H168" s="14"/>
      <c r="I168" s="15"/>
    </row>
    <row r="169" spans="1:9" ht="13.15">
      <c r="A169" s="14"/>
      <c r="B169" s="14"/>
      <c r="C169" s="14"/>
      <c r="D169" s="14"/>
      <c r="E169" s="14"/>
      <c r="F169" s="15"/>
      <c r="G169" s="14"/>
      <c r="H169" s="14"/>
      <c r="I169" s="15"/>
    </row>
    <row r="170" spans="1:9" ht="13.15">
      <c r="A170" s="14"/>
      <c r="B170" s="14"/>
      <c r="C170" s="14"/>
      <c r="D170" s="14"/>
      <c r="E170" s="14"/>
      <c r="F170" s="15"/>
      <c r="G170" s="14"/>
      <c r="H170" s="14"/>
      <c r="I170" s="15"/>
    </row>
    <row r="171" spans="1:9" ht="13.15">
      <c r="A171" s="14"/>
      <c r="B171" s="14"/>
      <c r="C171" s="14"/>
      <c r="D171" s="14"/>
      <c r="E171" s="14"/>
      <c r="F171" s="15"/>
      <c r="G171" s="14"/>
      <c r="H171" s="14"/>
      <c r="I171" s="15"/>
    </row>
    <row r="172" spans="1:9" ht="13.15">
      <c r="A172" s="14"/>
      <c r="B172" s="14"/>
      <c r="C172" s="14"/>
      <c r="D172" s="14"/>
      <c r="E172" s="14"/>
      <c r="F172" s="15"/>
      <c r="G172" s="14"/>
      <c r="H172" s="14"/>
      <c r="I172" s="15"/>
    </row>
    <row r="173" spans="1:9" ht="13.15">
      <c r="A173" s="14"/>
      <c r="B173" s="14"/>
      <c r="C173" s="14"/>
      <c r="D173" s="14"/>
      <c r="E173" s="14"/>
      <c r="F173" s="15"/>
      <c r="G173" s="14"/>
      <c r="H173" s="14"/>
      <c r="I173" s="15"/>
    </row>
    <row r="174" spans="1:9" ht="13.15">
      <c r="A174" s="14"/>
      <c r="B174" s="14"/>
      <c r="C174" s="14"/>
      <c r="D174" s="14"/>
      <c r="E174" s="14"/>
      <c r="F174" s="15"/>
      <c r="G174" s="14"/>
      <c r="H174" s="14"/>
      <c r="I174" s="15"/>
    </row>
    <row r="175" spans="1:9" ht="13.15">
      <c r="A175" s="14"/>
      <c r="B175" s="14"/>
      <c r="C175" s="14"/>
      <c r="D175" s="14"/>
      <c r="E175" s="14"/>
      <c r="F175" s="15"/>
      <c r="G175" s="14"/>
      <c r="H175" s="14"/>
      <c r="I175" s="15"/>
    </row>
    <row r="176" spans="1:9" ht="13.15">
      <c r="A176" s="14"/>
      <c r="B176" s="14"/>
      <c r="C176" s="14"/>
      <c r="D176" s="14"/>
      <c r="E176" s="14"/>
      <c r="F176" s="15"/>
      <c r="G176" s="14"/>
      <c r="H176" s="14"/>
      <c r="I176" s="15"/>
    </row>
    <row r="177" spans="1:9" ht="13.15">
      <c r="A177" s="14"/>
      <c r="B177" s="14"/>
      <c r="C177" s="14"/>
      <c r="D177" s="14"/>
      <c r="E177" s="14"/>
      <c r="F177" s="15"/>
      <c r="G177" s="14"/>
      <c r="H177" s="14"/>
      <c r="I177" s="15"/>
    </row>
    <row r="178" spans="1:9" ht="13.15">
      <c r="A178" s="14"/>
      <c r="B178" s="14"/>
      <c r="C178" s="14"/>
      <c r="D178" s="14"/>
      <c r="E178" s="14"/>
      <c r="F178" s="15"/>
      <c r="G178" s="14"/>
      <c r="H178" s="14"/>
      <c r="I178" s="15"/>
    </row>
    <row r="179" spans="1:9" ht="13.15">
      <c r="A179" s="14"/>
      <c r="B179" s="14"/>
      <c r="C179" s="14"/>
      <c r="D179" s="14"/>
      <c r="E179" s="14"/>
      <c r="F179" s="15"/>
      <c r="G179" s="14"/>
      <c r="H179" s="14"/>
      <c r="I179" s="15"/>
    </row>
    <row r="180" spans="1:9" ht="13.15">
      <c r="A180" s="14"/>
      <c r="B180" s="14"/>
      <c r="C180" s="14"/>
      <c r="D180" s="14"/>
      <c r="E180" s="14"/>
      <c r="F180" s="15"/>
      <c r="G180" s="14"/>
      <c r="H180" s="14"/>
      <c r="I180" s="15"/>
    </row>
    <row r="181" spans="1:9" ht="13.15">
      <c r="A181" s="14"/>
      <c r="B181" s="14"/>
      <c r="C181" s="14"/>
      <c r="D181" s="14"/>
      <c r="E181" s="14"/>
      <c r="F181" s="15"/>
      <c r="G181" s="14"/>
      <c r="H181" s="14"/>
      <c r="I181" s="15"/>
    </row>
    <row r="182" spans="1:9" ht="13.15">
      <c r="A182" s="14"/>
      <c r="B182" s="14"/>
      <c r="C182" s="14"/>
      <c r="D182" s="14"/>
      <c r="E182" s="14"/>
      <c r="F182" s="15"/>
      <c r="G182" s="14"/>
      <c r="H182" s="14"/>
      <c r="I182" s="15"/>
    </row>
    <row r="183" spans="1:9" ht="13.15">
      <c r="A183" s="14"/>
      <c r="B183" s="14"/>
      <c r="C183" s="14"/>
      <c r="D183" s="14"/>
      <c r="E183" s="14"/>
      <c r="F183" s="15"/>
      <c r="G183" s="14"/>
      <c r="H183" s="14"/>
      <c r="I183" s="15"/>
    </row>
    <row r="184" spans="1:9" ht="13.15">
      <c r="A184" s="14"/>
      <c r="B184" s="14"/>
      <c r="C184" s="14"/>
      <c r="D184" s="14"/>
      <c r="E184" s="14"/>
      <c r="F184" s="15"/>
      <c r="G184" s="14"/>
      <c r="H184" s="14"/>
      <c r="I184" s="15"/>
    </row>
    <row r="185" spans="1:9" ht="13.15">
      <c r="A185" s="14"/>
      <c r="B185" s="14"/>
      <c r="C185" s="14"/>
      <c r="D185" s="14"/>
      <c r="E185" s="14"/>
      <c r="F185" s="15"/>
      <c r="G185" s="14"/>
      <c r="H185" s="14"/>
      <c r="I185" s="15"/>
    </row>
    <row r="186" spans="1:9" ht="13.15">
      <c r="A186" s="14"/>
      <c r="B186" s="14"/>
      <c r="C186" s="14"/>
      <c r="D186" s="14"/>
      <c r="E186" s="14"/>
      <c r="F186" s="15"/>
      <c r="G186" s="14"/>
      <c r="H186" s="14"/>
      <c r="I186" s="15"/>
    </row>
    <row r="187" spans="1:9" ht="13.15">
      <c r="A187" s="14"/>
      <c r="B187" s="14"/>
      <c r="C187" s="14"/>
      <c r="D187" s="14"/>
      <c r="E187" s="14"/>
      <c r="F187" s="15"/>
      <c r="G187" s="14"/>
      <c r="H187" s="14"/>
      <c r="I187" s="15"/>
    </row>
    <row r="188" spans="1:9" ht="13.15">
      <c r="A188" s="14"/>
      <c r="B188" s="14"/>
      <c r="C188" s="14"/>
      <c r="D188" s="14"/>
      <c r="E188" s="14"/>
      <c r="F188" s="15"/>
      <c r="G188" s="14"/>
      <c r="H188" s="14"/>
      <c r="I188" s="15"/>
    </row>
    <row r="189" spans="1:9" ht="13.15">
      <c r="A189" s="14"/>
      <c r="B189" s="14"/>
      <c r="C189" s="14"/>
      <c r="D189" s="14"/>
      <c r="E189" s="14"/>
      <c r="F189" s="15"/>
      <c r="G189" s="14"/>
      <c r="H189" s="14"/>
      <c r="I189" s="15"/>
    </row>
    <row r="190" spans="1:9" ht="13.15">
      <c r="A190" s="14"/>
      <c r="B190" s="14"/>
      <c r="C190" s="14"/>
      <c r="D190" s="14"/>
      <c r="E190" s="14"/>
      <c r="F190" s="15"/>
      <c r="G190" s="14"/>
      <c r="H190" s="14"/>
      <c r="I190" s="15"/>
    </row>
    <row r="191" spans="1:9" ht="13.15">
      <c r="A191" s="14"/>
      <c r="B191" s="14"/>
      <c r="C191" s="14"/>
      <c r="D191" s="14"/>
      <c r="E191" s="14"/>
      <c r="F191" s="15"/>
      <c r="G191" s="14"/>
      <c r="H191" s="14"/>
      <c r="I191" s="15"/>
    </row>
    <row r="192" spans="1:9" ht="13.15">
      <c r="A192" s="14"/>
      <c r="B192" s="14"/>
      <c r="C192" s="14"/>
      <c r="D192" s="14"/>
      <c r="E192" s="14"/>
      <c r="F192" s="15"/>
      <c r="G192" s="14"/>
      <c r="H192" s="14"/>
      <c r="I192" s="15"/>
    </row>
    <row r="193" spans="1:9" ht="13.15">
      <c r="A193" s="14"/>
      <c r="B193" s="14"/>
      <c r="C193" s="14"/>
      <c r="D193" s="14"/>
      <c r="E193" s="14"/>
      <c r="F193" s="15"/>
      <c r="G193" s="14"/>
      <c r="H193" s="14"/>
      <c r="I193" s="15"/>
    </row>
    <row r="194" spans="1:9" ht="13.15">
      <c r="A194" s="14"/>
      <c r="B194" s="14"/>
      <c r="C194" s="14"/>
      <c r="D194" s="14"/>
      <c r="E194" s="14"/>
      <c r="F194" s="15"/>
      <c r="G194" s="14"/>
      <c r="H194" s="14"/>
      <c r="I194" s="15"/>
    </row>
    <row r="195" spans="1:9" ht="13.15">
      <c r="A195" s="14"/>
      <c r="B195" s="14"/>
      <c r="C195" s="14"/>
      <c r="D195" s="14"/>
      <c r="E195" s="14"/>
      <c r="F195" s="15"/>
      <c r="G195" s="14"/>
      <c r="H195" s="14"/>
      <c r="I195" s="15"/>
    </row>
    <row r="196" spans="1:9" ht="13.15">
      <c r="A196" s="14"/>
      <c r="B196" s="14"/>
      <c r="C196" s="14"/>
      <c r="D196" s="14"/>
      <c r="E196" s="14"/>
      <c r="F196" s="15"/>
      <c r="G196" s="14"/>
      <c r="H196" s="14"/>
      <c r="I196" s="15"/>
    </row>
    <row r="197" spans="1:9" ht="13.15">
      <c r="A197" s="14"/>
      <c r="B197" s="14"/>
      <c r="C197" s="14"/>
      <c r="D197" s="14"/>
      <c r="E197" s="14"/>
      <c r="F197" s="15"/>
      <c r="G197" s="14"/>
      <c r="H197" s="14"/>
      <c r="I197" s="15"/>
    </row>
    <row r="198" spans="1:9" ht="13.15">
      <c r="A198" s="14"/>
      <c r="B198" s="14"/>
      <c r="C198" s="14"/>
      <c r="D198" s="14"/>
      <c r="E198" s="14"/>
      <c r="F198" s="15"/>
      <c r="G198" s="14"/>
      <c r="H198" s="14"/>
      <c r="I198" s="15"/>
    </row>
    <row r="199" spans="1:9" ht="13.15">
      <c r="A199" s="14"/>
      <c r="B199" s="14"/>
      <c r="C199" s="14"/>
      <c r="D199" s="14"/>
      <c r="E199" s="14"/>
      <c r="F199" s="15"/>
      <c r="G199" s="14"/>
      <c r="H199" s="14"/>
      <c r="I199" s="15"/>
    </row>
    <row r="200" spans="1:9" ht="13.15">
      <c r="A200" s="14"/>
      <c r="B200" s="14"/>
      <c r="C200" s="14"/>
      <c r="D200" s="14"/>
      <c r="E200" s="14"/>
      <c r="F200" s="15"/>
      <c r="G200" s="14"/>
      <c r="H200" s="14"/>
      <c r="I200" s="15"/>
    </row>
    <row r="201" spans="1:9" ht="13.15">
      <c r="A201" s="14"/>
      <c r="B201" s="14"/>
      <c r="C201" s="14"/>
      <c r="D201" s="14"/>
      <c r="E201" s="14"/>
      <c r="F201" s="15"/>
      <c r="G201" s="14"/>
      <c r="H201" s="14"/>
      <c r="I201" s="15"/>
    </row>
    <row r="202" spans="1:9" ht="13.15">
      <c r="A202" s="14"/>
      <c r="B202" s="14"/>
      <c r="C202" s="14"/>
      <c r="D202" s="14"/>
      <c r="E202" s="14"/>
      <c r="F202" s="15"/>
      <c r="G202" s="14"/>
      <c r="H202" s="14"/>
      <c r="I202" s="15"/>
    </row>
    <row r="203" spans="1:9" ht="13.15">
      <c r="A203" s="14"/>
      <c r="B203" s="14"/>
      <c r="C203" s="14"/>
      <c r="D203" s="14"/>
      <c r="E203" s="14"/>
      <c r="F203" s="15"/>
      <c r="G203" s="14"/>
      <c r="H203" s="14"/>
      <c r="I203" s="15"/>
    </row>
    <row r="204" spans="1:9" ht="13.15">
      <c r="A204" s="14"/>
      <c r="B204" s="14"/>
      <c r="C204" s="14"/>
      <c r="D204" s="14"/>
      <c r="E204" s="14"/>
      <c r="F204" s="15"/>
      <c r="G204" s="14"/>
      <c r="H204" s="14"/>
      <c r="I204" s="15"/>
    </row>
    <row r="205" spans="1:9" ht="13.15">
      <c r="A205" s="14"/>
      <c r="B205" s="14"/>
      <c r="C205" s="14"/>
      <c r="D205" s="14"/>
      <c r="E205" s="14"/>
      <c r="F205" s="15"/>
      <c r="G205" s="14"/>
      <c r="H205" s="14"/>
      <c r="I205" s="15"/>
    </row>
    <row r="206" spans="1:9" ht="13.15">
      <c r="A206" s="14"/>
      <c r="B206" s="14"/>
      <c r="C206" s="14"/>
      <c r="D206" s="14"/>
      <c r="E206" s="14"/>
      <c r="F206" s="15"/>
      <c r="G206" s="14"/>
      <c r="H206" s="14"/>
      <c r="I206" s="15"/>
    </row>
    <row r="207" spans="1:9" ht="13.15">
      <c r="A207" s="14"/>
      <c r="B207" s="14"/>
      <c r="C207" s="14"/>
      <c r="D207" s="14"/>
      <c r="E207" s="14"/>
      <c r="F207" s="15"/>
      <c r="G207" s="14"/>
      <c r="H207" s="14"/>
      <c r="I207" s="15"/>
    </row>
    <row r="208" spans="1:9" ht="13.15">
      <c r="A208" s="14"/>
      <c r="B208" s="14"/>
      <c r="C208" s="14"/>
      <c r="D208" s="14"/>
      <c r="E208" s="14"/>
      <c r="F208" s="15"/>
      <c r="G208" s="14"/>
      <c r="H208" s="14"/>
      <c r="I208" s="15"/>
    </row>
    <row r="209" spans="1:9" ht="13.15">
      <c r="A209" s="14"/>
      <c r="B209" s="14"/>
      <c r="C209" s="14"/>
      <c r="D209" s="14"/>
      <c r="E209" s="14"/>
      <c r="F209" s="15"/>
      <c r="G209" s="14"/>
      <c r="H209" s="14"/>
      <c r="I209" s="15"/>
    </row>
    <row r="210" spans="1:9" ht="13.15">
      <c r="A210" s="14"/>
      <c r="B210" s="14"/>
      <c r="C210" s="14"/>
      <c r="D210" s="14"/>
      <c r="E210" s="14"/>
      <c r="F210" s="15"/>
      <c r="G210" s="14"/>
      <c r="H210" s="14"/>
      <c r="I210" s="15"/>
    </row>
    <row r="211" spans="1:9" ht="13.15">
      <c r="A211" s="14"/>
      <c r="B211" s="14"/>
      <c r="C211" s="14"/>
      <c r="D211" s="14"/>
      <c r="E211" s="14"/>
      <c r="F211" s="15"/>
      <c r="G211" s="14"/>
      <c r="H211" s="14"/>
      <c r="I211" s="15"/>
    </row>
    <row r="212" spans="1:9" ht="13.15">
      <c r="A212" s="14"/>
      <c r="B212" s="14"/>
      <c r="C212" s="14"/>
      <c r="D212" s="14"/>
      <c r="E212" s="14"/>
      <c r="F212" s="15"/>
      <c r="G212" s="14"/>
      <c r="H212" s="14"/>
      <c r="I212" s="15"/>
    </row>
    <row r="213" spans="1:9" ht="13.15">
      <c r="A213" s="14"/>
      <c r="B213" s="14"/>
      <c r="C213" s="14"/>
      <c r="D213" s="14"/>
      <c r="E213" s="14"/>
      <c r="F213" s="15"/>
      <c r="G213" s="14"/>
      <c r="H213" s="14"/>
      <c r="I213" s="15"/>
    </row>
    <row r="214" spans="1:9" ht="13.15">
      <c r="A214" s="14"/>
      <c r="B214" s="14"/>
      <c r="C214" s="14"/>
      <c r="D214" s="14"/>
      <c r="E214" s="14"/>
      <c r="F214" s="15"/>
      <c r="G214" s="14"/>
      <c r="H214" s="14"/>
      <c r="I214" s="15"/>
    </row>
    <row r="215" spans="1:9" ht="13.15">
      <c r="A215" s="14"/>
      <c r="B215" s="14"/>
      <c r="C215" s="14"/>
      <c r="D215" s="14"/>
      <c r="E215" s="14"/>
      <c r="F215" s="15"/>
      <c r="G215" s="14"/>
      <c r="H215" s="14"/>
      <c r="I215" s="15"/>
    </row>
    <row r="216" spans="1:9" ht="13.15">
      <c r="A216" s="14"/>
      <c r="B216" s="14"/>
      <c r="C216" s="14"/>
      <c r="D216" s="14"/>
      <c r="E216" s="14"/>
      <c r="F216" s="15"/>
      <c r="G216" s="14"/>
      <c r="H216" s="14"/>
      <c r="I216" s="15"/>
    </row>
    <row r="217" spans="1:9" ht="13.15">
      <c r="A217" s="14"/>
      <c r="B217" s="14"/>
      <c r="C217" s="14"/>
      <c r="D217" s="14"/>
      <c r="E217" s="14"/>
      <c r="F217" s="15"/>
      <c r="G217" s="14"/>
      <c r="H217" s="14"/>
      <c r="I217" s="15"/>
    </row>
    <row r="218" spans="1:9" ht="13.15">
      <c r="A218" s="14"/>
      <c r="B218" s="14"/>
      <c r="C218" s="14"/>
      <c r="D218" s="14"/>
      <c r="E218" s="14"/>
      <c r="F218" s="15"/>
      <c r="G218" s="14"/>
      <c r="H218" s="14"/>
      <c r="I218" s="15"/>
    </row>
    <row r="219" spans="1:9" ht="13.15">
      <c r="A219" s="14"/>
      <c r="B219" s="14"/>
      <c r="C219" s="14"/>
      <c r="D219" s="14"/>
      <c r="E219" s="14"/>
      <c r="F219" s="15"/>
      <c r="G219" s="14"/>
      <c r="H219" s="14"/>
      <c r="I219" s="15"/>
    </row>
    <row r="220" spans="1:9" ht="13.15">
      <c r="A220" s="14"/>
      <c r="B220" s="14"/>
      <c r="C220" s="14"/>
      <c r="D220" s="14"/>
      <c r="E220" s="14"/>
      <c r="F220" s="15"/>
      <c r="G220" s="14"/>
      <c r="H220" s="14"/>
      <c r="I220" s="15"/>
    </row>
    <row r="221" spans="1:9" ht="13.15">
      <c r="A221" s="14"/>
      <c r="B221" s="14"/>
      <c r="C221" s="14"/>
      <c r="D221" s="14"/>
      <c r="E221" s="14"/>
      <c r="F221" s="15"/>
      <c r="G221" s="14"/>
      <c r="H221" s="14"/>
      <c r="I221" s="15"/>
    </row>
    <row r="222" spans="1:9" ht="13.15">
      <c r="A222" s="14"/>
      <c r="B222" s="14"/>
      <c r="C222" s="14"/>
      <c r="D222" s="14"/>
      <c r="E222" s="14"/>
      <c r="F222" s="15"/>
      <c r="G222" s="14"/>
      <c r="H222" s="14"/>
      <c r="I222" s="15"/>
    </row>
    <row r="223" spans="1:9" ht="13.15">
      <c r="A223" s="14"/>
      <c r="B223" s="14"/>
      <c r="C223" s="14"/>
      <c r="D223" s="14"/>
      <c r="E223" s="14"/>
      <c r="F223" s="15"/>
      <c r="G223" s="14"/>
      <c r="H223" s="14"/>
      <c r="I223" s="15"/>
    </row>
    <row r="224" spans="1:9" ht="13.15">
      <c r="A224" s="14"/>
      <c r="B224" s="14"/>
      <c r="C224" s="14"/>
      <c r="D224" s="14"/>
      <c r="E224" s="14"/>
      <c r="F224" s="15"/>
      <c r="G224" s="14"/>
      <c r="H224" s="14"/>
      <c r="I224" s="15"/>
    </row>
    <row r="225" spans="1:9" ht="13.15">
      <c r="A225" s="14"/>
      <c r="B225" s="14"/>
      <c r="C225" s="14"/>
      <c r="D225" s="14"/>
      <c r="E225" s="14"/>
      <c r="F225" s="15"/>
      <c r="G225" s="14"/>
      <c r="H225" s="14"/>
      <c r="I225" s="15"/>
    </row>
    <row r="226" spans="1:9" ht="13.15">
      <c r="A226" s="14"/>
      <c r="B226" s="14"/>
      <c r="C226" s="14"/>
      <c r="D226" s="14"/>
      <c r="E226" s="14"/>
      <c r="F226" s="15"/>
      <c r="G226" s="14"/>
      <c r="H226" s="14"/>
      <c r="I226" s="15"/>
    </row>
    <row r="227" spans="1:9" ht="13.15">
      <c r="A227" s="14"/>
      <c r="B227" s="14"/>
      <c r="C227" s="14"/>
      <c r="D227" s="14"/>
      <c r="E227" s="14"/>
      <c r="F227" s="15"/>
      <c r="G227" s="14"/>
      <c r="H227" s="14"/>
      <c r="I227" s="15"/>
    </row>
    <row r="228" spans="1:9" ht="13.15">
      <c r="A228" s="14"/>
      <c r="B228" s="14"/>
      <c r="C228" s="14"/>
      <c r="D228" s="14"/>
      <c r="E228" s="14"/>
      <c r="F228" s="15"/>
      <c r="G228" s="14"/>
      <c r="H228" s="14"/>
      <c r="I228" s="15"/>
    </row>
    <row r="229" spans="1:9" ht="13.15">
      <c r="A229" s="14"/>
      <c r="B229" s="14"/>
      <c r="C229" s="14"/>
      <c r="D229" s="14"/>
      <c r="E229" s="14"/>
      <c r="F229" s="15"/>
      <c r="G229" s="14"/>
      <c r="H229" s="14"/>
      <c r="I229" s="15"/>
    </row>
    <row r="230" spans="1:9" ht="13.15">
      <c r="A230" s="14"/>
      <c r="B230" s="14"/>
      <c r="C230" s="14"/>
      <c r="D230" s="14"/>
      <c r="E230" s="14"/>
      <c r="F230" s="15"/>
      <c r="G230" s="14"/>
      <c r="H230" s="14"/>
      <c r="I230" s="15"/>
    </row>
    <row r="231" spans="1:9" ht="13.15">
      <c r="A231" s="14"/>
      <c r="B231" s="14"/>
      <c r="C231" s="14"/>
      <c r="D231" s="14"/>
      <c r="E231" s="14"/>
      <c r="F231" s="15"/>
      <c r="G231" s="14"/>
      <c r="H231" s="14"/>
      <c r="I231" s="15"/>
    </row>
    <row r="232" spans="1:9" ht="13.15">
      <c r="A232" s="14"/>
      <c r="B232" s="14"/>
      <c r="C232" s="14"/>
      <c r="D232" s="14"/>
      <c r="E232" s="14"/>
      <c r="F232" s="15"/>
      <c r="G232" s="14"/>
      <c r="H232" s="14"/>
      <c r="I232" s="15"/>
    </row>
    <row r="233" spans="1:9" ht="13.15">
      <c r="A233" s="14"/>
      <c r="B233" s="14"/>
      <c r="C233" s="14"/>
      <c r="D233" s="14"/>
      <c r="E233" s="14"/>
      <c r="F233" s="15"/>
      <c r="G233" s="14"/>
      <c r="H233" s="14"/>
      <c r="I233" s="15"/>
    </row>
    <row r="234" spans="1:9" ht="13.15">
      <c r="A234" s="14"/>
      <c r="B234" s="14"/>
      <c r="C234" s="14"/>
      <c r="D234" s="14"/>
      <c r="E234" s="14"/>
      <c r="F234" s="15"/>
      <c r="G234" s="14"/>
      <c r="H234" s="14"/>
      <c r="I234" s="15"/>
    </row>
    <row r="235" spans="1:9" ht="13.15">
      <c r="A235" s="14"/>
      <c r="B235" s="14"/>
      <c r="C235" s="14"/>
      <c r="D235" s="14"/>
      <c r="E235" s="14"/>
      <c r="F235" s="15"/>
      <c r="G235" s="14"/>
      <c r="H235" s="14"/>
      <c r="I235" s="15"/>
    </row>
    <row r="236" spans="1:9" ht="13.15">
      <c r="A236" s="14"/>
      <c r="B236" s="14"/>
      <c r="C236" s="14"/>
      <c r="D236" s="14"/>
      <c r="E236" s="14"/>
      <c r="F236" s="15"/>
      <c r="G236" s="14"/>
      <c r="H236" s="14"/>
      <c r="I236" s="15"/>
    </row>
    <row r="237" spans="1:9" ht="13.15">
      <c r="A237" s="14"/>
      <c r="B237" s="14"/>
      <c r="C237" s="14"/>
      <c r="D237" s="14"/>
      <c r="E237" s="14"/>
      <c r="F237" s="15"/>
      <c r="G237" s="14"/>
      <c r="H237" s="14"/>
      <c r="I237" s="15"/>
    </row>
    <row r="238" spans="1:9" ht="13.15">
      <c r="A238" s="14"/>
      <c r="B238" s="14"/>
      <c r="C238" s="14"/>
      <c r="D238" s="14"/>
      <c r="E238" s="14"/>
      <c r="F238" s="15"/>
      <c r="G238" s="14"/>
      <c r="H238" s="14"/>
      <c r="I238" s="15"/>
    </row>
    <row r="239" spans="1:9" ht="13.15">
      <c r="A239" s="14"/>
      <c r="B239" s="14"/>
      <c r="C239" s="14"/>
      <c r="D239" s="14"/>
      <c r="E239" s="14"/>
      <c r="F239" s="15"/>
      <c r="G239" s="14"/>
      <c r="H239" s="14"/>
      <c r="I239" s="15"/>
    </row>
    <row r="240" spans="1:9" ht="13.15">
      <c r="A240" s="14"/>
      <c r="B240" s="14"/>
      <c r="C240" s="14"/>
      <c r="D240" s="14"/>
      <c r="E240" s="14"/>
      <c r="F240" s="15"/>
      <c r="G240" s="14"/>
      <c r="H240" s="14"/>
      <c r="I240" s="15"/>
    </row>
    <row r="241" spans="1:9" ht="13.15">
      <c r="A241" s="14"/>
      <c r="B241" s="14"/>
      <c r="C241" s="14"/>
      <c r="D241" s="14"/>
      <c r="E241" s="14"/>
      <c r="F241" s="15"/>
      <c r="G241" s="14"/>
      <c r="H241" s="14"/>
      <c r="I241" s="15"/>
    </row>
    <row r="242" spans="1:9" ht="13.15">
      <c r="A242" s="14"/>
      <c r="B242" s="14"/>
      <c r="C242" s="14"/>
      <c r="D242" s="14"/>
      <c r="E242" s="14"/>
      <c r="F242" s="15"/>
      <c r="G242" s="14"/>
      <c r="H242" s="14"/>
      <c r="I242" s="15"/>
    </row>
    <row r="243" spans="1:9" ht="13.15">
      <c r="A243" s="14"/>
      <c r="B243" s="14"/>
      <c r="C243" s="14"/>
      <c r="D243" s="14"/>
      <c r="E243" s="14"/>
      <c r="F243" s="15"/>
      <c r="G243" s="14"/>
      <c r="H243" s="14"/>
      <c r="I243" s="15"/>
    </row>
    <row r="244" spans="1:9" ht="13.15">
      <c r="A244" s="14"/>
      <c r="B244" s="14"/>
      <c r="C244" s="14"/>
      <c r="D244" s="14"/>
      <c r="E244" s="14"/>
      <c r="F244" s="15"/>
      <c r="G244" s="14"/>
      <c r="H244" s="14"/>
      <c r="I244" s="15"/>
    </row>
    <row r="245" spans="1:9" ht="13.15">
      <c r="A245" s="14"/>
      <c r="B245" s="14"/>
      <c r="C245" s="14"/>
      <c r="D245" s="14"/>
      <c r="E245" s="14"/>
      <c r="F245" s="15"/>
      <c r="G245" s="14"/>
      <c r="H245" s="14"/>
      <c r="I245" s="15"/>
    </row>
    <row r="246" spans="1:9" ht="13.15">
      <c r="A246" s="14"/>
      <c r="B246" s="14"/>
      <c r="C246" s="14"/>
      <c r="D246" s="14"/>
      <c r="E246" s="14"/>
      <c r="F246" s="15"/>
      <c r="G246" s="14"/>
      <c r="H246" s="14"/>
      <c r="I246" s="15"/>
    </row>
    <row r="247" spans="1:9" ht="13.15">
      <c r="A247" s="14"/>
      <c r="B247" s="14"/>
      <c r="C247" s="14"/>
      <c r="D247" s="14"/>
      <c r="E247" s="14"/>
      <c r="F247" s="15"/>
      <c r="G247" s="14"/>
      <c r="H247" s="14"/>
      <c r="I247" s="15"/>
    </row>
    <row r="248" spans="1:9" ht="13.15">
      <c r="A248" s="14"/>
      <c r="B248" s="14"/>
      <c r="C248" s="14"/>
      <c r="D248" s="14"/>
      <c r="E248" s="14"/>
      <c r="F248" s="15"/>
      <c r="G248" s="14"/>
      <c r="H248" s="14"/>
      <c r="I248" s="15"/>
    </row>
    <row r="249" spans="1:9" ht="13.15">
      <c r="A249" s="14"/>
      <c r="B249" s="14"/>
      <c r="C249" s="14"/>
      <c r="D249" s="14"/>
      <c r="E249" s="14"/>
      <c r="F249" s="15"/>
      <c r="G249" s="14"/>
      <c r="H249" s="14"/>
      <c r="I249" s="15"/>
    </row>
    <row r="250" spans="1:9" ht="13.15">
      <c r="A250" s="14"/>
      <c r="B250" s="14"/>
      <c r="C250" s="14"/>
      <c r="D250" s="14"/>
      <c r="E250" s="14"/>
      <c r="F250" s="15"/>
      <c r="G250" s="14"/>
      <c r="H250" s="14"/>
      <c r="I250" s="15"/>
    </row>
    <row r="251" spans="1:9" ht="13.15">
      <c r="A251" s="14"/>
      <c r="B251" s="14"/>
      <c r="C251" s="14"/>
      <c r="D251" s="14"/>
      <c r="E251" s="14"/>
      <c r="F251" s="15"/>
      <c r="G251" s="14"/>
      <c r="H251" s="14"/>
      <c r="I251" s="15"/>
    </row>
    <row r="252" spans="1:9" ht="13.15">
      <c r="A252" s="14"/>
      <c r="B252" s="14"/>
      <c r="C252" s="14"/>
      <c r="D252" s="14"/>
      <c r="E252" s="14"/>
      <c r="F252" s="15"/>
      <c r="G252" s="14"/>
      <c r="H252" s="14"/>
      <c r="I252" s="15"/>
    </row>
    <row r="253" spans="1:9" ht="13.15">
      <c r="A253" s="14"/>
      <c r="B253" s="14"/>
      <c r="C253" s="14"/>
      <c r="D253" s="14"/>
      <c r="E253" s="14"/>
      <c r="F253" s="15"/>
      <c r="G253" s="14"/>
      <c r="H253" s="14"/>
      <c r="I253" s="15"/>
    </row>
    <row r="254" spans="1:9" ht="13.15">
      <c r="A254" s="14"/>
      <c r="B254" s="14"/>
      <c r="C254" s="14"/>
      <c r="D254" s="14"/>
      <c r="E254" s="14"/>
      <c r="F254" s="15"/>
      <c r="G254" s="14"/>
      <c r="H254" s="14"/>
      <c r="I254" s="15"/>
    </row>
    <row r="255" spans="1:9" ht="13.15">
      <c r="A255" s="14"/>
      <c r="B255" s="14"/>
      <c r="C255" s="14"/>
      <c r="D255" s="14"/>
      <c r="E255" s="14"/>
      <c r="F255" s="15"/>
      <c r="G255" s="14"/>
      <c r="H255" s="14"/>
      <c r="I255" s="15"/>
    </row>
    <row r="256" spans="1:9" ht="13.15">
      <c r="A256" s="14"/>
      <c r="B256" s="14"/>
      <c r="C256" s="14"/>
      <c r="D256" s="14"/>
      <c r="E256" s="14"/>
      <c r="F256" s="15"/>
      <c r="G256" s="14"/>
      <c r="H256" s="14"/>
      <c r="I256" s="15"/>
    </row>
    <row r="257" spans="1:9" ht="13.15">
      <c r="A257" s="14"/>
      <c r="B257" s="14"/>
      <c r="C257" s="14"/>
      <c r="D257" s="14"/>
      <c r="E257" s="14"/>
      <c r="F257" s="15"/>
      <c r="G257" s="14"/>
      <c r="H257" s="14"/>
      <c r="I257" s="15"/>
    </row>
    <row r="258" spans="1:9" ht="13.15">
      <c r="A258" s="14"/>
      <c r="B258" s="14"/>
      <c r="C258" s="14"/>
      <c r="D258" s="14"/>
      <c r="E258" s="14"/>
      <c r="F258" s="15"/>
      <c r="G258" s="14"/>
      <c r="H258" s="14"/>
      <c r="I258" s="15"/>
    </row>
    <row r="259" spans="1:9" ht="13.15">
      <c r="A259" s="14"/>
      <c r="B259" s="14"/>
      <c r="C259" s="14"/>
      <c r="D259" s="14"/>
      <c r="E259" s="14"/>
      <c r="F259" s="15"/>
      <c r="G259" s="14"/>
      <c r="H259" s="14"/>
      <c r="I259" s="15"/>
    </row>
    <row r="260" spans="1:9" ht="13.15">
      <c r="A260" s="14"/>
      <c r="B260" s="14"/>
      <c r="C260" s="14"/>
      <c r="D260" s="14"/>
      <c r="E260" s="14"/>
      <c r="F260" s="15"/>
      <c r="G260" s="14"/>
      <c r="H260" s="14"/>
      <c r="I260" s="15"/>
    </row>
    <row r="261" spans="1:9" ht="13.15">
      <c r="A261" s="14"/>
      <c r="B261" s="14"/>
      <c r="C261" s="14"/>
      <c r="D261" s="14"/>
      <c r="E261" s="14"/>
      <c r="F261" s="15"/>
      <c r="G261" s="14"/>
      <c r="H261" s="14"/>
      <c r="I261" s="15"/>
    </row>
    <row r="262" spans="1:9" ht="13.15">
      <c r="A262" s="14"/>
      <c r="B262" s="14"/>
      <c r="C262" s="14"/>
      <c r="D262" s="14"/>
      <c r="E262" s="14"/>
      <c r="F262" s="15"/>
      <c r="G262" s="14"/>
      <c r="H262" s="14"/>
      <c r="I262" s="15"/>
    </row>
    <row r="263" spans="1:9" ht="13.15">
      <c r="A263" s="14"/>
      <c r="B263" s="14"/>
      <c r="C263" s="14"/>
      <c r="D263" s="14"/>
      <c r="E263" s="14"/>
      <c r="F263" s="15"/>
      <c r="G263" s="14"/>
      <c r="H263" s="14"/>
      <c r="I263" s="15"/>
    </row>
    <row r="264" spans="1:9" ht="13.15">
      <c r="A264" s="14"/>
      <c r="B264" s="14"/>
      <c r="C264" s="14"/>
      <c r="D264" s="14"/>
      <c r="E264" s="14"/>
      <c r="F264" s="15"/>
      <c r="G264" s="14"/>
      <c r="H264" s="14"/>
      <c r="I264" s="15"/>
    </row>
    <row r="265" spans="1:9" ht="13.15">
      <c r="A265" s="14"/>
      <c r="B265" s="14"/>
      <c r="C265" s="14"/>
      <c r="D265" s="14"/>
      <c r="E265" s="14"/>
      <c r="F265" s="15"/>
      <c r="G265" s="14"/>
      <c r="H265" s="14"/>
      <c r="I265" s="15"/>
    </row>
    <row r="266" spans="1:9" ht="13.15">
      <c r="A266" s="14"/>
      <c r="B266" s="14"/>
      <c r="C266" s="14"/>
      <c r="D266" s="14"/>
      <c r="E266" s="14"/>
      <c r="F266" s="15"/>
      <c r="G266" s="14"/>
      <c r="H266" s="14"/>
      <c r="I266" s="15"/>
    </row>
    <row r="267" spans="1:9" ht="13.15">
      <c r="A267" s="14"/>
      <c r="B267" s="14"/>
      <c r="C267" s="14"/>
      <c r="D267" s="14"/>
      <c r="E267" s="14"/>
      <c r="F267" s="15"/>
      <c r="G267" s="14"/>
      <c r="H267" s="14"/>
      <c r="I267" s="15"/>
    </row>
    <row r="268" spans="1:9" ht="13.15">
      <c r="A268" s="14"/>
      <c r="B268" s="14"/>
      <c r="C268" s="14"/>
      <c r="D268" s="14"/>
      <c r="E268" s="14"/>
      <c r="F268" s="15"/>
      <c r="G268" s="14"/>
      <c r="H268" s="14"/>
      <c r="I268" s="15"/>
    </row>
    <row r="269" spans="1:9" ht="13.15">
      <c r="A269" s="14"/>
      <c r="B269" s="14"/>
      <c r="C269" s="14"/>
      <c r="D269" s="14"/>
      <c r="E269" s="14"/>
      <c r="F269" s="15"/>
      <c r="G269" s="14"/>
      <c r="H269" s="14"/>
      <c r="I269" s="15"/>
    </row>
    <row r="270" spans="1:9" ht="13.15">
      <c r="A270" s="14"/>
      <c r="B270" s="14"/>
      <c r="C270" s="14"/>
      <c r="D270" s="14"/>
      <c r="E270" s="14"/>
      <c r="F270" s="15"/>
      <c r="G270" s="14"/>
      <c r="H270" s="14"/>
      <c r="I270" s="15"/>
    </row>
    <row r="271" spans="1:9" ht="13.15">
      <c r="A271" s="14"/>
      <c r="B271" s="14"/>
      <c r="C271" s="14"/>
      <c r="D271" s="14"/>
      <c r="E271" s="14"/>
      <c r="F271" s="15"/>
      <c r="G271" s="14"/>
      <c r="H271" s="14"/>
      <c r="I271" s="15"/>
    </row>
    <row r="272" spans="1:9" ht="13.15">
      <c r="A272" s="14"/>
      <c r="B272" s="14"/>
      <c r="C272" s="14"/>
      <c r="D272" s="14"/>
      <c r="E272" s="14"/>
      <c r="F272" s="15"/>
      <c r="G272" s="14"/>
      <c r="H272" s="14"/>
      <c r="I272" s="15"/>
    </row>
    <row r="273" spans="1:9" ht="13.15">
      <c r="A273" s="14"/>
      <c r="B273" s="14"/>
      <c r="C273" s="14"/>
      <c r="D273" s="14"/>
      <c r="E273" s="14"/>
      <c r="F273" s="15"/>
      <c r="G273" s="14"/>
      <c r="H273" s="14"/>
      <c r="I273" s="15"/>
    </row>
    <row r="274" spans="1:9" ht="13.15">
      <c r="A274" s="14"/>
      <c r="B274" s="14"/>
      <c r="C274" s="14"/>
      <c r="D274" s="14"/>
      <c r="E274" s="14"/>
      <c r="F274" s="15"/>
      <c r="G274" s="14"/>
      <c r="H274" s="14"/>
      <c r="I274" s="15"/>
    </row>
    <row r="275" spans="1:9" ht="13.15">
      <c r="A275" s="14"/>
      <c r="B275" s="14"/>
      <c r="C275" s="14"/>
      <c r="D275" s="14"/>
      <c r="E275" s="14"/>
      <c r="F275" s="15"/>
      <c r="G275" s="14"/>
      <c r="H275" s="14"/>
      <c r="I275" s="15"/>
    </row>
    <row r="276" spans="1:9" ht="13.15">
      <c r="A276" s="14"/>
      <c r="B276" s="14"/>
      <c r="C276" s="14"/>
      <c r="D276" s="14"/>
      <c r="E276" s="14"/>
      <c r="F276" s="15"/>
      <c r="G276" s="14"/>
      <c r="H276" s="14"/>
      <c r="I276" s="15"/>
    </row>
    <row r="277" spans="1:9" ht="13.15">
      <c r="A277" s="14"/>
      <c r="B277" s="14"/>
      <c r="C277" s="14"/>
      <c r="D277" s="14"/>
      <c r="E277" s="14"/>
      <c r="F277" s="15"/>
      <c r="G277" s="14"/>
      <c r="H277" s="14"/>
      <c r="I277" s="15"/>
    </row>
    <row r="278" spans="1:9" ht="13.15">
      <c r="A278" s="14"/>
      <c r="B278" s="14"/>
      <c r="C278" s="14"/>
      <c r="D278" s="14"/>
      <c r="E278" s="14"/>
      <c r="F278" s="15"/>
      <c r="G278" s="14"/>
      <c r="H278" s="14"/>
      <c r="I278" s="15"/>
    </row>
    <row r="279" spans="1:9" ht="13.15">
      <c r="A279" s="14"/>
      <c r="B279" s="14"/>
      <c r="C279" s="14"/>
      <c r="D279" s="14"/>
      <c r="E279" s="14"/>
      <c r="F279" s="15"/>
      <c r="G279" s="14"/>
      <c r="H279" s="14"/>
      <c r="I279" s="15"/>
    </row>
    <row r="280" spans="1:9" ht="13.15">
      <c r="A280" s="14"/>
      <c r="B280" s="14"/>
      <c r="C280" s="14"/>
      <c r="D280" s="14"/>
      <c r="E280" s="14"/>
      <c r="F280" s="15"/>
      <c r="G280" s="14"/>
      <c r="H280" s="14"/>
      <c r="I280" s="15"/>
    </row>
    <row r="281" spans="1:9" ht="13.15">
      <c r="A281" s="14"/>
      <c r="B281" s="14"/>
      <c r="C281" s="14"/>
      <c r="D281" s="14"/>
      <c r="E281" s="14"/>
      <c r="F281" s="15"/>
      <c r="G281" s="14"/>
      <c r="H281" s="14"/>
      <c r="I281" s="15"/>
    </row>
    <row r="282" spans="1:9" ht="13.15">
      <c r="A282" s="14"/>
      <c r="B282" s="14"/>
      <c r="C282" s="14"/>
      <c r="D282" s="14"/>
      <c r="E282" s="14"/>
      <c r="F282" s="15"/>
      <c r="G282" s="14"/>
      <c r="H282" s="14"/>
      <c r="I282" s="15"/>
    </row>
    <row r="283" spans="1:9" ht="13.15">
      <c r="A283" s="14"/>
      <c r="B283" s="14"/>
      <c r="C283" s="14"/>
      <c r="D283" s="14"/>
      <c r="E283" s="14"/>
      <c r="F283" s="15"/>
      <c r="G283" s="14"/>
      <c r="H283" s="14"/>
      <c r="I283" s="15"/>
    </row>
    <row r="284" spans="1:9" ht="13.15">
      <c r="A284" s="14"/>
      <c r="B284" s="14"/>
      <c r="C284" s="14"/>
      <c r="D284" s="14"/>
      <c r="E284" s="14"/>
      <c r="F284" s="15"/>
      <c r="G284" s="14"/>
      <c r="H284" s="14"/>
      <c r="I284" s="15"/>
    </row>
    <row r="285" spans="1:9" ht="13.15">
      <c r="A285" s="14"/>
      <c r="B285" s="14"/>
      <c r="C285" s="14"/>
      <c r="D285" s="14"/>
      <c r="E285" s="14"/>
      <c r="F285" s="15"/>
      <c r="G285" s="14"/>
      <c r="H285" s="14"/>
      <c r="I285" s="15"/>
    </row>
    <row r="286" spans="1:9" ht="13.15">
      <c r="A286" s="14"/>
      <c r="B286" s="14"/>
      <c r="C286" s="14"/>
      <c r="D286" s="14"/>
      <c r="E286" s="14"/>
      <c r="F286" s="15"/>
      <c r="G286" s="14"/>
      <c r="H286" s="14"/>
      <c r="I286" s="15"/>
    </row>
    <row r="287" spans="1:9" ht="13.15">
      <c r="A287" s="14"/>
      <c r="B287" s="14"/>
      <c r="C287" s="14"/>
      <c r="D287" s="14"/>
      <c r="E287" s="14"/>
      <c r="F287" s="15"/>
      <c r="G287" s="14"/>
      <c r="H287" s="14"/>
      <c r="I287" s="15"/>
    </row>
    <row r="288" spans="1:9" ht="13.15">
      <c r="A288" s="14"/>
      <c r="B288" s="14"/>
      <c r="C288" s="14"/>
      <c r="D288" s="14"/>
      <c r="E288" s="14"/>
      <c r="F288" s="15"/>
      <c r="G288" s="14"/>
      <c r="H288" s="14"/>
      <c r="I288" s="15"/>
    </row>
    <row r="289" spans="1:9" ht="13.15">
      <c r="A289" s="14"/>
      <c r="B289" s="14"/>
      <c r="C289" s="14"/>
      <c r="D289" s="14"/>
      <c r="E289" s="14"/>
      <c r="F289" s="15"/>
      <c r="G289" s="14"/>
      <c r="H289" s="14"/>
      <c r="I289" s="15"/>
    </row>
    <row r="290" spans="1:9" ht="13.15">
      <c r="A290" s="14"/>
      <c r="B290" s="14"/>
      <c r="C290" s="14"/>
      <c r="D290" s="14"/>
      <c r="E290" s="14"/>
      <c r="F290" s="15"/>
      <c r="G290" s="14"/>
      <c r="H290" s="14"/>
      <c r="I290" s="15"/>
    </row>
    <row r="291" spans="1:9" ht="13.15">
      <c r="A291" s="14"/>
      <c r="B291" s="14"/>
      <c r="C291" s="14"/>
      <c r="D291" s="14"/>
      <c r="E291" s="14"/>
      <c r="F291" s="15"/>
      <c r="G291" s="14"/>
      <c r="H291" s="14"/>
      <c r="I291" s="15"/>
    </row>
    <row r="292" spans="1:9" ht="13.15">
      <c r="A292" s="14"/>
      <c r="B292" s="14"/>
      <c r="C292" s="14"/>
      <c r="D292" s="14"/>
      <c r="E292" s="14"/>
      <c r="F292" s="15"/>
      <c r="G292" s="14"/>
      <c r="H292" s="14"/>
      <c r="I292" s="15"/>
    </row>
    <row r="293" spans="1:9" ht="13.15">
      <c r="A293" s="14"/>
      <c r="B293" s="14"/>
      <c r="C293" s="14"/>
      <c r="D293" s="14"/>
      <c r="E293" s="14"/>
      <c r="F293" s="15"/>
      <c r="G293" s="14"/>
      <c r="H293" s="14"/>
      <c r="I293" s="15"/>
    </row>
    <row r="294" spans="1:9" ht="13.15">
      <c r="A294" s="14"/>
      <c r="B294" s="14"/>
      <c r="C294" s="14"/>
      <c r="D294" s="14"/>
      <c r="E294" s="14"/>
      <c r="F294" s="15"/>
      <c r="G294" s="14"/>
      <c r="H294" s="14"/>
      <c r="I294" s="15"/>
    </row>
    <row r="295" spans="1:9" ht="13.15">
      <c r="A295" s="14"/>
      <c r="B295" s="14"/>
      <c r="C295" s="14"/>
      <c r="D295" s="14"/>
      <c r="E295" s="14"/>
      <c r="F295" s="15"/>
      <c r="G295" s="14"/>
      <c r="H295" s="14"/>
      <c r="I295" s="15"/>
    </row>
    <row r="296" spans="1:9" ht="13.15">
      <c r="A296" s="14"/>
      <c r="B296" s="14"/>
      <c r="C296" s="14"/>
      <c r="D296" s="14"/>
      <c r="E296" s="14"/>
      <c r="F296" s="15"/>
      <c r="G296" s="14"/>
      <c r="H296" s="14"/>
      <c r="I296" s="15"/>
    </row>
    <row r="297" spans="1:9" ht="13.15">
      <c r="A297" s="14"/>
      <c r="B297" s="14"/>
      <c r="C297" s="14"/>
      <c r="D297" s="14"/>
      <c r="E297" s="14"/>
      <c r="F297" s="15"/>
      <c r="G297" s="14"/>
      <c r="H297" s="14"/>
      <c r="I297" s="15"/>
    </row>
    <row r="298" spans="1:9" ht="13.15">
      <c r="A298" s="14"/>
      <c r="B298" s="14"/>
      <c r="C298" s="14"/>
      <c r="D298" s="14"/>
      <c r="E298" s="14"/>
      <c r="F298" s="15"/>
      <c r="G298" s="14"/>
      <c r="H298" s="14"/>
      <c r="I298" s="15"/>
    </row>
    <row r="299" spans="1:9" ht="13.15">
      <c r="A299" s="14"/>
      <c r="B299" s="14"/>
      <c r="C299" s="14"/>
      <c r="D299" s="14"/>
      <c r="E299" s="14"/>
      <c r="F299" s="15"/>
      <c r="G299" s="14"/>
      <c r="H299" s="14"/>
      <c r="I299" s="15"/>
    </row>
    <row r="300" spans="1:9" ht="13.15">
      <c r="A300" s="14"/>
      <c r="B300" s="14"/>
      <c r="C300" s="14"/>
      <c r="D300" s="14"/>
      <c r="E300" s="14"/>
      <c r="F300" s="15"/>
      <c r="G300" s="14"/>
      <c r="H300" s="14"/>
      <c r="I300" s="15"/>
    </row>
    <row r="301" spans="1:9" ht="13.15">
      <c r="A301" s="14"/>
      <c r="B301" s="14"/>
      <c r="C301" s="14"/>
      <c r="D301" s="14"/>
      <c r="E301" s="14"/>
      <c r="F301" s="15"/>
      <c r="G301" s="14"/>
      <c r="H301" s="14"/>
      <c r="I301" s="15"/>
    </row>
    <row r="302" spans="1:9" ht="13.15">
      <c r="A302" s="14"/>
      <c r="B302" s="14"/>
      <c r="C302" s="14"/>
      <c r="D302" s="14"/>
      <c r="E302" s="14"/>
      <c r="F302" s="15"/>
      <c r="G302" s="14"/>
      <c r="H302" s="14"/>
      <c r="I302" s="15"/>
    </row>
    <row r="303" spans="1:9" ht="13.15">
      <c r="A303" s="14"/>
      <c r="B303" s="14"/>
      <c r="C303" s="14"/>
      <c r="D303" s="14"/>
      <c r="E303" s="14"/>
      <c r="F303" s="15"/>
      <c r="G303" s="14"/>
      <c r="H303" s="14"/>
      <c r="I303" s="15"/>
    </row>
    <row r="304" spans="1:9" ht="13.15">
      <c r="A304" s="14"/>
      <c r="B304" s="14"/>
      <c r="C304" s="14"/>
      <c r="D304" s="14"/>
      <c r="E304" s="14"/>
      <c r="F304" s="15"/>
      <c r="G304" s="14"/>
      <c r="H304" s="14"/>
      <c r="I304" s="15"/>
    </row>
    <row r="305" spans="1:9" ht="13.15">
      <c r="A305" s="14"/>
      <c r="B305" s="14"/>
      <c r="C305" s="14"/>
      <c r="D305" s="14"/>
      <c r="E305" s="14"/>
      <c r="F305" s="15"/>
      <c r="G305" s="14"/>
      <c r="H305" s="14"/>
      <c r="I305" s="15"/>
    </row>
    <row r="306" spans="1:9" ht="13.15">
      <c r="A306" s="14"/>
      <c r="B306" s="14"/>
      <c r="C306" s="14"/>
      <c r="D306" s="14"/>
      <c r="E306" s="14"/>
      <c r="F306" s="15"/>
      <c r="G306" s="14"/>
      <c r="H306" s="14"/>
      <c r="I306" s="15"/>
    </row>
    <row r="307" spans="1:9" ht="13.15">
      <c r="A307" s="14"/>
      <c r="B307" s="14"/>
      <c r="C307" s="14"/>
      <c r="D307" s="14"/>
      <c r="E307" s="14"/>
      <c r="F307" s="15"/>
      <c r="G307" s="14"/>
      <c r="H307" s="14"/>
      <c r="I307" s="15"/>
    </row>
    <row r="308" spans="1:9" ht="13.15">
      <c r="A308" s="14"/>
      <c r="B308" s="14"/>
      <c r="C308" s="14"/>
      <c r="D308" s="14"/>
      <c r="E308" s="14"/>
      <c r="F308" s="15"/>
      <c r="G308" s="14"/>
      <c r="H308" s="14"/>
      <c r="I308" s="15"/>
    </row>
    <row r="309" spans="1:9" ht="13.15">
      <c r="A309" s="14"/>
      <c r="B309" s="14"/>
      <c r="C309" s="14"/>
      <c r="D309" s="14"/>
      <c r="E309" s="14"/>
      <c r="F309" s="15"/>
      <c r="G309" s="14"/>
      <c r="H309" s="14"/>
      <c r="I309" s="15"/>
    </row>
    <row r="310" spans="1:9" ht="13.15">
      <c r="A310" s="14"/>
      <c r="B310" s="14"/>
      <c r="C310" s="14"/>
      <c r="D310" s="14"/>
      <c r="E310" s="14"/>
      <c r="F310" s="15"/>
      <c r="G310" s="14"/>
      <c r="H310" s="14"/>
      <c r="I310" s="15"/>
    </row>
    <row r="311" spans="1:9" ht="13.15">
      <c r="A311" s="14"/>
      <c r="B311" s="14"/>
      <c r="C311" s="14"/>
      <c r="D311" s="14"/>
      <c r="E311" s="14"/>
      <c r="F311" s="15"/>
      <c r="G311" s="14"/>
      <c r="H311" s="14"/>
      <c r="I311" s="15"/>
    </row>
    <row r="312" spans="1:9" ht="13.15">
      <c r="A312" s="14"/>
      <c r="B312" s="14"/>
      <c r="C312" s="14"/>
      <c r="D312" s="14"/>
      <c r="E312" s="14"/>
      <c r="F312" s="15"/>
      <c r="G312" s="14"/>
      <c r="H312" s="14"/>
      <c r="I312" s="15"/>
    </row>
    <row r="313" spans="1:9" ht="13.15">
      <c r="A313" s="14"/>
      <c r="B313" s="14"/>
      <c r="C313" s="14"/>
      <c r="D313" s="14"/>
      <c r="E313" s="14"/>
      <c r="F313" s="15"/>
      <c r="G313" s="14"/>
      <c r="H313" s="14"/>
      <c r="I313" s="15"/>
    </row>
    <row r="314" spans="1:9" ht="13.15">
      <c r="A314" s="14"/>
      <c r="B314" s="14"/>
      <c r="C314" s="14"/>
      <c r="D314" s="14"/>
      <c r="E314" s="14"/>
      <c r="F314" s="15"/>
      <c r="G314" s="14"/>
      <c r="H314" s="14"/>
      <c r="I314" s="15"/>
    </row>
    <row r="315" spans="1:9" ht="13.15">
      <c r="A315" s="14"/>
      <c r="B315" s="14"/>
      <c r="C315" s="14"/>
      <c r="D315" s="14"/>
      <c r="E315" s="14"/>
      <c r="F315" s="15"/>
      <c r="G315" s="14"/>
      <c r="H315" s="14"/>
      <c r="I315" s="15"/>
    </row>
    <row r="316" spans="1:9" ht="13.15">
      <c r="A316" s="14"/>
      <c r="B316" s="14"/>
      <c r="C316" s="14"/>
      <c r="D316" s="14"/>
      <c r="E316" s="14"/>
      <c r="F316" s="15"/>
      <c r="G316" s="14"/>
      <c r="H316" s="14"/>
      <c r="I316" s="15"/>
    </row>
    <row r="317" spans="1:9" ht="13.15">
      <c r="A317" s="14"/>
      <c r="B317" s="14"/>
      <c r="C317" s="14"/>
      <c r="D317" s="14"/>
      <c r="E317" s="14"/>
      <c r="F317" s="15"/>
      <c r="G317" s="14"/>
      <c r="H317" s="14"/>
      <c r="I317" s="15"/>
    </row>
    <row r="318" spans="1:9" ht="13.15">
      <c r="A318" s="14"/>
      <c r="B318" s="14"/>
      <c r="C318" s="14"/>
      <c r="D318" s="14"/>
      <c r="E318" s="14"/>
      <c r="F318" s="15"/>
      <c r="G318" s="14"/>
      <c r="H318" s="14"/>
      <c r="I318" s="15"/>
    </row>
    <row r="319" spans="1:9" ht="13.15">
      <c r="A319" s="14"/>
      <c r="B319" s="14"/>
      <c r="C319" s="14"/>
      <c r="D319" s="14"/>
      <c r="E319" s="14"/>
      <c r="F319" s="15"/>
      <c r="G319" s="14"/>
      <c r="H319" s="14"/>
      <c r="I319" s="15"/>
    </row>
    <row r="320" spans="1:9" ht="13.15">
      <c r="A320" s="14"/>
      <c r="B320" s="14"/>
      <c r="C320" s="14"/>
      <c r="D320" s="14"/>
      <c r="E320" s="14"/>
      <c r="F320" s="15"/>
      <c r="G320" s="14"/>
      <c r="H320" s="14"/>
      <c r="I320" s="15"/>
    </row>
    <row r="321" spans="1:9" ht="13.15">
      <c r="A321" s="14"/>
      <c r="B321" s="14"/>
      <c r="C321" s="14"/>
      <c r="D321" s="14"/>
      <c r="E321" s="14"/>
      <c r="F321" s="15"/>
      <c r="G321" s="14"/>
      <c r="H321" s="14"/>
      <c r="I321" s="15"/>
    </row>
    <row r="322" spans="1:9" ht="13.15">
      <c r="A322" s="14"/>
      <c r="B322" s="14"/>
      <c r="C322" s="14"/>
      <c r="D322" s="14"/>
      <c r="E322" s="14"/>
      <c r="F322" s="15"/>
      <c r="G322" s="14"/>
      <c r="H322" s="14"/>
      <c r="I322" s="15"/>
    </row>
    <row r="323" spans="1:9" ht="13.15">
      <c r="A323" s="14"/>
      <c r="B323" s="14"/>
      <c r="C323" s="14"/>
      <c r="D323" s="14"/>
      <c r="E323" s="14"/>
      <c r="F323" s="15"/>
      <c r="G323" s="14"/>
      <c r="H323" s="14"/>
      <c r="I323" s="15"/>
    </row>
    <row r="324" spans="1:9" ht="13.15">
      <c r="A324" s="14"/>
      <c r="B324" s="14"/>
      <c r="C324" s="14"/>
      <c r="D324" s="14"/>
      <c r="E324" s="14"/>
      <c r="F324" s="15"/>
      <c r="G324" s="14"/>
      <c r="H324" s="14"/>
      <c r="I324" s="15"/>
    </row>
    <row r="325" spans="1:9" ht="13.15">
      <c r="A325" s="14"/>
      <c r="B325" s="14"/>
      <c r="C325" s="14"/>
      <c r="D325" s="14"/>
      <c r="E325" s="14"/>
      <c r="F325" s="15"/>
      <c r="G325" s="14"/>
      <c r="H325" s="14"/>
      <c r="I325" s="15"/>
    </row>
    <row r="326" spans="1:9" ht="13.15">
      <c r="A326" s="14"/>
      <c r="B326" s="14"/>
      <c r="C326" s="14"/>
      <c r="D326" s="14"/>
      <c r="E326" s="14"/>
      <c r="F326" s="15"/>
      <c r="G326" s="14"/>
      <c r="H326" s="14"/>
      <c r="I326" s="15"/>
    </row>
    <row r="327" spans="1:9" ht="13.15">
      <c r="A327" s="14"/>
      <c r="B327" s="14"/>
      <c r="C327" s="14"/>
      <c r="D327" s="14"/>
      <c r="E327" s="14"/>
      <c r="F327" s="15"/>
      <c r="G327" s="14"/>
      <c r="H327" s="14"/>
      <c r="I327" s="15"/>
    </row>
    <row r="328" spans="1:9" ht="13.15">
      <c r="A328" s="14"/>
      <c r="B328" s="14"/>
      <c r="C328" s="14"/>
      <c r="D328" s="14"/>
      <c r="E328" s="14"/>
      <c r="F328" s="15"/>
      <c r="G328" s="14"/>
      <c r="H328" s="14"/>
      <c r="I328" s="15"/>
    </row>
    <row r="329" spans="1:9" ht="13.15">
      <c r="A329" s="14"/>
      <c r="B329" s="14"/>
      <c r="C329" s="14"/>
      <c r="D329" s="14"/>
      <c r="E329" s="14"/>
      <c r="F329" s="15"/>
      <c r="G329" s="14"/>
      <c r="H329" s="14"/>
      <c r="I329" s="15"/>
    </row>
    <row r="330" spans="1:9" ht="13.15">
      <c r="A330" s="14"/>
      <c r="B330" s="14"/>
      <c r="C330" s="14"/>
      <c r="D330" s="14"/>
      <c r="E330" s="14"/>
      <c r="F330" s="15"/>
      <c r="G330" s="14"/>
      <c r="H330" s="14"/>
      <c r="I330" s="15"/>
    </row>
    <row r="331" spans="1:9" ht="13.15">
      <c r="A331" s="14"/>
      <c r="B331" s="14"/>
      <c r="C331" s="14"/>
      <c r="D331" s="14"/>
      <c r="E331" s="14"/>
      <c r="F331" s="15"/>
      <c r="G331" s="14"/>
      <c r="H331" s="14"/>
      <c r="I331" s="15"/>
    </row>
    <row r="332" spans="1:9" ht="13.15">
      <c r="A332" s="14"/>
      <c r="B332" s="14"/>
      <c r="C332" s="14"/>
      <c r="D332" s="14"/>
      <c r="E332" s="14"/>
      <c r="F332" s="15"/>
      <c r="G332" s="14"/>
      <c r="H332" s="14"/>
      <c r="I332" s="15"/>
    </row>
    <row r="333" spans="1:9" ht="13.15">
      <c r="A333" s="14"/>
      <c r="B333" s="14"/>
      <c r="C333" s="14"/>
      <c r="D333" s="14"/>
      <c r="E333" s="14"/>
      <c r="F333" s="15"/>
      <c r="G333" s="14"/>
      <c r="H333" s="14"/>
      <c r="I333" s="15"/>
    </row>
    <row r="334" spans="1:9" ht="13.15">
      <c r="A334" s="14"/>
      <c r="B334" s="14"/>
      <c r="C334" s="14"/>
      <c r="D334" s="14"/>
      <c r="E334" s="14"/>
      <c r="F334" s="15"/>
      <c r="G334" s="14"/>
      <c r="H334" s="14"/>
      <c r="I334" s="15"/>
    </row>
    <row r="335" spans="1:9" ht="13.15">
      <c r="A335" s="14"/>
      <c r="B335" s="14"/>
      <c r="C335" s="14"/>
      <c r="D335" s="14"/>
      <c r="E335" s="14"/>
      <c r="F335" s="15"/>
      <c r="G335" s="14"/>
      <c r="H335" s="14"/>
      <c r="I335" s="15"/>
    </row>
    <row r="336" spans="1:9" ht="13.15">
      <c r="A336" s="14"/>
      <c r="B336" s="14"/>
      <c r="C336" s="14"/>
      <c r="D336" s="14"/>
      <c r="E336" s="14"/>
      <c r="F336" s="15"/>
      <c r="G336" s="14"/>
      <c r="H336" s="14"/>
      <c r="I336" s="15"/>
    </row>
    <row r="337" spans="1:9" ht="13.15">
      <c r="A337" s="14"/>
      <c r="B337" s="14"/>
      <c r="C337" s="14"/>
      <c r="D337" s="14"/>
      <c r="E337" s="14"/>
      <c r="F337" s="15"/>
      <c r="G337" s="14"/>
      <c r="H337" s="14"/>
      <c r="I337" s="15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95 I4:I95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7"/>
  <sheetViews>
    <sheetView workbookViewId="0">
      <pane xSplit="2" ySplit="3" topLeftCell="C4" activePane="bottomRight" state="frozen"/>
      <selection pane="bottomRight" activeCell="G4" sqref="G4"/>
      <selection pane="bottomLeft" activeCell="A4" sqref="A4:I20"/>
      <selection pane="topRight" activeCell="A4" sqref="A4:I2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9" t="str" cm="1">
        <f t="array" ref="A1">portfolio</f>
        <v>MN8 KEF</v>
      </c>
      <c r="B1" s="79"/>
      <c r="C1" s="79"/>
      <c r="D1" s="80" t="s">
        <v>10</v>
      </c>
      <c r="E1" s="80"/>
      <c r="F1" s="80"/>
      <c r="G1" s="78" t="s">
        <v>11</v>
      </c>
      <c r="H1" s="78"/>
      <c r="I1" s="78"/>
    </row>
    <row r="2" spans="1:9" ht="19.5" customHeight="1">
      <c r="A2" s="81" t="s">
        <v>2</v>
      </c>
      <c r="B2" s="81"/>
      <c r="C2" s="5">
        <f>SUM(C4:C95)</f>
        <v>5061899.0399440993</v>
      </c>
      <c r="D2" s="5">
        <f>SUM(D4:D95)</f>
        <v>5742936.9100000011</v>
      </c>
      <c r="E2" s="5">
        <f>C2-D2</f>
        <v>-681037.87005590182</v>
      </c>
      <c r="F2" s="6">
        <f>IFERROR(E2/D2, 0)</f>
        <v>-0.11858703669023968</v>
      </c>
      <c r="G2" s="5">
        <f>SUM(G4:G95)</f>
        <v>6132609.5299999993</v>
      </c>
      <c r="H2" s="7">
        <f>C2-G2</f>
        <v>-1070710.4900559001</v>
      </c>
      <c r="I2" s="6">
        <f>IFERROR(H2/G2, 0)</f>
        <v>-0.17459296647179495</v>
      </c>
    </row>
    <row r="3" spans="1:9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</row>
    <row r="4" spans="1:9" ht="15.75">
      <c r="A4" s="66" t="str" cm="1">
        <f t="array" ref="A4:A20">Sites[Site]</f>
        <v>Williamsburg A</v>
      </c>
      <c r="B4" s="62" t="str" cm="1">
        <f t="array" ref="B4:B20">Sites[State]</f>
        <v>MA</v>
      </c>
      <c r="C4" s="57">
        <f>SUM(Jan!C4, Feb!C4, Mar!C4)</f>
        <v>299514.0942748076</v>
      </c>
      <c r="D4" s="45">
        <f>SUM(Jan!D4, Feb!D4, Mar!D4)</f>
        <v>343331.74</v>
      </c>
      <c r="E4" s="45">
        <f>IF(AND(ISNUMBER(C4),ISNUMBER(D4)), C4-D4, "")</f>
        <v>-43817.645725192386</v>
      </c>
      <c r="F4" s="58">
        <f>IFERROR(E4/D4, "")</f>
        <v>-0.1276248031282875</v>
      </c>
      <c r="G4" s="47">
        <f>SUM(Jan!G4, Feb!G4, Mar!G4)</f>
        <v>358213.49</v>
      </c>
      <c r="H4" s="47">
        <f>SUM(Jan!H4, Feb!H4, Mar!H4)</f>
        <v>-58699.3957251924</v>
      </c>
      <c r="I4" s="46">
        <f>IFERROR(H4/G4, "")</f>
        <v>-0.16386707191064301</v>
      </c>
    </row>
    <row r="5" spans="1:9" ht="15.75">
      <c r="A5" s="67" t="str">
        <v>Orange A KB</v>
      </c>
      <c r="B5" s="64" t="str">
        <v>MA</v>
      </c>
      <c r="C5" s="59">
        <f>SUM(Jan!C5, Feb!C5, Mar!C5)</f>
        <v>247279.6956692911</v>
      </c>
      <c r="D5" s="51">
        <f>SUM(Jan!D5, Feb!D5, Mar!D5)</f>
        <v>258904.44999999998</v>
      </c>
      <c r="E5" s="51">
        <f t="shared" ref="E5:E15" si="0">IF(AND(ISNUMBER(C5),ISNUMBER(D5)), C5-D5, "")</f>
        <v>-11624.754330708878</v>
      </c>
      <c r="F5" s="52">
        <f>IFERROR(E5/D5, "")</f>
        <v>-4.4899785734501201E-2</v>
      </c>
      <c r="G5" s="53">
        <f>SUM(Jan!G5, Feb!G5, Mar!G5)</f>
        <v>298151.89</v>
      </c>
      <c r="H5" s="53">
        <f>SUM(Jan!H5, Feb!H5, Mar!H5)</f>
        <v>-50872.194330708902</v>
      </c>
      <c r="I5" s="52">
        <f>IFERROR(H5/G5, "")</f>
        <v>-0.17062509424544953</v>
      </c>
    </row>
    <row r="6" spans="1:9" ht="15.75">
      <c r="A6" s="66" t="str">
        <v>Goshen A</v>
      </c>
      <c r="B6" s="62" t="str">
        <v>MA</v>
      </c>
      <c r="C6" s="57">
        <f>SUM(Jan!C6, Feb!C6, Mar!C6)</f>
        <v>261845</v>
      </c>
      <c r="D6" s="45">
        <f>SUM(Jan!D6, Feb!D6, Mar!D6)</f>
        <v>308555.5</v>
      </c>
      <c r="E6" s="45">
        <f t="shared" si="0"/>
        <v>-46710.5</v>
      </c>
      <c r="F6" s="58">
        <f t="shared" ref="F6:F15" si="1">IFERROR(E6/D6, "")</f>
        <v>-0.15138443489096776</v>
      </c>
      <c r="G6" s="47">
        <f>SUM(Jan!G6, Feb!G6, Mar!G6)</f>
        <v>191088.16</v>
      </c>
      <c r="H6" s="47">
        <f>SUM(Jan!H6, Feb!H6, Mar!H6)</f>
        <v>70756.84</v>
      </c>
      <c r="I6" s="46">
        <f t="shared" ref="I6:I15" si="2">IFERROR(H6/G6, "")</f>
        <v>0.37028374756447491</v>
      </c>
    </row>
    <row r="7" spans="1:9" ht="15.75">
      <c r="A7" s="67" t="str">
        <v>Phillipston A KB</v>
      </c>
      <c r="B7" s="64" t="str">
        <v>MA</v>
      </c>
      <c r="C7" s="59">
        <f>SUM(Jan!C7, Feb!C7, Mar!C7)</f>
        <v>282267</v>
      </c>
      <c r="D7" s="51">
        <f>SUM(Jan!D7, Feb!D7, Mar!D7)</f>
        <v>395445.18</v>
      </c>
      <c r="E7" s="51">
        <f t="shared" si="0"/>
        <v>-113178.18</v>
      </c>
      <c r="F7" s="52">
        <f t="shared" si="1"/>
        <v>-0.28620447466321375</v>
      </c>
      <c r="G7" s="53">
        <f>SUM(Jan!G7, Feb!G7, Mar!G7)</f>
        <v>218309.68</v>
      </c>
      <c r="H7" s="53">
        <f>SUM(Jan!H7, Feb!H7, Mar!H7)</f>
        <v>63957.32</v>
      </c>
      <c r="I7" s="52">
        <f t="shared" si="2"/>
        <v>0.29296602880825073</v>
      </c>
    </row>
    <row r="8" spans="1:9" ht="15.75">
      <c r="A8" s="66" t="str">
        <v>Uxbridge D</v>
      </c>
      <c r="B8" s="62" t="str">
        <v>MA</v>
      </c>
      <c r="C8" s="57">
        <f>SUM(Jan!C8, Feb!C8, Mar!C8)</f>
        <v>312227</v>
      </c>
      <c r="D8" s="45">
        <f>SUM(Jan!D8, Feb!D8, Mar!D8)</f>
        <v>356457.4</v>
      </c>
      <c r="E8" s="45">
        <f t="shared" si="0"/>
        <v>-44230.400000000023</v>
      </c>
      <c r="F8" s="58">
        <f t="shared" si="1"/>
        <v>-0.12408327053948107</v>
      </c>
      <c r="G8" s="47">
        <f>SUM(Jan!G8, Feb!G8, Mar!G8)</f>
        <v>390177.4</v>
      </c>
      <c r="H8" s="47">
        <f>SUM(Jan!H8, Feb!H8, Mar!H8)</f>
        <v>-77950.400000000009</v>
      </c>
      <c r="I8" s="46">
        <f t="shared" si="2"/>
        <v>-0.19978194534076038</v>
      </c>
    </row>
    <row r="9" spans="1:9" ht="15.75">
      <c r="A9" s="67" t="str">
        <v>West Bridgewater A&amp;B</v>
      </c>
      <c r="B9" s="64" t="str">
        <v>MA</v>
      </c>
      <c r="C9" s="59">
        <f>SUM(Jan!C9, Feb!C9, Mar!C9)</f>
        <v>493322</v>
      </c>
      <c r="D9" s="51">
        <f>SUM(Jan!D9, Feb!D9, Mar!D9)</f>
        <v>566022.19999999995</v>
      </c>
      <c r="E9" s="51">
        <f t="shared" si="0"/>
        <v>-72700.199999999953</v>
      </c>
      <c r="F9" s="52">
        <f t="shared" si="1"/>
        <v>-0.12844054526483228</v>
      </c>
      <c r="G9" s="53">
        <f>SUM(Jan!G9, Feb!G9, Mar!G9)</f>
        <v>639439.19999999995</v>
      </c>
      <c r="H9" s="53">
        <f>SUM(Jan!H9, Feb!H9, Mar!H9)</f>
        <v>-146117.19999999998</v>
      </c>
      <c r="I9" s="52">
        <f t="shared" si="2"/>
        <v>-0.22850835544645995</v>
      </c>
    </row>
    <row r="10" spans="1:9" ht="15.75">
      <c r="A10" s="66" t="str">
        <v>Sutton A</v>
      </c>
      <c r="B10" s="62" t="str">
        <v>MA</v>
      </c>
      <c r="C10" s="57">
        <f>SUM(Jan!C10, Feb!C10, Mar!C10)</f>
        <v>251473</v>
      </c>
      <c r="D10" s="45">
        <f>SUM(Jan!D10, Feb!D10, Mar!D10)</f>
        <v>302395.95</v>
      </c>
      <c r="E10" s="45">
        <f t="shared" si="0"/>
        <v>-50922.950000000012</v>
      </c>
      <c r="F10" s="58">
        <f t="shared" si="1"/>
        <v>-0.16839825401100778</v>
      </c>
      <c r="G10" s="47">
        <f>SUM(Jan!G10, Feb!G10, Mar!G10)</f>
        <v>361333.32</v>
      </c>
      <c r="H10" s="47">
        <f>SUM(Jan!H10, Feb!H10, Mar!H10)</f>
        <v>-109860.32</v>
      </c>
      <c r="I10" s="46">
        <f t="shared" si="2"/>
        <v>-0.3040414872340032</v>
      </c>
    </row>
    <row r="11" spans="1:9" ht="15.75">
      <c r="A11" s="67" t="str">
        <v>North Adams A</v>
      </c>
      <c r="B11" s="64" t="str">
        <v>MA</v>
      </c>
      <c r="C11" s="59">
        <f>SUM(Jan!C11, Feb!C11, Mar!C11)</f>
        <v>258785</v>
      </c>
      <c r="D11" s="51">
        <f>SUM(Jan!D11, Feb!D11, Mar!D11)</f>
        <v>294516.74</v>
      </c>
      <c r="E11" s="51">
        <f t="shared" si="0"/>
        <v>-35731.739999999991</v>
      </c>
      <c r="F11" s="52">
        <f t="shared" si="1"/>
        <v>-0.12132329048596692</v>
      </c>
      <c r="G11" s="53">
        <f>SUM(Jan!G11, Feb!G11, Mar!G11)</f>
        <v>363705.86</v>
      </c>
      <c r="H11" s="53">
        <f>SUM(Jan!H11, Feb!H11, Mar!H11)</f>
        <v>-104920.85999999999</v>
      </c>
      <c r="I11" s="52">
        <f t="shared" si="2"/>
        <v>-0.28847723267367753</v>
      </c>
    </row>
    <row r="12" spans="1:9" ht="15.75">
      <c r="A12" s="66" t="str">
        <v>North Adams B</v>
      </c>
      <c r="B12" s="62" t="str">
        <v>MA</v>
      </c>
      <c r="C12" s="57">
        <f>SUM(Jan!C12, Feb!C12, Mar!C12)</f>
        <v>241080</v>
      </c>
      <c r="D12" s="45">
        <f>SUM(Jan!D12, Feb!D12, Mar!D12)</f>
        <v>254351.52999999997</v>
      </c>
      <c r="E12" s="45">
        <f t="shared" si="0"/>
        <v>-13271.52999999997</v>
      </c>
      <c r="F12" s="58">
        <f t="shared" si="1"/>
        <v>-5.2177905122096066E-2</v>
      </c>
      <c r="G12" s="47">
        <f>SUM(Jan!G12, Feb!G12, Mar!G12)</f>
        <v>363705.86</v>
      </c>
      <c r="H12" s="47">
        <f>SUM(Jan!H12, Feb!H12, Mar!H12)</f>
        <v>-122625.85999999999</v>
      </c>
      <c r="I12" s="46">
        <f t="shared" si="2"/>
        <v>-0.33715667930123533</v>
      </c>
    </row>
    <row r="13" spans="1:9" ht="15.75">
      <c r="A13" s="67" t="str">
        <v>Clarksburg A</v>
      </c>
      <c r="B13" s="64" t="str">
        <v>MA</v>
      </c>
      <c r="C13" s="59">
        <f>SUM(Jan!C13, Feb!C13, Mar!C13)</f>
        <v>253576</v>
      </c>
      <c r="D13" s="51">
        <f>SUM(Jan!D13, Feb!D13, Mar!D13)</f>
        <v>280640.43000000005</v>
      </c>
      <c r="E13" s="51">
        <f t="shared" si="0"/>
        <v>-27064.430000000051</v>
      </c>
      <c r="F13" s="52">
        <f t="shared" si="1"/>
        <v>-9.6438100526000645E-2</v>
      </c>
      <c r="G13" s="53">
        <f>SUM(Jan!G13, Feb!G13, Mar!G13)</f>
        <v>362052.99</v>
      </c>
      <c r="H13" s="53">
        <f>SUM(Jan!H13, Feb!H13, Mar!H13)</f>
        <v>-108476.99</v>
      </c>
      <c r="I13" s="52">
        <f t="shared" si="2"/>
        <v>-0.29961633516684949</v>
      </c>
    </row>
    <row r="14" spans="1:9" ht="15.75">
      <c r="A14" s="66" t="str">
        <v>Swansea B</v>
      </c>
      <c r="B14" s="62" t="str">
        <v>MA</v>
      </c>
      <c r="C14" s="57">
        <f>SUM(Jan!C14, Feb!C14, Mar!C14)</f>
        <v>318674</v>
      </c>
      <c r="D14" s="45">
        <f>SUM(Jan!D14, Feb!D14, Mar!D14)</f>
        <v>361411.34</v>
      </c>
      <c r="E14" s="45">
        <f t="shared" si="0"/>
        <v>-42737.340000000026</v>
      </c>
      <c r="F14" s="58">
        <f t="shared" si="1"/>
        <v>-0.11825124247623227</v>
      </c>
      <c r="G14" s="47">
        <f>SUM(Jan!G14, Feb!G14, Mar!G14)</f>
        <v>218954.31</v>
      </c>
      <c r="H14" s="47">
        <f>SUM(Jan!H14, Feb!H14, Mar!H14)</f>
        <v>99719.689999999988</v>
      </c>
      <c r="I14" s="46">
        <f t="shared" si="2"/>
        <v>0.45543606791754859</v>
      </c>
    </row>
    <row r="15" spans="1:9" ht="15.75">
      <c r="A15" s="67" t="str">
        <v>Wareham 2</v>
      </c>
      <c r="B15" s="64" t="str">
        <v>MA</v>
      </c>
      <c r="C15" s="59">
        <f>SUM(Jan!C15, Feb!C15, Mar!C15)</f>
        <v>271754.25</v>
      </c>
      <c r="D15" s="51">
        <f>SUM(Jan!D15, Feb!D15, Mar!D15)</f>
        <v>287011.73</v>
      </c>
      <c r="E15" s="51">
        <f t="shared" si="0"/>
        <v>-15257.479999999981</v>
      </c>
      <c r="F15" s="52">
        <f t="shared" si="1"/>
        <v>-5.3159778521943972E-2</v>
      </c>
      <c r="G15" s="53">
        <f>SUM(Jan!G15, Feb!G15, Mar!G15)</f>
        <v>395554.69999999995</v>
      </c>
      <c r="H15" s="53">
        <f>SUM(Jan!H15, Feb!H15, Mar!H15)</f>
        <v>-123800.45</v>
      </c>
      <c r="I15" s="52">
        <f t="shared" si="2"/>
        <v>-0.31297934268003896</v>
      </c>
    </row>
    <row r="16" spans="1:9" ht="15.75">
      <c r="A16" s="66" t="str">
        <v>Kingston 1 KB</v>
      </c>
      <c r="B16" s="62" t="str">
        <v>MA</v>
      </c>
      <c r="C16" s="57">
        <f>SUM(Jan!C16, Feb!C16, Mar!C16)</f>
        <v>246362</v>
      </c>
      <c r="D16" s="45">
        <f>SUM(Jan!D16, Feb!D16, Mar!D16)</f>
        <v>280103.39</v>
      </c>
      <c r="E16" s="45">
        <f t="shared" ref="E16:E18" si="3">IF(AND(ISNUMBER(C16),ISNUMBER(D16)), C16-D16, "")</f>
        <v>-33741.390000000014</v>
      </c>
      <c r="F16" s="58">
        <f t="shared" ref="F16:F18" si="4">IFERROR(E16/D16, "")</f>
        <v>-0.12046048425190431</v>
      </c>
      <c r="G16" s="47">
        <f>SUM(Jan!G16, Feb!G16, Mar!G16)</f>
        <v>297310.99</v>
      </c>
      <c r="H16" s="47">
        <f>SUM(Jan!H16, Feb!H16, Mar!H16)</f>
        <v>-50948.990000000005</v>
      </c>
      <c r="I16" s="46">
        <f t="shared" ref="I16:I18" si="5">IFERROR(H16/G16, "")</f>
        <v>-0.17136598280473928</v>
      </c>
    </row>
    <row r="17" spans="1:9" ht="15.75">
      <c r="A17" s="67" t="str">
        <v>Kingston 2 KB</v>
      </c>
      <c r="B17" s="64" t="str">
        <v>MA</v>
      </c>
      <c r="C17" s="59">
        <f>SUM(Jan!C17, Feb!C17, Mar!C17)</f>
        <v>205192</v>
      </c>
      <c r="D17" s="51">
        <f>SUM(Jan!D17, Feb!D17, Mar!D17)</f>
        <v>180108.57</v>
      </c>
      <c r="E17" s="51">
        <f t="shared" si="3"/>
        <v>25083.429999999993</v>
      </c>
      <c r="F17" s="52">
        <f t="shared" si="4"/>
        <v>0.13926838684022638</v>
      </c>
      <c r="G17" s="53">
        <f>SUM(Jan!G17, Feb!G17, Mar!G17)</f>
        <v>238641.77000000002</v>
      </c>
      <c r="H17" s="53">
        <f>SUM(Jan!H17, Feb!H17, Mar!H17)</f>
        <v>-33449.769999999997</v>
      </c>
      <c r="I17" s="52">
        <f t="shared" si="5"/>
        <v>-0.14016728923859387</v>
      </c>
    </row>
    <row r="18" spans="1:9" ht="12.75" customHeight="1">
      <c r="A18" s="66" t="str">
        <v>Holliston B</v>
      </c>
      <c r="B18" s="62" t="str">
        <v>MA</v>
      </c>
      <c r="C18" s="57">
        <f>SUM(Jan!C18, Feb!C18, Mar!C18)</f>
        <v>281743</v>
      </c>
      <c r="D18" s="45">
        <f>SUM(Jan!D18, Feb!D18, Mar!D18)</f>
        <v>324177.82</v>
      </c>
      <c r="E18" s="45">
        <f t="shared" si="3"/>
        <v>-42434.820000000007</v>
      </c>
      <c r="F18" s="58">
        <f t="shared" si="4"/>
        <v>-0.13089982528724514</v>
      </c>
      <c r="G18" s="47">
        <f>SUM(Jan!G18, Feb!G18, Mar!G18)</f>
        <v>379539.77</v>
      </c>
      <c r="H18" s="47">
        <f>SUM(Jan!H18, Feb!H18, Mar!H18)</f>
        <v>-97796.77</v>
      </c>
      <c r="I18" s="52">
        <f t="shared" si="5"/>
        <v>-0.25767199574368715</v>
      </c>
    </row>
    <row r="19" spans="1:9" ht="15.75">
      <c r="A19" s="67" t="str">
        <v>Fairhaven C</v>
      </c>
      <c r="B19" s="64" t="str">
        <v>MA</v>
      </c>
      <c r="C19" s="59">
        <f>SUM(Jan!C19, Feb!C19, Mar!C19)</f>
        <v>542636</v>
      </c>
      <c r="D19" s="51">
        <f>SUM(Jan!D19, Feb!D19, Mar!D19)</f>
        <v>619098.5</v>
      </c>
      <c r="E19" s="51">
        <f t="shared" ref="E19:E20" si="6">IF(AND(ISNUMBER(C19),ISNUMBER(D19)), C19-D19, "")</f>
        <v>-76462.5</v>
      </c>
      <c r="F19" s="52">
        <f t="shared" ref="F19:F20" si="7">IFERROR(E19/D19, "")</f>
        <v>-0.12350619489467346</v>
      </c>
      <c r="G19" s="53">
        <f>SUM(Jan!G19, Feb!G19, Mar!G19)</f>
        <v>678228.9</v>
      </c>
      <c r="H19" s="53">
        <f>SUM(Jan!H19, Feb!H19, Mar!H19)</f>
        <v>-135592.90000000002</v>
      </c>
      <c r="I19" s="46">
        <f t="shared" ref="I19:I20" si="8">IFERROR(H19/G19, "")</f>
        <v>-0.19992203222245472</v>
      </c>
    </row>
    <row r="20" spans="1:9" ht="15.75">
      <c r="A20" s="66" t="str">
        <v>Plympton A-2</v>
      </c>
      <c r="B20" s="62" t="str">
        <v>MA</v>
      </c>
      <c r="C20" s="57">
        <f>SUM(Jan!C20, Feb!C20, Mar!C20)</f>
        <v>294169</v>
      </c>
      <c r="D20" s="45">
        <f>SUM(Jan!D20, Feb!D20, Mar!D20)</f>
        <v>330404.44</v>
      </c>
      <c r="E20" s="45">
        <f t="shared" si="6"/>
        <v>-36235.440000000002</v>
      </c>
      <c r="F20" s="58">
        <f t="shared" si="7"/>
        <v>-0.10966995479842825</v>
      </c>
      <c r="G20" s="47">
        <f>SUM(Jan!G20, Feb!G20, Mar!G20)</f>
        <v>378201.24</v>
      </c>
      <c r="H20" s="47">
        <f>SUM(Jan!H20, Feb!H20, Mar!H20)</f>
        <v>-84032.239999999991</v>
      </c>
      <c r="I20" s="52">
        <f t="shared" si="8"/>
        <v>-0.22218922391687557</v>
      </c>
    </row>
    <row r="21" spans="1:9" ht="14.25">
      <c r="A21" s="14"/>
      <c r="B21" s="9"/>
      <c r="C21" s="14"/>
      <c r="D21" s="14"/>
      <c r="E21" s="14"/>
      <c r="F21" s="14"/>
      <c r="G21" s="14"/>
      <c r="H21" s="14"/>
      <c r="I21" s="14"/>
    </row>
    <row r="22" spans="1:9" ht="13.15">
      <c r="A22" s="14"/>
      <c r="B22" s="14"/>
      <c r="C22" s="14"/>
      <c r="D22" s="14"/>
      <c r="E22" s="14"/>
      <c r="F22" s="14"/>
      <c r="G22" s="14"/>
      <c r="H22" s="14"/>
      <c r="I22" s="14"/>
    </row>
    <row r="23" spans="1:9" ht="13.15">
      <c r="A23" s="14"/>
      <c r="B23" s="14"/>
      <c r="C23" s="14"/>
      <c r="D23" s="14"/>
      <c r="E23" s="14"/>
      <c r="F23" s="14"/>
      <c r="G23" s="14"/>
      <c r="H23" s="14"/>
      <c r="I23" s="14"/>
    </row>
    <row r="24" spans="1:9" ht="13.15">
      <c r="A24" s="14"/>
      <c r="B24" s="14"/>
      <c r="C24" s="14"/>
      <c r="D24" s="14"/>
      <c r="E24" s="14"/>
      <c r="F24" s="14"/>
      <c r="G24" s="14"/>
      <c r="H24" s="14"/>
      <c r="I24" s="14"/>
    </row>
    <row r="25" spans="1:9" ht="13.15">
      <c r="A25" s="14"/>
      <c r="B25" s="14"/>
      <c r="C25" s="14"/>
      <c r="D25" s="14"/>
      <c r="E25" s="14"/>
      <c r="F25" s="14"/>
      <c r="G25" s="14"/>
      <c r="H25" s="14"/>
      <c r="I25" s="14"/>
    </row>
    <row r="26" spans="1:9" ht="13.15">
      <c r="A26" s="14"/>
      <c r="B26" s="14"/>
      <c r="C26" s="14"/>
      <c r="D26" s="14"/>
      <c r="E26" s="14"/>
      <c r="F26" s="14"/>
      <c r="G26" s="14"/>
      <c r="H26" s="14"/>
      <c r="I26" s="14"/>
    </row>
    <row r="27" spans="1:9" ht="13.15">
      <c r="A27" s="14"/>
      <c r="B27" s="14"/>
      <c r="C27" s="14"/>
      <c r="D27" s="14"/>
      <c r="E27" s="14"/>
      <c r="F27" s="14"/>
      <c r="G27" s="14"/>
      <c r="H27" s="14"/>
      <c r="I27" s="14"/>
    </row>
    <row r="28" spans="1:9" ht="13.15">
      <c r="A28" s="14"/>
      <c r="B28" s="14"/>
      <c r="C28" s="14"/>
      <c r="D28" s="14"/>
      <c r="E28" s="14"/>
      <c r="F28" s="15"/>
      <c r="G28" s="14"/>
      <c r="H28" s="14"/>
      <c r="I28" s="15"/>
    </row>
    <row r="29" spans="1:9" ht="13.15">
      <c r="A29" s="14"/>
      <c r="B29" s="14"/>
      <c r="C29" s="14"/>
      <c r="D29" s="14"/>
      <c r="E29" s="14"/>
      <c r="F29" s="15"/>
      <c r="G29" s="14"/>
      <c r="H29" s="14"/>
      <c r="I29" s="15"/>
    </row>
    <row r="30" spans="1:9" ht="13.15">
      <c r="A30" s="14"/>
      <c r="B30" s="14"/>
      <c r="C30" s="14"/>
      <c r="D30" s="14"/>
      <c r="E30" s="14"/>
      <c r="F30" s="15"/>
      <c r="G30" s="14"/>
      <c r="H30" s="14"/>
      <c r="I30" s="15"/>
    </row>
    <row r="31" spans="1:9" ht="13.15">
      <c r="A31" s="14"/>
      <c r="B31" s="14"/>
      <c r="C31" s="14"/>
      <c r="D31" s="14"/>
      <c r="E31" s="14"/>
      <c r="F31" s="15"/>
      <c r="G31" s="14"/>
      <c r="H31" s="14"/>
      <c r="I31" s="15"/>
    </row>
    <row r="32" spans="1:9" ht="13.15">
      <c r="A32" s="14"/>
      <c r="B32" s="14"/>
      <c r="C32" s="14"/>
      <c r="D32" s="14"/>
      <c r="E32" s="14"/>
      <c r="F32" s="15"/>
      <c r="G32" s="14"/>
      <c r="H32" s="14"/>
      <c r="I32" s="15"/>
    </row>
    <row r="33" spans="1:9" ht="13.15">
      <c r="A33" s="14"/>
      <c r="B33" s="14"/>
      <c r="C33" s="14"/>
      <c r="D33" s="14"/>
      <c r="E33" s="14"/>
      <c r="F33" s="15"/>
      <c r="G33" s="14"/>
      <c r="H33" s="14"/>
      <c r="I33" s="15"/>
    </row>
    <row r="34" spans="1:9" ht="13.15">
      <c r="A34" s="14"/>
      <c r="B34" s="14"/>
      <c r="C34" s="14"/>
      <c r="D34" s="14"/>
      <c r="E34" s="14"/>
      <c r="F34" s="15"/>
      <c r="G34" s="14"/>
      <c r="H34" s="14"/>
      <c r="I34" s="15"/>
    </row>
    <row r="35" spans="1:9" ht="13.15">
      <c r="A35" s="14"/>
      <c r="B35" s="14"/>
      <c r="C35" s="14"/>
      <c r="D35" s="14"/>
      <c r="E35" s="14"/>
      <c r="F35" s="15"/>
      <c r="G35" s="14"/>
      <c r="H35" s="14"/>
      <c r="I35" s="15"/>
    </row>
    <row r="36" spans="1:9" ht="13.15">
      <c r="A36" s="14"/>
      <c r="B36" s="14"/>
      <c r="C36" s="14"/>
      <c r="D36" s="14"/>
      <c r="E36" s="14"/>
      <c r="F36" s="15"/>
      <c r="G36" s="14"/>
      <c r="H36" s="14"/>
      <c r="I36" s="15"/>
    </row>
    <row r="37" spans="1:9" ht="13.15">
      <c r="A37" s="14"/>
      <c r="B37" s="14"/>
      <c r="C37" s="14"/>
      <c r="D37" s="14"/>
      <c r="E37" s="14"/>
      <c r="F37" s="15"/>
      <c r="G37" s="14"/>
      <c r="H37" s="14"/>
      <c r="I37" s="15"/>
    </row>
    <row r="38" spans="1:9" ht="13.15">
      <c r="A38" s="14"/>
      <c r="B38" s="14"/>
      <c r="C38" s="14"/>
      <c r="D38" s="14"/>
      <c r="E38" s="14"/>
      <c r="F38" s="15"/>
      <c r="G38" s="14"/>
      <c r="H38" s="14"/>
      <c r="I38" s="15"/>
    </row>
    <row r="39" spans="1:9" ht="13.15">
      <c r="A39" s="14"/>
      <c r="B39" s="14"/>
      <c r="C39" s="14"/>
      <c r="D39" s="14"/>
      <c r="E39" s="14"/>
      <c r="F39" s="15"/>
      <c r="G39" s="14"/>
      <c r="H39" s="14"/>
      <c r="I39" s="15"/>
    </row>
    <row r="40" spans="1:9" ht="13.15">
      <c r="A40" s="14"/>
      <c r="B40" s="14"/>
      <c r="C40" s="14"/>
      <c r="D40" s="14"/>
      <c r="E40" s="14"/>
      <c r="F40" s="15"/>
      <c r="G40" s="14"/>
      <c r="H40" s="14"/>
      <c r="I40" s="15"/>
    </row>
    <row r="41" spans="1:9" ht="13.15">
      <c r="A41" s="14"/>
      <c r="B41" s="14"/>
      <c r="C41" s="14"/>
      <c r="D41" s="14"/>
      <c r="E41" s="14"/>
      <c r="F41" s="15"/>
      <c r="G41" s="14"/>
      <c r="H41" s="14"/>
      <c r="I41" s="15"/>
    </row>
    <row r="42" spans="1:9" ht="13.15">
      <c r="A42" s="14"/>
      <c r="B42" s="14"/>
      <c r="C42" s="14"/>
      <c r="D42" s="14"/>
      <c r="E42" s="14"/>
      <c r="F42" s="15"/>
      <c r="G42" s="14"/>
      <c r="H42" s="14"/>
      <c r="I42" s="15"/>
    </row>
    <row r="43" spans="1:9" ht="13.15">
      <c r="A43" s="14"/>
      <c r="B43" s="14"/>
      <c r="C43" s="14"/>
      <c r="D43" s="14"/>
      <c r="E43" s="14"/>
      <c r="F43" s="15"/>
      <c r="G43" s="14"/>
      <c r="H43" s="14"/>
      <c r="I43" s="15"/>
    </row>
    <row r="44" spans="1:9" ht="13.15">
      <c r="A44" s="14"/>
      <c r="B44" s="14"/>
      <c r="C44" s="14"/>
      <c r="D44" s="14"/>
      <c r="E44" s="14"/>
      <c r="F44" s="15"/>
      <c r="G44" s="14"/>
      <c r="H44" s="14"/>
      <c r="I44" s="15"/>
    </row>
    <row r="45" spans="1:9" ht="13.15">
      <c r="A45" s="14"/>
      <c r="B45" s="14"/>
      <c r="C45" s="14"/>
      <c r="D45" s="14"/>
      <c r="E45" s="14"/>
      <c r="F45" s="15"/>
      <c r="G45" s="14"/>
      <c r="H45" s="14"/>
      <c r="I45" s="15"/>
    </row>
    <row r="46" spans="1:9" ht="13.15">
      <c r="A46" s="14"/>
      <c r="B46" s="14"/>
      <c r="C46" s="14"/>
      <c r="D46" s="14"/>
      <c r="E46" s="14"/>
      <c r="F46" s="15"/>
      <c r="G46" s="14"/>
      <c r="H46" s="14"/>
      <c r="I46" s="15"/>
    </row>
    <row r="47" spans="1:9" ht="13.15">
      <c r="A47" s="14"/>
      <c r="B47" s="14"/>
      <c r="C47" s="14"/>
      <c r="D47" s="14"/>
      <c r="E47" s="14"/>
      <c r="F47" s="15"/>
      <c r="G47" s="14"/>
      <c r="H47" s="14"/>
      <c r="I47" s="15"/>
    </row>
    <row r="48" spans="1:9" ht="13.15">
      <c r="A48" s="14"/>
      <c r="B48" s="14"/>
      <c r="C48" s="14"/>
      <c r="D48" s="14"/>
      <c r="E48" s="14"/>
      <c r="F48" s="15"/>
      <c r="G48" s="14"/>
      <c r="H48" s="14"/>
      <c r="I48" s="15"/>
    </row>
    <row r="49" spans="1:9" ht="13.15">
      <c r="A49" s="14"/>
      <c r="B49" s="14"/>
      <c r="C49" s="14"/>
      <c r="D49" s="14"/>
      <c r="E49" s="14"/>
      <c r="F49" s="15"/>
      <c r="G49" s="14"/>
      <c r="H49" s="14"/>
      <c r="I49" s="15"/>
    </row>
    <row r="50" spans="1:9" ht="13.15">
      <c r="A50" s="14"/>
      <c r="B50" s="14"/>
      <c r="C50" s="14"/>
      <c r="D50" s="14"/>
      <c r="E50" s="14"/>
      <c r="F50" s="15"/>
      <c r="G50" s="14"/>
      <c r="H50" s="14"/>
      <c r="I50" s="15"/>
    </row>
    <row r="51" spans="1:9" ht="13.15">
      <c r="A51" s="14"/>
      <c r="B51" s="14"/>
      <c r="C51" s="14"/>
      <c r="D51" s="14"/>
      <c r="E51" s="14"/>
      <c r="F51" s="15"/>
      <c r="G51" s="14"/>
      <c r="H51" s="14"/>
      <c r="I51" s="15"/>
    </row>
    <row r="52" spans="1:9" ht="13.15">
      <c r="A52" s="14"/>
      <c r="B52" s="14"/>
      <c r="C52" s="14"/>
      <c r="D52" s="14"/>
      <c r="E52" s="14"/>
      <c r="F52" s="15"/>
      <c r="G52" s="14"/>
      <c r="H52" s="14"/>
      <c r="I52" s="15"/>
    </row>
    <row r="53" spans="1:9" ht="13.15">
      <c r="A53" s="14"/>
      <c r="B53" s="14"/>
      <c r="C53" s="14"/>
      <c r="D53" s="14"/>
      <c r="E53" s="14"/>
      <c r="F53" s="15"/>
      <c r="G53" s="14"/>
      <c r="H53" s="14"/>
      <c r="I53" s="15"/>
    </row>
    <row r="54" spans="1:9" ht="13.15">
      <c r="A54" s="14"/>
      <c r="B54" s="14"/>
      <c r="C54" s="14"/>
      <c r="D54" s="14"/>
      <c r="E54" s="14"/>
      <c r="F54" s="15"/>
      <c r="G54" s="14"/>
      <c r="H54" s="14"/>
      <c r="I54" s="15"/>
    </row>
    <row r="55" spans="1:9" ht="13.15">
      <c r="A55" s="14"/>
      <c r="B55" s="14"/>
      <c r="C55" s="14"/>
      <c r="D55" s="14"/>
      <c r="E55" s="14"/>
      <c r="F55" s="15"/>
      <c r="G55" s="14"/>
      <c r="H55" s="14"/>
      <c r="I55" s="15"/>
    </row>
    <row r="56" spans="1:9" ht="13.15">
      <c r="A56" s="14"/>
      <c r="B56" s="14"/>
      <c r="C56" s="14"/>
      <c r="D56" s="14"/>
      <c r="E56" s="14"/>
      <c r="F56" s="15"/>
      <c r="G56" s="14"/>
      <c r="H56" s="14"/>
      <c r="I56" s="15"/>
    </row>
    <row r="57" spans="1:9" ht="13.15">
      <c r="A57" s="14"/>
      <c r="B57" s="14"/>
      <c r="C57" s="14"/>
      <c r="D57" s="14"/>
      <c r="E57" s="14"/>
      <c r="F57" s="15"/>
      <c r="G57" s="14"/>
      <c r="H57" s="14"/>
      <c r="I57" s="15"/>
    </row>
    <row r="58" spans="1:9" ht="13.15">
      <c r="A58" s="14"/>
      <c r="B58" s="14"/>
      <c r="C58" s="14"/>
      <c r="D58" s="14"/>
      <c r="E58" s="14"/>
      <c r="F58" s="15"/>
      <c r="G58" s="14"/>
      <c r="H58" s="14"/>
      <c r="I58" s="15"/>
    </row>
    <row r="59" spans="1:9" ht="13.15">
      <c r="A59" s="14"/>
      <c r="B59" s="14"/>
      <c r="C59" s="14"/>
      <c r="D59" s="14"/>
      <c r="E59" s="14"/>
      <c r="F59" s="15"/>
      <c r="G59" s="14"/>
      <c r="H59" s="14"/>
      <c r="I59" s="15"/>
    </row>
    <row r="60" spans="1:9" ht="13.15">
      <c r="A60" s="14"/>
      <c r="B60" s="14"/>
      <c r="C60" s="14"/>
      <c r="D60" s="14"/>
      <c r="E60" s="14"/>
      <c r="F60" s="15"/>
      <c r="G60" s="14"/>
      <c r="H60" s="14"/>
      <c r="I60" s="15"/>
    </row>
    <row r="61" spans="1:9" ht="13.15">
      <c r="A61" s="14"/>
      <c r="B61" s="14"/>
      <c r="C61" s="14"/>
      <c r="D61" s="14"/>
      <c r="E61" s="14"/>
      <c r="F61" s="15"/>
      <c r="G61" s="14"/>
      <c r="H61" s="14"/>
      <c r="I61" s="15"/>
    </row>
    <row r="62" spans="1:9" ht="13.15">
      <c r="A62" s="14"/>
      <c r="B62" s="14"/>
      <c r="C62" s="14"/>
      <c r="D62" s="14"/>
      <c r="E62" s="14"/>
      <c r="F62" s="15"/>
      <c r="G62" s="14"/>
      <c r="H62" s="14"/>
      <c r="I62" s="15"/>
    </row>
    <row r="63" spans="1:9" ht="13.15">
      <c r="A63" s="14"/>
      <c r="B63" s="14"/>
      <c r="C63" s="14"/>
      <c r="D63" s="14"/>
      <c r="E63" s="14"/>
      <c r="F63" s="15"/>
      <c r="G63" s="14"/>
      <c r="H63" s="14"/>
      <c r="I63" s="15"/>
    </row>
    <row r="64" spans="1:9" ht="13.15">
      <c r="A64" s="14"/>
      <c r="B64" s="14"/>
      <c r="C64" s="14"/>
      <c r="D64" s="14"/>
      <c r="E64" s="14"/>
      <c r="F64" s="15"/>
      <c r="G64" s="14"/>
      <c r="H64" s="14"/>
      <c r="I64" s="15"/>
    </row>
    <row r="65" spans="1:9" ht="13.15">
      <c r="A65" s="14"/>
      <c r="B65" s="14"/>
      <c r="C65" s="14"/>
      <c r="D65" s="14"/>
      <c r="E65" s="14"/>
      <c r="F65" s="15"/>
      <c r="G65" s="14"/>
      <c r="H65" s="14"/>
      <c r="I65" s="15"/>
    </row>
    <row r="66" spans="1:9" ht="13.15">
      <c r="A66" s="14"/>
      <c r="B66" s="14"/>
      <c r="C66" s="14"/>
      <c r="D66" s="14"/>
      <c r="E66" s="14"/>
      <c r="F66" s="15"/>
      <c r="G66" s="14"/>
      <c r="H66" s="14"/>
      <c r="I66" s="15"/>
    </row>
    <row r="67" spans="1:9" ht="13.15">
      <c r="A67" s="14"/>
      <c r="B67" s="14"/>
      <c r="C67" s="14"/>
      <c r="D67" s="14"/>
      <c r="E67" s="14"/>
      <c r="F67" s="15"/>
      <c r="G67" s="14"/>
      <c r="H67" s="14"/>
      <c r="I67" s="15"/>
    </row>
    <row r="68" spans="1:9" ht="13.15">
      <c r="A68" s="14"/>
      <c r="B68" s="14"/>
      <c r="C68" s="14"/>
      <c r="D68" s="14"/>
      <c r="E68" s="14"/>
      <c r="F68" s="15"/>
      <c r="G68" s="14"/>
      <c r="H68" s="14"/>
      <c r="I68" s="15"/>
    </row>
    <row r="69" spans="1:9" ht="13.15">
      <c r="A69" s="14"/>
      <c r="B69" s="14"/>
      <c r="C69" s="14"/>
      <c r="D69" s="14"/>
      <c r="E69" s="14"/>
      <c r="F69" s="15"/>
      <c r="G69" s="14"/>
      <c r="H69" s="14"/>
      <c r="I69" s="15"/>
    </row>
    <row r="70" spans="1:9" ht="13.15">
      <c r="A70" s="14"/>
      <c r="B70" s="14"/>
      <c r="C70" s="14"/>
      <c r="D70" s="14"/>
      <c r="E70" s="14"/>
      <c r="F70" s="15"/>
      <c r="G70" s="14"/>
      <c r="H70" s="14"/>
      <c r="I70" s="15"/>
    </row>
    <row r="71" spans="1:9" ht="13.15">
      <c r="A71" s="14"/>
      <c r="B71" s="14"/>
      <c r="C71" s="14"/>
      <c r="D71" s="14"/>
      <c r="E71" s="14"/>
      <c r="F71" s="15"/>
      <c r="G71" s="14"/>
      <c r="H71" s="14"/>
      <c r="I71" s="15"/>
    </row>
    <row r="72" spans="1:9" ht="13.15">
      <c r="A72" s="14"/>
      <c r="B72" s="14"/>
      <c r="C72" s="14"/>
      <c r="D72" s="14"/>
      <c r="E72" s="14"/>
      <c r="F72" s="15"/>
      <c r="G72" s="14"/>
      <c r="H72" s="14"/>
      <c r="I72" s="15"/>
    </row>
    <row r="73" spans="1:9" ht="13.15">
      <c r="A73" s="14"/>
      <c r="B73" s="14"/>
      <c r="C73" s="14"/>
      <c r="D73" s="14"/>
      <c r="E73" s="14"/>
      <c r="F73" s="15"/>
      <c r="G73" s="14"/>
      <c r="H73" s="14"/>
      <c r="I73" s="15"/>
    </row>
    <row r="74" spans="1:9" ht="13.15">
      <c r="A74" s="14"/>
      <c r="B74" s="14"/>
      <c r="C74" s="14"/>
      <c r="D74" s="14"/>
      <c r="E74" s="14"/>
      <c r="F74" s="15"/>
      <c r="G74" s="14"/>
      <c r="H74" s="14"/>
      <c r="I74" s="15"/>
    </row>
    <row r="75" spans="1:9" ht="13.15">
      <c r="A75" s="14"/>
      <c r="B75" s="14"/>
      <c r="C75" s="14"/>
      <c r="D75" s="14"/>
      <c r="E75" s="14"/>
      <c r="F75" s="15"/>
      <c r="G75" s="14"/>
      <c r="H75" s="14"/>
      <c r="I75" s="15"/>
    </row>
    <row r="76" spans="1:9" ht="13.15">
      <c r="A76" s="14"/>
      <c r="B76" s="14"/>
      <c r="C76" s="14"/>
      <c r="D76" s="14"/>
      <c r="E76" s="14"/>
      <c r="F76" s="15"/>
      <c r="G76" s="14"/>
      <c r="H76" s="14"/>
      <c r="I76" s="15"/>
    </row>
    <row r="77" spans="1:9" ht="13.15">
      <c r="A77" s="14"/>
      <c r="B77" s="14"/>
      <c r="C77" s="14"/>
      <c r="D77" s="14"/>
      <c r="E77" s="14"/>
      <c r="F77" s="15"/>
      <c r="G77" s="14"/>
      <c r="H77" s="14"/>
      <c r="I77" s="15"/>
    </row>
    <row r="78" spans="1:9" ht="13.15">
      <c r="A78" s="14"/>
      <c r="B78" s="14"/>
      <c r="C78" s="14"/>
      <c r="D78" s="14"/>
      <c r="E78" s="14"/>
      <c r="F78" s="15"/>
      <c r="G78" s="14"/>
      <c r="H78" s="14"/>
      <c r="I78" s="15"/>
    </row>
    <row r="79" spans="1:9" ht="13.15">
      <c r="A79" s="14"/>
      <c r="B79" s="14"/>
      <c r="C79" s="14"/>
      <c r="D79" s="14"/>
      <c r="E79" s="14"/>
      <c r="F79" s="15"/>
      <c r="G79" s="14"/>
      <c r="H79" s="14"/>
      <c r="I79" s="15"/>
    </row>
    <row r="80" spans="1:9" ht="13.15">
      <c r="A80" s="14"/>
      <c r="B80" s="14"/>
      <c r="C80" s="14"/>
      <c r="D80" s="14"/>
      <c r="E80" s="14"/>
      <c r="F80" s="15"/>
      <c r="G80" s="14"/>
      <c r="H80" s="14"/>
      <c r="I80" s="15"/>
    </row>
    <row r="81" spans="1:9" ht="13.15">
      <c r="A81" s="14"/>
      <c r="B81" s="14"/>
      <c r="C81" s="14"/>
      <c r="D81" s="14"/>
      <c r="E81" s="14"/>
      <c r="F81" s="15"/>
      <c r="G81" s="14"/>
      <c r="H81" s="14"/>
      <c r="I81" s="15"/>
    </row>
    <row r="82" spans="1:9" ht="13.15">
      <c r="A82" s="14"/>
      <c r="B82" s="14"/>
      <c r="C82" s="14"/>
      <c r="D82" s="14"/>
      <c r="E82" s="14"/>
      <c r="F82" s="15"/>
      <c r="G82" s="14"/>
      <c r="H82" s="14"/>
      <c r="I82" s="15"/>
    </row>
    <row r="83" spans="1:9" ht="13.15">
      <c r="A83" s="14"/>
      <c r="B83" s="14"/>
      <c r="C83" s="14"/>
      <c r="D83" s="14"/>
      <c r="E83" s="14"/>
      <c r="F83" s="15"/>
      <c r="G83" s="14"/>
      <c r="H83" s="14"/>
      <c r="I83" s="15"/>
    </row>
    <row r="84" spans="1:9" ht="13.15">
      <c r="A84" s="14"/>
      <c r="B84" s="14"/>
      <c r="C84" s="14"/>
      <c r="D84" s="14"/>
      <c r="E84" s="14"/>
      <c r="F84" s="15"/>
      <c r="G84" s="14"/>
      <c r="H84" s="14"/>
      <c r="I84" s="15"/>
    </row>
    <row r="85" spans="1:9" ht="13.15">
      <c r="A85" s="14"/>
      <c r="B85" s="14"/>
      <c r="C85" s="14"/>
      <c r="D85" s="14"/>
      <c r="E85" s="14"/>
      <c r="F85" s="15"/>
      <c r="G85" s="14"/>
      <c r="H85" s="14"/>
      <c r="I85" s="15"/>
    </row>
    <row r="86" spans="1:9" ht="13.15">
      <c r="A86" s="14"/>
      <c r="B86" s="14"/>
      <c r="C86" s="14"/>
      <c r="D86" s="14"/>
      <c r="E86" s="14"/>
      <c r="F86" s="15"/>
      <c r="G86" s="14"/>
      <c r="H86" s="14"/>
      <c r="I86" s="15"/>
    </row>
    <row r="87" spans="1:9" ht="13.15">
      <c r="A87" s="14"/>
      <c r="B87" s="14"/>
      <c r="C87" s="14"/>
      <c r="D87" s="14"/>
      <c r="E87" s="14"/>
      <c r="F87" s="15"/>
      <c r="G87" s="14"/>
      <c r="H87" s="14"/>
      <c r="I87" s="15"/>
    </row>
    <row r="88" spans="1:9" ht="13.15">
      <c r="A88" s="14"/>
      <c r="B88" s="14"/>
      <c r="C88" s="14"/>
      <c r="D88" s="14"/>
      <c r="E88" s="14"/>
      <c r="F88" s="15"/>
      <c r="G88" s="14"/>
      <c r="H88" s="14"/>
      <c r="I88" s="15"/>
    </row>
    <row r="89" spans="1:9" ht="13.15">
      <c r="A89" s="14"/>
      <c r="B89" s="14"/>
      <c r="C89" s="14"/>
      <c r="D89" s="14"/>
      <c r="E89" s="14"/>
      <c r="F89" s="15"/>
      <c r="G89" s="14"/>
      <c r="H89" s="14"/>
      <c r="I89" s="15"/>
    </row>
    <row r="90" spans="1:9" ht="13.15">
      <c r="A90" s="14"/>
      <c r="B90" s="14"/>
      <c r="C90" s="14"/>
      <c r="D90" s="14"/>
      <c r="E90" s="14"/>
      <c r="F90" s="15"/>
      <c r="G90" s="14"/>
      <c r="H90" s="14"/>
      <c r="I90" s="15"/>
    </row>
    <row r="91" spans="1:9" ht="13.15">
      <c r="A91" s="14"/>
      <c r="B91" s="14"/>
      <c r="C91" s="14"/>
      <c r="D91" s="14"/>
      <c r="E91" s="14"/>
      <c r="F91" s="15"/>
      <c r="G91" s="14"/>
      <c r="H91" s="14"/>
      <c r="I91" s="15"/>
    </row>
    <row r="92" spans="1:9" ht="13.15">
      <c r="A92" s="14"/>
      <c r="B92" s="14"/>
      <c r="C92" s="14"/>
      <c r="D92" s="14"/>
      <c r="E92" s="14"/>
      <c r="F92" s="15"/>
      <c r="G92" s="14"/>
      <c r="H92" s="14"/>
      <c r="I92" s="15"/>
    </row>
    <row r="93" spans="1:9" ht="13.15">
      <c r="A93" s="14"/>
      <c r="B93" s="14"/>
      <c r="C93" s="14"/>
      <c r="D93" s="14"/>
      <c r="E93" s="14"/>
      <c r="F93" s="15"/>
      <c r="G93" s="14"/>
      <c r="H93" s="14"/>
      <c r="I93" s="15"/>
    </row>
    <row r="94" spans="1:9" ht="13.15">
      <c r="A94" s="14"/>
      <c r="B94" s="14"/>
      <c r="C94" s="14"/>
      <c r="D94" s="14"/>
      <c r="E94" s="14"/>
      <c r="F94" s="15"/>
      <c r="G94" s="14"/>
      <c r="H94" s="14"/>
      <c r="I94" s="15"/>
    </row>
    <row r="95" spans="1:9" ht="13.15">
      <c r="A95" s="14"/>
      <c r="B95" s="14"/>
      <c r="C95" s="14"/>
      <c r="D95" s="14"/>
      <c r="E95" s="14"/>
      <c r="F95" s="15"/>
      <c r="G95" s="14"/>
      <c r="H95" s="14"/>
      <c r="I95" s="15"/>
    </row>
    <row r="96" spans="1:9" ht="13.15">
      <c r="A96" s="14"/>
      <c r="B96" s="14"/>
      <c r="C96" s="14"/>
      <c r="D96" s="14"/>
      <c r="E96" s="14"/>
      <c r="F96" s="15"/>
      <c r="G96" s="14"/>
      <c r="H96" s="14"/>
      <c r="I96" s="15"/>
    </row>
    <row r="97" spans="1:9" ht="13.15">
      <c r="A97" s="14"/>
      <c r="B97" s="14"/>
      <c r="C97" s="14"/>
      <c r="D97" s="14"/>
      <c r="E97" s="14"/>
      <c r="F97" s="15"/>
      <c r="G97" s="14"/>
      <c r="H97" s="14"/>
      <c r="I97" s="15"/>
    </row>
    <row r="98" spans="1:9" ht="13.15">
      <c r="A98" s="14"/>
      <c r="B98" s="14"/>
      <c r="C98" s="14"/>
      <c r="D98" s="14"/>
      <c r="E98" s="14"/>
      <c r="F98" s="15"/>
      <c r="G98" s="14"/>
      <c r="H98" s="14"/>
      <c r="I98" s="15"/>
    </row>
    <row r="99" spans="1:9" ht="13.15">
      <c r="A99" s="14"/>
      <c r="B99" s="14"/>
      <c r="C99" s="14"/>
      <c r="D99" s="14"/>
      <c r="E99" s="14"/>
      <c r="F99" s="15"/>
      <c r="G99" s="14"/>
      <c r="H99" s="14"/>
      <c r="I99" s="15"/>
    </row>
    <row r="100" spans="1:9" ht="13.15">
      <c r="A100" s="14"/>
      <c r="B100" s="14"/>
      <c r="C100" s="14"/>
      <c r="D100" s="14"/>
      <c r="E100" s="14"/>
      <c r="F100" s="15"/>
      <c r="G100" s="14"/>
      <c r="H100" s="14"/>
      <c r="I100" s="15"/>
    </row>
    <row r="101" spans="1:9" ht="13.15">
      <c r="A101" s="14"/>
      <c r="B101" s="14"/>
      <c r="C101" s="14"/>
      <c r="D101" s="14"/>
      <c r="E101" s="14"/>
      <c r="F101" s="15"/>
      <c r="G101" s="14"/>
      <c r="H101" s="14"/>
      <c r="I101" s="15"/>
    </row>
    <row r="102" spans="1:9" ht="13.15">
      <c r="A102" s="14"/>
      <c r="B102" s="14"/>
      <c r="C102" s="14"/>
      <c r="D102" s="14"/>
      <c r="E102" s="14"/>
      <c r="F102" s="15"/>
      <c r="G102" s="14"/>
      <c r="H102" s="14"/>
      <c r="I102" s="15"/>
    </row>
    <row r="103" spans="1:9" ht="13.15">
      <c r="A103" s="14"/>
      <c r="B103" s="14"/>
      <c r="C103" s="14"/>
      <c r="D103" s="14"/>
      <c r="E103" s="14"/>
      <c r="F103" s="15"/>
      <c r="G103" s="14"/>
      <c r="H103" s="14"/>
      <c r="I103" s="15"/>
    </row>
    <row r="104" spans="1:9" ht="13.15">
      <c r="A104" s="14"/>
      <c r="B104" s="14"/>
      <c r="C104" s="14"/>
      <c r="D104" s="14"/>
      <c r="E104" s="14"/>
      <c r="F104" s="15"/>
      <c r="G104" s="14"/>
      <c r="H104" s="14"/>
      <c r="I104" s="15"/>
    </row>
    <row r="105" spans="1:9" ht="13.15">
      <c r="A105" s="14"/>
      <c r="B105" s="14"/>
      <c r="C105" s="14"/>
      <c r="D105" s="14"/>
      <c r="E105" s="14"/>
      <c r="F105" s="15"/>
      <c r="G105" s="14"/>
      <c r="H105" s="14"/>
      <c r="I105" s="15"/>
    </row>
    <row r="106" spans="1:9" ht="13.15">
      <c r="A106" s="14"/>
      <c r="B106" s="14"/>
      <c r="C106" s="14"/>
      <c r="D106" s="14"/>
      <c r="E106" s="14"/>
      <c r="F106" s="15"/>
      <c r="G106" s="14"/>
      <c r="H106" s="14"/>
      <c r="I106" s="15"/>
    </row>
    <row r="107" spans="1:9" ht="13.15">
      <c r="A107" s="14"/>
      <c r="B107" s="14"/>
      <c r="C107" s="14"/>
      <c r="D107" s="14"/>
      <c r="E107" s="14"/>
      <c r="F107" s="15"/>
      <c r="G107" s="14"/>
      <c r="H107" s="14"/>
      <c r="I107" s="15"/>
    </row>
    <row r="108" spans="1:9" ht="13.15">
      <c r="A108" s="14"/>
      <c r="B108" s="14"/>
      <c r="C108" s="14"/>
      <c r="D108" s="14"/>
      <c r="E108" s="14"/>
      <c r="F108" s="15"/>
      <c r="G108" s="14"/>
      <c r="H108" s="14"/>
      <c r="I108" s="15"/>
    </row>
    <row r="109" spans="1:9" ht="13.15">
      <c r="A109" s="14"/>
      <c r="B109" s="14"/>
      <c r="C109" s="14"/>
      <c r="D109" s="14"/>
      <c r="E109" s="14"/>
      <c r="F109" s="15"/>
      <c r="G109" s="14"/>
      <c r="H109" s="14"/>
      <c r="I109" s="15"/>
    </row>
    <row r="110" spans="1:9" ht="13.15">
      <c r="A110" s="14"/>
      <c r="B110" s="14"/>
      <c r="C110" s="14"/>
      <c r="D110" s="14"/>
      <c r="E110" s="14"/>
      <c r="F110" s="15"/>
      <c r="G110" s="14"/>
      <c r="H110" s="14"/>
      <c r="I110" s="15"/>
    </row>
    <row r="111" spans="1:9" ht="13.15">
      <c r="A111" s="14"/>
      <c r="B111" s="14"/>
      <c r="C111" s="14"/>
      <c r="D111" s="14"/>
      <c r="E111" s="14"/>
      <c r="F111" s="15"/>
      <c r="G111" s="14"/>
      <c r="H111" s="14"/>
      <c r="I111" s="15"/>
    </row>
    <row r="112" spans="1:9" ht="13.15">
      <c r="A112" s="14"/>
      <c r="B112" s="14"/>
      <c r="C112" s="14"/>
      <c r="D112" s="14"/>
      <c r="E112" s="14"/>
      <c r="F112" s="15"/>
      <c r="G112" s="14"/>
      <c r="H112" s="14"/>
      <c r="I112" s="15"/>
    </row>
    <row r="113" spans="1:9" ht="13.15">
      <c r="A113" s="14"/>
      <c r="B113" s="14"/>
      <c r="C113" s="14"/>
      <c r="D113" s="14"/>
      <c r="E113" s="14"/>
      <c r="F113" s="15"/>
      <c r="G113" s="14"/>
      <c r="H113" s="14"/>
      <c r="I113" s="15"/>
    </row>
    <row r="114" spans="1:9" ht="13.15">
      <c r="A114" s="14"/>
      <c r="B114" s="14"/>
      <c r="C114" s="14"/>
      <c r="D114" s="14"/>
      <c r="E114" s="14"/>
      <c r="F114" s="15"/>
      <c r="G114" s="14"/>
      <c r="H114" s="14"/>
      <c r="I114" s="15"/>
    </row>
    <row r="115" spans="1:9" ht="13.15">
      <c r="A115" s="14"/>
      <c r="B115" s="14"/>
      <c r="C115" s="14"/>
      <c r="D115" s="14"/>
      <c r="E115" s="14"/>
      <c r="F115" s="15"/>
      <c r="G115" s="14"/>
      <c r="H115" s="14"/>
      <c r="I115" s="15"/>
    </row>
    <row r="116" spans="1:9" ht="13.15">
      <c r="A116" s="14"/>
      <c r="B116" s="14"/>
      <c r="C116" s="14"/>
      <c r="D116" s="14"/>
      <c r="E116" s="14"/>
      <c r="F116" s="15"/>
      <c r="G116" s="14"/>
      <c r="H116" s="14"/>
      <c r="I116" s="15"/>
    </row>
    <row r="117" spans="1:9" ht="13.15">
      <c r="A117" s="14"/>
      <c r="B117" s="14"/>
      <c r="C117" s="14"/>
      <c r="D117" s="14"/>
      <c r="E117" s="14"/>
      <c r="F117" s="15"/>
      <c r="G117" s="14"/>
      <c r="H117" s="14"/>
      <c r="I117" s="15"/>
    </row>
    <row r="118" spans="1:9" ht="13.15">
      <c r="A118" s="14"/>
      <c r="B118" s="14"/>
      <c r="C118" s="14"/>
      <c r="D118" s="14"/>
      <c r="E118" s="14"/>
      <c r="F118" s="15"/>
      <c r="G118" s="14"/>
      <c r="H118" s="14"/>
      <c r="I118" s="15"/>
    </row>
    <row r="119" spans="1:9" ht="13.15">
      <c r="A119" s="14"/>
      <c r="B119" s="14"/>
      <c r="C119" s="14"/>
      <c r="D119" s="14"/>
      <c r="E119" s="14"/>
      <c r="F119" s="15"/>
      <c r="G119" s="14"/>
      <c r="H119" s="14"/>
      <c r="I119" s="15"/>
    </row>
    <row r="120" spans="1:9" ht="13.15">
      <c r="A120" s="14"/>
      <c r="B120" s="14"/>
      <c r="C120" s="14"/>
      <c r="D120" s="14"/>
      <c r="E120" s="14"/>
      <c r="F120" s="15"/>
      <c r="G120" s="14"/>
      <c r="H120" s="14"/>
      <c r="I120" s="15"/>
    </row>
    <row r="121" spans="1:9" ht="13.15">
      <c r="A121" s="14"/>
      <c r="B121" s="14"/>
      <c r="C121" s="14"/>
      <c r="D121" s="14"/>
      <c r="E121" s="14"/>
      <c r="F121" s="15"/>
      <c r="G121" s="14"/>
      <c r="H121" s="14"/>
      <c r="I121" s="15"/>
    </row>
    <row r="122" spans="1:9" ht="13.15">
      <c r="A122" s="14"/>
      <c r="B122" s="14"/>
      <c r="C122" s="14"/>
      <c r="D122" s="14"/>
      <c r="E122" s="14"/>
      <c r="F122" s="15"/>
      <c r="G122" s="14"/>
      <c r="H122" s="14"/>
      <c r="I122" s="15"/>
    </row>
    <row r="123" spans="1:9" ht="13.15">
      <c r="A123" s="14"/>
      <c r="B123" s="14"/>
      <c r="C123" s="14"/>
      <c r="D123" s="14"/>
      <c r="E123" s="14"/>
      <c r="F123" s="15"/>
      <c r="G123" s="14"/>
      <c r="H123" s="14"/>
      <c r="I123" s="15"/>
    </row>
    <row r="124" spans="1:9" ht="13.15">
      <c r="A124" s="14"/>
      <c r="B124" s="14"/>
      <c r="C124" s="14"/>
      <c r="D124" s="14"/>
      <c r="E124" s="14"/>
      <c r="F124" s="15"/>
      <c r="G124" s="14"/>
      <c r="H124" s="14"/>
      <c r="I124" s="15"/>
    </row>
    <row r="125" spans="1:9" ht="13.15">
      <c r="A125" s="14"/>
      <c r="B125" s="14"/>
      <c r="C125" s="14"/>
      <c r="D125" s="14"/>
      <c r="E125" s="14"/>
      <c r="F125" s="15"/>
      <c r="G125" s="14"/>
      <c r="H125" s="14"/>
      <c r="I125" s="15"/>
    </row>
    <row r="126" spans="1:9" ht="13.15">
      <c r="A126" s="14"/>
      <c r="B126" s="14"/>
      <c r="C126" s="14"/>
      <c r="D126" s="14"/>
      <c r="E126" s="14"/>
      <c r="F126" s="15"/>
      <c r="G126" s="14"/>
      <c r="H126" s="14"/>
      <c r="I126" s="15"/>
    </row>
    <row r="127" spans="1:9" ht="13.15">
      <c r="A127" s="14"/>
      <c r="B127" s="14"/>
      <c r="C127" s="14"/>
      <c r="D127" s="14"/>
      <c r="E127" s="14"/>
      <c r="F127" s="15"/>
      <c r="G127" s="14"/>
      <c r="H127" s="14"/>
      <c r="I127" s="15"/>
    </row>
    <row r="128" spans="1:9" ht="13.15">
      <c r="A128" s="14"/>
      <c r="B128" s="14"/>
      <c r="C128" s="14"/>
      <c r="D128" s="14"/>
      <c r="E128" s="14"/>
      <c r="F128" s="15"/>
      <c r="G128" s="14"/>
      <c r="H128" s="14"/>
      <c r="I128" s="15"/>
    </row>
    <row r="129" spans="1:9" ht="13.15">
      <c r="A129" s="14"/>
      <c r="B129" s="14"/>
      <c r="C129" s="14"/>
      <c r="D129" s="14"/>
      <c r="E129" s="14"/>
      <c r="F129" s="15"/>
      <c r="G129" s="14"/>
      <c r="H129" s="14"/>
      <c r="I129" s="15"/>
    </row>
    <row r="130" spans="1:9" ht="13.15">
      <c r="A130" s="14"/>
      <c r="B130" s="14"/>
      <c r="C130" s="14"/>
      <c r="D130" s="14"/>
      <c r="E130" s="14"/>
      <c r="F130" s="15"/>
      <c r="G130" s="14"/>
      <c r="H130" s="14"/>
      <c r="I130" s="15"/>
    </row>
    <row r="131" spans="1:9" ht="13.15">
      <c r="A131" s="14"/>
      <c r="B131" s="14"/>
      <c r="C131" s="14"/>
      <c r="D131" s="14"/>
      <c r="E131" s="14"/>
      <c r="F131" s="15"/>
      <c r="G131" s="14"/>
      <c r="H131" s="14"/>
      <c r="I131" s="15"/>
    </row>
    <row r="132" spans="1:9" ht="13.15">
      <c r="A132" s="14"/>
      <c r="B132" s="14"/>
      <c r="C132" s="14"/>
      <c r="D132" s="14"/>
      <c r="E132" s="14"/>
      <c r="F132" s="15"/>
      <c r="G132" s="14"/>
      <c r="H132" s="14"/>
      <c r="I132" s="15"/>
    </row>
    <row r="133" spans="1:9" ht="13.15">
      <c r="A133" s="14"/>
      <c r="B133" s="14"/>
      <c r="C133" s="14"/>
      <c r="D133" s="14"/>
      <c r="E133" s="14"/>
      <c r="F133" s="15"/>
      <c r="G133" s="14"/>
      <c r="H133" s="14"/>
      <c r="I133" s="15"/>
    </row>
    <row r="134" spans="1:9" ht="13.15">
      <c r="A134" s="14"/>
      <c r="B134" s="14"/>
      <c r="C134" s="14"/>
      <c r="D134" s="14"/>
      <c r="E134" s="14"/>
      <c r="F134" s="15"/>
      <c r="G134" s="14"/>
      <c r="H134" s="14"/>
      <c r="I134" s="15"/>
    </row>
    <row r="135" spans="1:9" ht="13.15">
      <c r="A135" s="14"/>
      <c r="B135" s="14"/>
      <c r="C135" s="14"/>
      <c r="D135" s="14"/>
      <c r="E135" s="14"/>
      <c r="F135" s="15"/>
      <c r="G135" s="14"/>
      <c r="H135" s="14"/>
      <c r="I135" s="15"/>
    </row>
    <row r="136" spans="1:9" ht="13.15">
      <c r="A136" s="14"/>
      <c r="B136" s="14"/>
      <c r="C136" s="14"/>
      <c r="D136" s="14"/>
      <c r="E136" s="14"/>
      <c r="F136" s="15"/>
      <c r="G136" s="14"/>
      <c r="H136" s="14"/>
      <c r="I136" s="15"/>
    </row>
    <row r="137" spans="1:9" ht="13.15">
      <c r="A137" s="14"/>
      <c r="B137" s="14"/>
      <c r="C137" s="14"/>
      <c r="D137" s="14"/>
      <c r="E137" s="14"/>
      <c r="F137" s="15"/>
      <c r="G137" s="14"/>
      <c r="H137" s="14"/>
      <c r="I137" s="15"/>
    </row>
    <row r="138" spans="1:9" ht="13.15">
      <c r="A138" s="14"/>
      <c r="B138" s="14"/>
      <c r="C138" s="14"/>
      <c r="D138" s="14"/>
      <c r="E138" s="14"/>
      <c r="F138" s="15"/>
      <c r="G138" s="14"/>
      <c r="H138" s="14"/>
      <c r="I138" s="15"/>
    </row>
    <row r="139" spans="1:9" ht="13.15">
      <c r="A139" s="14"/>
      <c r="B139" s="14"/>
      <c r="C139" s="14"/>
      <c r="D139" s="14"/>
      <c r="E139" s="14"/>
      <c r="F139" s="15"/>
      <c r="G139" s="14"/>
      <c r="H139" s="14"/>
      <c r="I139" s="15"/>
    </row>
    <row r="140" spans="1:9" ht="13.15">
      <c r="A140" s="14"/>
      <c r="B140" s="14"/>
      <c r="C140" s="14"/>
      <c r="D140" s="14"/>
      <c r="E140" s="14"/>
      <c r="F140" s="15"/>
      <c r="G140" s="14"/>
      <c r="H140" s="14"/>
      <c r="I140" s="15"/>
    </row>
    <row r="141" spans="1:9" ht="13.15">
      <c r="A141" s="14"/>
      <c r="B141" s="14"/>
      <c r="C141" s="14"/>
      <c r="D141" s="14"/>
      <c r="E141" s="14"/>
      <c r="F141" s="15"/>
      <c r="G141" s="14"/>
      <c r="H141" s="14"/>
      <c r="I141" s="15"/>
    </row>
    <row r="142" spans="1:9" ht="13.15">
      <c r="A142" s="14"/>
      <c r="B142" s="14"/>
      <c r="C142" s="14"/>
      <c r="D142" s="14"/>
      <c r="E142" s="14"/>
      <c r="F142" s="15"/>
      <c r="G142" s="14"/>
      <c r="H142" s="14"/>
      <c r="I142" s="15"/>
    </row>
    <row r="143" spans="1:9" ht="13.15">
      <c r="A143" s="14"/>
      <c r="B143" s="14"/>
      <c r="C143" s="14"/>
      <c r="D143" s="14"/>
      <c r="E143" s="14"/>
      <c r="F143" s="15"/>
      <c r="G143" s="14"/>
      <c r="H143" s="14"/>
      <c r="I143" s="15"/>
    </row>
    <row r="144" spans="1:9" ht="13.15">
      <c r="A144" s="14"/>
      <c r="B144" s="14"/>
      <c r="C144" s="14"/>
      <c r="D144" s="14"/>
      <c r="E144" s="14"/>
      <c r="F144" s="15"/>
      <c r="G144" s="14"/>
      <c r="H144" s="14"/>
      <c r="I144" s="15"/>
    </row>
    <row r="145" spans="1:9" ht="13.15">
      <c r="A145" s="14"/>
      <c r="B145" s="14"/>
      <c r="C145" s="14"/>
      <c r="D145" s="14"/>
      <c r="E145" s="14"/>
      <c r="F145" s="15"/>
      <c r="G145" s="14"/>
      <c r="H145" s="14"/>
      <c r="I145" s="15"/>
    </row>
    <row r="146" spans="1:9" ht="13.15">
      <c r="A146" s="14"/>
      <c r="B146" s="14"/>
      <c r="C146" s="14"/>
      <c r="D146" s="14"/>
      <c r="E146" s="14"/>
      <c r="F146" s="15"/>
      <c r="G146" s="14"/>
      <c r="H146" s="14"/>
      <c r="I146" s="15"/>
    </row>
    <row r="147" spans="1:9" ht="13.15">
      <c r="A147" s="14"/>
      <c r="B147" s="14"/>
      <c r="C147" s="14"/>
      <c r="D147" s="14"/>
      <c r="E147" s="14"/>
      <c r="F147" s="15"/>
      <c r="G147" s="14"/>
      <c r="H147" s="14"/>
      <c r="I147" s="15"/>
    </row>
    <row r="148" spans="1:9" ht="13.15">
      <c r="A148" s="14"/>
      <c r="B148" s="14"/>
      <c r="C148" s="14"/>
      <c r="D148" s="14"/>
      <c r="E148" s="14"/>
      <c r="F148" s="15"/>
      <c r="G148" s="14"/>
      <c r="H148" s="14"/>
      <c r="I148" s="15"/>
    </row>
    <row r="149" spans="1:9" ht="13.15">
      <c r="A149" s="14"/>
      <c r="B149" s="14"/>
      <c r="C149" s="14"/>
      <c r="D149" s="14"/>
      <c r="E149" s="14"/>
      <c r="F149" s="15"/>
      <c r="G149" s="14"/>
      <c r="H149" s="14"/>
      <c r="I149" s="15"/>
    </row>
    <row r="150" spans="1:9" ht="13.15">
      <c r="A150" s="14"/>
      <c r="B150" s="14"/>
      <c r="C150" s="14"/>
      <c r="D150" s="14"/>
      <c r="E150" s="14"/>
      <c r="F150" s="15"/>
      <c r="G150" s="14"/>
      <c r="H150" s="14"/>
      <c r="I150" s="15"/>
    </row>
    <row r="151" spans="1:9" ht="13.15">
      <c r="A151" s="14"/>
      <c r="B151" s="14"/>
      <c r="C151" s="14"/>
      <c r="D151" s="14"/>
      <c r="E151" s="14"/>
      <c r="F151" s="15"/>
      <c r="G151" s="14"/>
      <c r="H151" s="14"/>
      <c r="I151" s="15"/>
    </row>
    <row r="152" spans="1:9" ht="13.15">
      <c r="A152" s="14"/>
      <c r="B152" s="14"/>
      <c r="C152" s="14"/>
      <c r="D152" s="14"/>
      <c r="E152" s="14"/>
      <c r="F152" s="15"/>
      <c r="G152" s="14"/>
      <c r="H152" s="14"/>
      <c r="I152" s="15"/>
    </row>
    <row r="153" spans="1:9" ht="13.15">
      <c r="A153" s="14"/>
      <c r="B153" s="14"/>
      <c r="C153" s="14"/>
      <c r="D153" s="14"/>
      <c r="E153" s="14"/>
      <c r="F153" s="15"/>
      <c r="G153" s="14"/>
      <c r="H153" s="14"/>
      <c r="I153" s="15"/>
    </row>
    <row r="154" spans="1:9" ht="13.15">
      <c r="A154" s="14"/>
      <c r="B154" s="14"/>
      <c r="C154" s="14"/>
      <c r="D154" s="14"/>
      <c r="E154" s="14"/>
      <c r="F154" s="15"/>
      <c r="G154" s="14"/>
      <c r="H154" s="14"/>
      <c r="I154" s="15"/>
    </row>
    <row r="155" spans="1:9" ht="13.15">
      <c r="A155" s="14"/>
      <c r="B155" s="14"/>
      <c r="C155" s="14"/>
      <c r="D155" s="14"/>
      <c r="E155" s="14"/>
      <c r="F155" s="15"/>
      <c r="G155" s="14"/>
      <c r="H155" s="14"/>
      <c r="I155" s="15"/>
    </row>
    <row r="156" spans="1:9" ht="13.15">
      <c r="A156" s="14"/>
      <c r="B156" s="14"/>
      <c r="C156" s="14"/>
      <c r="D156" s="14"/>
      <c r="E156" s="14"/>
      <c r="F156" s="15"/>
      <c r="G156" s="14"/>
      <c r="H156" s="14"/>
      <c r="I156" s="15"/>
    </row>
    <row r="157" spans="1:9" ht="13.15">
      <c r="A157" s="14"/>
      <c r="B157" s="14"/>
      <c r="C157" s="14"/>
      <c r="D157" s="14"/>
      <c r="E157" s="14"/>
      <c r="F157" s="15"/>
      <c r="G157" s="14"/>
      <c r="H157" s="14"/>
      <c r="I157" s="15"/>
    </row>
    <row r="158" spans="1:9" ht="13.15">
      <c r="A158" s="14"/>
      <c r="B158" s="14"/>
      <c r="C158" s="14"/>
      <c r="D158" s="14"/>
      <c r="E158" s="14"/>
      <c r="F158" s="15"/>
      <c r="G158" s="14"/>
      <c r="H158" s="14"/>
      <c r="I158" s="15"/>
    </row>
    <row r="159" spans="1:9" ht="13.15">
      <c r="A159" s="14"/>
      <c r="B159" s="14"/>
      <c r="C159" s="14"/>
      <c r="D159" s="14"/>
      <c r="E159" s="14"/>
      <c r="F159" s="15"/>
      <c r="G159" s="14"/>
      <c r="H159" s="14"/>
      <c r="I159" s="15"/>
    </row>
    <row r="160" spans="1:9" ht="13.15">
      <c r="A160" s="14"/>
      <c r="B160" s="14"/>
      <c r="C160" s="14"/>
      <c r="D160" s="14"/>
      <c r="E160" s="14"/>
      <c r="F160" s="15"/>
      <c r="G160" s="14"/>
      <c r="H160" s="14"/>
      <c r="I160" s="15"/>
    </row>
    <row r="161" spans="1:9" ht="13.15">
      <c r="A161" s="14"/>
      <c r="B161" s="14"/>
      <c r="C161" s="14"/>
      <c r="D161" s="14"/>
      <c r="E161" s="14"/>
      <c r="F161" s="15"/>
      <c r="G161" s="14"/>
      <c r="H161" s="14"/>
      <c r="I161" s="15"/>
    </row>
    <row r="162" spans="1:9" ht="13.15">
      <c r="A162" s="14"/>
      <c r="B162" s="14"/>
      <c r="C162" s="14"/>
      <c r="D162" s="14"/>
      <c r="E162" s="14"/>
      <c r="F162" s="15"/>
      <c r="G162" s="14"/>
      <c r="H162" s="14"/>
      <c r="I162" s="15"/>
    </row>
    <row r="163" spans="1:9" ht="13.15">
      <c r="A163" s="14"/>
      <c r="B163" s="14"/>
      <c r="C163" s="14"/>
      <c r="D163" s="14"/>
      <c r="E163" s="14"/>
      <c r="F163" s="15"/>
      <c r="G163" s="14"/>
      <c r="H163" s="14"/>
      <c r="I163" s="15"/>
    </row>
    <row r="164" spans="1:9" ht="13.15">
      <c r="A164" s="14"/>
      <c r="B164" s="14"/>
      <c r="C164" s="14"/>
      <c r="D164" s="14"/>
      <c r="E164" s="14"/>
      <c r="F164" s="15"/>
      <c r="G164" s="14"/>
      <c r="H164" s="14"/>
      <c r="I164" s="15"/>
    </row>
    <row r="165" spans="1:9" ht="13.15">
      <c r="A165" s="14"/>
      <c r="B165" s="14"/>
      <c r="C165" s="14"/>
      <c r="D165" s="14"/>
      <c r="E165" s="14"/>
      <c r="F165" s="15"/>
      <c r="G165" s="14"/>
      <c r="H165" s="14"/>
      <c r="I165" s="15"/>
    </row>
    <row r="166" spans="1:9" ht="13.15">
      <c r="A166" s="14"/>
      <c r="B166" s="14"/>
      <c r="C166" s="14"/>
      <c r="D166" s="14"/>
      <c r="E166" s="14"/>
      <c r="F166" s="15"/>
      <c r="G166" s="14"/>
      <c r="H166" s="14"/>
      <c r="I166" s="15"/>
    </row>
    <row r="167" spans="1:9" ht="13.15">
      <c r="A167" s="14"/>
      <c r="B167" s="14"/>
      <c r="C167" s="14"/>
      <c r="D167" s="14"/>
      <c r="E167" s="14"/>
      <c r="F167" s="15"/>
      <c r="G167" s="14"/>
      <c r="H167" s="14"/>
      <c r="I167" s="15"/>
    </row>
    <row r="168" spans="1:9" ht="13.15">
      <c r="A168" s="14"/>
      <c r="B168" s="14"/>
      <c r="C168" s="14"/>
      <c r="D168" s="14"/>
      <c r="E168" s="14"/>
      <c r="F168" s="15"/>
      <c r="G168" s="14"/>
      <c r="H168" s="14"/>
      <c r="I168" s="15"/>
    </row>
    <row r="169" spans="1:9" ht="13.15">
      <c r="A169" s="14"/>
      <c r="B169" s="14"/>
      <c r="C169" s="14"/>
      <c r="D169" s="14"/>
      <c r="E169" s="14"/>
      <c r="F169" s="15"/>
      <c r="G169" s="14"/>
      <c r="H169" s="14"/>
      <c r="I169" s="15"/>
    </row>
    <row r="170" spans="1:9" ht="13.15">
      <c r="A170" s="14"/>
      <c r="B170" s="14"/>
      <c r="C170" s="14"/>
      <c r="D170" s="14"/>
      <c r="E170" s="14"/>
      <c r="F170" s="15"/>
      <c r="G170" s="14"/>
      <c r="H170" s="14"/>
      <c r="I170" s="15"/>
    </row>
    <row r="171" spans="1:9" ht="13.15">
      <c r="A171" s="14"/>
      <c r="B171" s="14"/>
      <c r="C171" s="14"/>
      <c r="D171" s="14"/>
      <c r="E171" s="14"/>
      <c r="F171" s="15"/>
      <c r="G171" s="14"/>
      <c r="H171" s="14"/>
      <c r="I171" s="15"/>
    </row>
    <row r="172" spans="1:9" ht="13.15">
      <c r="A172" s="14"/>
      <c r="B172" s="14"/>
      <c r="C172" s="14"/>
      <c r="D172" s="14"/>
      <c r="E172" s="14"/>
      <c r="F172" s="15"/>
      <c r="G172" s="14"/>
      <c r="H172" s="14"/>
      <c r="I172" s="15"/>
    </row>
    <row r="173" spans="1:9" ht="13.15">
      <c r="A173" s="14"/>
      <c r="B173" s="14"/>
      <c r="C173" s="14"/>
      <c r="D173" s="14"/>
      <c r="E173" s="14"/>
      <c r="F173" s="15"/>
      <c r="G173" s="14"/>
      <c r="H173" s="14"/>
      <c r="I173" s="15"/>
    </row>
    <row r="174" spans="1:9" ht="13.15">
      <c r="A174" s="14"/>
      <c r="B174" s="14"/>
      <c r="C174" s="14"/>
      <c r="D174" s="14"/>
      <c r="E174" s="14"/>
      <c r="F174" s="15"/>
      <c r="G174" s="14"/>
      <c r="H174" s="14"/>
      <c r="I174" s="15"/>
    </row>
    <row r="175" spans="1:9" ht="13.15">
      <c r="A175" s="14"/>
      <c r="B175" s="14"/>
      <c r="C175" s="14"/>
      <c r="D175" s="14"/>
      <c r="E175" s="14"/>
      <c r="F175" s="15"/>
      <c r="G175" s="14"/>
      <c r="H175" s="14"/>
      <c r="I175" s="15"/>
    </row>
    <row r="176" spans="1:9" ht="13.15">
      <c r="A176" s="14"/>
      <c r="B176" s="14"/>
      <c r="C176" s="14"/>
      <c r="D176" s="14"/>
      <c r="E176" s="14"/>
      <c r="F176" s="15"/>
      <c r="G176" s="14"/>
      <c r="H176" s="14"/>
      <c r="I176" s="15"/>
    </row>
    <row r="177" spans="1:9" ht="13.15">
      <c r="A177" s="14"/>
      <c r="B177" s="14"/>
      <c r="C177" s="14"/>
      <c r="D177" s="14"/>
      <c r="E177" s="14"/>
      <c r="F177" s="15"/>
      <c r="G177" s="14"/>
      <c r="H177" s="14"/>
      <c r="I177" s="15"/>
    </row>
    <row r="178" spans="1:9" ht="13.15">
      <c r="A178" s="14"/>
      <c r="B178" s="14"/>
      <c r="C178" s="14"/>
      <c r="D178" s="14"/>
      <c r="E178" s="14"/>
      <c r="F178" s="15"/>
      <c r="G178" s="14"/>
      <c r="H178" s="14"/>
      <c r="I178" s="15"/>
    </row>
    <row r="179" spans="1:9" ht="13.15">
      <c r="A179" s="14"/>
      <c r="B179" s="14"/>
      <c r="C179" s="14"/>
      <c r="D179" s="14"/>
      <c r="E179" s="14"/>
      <c r="F179" s="15"/>
      <c r="G179" s="14"/>
      <c r="H179" s="14"/>
      <c r="I179" s="15"/>
    </row>
    <row r="180" spans="1:9" ht="13.15">
      <c r="A180" s="14"/>
      <c r="B180" s="14"/>
      <c r="C180" s="14"/>
      <c r="D180" s="14"/>
      <c r="E180" s="14"/>
      <c r="F180" s="15"/>
      <c r="G180" s="14"/>
      <c r="H180" s="14"/>
      <c r="I180" s="15"/>
    </row>
    <row r="181" spans="1:9" ht="13.15">
      <c r="A181" s="14"/>
      <c r="B181" s="14"/>
      <c r="C181" s="14"/>
      <c r="D181" s="14"/>
      <c r="E181" s="14"/>
      <c r="F181" s="15"/>
      <c r="G181" s="14"/>
      <c r="H181" s="14"/>
      <c r="I181" s="15"/>
    </row>
    <row r="182" spans="1:9" ht="13.15">
      <c r="A182" s="14"/>
      <c r="B182" s="14"/>
      <c r="C182" s="14"/>
      <c r="D182" s="14"/>
      <c r="E182" s="14"/>
      <c r="F182" s="15"/>
      <c r="G182" s="14"/>
      <c r="H182" s="14"/>
      <c r="I182" s="15"/>
    </row>
    <row r="183" spans="1:9" ht="13.15">
      <c r="A183" s="14"/>
      <c r="B183" s="14"/>
      <c r="C183" s="14"/>
      <c r="D183" s="14"/>
      <c r="E183" s="14"/>
      <c r="F183" s="15"/>
      <c r="G183" s="14"/>
      <c r="H183" s="14"/>
      <c r="I183" s="15"/>
    </row>
    <row r="184" spans="1:9" ht="13.15">
      <c r="A184" s="14"/>
      <c r="B184" s="14"/>
      <c r="C184" s="14"/>
      <c r="D184" s="14"/>
      <c r="E184" s="14"/>
      <c r="F184" s="15"/>
      <c r="G184" s="14"/>
      <c r="H184" s="14"/>
      <c r="I184" s="15"/>
    </row>
    <row r="185" spans="1:9" ht="13.15">
      <c r="A185" s="14"/>
      <c r="B185" s="14"/>
      <c r="C185" s="14"/>
      <c r="D185" s="14"/>
      <c r="E185" s="14"/>
      <c r="F185" s="15"/>
      <c r="G185" s="14"/>
      <c r="H185" s="14"/>
      <c r="I185" s="15"/>
    </row>
    <row r="186" spans="1:9" ht="13.15">
      <c r="A186" s="14"/>
      <c r="B186" s="14"/>
      <c r="C186" s="14"/>
      <c r="D186" s="14"/>
      <c r="E186" s="14"/>
      <c r="F186" s="15"/>
      <c r="G186" s="14"/>
      <c r="H186" s="14"/>
      <c r="I186" s="15"/>
    </row>
    <row r="187" spans="1:9" ht="13.15">
      <c r="A187" s="14"/>
      <c r="B187" s="14"/>
      <c r="C187" s="14"/>
      <c r="D187" s="14"/>
      <c r="E187" s="14"/>
      <c r="F187" s="15"/>
      <c r="G187" s="14"/>
      <c r="H187" s="14"/>
      <c r="I187" s="15"/>
    </row>
    <row r="188" spans="1:9" ht="13.15">
      <c r="A188" s="14"/>
      <c r="B188" s="14"/>
      <c r="C188" s="14"/>
      <c r="D188" s="14"/>
      <c r="E188" s="14"/>
      <c r="F188" s="15"/>
      <c r="G188" s="14"/>
      <c r="H188" s="14"/>
      <c r="I188" s="15"/>
    </row>
    <row r="189" spans="1:9" ht="13.15">
      <c r="A189" s="14"/>
      <c r="B189" s="14"/>
      <c r="C189" s="14"/>
      <c r="D189" s="14"/>
      <c r="E189" s="14"/>
      <c r="F189" s="15"/>
      <c r="G189" s="14"/>
      <c r="H189" s="14"/>
      <c r="I189" s="15"/>
    </row>
    <row r="190" spans="1:9" ht="13.15">
      <c r="A190" s="14"/>
      <c r="B190" s="14"/>
      <c r="C190" s="14"/>
      <c r="D190" s="14"/>
      <c r="E190" s="14"/>
      <c r="F190" s="15"/>
      <c r="G190" s="14"/>
      <c r="H190" s="14"/>
      <c r="I190" s="15"/>
    </row>
    <row r="191" spans="1:9" ht="13.15">
      <c r="A191" s="14"/>
      <c r="B191" s="14"/>
      <c r="C191" s="14"/>
      <c r="D191" s="14"/>
      <c r="E191" s="14"/>
      <c r="F191" s="15"/>
      <c r="G191" s="14"/>
      <c r="H191" s="14"/>
      <c r="I191" s="15"/>
    </row>
    <row r="192" spans="1:9" ht="13.15">
      <c r="A192" s="14"/>
      <c r="B192" s="14"/>
      <c r="C192" s="14"/>
      <c r="D192" s="14"/>
      <c r="E192" s="14"/>
      <c r="F192" s="15"/>
      <c r="G192" s="14"/>
      <c r="H192" s="14"/>
      <c r="I192" s="15"/>
    </row>
    <row r="193" spans="1:9" ht="13.15">
      <c r="A193" s="14"/>
      <c r="B193" s="14"/>
      <c r="C193" s="14"/>
      <c r="D193" s="14"/>
      <c r="E193" s="14"/>
      <c r="F193" s="15"/>
      <c r="G193" s="14"/>
      <c r="H193" s="14"/>
      <c r="I193" s="15"/>
    </row>
    <row r="194" spans="1:9" ht="13.15">
      <c r="A194" s="14"/>
      <c r="B194" s="14"/>
      <c r="C194" s="14"/>
      <c r="D194" s="14"/>
      <c r="E194" s="14"/>
      <c r="F194" s="15"/>
      <c r="G194" s="14"/>
      <c r="H194" s="14"/>
      <c r="I194" s="15"/>
    </row>
    <row r="195" spans="1:9" ht="13.15">
      <c r="A195" s="14"/>
      <c r="B195" s="14"/>
      <c r="C195" s="14"/>
      <c r="D195" s="14"/>
      <c r="E195" s="14"/>
      <c r="F195" s="15"/>
      <c r="G195" s="14"/>
      <c r="H195" s="14"/>
      <c r="I195" s="15"/>
    </row>
    <row r="196" spans="1:9" ht="13.15">
      <c r="A196" s="14"/>
      <c r="B196" s="14"/>
      <c r="C196" s="14"/>
      <c r="D196" s="14"/>
      <c r="E196" s="14"/>
      <c r="F196" s="15"/>
      <c r="G196" s="14"/>
      <c r="H196" s="14"/>
      <c r="I196" s="15"/>
    </row>
    <row r="197" spans="1:9" ht="13.15">
      <c r="A197" s="14"/>
      <c r="B197" s="14"/>
      <c r="C197" s="14"/>
      <c r="D197" s="14"/>
      <c r="E197" s="14"/>
      <c r="F197" s="15"/>
      <c r="G197" s="14"/>
      <c r="H197" s="14"/>
      <c r="I197" s="15"/>
    </row>
    <row r="198" spans="1:9" ht="13.15">
      <c r="A198" s="14"/>
      <c r="B198" s="14"/>
      <c r="C198" s="14"/>
      <c r="D198" s="14"/>
      <c r="E198" s="14"/>
      <c r="F198" s="15"/>
      <c r="G198" s="14"/>
      <c r="H198" s="14"/>
      <c r="I198" s="15"/>
    </row>
    <row r="199" spans="1:9" ht="13.15">
      <c r="A199" s="14"/>
      <c r="B199" s="14"/>
      <c r="C199" s="14"/>
      <c r="D199" s="14"/>
      <c r="E199" s="14"/>
      <c r="F199" s="15"/>
      <c r="G199" s="14"/>
      <c r="H199" s="14"/>
      <c r="I199" s="15"/>
    </row>
    <row r="200" spans="1:9" ht="13.15">
      <c r="A200" s="14"/>
      <c r="B200" s="14"/>
      <c r="C200" s="14"/>
      <c r="D200" s="14"/>
      <c r="E200" s="14"/>
      <c r="F200" s="15"/>
      <c r="G200" s="14"/>
      <c r="H200" s="14"/>
      <c r="I200" s="15"/>
    </row>
    <row r="201" spans="1:9" ht="13.15">
      <c r="A201" s="14"/>
      <c r="B201" s="14"/>
      <c r="C201" s="14"/>
      <c r="D201" s="14"/>
      <c r="E201" s="14"/>
      <c r="F201" s="15"/>
      <c r="G201" s="14"/>
      <c r="H201" s="14"/>
      <c r="I201" s="15"/>
    </row>
    <row r="202" spans="1:9" ht="13.15">
      <c r="A202" s="14"/>
      <c r="B202" s="14"/>
      <c r="C202" s="14"/>
      <c r="D202" s="14"/>
      <c r="E202" s="14"/>
      <c r="F202" s="15"/>
      <c r="G202" s="14"/>
      <c r="H202" s="14"/>
      <c r="I202" s="15"/>
    </row>
    <row r="203" spans="1:9" ht="13.15">
      <c r="A203" s="14"/>
      <c r="B203" s="14"/>
      <c r="C203" s="14"/>
      <c r="D203" s="14"/>
      <c r="E203" s="14"/>
      <c r="F203" s="15"/>
      <c r="G203" s="14"/>
      <c r="H203" s="14"/>
      <c r="I203" s="15"/>
    </row>
    <row r="204" spans="1:9" ht="13.15">
      <c r="A204" s="14"/>
      <c r="B204" s="14"/>
      <c r="C204" s="14"/>
      <c r="D204" s="14"/>
      <c r="E204" s="14"/>
      <c r="F204" s="15"/>
      <c r="G204" s="14"/>
      <c r="H204" s="14"/>
      <c r="I204" s="15"/>
    </row>
    <row r="205" spans="1:9" ht="13.15">
      <c r="A205" s="14"/>
      <c r="B205" s="14"/>
      <c r="C205" s="14"/>
      <c r="D205" s="14"/>
      <c r="E205" s="14"/>
      <c r="F205" s="15"/>
      <c r="G205" s="14"/>
      <c r="H205" s="14"/>
      <c r="I205" s="15"/>
    </row>
    <row r="206" spans="1:9" ht="13.15">
      <c r="A206" s="14"/>
      <c r="B206" s="14"/>
      <c r="C206" s="14"/>
      <c r="D206" s="14"/>
      <c r="E206" s="14"/>
      <c r="F206" s="15"/>
      <c r="G206" s="14"/>
      <c r="H206" s="14"/>
      <c r="I206" s="15"/>
    </row>
    <row r="207" spans="1:9" ht="13.15">
      <c r="A207" s="14"/>
      <c r="B207" s="14"/>
      <c r="C207" s="14"/>
      <c r="D207" s="14"/>
      <c r="E207" s="14"/>
      <c r="F207" s="15"/>
      <c r="G207" s="14"/>
      <c r="H207" s="14"/>
      <c r="I207" s="15"/>
    </row>
    <row r="208" spans="1:9" ht="13.15">
      <c r="A208" s="14"/>
      <c r="B208" s="14"/>
      <c r="C208" s="14"/>
      <c r="D208" s="14"/>
      <c r="E208" s="14"/>
      <c r="F208" s="15"/>
      <c r="G208" s="14"/>
      <c r="H208" s="14"/>
      <c r="I208" s="15"/>
    </row>
    <row r="209" spans="1:9" ht="13.15">
      <c r="A209" s="14"/>
      <c r="B209" s="14"/>
      <c r="C209" s="14"/>
      <c r="D209" s="14"/>
      <c r="E209" s="14"/>
      <c r="F209" s="15"/>
      <c r="G209" s="14"/>
      <c r="H209" s="14"/>
      <c r="I209" s="15"/>
    </row>
    <row r="210" spans="1:9" ht="13.15">
      <c r="A210" s="14"/>
      <c r="B210" s="14"/>
      <c r="C210" s="14"/>
      <c r="D210" s="14"/>
      <c r="E210" s="14"/>
      <c r="F210" s="15"/>
      <c r="G210" s="14"/>
      <c r="H210" s="14"/>
      <c r="I210" s="15"/>
    </row>
    <row r="211" spans="1:9" ht="13.15">
      <c r="A211" s="14"/>
      <c r="B211" s="14"/>
      <c r="C211" s="14"/>
      <c r="D211" s="14"/>
      <c r="E211" s="14"/>
      <c r="F211" s="15"/>
      <c r="G211" s="14"/>
      <c r="H211" s="14"/>
      <c r="I211" s="15"/>
    </row>
    <row r="212" spans="1:9" ht="13.15">
      <c r="A212" s="14"/>
      <c r="B212" s="14"/>
      <c r="C212" s="14"/>
      <c r="D212" s="14"/>
      <c r="E212" s="14"/>
      <c r="F212" s="15"/>
      <c r="G212" s="14"/>
      <c r="H212" s="14"/>
      <c r="I212" s="15"/>
    </row>
    <row r="213" spans="1:9" ht="13.15">
      <c r="A213" s="14"/>
      <c r="B213" s="14"/>
      <c r="C213" s="14"/>
      <c r="D213" s="14"/>
      <c r="E213" s="14"/>
      <c r="F213" s="15"/>
      <c r="G213" s="14"/>
      <c r="H213" s="14"/>
      <c r="I213" s="15"/>
    </row>
    <row r="214" spans="1:9" ht="13.15">
      <c r="A214" s="14"/>
      <c r="B214" s="14"/>
      <c r="C214" s="14"/>
      <c r="D214" s="14"/>
      <c r="E214" s="14"/>
      <c r="F214" s="15"/>
      <c r="G214" s="14"/>
      <c r="H214" s="14"/>
      <c r="I214" s="15"/>
    </row>
    <row r="215" spans="1:9" ht="13.15">
      <c r="A215" s="14"/>
      <c r="B215" s="14"/>
      <c r="C215" s="14"/>
      <c r="D215" s="14"/>
      <c r="E215" s="14"/>
      <c r="F215" s="15"/>
      <c r="G215" s="14"/>
      <c r="H215" s="14"/>
      <c r="I215" s="15"/>
    </row>
    <row r="216" spans="1:9" ht="13.15">
      <c r="A216" s="14"/>
      <c r="B216" s="14"/>
      <c r="C216" s="14"/>
      <c r="D216" s="14"/>
      <c r="E216" s="14"/>
      <c r="F216" s="15"/>
      <c r="G216" s="14"/>
      <c r="H216" s="14"/>
      <c r="I216" s="15"/>
    </row>
    <row r="217" spans="1:9" ht="13.15">
      <c r="A217" s="14"/>
      <c r="B217" s="14"/>
      <c r="C217" s="14"/>
      <c r="D217" s="14"/>
      <c r="E217" s="14"/>
      <c r="F217" s="15"/>
      <c r="G217" s="14"/>
      <c r="H217" s="14"/>
      <c r="I217" s="15"/>
    </row>
    <row r="218" spans="1:9" ht="13.15">
      <c r="A218" s="14"/>
      <c r="B218" s="14"/>
      <c r="C218" s="14"/>
      <c r="D218" s="14"/>
      <c r="E218" s="14"/>
      <c r="F218" s="15"/>
      <c r="G218" s="14"/>
      <c r="H218" s="14"/>
      <c r="I218" s="15"/>
    </row>
    <row r="219" spans="1:9" ht="13.15">
      <c r="A219" s="14"/>
      <c r="B219" s="14"/>
      <c r="C219" s="14"/>
      <c r="D219" s="14"/>
      <c r="E219" s="14"/>
      <c r="F219" s="15"/>
      <c r="G219" s="14"/>
      <c r="H219" s="14"/>
      <c r="I219" s="15"/>
    </row>
    <row r="220" spans="1:9" ht="13.15">
      <c r="A220" s="14"/>
      <c r="B220" s="14"/>
      <c r="C220" s="14"/>
      <c r="D220" s="14"/>
      <c r="E220" s="14"/>
      <c r="F220" s="15"/>
      <c r="G220" s="14"/>
      <c r="H220" s="14"/>
      <c r="I220" s="15"/>
    </row>
    <row r="221" spans="1:9" ht="13.15">
      <c r="A221" s="14"/>
      <c r="B221" s="14"/>
      <c r="C221" s="14"/>
      <c r="D221" s="14"/>
      <c r="E221" s="14"/>
      <c r="F221" s="15"/>
      <c r="G221" s="14"/>
      <c r="H221" s="14"/>
      <c r="I221" s="15"/>
    </row>
    <row r="222" spans="1:9" ht="13.15">
      <c r="A222" s="14"/>
      <c r="B222" s="14"/>
      <c r="C222" s="14"/>
      <c r="D222" s="14"/>
      <c r="E222" s="14"/>
      <c r="F222" s="15"/>
      <c r="G222" s="14"/>
      <c r="H222" s="14"/>
      <c r="I222" s="15"/>
    </row>
    <row r="223" spans="1:9" ht="13.15">
      <c r="A223" s="14"/>
      <c r="B223" s="14"/>
      <c r="C223" s="14"/>
      <c r="D223" s="14"/>
      <c r="E223" s="14"/>
      <c r="F223" s="15"/>
      <c r="G223" s="14"/>
      <c r="H223" s="14"/>
      <c r="I223" s="15"/>
    </row>
    <row r="224" spans="1:9" ht="13.15">
      <c r="A224" s="14"/>
      <c r="B224" s="14"/>
      <c r="C224" s="14"/>
      <c r="D224" s="14"/>
      <c r="E224" s="14"/>
      <c r="F224" s="15"/>
      <c r="G224" s="14"/>
      <c r="H224" s="14"/>
      <c r="I224" s="15"/>
    </row>
    <row r="225" spans="1:9" ht="13.15">
      <c r="A225" s="14"/>
      <c r="B225" s="14"/>
      <c r="C225" s="14"/>
      <c r="D225" s="14"/>
      <c r="E225" s="14"/>
      <c r="F225" s="15"/>
      <c r="G225" s="14"/>
      <c r="H225" s="14"/>
      <c r="I225" s="15"/>
    </row>
    <row r="226" spans="1:9" ht="13.15">
      <c r="A226" s="14"/>
      <c r="B226" s="14"/>
      <c r="C226" s="14"/>
      <c r="D226" s="14"/>
      <c r="E226" s="14"/>
      <c r="F226" s="15"/>
      <c r="G226" s="14"/>
      <c r="H226" s="14"/>
      <c r="I226" s="15"/>
    </row>
    <row r="227" spans="1:9" ht="13.15">
      <c r="A227" s="14"/>
      <c r="B227" s="14"/>
      <c r="C227" s="14"/>
      <c r="D227" s="14"/>
      <c r="E227" s="14"/>
      <c r="F227" s="15"/>
      <c r="G227" s="14"/>
      <c r="H227" s="14"/>
      <c r="I227" s="15"/>
    </row>
    <row r="228" spans="1:9" ht="13.15">
      <c r="A228" s="14"/>
      <c r="B228" s="14"/>
      <c r="C228" s="14"/>
      <c r="D228" s="14"/>
      <c r="E228" s="14"/>
      <c r="F228" s="15"/>
      <c r="G228" s="14"/>
      <c r="H228" s="14"/>
      <c r="I228" s="15"/>
    </row>
    <row r="229" spans="1:9" ht="13.15">
      <c r="A229" s="14"/>
      <c r="B229" s="14"/>
      <c r="C229" s="14"/>
      <c r="D229" s="14"/>
      <c r="E229" s="14"/>
      <c r="F229" s="15"/>
      <c r="G229" s="14"/>
      <c r="H229" s="14"/>
      <c r="I229" s="15"/>
    </row>
    <row r="230" spans="1:9" ht="13.15">
      <c r="A230" s="14"/>
      <c r="B230" s="14"/>
      <c r="C230" s="14"/>
      <c r="D230" s="14"/>
      <c r="E230" s="14"/>
      <c r="F230" s="15"/>
      <c r="G230" s="14"/>
      <c r="H230" s="14"/>
      <c r="I230" s="15"/>
    </row>
    <row r="231" spans="1:9" ht="13.15">
      <c r="A231" s="14"/>
      <c r="B231" s="14"/>
      <c r="C231" s="14"/>
      <c r="D231" s="14"/>
      <c r="E231" s="14"/>
      <c r="F231" s="15"/>
      <c r="G231" s="14"/>
      <c r="H231" s="14"/>
      <c r="I231" s="15"/>
    </row>
    <row r="232" spans="1:9" ht="13.15">
      <c r="A232" s="14"/>
      <c r="B232" s="14"/>
      <c r="C232" s="14"/>
      <c r="D232" s="14"/>
      <c r="E232" s="14"/>
      <c r="F232" s="15"/>
      <c r="G232" s="14"/>
      <c r="H232" s="14"/>
      <c r="I232" s="15"/>
    </row>
    <row r="233" spans="1:9" ht="13.15">
      <c r="A233" s="14"/>
      <c r="B233" s="14"/>
      <c r="C233" s="14"/>
      <c r="D233" s="14"/>
      <c r="E233" s="14"/>
      <c r="F233" s="15"/>
      <c r="G233" s="14"/>
      <c r="H233" s="14"/>
      <c r="I233" s="15"/>
    </row>
    <row r="234" spans="1:9" ht="13.15">
      <c r="A234" s="14"/>
      <c r="B234" s="14"/>
      <c r="C234" s="14"/>
      <c r="D234" s="14"/>
      <c r="E234" s="14"/>
      <c r="F234" s="15"/>
      <c r="G234" s="14"/>
      <c r="H234" s="14"/>
      <c r="I234" s="15"/>
    </row>
    <row r="235" spans="1:9" ht="13.15">
      <c r="A235" s="14"/>
      <c r="B235" s="14"/>
      <c r="C235" s="14"/>
      <c r="D235" s="14"/>
      <c r="E235" s="14"/>
      <c r="F235" s="15"/>
      <c r="G235" s="14"/>
      <c r="H235" s="14"/>
      <c r="I235" s="15"/>
    </row>
    <row r="236" spans="1:9" ht="13.15">
      <c r="A236" s="14"/>
      <c r="B236" s="14"/>
      <c r="C236" s="14"/>
      <c r="D236" s="14"/>
      <c r="E236" s="14"/>
      <c r="F236" s="15"/>
      <c r="G236" s="14"/>
      <c r="H236" s="14"/>
      <c r="I236" s="15"/>
    </row>
    <row r="237" spans="1:9" ht="13.15">
      <c r="A237" s="14"/>
      <c r="B237" s="14"/>
      <c r="C237" s="14"/>
      <c r="D237" s="14"/>
      <c r="E237" s="14"/>
      <c r="F237" s="15"/>
      <c r="G237" s="14"/>
      <c r="H237" s="14"/>
      <c r="I237" s="15"/>
    </row>
    <row r="238" spans="1:9" ht="13.15">
      <c r="A238" s="14"/>
      <c r="B238" s="14"/>
      <c r="C238" s="14"/>
      <c r="D238" s="14"/>
      <c r="E238" s="14"/>
      <c r="F238" s="15"/>
      <c r="G238" s="14"/>
      <c r="H238" s="14"/>
      <c r="I238" s="15"/>
    </row>
    <row r="239" spans="1:9" ht="13.15">
      <c r="A239" s="14"/>
      <c r="B239" s="14"/>
      <c r="C239" s="14"/>
      <c r="D239" s="14"/>
      <c r="E239" s="14"/>
      <c r="F239" s="15"/>
      <c r="G239" s="14"/>
      <c r="H239" s="14"/>
      <c r="I239" s="15"/>
    </row>
    <row r="240" spans="1:9" ht="13.15">
      <c r="A240" s="14"/>
      <c r="B240" s="14"/>
      <c r="C240" s="14"/>
      <c r="D240" s="14"/>
      <c r="E240" s="14"/>
      <c r="F240" s="15"/>
      <c r="G240" s="14"/>
      <c r="H240" s="14"/>
      <c r="I240" s="15"/>
    </row>
    <row r="241" spans="1:9" ht="13.15">
      <c r="A241" s="14"/>
      <c r="B241" s="14"/>
      <c r="C241" s="14"/>
      <c r="D241" s="14"/>
      <c r="E241" s="14"/>
      <c r="F241" s="15"/>
      <c r="G241" s="14"/>
      <c r="H241" s="14"/>
      <c r="I241" s="15"/>
    </row>
    <row r="242" spans="1:9" ht="13.15">
      <c r="A242" s="14"/>
      <c r="B242" s="14"/>
      <c r="C242" s="14"/>
      <c r="D242" s="14"/>
      <c r="E242" s="14"/>
      <c r="F242" s="15"/>
      <c r="G242" s="14"/>
      <c r="H242" s="14"/>
      <c r="I242" s="15"/>
    </row>
    <row r="243" spans="1:9" ht="13.15">
      <c r="A243" s="14"/>
      <c r="B243" s="14"/>
      <c r="C243" s="14"/>
      <c r="D243" s="14"/>
      <c r="E243" s="14"/>
      <c r="F243" s="15"/>
      <c r="G243" s="14"/>
      <c r="H243" s="14"/>
      <c r="I243" s="15"/>
    </row>
    <row r="244" spans="1:9" ht="13.15">
      <c r="A244" s="14"/>
      <c r="B244" s="14"/>
      <c r="C244" s="14"/>
      <c r="D244" s="14"/>
      <c r="E244" s="14"/>
      <c r="F244" s="15"/>
      <c r="G244" s="14"/>
      <c r="H244" s="14"/>
      <c r="I244" s="15"/>
    </row>
    <row r="245" spans="1:9" ht="13.15">
      <c r="A245" s="14"/>
      <c r="B245" s="14"/>
      <c r="C245" s="14"/>
      <c r="D245" s="14"/>
      <c r="E245" s="14"/>
      <c r="F245" s="15"/>
      <c r="G245" s="14"/>
      <c r="H245" s="14"/>
      <c r="I245" s="15"/>
    </row>
    <row r="246" spans="1:9" ht="13.15">
      <c r="A246" s="14"/>
      <c r="B246" s="14"/>
      <c r="C246" s="14"/>
      <c r="D246" s="14"/>
      <c r="E246" s="14"/>
      <c r="F246" s="15"/>
      <c r="G246" s="14"/>
      <c r="H246" s="14"/>
      <c r="I246" s="15"/>
    </row>
    <row r="247" spans="1:9" ht="13.15">
      <c r="A247" s="14"/>
      <c r="B247" s="14"/>
      <c r="C247" s="14"/>
      <c r="D247" s="14"/>
      <c r="E247" s="14"/>
      <c r="F247" s="15"/>
      <c r="G247" s="14"/>
      <c r="H247" s="14"/>
      <c r="I247" s="15"/>
    </row>
    <row r="248" spans="1:9" ht="13.15">
      <c r="A248" s="14"/>
      <c r="B248" s="14"/>
      <c r="C248" s="14"/>
      <c r="D248" s="14"/>
      <c r="E248" s="14"/>
      <c r="F248" s="15"/>
      <c r="G248" s="14"/>
      <c r="H248" s="14"/>
      <c r="I248" s="15"/>
    </row>
    <row r="249" spans="1:9" ht="13.15">
      <c r="A249" s="14"/>
      <c r="B249" s="14"/>
      <c r="C249" s="14"/>
      <c r="D249" s="14"/>
      <c r="E249" s="14"/>
      <c r="F249" s="15"/>
      <c r="G249" s="14"/>
      <c r="H249" s="14"/>
      <c r="I249" s="15"/>
    </row>
    <row r="250" spans="1:9" ht="13.15">
      <c r="A250" s="14"/>
      <c r="B250" s="14"/>
      <c r="C250" s="14"/>
      <c r="D250" s="14"/>
      <c r="E250" s="14"/>
      <c r="F250" s="15"/>
      <c r="G250" s="14"/>
      <c r="H250" s="14"/>
      <c r="I250" s="15"/>
    </row>
    <row r="251" spans="1:9" ht="13.15">
      <c r="A251" s="14"/>
      <c r="B251" s="14"/>
      <c r="C251" s="14"/>
      <c r="D251" s="14"/>
      <c r="E251" s="14"/>
      <c r="F251" s="15"/>
      <c r="G251" s="14"/>
      <c r="H251" s="14"/>
      <c r="I251" s="15"/>
    </row>
    <row r="252" spans="1:9" ht="13.15">
      <c r="A252" s="14"/>
      <c r="B252" s="14"/>
      <c r="C252" s="14"/>
      <c r="D252" s="14"/>
      <c r="E252" s="14"/>
      <c r="F252" s="15"/>
      <c r="G252" s="14"/>
      <c r="H252" s="14"/>
      <c r="I252" s="15"/>
    </row>
    <row r="253" spans="1:9" ht="13.15">
      <c r="A253" s="14"/>
      <c r="B253" s="14"/>
      <c r="C253" s="14"/>
      <c r="D253" s="14"/>
      <c r="E253" s="14"/>
      <c r="F253" s="15"/>
      <c r="G253" s="14"/>
      <c r="H253" s="14"/>
      <c r="I253" s="15"/>
    </row>
    <row r="254" spans="1:9" ht="13.15">
      <c r="A254" s="14"/>
      <c r="B254" s="14"/>
      <c r="C254" s="14"/>
      <c r="D254" s="14"/>
      <c r="E254" s="14"/>
      <c r="F254" s="15"/>
      <c r="G254" s="14"/>
      <c r="H254" s="14"/>
      <c r="I254" s="15"/>
    </row>
    <row r="255" spans="1:9" ht="13.15">
      <c r="A255" s="14"/>
      <c r="B255" s="14"/>
      <c r="C255" s="14"/>
      <c r="D255" s="14"/>
      <c r="E255" s="14"/>
      <c r="F255" s="15"/>
      <c r="G255" s="14"/>
      <c r="H255" s="14"/>
      <c r="I255" s="15"/>
    </row>
    <row r="256" spans="1:9" ht="13.15">
      <c r="A256" s="14"/>
      <c r="B256" s="14"/>
      <c r="C256" s="14"/>
      <c r="D256" s="14"/>
      <c r="E256" s="14"/>
      <c r="F256" s="15"/>
      <c r="G256" s="14"/>
      <c r="H256" s="14"/>
      <c r="I256" s="15"/>
    </row>
    <row r="257" spans="1:9" ht="13.15">
      <c r="A257" s="14"/>
      <c r="B257" s="14"/>
      <c r="C257" s="14"/>
      <c r="D257" s="14"/>
      <c r="E257" s="14"/>
      <c r="F257" s="15"/>
      <c r="G257" s="14"/>
      <c r="H257" s="14"/>
      <c r="I257" s="15"/>
    </row>
    <row r="258" spans="1:9" ht="13.15">
      <c r="A258" s="14"/>
      <c r="B258" s="14"/>
      <c r="C258" s="14"/>
      <c r="D258" s="14"/>
      <c r="E258" s="14"/>
      <c r="F258" s="15"/>
      <c r="G258" s="14"/>
      <c r="H258" s="14"/>
      <c r="I258" s="15"/>
    </row>
    <row r="259" spans="1:9" ht="13.15">
      <c r="A259" s="14"/>
      <c r="B259" s="14"/>
      <c r="C259" s="14"/>
      <c r="D259" s="14"/>
      <c r="E259" s="14"/>
      <c r="F259" s="15"/>
      <c r="G259" s="14"/>
      <c r="H259" s="14"/>
      <c r="I259" s="15"/>
    </row>
    <row r="260" spans="1:9" ht="13.15">
      <c r="A260" s="14"/>
      <c r="B260" s="14"/>
      <c r="C260" s="14"/>
      <c r="D260" s="14"/>
      <c r="E260" s="14"/>
      <c r="F260" s="15"/>
      <c r="G260" s="14"/>
      <c r="H260" s="14"/>
      <c r="I260" s="15"/>
    </row>
    <row r="261" spans="1:9" ht="13.15">
      <c r="A261" s="14"/>
      <c r="B261" s="14"/>
      <c r="C261" s="14"/>
      <c r="D261" s="14"/>
      <c r="E261" s="14"/>
      <c r="F261" s="15"/>
      <c r="G261" s="14"/>
      <c r="H261" s="14"/>
      <c r="I261" s="15"/>
    </row>
    <row r="262" spans="1:9" ht="13.15">
      <c r="A262" s="14"/>
      <c r="B262" s="14"/>
      <c r="C262" s="14"/>
      <c r="D262" s="14"/>
      <c r="E262" s="14"/>
      <c r="F262" s="15"/>
      <c r="G262" s="14"/>
      <c r="H262" s="14"/>
      <c r="I262" s="15"/>
    </row>
    <row r="263" spans="1:9" ht="13.15">
      <c r="A263" s="14"/>
      <c r="B263" s="14"/>
      <c r="C263" s="14"/>
      <c r="D263" s="14"/>
      <c r="E263" s="14"/>
      <c r="F263" s="15"/>
      <c r="G263" s="14"/>
      <c r="H263" s="14"/>
      <c r="I263" s="15"/>
    </row>
    <row r="264" spans="1:9" ht="13.15">
      <c r="A264" s="14"/>
      <c r="B264" s="14"/>
      <c r="C264" s="14"/>
      <c r="D264" s="14"/>
      <c r="E264" s="14"/>
      <c r="F264" s="15"/>
      <c r="G264" s="14"/>
      <c r="H264" s="14"/>
      <c r="I264" s="15"/>
    </row>
    <row r="265" spans="1:9" ht="13.15">
      <c r="A265" s="14"/>
      <c r="B265" s="14"/>
      <c r="C265" s="14"/>
      <c r="D265" s="14"/>
      <c r="E265" s="14"/>
      <c r="F265" s="15"/>
      <c r="G265" s="14"/>
      <c r="H265" s="14"/>
      <c r="I265" s="15"/>
    </row>
    <row r="266" spans="1:9" ht="13.15">
      <c r="A266" s="14"/>
      <c r="B266" s="14"/>
      <c r="C266" s="14"/>
      <c r="D266" s="14"/>
      <c r="E266" s="14"/>
      <c r="F266" s="15"/>
      <c r="G266" s="14"/>
      <c r="H266" s="14"/>
      <c r="I266" s="15"/>
    </row>
    <row r="267" spans="1:9" ht="13.15">
      <c r="A267" s="14"/>
      <c r="B267" s="14"/>
      <c r="C267" s="14"/>
      <c r="D267" s="14"/>
      <c r="E267" s="14"/>
      <c r="F267" s="15"/>
      <c r="G267" s="14"/>
      <c r="H267" s="14"/>
      <c r="I267" s="15"/>
    </row>
    <row r="268" spans="1:9" ht="13.15">
      <c r="A268" s="14"/>
      <c r="B268" s="14"/>
      <c r="C268" s="14"/>
      <c r="D268" s="14"/>
      <c r="E268" s="14"/>
      <c r="F268" s="15"/>
      <c r="G268" s="14"/>
      <c r="H268" s="14"/>
      <c r="I268" s="15"/>
    </row>
    <row r="269" spans="1:9" ht="13.15">
      <c r="A269" s="14"/>
      <c r="B269" s="14"/>
      <c r="C269" s="14"/>
      <c r="D269" s="14"/>
      <c r="E269" s="14"/>
      <c r="F269" s="15"/>
      <c r="G269" s="14"/>
      <c r="H269" s="14"/>
      <c r="I269" s="15"/>
    </row>
    <row r="270" spans="1:9" ht="13.15">
      <c r="A270" s="14"/>
      <c r="B270" s="14"/>
      <c r="C270" s="14"/>
      <c r="D270" s="14"/>
      <c r="E270" s="14"/>
      <c r="F270" s="15"/>
      <c r="G270" s="14"/>
      <c r="H270" s="14"/>
      <c r="I270" s="15"/>
    </row>
    <row r="271" spans="1:9" ht="13.15">
      <c r="A271" s="14"/>
      <c r="B271" s="14"/>
      <c r="C271" s="14"/>
      <c r="D271" s="14"/>
      <c r="E271" s="14"/>
      <c r="F271" s="15"/>
      <c r="G271" s="14"/>
      <c r="H271" s="14"/>
      <c r="I271" s="15"/>
    </row>
    <row r="272" spans="1:9" ht="13.15">
      <c r="A272" s="14"/>
      <c r="B272" s="14"/>
      <c r="C272" s="14"/>
      <c r="D272" s="14"/>
      <c r="E272" s="14"/>
      <c r="F272" s="15"/>
      <c r="G272" s="14"/>
      <c r="H272" s="14"/>
      <c r="I272" s="15"/>
    </row>
    <row r="273" spans="1:9" ht="13.15">
      <c r="A273" s="14"/>
      <c r="B273" s="14"/>
      <c r="C273" s="14"/>
      <c r="D273" s="14"/>
      <c r="E273" s="14"/>
      <c r="F273" s="15"/>
      <c r="G273" s="14"/>
      <c r="H273" s="14"/>
      <c r="I273" s="15"/>
    </row>
    <row r="274" spans="1:9" ht="13.15">
      <c r="A274" s="14"/>
      <c r="B274" s="14"/>
      <c r="C274" s="14"/>
      <c r="D274" s="14"/>
      <c r="E274" s="14"/>
      <c r="F274" s="15"/>
      <c r="G274" s="14"/>
      <c r="H274" s="14"/>
      <c r="I274" s="15"/>
    </row>
    <row r="275" spans="1:9" ht="13.15">
      <c r="A275" s="14"/>
      <c r="B275" s="14"/>
      <c r="C275" s="14"/>
      <c r="D275" s="14"/>
      <c r="E275" s="14"/>
      <c r="F275" s="15"/>
      <c r="G275" s="14"/>
      <c r="H275" s="14"/>
      <c r="I275" s="15"/>
    </row>
    <row r="276" spans="1:9" ht="13.15">
      <c r="A276" s="14"/>
      <c r="B276" s="14"/>
      <c r="C276" s="14"/>
      <c r="D276" s="14"/>
      <c r="E276" s="14"/>
      <c r="F276" s="15"/>
      <c r="G276" s="14"/>
      <c r="H276" s="14"/>
      <c r="I276" s="15"/>
    </row>
    <row r="277" spans="1:9" ht="13.15">
      <c r="A277" s="14"/>
      <c r="B277" s="14"/>
      <c r="C277" s="14"/>
      <c r="D277" s="14"/>
      <c r="E277" s="14"/>
      <c r="F277" s="15"/>
      <c r="G277" s="14"/>
      <c r="H277" s="14"/>
      <c r="I277" s="15"/>
    </row>
    <row r="278" spans="1:9" ht="13.15">
      <c r="A278" s="14"/>
      <c r="B278" s="14"/>
      <c r="C278" s="14"/>
      <c r="D278" s="14"/>
      <c r="E278" s="14"/>
      <c r="F278" s="15"/>
      <c r="G278" s="14"/>
      <c r="H278" s="14"/>
      <c r="I278" s="15"/>
    </row>
    <row r="279" spans="1:9" ht="13.15">
      <c r="A279" s="14"/>
      <c r="B279" s="14"/>
      <c r="C279" s="14"/>
      <c r="D279" s="14"/>
      <c r="E279" s="14"/>
      <c r="F279" s="15"/>
      <c r="G279" s="14"/>
      <c r="H279" s="14"/>
      <c r="I279" s="15"/>
    </row>
    <row r="280" spans="1:9" ht="13.15">
      <c r="A280" s="14"/>
      <c r="B280" s="14"/>
      <c r="C280" s="14"/>
      <c r="D280" s="14"/>
      <c r="E280" s="14"/>
      <c r="F280" s="15"/>
      <c r="G280" s="14"/>
      <c r="H280" s="14"/>
      <c r="I280" s="15"/>
    </row>
    <row r="281" spans="1:9" ht="13.15">
      <c r="A281" s="14"/>
      <c r="B281" s="14"/>
      <c r="C281" s="14"/>
      <c r="D281" s="14"/>
      <c r="E281" s="14"/>
      <c r="F281" s="15"/>
      <c r="G281" s="14"/>
      <c r="H281" s="14"/>
      <c r="I281" s="15"/>
    </row>
    <row r="282" spans="1:9" ht="13.15">
      <c r="A282" s="14"/>
      <c r="B282" s="14"/>
      <c r="C282" s="14"/>
      <c r="D282" s="14"/>
      <c r="E282" s="14"/>
      <c r="F282" s="15"/>
      <c r="G282" s="14"/>
      <c r="H282" s="14"/>
      <c r="I282" s="15"/>
    </row>
    <row r="283" spans="1:9" ht="13.15">
      <c r="A283" s="14"/>
      <c r="B283" s="14"/>
      <c r="C283" s="14"/>
      <c r="D283" s="14"/>
      <c r="E283" s="14"/>
      <c r="F283" s="15"/>
      <c r="G283" s="14"/>
      <c r="H283" s="14"/>
      <c r="I283" s="15"/>
    </row>
    <row r="284" spans="1:9" ht="13.15">
      <c r="A284" s="14"/>
      <c r="B284" s="14"/>
      <c r="C284" s="14"/>
      <c r="D284" s="14"/>
      <c r="E284" s="14"/>
      <c r="F284" s="15"/>
      <c r="G284" s="14"/>
      <c r="H284" s="14"/>
      <c r="I284" s="15"/>
    </row>
    <row r="285" spans="1:9" ht="13.15">
      <c r="A285" s="14"/>
      <c r="B285" s="14"/>
      <c r="C285" s="14"/>
      <c r="D285" s="14"/>
      <c r="E285" s="14"/>
      <c r="F285" s="15"/>
      <c r="G285" s="14"/>
      <c r="H285" s="14"/>
      <c r="I285" s="15"/>
    </row>
    <row r="286" spans="1:9" ht="13.15">
      <c r="A286" s="14"/>
      <c r="B286" s="14"/>
      <c r="C286" s="14"/>
      <c r="D286" s="14"/>
      <c r="E286" s="14"/>
      <c r="F286" s="15"/>
      <c r="G286" s="14"/>
      <c r="H286" s="14"/>
      <c r="I286" s="15"/>
    </row>
    <row r="287" spans="1:9" ht="13.15">
      <c r="A287" s="14"/>
      <c r="B287" s="14"/>
      <c r="C287" s="14"/>
      <c r="D287" s="14"/>
      <c r="E287" s="14"/>
      <c r="F287" s="15"/>
      <c r="G287" s="14"/>
      <c r="H287" s="14"/>
      <c r="I287" s="15"/>
    </row>
    <row r="288" spans="1:9" ht="13.15">
      <c r="A288" s="14"/>
      <c r="B288" s="14"/>
      <c r="C288" s="14"/>
      <c r="D288" s="14"/>
      <c r="E288" s="14"/>
      <c r="F288" s="15"/>
      <c r="G288" s="14"/>
      <c r="H288" s="14"/>
      <c r="I288" s="15"/>
    </row>
    <row r="289" spans="1:9" ht="13.15">
      <c r="A289" s="14"/>
      <c r="B289" s="14"/>
      <c r="C289" s="14"/>
      <c r="D289" s="14"/>
      <c r="E289" s="14"/>
      <c r="F289" s="15"/>
      <c r="G289" s="14"/>
      <c r="H289" s="14"/>
      <c r="I289" s="15"/>
    </row>
    <row r="290" spans="1:9" ht="13.15">
      <c r="A290" s="14"/>
      <c r="B290" s="14"/>
      <c r="C290" s="14"/>
      <c r="D290" s="14"/>
      <c r="E290" s="14"/>
      <c r="F290" s="15"/>
      <c r="G290" s="14"/>
      <c r="H290" s="14"/>
      <c r="I290" s="15"/>
    </row>
    <row r="291" spans="1:9" ht="13.15">
      <c r="A291" s="14"/>
      <c r="B291" s="14"/>
      <c r="C291" s="14"/>
      <c r="D291" s="14"/>
      <c r="E291" s="14"/>
      <c r="F291" s="15"/>
      <c r="G291" s="14"/>
      <c r="H291" s="14"/>
      <c r="I291" s="15"/>
    </row>
    <row r="292" spans="1:9" ht="13.15">
      <c r="A292" s="14"/>
      <c r="B292" s="14"/>
      <c r="C292" s="14"/>
      <c r="D292" s="14"/>
      <c r="E292" s="14"/>
      <c r="F292" s="15"/>
      <c r="G292" s="14"/>
      <c r="H292" s="14"/>
      <c r="I292" s="15"/>
    </row>
    <row r="293" spans="1:9" ht="13.15">
      <c r="A293" s="14"/>
      <c r="B293" s="14"/>
      <c r="C293" s="14"/>
      <c r="D293" s="14"/>
      <c r="E293" s="14"/>
      <c r="F293" s="15"/>
      <c r="G293" s="14"/>
      <c r="H293" s="14"/>
      <c r="I293" s="15"/>
    </row>
    <row r="294" spans="1:9" ht="13.15">
      <c r="A294" s="14"/>
      <c r="B294" s="14"/>
      <c r="C294" s="14"/>
      <c r="D294" s="14"/>
      <c r="E294" s="14"/>
      <c r="F294" s="15"/>
      <c r="G294" s="14"/>
      <c r="H294" s="14"/>
      <c r="I294" s="15"/>
    </row>
    <row r="295" spans="1:9" ht="13.15">
      <c r="A295" s="14"/>
      <c r="B295" s="14"/>
      <c r="C295" s="14"/>
      <c r="D295" s="14"/>
      <c r="E295" s="14"/>
      <c r="F295" s="15"/>
      <c r="G295" s="14"/>
      <c r="H295" s="14"/>
      <c r="I295" s="15"/>
    </row>
    <row r="296" spans="1:9" ht="13.15">
      <c r="A296" s="14"/>
      <c r="B296" s="14"/>
      <c r="C296" s="14"/>
      <c r="D296" s="14"/>
      <c r="E296" s="14"/>
      <c r="F296" s="15"/>
      <c r="G296" s="14"/>
      <c r="H296" s="14"/>
      <c r="I296" s="15"/>
    </row>
    <row r="297" spans="1:9" ht="13.15">
      <c r="A297" s="14"/>
      <c r="B297" s="14"/>
      <c r="C297" s="14"/>
      <c r="D297" s="14"/>
      <c r="E297" s="14"/>
      <c r="F297" s="15"/>
      <c r="G297" s="14"/>
      <c r="H297" s="14"/>
      <c r="I297" s="15"/>
    </row>
    <row r="298" spans="1:9" ht="13.15">
      <c r="A298" s="14"/>
      <c r="B298" s="14"/>
      <c r="C298" s="14"/>
      <c r="D298" s="14"/>
      <c r="E298" s="14"/>
      <c r="F298" s="15"/>
      <c r="G298" s="14"/>
      <c r="H298" s="14"/>
      <c r="I298" s="15"/>
    </row>
    <row r="299" spans="1:9" ht="13.15">
      <c r="A299" s="14"/>
      <c r="B299" s="14"/>
      <c r="C299" s="14"/>
      <c r="D299" s="14"/>
      <c r="E299" s="14"/>
      <c r="F299" s="15"/>
      <c r="G299" s="14"/>
      <c r="H299" s="14"/>
      <c r="I299" s="15"/>
    </row>
    <row r="300" spans="1:9" ht="13.15">
      <c r="A300" s="14"/>
      <c r="B300" s="14"/>
      <c r="C300" s="14"/>
      <c r="D300" s="14"/>
      <c r="E300" s="14"/>
      <c r="F300" s="15"/>
      <c r="G300" s="14"/>
      <c r="H300" s="14"/>
      <c r="I300" s="15"/>
    </row>
    <row r="301" spans="1:9" ht="13.15">
      <c r="A301" s="14"/>
      <c r="B301" s="14"/>
      <c r="C301" s="14"/>
      <c r="D301" s="14"/>
      <c r="E301" s="14"/>
      <c r="F301" s="15"/>
      <c r="G301" s="14"/>
      <c r="H301" s="14"/>
      <c r="I301" s="15"/>
    </row>
    <row r="302" spans="1:9" ht="13.15">
      <c r="A302" s="14"/>
      <c r="B302" s="14"/>
      <c r="C302" s="14"/>
      <c r="D302" s="14"/>
      <c r="E302" s="14"/>
      <c r="F302" s="15"/>
      <c r="G302" s="14"/>
      <c r="H302" s="14"/>
      <c r="I302" s="15"/>
    </row>
    <row r="303" spans="1:9" ht="13.15">
      <c r="A303" s="14"/>
      <c r="B303" s="14"/>
      <c r="C303" s="14"/>
      <c r="D303" s="14"/>
      <c r="E303" s="14"/>
      <c r="F303" s="15"/>
      <c r="G303" s="14"/>
      <c r="H303" s="14"/>
      <c r="I303" s="15"/>
    </row>
    <row r="304" spans="1:9" ht="13.15">
      <c r="A304" s="14"/>
      <c r="B304" s="14"/>
      <c r="C304" s="14"/>
      <c r="D304" s="14"/>
      <c r="E304" s="14"/>
      <c r="F304" s="15"/>
      <c r="G304" s="14"/>
      <c r="H304" s="14"/>
      <c r="I304" s="15"/>
    </row>
    <row r="305" spans="1:9" ht="13.15">
      <c r="A305" s="14"/>
      <c r="B305" s="14"/>
      <c r="C305" s="14"/>
      <c r="D305" s="14"/>
      <c r="E305" s="14"/>
      <c r="F305" s="15"/>
      <c r="G305" s="14"/>
      <c r="H305" s="14"/>
      <c r="I305" s="15"/>
    </row>
    <row r="306" spans="1:9" ht="13.15">
      <c r="A306" s="14"/>
      <c r="B306" s="14"/>
      <c r="C306" s="14"/>
      <c r="D306" s="14"/>
      <c r="E306" s="14"/>
      <c r="F306" s="15"/>
      <c r="G306" s="14"/>
      <c r="H306" s="14"/>
      <c r="I306" s="15"/>
    </row>
    <row r="307" spans="1:9" ht="13.15">
      <c r="A307" s="14"/>
      <c r="B307" s="14"/>
      <c r="C307" s="14"/>
      <c r="D307" s="14"/>
      <c r="E307" s="14"/>
      <c r="F307" s="15"/>
      <c r="G307" s="14"/>
      <c r="H307" s="14"/>
      <c r="I307" s="15"/>
    </row>
    <row r="308" spans="1:9" ht="13.15">
      <c r="A308" s="14"/>
      <c r="B308" s="14"/>
      <c r="C308" s="14"/>
      <c r="D308" s="14"/>
      <c r="E308" s="14"/>
      <c r="F308" s="15"/>
      <c r="G308" s="14"/>
      <c r="H308" s="14"/>
      <c r="I308" s="15"/>
    </row>
    <row r="309" spans="1:9" ht="13.15">
      <c r="A309" s="14"/>
      <c r="B309" s="14"/>
      <c r="C309" s="14"/>
      <c r="D309" s="14"/>
      <c r="E309" s="14"/>
      <c r="F309" s="15"/>
      <c r="G309" s="14"/>
      <c r="H309" s="14"/>
      <c r="I309" s="15"/>
    </row>
    <row r="310" spans="1:9" ht="13.15">
      <c r="A310" s="14"/>
      <c r="B310" s="14"/>
      <c r="C310" s="14"/>
      <c r="D310" s="14"/>
      <c r="E310" s="14"/>
      <c r="F310" s="15"/>
      <c r="G310" s="14"/>
      <c r="H310" s="14"/>
      <c r="I310" s="15"/>
    </row>
    <row r="311" spans="1:9" ht="13.15">
      <c r="A311" s="14"/>
      <c r="B311" s="14"/>
      <c r="C311" s="14"/>
      <c r="D311" s="14"/>
      <c r="E311" s="14"/>
      <c r="F311" s="15"/>
      <c r="G311" s="14"/>
      <c r="H311" s="14"/>
      <c r="I311" s="15"/>
    </row>
    <row r="312" spans="1:9" ht="13.15">
      <c r="A312" s="14"/>
      <c r="B312" s="14"/>
      <c r="C312" s="14"/>
      <c r="D312" s="14"/>
      <c r="E312" s="14"/>
      <c r="F312" s="15"/>
      <c r="G312" s="14"/>
      <c r="H312" s="14"/>
      <c r="I312" s="15"/>
    </row>
    <row r="313" spans="1:9" ht="13.15">
      <c r="A313" s="14"/>
      <c r="B313" s="14"/>
      <c r="C313" s="14"/>
      <c r="D313" s="14"/>
      <c r="E313" s="14"/>
      <c r="F313" s="15"/>
      <c r="G313" s="14"/>
      <c r="H313" s="14"/>
      <c r="I313" s="15"/>
    </row>
    <row r="314" spans="1:9" ht="13.15">
      <c r="A314" s="14"/>
      <c r="B314" s="14"/>
      <c r="C314" s="14"/>
      <c r="D314" s="14"/>
      <c r="E314" s="14"/>
      <c r="F314" s="15"/>
      <c r="G314" s="14"/>
      <c r="H314" s="14"/>
      <c r="I314" s="15"/>
    </row>
    <row r="315" spans="1:9" ht="13.15">
      <c r="A315" s="14"/>
      <c r="B315" s="14"/>
      <c r="C315" s="14"/>
      <c r="D315" s="14"/>
      <c r="E315" s="14"/>
      <c r="F315" s="15"/>
      <c r="G315" s="14"/>
      <c r="H315" s="14"/>
      <c r="I315" s="15"/>
    </row>
    <row r="316" spans="1:9" ht="13.15">
      <c r="A316" s="14"/>
      <c r="B316" s="14"/>
      <c r="C316" s="14"/>
      <c r="D316" s="14"/>
      <c r="E316" s="14"/>
      <c r="F316" s="15"/>
      <c r="G316" s="14"/>
      <c r="H316" s="14"/>
      <c r="I316" s="15"/>
    </row>
    <row r="317" spans="1:9" ht="13.15">
      <c r="A317" s="14"/>
      <c r="B317" s="14"/>
      <c r="C317" s="14"/>
      <c r="D317" s="14"/>
      <c r="E317" s="14"/>
      <c r="F317" s="15"/>
      <c r="G317" s="14"/>
      <c r="H317" s="14"/>
      <c r="I317" s="15"/>
    </row>
    <row r="318" spans="1:9" ht="13.15">
      <c r="A318" s="14"/>
      <c r="B318" s="14"/>
      <c r="C318" s="14"/>
      <c r="D318" s="14"/>
      <c r="E318" s="14"/>
      <c r="F318" s="15"/>
      <c r="G318" s="14"/>
      <c r="H318" s="14"/>
      <c r="I318" s="15"/>
    </row>
    <row r="319" spans="1:9" ht="13.15">
      <c r="A319" s="14"/>
      <c r="B319" s="14"/>
      <c r="C319" s="14"/>
      <c r="D319" s="14"/>
      <c r="E319" s="14"/>
      <c r="F319" s="15"/>
      <c r="G319" s="14"/>
      <c r="H319" s="14"/>
      <c r="I319" s="15"/>
    </row>
    <row r="320" spans="1:9" ht="13.15">
      <c r="A320" s="14"/>
      <c r="B320" s="14"/>
      <c r="C320" s="14"/>
      <c r="D320" s="14"/>
      <c r="E320" s="14"/>
      <c r="F320" s="15"/>
      <c r="G320" s="14"/>
      <c r="H320" s="14"/>
      <c r="I320" s="15"/>
    </row>
    <row r="321" spans="1:9" ht="13.15">
      <c r="A321" s="14"/>
      <c r="B321" s="14"/>
      <c r="C321" s="14"/>
      <c r="D321" s="14"/>
      <c r="E321" s="14"/>
      <c r="F321" s="15"/>
      <c r="G321" s="14"/>
      <c r="H321" s="14"/>
      <c r="I321" s="15"/>
    </row>
    <row r="322" spans="1:9" ht="13.15">
      <c r="A322" s="14"/>
      <c r="B322" s="14"/>
      <c r="C322" s="14"/>
      <c r="D322" s="14"/>
      <c r="E322" s="14"/>
      <c r="F322" s="15"/>
      <c r="G322" s="14"/>
      <c r="H322" s="14"/>
      <c r="I322" s="15"/>
    </row>
    <row r="323" spans="1:9" ht="13.15">
      <c r="A323" s="14"/>
      <c r="B323" s="14"/>
      <c r="C323" s="14"/>
      <c r="D323" s="14"/>
      <c r="E323" s="14"/>
      <c r="F323" s="15"/>
      <c r="G323" s="14"/>
      <c r="H323" s="14"/>
      <c r="I323" s="15"/>
    </row>
    <row r="324" spans="1:9" ht="13.15">
      <c r="A324" s="14"/>
      <c r="B324" s="14"/>
      <c r="C324" s="14"/>
      <c r="D324" s="14"/>
      <c r="E324" s="14"/>
      <c r="F324" s="15"/>
      <c r="G324" s="14"/>
      <c r="H324" s="14"/>
      <c r="I324" s="15"/>
    </row>
    <row r="325" spans="1:9" ht="13.15">
      <c r="A325" s="14"/>
      <c r="B325" s="14"/>
      <c r="C325" s="14"/>
      <c r="D325" s="14"/>
      <c r="E325" s="14"/>
      <c r="F325" s="15"/>
      <c r="G325" s="14"/>
      <c r="H325" s="14"/>
      <c r="I325" s="15"/>
    </row>
    <row r="326" spans="1:9" ht="13.15">
      <c r="A326" s="14"/>
      <c r="B326" s="14"/>
      <c r="C326" s="14"/>
      <c r="D326" s="14"/>
      <c r="E326" s="14"/>
      <c r="F326" s="15"/>
      <c r="G326" s="14"/>
      <c r="H326" s="14"/>
      <c r="I326" s="15"/>
    </row>
    <row r="327" spans="1:9" ht="13.15">
      <c r="A327" s="14"/>
      <c r="B327" s="14"/>
      <c r="C327" s="14"/>
      <c r="D327" s="14"/>
      <c r="E327" s="14"/>
      <c r="F327" s="15"/>
      <c r="G327" s="14"/>
      <c r="H327" s="14"/>
      <c r="I327" s="15"/>
    </row>
    <row r="328" spans="1:9" ht="13.15">
      <c r="A328" s="14"/>
      <c r="B328" s="14"/>
      <c r="C328" s="14"/>
      <c r="D328" s="14"/>
      <c r="E328" s="14"/>
      <c r="F328" s="15"/>
      <c r="G328" s="14"/>
      <c r="H328" s="14"/>
      <c r="I328" s="15"/>
    </row>
    <row r="329" spans="1:9" ht="13.15">
      <c r="A329" s="14"/>
      <c r="B329" s="14"/>
      <c r="C329" s="14"/>
      <c r="D329" s="14"/>
      <c r="E329" s="14"/>
      <c r="F329" s="15"/>
      <c r="G329" s="14"/>
      <c r="H329" s="14"/>
      <c r="I329" s="15"/>
    </row>
    <row r="330" spans="1:9" ht="13.15">
      <c r="A330" s="14"/>
      <c r="B330" s="14"/>
      <c r="C330" s="14"/>
      <c r="D330" s="14"/>
      <c r="E330" s="14"/>
      <c r="F330" s="15"/>
      <c r="G330" s="14"/>
      <c r="H330" s="14"/>
      <c r="I330" s="15"/>
    </row>
    <row r="331" spans="1:9" ht="13.15">
      <c r="A331" s="14"/>
      <c r="B331" s="14"/>
      <c r="C331" s="14"/>
      <c r="D331" s="14"/>
      <c r="E331" s="14"/>
      <c r="F331" s="15"/>
      <c r="G331" s="14"/>
      <c r="H331" s="14"/>
      <c r="I331" s="15"/>
    </row>
    <row r="332" spans="1:9" ht="13.15">
      <c r="A332" s="14"/>
      <c r="B332" s="14"/>
      <c r="C332" s="14"/>
      <c r="D332" s="14"/>
      <c r="E332" s="14"/>
      <c r="F332" s="15"/>
      <c r="G332" s="14"/>
      <c r="H332" s="14"/>
      <c r="I332" s="15"/>
    </row>
    <row r="333" spans="1:9" ht="13.15">
      <c r="A333" s="14"/>
      <c r="B333" s="14"/>
      <c r="C333" s="14"/>
      <c r="D333" s="14"/>
      <c r="E333" s="14"/>
      <c r="F333" s="15"/>
      <c r="G333" s="14"/>
      <c r="H333" s="14"/>
      <c r="I333" s="15"/>
    </row>
    <row r="334" spans="1:9" ht="13.15">
      <c r="A334" s="14"/>
      <c r="B334" s="14"/>
      <c r="C334" s="14"/>
      <c r="D334" s="14"/>
      <c r="E334" s="14"/>
      <c r="F334" s="15"/>
      <c r="G334" s="14"/>
      <c r="H334" s="14"/>
      <c r="I334" s="15"/>
    </row>
    <row r="335" spans="1:9" ht="13.15">
      <c r="A335" s="14"/>
      <c r="B335" s="14"/>
      <c r="C335" s="14"/>
      <c r="D335" s="14"/>
      <c r="E335" s="14"/>
      <c r="F335" s="15"/>
      <c r="G335" s="14"/>
      <c r="H335" s="14"/>
      <c r="I335" s="15"/>
    </row>
    <row r="336" spans="1:9" ht="13.15">
      <c r="A336" s="14"/>
      <c r="B336" s="14"/>
      <c r="C336" s="14"/>
      <c r="D336" s="14"/>
      <c r="E336" s="14"/>
      <c r="F336" s="15"/>
      <c r="G336" s="14"/>
      <c r="H336" s="14"/>
      <c r="I336" s="15"/>
    </row>
    <row r="337" spans="1:9" ht="13.15">
      <c r="A337" s="14"/>
      <c r="B337" s="14"/>
      <c r="C337" s="14"/>
      <c r="D337" s="14"/>
      <c r="E337" s="14"/>
      <c r="F337" s="15"/>
      <c r="G337" s="14"/>
      <c r="H337" s="14"/>
      <c r="I337" s="15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95 I4:I95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7"/>
  <sheetViews>
    <sheetView workbookViewId="0">
      <pane xSplit="2" ySplit="3" topLeftCell="C4" activePane="bottomRight" state="frozen"/>
      <selection pane="bottomRight" activeCell="G4" sqref="G4"/>
      <selection pane="bottomLeft" activeCell="A4" sqref="A4:I20"/>
      <selection pane="topRight" activeCell="A4" sqref="A4:I2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9" t="str" cm="1">
        <f t="array" ref="A1">portfolio</f>
        <v>MN8 KEF</v>
      </c>
      <c r="B1" s="79"/>
      <c r="C1" s="79"/>
      <c r="D1" s="80" t="s">
        <v>12</v>
      </c>
      <c r="E1" s="80"/>
      <c r="F1" s="80"/>
      <c r="G1" s="78" t="s">
        <v>13</v>
      </c>
      <c r="H1" s="78"/>
      <c r="I1" s="78"/>
    </row>
    <row r="2" spans="1:9" ht="19.5" customHeight="1">
      <c r="A2" s="81" t="s">
        <v>2</v>
      </c>
      <c r="B2" s="81"/>
      <c r="C2" s="5">
        <f>SUM(C4:C95)</f>
        <v>-3174999.473760671</v>
      </c>
      <c r="D2" s="5">
        <f>SUM(D4:D95)</f>
        <v>8875549.6899999995</v>
      </c>
      <c r="E2" s="5">
        <f>C2-D2</f>
        <v>-12050549.16376067</v>
      </c>
      <c r="F2" s="6">
        <f>IFERROR(E2/D2, 0)</f>
        <v>-1.357724263246243</v>
      </c>
      <c r="G2" s="5">
        <f>SUM(G4:G95)</f>
        <v>9282034.5000000019</v>
      </c>
      <c r="H2" s="7">
        <f>C2-G2</f>
        <v>-12457033.973760672</v>
      </c>
      <c r="I2" s="6">
        <f>IFERROR(H2/G2, 0)</f>
        <v>-1.3420585728011105</v>
      </c>
    </row>
    <row r="3" spans="1:9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</row>
    <row r="4" spans="1:9" ht="15.75">
      <c r="A4" s="66" t="str" cm="1">
        <f t="array" ref="A4:A20">Sites[Site]</f>
        <v>Williamsburg A</v>
      </c>
      <c r="B4" s="62" t="str" cm="1">
        <f t="array" ref="B4:B20">Sites[State]</f>
        <v>MA</v>
      </c>
      <c r="C4" s="57">
        <f>SUM(Apr!C4, May!C4, Jun!C4)</f>
        <v>498520.71793893201</v>
      </c>
      <c r="D4" s="45">
        <f>SUM(Apr!D4, May!D4, Jun!D4)</f>
        <v>504149.6</v>
      </c>
      <c r="E4" s="45">
        <f>IF(AND(ISNUMBER(C4),ISNUMBER(D4)), C4-D4, "")</f>
        <v>-5628.8820610679686</v>
      </c>
      <c r="F4" s="58">
        <f>IFERROR(E4/D4, "")</f>
        <v>-1.1165102701793215E-2</v>
      </c>
      <c r="G4" s="47">
        <f>SUM(Apr!G4+May!G4+Jun!G4)</f>
        <v>533040.19999999995</v>
      </c>
      <c r="H4" s="47">
        <f>SUM(Apr!H4, May!H4, Jun!H4)</f>
        <v>-34519.482061068004</v>
      </c>
      <c r="I4" s="46">
        <f>IFERROR(H4/G4, "")</f>
        <v>-6.4759622371948697E-2</v>
      </c>
    </row>
    <row r="5" spans="1:9" ht="15.75">
      <c r="A5" s="67" t="str">
        <v>Orange A KB</v>
      </c>
      <c r="B5" s="64" t="str">
        <v>MA</v>
      </c>
      <c r="C5" s="59">
        <f>SUM(Apr!C5, May!C5, Jun!C5)</f>
        <v>394631.10830039601</v>
      </c>
      <c r="D5" s="51">
        <f>SUM(Apr!D5, May!D5, Jun!D5)</f>
        <v>372297.3</v>
      </c>
      <c r="E5" s="51">
        <f t="shared" ref="E5:E15" si="0">IF(AND(ISNUMBER(C5),ISNUMBER(D5)), C5-D5, "")</f>
        <v>22333.80830039602</v>
      </c>
      <c r="F5" s="52">
        <f>IFERROR(E5/D5, "")</f>
        <v>5.9989176124554275E-2</v>
      </c>
      <c r="G5" s="47">
        <f>SUM(Apr!G5+May!G5+Jun!G5)</f>
        <v>410401.4</v>
      </c>
      <c r="H5" s="53">
        <f>SUM(Apr!H5, May!H5, Jun!H5)</f>
        <v>-15770.291699604</v>
      </c>
      <c r="I5" s="52">
        <f>IFERROR(H5/G5, "")</f>
        <v>-3.8426505610370726E-2</v>
      </c>
    </row>
    <row r="6" spans="1:9" ht="15.75">
      <c r="A6" s="66" t="str">
        <v>Goshen A</v>
      </c>
      <c r="B6" s="62" t="str">
        <v>MA</v>
      </c>
      <c r="C6" s="57">
        <f>SUM(Apr!C6, May!C6, Jun!C6)</f>
        <v>-11552112.75</v>
      </c>
      <c r="D6" s="45">
        <f>SUM(Apr!D6, May!D6, Jun!D6)</f>
        <v>440291.7</v>
      </c>
      <c r="E6" s="45">
        <f t="shared" si="0"/>
        <v>-11992404.449999999</v>
      </c>
      <c r="F6" s="58">
        <f t="shared" ref="F6:F15" si="1">IFERROR(E6/D6, "")</f>
        <v>-27.237407495985046</v>
      </c>
      <c r="G6" s="47">
        <f>SUM(Apr!G6+May!G6+Jun!G6)</f>
        <v>353502.1</v>
      </c>
      <c r="H6" s="47">
        <f>SUM(Apr!H6, May!H6, Jun!H6)</f>
        <v>-11905614.85</v>
      </c>
      <c r="I6" s="46">
        <f t="shared" ref="I6:I15" si="2">IFERROR(H6/G6, "")</f>
        <v>-33.679049855715142</v>
      </c>
    </row>
    <row r="7" spans="1:9" ht="15.75">
      <c r="A7" s="67" t="str">
        <v>Phillipston A KB</v>
      </c>
      <c r="B7" s="64" t="str">
        <v>MA</v>
      </c>
      <c r="C7" s="59">
        <f>SUM(Apr!C7, May!C7, Jun!C7)</f>
        <v>493666</v>
      </c>
      <c r="D7" s="51">
        <f>SUM(Apr!D7, May!D7, Jun!D7)</f>
        <v>519707.3</v>
      </c>
      <c r="E7" s="51">
        <f t="shared" si="0"/>
        <v>-26041.299999999988</v>
      </c>
      <c r="F7" s="52">
        <f t="shared" si="1"/>
        <v>-5.010762788977563E-2</v>
      </c>
      <c r="G7" s="47">
        <f>SUM(Apr!G7+May!G7+Jun!G7)</f>
        <v>394661.3</v>
      </c>
      <c r="H7" s="53">
        <f>SUM(Apr!H7, May!H7, Jun!H7)</f>
        <v>99004.7</v>
      </c>
      <c r="I7" s="52">
        <f t="shared" si="2"/>
        <v>0.25085991456471662</v>
      </c>
    </row>
    <row r="8" spans="1:9" ht="15.75">
      <c r="A8" s="66" t="str">
        <v>Uxbridge D</v>
      </c>
      <c r="B8" s="62" t="str">
        <v>MA</v>
      </c>
      <c r="C8" s="57">
        <f>SUM(Apr!C8, May!C8, Jun!C8)</f>
        <v>496714</v>
      </c>
      <c r="D8" s="45">
        <f>SUM(Apr!D8, May!D8, Jun!D8)</f>
        <v>506512.1</v>
      </c>
      <c r="E8" s="45">
        <f t="shared" si="0"/>
        <v>-9798.0999999999767</v>
      </c>
      <c r="F8" s="58">
        <f t="shared" si="1"/>
        <v>-1.9344256534049191E-2</v>
      </c>
      <c r="G8" s="47">
        <f>SUM(Apr!G8+May!G8+Jun!G8)</f>
        <v>537075.80000000005</v>
      </c>
      <c r="H8" s="47">
        <f>SUM(Apr!H8, May!H8, Jun!H8)</f>
        <v>-40361.799999999988</v>
      </c>
      <c r="I8" s="46">
        <f t="shared" si="2"/>
        <v>-7.5151030822837264E-2</v>
      </c>
    </row>
    <row r="9" spans="1:9" ht="15.75">
      <c r="A9" s="67" t="str">
        <v>West Bridgewater A&amp;B</v>
      </c>
      <c r="B9" s="64" t="str">
        <v>MA</v>
      </c>
      <c r="C9" s="59">
        <f>SUM(Apr!C9, May!C9, Jun!C9)</f>
        <v>849504.5</v>
      </c>
      <c r="D9" s="51">
        <f>SUM(Apr!D9, May!D9, Jun!D9)</f>
        <v>880783.7</v>
      </c>
      <c r="E9" s="51">
        <f t="shared" si="0"/>
        <v>-31279.199999999953</v>
      </c>
      <c r="F9" s="52">
        <f t="shared" si="1"/>
        <v>-3.5512918779037297E-2</v>
      </c>
      <c r="G9" s="47">
        <f>SUM(Apr!G9+May!G9+Jun!G9)</f>
        <v>916917.8</v>
      </c>
      <c r="H9" s="53">
        <f>SUM(Apr!H9, May!H9, Jun!H9)</f>
        <v>-67413.299999999988</v>
      </c>
      <c r="I9" s="52">
        <f t="shared" si="2"/>
        <v>-7.3521639562455859E-2</v>
      </c>
    </row>
    <row r="10" spans="1:9" ht="15.75">
      <c r="A10" s="66" t="str">
        <v>Sutton A</v>
      </c>
      <c r="B10" s="62" t="str">
        <v>MA</v>
      </c>
      <c r="C10" s="57">
        <f>SUM(Apr!C10, May!C10, Jun!C10)</f>
        <v>468615</v>
      </c>
      <c r="D10" s="45">
        <f>SUM(Apr!D10, May!D10, Jun!D10)</f>
        <v>469893.5</v>
      </c>
      <c r="E10" s="45">
        <f t="shared" si="0"/>
        <v>-1278.5</v>
      </c>
      <c r="F10" s="58">
        <f t="shared" si="1"/>
        <v>-2.7208292942975374E-3</v>
      </c>
      <c r="G10" s="47">
        <f>SUM(Apr!G10+May!G10+Jun!G10)</f>
        <v>520824.69999999995</v>
      </c>
      <c r="H10" s="47">
        <f>SUM(Apr!H10, May!H10, Jun!H10)</f>
        <v>-52209.700000000012</v>
      </c>
      <c r="I10" s="46">
        <f t="shared" si="2"/>
        <v>-0.10024428564927895</v>
      </c>
    </row>
    <row r="11" spans="1:9" ht="15.75">
      <c r="A11" s="67" t="str">
        <v>North Adams A</v>
      </c>
      <c r="B11" s="64" t="str">
        <v>MA</v>
      </c>
      <c r="C11" s="59">
        <f>SUM(Apr!C11, May!C11, Jun!C11)</f>
        <v>483760</v>
      </c>
      <c r="D11" s="51">
        <f>SUM(Apr!D11, May!D11, Jun!D11)</f>
        <v>489760.4</v>
      </c>
      <c r="E11" s="51">
        <f t="shared" si="0"/>
        <v>-6000.4000000000233</v>
      </c>
      <c r="F11" s="52">
        <f t="shared" si="1"/>
        <v>-1.2251705119482962E-2</v>
      </c>
      <c r="G11" s="47">
        <f>SUM(Apr!G11+May!G11+Jun!G11)</f>
        <v>546419.9</v>
      </c>
      <c r="H11" s="53">
        <f>SUM(Apr!H11, May!H11, Jun!H11)</f>
        <v>-62659.900000000023</v>
      </c>
      <c r="I11" s="52">
        <f t="shared" si="2"/>
        <v>-0.11467353220481176</v>
      </c>
    </row>
    <row r="12" spans="1:9" ht="15.75">
      <c r="A12" s="66" t="str">
        <v>North Adams B</v>
      </c>
      <c r="B12" s="62" t="str">
        <v>MA</v>
      </c>
      <c r="C12" s="57">
        <f>SUM(Apr!C12, May!C12, Jun!C12)</f>
        <v>479379</v>
      </c>
      <c r="D12" s="45">
        <f>SUM(Apr!D12, May!D12, Jun!D12)</f>
        <v>425848.29999999993</v>
      </c>
      <c r="E12" s="45">
        <f t="shared" si="0"/>
        <v>53530.70000000007</v>
      </c>
      <c r="F12" s="58">
        <f t="shared" si="1"/>
        <v>0.12570368368266371</v>
      </c>
      <c r="G12" s="47">
        <f>SUM(Apr!G12+May!G12+Jun!G12)</f>
        <v>546419.9</v>
      </c>
      <c r="H12" s="47">
        <f>SUM(Apr!H12, May!H12, Jun!H12)</f>
        <v>-67040.900000000023</v>
      </c>
      <c r="I12" s="46">
        <f t="shared" si="2"/>
        <v>-0.12269117577892025</v>
      </c>
    </row>
    <row r="13" spans="1:9" ht="15.75">
      <c r="A13" s="67" t="str">
        <v>Clarksburg A</v>
      </c>
      <c r="B13" s="64" t="str">
        <v>MA</v>
      </c>
      <c r="C13" s="59">
        <f>SUM(Apr!C13, May!C13, Jun!C13)</f>
        <v>481458</v>
      </c>
      <c r="D13" s="51">
        <f>SUM(Apr!D13, May!D13, Jun!D13)</f>
        <v>491558</v>
      </c>
      <c r="E13" s="51">
        <f t="shared" si="0"/>
        <v>-10100</v>
      </c>
      <c r="F13" s="52">
        <f t="shared" si="1"/>
        <v>-2.054691409762429E-2</v>
      </c>
      <c r="G13" s="47">
        <f>SUM(Apr!G13+May!G13+Jun!G13)</f>
        <v>543939.19999999995</v>
      </c>
      <c r="H13" s="53">
        <f>SUM(Apr!H13, May!H13, Jun!H13)</f>
        <v>-62481.199999999983</v>
      </c>
      <c r="I13" s="52">
        <f t="shared" si="2"/>
        <v>-0.11486798524540975</v>
      </c>
    </row>
    <row r="14" spans="1:9" ht="15.75">
      <c r="A14" s="66" t="str">
        <v>Swansea B</v>
      </c>
      <c r="B14" s="62" t="str">
        <v>MA</v>
      </c>
      <c r="C14" s="57">
        <f>SUM(Apr!C14, May!C14, Jun!C14)</f>
        <v>538216</v>
      </c>
      <c r="D14" s="45">
        <f>SUM(Apr!D14, May!D14, Jun!D14)</f>
        <v>550332.60000000009</v>
      </c>
      <c r="E14" s="45">
        <f t="shared" si="0"/>
        <v>-12116.600000000093</v>
      </c>
      <c r="F14" s="58">
        <f t="shared" si="1"/>
        <v>-2.2016867617873428E-2</v>
      </c>
      <c r="G14" s="47">
        <f>SUM(Apr!G14+May!G14+Jun!G14)</f>
        <v>413930.8</v>
      </c>
      <c r="H14" s="47">
        <f>SUM(Apr!H14, May!H14, Jun!H14)</f>
        <v>124285.19999999998</v>
      </c>
      <c r="I14" s="46">
        <f t="shared" si="2"/>
        <v>0.30025598481678578</v>
      </c>
    </row>
    <row r="15" spans="1:9" ht="15.75">
      <c r="A15" s="67" t="str">
        <v>Wareham 2</v>
      </c>
      <c r="B15" s="64" t="str">
        <v>MA</v>
      </c>
      <c r="C15" s="59">
        <f>SUM(Apr!C15, May!C15, Jun!C15)</f>
        <v>477540.95</v>
      </c>
      <c r="D15" s="51">
        <f>SUM(Apr!D15, May!D15, Jun!D15)</f>
        <v>472395.3</v>
      </c>
      <c r="E15" s="51">
        <f t="shared" si="0"/>
        <v>5145.6500000000233</v>
      </c>
      <c r="F15" s="52">
        <f t="shared" si="1"/>
        <v>1.089267822944052E-2</v>
      </c>
      <c r="G15" s="47">
        <f>SUM(Apr!G15+May!G15+Jun!G15)</f>
        <v>594290.69999999995</v>
      </c>
      <c r="H15" s="53">
        <f>SUM(Apr!H15, May!H15, Jun!H15)</f>
        <v>-116749.75</v>
      </c>
      <c r="I15" s="52">
        <f t="shared" si="2"/>
        <v>-0.19645225812889217</v>
      </c>
    </row>
    <row r="16" spans="1:9" ht="15.75">
      <c r="A16" s="66" t="str">
        <v>Kingston 1 KB</v>
      </c>
      <c r="B16" s="62" t="str">
        <v>MA</v>
      </c>
      <c r="C16" s="57">
        <f>SUM(Apr!C16, May!C16, Jun!C16)</f>
        <v>444393</v>
      </c>
      <c r="D16" s="45">
        <f>SUM(Apr!D16, May!D16, Jun!D16)</f>
        <v>445463.69999999995</v>
      </c>
      <c r="E16" s="45">
        <f t="shared" ref="E16:E18" si="3">IF(AND(ISNUMBER(C16),ISNUMBER(D16)), C16-D16, "")</f>
        <v>-1070.6999999999534</v>
      </c>
      <c r="F16" s="58">
        <f t="shared" ref="F16:F18" si="4">IFERROR(E16/D16, "")</f>
        <v>-2.403562849228688E-3</v>
      </c>
      <c r="G16" s="47">
        <f>SUM(Apr!G16+May!G16+Jun!G16)</f>
        <v>467290.80000000005</v>
      </c>
      <c r="H16" s="47">
        <f>SUM(Apr!H16, May!H16, Jun!H16)</f>
        <v>-22897.800000000017</v>
      </c>
      <c r="I16" s="46">
        <f t="shared" ref="I16:I18" si="5">IFERROR(H16/G16, "")</f>
        <v>-4.9001178709274854E-2</v>
      </c>
    </row>
    <row r="17" spans="1:9" ht="15.75">
      <c r="A17" s="67" t="str">
        <v>Kingston 2 KB</v>
      </c>
      <c r="B17" s="64" t="str">
        <v>MA</v>
      </c>
      <c r="C17" s="57">
        <f>SUM(Apr!C17, May!C17, Jun!C17)</f>
        <v>364390</v>
      </c>
      <c r="D17" s="45">
        <f>SUM(Apr!D17, May!D17, Jun!D17)</f>
        <v>312674.89</v>
      </c>
      <c r="E17" s="45">
        <f t="shared" si="3"/>
        <v>51715.109999999986</v>
      </c>
      <c r="F17" s="58">
        <f t="shared" si="4"/>
        <v>0.165395788577714</v>
      </c>
      <c r="G17" s="47">
        <f>SUM(Apr!G17+May!G17+Jun!G17)</f>
        <v>375076.30000000005</v>
      </c>
      <c r="H17" s="47">
        <f>SUM(Apr!H17, May!H17, Jun!H17)</f>
        <v>-10686.300000000003</v>
      </c>
      <c r="I17" s="46">
        <f t="shared" si="5"/>
        <v>-2.849100303058338E-2</v>
      </c>
    </row>
    <row r="18" spans="1:9" ht="12.75" customHeight="1">
      <c r="A18" s="66" t="str">
        <v>Holliston B</v>
      </c>
      <c r="B18" s="62" t="str">
        <v>MA</v>
      </c>
      <c r="C18" s="59">
        <f>SUM(Apr!C18, May!C18, Jun!C18)</f>
        <v>514161</v>
      </c>
      <c r="D18" s="51">
        <f>SUM(Apr!D18, May!D18, Jun!D18)</f>
        <v>498830</v>
      </c>
      <c r="E18" s="51">
        <f t="shared" si="3"/>
        <v>15331</v>
      </c>
      <c r="F18" s="52">
        <f t="shared" si="4"/>
        <v>3.0733917366637931E-2</v>
      </c>
      <c r="G18" s="47">
        <f>SUM(Apr!G18+May!G18+Jun!G18)</f>
        <v>547085.39999999991</v>
      </c>
      <c r="H18" s="53">
        <f>SUM(Apr!H18, May!H18, Jun!H18)</f>
        <v>-32924.399999999994</v>
      </c>
      <c r="I18" s="52">
        <f t="shared" si="5"/>
        <v>-6.0181463442453405E-2</v>
      </c>
    </row>
    <row r="19" spans="1:9" ht="15.75">
      <c r="A19" s="67" t="str">
        <v>Fairhaven C</v>
      </c>
      <c r="B19" s="64" t="str">
        <v>MA</v>
      </c>
      <c r="C19" s="57">
        <f>SUM(Apr!C19, May!C19, Jun!C19)</f>
        <v>884042</v>
      </c>
      <c r="D19" s="45">
        <f>SUM(Apr!D19, May!D19, Jun!D19)</f>
        <v>967431.7</v>
      </c>
      <c r="E19" s="45">
        <f t="shared" ref="E19:E20" si="6">IF(AND(ISNUMBER(C19),ISNUMBER(D19)), C19-D19, "")</f>
        <v>-83389.699999999953</v>
      </c>
      <c r="F19" s="58">
        <f t="shared" ref="F19:F20" si="7">IFERROR(E19/D19, "")</f>
        <v>-8.6196989410208452E-2</v>
      </c>
      <c r="G19" s="47">
        <f>SUM(Apr!G19+May!G19+Jun!G19)</f>
        <v>1023979.3</v>
      </c>
      <c r="H19" s="47">
        <f>SUM(Apr!H19, May!H19, Jun!H19)</f>
        <v>-139937.30000000005</v>
      </c>
      <c r="I19" s="46">
        <f t="shared" ref="I19:I20" si="8">IFERROR(H19/G19, "")</f>
        <v>-0.13666028209749947</v>
      </c>
    </row>
    <row r="20" spans="1:9" ht="15.75">
      <c r="A20" s="66" t="str">
        <v>Plympton A-2</v>
      </c>
      <c r="B20" s="62" t="str">
        <v>MA</v>
      </c>
      <c r="C20" s="57">
        <f>SUM(Apr!C20, May!C20, Jun!C20)</f>
        <v>508122</v>
      </c>
      <c r="D20" s="45">
        <f>SUM(Apr!D20, May!D20, Jun!D20)</f>
        <v>527619.6</v>
      </c>
      <c r="E20" s="45">
        <f t="shared" si="6"/>
        <v>-19497.599999999977</v>
      </c>
      <c r="F20" s="58">
        <f t="shared" si="7"/>
        <v>-3.6953896329855788E-2</v>
      </c>
      <c r="G20" s="47">
        <f>SUM(Apr!G20+May!G20+Jun!G20)</f>
        <v>557178.9</v>
      </c>
      <c r="H20" s="47">
        <f>SUM(Apr!H20, May!H20, Jun!H20)</f>
        <v>-49056.899999999994</v>
      </c>
      <c r="I20" s="46">
        <f t="shared" si="8"/>
        <v>-8.8045150309891476E-2</v>
      </c>
    </row>
    <row r="21" spans="1:9" ht="13.15">
      <c r="A21" s="14"/>
      <c r="B21" s="14"/>
      <c r="C21" s="14"/>
      <c r="D21" s="14"/>
      <c r="E21" s="14"/>
      <c r="F21" s="14"/>
      <c r="G21" s="14"/>
      <c r="H21" s="14"/>
      <c r="I21" s="14"/>
    </row>
    <row r="22" spans="1:9" ht="13.15">
      <c r="A22" s="14"/>
      <c r="B22" s="14"/>
      <c r="C22" s="14"/>
      <c r="D22" s="14"/>
      <c r="E22" s="14"/>
      <c r="F22" s="14"/>
      <c r="G22" s="14"/>
      <c r="H22" s="14"/>
      <c r="I22" s="14"/>
    </row>
    <row r="23" spans="1:9" ht="13.15">
      <c r="A23" s="14"/>
      <c r="B23" s="14"/>
      <c r="C23" s="14"/>
      <c r="D23" s="14"/>
      <c r="E23" s="14"/>
      <c r="F23" s="14"/>
      <c r="G23" s="14"/>
      <c r="H23" s="14"/>
      <c r="I23" s="14"/>
    </row>
    <row r="24" spans="1:9" ht="13.15">
      <c r="A24" s="14"/>
      <c r="B24" s="14"/>
      <c r="C24" s="14"/>
      <c r="D24" s="14"/>
      <c r="E24" s="14"/>
      <c r="F24" s="14"/>
      <c r="G24" s="14"/>
      <c r="H24" s="14"/>
      <c r="I24" s="14"/>
    </row>
    <row r="25" spans="1:9" ht="13.15">
      <c r="A25" s="14"/>
      <c r="B25" s="14"/>
      <c r="C25" s="14"/>
      <c r="D25" s="14"/>
      <c r="E25" s="14"/>
      <c r="F25" s="14"/>
      <c r="G25" s="14"/>
      <c r="H25" s="14"/>
      <c r="I25" s="14"/>
    </row>
    <row r="26" spans="1:9" ht="13.15">
      <c r="A26" s="14"/>
      <c r="B26" s="14"/>
      <c r="C26" s="14"/>
      <c r="D26" s="14"/>
      <c r="E26" s="14"/>
      <c r="F26" s="14"/>
      <c r="G26" s="14"/>
      <c r="H26" s="14"/>
      <c r="I26" s="14"/>
    </row>
    <row r="27" spans="1:9" ht="13.15">
      <c r="A27" s="14"/>
      <c r="B27" s="14"/>
      <c r="C27" s="14"/>
      <c r="D27" s="14"/>
      <c r="E27" s="14"/>
      <c r="F27" s="14"/>
      <c r="G27" s="14"/>
      <c r="H27" s="14"/>
      <c r="I27" s="14"/>
    </row>
    <row r="28" spans="1:9" ht="13.15">
      <c r="A28" s="14"/>
      <c r="B28" s="14"/>
      <c r="C28" s="14"/>
      <c r="D28" s="14"/>
      <c r="E28" s="14"/>
      <c r="F28" s="15"/>
      <c r="G28" s="14"/>
      <c r="H28" s="14"/>
      <c r="I28" s="15"/>
    </row>
    <row r="29" spans="1:9" ht="13.15">
      <c r="A29" s="14"/>
      <c r="B29" s="14"/>
      <c r="C29" s="14"/>
      <c r="D29" s="14"/>
      <c r="E29" s="14"/>
      <c r="F29" s="15"/>
      <c r="G29" s="14"/>
      <c r="H29" s="14"/>
      <c r="I29" s="15"/>
    </row>
    <row r="30" spans="1:9" ht="13.15">
      <c r="A30" s="14"/>
      <c r="B30" s="14"/>
      <c r="C30" s="14"/>
      <c r="D30" s="14"/>
      <c r="E30" s="14"/>
      <c r="F30" s="15"/>
      <c r="G30" s="14"/>
      <c r="H30" s="14"/>
      <c r="I30" s="15"/>
    </row>
    <row r="31" spans="1:9" ht="13.15">
      <c r="A31" s="14"/>
      <c r="B31" s="14"/>
      <c r="C31" s="14"/>
      <c r="D31" s="14"/>
      <c r="E31" s="14"/>
      <c r="F31" s="15"/>
      <c r="G31" s="14"/>
      <c r="H31" s="14"/>
      <c r="I31" s="15"/>
    </row>
    <row r="32" spans="1:9" ht="13.15">
      <c r="A32" s="14"/>
      <c r="B32" s="14"/>
      <c r="C32" s="14"/>
      <c r="D32" s="14"/>
      <c r="E32" s="14"/>
      <c r="F32" s="15"/>
      <c r="G32" s="14"/>
      <c r="H32" s="14"/>
      <c r="I32" s="15"/>
    </row>
    <row r="33" spans="1:9" ht="13.15">
      <c r="A33" s="14"/>
      <c r="B33" s="14"/>
      <c r="C33" s="14"/>
      <c r="D33" s="14"/>
      <c r="E33" s="14"/>
      <c r="F33" s="15"/>
      <c r="G33" s="14"/>
      <c r="H33" s="14"/>
      <c r="I33" s="15"/>
    </row>
    <row r="34" spans="1:9" ht="13.15">
      <c r="A34" s="14"/>
      <c r="B34" s="14"/>
      <c r="C34" s="14"/>
      <c r="D34" s="14"/>
      <c r="E34" s="14"/>
      <c r="F34" s="15"/>
      <c r="G34" s="14"/>
      <c r="H34" s="14"/>
      <c r="I34" s="15"/>
    </row>
    <row r="35" spans="1:9" ht="13.15">
      <c r="A35" s="14"/>
      <c r="B35" s="14"/>
      <c r="C35" s="14"/>
      <c r="D35" s="14"/>
      <c r="E35" s="14"/>
      <c r="F35" s="15"/>
      <c r="G35" s="14"/>
      <c r="H35" s="14"/>
      <c r="I35" s="15"/>
    </row>
    <row r="36" spans="1:9" ht="13.15">
      <c r="A36" s="14"/>
      <c r="B36" s="14"/>
      <c r="C36" s="14"/>
      <c r="D36" s="14"/>
      <c r="E36" s="14"/>
      <c r="F36" s="15"/>
      <c r="G36" s="14"/>
      <c r="H36" s="14"/>
      <c r="I36" s="15"/>
    </row>
    <row r="37" spans="1:9" ht="13.15">
      <c r="A37" s="14"/>
      <c r="B37" s="14"/>
      <c r="C37" s="14"/>
      <c r="D37" s="14"/>
      <c r="E37" s="14"/>
      <c r="F37" s="15"/>
      <c r="G37" s="14"/>
      <c r="H37" s="14"/>
      <c r="I37" s="15"/>
    </row>
    <row r="38" spans="1:9" ht="13.15">
      <c r="A38" s="14"/>
      <c r="B38" s="14"/>
      <c r="C38" s="14"/>
      <c r="D38" s="14"/>
      <c r="E38" s="14"/>
      <c r="F38" s="15"/>
      <c r="G38" s="14"/>
      <c r="H38" s="14"/>
      <c r="I38" s="15"/>
    </row>
    <row r="39" spans="1:9" ht="13.15">
      <c r="A39" s="14"/>
      <c r="B39" s="14"/>
      <c r="C39" s="14"/>
      <c r="D39" s="14"/>
      <c r="E39" s="14"/>
      <c r="F39" s="15"/>
      <c r="G39" s="14"/>
      <c r="H39" s="14"/>
      <c r="I39" s="15"/>
    </row>
    <row r="40" spans="1:9" ht="13.15">
      <c r="A40" s="14"/>
      <c r="B40" s="14"/>
      <c r="C40" s="14"/>
      <c r="D40" s="14"/>
      <c r="E40" s="14"/>
      <c r="F40" s="15"/>
      <c r="G40" s="14"/>
      <c r="H40" s="14"/>
      <c r="I40" s="15"/>
    </row>
    <row r="41" spans="1:9" ht="13.15">
      <c r="A41" s="14"/>
      <c r="B41" s="14"/>
      <c r="C41" s="14"/>
      <c r="D41" s="14"/>
      <c r="E41" s="14"/>
      <c r="F41" s="15"/>
      <c r="G41" s="14"/>
      <c r="H41" s="14"/>
      <c r="I41" s="15"/>
    </row>
    <row r="42" spans="1:9" ht="13.15">
      <c r="A42" s="14"/>
      <c r="B42" s="14"/>
      <c r="C42" s="14"/>
      <c r="D42" s="14"/>
      <c r="E42" s="14"/>
      <c r="F42" s="15"/>
      <c r="G42" s="14"/>
      <c r="H42" s="14"/>
      <c r="I42" s="15"/>
    </row>
    <row r="43" spans="1:9" ht="13.15">
      <c r="A43" s="14"/>
      <c r="B43" s="14"/>
      <c r="C43" s="14"/>
      <c r="D43" s="14"/>
      <c r="E43" s="14"/>
      <c r="F43" s="15"/>
      <c r="G43" s="14"/>
      <c r="H43" s="14"/>
      <c r="I43" s="15"/>
    </row>
    <row r="44" spans="1:9" ht="13.15">
      <c r="A44" s="14"/>
      <c r="B44" s="14"/>
      <c r="C44" s="14"/>
      <c r="D44" s="14"/>
      <c r="E44" s="14"/>
      <c r="F44" s="15"/>
      <c r="G44" s="14"/>
      <c r="H44" s="14"/>
      <c r="I44" s="15"/>
    </row>
    <row r="45" spans="1:9" ht="13.15">
      <c r="A45" s="14"/>
      <c r="B45" s="14"/>
      <c r="C45" s="14"/>
      <c r="D45" s="14"/>
      <c r="E45" s="14"/>
      <c r="F45" s="15"/>
      <c r="G45" s="14"/>
      <c r="H45" s="14"/>
      <c r="I45" s="15"/>
    </row>
    <row r="46" spans="1:9" ht="13.15">
      <c r="A46" s="14"/>
      <c r="B46" s="14"/>
      <c r="C46" s="14"/>
      <c r="D46" s="14"/>
      <c r="E46" s="14"/>
      <c r="F46" s="15"/>
      <c r="G46" s="14"/>
      <c r="H46" s="14"/>
      <c r="I46" s="15"/>
    </row>
    <row r="47" spans="1:9" ht="13.15">
      <c r="A47" s="14"/>
      <c r="B47" s="14"/>
      <c r="C47" s="14"/>
      <c r="D47" s="14"/>
      <c r="E47" s="14"/>
      <c r="F47" s="15"/>
      <c r="G47" s="14"/>
      <c r="H47" s="14"/>
      <c r="I47" s="15"/>
    </row>
    <row r="48" spans="1:9" ht="13.15">
      <c r="A48" s="14"/>
      <c r="B48" s="14"/>
      <c r="C48" s="14"/>
      <c r="D48" s="14"/>
      <c r="E48" s="14"/>
      <c r="F48" s="15"/>
      <c r="G48" s="14"/>
      <c r="H48" s="14"/>
      <c r="I48" s="15"/>
    </row>
    <row r="49" spans="1:9" ht="13.15">
      <c r="A49" s="14"/>
      <c r="B49" s="14"/>
      <c r="C49" s="14"/>
      <c r="D49" s="14"/>
      <c r="E49" s="14"/>
      <c r="F49" s="15"/>
      <c r="G49" s="14"/>
      <c r="H49" s="14"/>
      <c r="I49" s="15"/>
    </row>
    <row r="50" spans="1:9" ht="13.15">
      <c r="A50" s="14"/>
      <c r="B50" s="14"/>
      <c r="C50" s="14"/>
      <c r="D50" s="14"/>
      <c r="E50" s="14"/>
      <c r="F50" s="15"/>
      <c r="G50" s="14"/>
      <c r="H50" s="14"/>
      <c r="I50" s="15"/>
    </row>
    <row r="51" spans="1:9" ht="13.15">
      <c r="A51" s="14"/>
      <c r="B51" s="14"/>
      <c r="C51" s="14"/>
      <c r="D51" s="14"/>
      <c r="E51" s="14"/>
      <c r="F51" s="15"/>
      <c r="G51" s="14"/>
      <c r="H51" s="14"/>
      <c r="I51" s="15"/>
    </row>
    <row r="52" spans="1:9" ht="13.15">
      <c r="A52" s="14"/>
      <c r="B52" s="14"/>
      <c r="C52" s="14"/>
      <c r="D52" s="14"/>
      <c r="E52" s="14"/>
      <c r="F52" s="15"/>
      <c r="G52" s="14"/>
      <c r="H52" s="14"/>
      <c r="I52" s="15"/>
    </row>
    <row r="53" spans="1:9" ht="13.15">
      <c r="A53" s="14"/>
      <c r="B53" s="14"/>
      <c r="C53" s="14"/>
      <c r="D53" s="14"/>
      <c r="E53" s="14"/>
      <c r="F53" s="15"/>
      <c r="G53" s="14"/>
      <c r="H53" s="14"/>
      <c r="I53" s="15"/>
    </row>
    <row r="54" spans="1:9" ht="13.15">
      <c r="A54" s="14"/>
      <c r="B54" s="14"/>
      <c r="C54" s="14"/>
      <c r="D54" s="14"/>
      <c r="E54" s="14"/>
      <c r="F54" s="15"/>
      <c r="G54" s="14"/>
      <c r="H54" s="14"/>
      <c r="I54" s="15"/>
    </row>
    <row r="55" spans="1:9" ht="13.15">
      <c r="A55" s="14"/>
      <c r="B55" s="14"/>
      <c r="C55" s="14"/>
      <c r="D55" s="14"/>
      <c r="E55" s="14"/>
      <c r="F55" s="15"/>
      <c r="G55" s="14"/>
      <c r="H55" s="14"/>
      <c r="I55" s="15"/>
    </row>
    <row r="56" spans="1:9" ht="13.15">
      <c r="A56" s="14"/>
      <c r="B56" s="14"/>
      <c r="C56" s="14"/>
      <c r="D56" s="14"/>
      <c r="E56" s="14"/>
      <c r="F56" s="15"/>
      <c r="G56" s="14"/>
      <c r="H56" s="14"/>
      <c r="I56" s="15"/>
    </row>
    <row r="57" spans="1:9" ht="13.15">
      <c r="A57" s="14"/>
      <c r="B57" s="14"/>
      <c r="C57" s="14"/>
      <c r="D57" s="14"/>
      <c r="E57" s="14"/>
      <c r="F57" s="15"/>
      <c r="G57" s="14"/>
      <c r="H57" s="14"/>
      <c r="I57" s="15"/>
    </row>
    <row r="58" spans="1:9" ht="13.15">
      <c r="A58" s="14"/>
      <c r="B58" s="14"/>
      <c r="C58" s="14"/>
      <c r="D58" s="14"/>
      <c r="E58" s="14"/>
      <c r="F58" s="15"/>
      <c r="G58" s="14"/>
      <c r="H58" s="14"/>
      <c r="I58" s="15"/>
    </row>
    <row r="59" spans="1:9" ht="13.15">
      <c r="A59" s="14"/>
      <c r="B59" s="14"/>
      <c r="C59" s="14"/>
      <c r="D59" s="14"/>
      <c r="E59" s="14"/>
      <c r="F59" s="15"/>
      <c r="G59" s="14"/>
      <c r="H59" s="14"/>
      <c r="I59" s="15"/>
    </row>
    <row r="60" spans="1:9" ht="13.15">
      <c r="A60" s="14"/>
      <c r="B60" s="14"/>
      <c r="C60" s="14"/>
      <c r="D60" s="14"/>
      <c r="E60" s="14"/>
      <c r="F60" s="15"/>
      <c r="G60" s="14"/>
      <c r="H60" s="14"/>
      <c r="I60" s="15"/>
    </row>
    <row r="61" spans="1:9" ht="13.15">
      <c r="A61" s="14"/>
      <c r="B61" s="14"/>
      <c r="C61" s="14"/>
      <c r="D61" s="14"/>
      <c r="E61" s="14"/>
      <c r="F61" s="15"/>
      <c r="G61" s="14"/>
      <c r="H61" s="14"/>
      <c r="I61" s="15"/>
    </row>
    <row r="62" spans="1:9" ht="13.15">
      <c r="A62" s="14"/>
      <c r="B62" s="14"/>
      <c r="C62" s="14"/>
      <c r="D62" s="14"/>
      <c r="E62" s="14"/>
      <c r="F62" s="15"/>
      <c r="G62" s="14"/>
      <c r="H62" s="14"/>
      <c r="I62" s="15"/>
    </row>
    <row r="63" spans="1:9" ht="13.15">
      <c r="A63" s="14"/>
      <c r="B63" s="14"/>
      <c r="C63" s="14"/>
      <c r="D63" s="14"/>
      <c r="E63" s="14"/>
      <c r="F63" s="15"/>
      <c r="G63" s="14"/>
      <c r="H63" s="14"/>
      <c r="I63" s="15"/>
    </row>
    <row r="64" spans="1:9" ht="13.15">
      <c r="A64" s="14"/>
      <c r="B64" s="14"/>
      <c r="C64" s="14"/>
      <c r="D64" s="14"/>
      <c r="E64" s="14"/>
      <c r="F64" s="15"/>
      <c r="G64" s="14"/>
      <c r="H64" s="14"/>
      <c r="I64" s="15"/>
    </row>
    <row r="65" spans="1:9" ht="13.15">
      <c r="A65" s="14"/>
      <c r="B65" s="14"/>
      <c r="C65" s="14"/>
      <c r="D65" s="14"/>
      <c r="E65" s="14"/>
      <c r="F65" s="15"/>
      <c r="G65" s="14"/>
      <c r="H65" s="14"/>
      <c r="I65" s="15"/>
    </row>
    <row r="66" spans="1:9" ht="13.15">
      <c r="A66" s="14"/>
      <c r="B66" s="14"/>
      <c r="C66" s="14"/>
      <c r="D66" s="14"/>
      <c r="E66" s="14"/>
      <c r="F66" s="15"/>
      <c r="G66" s="14"/>
      <c r="H66" s="14"/>
      <c r="I66" s="15"/>
    </row>
    <row r="67" spans="1:9" ht="13.15">
      <c r="A67" s="14"/>
      <c r="B67" s="14"/>
      <c r="C67" s="14"/>
      <c r="D67" s="14"/>
      <c r="E67" s="14"/>
      <c r="F67" s="15"/>
      <c r="G67" s="14"/>
      <c r="H67" s="14"/>
      <c r="I67" s="15"/>
    </row>
    <row r="68" spans="1:9" ht="13.15">
      <c r="A68" s="14"/>
      <c r="B68" s="14"/>
      <c r="C68" s="14"/>
      <c r="D68" s="14"/>
      <c r="E68" s="14"/>
      <c r="F68" s="15"/>
      <c r="G68" s="14"/>
      <c r="H68" s="14"/>
      <c r="I68" s="15"/>
    </row>
    <row r="69" spans="1:9" ht="13.15">
      <c r="A69" s="14"/>
      <c r="B69" s="14"/>
      <c r="C69" s="14"/>
      <c r="D69" s="14"/>
      <c r="E69" s="14"/>
      <c r="F69" s="15"/>
      <c r="G69" s="14"/>
      <c r="H69" s="14"/>
      <c r="I69" s="15"/>
    </row>
    <row r="70" spans="1:9" ht="13.15">
      <c r="A70" s="14"/>
      <c r="B70" s="14"/>
      <c r="C70" s="14"/>
      <c r="D70" s="14"/>
      <c r="E70" s="14"/>
      <c r="F70" s="15"/>
      <c r="G70" s="14"/>
      <c r="H70" s="14"/>
      <c r="I70" s="15"/>
    </row>
    <row r="71" spans="1:9" ht="13.15">
      <c r="A71" s="14"/>
      <c r="B71" s="14"/>
      <c r="C71" s="14"/>
      <c r="D71" s="14"/>
      <c r="E71" s="14"/>
      <c r="F71" s="15"/>
      <c r="G71" s="14"/>
      <c r="H71" s="14"/>
      <c r="I71" s="15"/>
    </row>
    <row r="72" spans="1:9" ht="13.15">
      <c r="A72" s="14"/>
      <c r="B72" s="14"/>
      <c r="C72" s="14"/>
      <c r="D72" s="14"/>
      <c r="E72" s="14"/>
      <c r="F72" s="15"/>
      <c r="G72" s="14"/>
      <c r="H72" s="14"/>
      <c r="I72" s="15"/>
    </row>
    <row r="73" spans="1:9" ht="13.15">
      <c r="A73" s="14"/>
      <c r="B73" s="14"/>
      <c r="C73" s="14"/>
      <c r="D73" s="14"/>
      <c r="E73" s="14"/>
      <c r="F73" s="15"/>
      <c r="G73" s="14"/>
      <c r="H73" s="14"/>
      <c r="I73" s="15"/>
    </row>
    <row r="74" spans="1:9" ht="13.15">
      <c r="A74" s="14"/>
      <c r="B74" s="14"/>
      <c r="C74" s="14"/>
      <c r="D74" s="14"/>
      <c r="E74" s="14"/>
      <c r="F74" s="15"/>
      <c r="G74" s="14"/>
      <c r="H74" s="14"/>
      <c r="I74" s="15"/>
    </row>
    <row r="75" spans="1:9" ht="13.15">
      <c r="A75" s="14"/>
      <c r="B75" s="14"/>
      <c r="C75" s="14"/>
      <c r="D75" s="14"/>
      <c r="E75" s="14"/>
      <c r="F75" s="15"/>
      <c r="G75" s="14"/>
      <c r="H75" s="14"/>
      <c r="I75" s="15"/>
    </row>
    <row r="76" spans="1:9" ht="13.15">
      <c r="A76" s="14"/>
      <c r="B76" s="14"/>
      <c r="C76" s="14"/>
      <c r="D76" s="14"/>
      <c r="E76" s="14"/>
      <c r="F76" s="15"/>
      <c r="G76" s="14"/>
      <c r="H76" s="14"/>
      <c r="I76" s="15"/>
    </row>
    <row r="77" spans="1:9" ht="13.15">
      <c r="A77" s="14"/>
      <c r="B77" s="14"/>
      <c r="C77" s="14"/>
      <c r="D77" s="14"/>
      <c r="E77" s="14"/>
      <c r="F77" s="15"/>
      <c r="G77" s="14"/>
      <c r="H77" s="14"/>
      <c r="I77" s="15"/>
    </row>
    <row r="78" spans="1:9" ht="13.15">
      <c r="A78" s="14"/>
      <c r="B78" s="14"/>
      <c r="C78" s="14"/>
      <c r="D78" s="14"/>
      <c r="E78" s="14"/>
      <c r="F78" s="15"/>
      <c r="G78" s="14"/>
      <c r="H78" s="14"/>
      <c r="I78" s="15"/>
    </row>
    <row r="79" spans="1:9" ht="13.15">
      <c r="A79" s="14"/>
      <c r="B79" s="14"/>
      <c r="C79" s="14"/>
      <c r="D79" s="14"/>
      <c r="E79" s="14"/>
      <c r="F79" s="15"/>
      <c r="G79" s="14"/>
      <c r="H79" s="14"/>
      <c r="I79" s="15"/>
    </row>
    <row r="80" spans="1:9" ht="13.15">
      <c r="A80" s="14"/>
      <c r="B80" s="14"/>
      <c r="C80" s="14"/>
      <c r="D80" s="14"/>
      <c r="E80" s="14"/>
      <c r="F80" s="15"/>
      <c r="G80" s="14"/>
      <c r="H80" s="14"/>
      <c r="I80" s="15"/>
    </row>
    <row r="81" spans="1:9" ht="13.15">
      <c r="A81" s="14"/>
      <c r="B81" s="14"/>
      <c r="C81" s="14"/>
      <c r="D81" s="14"/>
      <c r="E81" s="14"/>
      <c r="F81" s="15"/>
      <c r="G81" s="14"/>
      <c r="H81" s="14"/>
      <c r="I81" s="15"/>
    </row>
    <row r="82" spans="1:9" ht="13.15">
      <c r="A82" s="14"/>
      <c r="B82" s="14"/>
      <c r="C82" s="14"/>
      <c r="D82" s="14"/>
      <c r="E82" s="14"/>
      <c r="F82" s="15"/>
      <c r="G82" s="14"/>
      <c r="H82" s="14"/>
      <c r="I82" s="15"/>
    </row>
    <row r="83" spans="1:9" ht="13.15">
      <c r="A83" s="14"/>
      <c r="B83" s="14"/>
      <c r="C83" s="14"/>
      <c r="D83" s="14"/>
      <c r="E83" s="14"/>
      <c r="F83" s="15"/>
      <c r="G83" s="14"/>
      <c r="H83" s="14"/>
      <c r="I83" s="15"/>
    </row>
    <row r="84" spans="1:9" ht="13.15">
      <c r="A84" s="14"/>
      <c r="B84" s="14"/>
      <c r="C84" s="14"/>
      <c r="D84" s="14"/>
      <c r="E84" s="14"/>
      <c r="F84" s="15"/>
      <c r="G84" s="14"/>
      <c r="H84" s="14"/>
      <c r="I84" s="15"/>
    </row>
    <row r="85" spans="1:9" ht="13.15">
      <c r="A85" s="14"/>
      <c r="B85" s="14"/>
      <c r="C85" s="14"/>
      <c r="D85" s="14"/>
      <c r="E85" s="14"/>
      <c r="F85" s="15"/>
      <c r="G85" s="14"/>
      <c r="H85" s="14"/>
      <c r="I85" s="15"/>
    </row>
    <row r="86" spans="1:9" ht="13.15">
      <c r="A86" s="14"/>
      <c r="B86" s="14"/>
      <c r="C86" s="14"/>
      <c r="D86" s="14"/>
      <c r="E86" s="14"/>
      <c r="F86" s="15"/>
      <c r="G86" s="14"/>
      <c r="H86" s="14"/>
      <c r="I86" s="15"/>
    </row>
    <row r="87" spans="1:9" ht="13.15">
      <c r="A87" s="14"/>
      <c r="B87" s="14"/>
      <c r="C87" s="14"/>
      <c r="D87" s="14"/>
      <c r="E87" s="14"/>
      <c r="F87" s="15"/>
      <c r="G87" s="14"/>
      <c r="H87" s="14"/>
      <c r="I87" s="15"/>
    </row>
    <row r="88" spans="1:9" ht="13.15">
      <c r="A88" s="14"/>
      <c r="B88" s="14"/>
      <c r="C88" s="14"/>
      <c r="D88" s="14"/>
      <c r="E88" s="14"/>
      <c r="F88" s="15"/>
      <c r="G88" s="14"/>
      <c r="H88" s="14"/>
      <c r="I88" s="15"/>
    </row>
    <row r="89" spans="1:9" ht="13.15">
      <c r="A89" s="14"/>
      <c r="B89" s="14"/>
      <c r="C89" s="14"/>
      <c r="D89" s="14"/>
      <c r="E89" s="14"/>
      <c r="F89" s="15"/>
      <c r="G89" s="14"/>
      <c r="H89" s="14"/>
      <c r="I89" s="15"/>
    </row>
    <row r="90" spans="1:9" ht="13.15">
      <c r="A90" s="14"/>
      <c r="B90" s="14"/>
      <c r="C90" s="14"/>
      <c r="D90" s="14"/>
      <c r="E90" s="14"/>
      <c r="F90" s="15"/>
      <c r="G90" s="14"/>
      <c r="H90" s="14"/>
      <c r="I90" s="15"/>
    </row>
    <row r="91" spans="1:9" ht="13.15">
      <c r="A91" s="14"/>
      <c r="B91" s="14"/>
      <c r="C91" s="14"/>
      <c r="D91" s="14"/>
      <c r="E91" s="14"/>
      <c r="F91" s="15"/>
      <c r="G91" s="14"/>
      <c r="H91" s="14"/>
      <c r="I91" s="15"/>
    </row>
    <row r="92" spans="1:9" ht="13.15">
      <c r="A92" s="14"/>
      <c r="B92" s="14"/>
      <c r="C92" s="14"/>
      <c r="D92" s="14"/>
      <c r="E92" s="14"/>
      <c r="F92" s="15"/>
      <c r="G92" s="14"/>
      <c r="H92" s="14"/>
      <c r="I92" s="15"/>
    </row>
    <row r="93" spans="1:9" ht="13.15">
      <c r="A93" s="14"/>
      <c r="B93" s="14"/>
      <c r="C93" s="14"/>
      <c r="D93" s="14"/>
      <c r="E93" s="14"/>
      <c r="F93" s="15"/>
      <c r="G93" s="14"/>
      <c r="H93" s="14"/>
      <c r="I93" s="15"/>
    </row>
    <row r="94" spans="1:9" ht="13.15">
      <c r="A94" s="14"/>
      <c r="B94" s="14"/>
      <c r="C94" s="14"/>
      <c r="D94" s="14"/>
      <c r="E94" s="14"/>
      <c r="F94" s="15"/>
      <c r="G94" s="14"/>
      <c r="H94" s="14"/>
      <c r="I94" s="15"/>
    </row>
    <row r="95" spans="1:9" ht="13.15">
      <c r="A95" s="14"/>
      <c r="B95" s="14"/>
      <c r="C95" s="14"/>
      <c r="D95" s="14"/>
      <c r="E95" s="14"/>
      <c r="F95" s="15"/>
      <c r="G95" s="14"/>
      <c r="H95" s="14"/>
      <c r="I95" s="15"/>
    </row>
    <row r="96" spans="1:9" ht="13.15">
      <c r="A96" s="14"/>
      <c r="B96" s="14"/>
      <c r="C96" s="14"/>
      <c r="D96" s="14"/>
      <c r="E96" s="14"/>
      <c r="F96" s="15"/>
      <c r="G96" s="14"/>
      <c r="H96" s="14"/>
      <c r="I96" s="15"/>
    </row>
    <row r="97" spans="1:9" ht="13.15">
      <c r="A97" s="14"/>
      <c r="B97" s="14"/>
      <c r="C97" s="14"/>
      <c r="D97" s="14"/>
      <c r="E97" s="14"/>
      <c r="F97" s="15"/>
      <c r="G97" s="14"/>
      <c r="H97" s="14"/>
      <c r="I97" s="15"/>
    </row>
    <row r="98" spans="1:9" ht="13.15">
      <c r="A98" s="14"/>
      <c r="B98" s="14"/>
      <c r="C98" s="14"/>
      <c r="D98" s="14"/>
      <c r="E98" s="14"/>
      <c r="F98" s="15"/>
      <c r="G98" s="14"/>
      <c r="H98" s="14"/>
      <c r="I98" s="15"/>
    </row>
    <row r="99" spans="1:9" ht="13.15">
      <c r="A99" s="14"/>
      <c r="B99" s="14"/>
      <c r="C99" s="14"/>
      <c r="D99" s="14"/>
      <c r="E99" s="14"/>
      <c r="F99" s="15"/>
      <c r="G99" s="14"/>
      <c r="H99" s="14"/>
      <c r="I99" s="15"/>
    </row>
    <row r="100" spans="1:9" ht="13.15">
      <c r="A100" s="14"/>
      <c r="B100" s="14"/>
      <c r="C100" s="14"/>
      <c r="D100" s="14"/>
      <c r="E100" s="14"/>
      <c r="F100" s="15"/>
      <c r="G100" s="14"/>
      <c r="H100" s="14"/>
      <c r="I100" s="15"/>
    </row>
    <row r="101" spans="1:9" ht="13.15">
      <c r="A101" s="14"/>
      <c r="B101" s="14"/>
      <c r="C101" s="14"/>
      <c r="D101" s="14"/>
      <c r="E101" s="14"/>
      <c r="F101" s="15"/>
      <c r="G101" s="14"/>
      <c r="H101" s="14"/>
      <c r="I101" s="15"/>
    </row>
    <row r="102" spans="1:9" ht="13.15">
      <c r="A102" s="14"/>
      <c r="B102" s="14"/>
      <c r="C102" s="14"/>
      <c r="D102" s="14"/>
      <c r="E102" s="14"/>
      <c r="F102" s="15"/>
      <c r="G102" s="14"/>
      <c r="H102" s="14"/>
      <c r="I102" s="15"/>
    </row>
    <row r="103" spans="1:9" ht="13.15">
      <c r="A103" s="14"/>
      <c r="B103" s="14"/>
      <c r="C103" s="14"/>
      <c r="D103" s="14"/>
      <c r="E103" s="14"/>
      <c r="F103" s="15"/>
      <c r="G103" s="14"/>
      <c r="H103" s="14"/>
      <c r="I103" s="15"/>
    </row>
    <row r="104" spans="1:9" ht="13.15">
      <c r="A104" s="14"/>
      <c r="B104" s="14"/>
      <c r="C104" s="14"/>
      <c r="D104" s="14"/>
      <c r="E104" s="14"/>
      <c r="F104" s="15"/>
      <c r="G104" s="14"/>
      <c r="H104" s="14"/>
      <c r="I104" s="15"/>
    </row>
    <row r="105" spans="1:9" ht="13.15">
      <c r="A105" s="14"/>
      <c r="B105" s="14"/>
      <c r="C105" s="14"/>
      <c r="D105" s="14"/>
      <c r="E105" s="14"/>
      <c r="F105" s="15"/>
      <c r="G105" s="14"/>
      <c r="H105" s="14"/>
      <c r="I105" s="15"/>
    </row>
    <row r="106" spans="1:9" ht="13.15">
      <c r="A106" s="14"/>
      <c r="B106" s="14"/>
      <c r="C106" s="14"/>
      <c r="D106" s="14"/>
      <c r="E106" s="14"/>
      <c r="F106" s="15"/>
      <c r="G106" s="14"/>
      <c r="H106" s="14"/>
      <c r="I106" s="15"/>
    </row>
    <row r="107" spans="1:9" ht="13.15">
      <c r="A107" s="14"/>
      <c r="B107" s="14"/>
      <c r="C107" s="14"/>
      <c r="D107" s="14"/>
      <c r="E107" s="14"/>
      <c r="F107" s="15"/>
      <c r="G107" s="14"/>
      <c r="H107" s="14"/>
      <c r="I107" s="15"/>
    </row>
    <row r="108" spans="1:9" ht="13.15">
      <c r="A108" s="14"/>
      <c r="B108" s="14"/>
      <c r="C108" s="14"/>
      <c r="D108" s="14"/>
      <c r="E108" s="14"/>
      <c r="F108" s="15"/>
      <c r="G108" s="14"/>
      <c r="H108" s="14"/>
      <c r="I108" s="15"/>
    </row>
    <row r="109" spans="1:9" ht="13.15">
      <c r="A109" s="14"/>
      <c r="B109" s="14"/>
      <c r="C109" s="14"/>
      <c r="D109" s="14"/>
      <c r="E109" s="14"/>
      <c r="F109" s="15"/>
      <c r="G109" s="14"/>
      <c r="H109" s="14"/>
      <c r="I109" s="15"/>
    </row>
    <row r="110" spans="1:9" ht="13.15">
      <c r="A110" s="14"/>
      <c r="B110" s="14"/>
      <c r="C110" s="14"/>
      <c r="D110" s="14"/>
      <c r="E110" s="14"/>
      <c r="F110" s="15"/>
      <c r="G110" s="14"/>
      <c r="H110" s="14"/>
      <c r="I110" s="15"/>
    </row>
    <row r="111" spans="1:9" ht="13.15">
      <c r="A111" s="14"/>
      <c r="B111" s="14"/>
      <c r="C111" s="14"/>
      <c r="D111" s="14"/>
      <c r="E111" s="14"/>
      <c r="F111" s="15"/>
      <c r="G111" s="14"/>
      <c r="H111" s="14"/>
      <c r="I111" s="15"/>
    </row>
    <row r="112" spans="1:9" ht="13.15">
      <c r="A112" s="14"/>
      <c r="B112" s="14"/>
      <c r="C112" s="14"/>
      <c r="D112" s="14"/>
      <c r="E112" s="14"/>
      <c r="F112" s="15"/>
      <c r="G112" s="14"/>
      <c r="H112" s="14"/>
      <c r="I112" s="15"/>
    </row>
    <row r="113" spans="1:9" ht="13.15">
      <c r="A113" s="14"/>
      <c r="B113" s="14"/>
      <c r="C113" s="14"/>
      <c r="D113" s="14"/>
      <c r="E113" s="14"/>
      <c r="F113" s="15"/>
      <c r="G113" s="14"/>
      <c r="H113" s="14"/>
      <c r="I113" s="15"/>
    </row>
    <row r="114" spans="1:9" ht="13.15">
      <c r="A114" s="14"/>
      <c r="B114" s="14"/>
      <c r="C114" s="14"/>
      <c r="D114" s="14"/>
      <c r="E114" s="14"/>
      <c r="F114" s="15"/>
      <c r="G114" s="14"/>
      <c r="H114" s="14"/>
      <c r="I114" s="15"/>
    </row>
    <row r="115" spans="1:9" ht="13.15">
      <c r="A115" s="14"/>
      <c r="B115" s="14"/>
      <c r="C115" s="14"/>
      <c r="D115" s="14"/>
      <c r="E115" s="14"/>
      <c r="F115" s="15"/>
      <c r="G115" s="14"/>
      <c r="H115" s="14"/>
      <c r="I115" s="15"/>
    </row>
    <row r="116" spans="1:9" ht="13.15">
      <c r="A116" s="14"/>
      <c r="B116" s="14"/>
      <c r="C116" s="14"/>
      <c r="D116" s="14"/>
      <c r="E116" s="14"/>
      <c r="F116" s="15"/>
      <c r="G116" s="14"/>
      <c r="H116" s="14"/>
      <c r="I116" s="15"/>
    </row>
    <row r="117" spans="1:9" ht="13.15">
      <c r="A117" s="14"/>
      <c r="B117" s="14"/>
      <c r="C117" s="14"/>
      <c r="D117" s="14"/>
      <c r="E117" s="14"/>
      <c r="F117" s="15"/>
      <c r="G117" s="14"/>
      <c r="H117" s="14"/>
      <c r="I117" s="15"/>
    </row>
    <row r="118" spans="1:9" ht="13.15">
      <c r="A118" s="14"/>
      <c r="B118" s="14"/>
      <c r="C118" s="14"/>
      <c r="D118" s="14"/>
      <c r="E118" s="14"/>
      <c r="F118" s="15"/>
      <c r="G118" s="14"/>
      <c r="H118" s="14"/>
      <c r="I118" s="15"/>
    </row>
    <row r="119" spans="1:9" ht="13.15">
      <c r="A119" s="14"/>
      <c r="B119" s="14"/>
      <c r="C119" s="14"/>
      <c r="D119" s="14"/>
      <c r="E119" s="14"/>
      <c r="F119" s="15"/>
      <c r="G119" s="14"/>
      <c r="H119" s="14"/>
      <c r="I119" s="15"/>
    </row>
    <row r="120" spans="1:9" ht="13.15">
      <c r="A120" s="14"/>
      <c r="B120" s="14"/>
      <c r="C120" s="14"/>
      <c r="D120" s="14"/>
      <c r="E120" s="14"/>
      <c r="F120" s="15"/>
      <c r="G120" s="14"/>
      <c r="H120" s="14"/>
      <c r="I120" s="15"/>
    </row>
    <row r="121" spans="1:9" ht="13.15">
      <c r="A121" s="14"/>
      <c r="B121" s="14"/>
      <c r="C121" s="14"/>
      <c r="D121" s="14"/>
      <c r="E121" s="14"/>
      <c r="F121" s="15"/>
      <c r="G121" s="14"/>
      <c r="H121" s="14"/>
      <c r="I121" s="15"/>
    </row>
    <row r="122" spans="1:9" ht="13.15">
      <c r="A122" s="14"/>
      <c r="B122" s="14"/>
      <c r="C122" s="14"/>
      <c r="D122" s="14"/>
      <c r="E122" s="14"/>
      <c r="F122" s="15"/>
      <c r="G122" s="14"/>
      <c r="H122" s="14"/>
      <c r="I122" s="15"/>
    </row>
    <row r="123" spans="1:9" ht="13.15">
      <c r="A123" s="14"/>
      <c r="B123" s="14"/>
      <c r="C123" s="14"/>
      <c r="D123" s="14"/>
      <c r="E123" s="14"/>
      <c r="F123" s="15"/>
      <c r="G123" s="14"/>
      <c r="H123" s="14"/>
      <c r="I123" s="15"/>
    </row>
    <row r="124" spans="1:9" ht="13.15">
      <c r="A124" s="14"/>
      <c r="B124" s="14"/>
      <c r="C124" s="14"/>
      <c r="D124" s="14"/>
      <c r="E124" s="14"/>
      <c r="F124" s="15"/>
      <c r="G124" s="14"/>
      <c r="H124" s="14"/>
      <c r="I124" s="15"/>
    </row>
    <row r="125" spans="1:9" ht="13.15">
      <c r="A125" s="14"/>
      <c r="B125" s="14"/>
      <c r="C125" s="14"/>
      <c r="D125" s="14"/>
      <c r="E125" s="14"/>
      <c r="F125" s="15"/>
      <c r="G125" s="14"/>
      <c r="H125" s="14"/>
      <c r="I125" s="15"/>
    </row>
    <row r="126" spans="1:9" ht="13.15">
      <c r="A126" s="14"/>
      <c r="B126" s="14"/>
      <c r="C126" s="14"/>
      <c r="D126" s="14"/>
      <c r="E126" s="14"/>
      <c r="F126" s="15"/>
      <c r="G126" s="14"/>
      <c r="H126" s="14"/>
      <c r="I126" s="15"/>
    </row>
    <row r="127" spans="1:9" ht="13.15">
      <c r="A127" s="14"/>
      <c r="B127" s="14"/>
      <c r="C127" s="14"/>
      <c r="D127" s="14"/>
      <c r="E127" s="14"/>
      <c r="F127" s="15"/>
      <c r="G127" s="14"/>
      <c r="H127" s="14"/>
      <c r="I127" s="15"/>
    </row>
    <row r="128" spans="1:9" ht="13.15">
      <c r="A128" s="14"/>
      <c r="B128" s="14"/>
      <c r="C128" s="14"/>
      <c r="D128" s="14"/>
      <c r="E128" s="14"/>
      <c r="F128" s="15"/>
      <c r="G128" s="14"/>
      <c r="H128" s="14"/>
      <c r="I128" s="15"/>
    </row>
    <row r="129" spans="1:9" ht="13.15">
      <c r="A129" s="14"/>
      <c r="B129" s="14"/>
      <c r="C129" s="14"/>
      <c r="D129" s="14"/>
      <c r="E129" s="14"/>
      <c r="F129" s="15"/>
      <c r="G129" s="14"/>
      <c r="H129" s="14"/>
      <c r="I129" s="15"/>
    </row>
    <row r="130" spans="1:9" ht="13.15">
      <c r="A130" s="14"/>
      <c r="B130" s="14"/>
      <c r="C130" s="14"/>
      <c r="D130" s="14"/>
      <c r="E130" s="14"/>
      <c r="F130" s="15"/>
      <c r="G130" s="14"/>
      <c r="H130" s="14"/>
      <c r="I130" s="15"/>
    </row>
    <row r="131" spans="1:9" ht="13.15">
      <c r="A131" s="14"/>
      <c r="B131" s="14"/>
      <c r="C131" s="14"/>
      <c r="D131" s="14"/>
      <c r="E131" s="14"/>
      <c r="F131" s="15"/>
      <c r="G131" s="14"/>
      <c r="H131" s="14"/>
      <c r="I131" s="15"/>
    </row>
    <row r="132" spans="1:9" ht="13.15">
      <c r="A132" s="14"/>
      <c r="B132" s="14"/>
      <c r="C132" s="14"/>
      <c r="D132" s="14"/>
      <c r="E132" s="14"/>
      <c r="F132" s="15"/>
      <c r="G132" s="14"/>
      <c r="H132" s="14"/>
      <c r="I132" s="15"/>
    </row>
    <row r="133" spans="1:9" ht="13.15">
      <c r="A133" s="14"/>
      <c r="B133" s="14"/>
      <c r="C133" s="14"/>
      <c r="D133" s="14"/>
      <c r="E133" s="14"/>
      <c r="F133" s="15"/>
      <c r="G133" s="14"/>
      <c r="H133" s="14"/>
      <c r="I133" s="15"/>
    </row>
    <row r="134" spans="1:9" ht="13.15">
      <c r="A134" s="14"/>
      <c r="B134" s="14"/>
      <c r="C134" s="14"/>
      <c r="D134" s="14"/>
      <c r="E134" s="14"/>
      <c r="F134" s="15"/>
      <c r="G134" s="14"/>
      <c r="H134" s="14"/>
      <c r="I134" s="15"/>
    </row>
    <row r="135" spans="1:9" ht="13.15">
      <c r="A135" s="14"/>
      <c r="B135" s="14"/>
      <c r="C135" s="14"/>
      <c r="D135" s="14"/>
      <c r="E135" s="14"/>
      <c r="F135" s="15"/>
      <c r="G135" s="14"/>
      <c r="H135" s="14"/>
      <c r="I135" s="15"/>
    </row>
    <row r="136" spans="1:9" ht="13.15">
      <c r="A136" s="14"/>
      <c r="B136" s="14"/>
      <c r="C136" s="14"/>
      <c r="D136" s="14"/>
      <c r="E136" s="14"/>
      <c r="F136" s="15"/>
      <c r="G136" s="14"/>
      <c r="H136" s="14"/>
      <c r="I136" s="15"/>
    </row>
    <row r="137" spans="1:9" ht="13.15">
      <c r="A137" s="14"/>
      <c r="B137" s="14"/>
      <c r="C137" s="14"/>
      <c r="D137" s="14"/>
      <c r="E137" s="14"/>
      <c r="F137" s="15"/>
      <c r="G137" s="14"/>
      <c r="H137" s="14"/>
      <c r="I137" s="15"/>
    </row>
    <row r="138" spans="1:9" ht="13.15">
      <c r="A138" s="14"/>
      <c r="B138" s="14"/>
      <c r="C138" s="14"/>
      <c r="D138" s="14"/>
      <c r="E138" s="14"/>
      <c r="F138" s="15"/>
      <c r="G138" s="14"/>
      <c r="H138" s="14"/>
      <c r="I138" s="15"/>
    </row>
    <row r="139" spans="1:9" ht="13.15">
      <c r="A139" s="14"/>
      <c r="B139" s="14"/>
      <c r="C139" s="14"/>
      <c r="D139" s="14"/>
      <c r="E139" s="14"/>
      <c r="F139" s="15"/>
      <c r="G139" s="14"/>
      <c r="H139" s="14"/>
      <c r="I139" s="15"/>
    </row>
    <row r="140" spans="1:9" ht="13.15">
      <c r="A140" s="14"/>
      <c r="B140" s="14"/>
      <c r="C140" s="14"/>
      <c r="D140" s="14"/>
      <c r="E140" s="14"/>
      <c r="F140" s="15"/>
      <c r="G140" s="14"/>
      <c r="H140" s="14"/>
      <c r="I140" s="15"/>
    </row>
    <row r="141" spans="1:9" ht="13.15">
      <c r="A141" s="14"/>
      <c r="B141" s="14"/>
      <c r="C141" s="14"/>
      <c r="D141" s="14"/>
      <c r="E141" s="14"/>
      <c r="F141" s="15"/>
      <c r="G141" s="14"/>
      <c r="H141" s="14"/>
      <c r="I141" s="15"/>
    </row>
    <row r="142" spans="1:9" ht="13.15">
      <c r="A142" s="14"/>
      <c r="B142" s="14"/>
      <c r="C142" s="14"/>
      <c r="D142" s="14"/>
      <c r="E142" s="14"/>
      <c r="F142" s="15"/>
      <c r="G142" s="14"/>
      <c r="H142" s="14"/>
      <c r="I142" s="15"/>
    </row>
    <row r="143" spans="1:9" ht="13.15">
      <c r="A143" s="14"/>
      <c r="B143" s="14"/>
      <c r="C143" s="14"/>
      <c r="D143" s="14"/>
      <c r="E143" s="14"/>
      <c r="F143" s="15"/>
      <c r="G143" s="14"/>
      <c r="H143" s="14"/>
      <c r="I143" s="15"/>
    </row>
    <row r="144" spans="1:9" ht="13.15">
      <c r="A144" s="14"/>
      <c r="B144" s="14"/>
      <c r="C144" s="14"/>
      <c r="D144" s="14"/>
      <c r="E144" s="14"/>
      <c r="F144" s="15"/>
      <c r="G144" s="14"/>
      <c r="H144" s="14"/>
      <c r="I144" s="15"/>
    </row>
    <row r="145" spans="1:9" ht="13.15">
      <c r="A145" s="14"/>
      <c r="B145" s="14"/>
      <c r="C145" s="14"/>
      <c r="D145" s="14"/>
      <c r="E145" s="14"/>
      <c r="F145" s="15"/>
      <c r="G145" s="14"/>
      <c r="H145" s="14"/>
      <c r="I145" s="15"/>
    </row>
    <row r="146" spans="1:9" ht="13.15">
      <c r="A146" s="14"/>
      <c r="B146" s="14"/>
      <c r="C146" s="14"/>
      <c r="D146" s="14"/>
      <c r="E146" s="14"/>
      <c r="F146" s="15"/>
      <c r="G146" s="14"/>
      <c r="H146" s="14"/>
      <c r="I146" s="15"/>
    </row>
    <row r="147" spans="1:9" ht="13.15">
      <c r="A147" s="14"/>
      <c r="B147" s="14"/>
      <c r="C147" s="14"/>
      <c r="D147" s="14"/>
      <c r="E147" s="14"/>
      <c r="F147" s="15"/>
      <c r="G147" s="14"/>
      <c r="H147" s="14"/>
      <c r="I147" s="15"/>
    </row>
    <row r="148" spans="1:9" ht="13.15">
      <c r="A148" s="14"/>
      <c r="B148" s="14"/>
      <c r="C148" s="14"/>
      <c r="D148" s="14"/>
      <c r="E148" s="14"/>
      <c r="F148" s="15"/>
      <c r="G148" s="14"/>
      <c r="H148" s="14"/>
      <c r="I148" s="15"/>
    </row>
    <row r="149" spans="1:9" ht="13.15">
      <c r="A149" s="14"/>
      <c r="B149" s="14"/>
      <c r="C149" s="14"/>
      <c r="D149" s="14"/>
      <c r="E149" s="14"/>
      <c r="F149" s="15"/>
      <c r="G149" s="14"/>
      <c r="H149" s="14"/>
      <c r="I149" s="15"/>
    </row>
    <row r="150" spans="1:9" ht="13.15">
      <c r="A150" s="14"/>
      <c r="B150" s="14"/>
      <c r="C150" s="14"/>
      <c r="D150" s="14"/>
      <c r="E150" s="14"/>
      <c r="F150" s="15"/>
      <c r="G150" s="14"/>
      <c r="H150" s="14"/>
      <c r="I150" s="15"/>
    </row>
    <row r="151" spans="1:9" ht="13.15">
      <c r="A151" s="14"/>
      <c r="B151" s="14"/>
      <c r="C151" s="14"/>
      <c r="D151" s="14"/>
      <c r="E151" s="14"/>
      <c r="F151" s="15"/>
      <c r="G151" s="14"/>
      <c r="H151" s="14"/>
      <c r="I151" s="15"/>
    </row>
    <row r="152" spans="1:9" ht="13.15">
      <c r="A152" s="14"/>
      <c r="B152" s="14"/>
      <c r="C152" s="14"/>
      <c r="D152" s="14"/>
      <c r="E152" s="14"/>
      <c r="F152" s="15"/>
      <c r="G152" s="14"/>
      <c r="H152" s="14"/>
      <c r="I152" s="15"/>
    </row>
    <row r="153" spans="1:9" ht="13.15">
      <c r="A153" s="14"/>
      <c r="B153" s="14"/>
      <c r="C153" s="14"/>
      <c r="D153" s="14"/>
      <c r="E153" s="14"/>
      <c r="F153" s="15"/>
      <c r="G153" s="14"/>
      <c r="H153" s="14"/>
      <c r="I153" s="15"/>
    </row>
    <row r="154" spans="1:9" ht="13.15">
      <c r="A154" s="14"/>
      <c r="B154" s="14"/>
      <c r="C154" s="14"/>
      <c r="D154" s="14"/>
      <c r="E154" s="14"/>
      <c r="F154" s="15"/>
      <c r="G154" s="14"/>
      <c r="H154" s="14"/>
      <c r="I154" s="15"/>
    </row>
    <row r="155" spans="1:9" ht="13.15">
      <c r="A155" s="14"/>
      <c r="B155" s="14"/>
      <c r="C155" s="14"/>
      <c r="D155" s="14"/>
      <c r="E155" s="14"/>
      <c r="F155" s="15"/>
      <c r="G155" s="14"/>
      <c r="H155" s="14"/>
      <c r="I155" s="15"/>
    </row>
    <row r="156" spans="1:9" ht="13.15">
      <c r="A156" s="14"/>
      <c r="B156" s="14"/>
      <c r="C156" s="14"/>
      <c r="D156" s="14"/>
      <c r="E156" s="14"/>
      <c r="F156" s="15"/>
      <c r="G156" s="14"/>
      <c r="H156" s="14"/>
      <c r="I156" s="15"/>
    </row>
    <row r="157" spans="1:9" ht="13.15">
      <c r="A157" s="14"/>
      <c r="B157" s="14"/>
      <c r="C157" s="14"/>
      <c r="D157" s="14"/>
      <c r="E157" s="14"/>
      <c r="F157" s="15"/>
      <c r="G157" s="14"/>
      <c r="H157" s="14"/>
      <c r="I157" s="15"/>
    </row>
    <row r="158" spans="1:9" ht="13.15">
      <c r="A158" s="14"/>
      <c r="B158" s="14"/>
      <c r="C158" s="14"/>
      <c r="D158" s="14"/>
      <c r="E158" s="14"/>
      <c r="F158" s="15"/>
      <c r="G158" s="14"/>
      <c r="H158" s="14"/>
      <c r="I158" s="15"/>
    </row>
    <row r="159" spans="1:9" ht="13.15">
      <c r="A159" s="14"/>
      <c r="B159" s="14"/>
      <c r="C159" s="14"/>
      <c r="D159" s="14"/>
      <c r="E159" s="14"/>
      <c r="F159" s="15"/>
      <c r="G159" s="14"/>
      <c r="H159" s="14"/>
      <c r="I159" s="15"/>
    </row>
    <row r="160" spans="1:9" ht="13.15">
      <c r="A160" s="14"/>
      <c r="B160" s="14"/>
      <c r="C160" s="14"/>
      <c r="D160" s="14"/>
      <c r="E160" s="14"/>
      <c r="F160" s="15"/>
      <c r="G160" s="14"/>
      <c r="H160" s="14"/>
      <c r="I160" s="15"/>
    </row>
    <row r="161" spans="1:9" ht="13.15">
      <c r="A161" s="14"/>
      <c r="B161" s="14"/>
      <c r="C161" s="14"/>
      <c r="D161" s="14"/>
      <c r="E161" s="14"/>
      <c r="F161" s="15"/>
      <c r="G161" s="14"/>
      <c r="H161" s="14"/>
      <c r="I161" s="15"/>
    </row>
    <row r="162" spans="1:9" ht="13.15">
      <c r="A162" s="14"/>
      <c r="B162" s="14"/>
      <c r="C162" s="14"/>
      <c r="D162" s="14"/>
      <c r="E162" s="14"/>
      <c r="F162" s="15"/>
      <c r="G162" s="14"/>
      <c r="H162" s="14"/>
      <c r="I162" s="15"/>
    </row>
    <row r="163" spans="1:9" ht="13.15">
      <c r="A163" s="14"/>
      <c r="B163" s="14"/>
      <c r="C163" s="14"/>
      <c r="D163" s="14"/>
      <c r="E163" s="14"/>
      <c r="F163" s="15"/>
      <c r="G163" s="14"/>
      <c r="H163" s="14"/>
      <c r="I163" s="15"/>
    </row>
    <row r="164" spans="1:9" ht="13.15">
      <c r="A164" s="14"/>
      <c r="B164" s="14"/>
      <c r="C164" s="14"/>
      <c r="D164" s="14"/>
      <c r="E164" s="14"/>
      <c r="F164" s="15"/>
      <c r="G164" s="14"/>
      <c r="H164" s="14"/>
      <c r="I164" s="15"/>
    </row>
    <row r="165" spans="1:9" ht="13.15">
      <c r="A165" s="14"/>
      <c r="B165" s="14"/>
      <c r="C165" s="14"/>
      <c r="D165" s="14"/>
      <c r="E165" s="14"/>
      <c r="F165" s="15"/>
      <c r="G165" s="14"/>
      <c r="H165" s="14"/>
      <c r="I165" s="15"/>
    </row>
    <row r="166" spans="1:9" ht="13.15">
      <c r="A166" s="14"/>
      <c r="B166" s="14"/>
      <c r="C166" s="14"/>
      <c r="D166" s="14"/>
      <c r="E166" s="14"/>
      <c r="F166" s="15"/>
      <c r="G166" s="14"/>
      <c r="H166" s="14"/>
      <c r="I166" s="15"/>
    </row>
    <row r="167" spans="1:9" ht="13.15">
      <c r="A167" s="14"/>
      <c r="B167" s="14"/>
      <c r="C167" s="14"/>
      <c r="D167" s="14"/>
      <c r="E167" s="14"/>
      <c r="F167" s="15"/>
      <c r="G167" s="14"/>
      <c r="H167" s="14"/>
      <c r="I167" s="15"/>
    </row>
    <row r="168" spans="1:9" ht="13.15">
      <c r="A168" s="14"/>
      <c r="B168" s="14"/>
      <c r="C168" s="14"/>
      <c r="D168" s="14"/>
      <c r="E168" s="14"/>
      <c r="F168" s="15"/>
      <c r="G168" s="14"/>
      <c r="H168" s="14"/>
      <c r="I168" s="15"/>
    </row>
    <row r="169" spans="1:9" ht="13.15">
      <c r="A169" s="14"/>
      <c r="B169" s="14"/>
      <c r="C169" s="14"/>
      <c r="D169" s="14"/>
      <c r="E169" s="14"/>
      <c r="F169" s="15"/>
      <c r="G169" s="14"/>
      <c r="H169" s="14"/>
      <c r="I169" s="15"/>
    </row>
    <row r="170" spans="1:9" ht="13.15">
      <c r="A170" s="14"/>
      <c r="B170" s="14"/>
      <c r="C170" s="14"/>
      <c r="D170" s="14"/>
      <c r="E170" s="14"/>
      <c r="F170" s="15"/>
      <c r="G170" s="14"/>
      <c r="H170" s="14"/>
      <c r="I170" s="15"/>
    </row>
    <row r="171" spans="1:9" ht="13.15">
      <c r="A171" s="14"/>
      <c r="B171" s="14"/>
      <c r="C171" s="14"/>
      <c r="D171" s="14"/>
      <c r="E171" s="14"/>
      <c r="F171" s="15"/>
      <c r="G171" s="14"/>
      <c r="H171" s="14"/>
      <c r="I171" s="15"/>
    </row>
    <row r="172" spans="1:9" ht="13.15">
      <c r="A172" s="14"/>
      <c r="B172" s="14"/>
      <c r="C172" s="14"/>
      <c r="D172" s="14"/>
      <c r="E172" s="14"/>
      <c r="F172" s="15"/>
      <c r="G172" s="14"/>
      <c r="H172" s="14"/>
      <c r="I172" s="15"/>
    </row>
    <row r="173" spans="1:9" ht="13.15">
      <c r="A173" s="14"/>
      <c r="B173" s="14"/>
      <c r="C173" s="14"/>
      <c r="D173" s="14"/>
      <c r="E173" s="14"/>
      <c r="F173" s="15"/>
      <c r="G173" s="14"/>
      <c r="H173" s="14"/>
      <c r="I173" s="15"/>
    </row>
    <row r="174" spans="1:9" ht="13.15">
      <c r="A174" s="14"/>
      <c r="B174" s="14"/>
      <c r="C174" s="14"/>
      <c r="D174" s="14"/>
      <c r="E174" s="14"/>
      <c r="F174" s="15"/>
      <c r="G174" s="14"/>
      <c r="H174" s="14"/>
      <c r="I174" s="15"/>
    </row>
    <row r="175" spans="1:9" ht="13.15">
      <c r="A175" s="14"/>
      <c r="B175" s="14"/>
      <c r="C175" s="14"/>
      <c r="D175" s="14"/>
      <c r="E175" s="14"/>
      <c r="F175" s="15"/>
      <c r="G175" s="14"/>
      <c r="H175" s="14"/>
      <c r="I175" s="15"/>
    </row>
    <row r="176" spans="1:9" ht="13.15">
      <c r="A176" s="14"/>
      <c r="B176" s="14"/>
      <c r="C176" s="14"/>
      <c r="D176" s="14"/>
      <c r="E176" s="14"/>
      <c r="F176" s="15"/>
      <c r="G176" s="14"/>
      <c r="H176" s="14"/>
      <c r="I176" s="15"/>
    </row>
    <row r="177" spans="1:9" ht="13.15">
      <c r="A177" s="14"/>
      <c r="B177" s="14"/>
      <c r="C177" s="14"/>
      <c r="D177" s="14"/>
      <c r="E177" s="14"/>
      <c r="F177" s="15"/>
      <c r="G177" s="14"/>
      <c r="H177" s="14"/>
      <c r="I177" s="15"/>
    </row>
    <row r="178" spans="1:9" ht="13.15">
      <c r="A178" s="14"/>
      <c r="B178" s="14"/>
      <c r="C178" s="14"/>
      <c r="D178" s="14"/>
      <c r="E178" s="14"/>
      <c r="F178" s="15"/>
      <c r="G178" s="14"/>
      <c r="H178" s="14"/>
      <c r="I178" s="15"/>
    </row>
    <row r="179" spans="1:9" ht="13.15">
      <c r="A179" s="14"/>
      <c r="B179" s="14"/>
      <c r="C179" s="14"/>
      <c r="D179" s="14"/>
      <c r="E179" s="14"/>
      <c r="F179" s="15"/>
      <c r="G179" s="14"/>
      <c r="H179" s="14"/>
      <c r="I179" s="15"/>
    </row>
    <row r="180" spans="1:9" ht="13.15">
      <c r="A180" s="14"/>
      <c r="B180" s="14"/>
      <c r="C180" s="14"/>
      <c r="D180" s="14"/>
      <c r="E180" s="14"/>
      <c r="F180" s="15"/>
      <c r="G180" s="14"/>
      <c r="H180" s="14"/>
      <c r="I180" s="15"/>
    </row>
    <row r="181" spans="1:9" ht="13.15">
      <c r="A181" s="14"/>
      <c r="B181" s="14"/>
      <c r="C181" s="14"/>
      <c r="D181" s="14"/>
      <c r="E181" s="14"/>
      <c r="F181" s="15"/>
      <c r="G181" s="14"/>
      <c r="H181" s="14"/>
      <c r="I181" s="15"/>
    </row>
    <row r="182" spans="1:9" ht="13.15">
      <c r="A182" s="14"/>
      <c r="B182" s="14"/>
      <c r="C182" s="14"/>
      <c r="D182" s="14"/>
      <c r="E182" s="14"/>
      <c r="F182" s="15"/>
      <c r="G182" s="14"/>
      <c r="H182" s="14"/>
      <c r="I182" s="15"/>
    </row>
    <row r="183" spans="1:9" ht="13.15">
      <c r="A183" s="14"/>
      <c r="B183" s="14"/>
      <c r="C183" s="14"/>
      <c r="D183" s="14"/>
      <c r="E183" s="14"/>
      <c r="F183" s="15"/>
      <c r="G183" s="14"/>
      <c r="H183" s="14"/>
      <c r="I183" s="15"/>
    </row>
    <row r="184" spans="1:9" ht="13.15">
      <c r="A184" s="14"/>
      <c r="B184" s="14"/>
      <c r="C184" s="14"/>
      <c r="D184" s="14"/>
      <c r="E184" s="14"/>
      <c r="F184" s="15"/>
      <c r="G184" s="14"/>
      <c r="H184" s="14"/>
      <c r="I184" s="15"/>
    </row>
    <row r="185" spans="1:9" ht="13.15">
      <c r="A185" s="14"/>
      <c r="B185" s="14"/>
      <c r="C185" s="14"/>
      <c r="D185" s="14"/>
      <c r="E185" s="14"/>
      <c r="F185" s="15"/>
      <c r="G185" s="14"/>
      <c r="H185" s="14"/>
      <c r="I185" s="15"/>
    </row>
    <row r="186" spans="1:9" ht="13.15">
      <c r="A186" s="14"/>
      <c r="B186" s="14"/>
      <c r="C186" s="14"/>
      <c r="D186" s="14"/>
      <c r="E186" s="14"/>
      <c r="F186" s="15"/>
      <c r="G186" s="14"/>
      <c r="H186" s="14"/>
      <c r="I186" s="15"/>
    </row>
    <row r="187" spans="1:9" ht="13.15">
      <c r="A187" s="14"/>
      <c r="B187" s="14"/>
      <c r="C187" s="14"/>
      <c r="D187" s="14"/>
      <c r="E187" s="14"/>
      <c r="F187" s="15"/>
      <c r="G187" s="14"/>
      <c r="H187" s="14"/>
      <c r="I187" s="15"/>
    </row>
    <row r="188" spans="1:9" ht="13.15">
      <c r="A188" s="14"/>
      <c r="B188" s="14"/>
      <c r="C188" s="14"/>
      <c r="D188" s="14"/>
      <c r="E188" s="14"/>
      <c r="F188" s="15"/>
      <c r="G188" s="14"/>
      <c r="H188" s="14"/>
      <c r="I188" s="15"/>
    </row>
    <row r="189" spans="1:9" ht="13.15">
      <c r="A189" s="14"/>
      <c r="B189" s="14"/>
      <c r="C189" s="14"/>
      <c r="D189" s="14"/>
      <c r="E189" s="14"/>
      <c r="F189" s="15"/>
      <c r="G189" s="14"/>
      <c r="H189" s="14"/>
      <c r="I189" s="15"/>
    </row>
    <row r="190" spans="1:9" ht="13.15">
      <c r="A190" s="14"/>
      <c r="B190" s="14"/>
      <c r="C190" s="14"/>
      <c r="D190" s="14"/>
      <c r="E190" s="14"/>
      <c r="F190" s="15"/>
      <c r="G190" s="14"/>
      <c r="H190" s="14"/>
      <c r="I190" s="15"/>
    </row>
    <row r="191" spans="1:9" ht="13.15">
      <c r="A191" s="14"/>
      <c r="B191" s="14"/>
      <c r="C191" s="14"/>
      <c r="D191" s="14"/>
      <c r="E191" s="14"/>
      <c r="F191" s="15"/>
      <c r="G191" s="14"/>
      <c r="H191" s="14"/>
      <c r="I191" s="15"/>
    </row>
    <row r="192" spans="1:9" ht="13.15">
      <c r="A192" s="14"/>
      <c r="B192" s="14"/>
      <c r="C192" s="14"/>
      <c r="D192" s="14"/>
      <c r="E192" s="14"/>
      <c r="F192" s="15"/>
      <c r="G192" s="14"/>
      <c r="H192" s="14"/>
      <c r="I192" s="15"/>
    </row>
    <row r="193" spans="1:9" ht="13.15">
      <c r="A193" s="14"/>
      <c r="B193" s="14"/>
      <c r="C193" s="14"/>
      <c r="D193" s="14"/>
      <c r="E193" s="14"/>
      <c r="F193" s="15"/>
      <c r="G193" s="14"/>
      <c r="H193" s="14"/>
      <c r="I193" s="15"/>
    </row>
    <row r="194" spans="1:9" ht="13.15">
      <c r="A194" s="14"/>
      <c r="B194" s="14"/>
      <c r="C194" s="14"/>
      <c r="D194" s="14"/>
      <c r="E194" s="14"/>
      <c r="F194" s="15"/>
      <c r="G194" s="14"/>
      <c r="H194" s="14"/>
      <c r="I194" s="15"/>
    </row>
    <row r="195" spans="1:9" ht="13.15">
      <c r="A195" s="14"/>
      <c r="B195" s="14"/>
      <c r="C195" s="14"/>
      <c r="D195" s="14"/>
      <c r="E195" s="14"/>
      <c r="F195" s="15"/>
      <c r="G195" s="14"/>
      <c r="H195" s="14"/>
      <c r="I195" s="15"/>
    </row>
    <row r="196" spans="1:9" ht="13.15">
      <c r="A196" s="14"/>
      <c r="B196" s="14"/>
      <c r="C196" s="14"/>
      <c r="D196" s="14"/>
      <c r="E196" s="14"/>
      <c r="F196" s="15"/>
      <c r="G196" s="14"/>
      <c r="H196" s="14"/>
      <c r="I196" s="15"/>
    </row>
    <row r="197" spans="1:9" ht="13.15">
      <c r="A197" s="14"/>
      <c r="B197" s="14"/>
      <c r="C197" s="14"/>
      <c r="D197" s="14"/>
      <c r="E197" s="14"/>
      <c r="F197" s="15"/>
      <c r="G197" s="14"/>
      <c r="H197" s="14"/>
      <c r="I197" s="15"/>
    </row>
    <row r="198" spans="1:9" ht="13.15">
      <c r="A198" s="14"/>
      <c r="B198" s="14"/>
      <c r="C198" s="14"/>
      <c r="D198" s="14"/>
      <c r="E198" s="14"/>
      <c r="F198" s="15"/>
      <c r="G198" s="14"/>
      <c r="H198" s="14"/>
      <c r="I198" s="15"/>
    </row>
    <row r="199" spans="1:9" ht="13.15">
      <c r="A199" s="14"/>
      <c r="B199" s="14"/>
      <c r="C199" s="14"/>
      <c r="D199" s="14"/>
      <c r="E199" s="14"/>
      <c r="F199" s="15"/>
      <c r="G199" s="14"/>
      <c r="H199" s="14"/>
      <c r="I199" s="15"/>
    </row>
    <row r="200" spans="1:9" ht="13.15">
      <c r="A200" s="14"/>
      <c r="B200" s="14"/>
      <c r="C200" s="14"/>
      <c r="D200" s="14"/>
      <c r="E200" s="14"/>
      <c r="F200" s="15"/>
      <c r="G200" s="14"/>
      <c r="H200" s="14"/>
      <c r="I200" s="15"/>
    </row>
    <row r="201" spans="1:9" ht="13.15">
      <c r="A201" s="14"/>
      <c r="B201" s="14"/>
      <c r="C201" s="14"/>
      <c r="D201" s="14"/>
      <c r="E201" s="14"/>
      <c r="F201" s="15"/>
      <c r="G201" s="14"/>
      <c r="H201" s="14"/>
      <c r="I201" s="15"/>
    </row>
    <row r="202" spans="1:9" ht="13.15">
      <c r="A202" s="14"/>
      <c r="B202" s="14"/>
      <c r="C202" s="14"/>
      <c r="D202" s="14"/>
      <c r="E202" s="14"/>
      <c r="F202" s="15"/>
      <c r="G202" s="14"/>
      <c r="H202" s="14"/>
      <c r="I202" s="15"/>
    </row>
    <row r="203" spans="1:9" ht="13.15">
      <c r="A203" s="14"/>
      <c r="B203" s="14"/>
      <c r="C203" s="14"/>
      <c r="D203" s="14"/>
      <c r="E203" s="14"/>
      <c r="F203" s="15"/>
      <c r="G203" s="14"/>
      <c r="H203" s="14"/>
      <c r="I203" s="15"/>
    </row>
    <row r="204" spans="1:9" ht="13.15">
      <c r="A204" s="14"/>
      <c r="B204" s="14"/>
      <c r="C204" s="14"/>
      <c r="D204" s="14"/>
      <c r="E204" s="14"/>
      <c r="F204" s="15"/>
      <c r="G204" s="14"/>
      <c r="H204" s="14"/>
      <c r="I204" s="15"/>
    </row>
    <row r="205" spans="1:9" ht="13.15">
      <c r="A205" s="14"/>
      <c r="B205" s="14"/>
      <c r="C205" s="14"/>
      <c r="D205" s="14"/>
      <c r="E205" s="14"/>
      <c r="F205" s="15"/>
      <c r="G205" s="14"/>
      <c r="H205" s="14"/>
      <c r="I205" s="15"/>
    </row>
    <row r="206" spans="1:9" ht="13.15">
      <c r="A206" s="14"/>
      <c r="B206" s="14"/>
      <c r="C206" s="14"/>
      <c r="D206" s="14"/>
      <c r="E206" s="14"/>
      <c r="F206" s="15"/>
      <c r="G206" s="14"/>
      <c r="H206" s="14"/>
      <c r="I206" s="15"/>
    </row>
    <row r="207" spans="1:9" ht="13.15">
      <c r="A207" s="14"/>
      <c r="B207" s="14"/>
      <c r="C207" s="14"/>
      <c r="D207" s="14"/>
      <c r="E207" s="14"/>
      <c r="F207" s="15"/>
      <c r="G207" s="14"/>
      <c r="H207" s="14"/>
      <c r="I207" s="15"/>
    </row>
    <row r="208" spans="1:9" ht="13.15">
      <c r="A208" s="14"/>
      <c r="B208" s="14"/>
      <c r="C208" s="14"/>
      <c r="D208" s="14"/>
      <c r="E208" s="14"/>
      <c r="F208" s="15"/>
      <c r="G208" s="14"/>
      <c r="H208" s="14"/>
      <c r="I208" s="15"/>
    </row>
    <row r="209" spans="1:9" ht="13.15">
      <c r="A209" s="14"/>
      <c r="B209" s="14"/>
      <c r="C209" s="14"/>
      <c r="D209" s="14"/>
      <c r="E209" s="14"/>
      <c r="F209" s="15"/>
      <c r="G209" s="14"/>
      <c r="H209" s="14"/>
      <c r="I209" s="15"/>
    </row>
    <row r="210" spans="1:9" ht="13.15">
      <c r="A210" s="14"/>
      <c r="B210" s="14"/>
      <c r="C210" s="14"/>
      <c r="D210" s="14"/>
      <c r="E210" s="14"/>
      <c r="F210" s="15"/>
      <c r="G210" s="14"/>
      <c r="H210" s="14"/>
      <c r="I210" s="15"/>
    </row>
    <row r="211" spans="1:9" ht="13.15">
      <c r="A211" s="14"/>
      <c r="B211" s="14"/>
      <c r="C211" s="14"/>
      <c r="D211" s="14"/>
      <c r="E211" s="14"/>
      <c r="F211" s="15"/>
      <c r="G211" s="14"/>
      <c r="H211" s="14"/>
      <c r="I211" s="15"/>
    </row>
    <row r="212" spans="1:9" ht="13.15">
      <c r="A212" s="14"/>
      <c r="B212" s="14"/>
      <c r="C212" s="14"/>
      <c r="D212" s="14"/>
      <c r="E212" s="14"/>
      <c r="F212" s="15"/>
      <c r="G212" s="14"/>
      <c r="H212" s="14"/>
      <c r="I212" s="15"/>
    </row>
    <row r="213" spans="1:9" ht="13.15">
      <c r="A213" s="14"/>
      <c r="B213" s="14"/>
      <c r="C213" s="14"/>
      <c r="D213" s="14"/>
      <c r="E213" s="14"/>
      <c r="F213" s="15"/>
      <c r="G213" s="14"/>
      <c r="H213" s="14"/>
      <c r="I213" s="15"/>
    </row>
    <row r="214" spans="1:9" ht="13.15">
      <c r="A214" s="14"/>
      <c r="B214" s="14"/>
      <c r="C214" s="14"/>
      <c r="D214" s="14"/>
      <c r="E214" s="14"/>
      <c r="F214" s="15"/>
      <c r="G214" s="14"/>
      <c r="H214" s="14"/>
      <c r="I214" s="15"/>
    </row>
    <row r="215" spans="1:9" ht="13.15">
      <c r="A215" s="14"/>
      <c r="B215" s="14"/>
      <c r="C215" s="14"/>
      <c r="D215" s="14"/>
      <c r="E215" s="14"/>
      <c r="F215" s="15"/>
      <c r="G215" s="14"/>
      <c r="H215" s="14"/>
      <c r="I215" s="15"/>
    </row>
    <row r="216" spans="1:9" ht="13.15">
      <c r="A216" s="14"/>
      <c r="B216" s="14"/>
      <c r="C216" s="14"/>
      <c r="D216" s="14"/>
      <c r="E216" s="14"/>
      <c r="F216" s="15"/>
      <c r="G216" s="14"/>
      <c r="H216" s="14"/>
      <c r="I216" s="15"/>
    </row>
    <row r="217" spans="1:9" ht="13.15">
      <c r="A217" s="14"/>
      <c r="B217" s="14"/>
      <c r="C217" s="14"/>
      <c r="D217" s="14"/>
      <c r="E217" s="14"/>
      <c r="F217" s="15"/>
      <c r="G217" s="14"/>
      <c r="H217" s="14"/>
      <c r="I217" s="15"/>
    </row>
    <row r="218" spans="1:9" ht="13.15">
      <c r="A218" s="14"/>
      <c r="B218" s="14"/>
      <c r="C218" s="14"/>
      <c r="D218" s="14"/>
      <c r="E218" s="14"/>
      <c r="F218" s="15"/>
      <c r="G218" s="14"/>
      <c r="H218" s="14"/>
      <c r="I218" s="15"/>
    </row>
    <row r="219" spans="1:9" ht="13.15">
      <c r="A219" s="14"/>
      <c r="B219" s="14"/>
      <c r="C219" s="14"/>
      <c r="D219" s="14"/>
      <c r="E219" s="14"/>
      <c r="F219" s="15"/>
      <c r="G219" s="14"/>
      <c r="H219" s="14"/>
      <c r="I219" s="15"/>
    </row>
    <row r="220" spans="1:9" ht="13.15">
      <c r="A220" s="14"/>
      <c r="B220" s="14"/>
      <c r="C220" s="14"/>
      <c r="D220" s="14"/>
      <c r="E220" s="14"/>
      <c r="F220" s="15"/>
      <c r="G220" s="14"/>
      <c r="H220" s="14"/>
      <c r="I220" s="15"/>
    </row>
    <row r="221" spans="1:9" ht="13.15">
      <c r="A221" s="14"/>
      <c r="B221" s="14"/>
      <c r="C221" s="14"/>
      <c r="D221" s="14"/>
      <c r="E221" s="14"/>
      <c r="F221" s="15"/>
      <c r="G221" s="14"/>
      <c r="H221" s="14"/>
      <c r="I221" s="15"/>
    </row>
    <row r="222" spans="1:9" ht="13.15">
      <c r="A222" s="14"/>
      <c r="B222" s="14"/>
      <c r="C222" s="14"/>
      <c r="D222" s="14"/>
      <c r="E222" s="14"/>
      <c r="F222" s="15"/>
      <c r="G222" s="14"/>
      <c r="H222" s="14"/>
      <c r="I222" s="15"/>
    </row>
    <row r="223" spans="1:9" ht="13.15">
      <c r="A223" s="14"/>
      <c r="B223" s="14"/>
      <c r="C223" s="14"/>
      <c r="D223" s="14"/>
      <c r="E223" s="14"/>
      <c r="F223" s="15"/>
      <c r="G223" s="14"/>
      <c r="H223" s="14"/>
      <c r="I223" s="15"/>
    </row>
    <row r="224" spans="1:9" ht="13.15">
      <c r="A224" s="14"/>
      <c r="B224" s="14"/>
      <c r="C224" s="14"/>
      <c r="D224" s="14"/>
      <c r="E224" s="14"/>
      <c r="F224" s="15"/>
      <c r="G224" s="14"/>
      <c r="H224" s="14"/>
      <c r="I224" s="15"/>
    </row>
    <row r="225" spans="1:9" ht="13.15">
      <c r="A225" s="14"/>
      <c r="B225" s="14"/>
      <c r="C225" s="14"/>
      <c r="D225" s="14"/>
      <c r="E225" s="14"/>
      <c r="F225" s="15"/>
      <c r="G225" s="14"/>
      <c r="H225" s="14"/>
      <c r="I225" s="15"/>
    </row>
    <row r="226" spans="1:9" ht="13.15">
      <c r="A226" s="14"/>
      <c r="B226" s="14"/>
      <c r="C226" s="14"/>
      <c r="D226" s="14"/>
      <c r="E226" s="14"/>
      <c r="F226" s="15"/>
      <c r="G226" s="14"/>
      <c r="H226" s="14"/>
      <c r="I226" s="15"/>
    </row>
    <row r="227" spans="1:9" ht="13.15">
      <c r="A227" s="14"/>
      <c r="B227" s="14"/>
      <c r="C227" s="14"/>
      <c r="D227" s="14"/>
      <c r="E227" s="14"/>
      <c r="F227" s="15"/>
      <c r="G227" s="14"/>
      <c r="H227" s="14"/>
      <c r="I227" s="15"/>
    </row>
    <row r="228" spans="1:9" ht="13.15">
      <c r="A228" s="14"/>
      <c r="B228" s="14"/>
      <c r="C228" s="14"/>
      <c r="D228" s="14"/>
      <c r="E228" s="14"/>
      <c r="F228" s="15"/>
      <c r="G228" s="14"/>
      <c r="H228" s="14"/>
      <c r="I228" s="15"/>
    </row>
    <row r="229" spans="1:9" ht="13.15">
      <c r="A229" s="14"/>
      <c r="B229" s="14"/>
      <c r="C229" s="14"/>
      <c r="D229" s="14"/>
      <c r="E229" s="14"/>
      <c r="F229" s="15"/>
      <c r="G229" s="14"/>
      <c r="H229" s="14"/>
      <c r="I229" s="15"/>
    </row>
    <row r="230" spans="1:9" ht="13.15">
      <c r="A230" s="14"/>
      <c r="B230" s="14"/>
      <c r="C230" s="14"/>
      <c r="D230" s="14"/>
      <c r="E230" s="14"/>
      <c r="F230" s="15"/>
      <c r="G230" s="14"/>
      <c r="H230" s="14"/>
      <c r="I230" s="15"/>
    </row>
    <row r="231" spans="1:9" ht="13.15">
      <c r="A231" s="14"/>
      <c r="B231" s="14"/>
      <c r="C231" s="14"/>
      <c r="D231" s="14"/>
      <c r="E231" s="14"/>
      <c r="F231" s="15"/>
      <c r="G231" s="14"/>
      <c r="H231" s="14"/>
      <c r="I231" s="15"/>
    </row>
    <row r="232" spans="1:9" ht="13.15">
      <c r="A232" s="14"/>
      <c r="B232" s="14"/>
      <c r="C232" s="14"/>
      <c r="D232" s="14"/>
      <c r="E232" s="14"/>
      <c r="F232" s="15"/>
      <c r="G232" s="14"/>
      <c r="H232" s="14"/>
      <c r="I232" s="15"/>
    </row>
    <row r="233" spans="1:9" ht="13.15">
      <c r="A233" s="14"/>
      <c r="B233" s="14"/>
      <c r="C233" s="14"/>
      <c r="D233" s="14"/>
      <c r="E233" s="14"/>
      <c r="F233" s="15"/>
      <c r="G233" s="14"/>
      <c r="H233" s="14"/>
      <c r="I233" s="15"/>
    </row>
    <row r="234" spans="1:9" ht="13.15">
      <c r="A234" s="14"/>
      <c r="B234" s="14"/>
      <c r="C234" s="14"/>
      <c r="D234" s="14"/>
      <c r="E234" s="14"/>
      <c r="F234" s="15"/>
      <c r="G234" s="14"/>
      <c r="H234" s="14"/>
      <c r="I234" s="15"/>
    </row>
    <row r="235" spans="1:9" ht="13.15">
      <c r="A235" s="14"/>
      <c r="B235" s="14"/>
      <c r="C235" s="14"/>
      <c r="D235" s="14"/>
      <c r="E235" s="14"/>
      <c r="F235" s="15"/>
      <c r="G235" s="14"/>
      <c r="H235" s="14"/>
      <c r="I235" s="15"/>
    </row>
    <row r="236" spans="1:9" ht="13.15">
      <c r="A236" s="14"/>
      <c r="B236" s="14"/>
      <c r="C236" s="14"/>
      <c r="D236" s="14"/>
      <c r="E236" s="14"/>
      <c r="F236" s="15"/>
      <c r="G236" s="14"/>
      <c r="H236" s="14"/>
      <c r="I236" s="15"/>
    </row>
    <row r="237" spans="1:9" ht="13.15">
      <c r="A237" s="14"/>
      <c r="B237" s="14"/>
      <c r="C237" s="14"/>
      <c r="D237" s="14"/>
      <c r="E237" s="14"/>
      <c r="F237" s="15"/>
      <c r="G237" s="14"/>
      <c r="H237" s="14"/>
      <c r="I237" s="15"/>
    </row>
    <row r="238" spans="1:9" ht="13.15">
      <c r="A238" s="14"/>
      <c r="B238" s="14"/>
      <c r="C238" s="14"/>
      <c r="D238" s="14"/>
      <c r="E238" s="14"/>
      <c r="F238" s="15"/>
      <c r="G238" s="14"/>
      <c r="H238" s="14"/>
      <c r="I238" s="15"/>
    </row>
    <row r="239" spans="1:9" ht="13.15">
      <c r="A239" s="14"/>
      <c r="B239" s="14"/>
      <c r="C239" s="14"/>
      <c r="D239" s="14"/>
      <c r="E239" s="14"/>
      <c r="F239" s="15"/>
      <c r="G239" s="14"/>
      <c r="H239" s="14"/>
      <c r="I239" s="15"/>
    </row>
    <row r="240" spans="1:9" ht="13.15">
      <c r="A240" s="14"/>
      <c r="B240" s="14"/>
      <c r="C240" s="14"/>
      <c r="D240" s="14"/>
      <c r="E240" s="14"/>
      <c r="F240" s="15"/>
      <c r="G240" s="14"/>
      <c r="H240" s="14"/>
      <c r="I240" s="15"/>
    </row>
    <row r="241" spans="1:9" ht="13.15">
      <c r="A241" s="14"/>
      <c r="B241" s="14"/>
      <c r="C241" s="14"/>
      <c r="D241" s="14"/>
      <c r="E241" s="14"/>
      <c r="F241" s="15"/>
      <c r="G241" s="14"/>
      <c r="H241" s="14"/>
      <c r="I241" s="15"/>
    </row>
    <row r="242" spans="1:9" ht="13.15">
      <c r="A242" s="14"/>
      <c r="B242" s="14"/>
      <c r="C242" s="14"/>
      <c r="D242" s="14"/>
      <c r="E242" s="14"/>
      <c r="F242" s="15"/>
      <c r="G242" s="14"/>
      <c r="H242" s="14"/>
      <c r="I242" s="15"/>
    </row>
    <row r="243" spans="1:9" ht="13.15">
      <c r="A243" s="14"/>
      <c r="B243" s="14"/>
      <c r="C243" s="14"/>
      <c r="D243" s="14"/>
      <c r="E243" s="14"/>
      <c r="F243" s="15"/>
      <c r="G243" s="14"/>
      <c r="H243" s="14"/>
      <c r="I243" s="15"/>
    </row>
    <row r="244" spans="1:9" ht="13.15">
      <c r="A244" s="14"/>
      <c r="B244" s="14"/>
      <c r="C244" s="14"/>
      <c r="D244" s="14"/>
      <c r="E244" s="14"/>
      <c r="F244" s="15"/>
      <c r="G244" s="14"/>
      <c r="H244" s="14"/>
      <c r="I244" s="15"/>
    </row>
    <row r="245" spans="1:9" ht="13.15">
      <c r="A245" s="14"/>
      <c r="B245" s="14"/>
      <c r="C245" s="14"/>
      <c r="D245" s="14"/>
      <c r="E245" s="14"/>
      <c r="F245" s="15"/>
      <c r="G245" s="14"/>
      <c r="H245" s="14"/>
      <c r="I245" s="15"/>
    </row>
    <row r="246" spans="1:9" ht="13.15">
      <c r="A246" s="14"/>
      <c r="B246" s="14"/>
      <c r="C246" s="14"/>
      <c r="D246" s="14"/>
      <c r="E246" s="14"/>
      <c r="F246" s="15"/>
      <c r="G246" s="14"/>
      <c r="H246" s="14"/>
      <c r="I246" s="15"/>
    </row>
    <row r="247" spans="1:9" ht="13.15">
      <c r="A247" s="14"/>
      <c r="B247" s="14"/>
      <c r="C247" s="14"/>
      <c r="D247" s="14"/>
      <c r="E247" s="14"/>
      <c r="F247" s="15"/>
      <c r="G247" s="14"/>
      <c r="H247" s="14"/>
      <c r="I247" s="15"/>
    </row>
    <row r="248" spans="1:9" ht="13.15">
      <c r="A248" s="14"/>
      <c r="B248" s="14"/>
      <c r="C248" s="14"/>
      <c r="D248" s="14"/>
      <c r="E248" s="14"/>
      <c r="F248" s="15"/>
      <c r="G248" s="14"/>
      <c r="H248" s="14"/>
      <c r="I248" s="15"/>
    </row>
    <row r="249" spans="1:9" ht="13.15">
      <c r="A249" s="14"/>
      <c r="B249" s="14"/>
      <c r="C249" s="14"/>
      <c r="D249" s="14"/>
      <c r="E249" s="14"/>
      <c r="F249" s="15"/>
      <c r="G249" s="14"/>
      <c r="H249" s="14"/>
      <c r="I249" s="15"/>
    </row>
    <row r="250" spans="1:9" ht="13.15">
      <c r="A250" s="14"/>
      <c r="B250" s="14"/>
      <c r="C250" s="14"/>
      <c r="D250" s="14"/>
      <c r="E250" s="14"/>
      <c r="F250" s="15"/>
      <c r="G250" s="14"/>
      <c r="H250" s="14"/>
      <c r="I250" s="15"/>
    </row>
    <row r="251" spans="1:9" ht="13.15">
      <c r="A251" s="14"/>
      <c r="B251" s="14"/>
      <c r="C251" s="14"/>
      <c r="D251" s="14"/>
      <c r="E251" s="14"/>
      <c r="F251" s="15"/>
      <c r="G251" s="14"/>
      <c r="H251" s="14"/>
      <c r="I251" s="15"/>
    </row>
    <row r="252" spans="1:9" ht="13.15">
      <c r="A252" s="14"/>
      <c r="B252" s="14"/>
      <c r="C252" s="14"/>
      <c r="D252" s="14"/>
      <c r="E252" s="14"/>
      <c r="F252" s="15"/>
      <c r="G252" s="14"/>
      <c r="H252" s="14"/>
      <c r="I252" s="15"/>
    </row>
    <row r="253" spans="1:9" ht="13.15">
      <c r="A253" s="14"/>
      <c r="B253" s="14"/>
      <c r="C253" s="14"/>
      <c r="D253" s="14"/>
      <c r="E253" s="14"/>
      <c r="F253" s="15"/>
      <c r="G253" s="14"/>
      <c r="H253" s="14"/>
      <c r="I253" s="15"/>
    </row>
    <row r="254" spans="1:9" ht="13.15">
      <c r="A254" s="14"/>
      <c r="B254" s="14"/>
      <c r="C254" s="14"/>
      <c r="D254" s="14"/>
      <c r="E254" s="14"/>
      <c r="F254" s="15"/>
      <c r="G254" s="14"/>
      <c r="H254" s="14"/>
      <c r="I254" s="15"/>
    </row>
    <row r="255" spans="1:9" ht="13.15">
      <c r="A255" s="14"/>
      <c r="B255" s="14"/>
      <c r="C255" s="14"/>
      <c r="D255" s="14"/>
      <c r="E255" s="14"/>
      <c r="F255" s="15"/>
      <c r="G255" s="14"/>
      <c r="H255" s="14"/>
      <c r="I255" s="15"/>
    </row>
    <row r="256" spans="1:9" ht="13.15">
      <c r="A256" s="14"/>
      <c r="B256" s="14"/>
      <c r="C256" s="14"/>
      <c r="D256" s="14"/>
      <c r="E256" s="14"/>
      <c r="F256" s="15"/>
      <c r="G256" s="14"/>
      <c r="H256" s="14"/>
      <c r="I256" s="15"/>
    </row>
    <row r="257" spans="1:9" ht="13.15">
      <c r="A257" s="14"/>
      <c r="B257" s="14"/>
      <c r="C257" s="14"/>
      <c r="D257" s="14"/>
      <c r="E257" s="14"/>
      <c r="F257" s="15"/>
      <c r="G257" s="14"/>
      <c r="H257" s="14"/>
      <c r="I257" s="15"/>
    </row>
    <row r="258" spans="1:9" ht="13.15">
      <c r="A258" s="14"/>
      <c r="B258" s="14"/>
      <c r="C258" s="14"/>
      <c r="D258" s="14"/>
      <c r="E258" s="14"/>
      <c r="F258" s="15"/>
      <c r="G258" s="14"/>
      <c r="H258" s="14"/>
      <c r="I258" s="15"/>
    </row>
    <row r="259" spans="1:9" ht="13.15">
      <c r="A259" s="14"/>
      <c r="B259" s="14"/>
      <c r="C259" s="14"/>
      <c r="D259" s="14"/>
      <c r="E259" s="14"/>
      <c r="F259" s="15"/>
      <c r="G259" s="14"/>
      <c r="H259" s="14"/>
      <c r="I259" s="15"/>
    </row>
    <row r="260" spans="1:9" ht="13.15">
      <c r="A260" s="14"/>
      <c r="B260" s="14"/>
      <c r="C260" s="14"/>
      <c r="D260" s="14"/>
      <c r="E260" s="14"/>
      <c r="F260" s="15"/>
      <c r="G260" s="14"/>
      <c r="H260" s="14"/>
      <c r="I260" s="15"/>
    </row>
    <row r="261" spans="1:9" ht="13.15">
      <c r="A261" s="14"/>
      <c r="B261" s="14"/>
      <c r="C261" s="14"/>
      <c r="D261" s="14"/>
      <c r="E261" s="14"/>
      <c r="F261" s="15"/>
      <c r="G261" s="14"/>
      <c r="H261" s="14"/>
      <c r="I261" s="15"/>
    </row>
    <row r="262" spans="1:9" ht="13.15">
      <c r="A262" s="14"/>
      <c r="B262" s="14"/>
      <c r="C262" s="14"/>
      <c r="D262" s="14"/>
      <c r="E262" s="14"/>
      <c r="F262" s="15"/>
      <c r="G262" s="14"/>
      <c r="H262" s="14"/>
      <c r="I262" s="15"/>
    </row>
    <row r="263" spans="1:9" ht="13.15">
      <c r="A263" s="14"/>
      <c r="B263" s="14"/>
      <c r="C263" s="14"/>
      <c r="D263" s="14"/>
      <c r="E263" s="14"/>
      <c r="F263" s="15"/>
      <c r="G263" s="14"/>
      <c r="H263" s="14"/>
      <c r="I263" s="15"/>
    </row>
    <row r="264" spans="1:9" ht="13.15">
      <c r="A264" s="14"/>
      <c r="B264" s="14"/>
      <c r="C264" s="14"/>
      <c r="D264" s="14"/>
      <c r="E264" s="14"/>
      <c r="F264" s="15"/>
      <c r="G264" s="14"/>
      <c r="H264" s="14"/>
      <c r="I264" s="15"/>
    </row>
    <row r="265" spans="1:9" ht="13.15">
      <c r="A265" s="14"/>
      <c r="B265" s="14"/>
      <c r="C265" s="14"/>
      <c r="D265" s="14"/>
      <c r="E265" s="14"/>
      <c r="F265" s="15"/>
      <c r="G265" s="14"/>
      <c r="H265" s="14"/>
      <c r="I265" s="15"/>
    </row>
    <row r="266" spans="1:9" ht="13.15">
      <c r="A266" s="14"/>
      <c r="B266" s="14"/>
      <c r="C266" s="14"/>
      <c r="D266" s="14"/>
      <c r="E266" s="14"/>
      <c r="F266" s="15"/>
      <c r="G266" s="14"/>
      <c r="H266" s="14"/>
      <c r="I266" s="15"/>
    </row>
    <row r="267" spans="1:9" ht="13.15">
      <c r="A267" s="14"/>
      <c r="B267" s="14"/>
      <c r="C267" s="14"/>
      <c r="D267" s="14"/>
      <c r="E267" s="14"/>
      <c r="F267" s="15"/>
      <c r="G267" s="14"/>
      <c r="H267" s="14"/>
      <c r="I267" s="15"/>
    </row>
    <row r="268" spans="1:9" ht="13.15">
      <c r="A268" s="14"/>
      <c r="B268" s="14"/>
      <c r="C268" s="14"/>
      <c r="D268" s="14"/>
      <c r="E268" s="14"/>
      <c r="F268" s="15"/>
      <c r="G268" s="14"/>
      <c r="H268" s="14"/>
      <c r="I268" s="15"/>
    </row>
    <row r="269" spans="1:9" ht="13.15">
      <c r="A269" s="14"/>
      <c r="B269" s="14"/>
      <c r="C269" s="14"/>
      <c r="D269" s="14"/>
      <c r="E269" s="14"/>
      <c r="F269" s="15"/>
      <c r="G269" s="14"/>
      <c r="H269" s="14"/>
      <c r="I269" s="15"/>
    </row>
    <row r="270" spans="1:9" ht="13.15">
      <c r="A270" s="14"/>
      <c r="B270" s="14"/>
      <c r="C270" s="14"/>
      <c r="D270" s="14"/>
      <c r="E270" s="14"/>
      <c r="F270" s="15"/>
      <c r="G270" s="14"/>
      <c r="H270" s="14"/>
      <c r="I270" s="15"/>
    </row>
    <row r="271" spans="1:9" ht="13.15">
      <c r="A271" s="14"/>
      <c r="B271" s="14"/>
      <c r="C271" s="14"/>
      <c r="D271" s="14"/>
      <c r="E271" s="14"/>
      <c r="F271" s="15"/>
      <c r="G271" s="14"/>
      <c r="H271" s="14"/>
      <c r="I271" s="15"/>
    </row>
    <row r="272" spans="1:9" ht="13.15">
      <c r="A272" s="14"/>
      <c r="B272" s="14"/>
      <c r="C272" s="14"/>
      <c r="D272" s="14"/>
      <c r="E272" s="14"/>
      <c r="F272" s="15"/>
      <c r="G272" s="14"/>
      <c r="H272" s="14"/>
      <c r="I272" s="15"/>
    </row>
    <row r="273" spans="1:9" ht="13.15">
      <c r="A273" s="14"/>
      <c r="B273" s="14"/>
      <c r="C273" s="14"/>
      <c r="D273" s="14"/>
      <c r="E273" s="14"/>
      <c r="F273" s="15"/>
      <c r="G273" s="14"/>
      <c r="H273" s="14"/>
      <c r="I273" s="15"/>
    </row>
    <row r="274" spans="1:9" ht="13.15">
      <c r="A274" s="14"/>
      <c r="B274" s="14"/>
      <c r="C274" s="14"/>
      <c r="D274" s="14"/>
      <c r="E274" s="14"/>
      <c r="F274" s="15"/>
      <c r="G274" s="14"/>
      <c r="H274" s="14"/>
      <c r="I274" s="15"/>
    </row>
    <row r="275" spans="1:9" ht="13.15">
      <c r="A275" s="14"/>
      <c r="B275" s="14"/>
      <c r="C275" s="14"/>
      <c r="D275" s="14"/>
      <c r="E275" s="14"/>
      <c r="F275" s="15"/>
      <c r="G275" s="14"/>
      <c r="H275" s="14"/>
      <c r="I275" s="15"/>
    </row>
    <row r="276" spans="1:9" ht="13.15">
      <c r="A276" s="14"/>
      <c r="B276" s="14"/>
      <c r="C276" s="14"/>
      <c r="D276" s="14"/>
      <c r="E276" s="14"/>
      <c r="F276" s="15"/>
      <c r="G276" s="14"/>
      <c r="H276" s="14"/>
      <c r="I276" s="15"/>
    </row>
    <row r="277" spans="1:9" ht="13.15">
      <c r="A277" s="14"/>
      <c r="B277" s="14"/>
      <c r="C277" s="14"/>
      <c r="D277" s="14"/>
      <c r="E277" s="14"/>
      <c r="F277" s="15"/>
      <c r="G277" s="14"/>
      <c r="H277" s="14"/>
      <c r="I277" s="15"/>
    </row>
    <row r="278" spans="1:9" ht="13.15">
      <c r="A278" s="14"/>
      <c r="B278" s="14"/>
      <c r="C278" s="14"/>
      <c r="D278" s="14"/>
      <c r="E278" s="14"/>
      <c r="F278" s="15"/>
      <c r="G278" s="14"/>
      <c r="H278" s="14"/>
      <c r="I278" s="15"/>
    </row>
    <row r="279" spans="1:9" ht="13.15">
      <c r="A279" s="14"/>
      <c r="B279" s="14"/>
      <c r="C279" s="14"/>
      <c r="D279" s="14"/>
      <c r="E279" s="14"/>
      <c r="F279" s="15"/>
      <c r="G279" s="14"/>
      <c r="H279" s="14"/>
      <c r="I279" s="15"/>
    </row>
    <row r="280" spans="1:9" ht="13.15">
      <c r="A280" s="14"/>
      <c r="B280" s="14"/>
      <c r="C280" s="14"/>
      <c r="D280" s="14"/>
      <c r="E280" s="14"/>
      <c r="F280" s="15"/>
      <c r="G280" s="14"/>
      <c r="H280" s="14"/>
      <c r="I280" s="15"/>
    </row>
    <row r="281" spans="1:9" ht="13.15">
      <c r="A281" s="14"/>
      <c r="B281" s="14"/>
      <c r="C281" s="14"/>
      <c r="D281" s="14"/>
      <c r="E281" s="14"/>
      <c r="F281" s="15"/>
      <c r="G281" s="14"/>
      <c r="H281" s="14"/>
      <c r="I281" s="15"/>
    </row>
    <row r="282" spans="1:9" ht="13.15">
      <c r="A282" s="14"/>
      <c r="B282" s="14"/>
      <c r="C282" s="14"/>
      <c r="D282" s="14"/>
      <c r="E282" s="14"/>
      <c r="F282" s="15"/>
      <c r="G282" s="14"/>
      <c r="H282" s="14"/>
      <c r="I282" s="15"/>
    </row>
    <row r="283" spans="1:9" ht="13.15">
      <c r="A283" s="14"/>
      <c r="B283" s="14"/>
      <c r="C283" s="14"/>
      <c r="D283" s="14"/>
      <c r="E283" s="14"/>
      <c r="F283" s="15"/>
      <c r="G283" s="14"/>
      <c r="H283" s="14"/>
      <c r="I283" s="15"/>
    </row>
    <row r="284" spans="1:9" ht="13.15">
      <c r="A284" s="14"/>
      <c r="B284" s="14"/>
      <c r="C284" s="14"/>
      <c r="D284" s="14"/>
      <c r="E284" s="14"/>
      <c r="F284" s="15"/>
      <c r="G284" s="14"/>
      <c r="H284" s="14"/>
      <c r="I284" s="15"/>
    </row>
    <row r="285" spans="1:9" ht="13.15">
      <c r="A285" s="14"/>
      <c r="B285" s="14"/>
      <c r="C285" s="14"/>
      <c r="D285" s="14"/>
      <c r="E285" s="14"/>
      <c r="F285" s="15"/>
      <c r="G285" s="14"/>
      <c r="H285" s="14"/>
      <c r="I285" s="15"/>
    </row>
    <row r="286" spans="1:9" ht="13.15">
      <c r="A286" s="14"/>
      <c r="B286" s="14"/>
      <c r="C286" s="14"/>
      <c r="D286" s="14"/>
      <c r="E286" s="14"/>
      <c r="F286" s="15"/>
      <c r="G286" s="14"/>
      <c r="H286" s="14"/>
      <c r="I286" s="15"/>
    </row>
    <row r="287" spans="1:9" ht="13.15">
      <c r="A287" s="14"/>
      <c r="B287" s="14"/>
      <c r="C287" s="14"/>
      <c r="D287" s="14"/>
      <c r="E287" s="14"/>
      <c r="F287" s="15"/>
      <c r="G287" s="14"/>
      <c r="H287" s="14"/>
      <c r="I287" s="15"/>
    </row>
    <row r="288" spans="1:9" ht="13.15">
      <c r="A288" s="14"/>
      <c r="B288" s="14"/>
      <c r="C288" s="14"/>
      <c r="D288" s="14"/>
      <c r="E288" s="14"/>
      <c r="F288" s="15"/>
      <c r="G288" s="14"/>
      <c r="H288" s="14"/>
      <c r="I288" s="15"/>
    </row>
    <row r="289" spans="1:9" ht="13.15">
      <c r="A289" s="14"/>
      <c r="B289" s="14"/>
      <c r="C289" s="14"/>
      <c r="D289" s="14"/>
      <c r="E289" s="14"/>
      <c r="F289" s="15"/>
      <c r="G289" s="14"/>
      <c r="H289" s="14"/>
      <c r="I289" s="15"/>
    </row>
    <row r="290" spans="1:9" ht="13.15">
      <c r="A290" s="14"/>
      <c r="B290" s="14"/>
      <c r="C290" s="14"/>
      <c r="D290" s="14"/>
      <c r="E290" s="14"/>
      <c r="F290" s="15"/>
      <c r="G290" s="14"/>
      <c r="H290" s="14"/>
      <c r="I290" s="15"/>
    </row>
    <row r="291" spans="1:9" ht="13.15">
      <c r="A291" s="14"/>
      <c r="B291" s="14"/>
      <c r="C291" s="14"/>
      <c r="D291" s="14"/>
      <c r="E291" s="14"/>
      <c r="F291" s="15"/>
      <c r="G291" s="14"/>
      <c r="H291" s="14"/>
      <c r="I291" s="15"/>
    </row>
    <row r="292" spans="1:9" ht="13.15">
      <c r="A292" s="14"/>
      <c r="B292" s="14"/>
      <c r="C292" s="14"/>
      <c r="D292" s="14"/>
      <c r="E292" s="14"/>
      <c r="F292" s="15"/>
      <c r="G292" s="14"/>
      <c r="H292" s="14"/>
      <c r="I292" s="15"/>
    </row>
    <row r="293" spans="1:9" ht="13.15">
      <c r="A293" s="14"/>
      <c r="B293" s="14"/>
      <c r="C293" s="14"/>
      <c r="D293" s="14"/>
      <c r="E293" s="14"/>
      <c r="F293" s="15"/>
      <c r="G293" s="14"/>
      <c r="H293" s="14"/>
      <c r="I293" s="15"/>
    </row>
    <row r="294" spans="1:9" ht="13.15">
      <c r="A294" s="14"/>
      <c r="B294" s="14"/>
      <c r="C294" s="14"/>
      <c r="D294" s="14"/>
      <c r="E294" s="14"/>
      <c r="F294" s="15"/>
      <c r="G294" s="14"/>
      <c r="H294" s="14"/>
      <c r="I294" s="15"/>
    </row>
    <row r="295" spans="1:9" ht="13.15">
      <c r="A295" s="14"/>
      <c r="B295" s="14"/>
      <c r="C295" s="14"/>
      <c r="D295" s="14"/>
      <c r="E295" s="14"/>
      <c r="F295" s="15"/>
      <c r="G295" s="14"/>
      <c r="H295" s="14"/>
      <c r="I295" s="15"/>
    </row>
    <row r="296" spans="1:9" ht="13.15">
      <c r="A296" s="14"/>
      <c r="B296" s="14"/>
      <c r="C296" s="14"/>
      <c r="D296" s="14"/>
      <c r="E296" s="14"/>
      <c r="F296" s="15"/>
      <c r="G296" s="14"/>
      <c r="H296" s="14"/>
      <c r="I296" s="15"/>
    </row>
    <row r="297" spans="1:9" ht="13.15">
      <c r="A297" s="14"/>
      <c r="B297" s="14"/>
      <c r="C297" s="14"/>
      <c r="D297" s="14"/>
      <c r="E297" s="14"/>
      <c r="F297" s="15"/>
      <c r="G297" s="14"/>
      <c r="H297" s="14"/>
      <c r="I297" s="15"/>
    </row>
    <row r="298" spans="1:9" ht="13.15">
      <c r="A298" s="14"/>
      <c r="B298" s="14"/>
      <c r="C298" s="14"/>
      <c r="D298" s="14"/>
      <c r="E298" s="14"/>
      <c r="F298" s="15"/>
      <c r="G298" s="14"/>
      <c r="H298" s="14"/>
      <c r="I298" s="15"/>
    </row>
    <row r="299" spans="1:9" ht="13.15">
      <c r="A299" s="14"/>
      <c r="B299" s="14"/>
      <c r="C299" s="14"/>
      <c r="D299" s="14"/>
      <c r="E299" s="14"/>
      <c r="F299" s="15"/>
      <c r="G299" s="14"/>
      <c r="H299" s="14"/>
      <c r="I299" s="15"/>
    </row>
    <row r="300" spans="1:9" ht="13.15">
      <c r="A300" s="14"/>
      <c r="B300" s="14"/>
      <c r="C300" s="14"/>
      <c r="D300" s="14"/>
      <c r="E300" s="14"/>
      <c r="F300" s="15"/>
      <c r="G300" s="14"/>
      <c r="H300" s="14"/>
      <c r="I300" s="15"/>
    </row>
    <row r="301" spans="1:9" ht="13.15">
      <c r="A301" s="14"/>
      <c r="B301" s="14"/>
      <c r="C301" s="14"/>
      <c r="D301" s="14"/>
      <c r="E301" s="14"/>
      <c r="F301" s="15"/>
      <c r="G301" s="14"/>
      <c r="H301" s="14"/>
      <c r="I301" s="15"/>
    </row>
    <row r="302" spans="1:9" ht="13.15">
      <c r="A302" s="14"/>
      <c r="B302" s="14"/>
      <c r="C302" s="14"/>
      <c r="D302" s="14"/>
      <c r="E302" s="14"/>
      <c r="F302" s="15"/>
      <c r="G302" s="14"/>
      <c r="H302" s="14"/>
      <c r="I302" s="15"/>
    </row>
    <row r="303" spans="1:9" ht="13.15">
      <c r="A303" s="14"/>
      <c r="B303" s="14"/>
      <c r="C303" s="14"/>
      <c r="D303" s="14"/>
      <c r="E303" s="14"/>
      <c r="F303" s="15"/>
      <c r="G303" s="14"/>
      <c r="H303" s="14"/>
      <c r="I303" s="15"/>
    </row>
    <row r="304" spans="1:9" ht="13.15">
      <c r="A304" s="14"/>
      <c r="B304" s="14"/>
      <c r="C304" s="14"/>
      <c r="D304" s="14"/>
      <c r="E304" s="14"/>
      <c r="F304" s="15"/>
      <c r="G304" s="14"/>
      <c r="H304" s="14"/>
      <c r="I304" s="15"/>
    </row>
    <row r="305" spans="1:9" ht="13.15">
      <c r="A305" s="14"/>
      <c r="B305" s="14"/>
      <c r="C305" s="14"/>
      <c r="D305" s="14"/>
      <c r="E305" s="14"/>
      <c r="F305" s="15"/>
      <c r="G305" s="14"/>
      <c r="H305" s="14"/>
      <c r="I305" s="15"/>
    </row>
    <row r="306" spans="1:9" ht="13.15">
      <c r="A306" s="14"/>
      <c r="B306" s="14"/>
      <c r="C306" s="14"/>
      <c r="D306" s="14"/>
      <c r="E306" s="14"/>
      <c r="F306" s="15"/>
      <c r="G306" s="14"/>
      <c r="H306" s="14"/>
      <c r="I306" s="15"/>
    </row>
    <row r="307" spans="1:9" ht="13.15">
      <c r="A307" s="14"/>
      <c r="B307" s="14"/>
      <c r="C307" s="14"/>
      <c r="D307" s="14"/>
      <c r="E307" s="14"/>
      <c r="F307" s="15"/>
      <c r="G307" s="14"/>
      <c r="H307" s="14"/>
      <c r="I307" s="15"/>
    </row>
    <row r="308" spans="1:9" ht="13.15">
      <c r="A308" s="14"/>
      <c r="B308" s="14"/>
      <c r="C308" s="14"/>
      <c r="D308" s="14"/>
      <c r="E308" s="14"/>
      <c r="F308" s="15"/>
      <c r="G308" s="14"/>
      <c r="H308" s="14"/>
      <c r="I308" s="15"/>
    </row>
    <row r="309" spans="1:9" ht="13.15">
      <c r="A309" s="14"/>
      <c r="B309" s="14"/>
      <c r="C309" s="14"/>
      <c r="D309" s="14"/>
      <c r="E309" s="14"/>
      <c r="F309" s="15"/>
      <c r="G309" s="14"/>
      <c r="H309" s="14"/>
      <c r="I309" s="15"/>
    </row>
    <row r="310" spans="1:9" ht="13.15">
      <c r="A310" s="14"/>
      <c r="B310" s="14"/>
      <c r="C310" s="14"/>
      <c r="D310" s="14"/>
      <c r="E310" s="14"/>
      <c r="F310" s="15"/>
      <c r="G310" s="14"/>
      <c r="H310" s="14"/>
      <c r="I310" s="15"/>
    </row>
    <row r="311" spans="1:9" ht="13.15">
      <c r="A311" s="14"/>
      <c r="B311" s="14"/>
      <c r="C311" s="14"/>
      <c r="D311" s="14"/>
      <c r="E311" s="14"/>
      <c r="F311" s="15"/>
      <c r="G311" s="14"/>
      <c r="H311" s="14"/>
      <c r="I311" s="15"/>
    </row>
    <row r="312" spans="1:9" ht="13.15">
      <c r="A312" s="14"/>
      <c r="B312" s="14"/>
      <c r="C312" s="14"/>
      <c r="D312" s="14"/>
      <c r="E312" s="14"/>
      <c r="F312" s="15"/>
      <c r="G312" s="14"/>
      <c r="H312" s="14"/>
      <c r="I312" s="15"/>
    </row>
    <row r="313" spans="1:9" ht="13.15">
      <c r="A313" s="14"/>
      <c r="B313" s="14"/>
      <c r="C313" s="14"/>
      <c r="D313" s="14"/>
      <c r="E313" s="14"/>
      <c r="F313" s="15"/>
      <c r="G313" s="14"/>
      <c r="H313" s="14"/>
      <c r="I313" s="15"/>
    </row>
    <row r="314" spans="1:9" ht="13.15">
      <c r="A314" s="14"/>
      <c r="B314" s="14"/>
      <c r="C314" s="14"/>
      <c r="D314" s="14"/>
      <c r="E314" s="14"/>
      <c r="F314" s="15"/>
      <c r="G314" s="14"/>
      <c r="H314" s="14"/>
      <c r="I314" s="15"/>
    </row>
    <row r="315" spans="1:9" ht="13.15">
      <c r="A315" s="14"/>
      <c r="B315" s="14"/>
      <c r="C315" s="14"/>
      <c r="D315" s="14"/>
      <c r="E315" s="14"/>
      <c r="F315" s="15"/>
      <c r="G315" s="14"/>
      <c r="H315" s="14"/>
      <c r="I315" s="15"/>
    </row>
    <row r="316" spans="1:9" ht="13.15">
      <c r="A316" s="14"/>
      <c r="B316" s="14"/>
      <c r="C316" s="14"/>
      <c r="D316" s="14"/>
      <c r="E316" s="14"/>
      <c r="F316" s="15"/>
      <c r="G316" s="14"/>
      <c r="H316" s="14"/>
      <c r="I316" s="15"/>
    </row>
    <row r="317" spans="1:9" ht="13.15">
      <c r="A317" s="14"/>
      <c r="B317" s="14"/>
      <c r="C317" s="14"/>
      <c r="D317" s="14"/>
      <c r="E317" s="14"/>
      <c r="F317" s="15"/>
      <c r="G317" s="14"/>
      <c r="H317" s="14"/>
      <c r="I317" s="15"/>
    </row>
    <row r="318" spans="1:9" ht="13.15">
      <c r="A318" s="14"/>
      <c r="B318" s="14"/>
      <c r="C318" s="14"/>
      <c r="D318" s="14"/>
      <c r="E318" s="14"/>
      <c r="F318" s="15"/>
      <c r="G318" s="14"/>
      <c r="H318" s="14"/>
      <c r="I318" s="15"/>
    </row>
    <row r="319" spans="1:9" ht="13.15">
      <c r="A319" s="14"/>
      <c r="B319" s="14"/>
      <c r="C319" s="14"/>
      <c r="D319" s="14"/>
      <c r="E319" s="14"/>
      <c r="F319" s="15"/>
      <c r="G319" s="14"/>
      <c r="H319" s="14"/>
      <c r="I319" s="15"/>
    </row>
    <row r="320" spans="1:9" ht="13.15">
      <c r="A320" s="14"/>
      <c r="B320" s="14"/>
      <c r="C320" s="14"/>
      <c r="D320" s="14"/>
      <c r="E320" s="14"/>
      <c r="F320" s="15"/>
      <c r="G320" s="14"/>
      <c r="H320" s="14"/>
      <c r="I320" s="15"/>
    </row>
    <row r="321" spans="1:9" ht="13.15">
      <c r="A321" s="14"/>
      <c r="B321" s="14"/>
      <c r="C321" s="14"/>
      <c r="D321" s="14"/>
      <c r="E321" s="14"/>
      <c r="F321" s="15"/>
      <c r="G321" s="14"/>
      <c r="H321" s="14"/>
      <c r="I321" s="15"/>
    </row>
    <row r="322" spans="1:9" ht="13.15">
      <c r="A322" s="14"/>
      <c r="B322" s="14"/>
      <c r="C322" s="14"/>
      <c r="D322" s="14"/>
      <c r="E322" s="14"/>
      <c r="F322" s="15"/>
      <c r="G322" s="14"/>
      <c r="H322" s="14"/>
      <c r="I322" s="15"/>
    </row>
    <row r="323" spans="1:9" ht="13.15">
      <c r="A323" s="14"/>
      <c r="B323" s="14"/>
      <c r="C323" s="14"/>
      <c r="D323" s="14"/>
      <c r="E323" s="14"/>
      <c r="F323" s="15"/>
      <c r="G323" s="14"/>
      <c r="H323" s="14"/>
      <c r="I323" s="15"/>
    </row>
    <row r="324" spans="1:9" ht="13.15">
      <c r="A324" s="14"/>
      <c r="B324" s="14"/>
      <c r="C324" s="14"/>
      <c r="D324" s="14"/>
      <c r="E324" s="14"/>
      <c r="F324" s="15"/>
      <c r="G324" s="14"/>
      <c r="H324" s="14"/>
      <c r="I324" s="15"/>
    </row>
    <row r="325" spans="1:9" ht="13.15">
      <c r="A325" s="14"/>
      <c r="B325" s="14"/>
      <c r="C325" s="14"/>
      <c r="D325" s="14"/>
      <c r="E325" s="14"/>
      <c r="F325" s="15"/>
      <c r="G325" s="14"/>
      <c r="H325" s="14"/>
      <c r="I325" s="15"/>
    </row>
    <row r="326" spans="1:9" ht="13.15">
      <c r="A326" s="14"/>
      <c r="B326" s="14"/>
      <c r="C326" s="14"/>
      <c r="D326" s="14"/>
      <c r="E326" s="14"/>
      <c r="F326" s="15"/>
      <c r="G326" s="14"/>
      <c r="H326" s="14"/>
      <c r="I326" s="15"/>
    </row>
    <row r="327" spans="1:9" ht="13.15">
      <c r="A327" s="14"/>
      <c r="B327" s="14"/>
      <c r="C327" s="14"/>
      <c r="D327" s="14"/>
      <c r="E327" s="14"/>
      <c r="F327" s="15"/>
      <c r="G327" s="14"/>
      <c r="H327" s="14"/>
      <c r="I327" s="15"/>
    </row>
    <row r="328" spans="1:9" ht="13.15">
      <c r="A328" s="14"/>
      <c r="B328" s="14"/>
      <c r="C328" s="14"/>
      <c r="D328" s="14"/>
      <c r="E328" s="14"/>
      <c r="F328" s="15"/>
      <c r="G328" s="14"/>
      <c r="H328" s="14"/>
      <c r="I328" s="15"/>
    </row>
    <row r="329" spans="1:9" ht="13.15">
      <c r="A329" s="14"/>
      <c r="B329" s="14"/>
      <c r="C329" s="14"/>
      <c r="D329" s="14"/>
      <c r="E329" s="14"/>
      <c r="F329" s="15"/>
      <c r="G329" s="14"/>
      <c r="H329" s="14"/>
      <c r="I329" s="15"/>
    </row>
    <row r="330" spans="1:9" ht="13.15">
      <c r="A330" s="14"/>
      <c r="B330" s="14"/>
      <c r="C330" s="14"/>
      <c r="D330" s="14"/>
      <c r="E330" s="14"/>
      <c r="F330" s="15"/>
      <c r="G330" s="14"/>
      <c r="H330" s="14"/>
      <c r="I330" s="15"/>
    </row>
    <row r="331" spans="1:9" ht="13.15">
      <c r="A331" s="14"/>
      <c r="B331" s="14"/>
      <c r="C331" s="14"/>
      <c r="D331" s="14"/>
      <c r="E331" s="14"/>
      <c r="F331" s="15"/>
      <c r="G331" s="14"/>
      <c r="H331" s="14"/>
      <c r="I331" s="15"/>
    </row>
    <row r="332" spans="1:9" ht="13.15">
      <c r="A332" s="14"/>
      <c r="B332" s="14"/>
      <c r="C332" s="14"/>
      <c r="D332" s="14"/>
      <c r="E332" s="14"/>
      <c r="F332" s="15"/>
      <c r="G332" s="14"/>
      <c r="H332" s="14"/>
      <c r="I332" s="15"/>
    </row>
    <row r="333" spans="1:9" ht="13.15">
      <c r="A333" s="14"/>
      <c r="B333" s="14"/>
      <c r="C333" s="14"/>
      <c r="D333" s="14"/>
      <c r="E333" s="14"/>
      <c r="F333" s="15"/>
      <c r="G333" s="14"/>
      <c r="H333" s="14"/>
      <c r="I333" s="15"/>
    </row>
    <row r="334" spans="1:9" ht="13.15">
      <c r="A334" s="14"/>
      <c r="B334" s="14"/>
      <c r="C334" s="14"/>
      <c r="D334" s="14"/>
      <c r="E334" s="14"/>
      <c r="F334" s="15"/>
      <c r="G334" s="14"/>
      <c r="H334" s="14"/>
      <c r="I334" s="15"/>
    </row>
    <row r="335" spans="1:9" ht="13.15">
      <c r="A335" s="14"/>
      <c r="B335" s="14"/>
      <c r="C335" s="14"/>
      <c r="D335" s="14"/>
      <c r="E335" s="14"/>
      <c r="F335" s="15"/>
      <c r="G335" s="14"/>
      <c r="H335" s="14"/>
      <c r="I335" s="15"/>
    </row>
    <row r="336" spans="1:9" ht="13.15">
      <c r="A336" s="14"/>
      <c r="B336" s="14"/>
      <c r="C336" s="14"/>
      <c r="D336" s="14"/>
      <c r="E336" s="14"/>
      <c r="F336" s="15"/>
      <c r="G336" s="14"/>
      <c r="H336" s="14"/>
      <c r="I336" s="15"/>
    </row>
    <row r="337" spans="1:9" ht="13.15">
      <c r="A337" s="14"/>
      <c r="B337" s="14"/>
      <c r="C337" s="14"/>
      <c r="D337" s="14"/>
      <c r="E337" s="14"/>
      <c r="F337" s="15"/>
      <c r="G337" s="14"/>
      <c r="H337" s="14"/>
      <c r="I337" s="15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5 I4:I95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7"/>
  <sheetViews>
    <sheetView workbookViewId="0">
      <pane xSplit="2" ySplit="3" topLeftCell="C4" activePane="bottomRight" state="frozen"/>
      <selection pane="bottomRight" activeCell="C25" sqref="C25"/>
      <selection pane="bottomLeft" activeCell="A4" sqref="A4:I20"/>
      <selection pane="topRight" activeCell="A4" sqref="A4:I2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9" t="str" cm="1">
        <f t="array" ref="A1">portfolio</f>
        <v>MN8 KEF</v>
      </c>
      <c r="B1" s="79"/>
      <c r="C1" s="79"/>
      <c r="D1" s="80" t="s">
        <v>14</v>
      </c>
      <c r="E1" s="80"/>
      <c r="F1" s="80"/>
      <c r="G1" s="78" t="s">
        <v>15</v>
      </c>
      <c r="H1" s="78"/>
      <c r="I1" s="78"/>
    </row>
    <row r="2" spans="1:9" ht="19.5" customHeight="1">
      <c r="A2" s="81" t="s">
        <v>2</v>
      </c>
      <c r="B2" s="81"/>
      <c r="C2" s="5">
        <f>SUM(C4:C95)</f>
        <v>0</v>
      </c>
      <c r="D2" s="5">
        <f>SUM(D4:D95)</f>
        <v>0</v>
      </c>
      <c r="E2" s="5">
        <f>C2-D2</f>
        <v>0</v>
      </c>
      <c r="F2" s="6">
        <f>IFERROR(E2/D2, 0)</f>
        <v>0</v>
      </c>
      <c r="G2" s="5">
        <f>SUM(G4:G95)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</row>
    <row r="4" spans="1:9" ht="15.75">
      <c r="A4" s="66" t="str" cm="1">
        <f t="array" ref="A4:A20">Sites[Site]</f>
        <v>Williamsburg A</v>
      </c>
      <c r="B4" s="62" t="str" cm="1">
        <f t="array" ref="B4:B20">Sites[State]</f>
        <v>MA</v>
      </c>
      <c r="C4" s="57">
        <f>SUM(Jul!C4, Aug!C4, Sep!C4)</f>
        <v>0</v>
      </c>
      <c r="D4" s="45">
        <f>SUM(Jul!D4, Aug!D4, Sep!D4)</f>
        <v>0</v>
      </c>
      <c r="E4" s="45">
        <f>IF(AND(ISNUMBER(C4),ISNUMBER(D4)), C4-D4, "")</f>
        <v>0</v>
      </c>
      <c r="F4" s="58" t="str">
        <f>IFERROR(E4/D4, "")</f>
        <v/>
      </c>
      <c r="G4" s="47"/>
      <c r="H4" s="47">
        <f>SUM(Jul!H4, Aug!H4, Sep!H4)</f>
        <v>0</v>
      </c>
      <c r="I4" s="46" t="str">
        <f>IFERROR(H4/G4, "")</f>
        <v/>
      </c>
    </row>
    <row r="5" spans="1:9" ht="15.75">
      <c r="A5" s="67" t="str">
        <v>Orange A KB</v>
      </c>
      <c r="B5" s="64" t="str">
        <v>MA</v>
      </c>
      <c r="C5" s="59">
        <f>SUM(Jul!C5, Aug!C5, Sep!C5)</f>
        <v>0</v>
      </c>
      <c r="D5" s="51">
        <f>SUM(Jul!D5, Aug!D5, Sep!D5)</f>
        <v>0</v>
      </c>
      <c r="E5" s="51">
        <f t="shared" ref="E5:E15" si="0">IF(AND(ISNUMBER(C5),ISNUMBER(D5)), C5-D5, "")</f>
        <v>0</v>
      </c>
      <c r="F5" s="52" t="str">
        <f>IFERROR(E5/D5, "")</f>
        <v/>
      </c>
      <c r="G5" s="53"/>
      <c r="H5" s="53">
        <f>SUM(Jul!H5, Aug!H5, Sep!H5)</f>
        <v>0</v>
      </c>
      <c r="I5" s="52" t="str">
        <f>IFERROR(H5/G5, "")</f>
        <v/>
      </c>
    </row>
    <row r="6" spans="1:9" ht="15.75">
      <c r="A6" s="66" t="str">
        <v>Goshen A</v>
      </c>
      <c r="B6" s="62" t="str">
        <v>MA</v>
      </c>
      <c r="C6" s="57">
        <f>SUM(Jul!C6, Aug!C6, Sep!C6)</f>
        <v>0</v>
      </c>
      <c r="D6" s="45">
        <f>SUM(Jul!D6, Aug!D6, Sep!D6)</f>
        <v>0</v>
      </c>
      <c r="E6" s="45">
        <f t="shared" si="0"/>
        <v>0</v>
      </c>
      <c r="F6" s="58" t="str">
        <f t="shared" ref="F6:F15" si="1">IFERROR(E6/D6, "")</f>
        <v/>
      </c>
      <c r="G6" s="47"/>
      <c r="H6" s="47">
        <f>SUM(Jul!H6, Aug!H6, Sep!H6)</f>
        <v>0</v>
      </c>
      <c r="I6" s="46" t="str">
        <f t="shared" ref="I6:I15" si="2">IFERROR(H6/G6, "")</f>
        <v/>
      </c>
    </row>
    <row r="7" spans="1:9" ht="15.75">
      <c r="A7" s="67" t="str">
        <v>Phillipston A KB</v>
      </c>
      <c r="B7" s="64" t="str">
        <v>MA</v>
      </c>
      <c r="C7" s="59">
        <f>SUM(Jul!C7, Aug!C7, Sep!C7)</f>
        <v>0</v>
      </c>
      <c r="D7" s="51">
        <f>SUM(Jul!D7, Aug!D7, Sep!D7)</f>
        <v>0</v>
      </c>
      <c r="E7" s="51">
        <f t="shared" si="0"/>
        <v>0</v>
      </c>
      <c r="F7" s="52" t="str">
        <f t="shared" si="1"/>
        <v/>
      </c>
      <c r="G7" s="53"/>
      <c r="H7" s="53">
        <f>SUM(Jul!H7, Aug!H7, Sep!H7)</f>
        <v>0</v>
      </c>
      <c r="I7" s="52" t="str">
        <f t="shared" si="2"/>
        <v/>
      </c>
    </row>
    <row r="8" spans="1:9" ht="15.75">
      <c r="A8" s="66" t="str">
        <v>Uxbridge D</v>
      </c>
      <c r="B8" s="62" t="str">
        <v>MA</v>
      </c>
      <c r="C8" s="57">
        <f>SUM(Jul!C8, Aug!C8, Sep!C8)</f>
        <v>0</v>
      </c>
      <c r="D8" s="45">
        <f>SUM(Jul!D8, Aug!D8, Sep!D8)</f>
        <v>0</v>
      </c>
      <c r="E8" s="45">
        <f t="shared" si="0"/>
        <v>0</v>
      </c>
      <c r="F8" s="58" t="str">
        <f t="shared" si="1"/>
        <v/>
      </c>
      <c r="G8" s="47"/>
      <c r="H8" s="47">
        <f>SUM(Jul!H8, Aug!H8, Sep!H8)</f>
        <v>0</v>
      </c>
      <c r="I8" s="46" t="str">
        <f t="shared" si="2"/>
        <v/>
      </c>
    </row>
    <row r="9" spans="1:9" ht="15.75">
      <c r="A9" s="67" t="str">
        <v>West Bridgewater A&amp;B</v>
      </c>
      <c r="B9" s="64" t="str">
        <v>MA</v>
      </c>
      <c r="C9" s="59">
        <f>SUM(Jul!C9, Aug!C9, Sep!C9)</f>
        <v>0</v>
      </c>
      <c r="D9" s="51">
        <f>SUM(Jul!D9, Aug!D9, Sep!D9)</f>
        <v>0</v>
      </c>
      <c r="E9" s="51">
        <f t="shared" si="0"/>
        <v>0</v>
      </c>
      <c r="F9" s="52" t="str">
        <f t="shared" si="1"/>
        <v/>
      </c>
      <c r="G9" s="53"/>
      <c r="H9" s="53">
        <f>SUM(Jul!H9, Aug!H9, Sep!H9)</f>
        <v>0</v>
      </c>
      <c r="I9" s="52" t="str">
        <f t="shared" si="2"/>
        <v/>
      </c>
    </row>
    <row r="10" spans="1:9" ht="15.75">
      <c r="A10" s="66" t="str">
        <v>Sutton A</v>
      </c>
      <c r="B10" s="62" t="str">
        <v>MA</v>
      </c>
      <c r="C10" s="57">
        <f>SUM(Jul!C10, Aug!C10, Sep!C10)</f>
        <v>0</v>
      </c>
      <c r="D10" s="45">
        <f>SUM(Jul!D10, Aug!D10, Sep!D10)</f>
        <v>0</v>
      </c>
      <c r="E10" s="45">
        <f t="shared" si="0"/>
        <v>0</v>
      </c>
      <c r="F10" s="58" t="str">
        <f t="shared" si="1"/>
        <v/>
      </c>
      <c r="G10" s="47"/>
      <c r="H10" s="47">
        <f>SUM(Jul!H10, Aug!H10, Sep!H10)</f>
        <v>0</v>
      </c>
      <c r="I10" s="46" t="str">
        <f t="shared" si="2"/>
        <v/>
      </c>
    </row>
    <row r="11" spans="1:9" ht="15.75">
      <c r="A11" s="67" t="str">
        <v>North Adams A</v>
      </c>
      <c r="B11" s="64" t="str">
        <v>MA</v>
      </c>
      <c r="C11" s="59">
        <f>SUM(Jul!C11, Aug!C11, Sep!C11)</f>
        <v>0</v>
      </c>
      <c r="D11" s="51">
        <f>SUM(Jul!D11, Aug!D11, Sep!D11)</f>
        <v>0</v>
      </c>
      <c r="E11" s="51">
        <f t="shared" si="0"/>
        <v>0</v>
      </c>
      <c r="F11" s="52" t="str">
        <f t="shared" si="1"/>
        <v/>
      </c>
      <c r="G11" s="53"/>
      <c r="H11" s="53">
        <f>SUM(Jul!H11, Aug!H11, Sep!H11)</f>
        <v>0</v>
      </c>
      <c r="I11" s="52" t="str">
        <f t="shared" si="2"/>
        <v/>
      </c>
    </row>
    <row r="12" spans="1:9" ht="15.75">
      <c r="A12" s="66" t="str">
        <v>North Adams B</v>
      </c>
      <c r="B12" s="62" t="str">
        <v>MA</v>
      </c>
      <c r="C12" s="57">
        <f>SUM(Jul!C12, Aug!C12, Sep!C12)</f>
        <v>0</v>
      </c>
      <c r="D12" s="45">
        <f>SUM(Jul!D12, Aug!D12, Sep!D12)</f>
        <v>0</v>
      </c>
      <c r="E12" s="45">
        <f t="shared" si="0"/>
        <v>0</v>
      </c>
      <c r="F12" s="58" t="str">
        <f t="shared" si="1"/>
        <v/>
      </c>
      <c r="G12" s="47"/>
      <c r="H12" s="47">
        <f>SUM(Jul!H12, Aug!H12, Sep!H12)</f>
        <v>0</v>
      </c>
      <c r="I12" s="46" t="str">
        <f t="shared" si="2"/>
        <v/>
      </c>
    </row>
    <row r="13" spans="1:9" ht="15.75">
      <c r="A13" s="67" t="str">
        <v>Clarksburg A</v>
      </c>
      <c r="B13" s="64" t="str">
        <v>MA</v>
      </c>
      <c r="C13" s="59">
        <f>SUM(Jul!C13, Aug!C13, Sep!C13)</f>
        <v>0</v>
      </c>
      <c r="D13" s="51">
        <f>SUM(Jul!D13, Aug!D13, Sep!D13)</f>
        <v>0</v>
      </c>
      <c r="E13" s="51">
        <f t="shared" si="0"/>
        <v>0</v>
      </c>
      <c r="F13" s="52" t="str">
        <f t="shared" si="1"/>
        <v/>
      </c>
      <c r="G13" s="53"/>
      <c r="H13" s="53">
        <f>SUM(Jul!H13, Aug!H13, Sep!H13)</f>
        <v>0</v>
      </c>
      <c r="I13" s="52" t="str">
        <f t="shared" si="2"/>
        <v/>
      </c>
    </row>
    <row r="14" spans="1:9" ht="15.75">
      <c r="A14" s="66" t="str">
        <v>Swansea B</v>
      </c>
      <c r="B14" s="62" t="str">
        <v>MA</v>
      </c>
      <c r="C14" s="57">
        <f>SUM(Jul!C14, Aug!C14, Sep!C14)</f>
        <v>0</v>
      </c>
      <c r="D14" s="45">
        <f>SUM(Jul!D14, Aug!D14, Sep!D14)</f>
        <v>0</v>
      </c>
      <c r="E14" s="45">
        <f t="shared" si="0"/>
        <v>0</v>
      </c>
      <c r="F14" s="58" t="str">
        <f t="shared" si="1"/>
        <v/>
      </c>
      <c r="G14" s="47"/>
      <c r="H14" s="47">
        <f>SUM(Jul!H14, Aug!H14, Sep!H14)</f>
        <v>0</v>
      </c>
      <c r="I14" s="46" t="str">
        <f t="shared" si="2"/>
        <v/>
      </c>
    </row>
    <row r="15" spans="1:9" ht="15.75">
      <c r="A15" s="67" t="str">
        <v>Wareham 2</v>
      </c>
      <c r="B15" s="64" t="str">
        <v>MA</v>
      </c>
      <c r="C15" s="59">
        <f>SUM(Jul!C15, Aug!C15, Sep!C15)</f>
        <v>0</v>
      </c>
      <c r="D15" s="51">
        <f>SUM(Jul!D15, Aug!D15, Sep!D15)</f>
        <v>0</v>
      </c>
      <c r="E15" s="51">
        <f t="shared" si="0"/>
        <v>0</v>
      </c>
      <c r="F15" s="52" t="str">
        <f t="shared" si="1"/>
        <v/>
      </c>
      <c r="G15" s="53"/>
      <c r="H15" s="53">
        <f>SUM(Jul!H15, Aug!H15, Sep!H15)</f>
        <v>0</v>
      </c>
      <c r="I15" s="52" t="str">
        <f t="shared" si="2"/>
        <v/>
      </c>
    </row>
    <row r="16" spans="1:9" ht="15.75">
      <c r="A16" s="66" t="str">
        <v>Kingston 1 KB</v>
      </c>
      <c r="B16" s="62" t="str">
        <v>MA</v>
      </c>
      <c r="C16" s="57">
        <f>SUM(Jul!C16, Aug!C16, Sep!C16)</f>
        <v>0</v>
      </c>
      <c r="D16" s="45">
        <f>SUM(Jul!D16, Aug!D16, Sep!D16)</f>
        <v>0</v>
      </c>
      <c r="E16" s="45">
        <f t="shared" ref="E16:E19" si="3">IF(AND(ISNUMBER(C16),ISNUMBER(D16)), C16-D16, "")</f>
        <v>0</v>
      </c>
      <c r="F16" s="58" t="str">
        <f t="shared" ref="F16:F19" si="4">IFERROR(E16/D16, "")</f>
        <v/>
      </c>
      <c r="G16" s="47"/>
      <c r="H16" s="47">
        <f>SUM(Jul!H16, Aug!H16, Sep!H16)</f>
        <v>0</v>
      </c>
      <c r="I16" s="46" t="str">
        <f t="shared" ref="I16:I19" si="5">IFERROR(H16/G16, "")</f>
        <v/>
      </c>
    </row>
    <row r="17" spans="1:9" ht="15.75">
      <c r="A17" s="67" t="str">
        <v>Kingston 2 KB</v>
      </c>
      <c r="B17" s="64" t="str">
        <v>MA</v>
      </c>
      <c r="C17" s="59">
        <f>SUM(Jul!C17, Aug!C17, Sep!C17)</f>
        <v>0</v>
      </c>
      <c r="D17" s="51">
        <f>SUM(Jul!D17, Aug!D17, Sep!D17)</f>
        <v>0</v>
      </c>
      <c r="E17" s="51">
        <f t="shared" si="3"/>
        <v>0</v>
      </c>
      <c r="F17" s="52" t="str">
        <f t="shared" si="4"/>
        <v/>
      </c>
      <c r="G17" s="53"/>
      <c r="H17" s="53">
        <f>SUM(Jul!H17, Aug!H17, Sep!H17)</f>
        <v>0</v>
      </c>
      <c r="I17" s="52" t="str">
        <f t="shared" si="5"/>
        <v/>
      </c>
    </row>
    <row r="18" spans="1:9" ht="12.75" customHeight="1">
      <c r="A18" s="66" t="str">
        <v>Holliston B</v>
      </c>
      <c r="B18" s="61" t="str">
        <v>MA</v>
      </c>
      <c r="C18" s="57">
        <f>SUM(Jul!C18, Aug!C18, Sep!C18)</f>
        <v>0</v>
      </c>
      <c r="D18" s="45">
        <f>SUM(Jul!D18, Aug!D18, Sep!D18)</f>
        <v>0</v>
      </c>
      <c r="E18" s="45">
        <f t="shared" si="3"/>
        <v>0</v>
      </c>
      <c r="F18" s="58" t="str">
        <f t="shared" si="4"/>
        <v/>
      </c>
      <c r="G18" s="47"/>
      <c r="H18" s="47">
        <f>SUM(Jul!H18, Aug!H18, Sep!H18)</f>
        <v>0</v>
      </c>
      <c r="I18" s="46" t="str">
        <f t="shared" si="5"/>
        <v/>
      </c>
    </row>
    <row r="19" spans="1:9" ht="15.75">
      <c r="A19" s="67" t="str">
        <v>Fairhaven C</v>
      </c>
      <c r="B19" s="63" t="str">
        <v>MA</v>
      </c>
      <c r="C19" s="59">
        <f>SUM(Jul!C19, Aug!C19, Sep!C19)</f>
        <v>0</v>
      </c>
      <c r="D19" s="51">
        <f>SUM(Jul!D19, Aug!D19, Sep!D19)</f>
        <v>0</v>
      </c>
      <c r="E19" s="51">
        <f t="shared" si="3"/>
        <v>0</v>
      </c>
      <c r="F19" s="52" t="str">
        <f t="shared" si="4"/>
        <v/>
      </c>
      <c r="G19" s="53"/>
      <c r="H19" s="53">
        <f>SUM(Jul!H19, Aug!H19, Sep!H19)</f>
        <v>0</v>
      </c>
      <c r="I19" s="52" t="str">
        <f t="shared" si="5"/>
        <v/>
      </c>
    </row>
    <row r="20" spans="1:9" ht="15.75">
      <c r="A20" s="66" t="str">
        <v>Plympton A-2</v>
      </c>
      <c r="B20" s="61" t="str">
        <v>MA</v>
      </c>
      <c r="C20" s="57">
        <f>SUM(Jul!C20, Aug!C20, Sep!C20)</f>
        <v>0</v>
      </c>
      <c r="D20" s="45">
        <f>SUM(Jul!D20, Aug!D20, Sep!D20)</f>
        <v>0</v>
      </c>
      <c r="E20" s="45">
        <f t="shared" ref="E20" si="6">IF(AND(ISNUMBER(C20),ISNUMBER(D20)), C20-D20, "")</f>
        <v>0</v>
      </c>
      <c r="F20" s="58" t="str">
        <f t="shared" ref="F20" si="7">IFERROR(E20/D20, "")</f>
        <v/>
      </c>
      <c r="G20" s="47"/>
      <c r="H20" s="47">
        <f>SUM(Jul!H20, Aug!H20, Sep!H20)</f>
        <v>0</v>
      </c>
      <c r="I20" s="46" t="str">
        <f t="shared" ref="I20" si="8">IFERROR(H20/G20, "")</f>
        <v/>
      </c>
    </row>
    <row r="21" spans="1:9" ht="15.75">
      <c r="A21" s="10"/>
      <c r="B21" s="14"/>
      <c r="C21" s="14"/>
      <c r="D21" s="14"/>
      <c r="E21" s="14"/>
      <c r="F21" s="14"/>
      <c r="G21" s="14"/>
      <c r="H21" s="14"/>
      <c r="I21" s="14"/>
    </row>
    <row r="22" spans="1:9" ht="15.75">
      <c r="A22" s="10"/>
      <c r="B22" s="14"/>
      <c r="C22" s="14"/>
      <c r="D22" s="14"/>
      <c r="E22" s="14"/>
      <c r="F22" s="14"/>
      <c r="G22" s="14"/>
      <c r="H22" s="14"/>
      <c r="I22" s="14"/>
    </row>
    <row r="23" spans="1:9" ht="15.75">
      <c r="A23" s="10"/>
      <c r="B23" s="14"/>
      <c r="C23" s="14"/>
      <c r="D23" s="14"/>
      <c r="E23" s="14"/>
      <c r="F23" s="14"/>
      <c r="G23" s="14"/>
      <c r="H23" s="14"/>
      <c r="I23" s="14"/>
    </row>
    <row r="24" spans="1:9" ht="15.75">
      <c r="A24" s="10"/>
      <c r="B24" s="14"/>
      <c r="C24" s="14"/>
      <c r="D24" s="14"/>
      <c r="E24" s="14"/>
      <c r="F24" s="14"/>
      <c r="G24" s="14"/>
      <c r="H24" s="14"/>
      <c r="I24" s="14"/>
    </row>
    <row r="25" spans="1:9" ht="15.75">
      <c r="A25" s="10"/>
      <c r="B25" s="14"/>
      <c r="C25" s="14"/>
      <c r="D25" s="14"/>
      <c r="E25" s="14"/>
      <c r="F25" s="14"/>
      <c r="G25" s="14"/>
      <c r="H25" s="14"/>
      <c r="I25" s="14"/>
    </row>
    <row r="26" spans="1:9" ht="15.75">
      <c r="A26" s="10"/>
      <c r="B26" s="14"/>
      <c r="C26" s="14"/>
      <c r="D26" s="14"/>
      <c r="E26" s="14"/>
      <c r="F26" s="14"/>
      <c r="G26" s="14"/>
      <c r="H26" s="14"/>
      <c r="I26" s="14"/>
    </row>
    <row r="27" spans="1:9" ht="13.15">
      <c r="A27" s="14"/>
      <c r="B27" s="14"/>
      <c r="C27" s="14"/>
      <c r="D27" s="14"/>
      <c r="E27" s="14"/>
      <c r="F27" s="14"/>
      <c r="G27" s="14"/>
      <c r="H27" s="14"/>
      <c r="I27" s="14"/>
    </row>
    <row r="28" spans="1:9" ht="13.15">
      <c r="A28" s="14"/>
      <c r="B28" s="14"/>
      <c r="C28" s="14"/>
      <c r="D28" s="14"/>
      <c r="E28" s="14"/>
      <c r="F28" s="15"/>
      <c r="G28" s="14"/>
      <c r="H28" s="14"/>
      <c r="I28" s="15"/>
    </row>
    <row r="29" spans="1:9" ht="13.15">
      <c r="A29" s="14"/>
      <c r="B29" s="14"/>
      <c r="C29" s="14"/>
      <c r="D29" s="14"/>
      <c r="E29" s="14"/>
      <c r="F29" s="15"/>
      <c r="G29" s="14"/>
      <c r="H29" s="14"/>
      <c r="I29" s="15"/>
    </row>
    <row r="30" spans="1:9" ht="13.15">
      <c r="A30" s="14"/>
      <c r="B30" s="14"/>
      <c r="C30" s="14"/>
      <c r="D30" s="14"/>
      <c r="E30" s="14"/>
      <c r="F30" s="15"/>
      <c r="G30" s="14"/>
      <c r="H30" s="14"/>
      <c r="I30" s="15"/>
    </row>
    <row r="31" spans="1:9" ht="13.15">
      <c r="A31" s="14"/>
      <c r="B31" s="14"/>
      <c r="C31" s="14"/>
      <c r="D31" s="14"/>
      <c r="E31" s="14"/>
      <c r="F31" s="15"/>
      <c r="G31" s="14"/>
      <c r="H31" s="14"/>
      <c r="I31" s="15"/>
    </row>
    <row r="32" spans="1:9" ht="13.15">
      <c r="A32" s="14"/>
      <c r="B32" s="14"/>
      <c r="C32" s="14"/>
      <c r="D32" s="14"/>
      <c r="E32" s="14"/>
      <c r="F32" s="15"/>
      <c r="G32" s="14"/>
      <c r="H32" s="14"/>
      <c r="I32" s="15"/>
    </row>
    <row r="33" spans="1:9" ht="13.15">
      <c r="A33" s="14"/>
      <c r="B33" s="14"/>
      <c r="C33" s="14"/>
      <c r="D33" s="14"/>
      <c r="E33" s="14"/>
      <c r="F33" s="15"/>
      <c r="G33" s="14"/>
      <c r="H33" s="14"/>
      <c r="I33" s="15"/>
    </row>
    <row r="34" spans="1:9" ht="13.15">
      <c r="A34" s="14"/>
      <c r="B34" s="14"/>
      <c r="C34" s="14"/>
      <c r="D34" s="14"/>
      <c r="E34" s="14"/>
      <c r="F34" s="15"/>
      <c r="G34" s="14"/>
      <c r="H34" s="14"/>
      <c r="I34" s="15"/>
    </row>
    <row r="35" spans="1:9" ht="13.15">
      <c r="A35" s="14"/>
      <c r="B35" s="14"/>
      <c r="C35" s="14"/>
      <c r="D35" s="14"/>
      <c r="E35" s="14"/>
      <c r="F35" s="15"/>
      <c r="G35" s="14"/>
      <c r="H35" s="14"/>
      <c r="I35" s="15"/>
    </row>
    <row r="36" spans="1:9" ht="13.15">
      <c r="A36" s="14"/>
      <c r="B36" s="14"/>
      <c r="C36" s="14"/>
      <c r="D36" s="14"/>
      <c r="E36" s="14"/>
      <c r="F36" s="15"/>
      <c r="G36" s="14"/>
      <c r="H36" s="14"/>
      <c r="I36" s="15"/>
    </row>
    <row r="37" spans="1:9" ht="13.15">
      <c r="A37" s="14"/>
      <c r="B37" s="14"/>
      <c r="C37" s="14"/>
      <c r="D37" s="14"/>
      <c r="E37" s="14"/>
      <c r="F37" s="15"/>
      <c r="G37" s="14"/>
      <c r="H37" s="14"/>
      <c r="I37" s="15"/>
    </row>
    <row r="38" spans="1:9" ht="13.15">
      <c r="A38" s="14"/>
      <c r="B38" s="14"/>
      <c r="C38" s="14"/>
      <c r="D38" s="14"/>
      <c r="E38" s="14"/>
      <c r="F38" s="15"/>
      <c r="G38" s="14"/>
      <c r="H38" s="14"/>
      <c r="I38" s="15"/>
    </row>
    <row r="39" spans="1:9" ht="13.15">
      <c r="A39" s="14"/>
      <c r="B39" s="14"/>
      <c r="C39" s="14"/>
      <c r="D39" s="14"/>
      <c r="E39" s="14"/>
      <c r="F39" s="15"/>
      <c r="G39" s="14"/>
      <c r="H39" s="14"/>
      <c r="I39" s="15"/>
    </row>
    <row r="40" spans="1:9" ht="13.15">
      <c r="A40" s="14"/>
      <c r="B40" s="14"/>
      <c r="C40" s="14"/>
      <c r="D40" s="14"/>
      <c r="E40" s="14"/>
      <c r="F40" s="15"/>
      <c r="G40" s="14"/>
      <c r="H40" s="14"/>
      <c r="I40" s="15"/>
    </row>
    <row r="41" spans="1:9" ht="13.15">
      <c r="A41" s="14"/>
      <c r="B41" s="14"/>
      <c r="C41" s="14"/>
      <c r="D41" s="14"/>
      <c r="E41" s="14"/>
      <c r="F41" s="15"/>
      <c r="G41" s="14"/>
      <c r="H41" s="14"/>
      <c r="I41" s="15"/>
    </row>
    <row r="42" spans="1:9" ht="13.15">
      <c r="A42" s="14"/>
      <c r="B42" s="14"/>
      <c r="C42" s="14"/>
      <c r="D42" s="14"/>
      <c r="E42" s="14"/>
      <c r="F42" s="15"/>
      <c r="G42" s="14"/>
      <c r="H42" s="14"/>
      <c r="I42" s="15"/>
    </row>
    <row r="43" spans="1:9" ht="13.15">
      <c r="A43" s="14"/>
      <c r="B43" s="14"/>
      <c r="C43" s="14"/>
      <c r="D43" s="14"/>
      <c r="E43" s="14"/>
      <c r="F43" s="15"/>
      <c r="G43" s="14"/>
      <c r="H43" s="14"/>
      <c r="I43" s="15"/>
    </row>
    <row r="44" spans="1:9" ht="13.15">
      <c r="A44" s="14"/>
      <c r="B44" s="14"/>
      <c r="C44" s="14"/>
      <c r="D44" s="14"/>
      <c r="E44" s="14"/>
      <c r="F44" s="15"/>
      <c r="G44" s="14"/>
      <c r="H44" s="14"/>
      <c r="I44" s="15"/>
    </row>
    <row r="45" spans="1:9" ht="13.15">
      <c r="A45" s="14"/>
      <c r="B45" s="14"/>
      <c r="C45" s="14"/>
      <c r="D45" s="14"/>
      <c r="E45" s="14"/>
      <c r="F45" s="15"/>
      <c r="G45" s="14"/>
      <c r="H45" s="14"/>
      <c r="I45" s="15"/>
    </row>
    <row r="46" spans="1:9" ht="13.15">
      <c r="A46" s="14"/>
      <c r="B46" s="14"/>
      <c r="C46" s="14"/>
      <c r="D46" s="14"/>
      <c r="E46" s="14"/>
      <c r="F46" s="15"/>
      <c r="G46" s="14"/>
      <c r="H46" s="14"/>
      <c r="I46" s="15"/>
    </row>
    <row r="47" spans="1:9" ht="13.15">
      <c r="A47" s="14"/>
      <c r="B47" s="14"/>
      <c r="C47" s="14"/>
      <c r="D47" s="14"/>
      <c r="E47" s="14"/>
      <c r="F47" s="15"/>
      <c r="G47" s="14"/>
      <c r="H47" s="14"/>
      <c r="I47" s="15"/>
    </row>
    <row r="48" spans="1:9" ht="13.15">
      <c r="A48" s="14"/>
      <c r="B48" s="14"/>
      <c r="C48" s="14"/>
      <c r="D48" s="14"/>
      <c r="E48" s="14"/>
      <c r="F48" s="15"/>
      <c r="G48" s="14"/>
      <c r="H48" s="14"/>
      <c r="I48" s="15"/>
    </row>
    <row r="49" spans="1:9" ht="13.15">
      <c r="A49" s="14"/>
      <c r="B49" s="14"/>
      <c r="C49" s="14"/>
      <c r="D49" s="14"/>
      <c r="E49" s="14"/>
      <c r="F49" s="15"/>
      <c r="G49" s="14"/>
      <c r="H49" s="14"/>
      <c r="I49" s="15"/>
    </row>
    <row r="50" spans="1:9" ht="13.15">
      <c r="A50" s="14"/>
      <c r="B50" s="14"/>
      <c r="C50" s="14"/>
      <c r="D50" s="14"/>
      <c r="E50" s="14"/>
      <c r="F50" s="15"/>
      <c r="G50" s="14"/>
      <c r="H50" s="14"/>
      <c r="I50" s="15"/>
    </row>
    <row r="51" spans="1:9" ht="13.15">
      <c r="A51" s="14"/>
      <c r="B51" s="14"/>
      <c r="C51" s="14"/>
      <c r="D51" s="14"/>
      <c r="E51" s="14"/>
      <c r="F51" s="15"/>
      <c r="G51" s="14"/>
      <c r="H51" s="14"/>
      <c r="I51" s="15"/>
    </row>
    <row r="52" spans="1:9" ht="13.15">
      <c r="A52" s="14"/>
      <c r="B52" s="14"/>
      <c r="C52" s="14"/>
      <c r="D52" s="14"/>
      <c r="E52" s="14"/>
      <c r="F52" s="15"/>
      <c r="G52" s="14"/>
      <c r="H52" s="14"/>
      <c r="I52" s="15"/>
    </row>
    <row r="53" spans="1:9" ht="13.15">
      <c r="A53" s="14"/>
      <c r="B53" s="14"/>
      <c r="C53" s="14"/>
      <c r="D53" s="14"/>
      <c r="E53" s="14"/>
      <c r="F53" s="15"/>
      <c r="G53" s="14"/>
      <c r="H53" s="14"/>
      <c r="I53" s="15"/>
    </row>
    <row r="54" spans="1:9" ht="13.15">
      <c r="A54" s="14"/>
      <c r="B54" s="14"/>
      <c r="C54" s="14"/>
      <c r="D54" s="14"/>
      <c r="E54" s="14"/>
      <c r="F54" s="15"/>
      <c r="G54" s="14"/>
      <c r="H54" s="14"/>
      <c r="I54" s="15"/>
    </row>
    <row r="55" spans="1:9" ht="13.15">
      <c r="A55" s="14"/>
      <c r="B55" s="14"/>
      <c r="C55" s="14"/>
      <c r="D55" s="14"/>
      <c r="E55" s="14"/>
      <c r="F55" s="15"/>
      <c r="G55" s="14"/>
      <c r="H55" s="14"/>
      <c r="I55" s="15"/>
    </row>
    <row r="56" spans="1:9" ht="13.15">
      <c r="A56" s="14"/>
      <c r="B56" s="14"/>
      <c r="C56" s="14"/>
      <c r="D56" s="14"/>
      <c r="E56" s="14"/>
      <c r="F56" s="15"/>
      <c r="G56" s="14"/>
      <c r="H56" s="14"/>
      <c r="I56" s="15"/>
    </row>
    <row r="57" spans="1:9" ht="13.15">
      <c r="A57" s="14"/>
      <c r="B57" s="14"/>
      <c r="C57" s="14"/>
      <c r="D57" s="14"/>
      <c r="E57" s="14"/>
      <c r="F57" s="15"/>
      <c r="G57" s="14"/>
      <c r="H57" s="14"/>
      <c r="I57" s="15"/>
    </row>
    <row r="58" spans="1:9" ht="13.15">
      <c r="A58" s="14"/>
      <c r="B58" s="14"/>
      <c r="C58" s="14"/>
      <c r="D58" s="14"/>
      <c r="E58" s="14"/>
      <c r="F58" s="15"/>
      <c r="G58" s="14"/>
      <c r="H58" s="14"/>
      <c r="I58" s="15"/>
    </row>
    <row r="59" spans="1:9" ht="13.15">
      <c r="A59" s="14"/>
      <c r="B59" s="14"/>
      <c r="C59" s="14"/>
      <c r="D59" s="14"/>
      <c r="E59" s="14"/>
      <c r="F59" s="15"/>
      <c r="G59" s="14"/>
      <c r="H59" s="14"/>
      <c r="I59" s="15"/>
    </row>
    <row r="60" spans="1:9" ht="13.15">
      <c r="A60" s="14"/>
      <c r="B60" s="14"/>
      <c r="C60" s="14"/>
      <c r="D60" s="14"/>
      <c r="E60" s="14"/>
      <c r="F60" s="15"/>
      <c r="G60" s="14"/>
      <c r="H60" s="14"/>
      <c r="I60" s="15"/>
    </row>
    <row r="61" spans="1:9" ht="13.15">
      <c r="A61" s="14"/>
      <c r="B61" s="14"/>
      <c r="C61" s="14"/>
      <c r="D61" s="14"/>
      <c r="E61" s="14"/>
      <c r="F61" s="15"/>
      <c r="G61" s="14"/>
      <c r="H61" s="14"/>
      <c r="I61" s="15"/>
    </row>
    <row r="62" spans="1:9" ht="13.15">
      <c r="A62" s="14"/>
      <c r="B62" s="14"/>
      <c r="C62" s="14"/>
      <c r="D62" s="14"/>
      <c r="E62" s="14"/>
      <c r="F62" s="15"/>
      <c r="G62" s="14"/>
      <c r="H62" s="14"/>
      <c r="I62" s="15"/>
    </row>
    <row r="63" spans="1:9" ht="13.15">
      <c r="A63" s="14"/>
      <c r="B63" s="14"/>
      <c r="C63" s="14"/>
      <c r="D63" s="14"/>
      <c r="E63" s="14"/>
      <c r="F63" s="15"/>
      <c r="G63" s="14"/>
      <c r="H63" s="14"/>
      <c r="I63" s="15"/>
    </row>
    <row r="64" spans="1:9" ht="13.15">
      <c r="A64" s="14"/>
      <c r="B64" s="14"/>
      <c r="C64" s="14"/>
      <c r="D64" s="14"/>
      <c r="E64" s="14"/>
      <c r="F64" s="15"/>
      <c r="G64" s="14"/>
      <c r="H64" s="14"/>
      <c r="I64" s="15"/>
    </row>
    <row r="65" spans="1:9" ht="13.15">
      <c r="A65" s="14"/>
      <c r="B65" s="14"/>
      <c r="C65" s="14"/>
      <c r="D65" s="14"/>
      <c r="E65" s="14"/>
      <c r="F65" s="15"/>
      <c r="G65" s="14"/>
      <c r="H65" s="14"/>
      <c r="I65" s="15"/>
    </row>
    <row r="66" spans="1:9" ht="13.15">
      <c r="A66" s="14"/>
      <c r="B66" s="14"/>
      <c r="C66" s="14"/>
      <c r="D66" s="14"/>
      <c r="E66" s="14"/>
      <c r="F66" s="15"/>
      <c r="G66" s="14"/>
      <c r="H66" s="14"/>
      <c r="I66" s="15"/>
    </row>
    <row r="67" spans="1:9" ht="13.15">
      <c r="A67" s="14"/>
      <c r="B67" s="14"/>
      <c r="C67" s="14"/>
      <c r="D67" s="14"/>
      <c r="E67" s="14"/>
      <c r="F67" s="15"/>
      <c r="G67" s="14"/>
      <c r="H67" s="14"/>
      <c r="I67" s="15"/>
    </row>
    <row r="68" spans="1:9" ht="13.15">
      <c r="A68" s="14"/>
      <c r="B68" s="14"/>
      <c r="C68" s="14"/>
      <c r="D68" s="14"/>
      <c r="E68" s="14"/>
      <c r="F68" s="15"/>
      <c r="G68" s="14"/>
      <c r="H68" s="14"/>
      <c r="I68" s="15"/>
    </row>
    <row r="69" spans="1:9" ht="13.15">
      <c r="A69" s="14"/>
      <c r="B69" s="14"/>
      <c r="C69" s="14"/>
      <c r="D69" s="14"/>
      <c r="E69" s="14"/>
      <c r="F69" s="15"/>
      <c r="G69" s="14"/>
      <c r="H69" s="14"/>
      <c r="I69" s="15"/>
    </row>
    <row r="70" spans="1:9" ht="13.15">
      <c r="A70" s="14"/>
      <c r="B70" s="14"/>
      <c r="C70" s="14"/>
      <c r="D70" s="14"/>
      <c r="E70" s="14"/>
      <c r="F70" s="15"/>
      <c r="G70" s="14"/>
      <c r="H70" s="14"/>
      <c r="I70" s="15"/>
    </row>
    <row r="71" spans="1:9" ht="13.15">
      <c r="A71" s="14"/>
      <c r="B71" s="14"/>
      <c r="C71" s="14"/>
      <c r="D71" s="14"/>
      <c r="E71" s="14"/>
      <c r="F71" s="15"/>
      <c r="G71" s="14"/>
      <c r="H71" s="14"/>
      <c r="I71" s="15"/>
    </row>
    <row r="72" spans="1:9" ht="13.15">
      <c r="A72" s="14"/>
      <c r="B72" s="14"/>
      <c r="C72" s="14"/>
      <c r="D72" s="14"/>
      <c r="E72" s="14"/>
      <c r="F72" s="15"/>
      <c r="G72" s="14"/>
      <c r="H72" s="14"/>
      <c r="I72" s="15"/>
    </row>
    <row r="73" spans="1:9" ht="13.15">
      <c r="A73" s="14"/>
      <c r="B73" s="14"/>
      <c r="C73" s="14"/>
      <c r="D73" s="14"/>
      <c r="E73" s="14"/>
      <c r="F73" s="15"/>
      <c r="G73" s="14"/>
      <c r="H73" s="14"/>
      <c r="I73" s="15"/>
    </row>
    <row r="74" spans="1:9" ht="13.15">
      <c r="A74" s="14"/>
      <c r="B74" s="14"/>
      <c r="C74" s="14"/>
      <c r="D74" s="14"/>
      <c r="E74" s="14"/>
      <c r="F74" s="15"/>
      <c r="G74" s="14"/>
      <c r="H74" s="14"/>
      <c r="I74" s="15"/>
    </row>
    <row r="75" spans="1:9" ht="13.15">
      <c r="A75" s="14"/>
      <c r="B75" s="14"/>
      <c r="C75" s="14"/>
      <c r="D75" s="14"/>
      <c r="E75" s="14"/>
      <c r="F75" s="15"/>
      <c r="G75" s="14"/>
      <c r="H75" s="14"/>
      <c r="I75" s="15"/>
    </row>
    <row r="76" spans="1:9" ht="13.15">
      <c r="A76" s="14"/>
      <c r="B76" s="14"/>
      <c r="C76" s="14"/>
      <c r="D76" s="14"/>
      <c r="E76" s="14"/>
      <c r="F76" s="15"/>
      <c r="G76" s="14"/>
      <c r="H76" s="14"/>
      <c r="I76" s="15"/>
    </row>
    <row r="77" spans="1:9" ht="13.15">
      <c r="A77" s="14"/>
      <c r="B77" s="14"/>
      <c r="C77" s="14"/>
      <c r="D77" s="14"/>
      <c r="E77" s="14"/>
      <c r="F77" s="15"/>
      <c r="G77" s="14"/>
      <c r="H77" s="14"/>
      <c r="I77" s="15"/>
    </row>
    <row r="78" spans="1:9" ht="13.15">
      <c r="A78" s="14"/>
      <c r="B78" s="14"/>
      <c r="C78" s="14"/>
      <c r="D78" s="14"/>
      <c r="E78" s="14"/>
      <c r="F78" s="15"/>
      <c r="G78" s="14"/>
      <c r="H78" s="14"/>
      <c r="I78" s="15"/>
    </row>
    <row r="79" spans="1:9" ht="13.15">
      <c r="A79" s="14"/>
      <c r="B79" s="14"/>
      <c r="C79" s="14"/>
      <c r="D79" s="14"/>
      <c r="E79" s="14"/>
      <c r="F79" s="15"/>
      <c r="G79" s="14"/>
      <c r="H79" s="14"/>
      <c r="I79" s="15"/>
    </row>
    <row r="80" spans="1:9" ht="13.15">
      <c r="A80" s="14"/>
      <c r="B80" s="14"/>
      <c r="C80" s="14"/>
      <c r="D80" s="14"/>
      <c r="E80" s="14"/>
      <c r="F80" s="15"/>
      <c r="G80" s="14"/>
      <c r="H80" s="14"/>
      <c r="I80" s="15"/>
    </row>
    <row r="81" spans="1:9" ht="13.15">
      <c r="A81" s="14"/>
      <c r="B81" s="14"/>
      <c r="C81" s="14"/>
      <c r="D81" s="14"/>
      <c r="E81" s="14"/>
      <c r="F81" s="15"/>
      <c r="G81" s="14"/>
      <c r="H81" s="14"/>
      <c r="I81" s="15"/>
    </row>
    <row r="82" spans="1:9" ht="13.15">
      <c r="A82" s="14"/>
      <c r="B82" s="14"/>
      <c r="C82" s="14"/>
      <c r="D82" s="14"/>
      <c r="E82" s="14"/>
      <c r="F82" s="15"/>
      <c r="G82" s="14"/>
      <c r="H82" s="14"/>
      <c r="I82" s="15"/>
    </row>
    <row r="83" spans="1:9" ht="13.15">
      <c r="A83" s="14"/>
      <c r="B83" s="14"/>
      <c r="C83" s="14"/>
      <c r="D83" s="14"/>
      <c r="E83" s="14"/>
      <c r="F83" s="15"/>
      <c r="G83" s="14"/>
      <c r="H83" s="14"/>
      <c r="I83" s="15"/>
    </row>
    <row r="84" spans="1:9" ht="13.15">
      <c r="A84" s="14"/>
      <c r="B84" s="14"/>
      <c r="C84" s="14"/>
      <c r="D84" s="14"/>
      <c r="E84" s="14"/>
      <c r="F84" s="15"/>
      <c r="G84" s="14"/>
      <c r="H84" s="14"/>
      <c r="I84" s="15"/>
    </row>
    <row r="85" spans="1:9" ht="13.15">
      <c r="A85" s="14"/>
      <c r="B85" s="14"/>
      <c r="C85" s="14"/>
      <c r="D85" s="14"/>
      <c r="E85" s="14"/>
      <c r="F85" s="15"/>
      <c r="G85" s="14"/>
      <c r="H85" s="14"/>
      <c r="I85" s="15"/>
    </row>
    <row r="86" spans="1:9" ht="13.15">
      <c r="A86" s="14"/>
      <c r="B86" s="14"/>
      <c r="C86" s="14"/>
      <c r="D86" s="14"/>
      <c r="E86" s="14"/>
      <c r="F86" s="15"/>
      <c r="G86" s="14"/>
      <c r="H86" s="14"/>
      <c r="I86" s="15"/>
    </row>
    <row r="87" spans="1:9" ht="13.15">
      <c r="A87" s="14"/>
      <c r="B87" s="14"/>
      <c r="C87" s="14"/>
      <c r="D87" s="14"/>
      <c r="E87" s="14"/>
      <c r="F87" s="15"/>
      <c r="G87" s="14"/>
      <c r="H87" s="14"/>
      <c r="I87" s="15"/>
    </row>
    <row r="88" spans="1:9" ht="13.15">
      <c r="A88" s="14"/>
      <c r="B88" s="14"/>
      <c r="C88" s="14"/>
      <c r="D88" s="14"/>
      <c r="E88" s="14"/>
      <c r="F88" s="15"/>
      <c r="G88" s="14"/>
      <c r="H88" s="14"/>
      <c r="I88" s="15"/>
    </row>
    <row r="89" spans="1:9" ht="13.15">
      <c r="A89" s="14"/>
      <c r="B89" s="14"/>
      <c r="C89" s="14"/>
      <c r="D89" s="14"/>
      <c r="E89" s="14"/>
      <c r="F89" s="15"/>
      <c r="G89" s="14"/>
      <c r="H89" s="14"/>
      <c r="I89" s="15"/>
    </row>
    <row r="90" spans="1:9" ht="13.15">
      <c r="A90" s="14"/>
      <c r="B90" s="14"/>
      <c r="C90" s="14"/>
      <c r="D90" s="14"/>
      <c r="E90" s="14"/>
      <c r="F90" s="15"/>
      <c r="G90" s="14"/>
      <c r="H90" s="14"/>
      <c r="I90" s="15"/>
    </row>
    <row r="91" spans="1:9" ht="13.15">
      <c r="A91" s="14"/>
      <c r="B91" s="14"/>
      <c r="C91" s="14"/>
      <c r="D91" s="14"/>
      <c r="E91" s="14"/>
      <c r="F91" s="15"/>
      <c r="G91" s="14"/>
      <c r="H91" s="14"/>
      <c r="I91" s="15"/>
    </row>
    <row r="92" spans="1:9" ht="13.15">
      <c r="A92" s="14"/>
      <c r="B92" s="14"/>
      <c r="C92" s="14"/>
      <c r="D92" s="14"/>
      <c r="E92" s="14"/>
      <c r="F92" s="15"/>
      <c r="G92" s="14"/>
      <c r="H92" s="14"/>
      <c r="I92" s="15"/>
    </row>
    <row r="93" spans="1:9" ht="13.15">
      <c r="A93" s="14"/>
      <c r="B93" s="14"/>
      <c r="C93" s="14"/>
      <c r="D93" s="14"/>
      <c r="E93" s="14"/>
      <c r="F93" s="15"/>
      <c r="G93" s="14"/>
      <c r="H93" s="14"/>
      <c r="I93" s="15"/>
    </row>
    <row r="94" spans="1:9" ht="13.15">
      <c r="A94" s="14"/>
      <c r="B94" s="14"/>
      <c r="C94" s="14"/>
      <c r="D94" s="14"/>
      <c r="E94" s="14"/>
      <c r="F94" s="15"/>
      <c r="G94" s="14"/>
      <c r="H94" s="14"/>
      <c r="I94" s="15"/>
    </row>
    <row r="95" spans="1:9" ht="13.15">
      <c r="A95" s="14"/>
      <c r="B95" s="14"/>
      <c r="C95" s="14"/>
      <c r="D95" s="14"/>
      <c r="E95" s="14"/>
      <c r="F95" s="15"/>
      <c r="G95" s="14"/>
      <c r="H95" s="14"/>
      <c r="I95" s="15"/>
    </row>
    <row r="96" spans="1:9" ht="13.15">
      <c r="A96" s="14"/>
      <c r="B96" s="14"/>
      <c r="C96" s="14"/>
      <c r="D96" s="14"/>
      <c r="E96" s="14"/>
      <c r="F96" s="15"/>
      <c r="G96" s="14"/>
      <c r="H96" s="14"/>
      <c r="I96" s="15"/>
    </row>
    <row r="97" spans="1:9" ht="13.15">
      <c r="A97" s="14"/>
      <c r="B97" s="14"/>
      <c r="C97" s="14"/>
      <c r="D97" s="14"/>
      <c r="E97" s="14"/>
      <c r="F97" s="15"/>
      <c r="G97" s="14"/>
      <c r="H97" s="14"/>
      <c r="I97" s="15"/>
    </row>
    <row r="98" spans="1:9" ht="13.15">
      <c r="A98" s="14"/>
      <c r="B98" s="14"/>
      <c r="C98" s="14"/>
      <c r="D98" s="14"/>
      <c r="E98" s="14"/>
      <c r="F98" s="15"/>
      <c r="G98" s="14"/>
      <c r="H98" s="14"/>
      <c r="I98" s="15"/>
    </row>
    <row r="99" spans="1:9" ht="13.15">
      <c r="A99" s="14"/>
      <c r="B99" s="14"/>
      <c r="C99" s="14"/>
      <c r="D99" s="14"/>
      <c r="E99" s="14"/>
      <c r="F99" s="15"/>
      <c r="G99" s="14"/>
      <c r="H99" s="14"/>
      <c r="I99" s="15"/>
    </row>
    <row r="100" spans="1:9" ht="13.15">
      <c r="A100" s="14"/>
      <c r="B100" s="14"/>
      <c r="C100" s="14"/>
      <c r="D100" s="14"/>
      <c r="E100" s="14"/>
      <c r="F100" s="15"/>
      <c r="G100" s="14"/>
      <c r="H100" s="14"/>
      <c r="I100" s="15"/>
    </row>
    <row r="101" spans="1:9" ht="13.15">
      <c r="A101" s="14"/>
      <c r="B101" s="14"/>
      <c r="C101" s="14"/>
      <c r="D101" s="14"/>
      <c r="E101" s="14"/>
      <c r="F101" s="15"/>
      <c r="G101" s="14"/>
      <c r="H101" s="14"/>
      <c r="I101" s="15"/>
    </row>
    <row r="102" spans="1:9" ht="13.15">
      <c r="A102" s="14"/>
      <c r="B102" s="14"/>
      <c r="C102" s="14"/>
      <c r="D102" s="14"/>
      <c r="E102" s="14"/>
      <c r="F102" s="15"/>
      <c r="G102" s="14"/>
      <c r="H102" s="14"/>
      <c r="I102" s="15"/>
    </row>
    <row r="103" spans="1:9" ht="13.15">
      <c r="A103" s="14"/>
      <c r="B103" s="14"/>
      <c r="C103" s="14"/>
      <c r="D103" s="14"/>
      <c r="E103" s="14"/>
      <c r="F103" s="15"/>
      <c r="G103" s="14"/>
      <c r="H103" s="14"/>
      <c r="I103" s="15"/>
    </row>
    <row r="104" spans="1:9" ht="13.15">
      <c r="A104" s="14"/>
      <c r="B104" s="14"/>
      <c r="C104" s="14"/>
      <c r="D104" s="14"/>
      <c r="E104" s="14"/>
      <c r="F104" s="15"/>
      <c r="G104" s="14"/>
      <c r="H104" s="14"/>
      <c r="I104" s="15"/>
    </row>
    <row r="105" spans="1:9" ht="13.15">
      <c r="A105" s="14"/>
      <c r="B105" s="14"/>
      <c r="C105" s="14"/>
      <c r="D105" s="14"/>
      <c r="E105" s="14"/>
      <c r="F105" s="15"/>
      <c r="G105" s="14"/>
      <c r="H105" s="14"/>
      <c r="I105" s="15"/>
    </row>
    <row r="106" spans="1:9" ht="13.15">
      <c r="A106" s="14"/>
      <c r="B106" s="14"/>
      <c r="C106" s="14"/>
      <c r="D106" s="14"/>
      <c r="E106" s="14"/>
      <c r="F106" s="15"/>
      <c r="G106" s="14"/>
      <c r="H106" s="14"/>
      <c r="I106" s="15"/>
    </row>
    <row r="107" spans="1:9" ht="13.15">
      <c r="A107" s="14"/>
      <c r="B107" s="14"/>
      <c r="C107" s="14"/>
      <c r="D107" s="14"/>
      <c r="E107" s="14"/>
      <c r="F107" s="15"/>
      <c r="G107" s="14"/>
      <c r="H107" s="14"/>
      <c r="I107" s="15"/>
    </row>
    <row r="108" spans="1:9" ht="13.15">
      <c r="A108" s="14"/>
      <c r="B108" s="14"/>
      <c r="C108" s="14"/>
      <c r="D108" s="14"/>
      <c r="E108" s="14"/>
      <c r="F108" s="15"/>
      <c r="G108" s="14"/>
      <c r="H108" s="14"/>
      <c r="I108" s="15"/>
    </row>
    <row r="109" spans="1:9" ht="13.15">
      <c r="A109" s="14"/>
      <c r="B109" s="14"/>
      <c r="C109" s="14"/>
      <c r="D109" s="14"/>
      <c r="E109" s="14"/>
      <c r="F109" s="15"/>
      <c r="G109" s="14"/>
      <c r="H109" s="14"/>
      <c r="I109" s="15"/>
    </row>
    <row r="110" spans="1:9" ht="13.15">
      <c r="A110" s="14"/>
      <c r="B110" s="14"/>
      <c r="C110" s="14"/>
      <c r="D110" s="14"/>
      <c r="E110" s="14"/>
      <c r="F110" s="15"/>
      <c r="G110" s="14"/>
      <c r="H110" s="14"/>
      <c r="I110" s="15"/>
    </row>
    <row r="111" spans="1:9" ht="13.15">
      <c r="A111" s="14"/>
      <c r="B111" s="14"/>
      <c r="C111" s="14"/>
      <c r="D111" s="14"/>
      <c r="E111" s="14"/>
      <c r="F111" s="15"/>
      <c r="G111" s="14"/>
      <c r="H111" s="14"/>
      <c r="I111" s="15"/>
    </row>
    <row r="112" spans="1:9" ht="13.15">
      <c r="A112" s="14"/>
      <c r="B112" s="14"/>
      <c r="C112" s="14"/>
      <c r="D112" s="14"/>
      <c r="E112" s="14"/>
      <c r="F112" s="15"/>
      <c r="G112" s="14"/>
      <c r="H112" s="14"/>
      <c r="I112" s="15"/>
    </row>
    <row r="113" spans="1:9" ht="13.15">
      <c r="A113" s="14"/>
      <c r="B113" s="14"/>
      <c r="C113" s="14"/>
      <c r="D113" s="14"/>
      <c r="E113" s="14"/>
      <c r="F113" s="15"/>
      <c r="G113" s="14"/>
      <c r="H113" s="14"/>
      <c r="I113" s="15"/>
    </row>
    <row r="114" spans="1:9" ht="13.15">
      <c r="A114" s="14"/>
      <c r="B114" s="14"/>
      <c r="C114" s="14"/>
      <c r="D114" s="14"/>
      <c r="E114" s="14"/>
      <c r="F114" s="15"/>
      <c r="G114" s="14"/>
      <c r="H114" s="14"/>
      <c r="I114" s="15"/>
    </row>
    <row r="115" spans="1:9" ht="13.15">
      <c r="A115" s="14"/>
      <c r="B115" s="14"/>
      <c r="C115" s="14"/>
      <c r="D115" s="14"/>
      <c r="E115" s="14"/>
      <c r="F115" s="15"/>
      <c r="G115" s="14"/>
      <c r="H115" s="14"/>
      <c r="I115" s="15"/>
    </row>
    <row r="116" spans="1:9" ht="13.15">
      <c r="A116" s="14"/>
      <c r="B116" s="14"/>
      <c r="C116" s="14"/>
      <c r="D116" s="14"/>
      <c r="E116" s="14"/>
      <c r="F116" s="15"/>
      <c r="G116" s="14"/>
      <c r="H116" s="14"/>
      <c r="I116" s="15"/>
    </row>
    <row r="117" spans="1:9" ht="13.15">
      <c r="A117" s="14"/>
      <c r="B117" s="14"/>
      <c r="C117" s="14"/>
      <c r="D117" s="14"/>
      <c r="E117" s="14"/>
      <c r="F117" s="15"/>
      <c r="G117" s="14"/>
      <c r="H117" s="14"/>
      <c r="I117" s="15"/>
    </row>
    <row r="118" spans="1:9" ht="13.15">
      <c r="A118" s="14"/>
      <c r="B118" s="14"/>
      <c r="C118" s="14"/>
      <c r="D118" s="14"/>
      <c r="E118" s="14"/>
      <c r="F118" s="15"/>
      <c r="G118" s="14"/>
      <c r="H118" s="14"/>
      <c r="I118" s="15"/>
    </row>
    <row r="119" spans="1:9" ht="13.15">
      <c r="A119" s="14"/>
      <c r="B119" s="14"/>
      <c r="C119" s="14"/>
      <c r="D119" s="14"/>
      <c r="E119" s="14"/>
      <c r="F119" s="15"/>
      <c r="G119" s="14"/>
      <c r="H119" s="14"/>
      <c r="I119" s="15"/>
    </row>
    <row r="120" spans="1:9" ht="13.15">
      <c r="A120" s="14"/>
      <c r="B120" s="14"/>
      <c r="C120" s="14"/>
      <c r="D120" s="14"/>
      <c r="E120" s="14"/>
      <c r="F120" s="15"/>
      <c r="G120" s="14"/>
      <c r="H120" s="14"/>
      <c r="I120" s="15"/>
    </row>
    <row r="121" spans="1:9" ht="13.15">
      <c r="A121" s="14"/>
      <c r="B121" s="14"/>
      <c r="C121" s="14"/>
      <c r="D121" s="14"/>
      <c r="E121" s="14"/>
      <c r="F121" s="15"/>
      <c r="G121" s="14"/>
      <c r="H121" s="14"/>
      <c r="I121" s="15"/>
    </row>
    <row r="122" spans="1:9" ht="13.15">
      <c r="A122" s="14"/>
      <c r="B122" s="14"/>
      <c r="C122" s="14"/>
      <c r="D122" s="14"/>
      <c r="E122" s="14"/>
      <c r="F122" s="15"/>
      <c r="G122" s="14"/>
      <c r="H122" s="14"/>
      <c r="I122" s="15"/>
    </row>
    <row r="123" spans="1:9" ht="13.15">
      <c r="A123" s="14"/>
      <c r="B123" s="14"/>
      <c r="C123" s="14"/>
      <c r="D123" s="14"/>
      <c r="E123" s="14"/>
      <c r="F123" s="15"/>
      <c r="G123" s="14"/>
      <c r="H123" s="14"/>
      <c r="I123" s="15"/>
    </row>
    <row r="124" spans="1:9" ht="13.15">
      <c r="A124" s="14"/>
      <c r="B124" s="14"/>
      <c r="C124" s="14"/>
      <c r="D124" s="14"/>
      <c r="E124" s="14"/>
      <c r="F124" s="15"/>
      <c r="G124" s="14"/>
      <c r="H124" s="14"/>
      <c r="I124" s="15"/>
    </row>
    <row r="125" spans="1:9" ht="13.15">
      <c r="A125" s="14"/>
      <c r="B125" s="14"/>
      <c r="C125" s="14"/>
      <c r="D125" s="14"/>
      <c r="E125" s="14"/>
      <c r="F125" s="15"/>
      <c r="G125" s="14"/>
      <c r="H125" s="14"/>
      <c r="I125" s="15"/>
    </row>
    <row r="126" spans="1:9" ht="13.15">
      <c r="A126" s="14"/>
      <c r="B126" s="14"/>
      <c r="C126" s="14"/>
      <c r="D126" s="14"/>
      <c r="E126" s="14"/>
      <c r="F126" s="15"/>
      <c r="G126" s="14"/>
      <c r="H126" s="14"/>
      <c r="I126" s="15"/>
    </row>
    <row r="127" spans="1:9" ht="13.15">
      <c r="A127" s="14"/>
      <c r="B127" s="14"/>
      <c r="C127" s="14"/>
      <c r="D127" s="14"/>
      <c r="E127" s="14"/>
      <c r="F127" s="15"/>
      <c r="G127" s="14"/>
      <c r="H127" s="14"/>
      <c r="I127" s="15"/>
    </row>
    <row r="128" spans="1:9" ht="13.15">
      <c r="A128" s="14"/>
      <c r="B128" s="14"/>
      <c r="C128" s="14"/>
      <c r="D128" s="14"/>
      <c r="E128" s="14"/>
      <c r="F128" s="15"/>
      <c r="G128" s="14"/>
      <c r="H128" s="14"/>
      <c r="I128" s="15"/>
    </row>
    <row r="129" spans="1:9" ht="13.15">
      <c r="A129" s="14"/>
      <c r="B129" s="14"/>
      <c r="C129" s="14"/>
      <c r="D129" s="14"/>
      <c r="E129" s="14"/>
      <c r="F129" s="15"/>
      <c r="G129" s="14"/>
      <c r="H129" s="14"/>
      <c r="I129" s="15"/>
    </row>
    <row r="130" spans="1:9" ht="13.15">
      <c r="A130" s="14"/>
      <c r="B130" s="14"/>
      <c r="C130" s="14"/>
      <c r="D130" s="14"/>
      <c r="E130" s="14"/>
      <c r="F130" s="15"/>
      <c r="G130" s="14"/>
      <c r="H130" s="14"/>
      <c r="I130" s="15"/>
    </row>
    <row r="131" spans="1:9" ht="13.15">
      <c r="A131" s="14"/>
      <c r="B131" s="14"/>
      <c r="C131" s="14"/>
      <c r="D131" s="14"/>
      <c r="E131" s="14"/>
      <c r="F131" s="15"/>
      <c r="G131" s="14"/>
      <c r="H131" s="14"/>
      <c r="I131" s="15"/>
    </row>
    <row r="132" spans="1:9" ht="13.15">
      <c r="A132" s="14"/>
      <c r="B132" s="14"/>
      <c r="C132" s="14"/>
      <c r="D132" s="14"/>
      <c r="E132" s="14"/>
      <c r="F132" s="15"/>
      <c r="G132" s="14"/>
      <c r="H132" s="14"/>
      <c r="I132" s="15"/>
    </row>
    <row r="133" spans="1:9" ht="13.15">
      <c r="A133" s="14"/>
      <c r="B133" s="14"/>
      <c r="C133" s="14"/>
      <c r="D133" s="14"/>
      <c r="E133" s="14"/>
      <c r="F133" s="15"/>
      <c r="G133" s="14"/>
      <c r="H133" s="14"/>
      <c r="I133" s="15"/>
    </row>
    <row r="134" spans="1:9" ht="13.15">
      <c r="A134" s="14"/>
      <c r="B134" s="14"/>
      <c r="C134" s="14"/>
      <c r="D134" s="14"/>
      <c r="E134" s="14"/>
      <c r="F134" s="15"/>
      <c r="G134" s="14"/>
      <c r="H134" s="14"/>
      <c r="I134" s="15"/>
    </row>
    <row r="135" spans="1:9" ht="13.15">
      <c r="A135" s="14"/>
      <c r="B135" s="14"/>
      <c r="C135" s="14"/>
      <c r="D135" s="14"/>
      <c r="E135" s="14"/>
      <c r="F135" s="15"/>
      <c r="G135" s="14"/>
      <c r="H135" s="14"/>
      <c r="I135" s="15"/>
    </row>
    <row r="136" spans="1:9" ht="13.15">
      <c r="A136" s="14"/>
      <c r="B136" s="14"/>
      <c r="C136" s="14"/>
      <c r="D136" s="14"/>
      <c r="E136" s="14"/>
      <c r="F136" s="15"/>
      <c r="G136" s="14"/>
      <c r="H136" s="14"/>
      <c r="I136" s="15"/>
    </row>
    <row r="137" spans="1:9" ht="13.15">
      <c r="A137" s="14"/>
      <c r="B137" s="14"/>
      <c r="C137" s="14"/>
      <c r="D137" s="14"/>
      <c r="E137" s="14"/>
      <c r="F137" s="15"/>
      <c r="G137" s="14"/>
      <c r="H137" s="14"/>
      <c r="I137" s="15"/>
    </row>
    <row r="138" spans="1:9" ht="13.15">
      <c r="A138" s="14"/>
      <c r="B138" s="14"/>
      <c r="C138" s="14"/>
      <c r="D138" s="14"/>
      <c r="E138" s="14"/>
      <c r="F138" s="15"/>
      <c r="G138" s="14"/>
      <c r="H138" s="14"/>
      <c r="I138" s="15"/>
    </row>
    <row r="139" spans="1:9" ht="13.15">
      <c r="A139" s="14"/>
      <c r="B139" s="14"/>
      <c r="C139" s="14"/>
      <c r="D139" s="14"/>
      <c r="E139" s="14"/>
      <c r="F139" s="15"/>
      <c r="G139" s="14"/>
      <c r="H139" s="14"/>
      <c r="I139" s="15"/>
    </row>
    <row r="140" spans="1:9" ht="13.15">
      <c r="A140" s="14"/>
      <c r="B140" s="14"/>
      <c r="C140" s="14"/>
      <c r="D140" s="14"/>
      <c r="E140" s="14"/>
      <c r="F140" s="15"/>
      <c r="G140" s="14"/>
      <c r="H140" s="14"/>
      <c r="I140" s="15"/>
    </row>
    <row r="141" spans="1:9" ht="13.15">
      <c r="A141" s="14"/>
      <c r="B141" s="14"/>
      <c r="C141" s="14"/>
      <c r="D141" s="14"/>
      <c r="E141" s="14"/>
      <c r="F141" s="15"/>
      <c r="G141" s="14"/>
      <c r="H141" s="14"/>
      <c r="I141" s="15"/>
    </row>
    <row r="142" spans="1:9" ht="13.15">
      <c r="A142" s="14"/>
      <c r="B142" s="14"/>
      <c r="C142" s="14"/>
      <c r="D142" s="14"/>
      <c r="E142" s="14"/>
      <c r="F142" s="15"/>
      <c r="G142" s="14"/>
      <c r="H142" s="14"/>
      <c r="I142" s="15"/>
    </row>
    <row r="143" spans="1:9" ht="13.15">
      <c r="A143" s="14"/>
      <c r="B143" s="14"/>
      <c r="C143" s="14"/>
      <c r="D143" s="14"/>
      <c r="E143" s="14"/>
      <c r="F143" s="15"/>
      <c r="G143" s="14"/>
      <c r="H143" s="14"/>
      <c r="I143" s="15"/>
    </row>
    <row r="144" spans="1:9" ht="13.15">
      <c r="A144" s="14"/>
      <c r="B144" s="14"/>
      <c r="C144" s="14"/>
      <c r="D144" s="14"/>
      <c r="E144" s="14"/>
      <c r="F144" s="15"/>
      <c r="G144" s="14"/>
      <c r="H144" s="14"/>
      <c r="I144" s="15"/>
    </row>
    <row r="145" spans="1:9" ht="13.15">
      <c r="A145" s="14"/>
      <c r="B145" s="14"/>
      <c r="C145" s="14"/>
      <c r="D145" s="14"/>
      <c r="E145" s="14"/>
      <c r="F145" s="15"/>
      <c r="G145" s="14"/>
      <c r="H145" s="14"/>
      <c r="I145" s="15"/>
    </row>
    <row r="146" spans="1:9" ht="13.15">
      <c r="A146" s="14"/>
      <c r="B146" s="14"/>
      <c r="C146" s="14"/>
      <c r="D146" s="14"/>
      <c r="E146" s="14"/>
      <c r="F146" s="15"/>
      <c r="G146" s="14"/>
      <c r="H146" s="14"/>
      <c r="I146" s="15"/>
    </row>
    <row r="147" spans="1:9" ht="13.15">
      <c r="A147" s="14"/>
      <c r="B147" s="14"/>
      <c r="C147" s="14"/>
      <c r="D147" s="14"/>
      <c r="E147" s="14"/>
      <c r="F147" s="15"/>
      <c r="G147" s="14"/>
      <c r="H147" s="14"/>
      <c r="I147" s="15"/>
    </row>
    <row r="148" spans="1:9" ht="13.15">
      <c r="A148" s="14"/>
      <c r="B148" s="14"/>
      <c r="C148" s="14"/>
      <c r="D148" s="14"/>
      <c r="E148" s="14"/>
      <c r="F148" s="15"/>
      <c r="G148" s="14"/>
      <c r="H148" s="14"/>
      <c r="I148" s="15"/>
    </row>
    <row r="149" spans="1:9" ht="13.15">
      <c r="A149" s="14"/>
      <c r="B149" s="14"/>
      <c r="C149" s="14"/>
      <c r="D149" s="14"/>
      <c r="E149" s="14"/>
      <c r="F149" s="15"/>
      <c r="G149" s="14"/>
      <c r="H149" s="14"/>
      <c r="I149" s="15"/>
    </row>
    <row r="150" spans="1:9" ht="13.15">
      <c r="A150" s="14"/>
      <c r="B150" s="14"/>
      <c r="C150" s="14"/>
      <c r="D150" s="14"/>
      <c r="E150" s="14"/>
      <c r="F150" s="15"/>
      <c r="G150" s="14"/>
      <c r="H150" s="14"/>
      <c r="I150" s="15"/>
    </row>
    <row r="151" spans="1:9" ht="13.15">
      <c r="A151" s="14"/>
      <c r="B151" s="14"/>
      <c r="C151" s="14"/>
      <c r="D151" s="14"/>
      <c r="E151" s="14"/>
      <c r="F151" s="15"/>
      <c r="G151" s="14"/>
      <c r="H151" s="14"/>
      <c r="I151" s="15"/>
    </row>
    <row r="152" spans="1:9" ht="13.15">
      <c r="A152" s="14"/>
      <c r="B152" s="14"/>
      <c r="C152" s="14"/>
      <c r="D152" s="14"/>
      <c r="E152" s="14"/>
      <c r="F152" s="15"/>
      <c r="G152" s="14"/>
      <c r="H152" s="14"/>
      <c r="I152" s="15"/>
    </row>
    <row r="153" spans="1:9" ht="13.15">
      <c r="A153" s="14"/>
      <c r="B153" s="14"/>
      <c r="C153" s="14"/>
      <c r="D153" s="14"/>
      <c r="E153" s="14"/>
      <c r="F153" s="15"/>
      <c r="G153" s="14"/>
      <c r="H153" s="14"/>
      <c r="I153" s="15"/>
    </row>
    <row r="154" spans="1:9" ht="13.15">
      <c r="A154" s="14"/>
      <c r="B154" s="14"/>
      <c r="C154" s="14"/>
      <c r="D154" s="14"/>
      <c r="E154" s="14"/>
      <c r="F154" s="15"/>
      <c r="G154" s="14"/>
      <c r="H154" s="14"/>
      <c r="I154" s="15"/>
    </row>
    <row r="155" spans="1:9" ht="13.15">
      <c r="A155" s="14"/>
      <c r="B155" s="14"/>
      <c r="C155" s="14"/>
      <c r="D155" s="14"/>
      <c r="E155" s="14"/>
      <c r="F155" s="15"/>
      <c r="G155" s="14"/>
      <c r="H155" s="14"/>
      <c r="I155" s="15"/>
    </row>
    <row r="156" spans="1:9" ht="13.15">
      <c r="A156" s="14"/>
      <c r="B156" s="14"/>
      <c r="C156" s="14"/>
      <c r="D156" s="14"/>
      <c r="E156" s="14"/>
      <c r="F156" s="15"/>
      <c r="G156" s="14"/>
      <c r="H156" s="14"/>
      <c r="I156" s="15"/>
    </row>
    <row r="157" spans="1:9" ht="13.15">
      <c r="A157" s="14"/>
      <c r="B157" s="14"/>
      <c r="C157" s="14"/>
      <c r="D157" s="14"/>
      <c r="E157" s="14"/>
      <c r="F157" s="15"/>
      <c r="G157" s="14"/>
      <c r="H157" s="14"/>
      <c r="I157" s="15"/>
    </row>
    <row r="158" spans="1:9" ht="13.15">
      <c r="A158" s="14"/>
      <c r="B158" s="14"/>
      <c r="C158" s="14"/>
      <c r="D158" s="14"/>
      <c r="E158" s="14"/>
      <c r="F158" s="15"/>
      <c r="G158" s="14"/>
      <c r="H158" s="14"/>
      <c r="I158" s="15"/>
    </row>
    <row r="159" spans="1:9" ht="13.15">
      <c r="A159" s="14"/>
      <c r="B159" s="14"/>
      <c r="C159" s="14"/>
      <c r="D159" s="14"/>
      <c r="E159" s="14"/>
      <c r="F159" s="15"/>
      <c r="G159" s="14"/>
      <c r="H159" s="14"/>
      <c r="I159" s="15"/>
    </row>
    <row r="160" spans="1:9" ht="13.15">
      <c r="A160" s="14"/>
      <c r="B160" s="14"/>
      <c r="C160" s="14"/>
      <c r="D160" s="14"/>
      <c r="E160" s="14"/>
      <c r="F160" s="15"/>
      <c r="G160" s="14"/>
      <c r="H160" s="14"/>
      <c r="I160" s="15"/>
    </row>
    <row r="161" spans="1:9" ht="13.15">
      <c r="A161" s="14"/>
      <c r="B161" s="14"/>
      <c r="C161" s="14"/>
      <c r="D161" s="14"/>
      <c r="E161" s="14"/>
      <c r="F161" s="15"/>
      <c r="G161" s="14"/>
      <c r="H161" s="14"/>
      <c r="I161" s="15"/>
    </row>
    <row r="162" spans="1:9" ht="13.15">
      <c r="A162" s="14"/>
      <c r="B162" s="14"/>
      <c r="C162" s="14"/>
      <c r="D162" s="14"/>
      <c r="E162" s="14"/>
      <c r="F162" s="15"/>
      <c r="G162" s="14"/>
      <c r="H162" s="14"/>
      <c r="I162" s="15"/>
    </row>
    <row r="163" spans="1:9" ht="13.15">
      <c r="A163" s="14"/>
      <c r="B163" s="14"/>
      <c r="C163" s="14"/>
      <c r="D163" s="14"/>
      <c r="E163" s="14"/>
      <c r="F163" s="15"/>
      <c r="G163" s="14"/>
      <c r="H163" s="14"/>
      <c r="I163" s="15"/>
    </row>
    <row r="164" spans="1:9" ht="13.15">
      <c r="A164" s="14"/>
      <c r="B164" s="14"/>
      <c r="C164" s="14"/>
      <c r="D164" s="14"/>
      <c r="E164" s="14"/>
      <c r="F164" s="15"/>
      <c r="G164" s="14"/>
      <c r="H164" s="14"/>
      <c r="I164" s="15"/>
    </row>
    <row r="165" spans="1:9" ht="13.15">
      <c r="A165" s="14"/>
      <c r="B165" s="14"/>
      <c r="C165" s="14"/>
      <c r="D165" s="14"/>
      <c r="E165" s="14"/>
      <c r="F165" s="15"/>
      <c r="G165" s="14"/>
      <c r="H165" s="14"/>
      <c r="I165" s="15"/>
    </row>
    <row r="166" spans="1:9" ht="13.15">
      <c r="A166" s="14"/>
      <c r="B166" s="14"/>
      <c r="C166" s="14"/>
      <c r="D166" s="14"/>
      <c r="E166" s="14"/>
      <c r="F166" s="15"/>
      <c r="G166" s="14"/>
      <c r="H166" s="14"/>
      <c r="I166" s="15"/>
    </row>
    <row r="167" spans="1:9" ht="13.15">
      <c r="A167" s="14"/>
      <c r="B167" s="14"/>
      <c r="C167" s="14"/>
      <c r="D167" s="14"/>
      <c r="E167" s="14"/>
      <c r="F167" s="15"/>
      <c r="G167" s="14"/>
      <c r="H167" s="14"/>
      <c r="I167" s="15"/>
    </row>
    <row r="168" spans="1:9" ht="13.15">
      <c r="A168" s="14"/>
      <c r="B168" s="14"/>
      <c r="C168" s="14"/>
      <c r="D168" s="14"/>
      <c r="E168" s="14"/>
      <c r="F168" s="15"/>
      <c r="G168" s="14"/>
      <c r="H168" s="14"/>
      <c r="I168" s="15"/>
    </row>
    <row r="169" spans="1:9" ht="13.15">
      <c r="A169" s="14"/>
      <c r="B169" s="14"/>
      <c r="C169" s="14"/>
      <c r="D169" s="14"/>
      <c r="E169" s="14"/>
      <c r="F169" s="15"/>
      <c r="G169" s="14"/>
      <c r="H169" s="14"/>
      <c r="I169" s="15"/>
    </row>
    <row r="170" spans="1:9" ht="13.15">
      <c r="A170" s="14"/>
      <c r="B170" s="14"/>
      <c r="C170" s="14"/>
      <c r="D170" s="14"/>
      <c r="E170" s="14"/>
      <c r="F170" s="15"/>
      <c r="G170" s="14"/>
      <c r="H170" s="14"/>
      <c r="I170" s="15"/>
    </row>
    <row r="171" spans="1:9" ht="13.15">
      <c r="A171" s="14"/>
      <c r="B171" s="14"/>
      <c r="C171" s="14"/>
      <c r="D171" s="14"/>
      <c r="E171" s="14"/>
      <c r="F171" s="15"/>
      <c r="G171" s="14"/>
      <c r="H171" s="14"/>
      <c r="I171" s="15"/>
    </row>
    <row r="172" spans="1:9" ht="13.15">
      <c r="A172" s="14"/>
      <c r="B172" s="14"/>
      <c r="C172" s="14"/>
      <c r="D172" s="14"/>
      <c r="E172" s="14"/>
      <c r="F172" s="15"/>
      <c r="G172" s="14"/>
      <c r="H172" s="14"/>
      <c r="I172" s="15"/>
    </row>
    <row r="173" spans="1:9" ht="13.15">
      <c r="A173" s="14"/>
      <c r="B173" s="14"/>
      <c r="C173" s="14"/>
      <c r="D173" s="14"/>
      <c r="E173" s="14"/>
      <c r="F173" s="15"/>
      <c r="G173" s="14"/>
      <c r="H173" s="14"/>
      <c r="I173" s="15"/>
    </row>
    <row r="174" spans="1:9" ht="13.15">
      <c r="A174" s="14"/>
      <c r="B174" s="14"/>
      <c r="C174" s="14"/>
      <c r="D174" s="14"/>
      <c r="E174" s="14"/>
      <c r="F174" s="15"/>
      <c r="G174" s="14"/>
      <c r="H174" s="14"/>
      <c r="I174" s="15"/>
    </row>
    <row r="175" spans="1:9" ht="13.15">
      <c r="A175" s="14"/>
      <c r="B175" s="14"/>
      <c r="C175" s="14"/>
      <c r="D175" s="14"/>
      <c r="E175" s="14"/>
      <c r="F175" s="15"/>
      <c r="G175" s="14"/>
      <c r="H175" s="14"/>
      <c r="I175" s="15"/>
    </row>
    <row r="176" spans="1:9" ht="13.15">
      <c r="A176" s="14"/>
      <c r="B176" s="14"/>
      <c r="C176" s="14"/>
      <c r="D176" s="14"/>
      <c r="E176" s="14"/>
      <c r="F176" s="15"/>
      <c r="G176" s="14"/>
      <c r="H176" s="14"/>
      <c r="I176" s="15"/>
    </row>
    <row r="177" spans="1:9" ht="13.15">
      <c r="A177" s="14"/>
      <c r="B177" s="14"/>
      <c r="C177" s="14"/>
      <c r="D177" s="14"/>
      <c r="E177" s="14"/>
      <c r="F177" s="15"/>
      <c r="G177" s="14"/>
      <c r="H177" s="14"/>
      <c r="I177" s="15"/>
    </row>
    <row r="178" spans="1:9" ht="13.15">
      <c r="A178" s="14"/>
      <c r="B178" s="14"/>
      <c r="C178" s="14"/>
      <c r="D178" s="14"/>
      <c r="E178" s="14"/>
      <c r="F178" s="15"/>
      <c r="G178" s="14"/>
      <c r="H178" s="14"/>
      <c r="I178" s="15"/>
    </row>
    <row r="179" spans="1:9" ht="13.15">
      <c r="A179" s="14"/>
      <c r="B179" s="14"/>
      <c r="C179" s="14"/>
      <c r="D179" s="14"/>
      <c r="E179" s="14"/>
      <c r="F179" s="15"/>
      <c r="G179" s="14"/>
      <c r="H179" s="14"/>
      <c r="I179" s="15"/>
    </row>
    <row r="180" spans="1:9" ht="13.15">
      <c r="A180" s="14"/>
      <c r="B180" s="14"/>
      <c r="C180" s="14"/>
      <c r="D180" s="14"/>
      <c r="E180" s="14"/>
      <c r="F180" s="15"/>
      <c r="G180" s="14"/>
      <c r="H180" s="14"/>
      <c r="I180" s="15"/>
    </row>
    <row r="181" spans="1:9" ht="13.15">
      <c r="A181" s="14"/>
      <c r="B181" s="14"/>
      <c r="C181" s="14"/>
      <c r="D181" s="14"/>
      <c r="E181" s="14"/>
      <c r="F181" s="15"/>
      <c r="G181" s="14"/>
      <c r="H181" s="14"/>
      <c r="I181" s="15"/>
    </row>
    <row r="182" spans="1:9" ht="13.15">
      <c r="A182" s="14"/>
      <c r="B182" s="14"/>
      <c r="C182" s="14"/>
      <c r="D182" s="14"/>
      <c r="E182" s="14"/>
      <c r="F182" s="15"/>
      <c r="G182" s="14"/>
      <c r="H182" s="14"/>
      <c r="I182" s="15"/>
    </row>
    <row r="183" spans="1:9" ht="13.15">
      <c r="A183" s="14"/>
      <c r="B183" s="14"/>
      <c r="C183" s="14"/>
      <c r="D183" s="14"/>
      <c r="E183" s="14"/>
      <c r="F183" s="15"/>
      <c r="G183" s="14"/>
      <c r="H183" s="14"/>
      <c r="I183" s="15"/>
    </row>
    <row r="184" spans="1:9" ht="13.15">
      <c r="A184" s="14"/>
      <c r="B184" s="14"/>
      <c r="C184" s="14"/>
      <c r="D184" s="14"/>
      <c r="E184" s="14"/>
      <c r="F184" s="15"/>
      <c r="G184" s="14"/>
      <c r="H184" s="14"/>
      <c r="I184" s="15"/>
    </row>
    <row r="185" spans="1:9" ht="13.15">
      <c r="A185" s="14"/>
      <c r="B185" s="14"/>
      <c r="C185" s="14"/>
      <c r="D185" s="14"/>
      <c r="E185" s="14"/>
      <c r="F185" s="15"/>
      <c r="G185" s="14"/>
      <c r="H185" s="14"/>
      <c r="I185" s="15"/>
    </row>
    <row r="186" spans="1:9" ht="13.15">
      <c r="A186" s="14"/>
      <c r="B186" s="14"/>
      <c r="C186" s="14"/>
      <c r="D186" s="14"/>
      <c r="E186" s="14"/>
      <c r="F186" s="15"/>
      <c r="G186" s="14"/>
      <c r="H186" s="14"/>
      <c r="I186" s="15"/>
    </row>
    <row r="187" spans="1:9" ht="13.15">
      <c r="A187" s="14"/>
      <c r="B187" s="14"/>
      <c r="C187" s="14"/>
      <c r="D187" s="14"/>
      <c r="E187" s="14"/>
      <c r="F187" s="15"/>
      <c r="G187" s="14"/>
      <c r="H187" s="14"/>
      <c r="I187" s="15"/>
    </row>
    <row r="188" spans="1:9" ht="13.15">
      <c r="A188" s="14"/>
      <c r="B188" s="14"/>
      <c r="C188" s="14"/>
      <c r="D188" s="14"/>
      <c r="E188" s="14"/>
      <c r="F188" s="15"/>
      <c r="G188" s="14"/>
      <c r="H188" s="14"/>
      <c r="I188" s="15"/>
    </row>
    <row r="189" spans="1:9" ht="13.15">
      <c r="A189" s="14"/>
      <c r="B189" s="14"/>
      <c r="C189" s="14"/>
      <c r="D189" s="14"/>
      <c r="E189" s="14"/>
      <c r="F189" s="15"/>
      <c r="G189" s="14"/>
      <c r="H189" s="14"/>
      <c r="I189" s="15"/>
    </row>
    <row r="190" spans="1:9" ht="13.15">
      <c r="A190" s="14"/>
      <c r="B190" s="14"/>
      <c r="C190" s="14"/>
      <c r="D190" s="14"/>
      <c r="E190" s="14"/>
      <c r="F190" s="15"/>
      <c r="G190" s="14"/>
      <c r="H190" s="14"/>
      <c r="I190" s="15"/>
    </row>
    <row r="191" spans="1:9" ht="13.15">
      <c r="A191" s="14"/>
      <c r="B191" s="14"/>
      <c r="C191" s="14"/>
      <c r="D191" s="14"/>
      <c r="E191" s="14"/>
      <c r="F191" s="15"/>
      <c r="G191" s="14"/>
      <c r="H191" s="14"/>
      <c r="I191" s="15"/>
    </row>
    <row r="192" spans="1:9" ht="13.15">
      <c r="A192" s="14"/>
      <c r="B192" s="14"/>
      <c r="C192" s="14"/>
      <c r="D192" s="14"/>
      <c r="E192" s="14"/>
      <c r="F192" s="15"/>
      <c r="G192" s="14"/>
      <c r="H192" s="14"/>
      <c r="I192" s="15"/>
    </row>
    <row r="193" spans="1:9" ht="13.15">
      <c r="A193" s="14"/>
      <c r="B193" s="14"/>
      <c r="C193" s="14"/>
      <c r="D193" s="14"/>
      <c r="E193" s="14"/>
      <c r="F193" s="15"/>
      <c r="G193" s="14"/>
      <c r="H193" s="14"/>
      <c r="I193" s="15"/>
    </row>
    <row r="194" spans="1:9" ht="13.15">
      <c r="A194" s="14"/>
      <c r="B194" s="14"/>
      <c r="C194" s="14"/>
      <c r="D194" s="14"/>
      <c r="E194" s="14"/>
      <c r="F194" s="15"/>
      <c r="G194" s="14"/>
      <c r="H194" s="14"/>
      <c r="I194" s="15"/>
    </row>
    <row r="195" spans="1:9" ht="13.15">
      <c r="A195" s="14"/>
      <c r="B195" s="14"/>
      <c r="C195" s="14"/>
      <c r="D195" s="14"/>
      <c r="E195" s="14"/>
      <c r="F195" s="15"/>
      <c r="G195" s="14"/>
      <c r="H195" s="14"/>
      <c r="I195" s="15"/>
    </row>
    <row r="196" spans="1:9" ht="13.15">
      <c r="A196" s="14"/>
      <c r="B196" s="14"/>
      <c r="C196" s="14"/>
      <c r="D196" s="14"/>
      <c r="E196" s="14"/>
      <c r="F196" s="15"/>
      <c r="G196" s="14"/>
      <c r="H196" s="14"/>
      <c r="I196" s="15"/>
    </row>
    <row r="197" spans="1:9" ht="13.15">
      <c r="A197" s="14"/>
      <c r="B197" s="14"/>
      <c r="C197" s="14"/>
      <c r="D197" s="14"/>
      <c r="E197" s="14"/>
      <c r="F197" s="15"/>
      <c r="G197" s="14"/>
      <c r="H197" s="14"/>
      <c r="I197" s="15"/>
    </row>
    <row r="198" spans="1:9" ht="13.15">
      <c r="A198" s="14"/>
      <c r="B198" s="14"/>
      <c r="C198" s="14"/>
      <c r="D198" s="14"/>
      <c r="E198" s="14"/>
      <c r="F198" s="15"/>
      <c r="G198" s="14"/>
      <c r="H198" s="14"/>
      <c r="I198" s="15"/>
    </row>
    <row r="199" spans="1:9" ht="13.15">
      <c r="A199" s="14"/>
      <c r="B199" s="14"/>
      <c r="C199" s="14"/>
      <c r="D199" s="14"/>
      <c r="E199" s="14"/>
      <c r="F199" s="15"/>
      <c r="G199" s="14"/>
      <c r="H199" s="14"/>
      <c r="I199" s="15"/>
    </row>
    <row r="200" spans="1:9" ht="13.15">
      <c r="A200" s="14"/>
      <c r="B200" s="14"/>
      <c r="C200" s="14"/>
      <c r="D200" s="14"/>
      <c r="E200" s="14"/>
      <c r="F200" s="15"/>
      <c r="G200" s="14"/>
      <c r="H200" s="14"/>
      <c r="I200" s="15"/>
    </row>
    <row r="201" spans="1:9" ht="13.15">
      <c r="A201" s="14"/>
      <c r="B201" s="14"/>
      <c r="C201" s="14"/>
      <c r="D201" s="14"/>
      <c r="E201" s="14"/>
      <c r="F201" s="15"/>
      <c r="G201" s="14"/>
      <c r="H201" s="14"/>
      <c r="I201" s="15"/>
    </row>
    <row r="202" spans="1:9" ht="13.15">
      <c r="A202" s="14"/>
      <c r="B202" s="14"/>
      <c r="C202" s="14"/>
      <c r="D202" s="14"/>
      <c r="E202" s="14"/>
      <c r="F202" s="15"/>
      <c r="G202" s="14"/>
      <c r="H202" s="14"/>
      <c r="I202" s="15"/>
    </row>
    <row r="203" spans="1:9" ht="13.15">
      <c r="A203" s="14"/>
      <c r="B203" s="14"/>
      <c r="C203" s="14"/>
      <c r="D203" s="14"/>
      <c r="E203" s="14"/>
      <c r="F203" s="15"/>
      <c r="G203" s="14"/>
      <c r="H203" s="14"/>
      <c r="I203" s="15"/>
    </row>
    <row r="204" spans="1:9" ht="13.15">
      <c r="A204" s="14"/>
      <c r="B204" s="14"/>
      <c r="C204" s="14"/>
      <c r="D204" s="14"/>
      <c r="E204" s="14"/>
      <c r="F204" s="15"/>
      <c r="G204" s="14"/>
      <c r="H204" s="14"/>
      <c r="I204" s="15"/>
    </row>
    <row r="205" spans="1:9" ht="13.15">
      <c r="A205" s="14"/>
      <c r="B205" s="14"/>
      <c r="C205" s="14"/>
      <c r="D205" s="14"/>
      <c r="E205" s="14"/>
      <c r="F205" s="15"/>
      <c r="G205" s="14"/>
      <c r="H205" s="14"/>
      <c r="I205" s="15"/>
    </row>
    <row r="206" spans="1:9" ht="13.15">
      <c r="A206" s="14"/>
      <c r="B206" s="14"/>
      <c r="C206" s="14"/>
      <c r="D206" s="14"/>
      <c r="E206" s="14"/>
      <c r="F206" s="15"/>
      <c r="G206" s="14"/>
      <c r="H206" s="14"/>
      <c r="I206" s="15"/>
    </row>
    <row r="207" spans="1:9" ht="13.15">
      <c r="A207" s="14"/>
      <c r="B207" s="14"/>
      <c r="C207" s="14"/>
      <c r="D207" s="14"/>
      <c r="E207" s="14"/>
      <c r="F207" s="15"/>
      <c r="G207" s="14"/>
      <c r="H207" s="14"/>
      <c r="I207" s="15"/>
    </row>
    <row r="208" spans="1:9" ht="13.15">
      <c r="A208" s="14"/>
      <c r="B208" s="14"/>
      <c r="C208" s="14"/>
      <c r="D208" s="14"/>
      <c r="E208" s="14"/>
      <c r="F208" s="15"/>
      <c r="G208" s="14"/>
      <c r="H208" s="14"/>
      <c r="I208" s="15"/>
    </row>
    <row r="209" spans="1:9" ht="13.15">
      <c r="A209" s="14"/>
      <c r="B209" s="14"/>
      <c r="C209" s="14"/>
      <c r="D209" s="14"/>
      <c r="E209" s="14"/>
      <c r="F209" s="15"/>
      <c r="G209" s="14"/>
      <c r="H209" s="14"/>
      <c r="I209" s="15"/>
    </row>
    <row r="210" spans="1:9" ht="13.15">
      <c r="A210" s="14"/>
      <c r="B210" s="14"/>
      <c r="C210" s="14"/>
      <c r="D210" s="14"/>
      <c r="E210" s="14"/>
      <c r="F210" s="15"/>
      <c r="G210" s="14"/>
      <c r="H210" s="14"/>
      <c r="I210" s="15"/>
    </row>
    <row r="211" spans="1:9" ht="13.15">
      <c r="A211" s="14"/>
      <c r="B211" s="14"/>
      <c r="C211" s="14"/>
      <c r="D211" s="14"/>
      <c r="E211" s="14"/>
      <c r="F211" s="15"/>
      <c r="G211" s="14"/>
      <c r="H211" s="14"/>
      <c r="I211" s="15"/>
    </row>
    <row r="212" spans="1:9" ht="13.15">
      <c r="A212" s="14"/>
      <c r="B212" s="14"/>
      <c r="C212" s="14"/>
      <c r="D212" s="14"/>
      <c r="E212" s="14"/>
      <c r="F212" s="15"/>
      <c r="G212" s="14"/>
      <c r="H212" s="14"/>
      <c r="I212" s="15"/>
    </row>
    <row r="213" spans="1:9" ht="13.15">
      <c r="A213" s="14"/>
      <c r="B213" s="14"/>
      <c r="C213" s="14"/>
      <c r="D213" s="14"/>
      <c r="E213" s="14"/>
      <c r="F213" s="15"/>
      <c r="G213" s="14"/>
      <c r="H213" s="14"/>
      <c r="I213" s="15"/>
    </row>
    <row r="214" spans="1:9" ht="13.15">
      <c r="A214" s="14"/>
      <c r="B214" s="14"/>
      <c r="C214" s="14"/>
      <c r="D214" s="14"/>
      <c r="E214" s="14"/>
      <c r="F214" s="15"/>
      <c r="G214" s="14"/>
      <c r="H214" s="14"/>
      <c r="I214" s="15"/>
    </row>
    <row r="215" spans="1:9" ht="13.15">
      <c r="A215" s="14"/>
      <c r="B215" s="14"/>
      <c r="C215" s="14"/>
      <c r="D215" s="14"/>
      <c r="E215" s="14"/>
      <c r="F215" s="15"/>
      <c r="G215" s="14"/>
      <c r="H215" s="14"/>
      <c r="I215" s="15"/>
    </row>
    <row r="216" spans="1:9" ht="13.15">
      <c r="A216" s="14"/>
      <c r="B216" s="14"/>
      <c r="C216" s="14"/>
      <c r="D216" s="14"/>
      <c r="E216" s="14"/>
      <c r="F216" s="15"/>
      <c r="G216" s="14"/>
      <c r="H216" s="14"/>
      <c r="I216" s="15"/>
    </row>
    <row r="217" spans="1:9" ht="13.15">
      <c r="A217" s="14"/>
      <c r="B217" s="14"/>
      <c r="C217" s="14"/>
      <c r="D217" s="14"/>
      <c r="E217" s="14"/>
      <c r="F217" s="15"/>
      <c r="G217" s="14"/>
      <c r="H217" s="14"/>
      <c r="I217" s="15"/>
    </row>
    <row r="218" spans="1:9" ht="13.15">
      <c r="A218" s="14"/>
      <c r="B218" s="14"/>
      <c r="C218" s="14"/>
      <c r="D218" s="14"/>
      <c r="E218" s="14"/>
      <c r="F218" s="15"/>
      <c r="G218" s="14"/>
      <c r="H218" s="14"/>
      <c r="I218" s="15"/>
    </row>
    <row r="219" spans="1:9" ht="13.15">
      <c r="A219" s="14"/>
      <c r="B219" s="14"/>
      <c r="C219" s="14"/>
      <c r="D219" s="14"/>
      <c r="E219" s="14"/>
      <c r="F219" s="15"/>
      <c r="G219" s="14"/>
      <c r="H219" s="14"/>
      <c r="I219" s="15"/>
    </row>
    <row r="220" spans="1:9" ht="13.15">
      <c r="A220" s="14"/>
      <c r="B220" s="14"/>
      <c r="C220" s="14"/>
      <c r="D220" s="14"/>
      <c r="E220" s="14"/>
      <c r="F220" s="15"/>
      <c r="G220" s="14"/>
      <c r="H220" s="14"/>
      <c r="I220" s="15"/>
    </row>
    <row r="221" spans="1:9" ht="13.15">
      <c r="A221" s="14"/>
      <c r="B221" s="14"/>
      <c r="C221" s="14"/>
      <c r="D221" s="14"/>
      <c r="E221" s="14"/>
      <c r="F221" s="15"/>
      <c r="G221" s="14"/>
      <c r="H221" s="14"/>
      <c r="I221" s="15"/>
    </row>
    <row r="222" spans="1:9" ht="13.15">
      <c r="A222" s="14"/>
      <c r="B222" s="14"/>
      <c r="C222" s="14"/>
      <c r="D222" s="14"/>
      <c r="E222" s="14"/>
      <c r="F222" s="15"/>
      <c r="G222" s="14"/>
      <c r="H222" s="14"/>
      <c r="I222" s="15"/>
    </row>
    <row r="223" spans="1:9" ht="13.15">
      <c r="A223" s="14"/>
      <c r="B223" s="14"/>
      <c r="C223" s="14"/>
      <c r="D223" s="14"/>
      <c r="E223" s="14"/>
      <c r="F223" s="15"/>
      <c r="G223" s="14"/>
      <c r="H223" s="14"/>
      <c r="I223" s="15"/>
    </row>
    <row r="224" spans="1:9" ht="13.15">
      <c r="A224" s="14"/>
      <c r="B224" s="14"/>
      <c r="C224" s="14"/>
      <c r="D224" s="14"/>
      <c r="E224" s="14"/>
      <c r="F224" s="15"/>
      <c r="G224" s="14"/>
      <c r="H224" s="14"/>
      <c r="I224" s="15"/>
    </row>
    <row r="225" spans="1:9" ht="13.15">
      <c r="A225" s="14"/>
      <c r="B225" s="14"/>
      <c r="C225" s="14"/>
      <c r="D225" s="14"/>
      <c r="E225" s="14"/>
      <c r="F225" s="15"/>
      <c r="G225" s="14"/>
      <c r="H225" s="14"/>
      <c r="I225" s="15"/>
    </row>
    <row r="226" spans="1:9" ht="13.15">
      <c r="A226" s="14"/>
      <c r="B226" s="14"/>
      <c r="C226" s="14"/>
      <c r="D226" s="14"/>
      <c r="E226" s="14"/>
      <c r="F226" s="15"/>
      <c r="G226" s="14"/>
      <c r="H226" s="14"/>
      <c r="I226" s="15"/>
    </row>
    <row r="227" spans="1:9" ht="13.15">
      <c r="A227" s="14"/>
      <c r="B227" s="14"/>
      <c r="C227" s="14"/>
      <c r="D227" s="14"/>
      <c r="E227" s="14"/>
      <c r="F227" s="15"/>
      <c r="G227" s="14"/>
      <c r="H227" s="14"/>
      <c r="I227" s="15"/>
    </row>
    <row r="228" spans="1:9" ht="13.15">
      <c r="A228" s="14"/>
      <c r="B228" s="14"/>
      <c r="C228" s="14"/>
      <c r="D228" s="14"/>
      <c r="E228" s="14"/>
      <c r="F228" s="15"/>
      <c r="G228" s="14"/>
      <c r="H228" s="14"/>
      <c r="I228" s="15"/>
    </row>
    <row r="229" spans="1:9" ht="13.15">
      <c r="A229" s="14"/>
      <c r="B229" s="14"/>
      <c r="C229" s="14"/>
      <c r="D229" s="14"/>
      <c r="E229" s="14"/>
      <c r="F229" s="15"/>
      <c r="G229" s="14"/>
      <c r="H229" s="14"/>
      <c r="I229" s="15"/>
    </row>
    <row r="230" spans="1:9" ht="13.15">
      <c r="A230" s="14"/>
      <c r="B230" s="14"/>
      <c r="C230" s="14"/>
      <c r="D230" s="14"/>
      <c r="E230" s="14"/>
      <c r="F230" s="15"/>
      <c r="G230" s="14"/>
      <c r="H230" s="14"/>
      <c r="I230" s="15"/>
    </row>
    <row r="231" spans="1:9" ht="13.15">
      <c r="A231" s="14"/>
      <c r="B231" s="14"/>
      <c r="C231" s="14"/>
      <c r="D231" s="14"/>
      <c r="E231" s="14"/>
      <c r="F231" s="15"/>
      <c r="G231" s="14"/>
      <c r="H231" s="14"/>
      <c r="I231" s="15"/>
    </row>
    <row r="232" spans="1:9" ht="13.15">
      <c r="A232" s="14"/>
      <c r="B232" s="14"/>
      <c r="C232" s="14"/>
      <c r="D232" s="14"/>
      <c r="E232" s="14"/>
      <c r="F232" s="15"/>
      <c r="G232" s="14"/>
      <c r="H232" s="14"/>
      <c r="I232" s="15"/>
    </row>
    <row r="233" spans="1:9" ht="13.15">
      <c r="A233" s="14"/>
      <c r="B233" s="14"/>
      <c r="C233" s="14"/>
      <c r="D233" s="14"/>
      <c r="E233" s="14"/>
      <c r="F233" s="15"/>
      <c r="G233" s="14"/>
      <c r="H233" s="14"/>
      <c r="I233" s="15"/>
    </row>
    <row r="234" spans="1:9" ht="13.15">
      <c r="A234" s="14"/>
      <c r="B234" s="14"/>
      <c r="C234" s="14"/>
      <c r="D234" s="14"/>
      <c r="E234" s="14"/>
      <c r="F234" s="15"/>
      <c r="G234" s="14"/>
      <c r="H234" s="14"/>
      <c r="I234" s="15"/>
    </row>
    <row r="235" spans="1:9" ht="13.15">
      <c r="A235" s="14"/>
      <c r="B235" s="14"/>
      <c r="C235" s="14"/>
      <c r="D235" s="14"/>
      <c r="E235" s="14"/>
      <c r="F235" s="15"/>
      <c r="G235" s="14"/>
      <c r="H235" s="14"/>
      <c r="I235" s="15"/>
    </row>
    <row r="236" spans="1:9" ht="13.15">
      <c r="A236" s="14"/>
      <c r="B236" s="14"/>
      <c r="C236" s="14"/>
      <c r="D236" s="14"/>
      <c r="E236" s="14"/>
      <c r="F236" s="15"/>
      <c r="G236" s="14"/>
      <c r="H236" s="14"/>
      <c r="I236" s="15"/>
    </row>
    <row r="237" spans="1:9" ht="13.15">
      <c r="A237" s="14"/>
      <c r="B237" s="14"/>
      <c r="C237" s="14"/>
      <c r="D237" s="14"/>
      <c r="E237" s="14"/>
      <c r="F237" s="15"/>
      <c r="G237" s="14"/>
      <c r="H237" s="14"/>
      <c r="I237" s="15"/>
    </row>
    <row r="238" spans="1:9" ht="13.15">
      <c r="A238" s="14"/>
      <c r="B238" s="14"/>
      <c r="C238" s="14"/>
      <c r="D238" s="14"/>
      <c r="E238" s="14"/>
      <c r="F238" s="15"/>
      <c r="G238" s="14"/>
      <c r="H238" s="14"/>
      <c r="I238" s="15"/>
    </row>
    <row r="239" spans="1:9" ht="13.15">
      <c r="A239" s="14"/>
      <c r="B239" s="14"/>
      <c r="C239" s="14"/>
      <c r="D239" s="14"/>
      <c r="E239" s="14"/>
      <c r="F239" s="15"/>
      <c r="G239" s="14"/>
      <c r="H239" s="14"/>
      <c r="I239" s="15"/>
    </row>
    <row r="240" spans="1:9" ht="13.15">
      <c r="A240" s="14"/>
      <c r="B240" s="14"/>
      <c r="C240" s="14"/>
      <c r="D240" s="14"/>
      <c r="E240" s="14"/>
      <c r="F240" s="15"/>
      <c r="G240" s="14"/>
      <c r="H240" s="14"/>
      <c r="I240" s="15"/>
    </row>
    <row r="241" spans="1:9" ht="13.15">
      <c r="A241" s="14"/>
      <c r="B241" s="14"/>
      <c r="C241" s="14"/>
      <c r="D241" s="14"/>
      <c r="E241" s="14"/>
      <c r="F241" s="15"/>
      <c r="G241" s="14"/>
      <c r="H241" s="14"/>
      <c r="I241" s="15"/>
    </row>
    <row r="242" spans="1:9" ht="13.15">
      <c r="A242" s="14"/>
      <c r="B242" s="14"/>
      <c r="C242" s="14"/>
      <c r="D242" s="14"/>
      <c r="E242" s="14"/>
      <c r="F242" s="15"/>
      <c r="G242" s="14"/>
      <c r="H242" s="14"/>
      <c r="I242" s="15"/>
    </row>
    <row r="243" spans="1:9" ht="13.15">
      <c r="A243" s="14"/>
      <c r="B243" s="14"/>
      <c r="C243" s="14"/>
      <c r="D243" s="14"/>
      <c r="E243" s="14"/>
      <c r="F243" s="15"/>
      <c r="G243" s="14"/>
      <c r="H243" s="14"/>
      <c r="I243" s="15"/>
    </row>
    <row r="244" spans="1:9" ht="13.15">
      <c r="A244" s="14"/>
      <c r="B244" s="14"/>
      <c r="C244" s="14"/>
      <c r="D244" s="14"/>
      <c r="E244" s="14"/>
      <c r="F244" s="15"/>
      <c r="G244" s="14"/>
      <c r="H244" s="14"/>
      <c r="I244" s="15"/>
    </row>
    <row r="245" spans="1:9" ht="13.15">
      <c r="A245" s="14"/>
      <c r="B245" s="14"/>
      <c r="C245" s="14"/>
      <c r="D245" s="14"/>
      <c r="E245" s="14"/>
      <c r="F245" s="15"/>
      <c r="G245" s="14"/>
      <c r="H245" s="14"/>
      <c r="I245" s="15"/>
    </row>
    <row r="246" spans="1:9" ht="13.15">
      <c r="A246" s="14"/>
      <c r="B246" s="14"/>
      <c r="C246" s="14"/>
      <c r="D246" s="14"/>
      <c r="E246" s="14"/>
      <c r="F246" s="15"/>
      <c r="G246" s="14"/>
      <c r="H246" s="14"/>
      <c r="I246" s="15"/>
    </row>
    <row r="247" spans="1:9" ht="13.15">
      <c r="A247" s="14"/>
      <c r="B247" s="14"/>
      <c r="C247" s="14"/>
      <c r="D247" s="14"/>
      <c r="E247" s="14"/>
      <c r="F247" s="15"/>
      <c r="G247" s="14"/>
      <c r="H247" s="14"/>
      <c r="I247" s="15"/>
    </row>
    <row r="248" spans="1:9" ht="13.15">
      <c r="A248" s="14"/>
      <c r="B248" s="14"/>
      <c r="C248" s="14"/>
      <c r="D248" s="14"/>
      <c r="E248" s="14"/>
      <c r="F248" s="15"/>
      <c r="G248" s="14"/>
      <c r="H248" s="14"/>
      <c r="I248" s="15"/>
    </row>
    <row r="249" spans="1:9" ht="13.15">
      <c r="A249" s="14"/>
      <c r="B249" s="14"/>
      <c r="C249" s="14"/>
      <c r="D249" s="14"/>
      <c r="E249" s="14"/>
      <c r="F249" s="15"/>
      <c r="G249" s="14"/>
      <c r="H249" s="14"/>
      <c r="I249" s="15"/>
    </row>
    <row r="250" spans="1:9" ht="13.15">
      <c r="A250" s="14"/>
      <c r="B250" s="14"/>
      <c r="C250" s="14"/>
      <c r="D250" s="14"/>
      <c r="E250" s="14"/>
      <c r="F250" s="15"/>
      <c r="G250" s="14"/>
      <c r="H250" s="14"/>
      <c r="I250" s="15"/>
    </row>
    <row r="251" spans="1:9" ht="13.15">
      <c r="A251" s="14"/>
      <c r="B251" s="14"/>
      <c r="C251" s="14"/>
      <c r="D251" s="14"/>
      <c r="E251" s="14"/>
      <c r="F251" s="15"/>
      <c r="G251" s="14"/>
      <c r="H251" s="14"/>
      <c r="I251" s="15"/>
    </row>
    <row r="252" spans="1:9" ht="13.15">
      <c r="A252" s="14"/>
      <c r="B252" s="14"/>
      <c r="C252" s="14"/>
      <c r="D252" s="14"/>
      <c r="E252" s="14"/>
      <c r="F252" s="15"/>
      <c r="G252" s="14"/>
      <c r="H252" s="14"/>
      <c r="I252" s="15"/>
    </row>
    <row r="253" spans="1:9" ht="13.15">
      <c r="A253" s="14"/>
      <c r="B253" s="14"/>
      <c r="C253" s="14"/>
      <c r="D253" s="14"/>
      <c r="E253" s="14"/>
      <c r="F253" s="15"/>
      <c r="G253" s="14"/>
      <c r="H253" s="14"/>
      <c r="I253" s="15"/>
    </row>
    <row r="254" spans="1:9" ht="13.15">
      <c r="A254" s="14"/>
      <c r="B254" s="14"/>
      <c r="C254" s="14"/>
      <c r="D254" s="14"/>
      <c r="E254" s="14"/>
      <c r="F254" s="15"/>
      <c r="G254" s="14"/>
      <c r="H254" s="14"/>
      <c r="I254" s="15"/>
    </row>
    <row r="255" spans="1:9" ht="13.15">
      <c r="A255" s="14"/>
      <c r="B255" s="14"/>
      <c r="C255" s="14"/>
      <c r="D255" s="14"/>
      <c r="E255" s="14"/>
      <c r="F255" s="15"/>
      <c r="G255" s="14"/>
      <c r="H255" s="14"/>
      <c r="I255" s="15"/>
    </row>
    <row r="256" spans="1:9" ht="13.15">
      <c r="A256" s="14"/>
      <c r="B256" s="14"/>
      <c r="C256" s="14"/>
      <c r="D256" s="14"/>
      <c r="E256" s="14"/>
      <c r="F256" s="15"/>
      <c r="G256" s="14"/>
      <c r="H256" s="14"/>
      <c r="I256" s="15"/>
    </row>
    <row r="257" spans="1:9" ht="13.15">
      <c r="A257" s="14"/>
      <c r="B257" s="14"/>
      <c r="C257" s="14"/>
      <c r="D257" s="14"/>
      <c r="E257" s="14"/>
      <c r="F257" s="15"/>
      <c r="G257" s="14"/>
      <c r="H257" s="14"/>
      <c r="I257" s="15"/>
    </row>
    <row r="258" spans="1:9" ht="13.15">
      <c r="A258" s="14"/>
      <c r="B258" s="14"/>
      <c r="C258" s="14"/>
      <c r="D258" s="14"/>
      <c r="E258" s="14"/>
      <c r="F258" s="15"/>
      <c r="G258" s="14"/>
      <c r="H258" s="14"/>
      <c r="I258" s="15"/>
    </row>
    <row r="259" spans="1:9" ht="13.15">
      <c r="A259" s="14"/>
      <c r="B259" s="14"/>
      <c r="C259" s="14"/>
      <c r="D259" s="14"/>
      <c r="E259" s="14"/>
      <c r="F259" s="15"/>
      <c r="G259" s="14"/>
      <c r="H259" s="14"/>
      <c r="I259" s="15"/>
    </row>
    <row r="260" spans="1:9" ht="13.15">
      <c r="A260" s="14"/>
      <c r="B260" s="14"/>
      <c r="C260" s="14"/>
      <c r="D260" s="14"/>
      <c r="E260" s="14"/>
      <c r="F260" s="15"/>
      <c r="G260" s="14"/>
      <c r="H260" s="14"/>
      <c r="I260" s="15"/>
    </row>
    <row r="261" spans="1:9" ht="13.15">
      <c r="A261" s="14"/>
      <c r="B261" s="14"/>
      <c r="C261" s="14"/>
      <c r="D261" s="14"/>
      <c r="E261" s="14"/>
      <c r="F261" s="15"/>
      <c r="G261" s="14"/>
      <c r="H261" s="14"/>
      <c r="I261" s="15"/>
    </row>
    <row r="262" spans="1:9" ht="13.15">
      <c r="A262" s="14"/>
      <c r="B262" s="14"/>
      <c r="C262" s="14"/>
      <c r="D262" s="14"/>
      <c r="E262" s="14"/>
      <c r="F262" s="15"/>
      <c r="G262" s="14"/>
      <c r="H262" s="14"/>
      <c r="I262" s="15"/>
    </row>
    <row r="263" spans="1:9" ht="13.15">
      <c r="A263" s="14"/>
      <c r="B263" s="14"/>
      <c r="C263" s="14"/>
      <c r="D263" s="14"/>
      <c r="E263" s="14"/>
      <c r="F263" s="15"/>
      <c r="G263" s="14"/>
      <c r="H263" s="14"/>
      <c r="I263" s="15"/>
    </row>
    <row r="264" spans="1:9" ht="13.15">
      <c r="A264" s="14"/>
      <c r="B264" s="14"/>
      <c r="C264" s="14"/>
      <c r="D264" s="14"/>
      <c r="E264" s="14"/>
      <c r="F264" s="15"/>
      <c r="G264" s="14"/>
      <c r="H264" s="14"/>
      <c r="I264" s="15"/>
    </row>
    <row r="265" spans="1:9" ht="13.15">
      <c r="A265" s="14"/>
      <c r="B265" s="14"/>
      <c r="C265" s="14"/>
      <c r="D265" s="14"/>
      <c r="E265" s="14"/>
      <c r="F265" s="15"/>
      <c r="G265" s="14"/>
      <c r="H265" s="14"/>
      <c r="I265" s="15"/>
    </row>
    <row r="266" spans="1:9" ht="13.15">
      <c r="A266" s="14"/>
      <c r="B266" s="14"/>
      <c r="C266" s="14"/>
      <c r="D266" s="14"/>
      <c r="E266" s="14"/>
      <c r="F266" s="15"/>
      <c r="G266" s="14"/>
      <c r="H266" s="14"/>
      <c r="I266" s="15"/>
    </row>
    <row r="267" spans="1:9" ht="13.15">
      <c r="A267" s="14"/>
      <c r="B267" s="14"/>
      <c r="C267" s="14"/>
      <c r="D267" s="14"/>
      <c r="E267" s="14"/>
      <c r="F267" s="15"/>
      <c r="G267" s="14"/>
      <c r="H267" s="14"/>
      <c r="I267" s="15"/>
    </row>
    <row r="268" spans="1:9" ht="13.15">
      <c r="A268" s="14"/>
      <c r="B268" s="14"/>
      <c r="C268" s="14"/>
      <c r="D268" s="14"/>
      <c r="E268" s="14"/>
      <c r="F268" s="15"/>
      <c r="G268" s="14"/>
      <c r="H268" s="14"/>
      <c r="I268" s="15"/>
    </row>
    <row r="269" spans="1:9" ht="13.15">
      <c r="A269" s="14"/>
      <c r="B269" s="14"/>
      <c r="C269" s="14"/>
      <c r="D269" s="14"/>
      <c r="E269" s="14"/>
      <c r="F269" s="15"/>
      <c r="G269" s="14"/>
      <c r="H269" s="14"/>
      <c r="I269" s="15"/>
    </row>
    <row r="270" spans="1:9" ht="13.15">
      <c r="A270" s="14"/>
      <c r="B270" s="14"/>
      <c r="C270" s="14"/>
      <c r="D270" s="14"/>
      <c r="E270" s="14"/>
      <c r="F270" s="15"/>
      <c r="G270" s="14"/>
      <c r="H270" s="14"/>
      <c r="I270" s="15"/>
    </row>
    <row r="271" spans="1:9" ht="13.15">
      <c r="A271" s="14"/>
      <c r="B271" s="14"/>
      <c r="C271" s="14"/>
      <c r="D271" s="14"/>
      <c r="E271" s="14"/>
      <c r="F271" s="15"/>
      <c r="G271" s="14"/>
      <c r="H271" s="14"/>
      <c r="I271" s="15"/>
    </row>
    <row r="272" spans="1:9" ht="13.15">
      <c r="A272" s="14"/>
      <c r="B272" s="14"/>
      <c r="C272" s="14"/>
      <c r="D272" s="14"/>
      <c r="E272" s="14"/>
      <c r="F272" s="15"/>
      <c r="G272" s="14"/>
      <c r="H272" s="14"/>
      <c r="I272" s="15"/>
    </row>
    <row r="273" spans="1:9" ht="13.15">
      <c r="A273" s="14"/>
      <c r="B273" s="14"/>
      <c r="C273" s="14"/>
      <c r="D273" s="14"/>
      <c r="E273" s="14"/>
      <c r="F273" s="15"/>
      <c r="G273" s="14"/>
      <c r="H273" s="14"/>
      <c r="I273" s="15"/>
    </row>
    <row r="274" spans="1:9" ht="13.15">
      <c r="A274" s="14"/>
      <c r="B274" s="14"/>
      <c r="C274" s="14"/>
      <c r="D274" s="14"/>
      <c r="E274" s="14"/>
      <c r="F274" s="15"/>
      <c r="G274" s="14"/>
      <c r="H274" s="14"/>
      <c r="I274" s="15"/>
    </row>
    <row r="275" spans="1:9" ht="13.15">
      <c r="A275" s="14"/>
      <c r="B275" s="14"/>
      <c r="C275" s="14"/>
      <c r="D275" s="14"/>
      <c r="E275" s="14"/>
      <c r="F275" s="15"/>
      <c r="G275" s="14"/>
      <c r="H275" s="14"/>
      <c r="I275" s="15"/>
    </row>
    <row r="276" spans="1:9" ht="13.15">
      <c r="A276" s="14"/>
      <c r="B276" s="14"/>
      <c r="C276" s="14"/>
      <c r="D276" s="14"/>
      <c r="E276" s="14"/>
      <c r="F276" s="15"/>
      <c r="G276" s="14"/>
      <c r="H276" s="14"/>
      <c r="I276" s="15"/>
    </row>
    <row r="277" spans="1:9" ht="13.15">
      <c r="A277" s="14"/>
      <c r="B277" s="14"/>
      <c r="C277" s="14"/>
      <c r="D277" s="14"/>
      <c r="E277" s="14"/>
      <c r="F277" s="15"/>
      <c r="G277" s="14"/>
      <c r="H277" s="14"/>
      <c r="I277" s="15"/>
    </row>
    <row r="278" spans="1:9" ht="13.15">
      <c r="A278" s="14"/>
      <c r="B278" s="14"/>
      <c r="C278" s="14"/>
      <c r="D278" s="14"/>
      <c r="E278" s="14"/>
      <c r="F278" s="15"/>
      <c r="G278" s="14"/>
      <c r="H278" s="14"/>
      <c r="I278" s="15"/>
    </row>
    <row r="279" spans="1:9" ht="13.15">
      <c r="A279" s="14"/>
      <c r="B279" s="14"/>
      <c r="C279" s="14"/>
      <c r="D279" s="14"/>
      <c r="E279" s="14"/>
      <c r="F279" s="15"/>
      <c r="G279" s="14"/>
      <c r="H279" s="14"/>
      <c r="I279" s="15"/>
    </row>
    <row r="280" spans="1:9" ht="13.15">
      <c r="A280" s="14"/>
      <c r="B280" s="14"/>
      <c r="C280" s="14"/>
      <c r="D280" s="14"/>
      <c r="E280" s="14"/>
      <c r="F280" s="15"/>
      <c r="G280" s="14"/>
      <c r="H280" s="14"/>
      <c r="I280" s="15"/>
    </row>
    <row r="281" spans="1:9" ht="13.15">
      <c r="A281" s="14"/>
      <c r="B281" s="14"/>
      <c r="C281" s="14"/>
      <c r="D281" s="14"/>
      <c r="E281" s="14"/>
      <c r="F281" s="15"/>
      <c r="G281" s="14"/>
      <c r="H281" s="14"/>
      <c r="I281" s="15"/>
    </row>
    <row r="282" spans="1:9" ht="13.15">
      <c r="A282" s="14"/>
      <c r="B282" s="14"/>
      <c r="C282" s="14"/>
      <c r="D282" s="14"/>
      <c r="E282" s="14"/>
      <c r="F282" s="15"/>
      <c r="G282" s="14"/>
      <c r="H282" s="14"/>
      <c r="I282" s="15"/>
    </row>
    <row r="283" spans="1:9" ht="13.15">
      <c r="A283" s="14"/>
      <c r="B283" s="14"/>
      <c r="C283" s="14"/>
      <c r="D283" s="14"/>
      <c r="E283" s="14"/>
      <c r="F283" s="15"/>
      <c r="G283" s="14"/>
      <c r="H283" s="14"/>
      <c r="I283" s="15"/>
    </row>
    <row r="284" spans="1:9" ht="13.15">
      <c r="A284" s="14"/>
      <c r="B284" s="14"/>
      <c r="C284" s="14"/>
      <c r="D284" s="14"/>
      <c r="E284" s="14"/>
      <c r="F284" s="15"/>
      <c r="G284" s="14"/>
      <c r="H284" s="14"/>
      <c r="I284" s="15"/>
    </row>
    <row r="285" spans="1:9" ht="13.15">
      <c r="A285" s="14"/>
      <c r="B285" s="14"/>
      <c r="C285" s="14"/>
      <c r="D285" s="14"/>
      <c r="E285" s="14"/>
      <c r="F285" s="15"/>
      <c r="G285" s="14"/>
      <c r="H285" s="14"/>
      <c r="I285" s="15"/>
    </row>
    <row r="286" spans="1:9" ht="13.15">
      <c r="A286" s="14"/>
      <c r="B286" s="14"/>
      <c r="C286" s="14"/>
      <c r="D286" s="14"/>
      <c r="E286" s="14"/>
      <c r="F286" s="15"/>
      <c r="G286" s="14"/>
      <c r="H286" s="14"/>
      <c r="I286" s="15"/>
    </row>
    <row r="287" spans="1:9" ht="13.15">
      <c r="A287" s="14"/>
      <c r="B287" s="14"/>
      <c r="C287" s="14"/>
      <c r="D287" s="14"/>
      <c r="E287" s="14"/>
      <c r="F287" s="15"/>
      <c r="G287" s="14"/>
      <c r="H287" s="14"/>
      <c r="I287" s="15"/>
    </row>
    <row r="288" spans="1:9" ht="13.15">
      <c r="A288" s="14"/>
      <c r="B288" s="14"/>
      <c r="C288" s="14"/>
      <c r="D288" s="14"/>
      <c r="E288" s="14"/>
      <c r="F288" s="15"/>
      <c r="G288" s="14"/>
      <c r="H288" s="14"/>
      <c r="I288" s="15"/>
    </row>
    <row r="289" spans="1:9" ht="13.15">
      <c r="A289" s="14"/>
      <c r="B289" s="14"/>
      <c r="C289" s="14"/>
      <c r="D289" s="14"/>
      <c r="E289" s="14"/>
      <c r="F289" s="15"/>
      <c r="G289" s="14"/>
      <c r="H289" s="14"/>
      <c r="I289" s="15"/>
    </row>
    <row r="290" spans="1:9" ht="13.15">
      <c r="A290" s="14"/>
      <c r="B290" s="14"/>
      <c r="C290" s="14"/>
      <c r="D290" s="14"/>
      <c r="E290" s="14"/>
      <c r="F290" s="15"/>
      <c r="G290" s="14"/>
      <c r="H290" s="14"/>
      <c r="I290" s="15"/>
    </row>
    <row r="291" spans="1:9" ht="13.15">
      <c r="A291" s="14"/>
      <c r="B291" s="14"/>
      <c r="C291" s="14"/>
      <c r="D291" s="14"/>
      <c r="E291" s="14"/>
      <c r="F291" s="15"/>
      <c r="G291" s="14"/>
      <c r="H291" s="14"/>
      <c r="I291" s="15"/>
    </row>
    <row r="292" spans="1:9" ht="13.15">
      <c r="A292" s="14"/>
      <c r="B292" s="14"/>
      <c r="C292" s="14"/>
      <c r="D292" s="14"/>
      <c r="E292" s="14"/>
      <c r="F292" s="15"/>
      <c r="G292" s="14"/>
      <c r="H292" s="14"/>
      <c r="I292" s="15"/>
    </row>
    <row r="293" spans="1:9" ht="13.15">
      <c r="A293" s="14"/>
      <c r="B293" s="14"/>
      <c r="C293" s="14"/>
      <c r="D293" s="14"/>
      <c r="E293" s="14"/>
      <c r="F293" s="15"/>
      <c r="G293" s="14"/>
      <c r="H293" s="14"/>
      <c r="I293" s="15"/>
    </row>
    <row r="294" spans="1:9" ht="13.15">
      <c r="A294" s="14"/>
      <c r="B294" s="14"/>
      <c r="C294" s="14"/>
      <c r="D294" s="14"/>
      <c r="E294" s="14"/>
      <c r="F294" s="15"/>
      <c r="G294" s="14"/>
      <c r="H294" s="14"/>
      <c r="I294" s="15"/>
    </row>
    <row r="295" spans="1:9" ht="13.15">
      <c r="A295" s="14"/>
      <c r="B295" s="14"/>
      <c r="C295" s="14"/>
      <c r="D295" s="14"/>
      <c r="E295" s="14"/>
      <c r="F295" s="15"/>
      <c r="G295" s="14"/>
      <c r="H295" s="14"/>
      <c r="I295" s="15"/>
    </row>
    <row r="296" spans="1:9" ht="13.15">
      <c r="A296" s="14"/>
      <c r="B296" s="14"/>
      <c r="C296" s="14"/>
      <c r="D296" s="14"/>
      <c r="E296" s="14"/>
      <c r="F296" s="15"/>
      <c r="G296" s="14"/>
      <c r="H296" s="14"/>
      <c r="I296" s="15"/>
    </row>
    <row r="297" spans="1:9" ht="13.15">
      <c r="A297" s="14"/>
      <c r="B297" s="14"/>
      <c r="C297" s="14"/>
      <c r="D297" s="14"/>
      <c r="E297" s="14"/>
      <c r="F297" s="15"/>
      <c r="G297" s="14"/>
      <c r="H297" s="14"/>
      <c r="I297" s="15"/>
    </row>
    <row r="298" spans="1:9" ht="13.15">
      <c r="A298" s="14"/>
      <c r="B298" s="14"/>
      <c r="C298" s="14"/>
      <c r="D298" s="14"/>
      <c r="E298" s="14"/>
      <c r="F298" s="15"/>
      <c r="G298" s="14"/>
      <c r="H298" s="14"/>
      <c r="I298" s="15"/>
    </row>
    <row r="299" spans="1:9" ht="13.15">
      <c r="A299" s="14"/>
      <c r="B299" s="14"/>
      <c r="C299" s="14"/>
      <c r="D299" s="14"/>
      <c r="E299" s="14"/>
      <c r="F299" s="15"/>
      <c r="G299" s="14"/>
      <c r="H299" s="14"/>
      <c r="I299" s="15"/>
    </row>
    <row r="300" spans="1:9" ht="13.15">
      <c r="A300" s="14"/>
      <c r="B300" s="14"/>
      <c r="C300" s="14"/>
      <c r="D300" s="14"/>
      <c r="E300" s="14"/>
      <c r="F300" s="15"/>
      <c r="G300" s="14"/>
      <c r="H300" s="14"/>
      <c r="I300" s="15"/>
    </row>
    <row r="301" spans="1:9" ht="13.15">
      <c r="A301" s="14"/>
      <c r="B301" s="14"/>
      <c r="C301" s="14"/>
      <c r="D301" s="14"/>
      <c r="E301" s="14"/>
      <c r="F301" s="15"/>
      <c r="G301" s="14"/>
      <c r="H301" s="14"/>
      <c r="I301" s="15"/>
    </row>
    <row r="302" spans="1:9" ht="13.15">
      <c r="A302" s="14"/>
      <c r="B302" s="14"/>
      <c r="C302" s="14"/>
      <c r="D302" s="14"/>
      <c r="E302" s="14"/>
      <c r="F302" s="15"/>
      <c r="G302" s="14"/>
      <c r="H302" s="14"/>
      <c r="I302" s="15"/>
    </row>
    <row r="303" spans="1:9" ht="13.15">
      <c r="A303" s="14"/>
      <c r="B303" s="14"/>
      <c r="C303" s="14"/>
      <c r="D303" s="14"/>
      <c r="E303" s="14"/>
      <c r="F303" s="15"/>
      <c r="G303" s="14"/>
      <c r="H303" s="14"/>
      <c r="I303" s="15"/>
    </row>
    <row r="304" spans="1:9" ht="13.15">
      <c r="A304" s="14"/>
      <c r="B304" s="14"/>
      <c r="C304" s="14"/>
      <c r="D304" s="14"/>
      <c r="E304" s="14"/>
      <c r="F304" s="15"/>
      <c r="G304" s="14"/>
      <c r="H304" s="14"/>
      <c r="I304" s="15"/>
    </row>
    <row r="305" spans="1:9" ht="13.15">
      <c r="A305" s="14"/>
      <c r="B305" s="14"/>
      <c r="C305" s="14"/>
      <c r="D305" s="14"/>
      <c r="E305" s="14"/>
      <c r="F305" s="15"/>
      <c r="G305" s="14"/>
      <c r="H305" s="14"/>
      <c r="I305" s="15"/>
    </row>
    <row r="306" spans="1:9" ht="13.15">
      <c r="A306" s="14"/>
      <c r="B306" s="14"/>
      <c r="C306" s="14"/>
      <c r="D306" s="14"/>
      <c r="E306" s="14"/>
      <c r="F306" s="15"/>
      <c r="G306" s="14"/>
      <c r="H306" s="14"/>
      <c r="I306" s="15"/>
    </row>
    <row r="307" spans="1:9" ht="13.15">
      <c r="A307" s="14"/>
      <c r="B307" s="14"/>
      <c r="C307" s="14"/>
      <c r="D307" s="14"/>
      <c r="E307" s="14"/>
      <c r="F307" s="15"/>
      <c r="G307" s="14"/>
      <c r="H307" s="14"/>
      <c r="I307" s="15"/>
    </row>
    <row r="308" spans="1:9" ht="13.15">
      <c r="A308" s="14"/>
      <c r="B308" s="14"/>
      <c r="C308" s="14"/>
      <c r="D308" s="14"/>
      <c r="E308" s="14"/>
      <c r="F308" s="15"/>
      <c r="G308" s="14"/>
      <c r="H308" s="14"/>
      <c r="I308" s="15"/>
    </row>
    <row r="309" spans="1:9" ht="13.15">
      <c r="A309" s="14"/>
      <c r="B309" s="14"/>
      <c r="C309" s="14"/>
      <c r="D309" s="14"/>
      <c r="E309" s="14"/>
      <c r="F309" s="15"/>
      <c r="G309" s="14"/>
      <c r="H309" s="14"/>
      <c r="I309" s="15"/>
    </row>
    <row r="310" spans="1:9" ht="13.15">
      <c r="A310" s="14"/>
      <c r="B310" s="14"/>
      <c r="C310" s="14"/>
      <c r="D310" s="14"/>
      <c r="E310" s="14"/>
      <c r="F310" s="15"/>
      <c r="G310" s="14"/>
      <c r="H310" s="14"/>
      <c r="I310" s="15"/>
    </row>
    <row r="311" spans="1:9" ht="13.15">
      <c r="A311" s="14"/>
      <c r="B311" s="14"/>
      <c r="C311" s="14"/>
      <c r="D311" s="14"/>
      <c r="E311" s="14"/>
      <c r="F311" s="15"/>
      <c r="G311" s="14"/>
      <c r="H311" s="14"/>
      <c r="I311" s="15"/>
    </row>
    <row r="312" spans="1:9" ht="13.15">
      <c r="A312" s="14"/>
      <c r="B312" s="14"/>
      <c r="C312" s="14"/>
      <c r="D312" s="14"/>
      <c r="E312" s="14"/>
      <c r="F312" s="15"/>
      <c r="G312" s="14"/>
      <c r="H312" s="14"/>
      <c r="I312" s="15"/>
    </row>
    <row r="313" spans="1:9" ht="13.15">
      <c r="A313" s="14"/>
      <c r="B313" s="14"/>
      <c r="C313" s="14"/>
      <c r="D313" s="14"/>
      <c r="E313" s="14"/>
      <c r="F313" s="15"/>
      <c r="G313" s="14"/>
      <c r="H313" s="14"/>
      <c r="I313" s="15"/>
    </row>
    <row r="314" spans="1:9" ht="13.15">
      <c r="A314" s="14"/>
      <c r="B314" s="14"/>
      <c r="C314" s="14"/>
      <c r="D314" s="14"/>
      <c r="E314" s="14"/>
      <c r="F314" s="15"/>
      <c r="G314" s="14"/>
      <c r="H314" s="14"/>
      <c r="I314" s="15"/>
    </row>
    <row r="315" spans="1:9" ht="13.15">
      <c r="A315" s="14"/>
      <c r="B315" s="14"/>
      <c r="C315" s="14"/>
      <c r="D315" s="14"/>
      <c r="E315" s="14"/>
      <c r="F315" s="15"/>
      <c r="G315" s="14"/>
      <c r="H315" s="14"/>
      <c r="I315" s="15"/>
    </row>
    <row r="316" spans="1:9" ht="13.15">
      <c r="A316" s="14"/>
      <c r="B316" s="14"/>
      <c r="C316" s="14"/>
      <c r="D316" s="14"/>
      <c r="E316" s="14"/>
      <c r="F316" s="15"/>
      <c r="G316" s="14"/>
      <c r="H316" s="14"/>
      <c r="I316" s="15"/>
    </row>
    <row r="317" spans="1:9" ht="13.15">
      <c r="A317" s="14"/>
      <c r="B317" s="14"/>
      <c r="C317" s="14"/>
      <c r="D317" s="14"/>
      <c r="E317" s="14"/>
      <c r="F317" s="15"/>
      <c r="G317" s="14"/>
      <c r="H317" s="14"/>
      <c r="I317" s="15"/>
    </row>
    <row r="318" spans="1:9" ht="13.15">
      <c r="A318" s="14"/>
      <c r="B318" s="14"/>
      <c r="C318" s="14"/>
      <c r="D318" s="14"/>
      <c r="E318" s="14"/>
      <c r="F318" s="15"/>
      <c r="G318" s="14"/>
      <c r="H318" s="14"/>
      <c r="I318" s="15"/>
    </row>
    <row r="319" spans="1:9" ht="13.15">
      <c r="A319" s="14"/>
      <c r="B319" s="14"/>
      <c r="C319" s="14"/>
      <c r="D319" s="14"/>
      <c r="E319" s="14"/>
      <c r="F319" s="15"/>
      <c r="G319" s="14"/>
      <c r="H319" s="14"/>
      <c r="I319" s="15"/>
    </row>
    <row r="320" spans="1:9" ht="13.15">
      <c r="A320" s="14"/>
      <c r="B320" s="14"/>
      <c r="C320" s="14"/>
      <c r="D320" s="14"/>
      <c r="E320" s="14"/>
      <c r="F320" s="15"/>
      <c r="G320" s="14"/>
      <c r="H320" s="14"/>
      <c r="I320" s="15"/>
    </row>
    <row r="321" spans="1:9" ht="13.15">
      <c r="A321" s="14"/>
      <c r="B321" s="14"/>
      <c r="C321" s="14"/>
      <c r="D321" s="14"/>
      <c r="E321" s="14"/>
      <c r="F321" s="15"/>
      <c r="G321" s="14"/>
      <c r="H321" s="14"/>
      <c r="I321" s="15"/>
    </row>
    <row r="322" spans="1:9" ht="13.15">
      <c r="A322" s="14"/>
      <c r="B322" s="14"/>
      <c r="C322" s="14"/>
      <c r="D322" s="14"/>
      <c r="E322" s="14"/>
      <c r="F322" s="15"/>
      <c r="G322" s="14"/>
      <c r="H322" s="14"/>
      <c r="I322" s="15"/>
    </row>
    <row r="323" spans="1:9" ht="13.15">
      <c r="A323" s="14"/>
      <c r="B323" s="14"/>
      <c r="C323" s="14"/>
      <c r="D323" s="14"/>
      <c r="E323" s="14"/>
      <c r="F323" s="15"/>
      <c r="G323" s="14"/>
      <c r="H323" s="14"/>
      <c r="I323" s="15"/>
    </row>
    <row r="324" spans="1:9" ht="13.15">
      <c r="A324" s="14"/>
      <c r="B324" s="14"/>
      <c r="C324" s="14"/>
      <c r="D324" s="14"/>
      <c r="E324" s="14"/>
      <c r="F324" s="15"/>
      <c r="G324" s="14"/>
      <c r="H324" s="14"/>
      <c r="I324" s="15"/>
    </row>
    <row r="325" spans="1:9" ht="13.15">
      <c r="A325" s="14"/>
      <c r="B325" s="14"/>
      <c r="C325" s="14"/>
      <c r="D325" s="14"/>
      <c r="E325" s="14"/>
      <c r="F325" s="15"/>
      <c r="G325" s="14"/>
      <c r="H325" s="14"/>
      <c r="I325" s="15"/>
    </row>
    <row r="326" spans="1:9" ht="13.15">
      <c r="A326" s="14"/>
      <c r="B326" s="14"/>
      <c r="C326" s="14"/>
      <c r="D326" s="14"/>
      <c r="E326" s="14"/>
      <c r="F326" s="15"/>
      <c r="G326" s="14"/>
      <c r="H326" s="14"/>
      <c r="I326" s="15"/>
    </row>
    <row r="327" spans="1:9" ht="13.15">
      <c r="A327" s="14"/>
      <c r="B327" s="14"/>
      <c r="C327" s="14"/>
      <c r="D327" s="14"/>
      <c r="E327" s="14"/>
      <c r="F327" s="15"/>
      <c r="G327" s="14"/>
      <c r="H327" s="14"/>
      <c r="I327" s="15"/>
    </row>
    <row r="328" spans="1:9" ht="13.15">
      <c r="A328" s="14"/>
      <c r="B328" s="14"/>
      <c r="C328" s="14"/>
      <c r="D328" s="14"/>
      <c r="E328" s="14"/>
      <c r="F328" s="15"/>
      <c r="G328" s="14"/>
      <c r="H328" s="14"/>
      <c r="I328" s="15"/>
    </row>
    <row r="329" spans="1:9" ht="13.15">
      <c r="A329" s="14"/>
      <c r="B329" s="14"/>
      <c r="C329" s="14"/>
      <c r="D329" s="14"/>
      <c r="E329" s="14"/>
      <c r="F329" s="15"/>
      <c r="G329" s="14"/>
      <c r="H329" s="14"/>
      <c r="I329" s="15"/>
    </row>
    <row r="330" spans="1:9" ht="13.15">
      <c r="A330" s="14"/>
      <c r="B330" s="14"/>
      <c r="C330" s="14"/>
      <c r="D330" s="14"/>
      <c r="E330" s="14"/>
      <c r="F330" s="15"/>
      <c r="G330" s="14"/>
      <c r="H330" s="14"/>
      <c r="I330" s="15"/>
    </row>
    <row r="331" spans="1:9" ht="13.15">
      <c r="A331" s="14"/>
      <c r="B331" s="14"/>
      <c r="C331" s="14"/>
      <c r="D331" s="14"/>
      <c r="E331" s="14"/>
      <c r="F331" s="15"/>
      <c r="G331" s="14"/>
      <c r="H331" s="14"/>
      <c r="I331" s="15"/>
    </row>
    <row r="332" spans="1:9" ht="13.15">
      <c r="A332" s="14"/>
      <c r="B332" s="14"/>
      <c r="C332" s="14"/>
      <c r="D332" s="14"/>
      <c r="E332" s="14"/>
      <c r="F332" s="15"/>
      <c r="G332" s="14"/>
      <c r="H332" s="14"/>
      <c r="I332" s="15"/>
    </row>
    <row r="333" spans="1:9" ht="13.15">
      <c r="A333" s="14"/>
      <c r="B333" s="14"/>
      <c r="C333" s="14"/>
      <c r="D333" s="14"/>
      <c r="E333" s="14"/>
      <c r="F333" s="15"/>
      <c r="G333" s="14"/>
      <c r="H333" s="14"/>
      <c r="I333" s="15"/>
    </row>
    <row r="334" spans="1:9" ht="13.15">
      <c r="A334" s="14"/>
      <c r="B334" s="14"/>
      <c r="C334" s="14"/>
      <c r="D334" s="14"/>
      <c r="E334" s="14"/>
      <c r="F334" s="15"/>
      <c r="G334" s="14"/>
      <c r="H334" s="14"/>
      <c r="I334" s="15"/>
    </row>
    <row r="335" spans="1:9" ht="13.15">
      <c r="A335" s="14"/>
      <c r="B335" s="14"/>
      <c r="C335" s="14"/>
      <c r="D335" s="14"/>
      <c r="E335" s="14"/>
      <c r="F335" s="15"/>
      <c r="G335" s="14"/>
      <c r="H335" s="14"/>
      <c r="I335" s="15"/>
    </row>
    <row r="336" spans="1:9" ht="13.15">
      <c r="A336" s="14"/>
      <c r="B336" s="14"/>
      <c r="C336" s="14"/>
      <c r="D336" s="14"/>
      <c r="E336" s="14"/>
      <c r="F336" s="15"/>
      <c r="G336" s="14"/>
      <c r="H336" s="14"/>
      <c r="I336" s="15"/>
    </row>
    <row r="337" spans="1:9" ht="13.15">
      <c r="A337" s="14"/>
      <c r="B337" s="14"/>
      <c r="C337" s="14"/>
      <c r="D337" s="14"/>
      <c r="E337" s="14"/>
      <c r="F337" s="15"/>
      <c r="G337" s="14"/>
      <c r="H337" s="14"/>
      <c r="I337" s="15"/>
    </row>
  </sheetData>
  <mergeCells count="4">
    <mergeCell ref="G1:I1"/>
    <mergeCell ref="A1:C1"/>
    <mergeCell ref="D1:F1"/>
    <mergeCell ref="A2:B2"/>
  </mergeCells>
  <conditionalFormatting sqref="F2 I2 F4:F95 I4:I95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7"/>
  <sheetViews>
    <sheetView workbookViewId="0">
      <pane xSplit="2" ySplit="3" topLeftCell="C4" activePane="bottomRight" state="frozen"/>
      <selection pane="bottomRight" activeCell="E25" sqref="E25"/>
      <selection pane="bottomLeft" activeCell="A4" sqref="A4:I20"/>
      <selection pane="topRight" activeCell="A4" sqref="A4:I2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9" t="str" cm="1">
        <f t="array" ref="A1">portfolio</f>
        <v>MN8 KEF</v>
      </c>
      <c r="B1" s="79"/>
      <c r="C1" s="79"/>
      <c r="D1" s="80" t="s">
        <v>16</v>
      </c>
      <c r="E1" s="80"/>
      <c r="F1" s="80"/>
      <c r="G1" s="78" t="s">
        <v>17</v>
      </c>
      <c r="H1" s="78"/>
      <c r="I1" s="78"/>
    </row>
    <row r="2" spans="1:9" ht="19.5" customHeight="1">
      <c r="A2" s="81" t="s">
        <v>2</v>
      </c>
      <c r="B2" s="81"/>
      <c r="C2" s="5">
        <f>SUM(C4:C95)</f>
        <v>0</v>
      </c>
      <c r="D2" s="5">
        <f>SUM(D4:D95)</f>
        <v>0</v>
      </c>
      <c r="E2" s="5">
        <f>C2-D2</f>
        <v>0</v>
      </c>
      <c r="F2" s="6">
        <f>IFERROR(E2/D2, 0)</f>
        <v>0</v>
      </c>
      <c r="G2" s="5">
        <f>SUM(G4:G95)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</row>
    <row r="4" spans="1:9" ht="15.75">
      <c r="A4" s="66" t="str" cm="1">
        <f t="array" ref="A4:A20">Sites[Site]</f>
        <v>Williamsburg A</v>
      </c>
      <c r="B4" s="62" t="str" cm="1">
        <f t="array" ref="B4:B20">Sites[State]</f>
        <v>MA</v>
      </c>
      <c r="C4" s="57">
        <f>SUM(Oct!C4, Nov!C4, Dec!C4)</f>
        <v>0</v>
      </c>
      <c r="D4" s="45">
        <f>SUM(Oct!D4, Nov!D4, Dec!D4)</f>
        <v>0</v>
      </c>
      <c r="E4" s="45">
        <f>IF(AND(ISNUMBER(C4),ISNUMBER(D4)), C4-D4, "")</f>
        <v>0</v>
      </c>
      <c r="F4" s="58" t="str">
        <f>IFERROR(E4/D4, "")</f>
        <v/>
      </c>
      <c r="G4" s="47"/>
      <c r="H4" s="47">
        <f>SUM(Oct!H4, Nov!H4, Dec!H4)</f>
        <v>0</v>
      </c>
      <c r="I4" s="46" t="str">
        <f>IFERROR(H4/G4, "")</f>
        <v/>
      </c>
    </row>
    <row r="5" spans="1:9" ht="15.75">
      <c r="A5" s="67" t="str">
        <v>Orange A KB</v>
      </c>
      <c r="B5" s="64" t="str">
        <v>MA</v>
      </c>
      <c r="C5" s="59">
        <f>SUM(Oct!C5, Nov!C5, Dec!C5)</f>
        <v>0</v>
      </c>
      <c r="D5" s="51">
        <f>SUM(Oct!D5, Nov!D5, Dec!D5)</f>
        <v>0</v>
      </c>
      <c r="E5" s="51">
        <f t="shared" ref="E5:E15" si="0">IF(AND(ISNUMBER(C5),ISNUMBER(D5)), C5-D5, "")</f>
        <v>0</v>
      </c>
      <c r="F5" s="52" t="str">
        <f>IFERROR(E5/D5, "")</f>
        <v/>
      </c>
      <c r="G5" s="53"/>
      <c r="H5" s="53">
        <f>SUM(Oct!H5, Nov!H5, Dec!H5)</f>
        <v>0</v>
      </c>
      <c r="I5" s="52" t="str">
        <f>IFERROR(H5/G5, "")</f>
        <v/>
      </c>
    </row>
    <row r="6" spans="1:9" ht="15.75">
      <c r="A6" s="66" t="str">
        <v>Goshen A</v>
      </c>
      <c r="B6" s="62" t="str">
        <v>MA</v>
      </c>
      <c r="C6" s="57">
        <f>SUM(Oct!C6, Nov!C6, Dec!C6)</f>
        <v>0</v>
      </c>
      <c r="D6" s="45">
        <f>SUM(Oct!D6, Nov!D6, Dec!D6)</f>
        <v>0</v>
      </c>
      <c r="E6" s="45">
        <f t="shared" si="0"/>
        <v>0</v>
      </c>
      <c r="F6" s="58" t="str">
        <f t="shared" ref="F6:F15" si="1">IFERROR(E6/D6, "")</f>
        <v/>
      </c>
      <c r="G6" s="47"/>
      <c r="H6" s="47">
        <f>SUM(Oct!H6, Nov!H6, Dec!H6)</f>
        <v>0</v>
      </c>
      <c r="I6" s="46" t="str">
        <f t="shared" ref="I6:I15" si="2">IFERROR(H6/G6, "")</f>
        <v/>
      </c>
    </row>
    <row r="7" spans="1:9" ht="15.75">
      <c r="A7" s="67" t="str">
        <v>Phillipston A KB</v>
      </c>
      <c r="B7" s="64" t="str">
        <v>MA</v>
      </c>
      <c r="C7" s="59">
        <f>SUM(Oct!C7, Nov!C7, Dec!C7)</f>
        <v>0</v>
      </c>
      <c r="D7" s="51">
        <f>SUM(Oct!D7, Nov!D7, Dec!D7)</f>
        <v>0</v>
      </c>
      <c r="E7" s="51">
        <f t="shared" si="0"/>
        <v>0</v>
      </c>
      <c r="F7" s="52" t="str">
        <f t="shared" si="1"/>
        <v/>
      </c>
      <c r="G7" s="53"/>
      <c r="H7" s="53">
        <f>SUM(Oct!H7, Nov!H7, Dec!H7)</f>
        <v>0</v>
      </c>
      <c r="I7" s="52" t="str">
        <f t="shared" si="2"/>
        <v/>
      </c>
    </row>
    <row r="8" spans="1:9" ht="15.75">
      <c r="A8" s="66" t="str">
        <v>Uxbridge D</v>
      </c>
      <c r="B8" s="62" t="str">
        <v>MA</v>
      </c>
      <c r="C8" s="57">
        <f>SUM(Oct!C8, Nov!C8, Dec!C8)</f>
        <v>0</v>
      </c>
      <c r="D8" s="45">
        <f>SUM(Oct!D8, Nov!D8, Dec!D8)</f>
        <v>0</v>
      </c>
      <c r="E8" s="45">
        <f t="shared" si="0"/>
        <v>0</v>
      </c>
      <c r="F8" s="58" t="str">
        <f t="shared" si="1"/>
        <v/>
      </c>
      <c r="G8" s="47"/>
      <c r="H8" s="47">
        <f>SUM(Oct!H8, Nov!H8, Dec!H8)</f>
        <v>0</v>
      </c>
      <c r="I8" s="46" t="str">
        <f t="shared" si="2"/>
        <v/>
      </c>
    </row>
    <row r="9" spans="1:9" ht="15.75">
      <c r="A9" s="67" t="str">
        <v>West Bridgewater A&amp;B</v>
      </c>
      <c r="B9" s="64" t="str">
        <v>MA</v>
      </c>
      <c r="C9" s="59">
        <f>SUM(Oct!C9, Nov!C9, Dec!C9)</f>
        <v>0</v>
      </c>
      <c r="D9" s="51">
        <f>SUM(Oct!D9, Nov!D9, Dec!D9)</f>
        <v>0</v>
      </c>
      <c r="E9" s="51">
        <f t="shared" si="0"/>
        <v>0</v>
      </c>
      <c r="F9" s="52" t="str">
        <f t="shared" si="1"/>
        <v/>
      </c>
      <c r="G9" s="53"/>
      <c r="H9" s="53">
        <f>SUM(Oct!H9, Nov!H9, Dec!H9)</f>
        <v>0</v>
      </c>
      <c r="I9" s="52" t="str">
        <f t="shared" si="2"/>
        <v/>
      </c>
    </row>
    <row r="10" spans="1:9" ht="15.75">
      <c r="A10" s="66" t="str">
        <v>Sutton A</v>
      </c>
      <c r="B10" s="62" t="str">
        <v>MA</v>
      </c>
      <c r="C10" s="57">
        <f>SUM(Oct!C10, Nov!C10, Dec!C10)</f>
        <v>0</v>
      </c>
      <c r="D10" s="45">
        <f>SUM(Oct!D10, Nov!D10, Dec!D10)</f>
        <v>0</v>
      </c>
      <c r="E10" s="45">
        <f t="shared" si="0"/>
        <v>0</v>
      </c>
      <c r="F10" s="58" t="str">
        <f t="shared" si="1"/>
        <v/>
      </c>
      <c r="G10" s="47"/>
      <c r="H10" s="47">
        <f>SUM(Oct!H10, Nov!H10, Dec!H10)</f>
        <v>0</v>
      </c>
      <c r="I10" s="46" t="str">
        <f t="shared" si="2"/>
        <v/>
      </c>
    </row>
    <row r="11" spans="1:9" ht="15.75">
      <c r="A11" s="67" t="str">
        <v>North Adams A</v>
      </c>
      <c r="B11" s="64" t="str">
        <v>MA</v>
      </c>
      <c r="C11" s="59">
        <f>SUM(Oct!C11, Nov!C11, Dec!C11)</f>
        <v>0</v>
      </c>
      <c r="D11" s="51">
        <f>SUM(Oct!D11, Nov!D11, Dec!D11)</f>
        <v>0</v>
      </c>
      <c r="E11" s="51">
        <f t="shared" si="0"/>
        <v>0</v>
      </c>
      <c r="F11" s="52" t="str">
        <f t="shared" si="1"/>
        <v/>
      </c>
      <c r="G11" s="53"/>
      <c r="H11" s="53">
        <f>SUM(Oct!H11, Nov!H11, Dec!H11)</f>
        <v>0</v>
      </c>
      <c r="I11" s="52" t="str">
        <f t="shared" si="2"/>
        <v/>
      </c>
    </row>
    <row r="12" spans="1:9" ht="15.75">
      <c r="A12" s="66" t="str">
        <v>North Adams B</v>
      </c>
      <c r="B12" s="62" t="str">
        <v>MA</v>
      </c>
      <c r="C12" s="57">
        <f>SUM(Oct!C12, Nov!C12, Dec!C12)</f>
        <v>0</v>
      </c>
      <c r="D12" s="45">
        <f>SUM(Oct!D12, Nov!D12, Dec!D12)</f>
        <v>0</v>
      </c>
      <c r="E12" s="45">
        <f t="shared" si="0"/>
        <v>0</v>
      </c>
      <c r="F12" s="58" t="str">
        <f t="shared" si="1"/>
        <v/>
      </c>
      <c r="G12" s="47"/>
      <c r="H12" s="47">
        <f>SUM(Oct!H12, Nov!H12, Dec!H12)</f>
        <v>0</v>
      </c>
      <c r="I12" s="46" t="str">
        <f t="shared" si="2"/>
        <v/>
      </c>
    </row>
    <row r="13" spans="1:9" ht="15.75">
      <c r="A13" s="67" t="str">
        <v>Clarksburg A</v>
      </c>
      <c r="B13" s="64" t="str">
        <v>MA</v>
      </c>
      <c r="C13" s="59">
        <f>SUM(Oct!C13, Nov!C13, Dec!C13)</f>
        <v>0</v>
      </c>
      <c r="D13" s="51">
        <f>SUM(Oct!D13, Nov!D13, Dec!D13)</f>
        <v>0</v>
      </c>
      <c r="E13" s="51">
        <f t="shared" si="0"/>
        <v>0</v>
      </c>
      <c r="F13" s="52" t="str">
        <f t="shared" si="1"/>
        <v/>
      </c>
      <c r="G13" s="53"/>
      <c r="H13" s="53">
        <f>SUM(Oct!H13, Nov!H13, Dec!H13)</f>
        <v>0</v>
      </c>
      <c r="I13" s="52" t="str">
        <f t="shared" si="2"/>
        <v/>
      </c>
    </row>
    <row r="14" spans="1:9" ht="15.75">
      <c r="A14" s="66" t="str">
        <v>Swansea B</v>
      </c>
      <c r="B14" s="62" t="str">
        <v>MA</v>
      </c>
      <c r="C14" s="57">
        <f>SUM(Oct!C14, Nov!C14, Dec!C14)</f>
        <v>0</v>
      </c>
      <c r="D14" s="45">
        <f>SUM(Oct!D14, Nov!D14, Dec!D14)</f>
        <v>0</v>
      </c>
      <c r="E14" s="45">
        <f t="shared" si="0"/>
        <v>0</v>
      </c>
      <c r="F14" s="58" t="str">
        <f t="shared" si="1"/>
        <v/>
      </c>
      <c r="G14" s="47"/>
      <c r="H14" s="47">
        <f>SUM(Oct!H14, Nov!H14, Dec!H14)</f>
        <v>0</v>
      </c>
      <c r="I14" s="46" t="str">
        <f t="shared" si="2"/>
        <v/>
      </c>
    </row>
    <row r="15" spans="1:9" ht="15.75">
      <c r="A15" s="67" t="str">
        <v>Wareham 2</v>
      </c>
      <c r="B15" s="64" t="str">
        <v>MA</v>
      </c>
      <c r="C15" s="59">
        <f>SUM(Oct!C15, Nov!C15, Dec!C15)</f>
        <v>0</v>
      </c>
      <c r="D15" s="51">
        <f>SUM(Oct!D15, Nov!D15, Dec!D15)</f>
        <v>0</v>
      </c>
      <c r="E15" s="51">
        <f t="shared" si="0"/>
        <v>0</v>
      </c>
      <c r="F15" s="52" t="str">
        <f t="shared" si="1"/>
        <v/>
      </c>
      <c r="G15" s="53"/>
      <c r="H15" s="53">
        <f>SUM(Oct!H15, Nov!H15, Dec!H15)</f>
        <v>0</v>
      </c>
      <c r="I15" s="52" t="str">
        <f t="shared" si="2"/>
        <v/>
      </c>
    </row>
    <row r="16" spans="1:9" ht="15.75">
      <c r="A16" s="66" t="str">
        <v>Kingston 1 KB</v>
      </c>
      <c r="B16" s="62" t="str">
        <v>MA</v>
      </c>
      <c r="C16" s="57">
        <f>SUM(Oct!C16, Nov!C16, Dec!C16)</f>
        <v>0</v>
      </c>
      <c r="D16" s="45">
        <f>SUM(Oct!D16, Nov!D16, Dec!D16)</f>
        <v>0</v>
      </c>
      <c r="E16" s="45">
        <f t="shared" ref="E16:E18" si="3">IF(AND(ISNUMBER(C16),ISNUMBER(D16)), C16-D16, "")</f>
        <v>0</v>
      </c>
      <c r="F16" s="58" t="str">
        <f t="shared" ref="F16:F18" si="4">IFERROR(E16/D16, "")</f>
        <v/>
      </c>
      <c r="G16" s="47"/>
      <c r="H16" s="47">
        <f>SUM(Oct!H16, Nov!H16, Dec!H16)</f>
        <v>0</v>
      </c>
      <c r="I16" s="46" t="str">
        <f t="shared" ref="I16:I18" si="5">IFERROR(H16/G16, "")</f>
        <v/>
      </c>
    </row>
    <row r="17" spans="1:9" ht="15.75">
      <c r="A17" s="67" t="str">
        <v>Kingston 2 KB</v>
      </c>
      <c r="B17" s="64" t="str">
        <v>MA</v>
      </c>
      <c r="C17" s="59">
        <f>SUM(Oct!C17, Nov!C17, Dec!C17)</f>
        <v>0</v>
      </c>
      <c r="D17" s="51">
        <f>SUM(Oct!D17, Nov!D17, Dec!D17)</f>
        <v>0</v>
      </c>
      <c r="E17" s="51">
        <f t="shared" si="3"/>
        <v>0</v>
      </c>
      <c r="F17" s="52" t="str">
        <f t="shared" si="4"/>
        <v/>
      </c>
      <c r="G17" s="53"/>
      <c r="H17" s="53">
        <f>SUM(Oct!H17, Nov!H17, Dec!H17)</f>
        <v>0</v>
      </c>
      <c r="I17" s="52" t="str">
        <f t="shared" si="5"/>
        <v/>
      </c>
    </row>
    <row r="18" spans="1:9" ht="12.75" customHeight="1">
      <c r="A18" s="66" t="str">
        <v>Holliston B</v>
      </c>
      <c r="B18" s="62" t="str">
        <v>MA</v>
      </c>
      <c r="C18" s="59">
        <f>SUM(Oct!C18, Nov!C18, Dec!C18)</f>
        <v>0</v>
      </c>
      <c r="D18" s="51">
        <f>SUM(Oct!D18, Nov!D18, Dec!D18)</f>
        <v>0</v>
      </c>
      <c r="E18" s="51">
        <f t="shared" si="3"/>
        <v>0</v>
      </c>
      <c r="F18" s="52" t="str">
        <f t="shared" si="4"/>
        <v/>
      </c>
      <c r="G18" s="53"/>
      <c r="H18" s="53">
        <f>SUM(Oct!H18, Nov!H18, Dec!H18)</f>
        <v>0</v>
      </c>
      <c r="I18" s="52" t="str">
        <f t="shared" si="5"/>
        <v/>
      </c>
    </row>
    <row r="19" spans="1:9" ht="15.75">
      <c r="A19" s="67" t="str">
        <v>Fairhaven C</v>
      </c>
      <c r="B19" s="64" t="str">
        <v>MA</v>
      </c>
      <c r="C19" s="57">
        <f>SUM(Oct!C19, Nov!C19, Dec!C19)</f>
        <v>0</v>
      </c>
      <c r="D19" s="45">
        <f>SUM(Oct!D19, Nov!D19, Dec!D19)</f>
        <v>0</v>
      </c>
      <c r="E19" s="45">
        <f t="shared" ref="E19:E20" si="6">IF(AND(ISNUMBER(C19),ISNUMBER(D19)), C19-D19, "")</f>
        <v>0</v>
      </c>
      <c r="F19" s="58" t="str">
        <f t="shared" ref="F19:F20" si="7">IFERROR(E19/D19, "")</f>
        <v/>
      </c>
      <c r="G19" s="47"/>
      <c r="H19" s="47">
        <f>SUM(Oct!H19, Nov!H19, Dec!H19)</f>
        <v>0</v>
      </c>
      <c r="I19" s="46" t="str">
        <f t="shared" ref="I19:I20" si="8">IFERROR(H19/G19, "")</f>
        <v/>
      </c>
    </row>
    <row r="20" spans="1:9" ht="15.75">
      <c r="A20" s="66" t="str">
        <v>Plympton A-2</v>
      </c>
      <c r="B20" s="62" t="str">
        <v>MA</v>
      </c>
      <c r="C20" s="59">
        <f>SUM(Oct!C20, Nov!C20, Dec!C20)</f>
        <v>0</v>
      </c>
      <c r="D20" s="51">
        <f>SUM(Oct!D20, Nov!D20, Dec!D20)</f>
        <v>0</v>
      </c>
      <c r="E20" s="51">
        <f t="shared" si="6"/>
        <v>0</v>
      </c>
      <c r="F20" s="52" t="str">
        <f t="shared" si="7"/>
        <v/>
      </c>
      <c r="G20" s="53"/>
      <c r="H20" s="53">
        <f>SUM(Oct!H20, Nov!H20, Dec!H20)</f>
        <v>0</v>
      </c>
      <c r="I20" s="52" t="str">
        <f t="shared" si="8"/>
        <v/>
      </c>
    </row>
    <row r="21" spans="1:9" ht="15.75">
      <c r="A21" s="10"/>
      <c r="B21" s="9"/>
      <c r="C21" s="32"/>
      <c r="D21" s="11"/>
      <c r="E21" s="11"/>
      <c r="F21" s="12"/>
      <c r="G21" s="13"/>
      <c r="H21" s="13"/>
      <c r="I21" s="12"/>
    </row>
    <row r="22" spans="1:9" ht="14.25">
      <c r="A22" s="14"/>
      <c r="B22" s="9"/>
      <c r="C22" s="32"/>
      <c r="D22" s="11"/>
      <c r="E22" s="11"/>
      <c r="F22" s="12"/>
      <c r="G22" s="13"/>
      <c r="H22" s="13"/>
      <c r="I22" s="12"/>
    </row>
    <row r="23" spans="1:9" ht="14.25">
      <c r="A23" s="14"/>
      <c r="B23" s="9"/>
      <c r="C23" s="32"/>
      <c r="D23" s="11"/>
      <c r="E23" s="11"/>
      <c r="F23" s="12"/>
      <c r="G23" s="13"/>
      <c r="H23" s="13"/>
      <c r="I23" s="12"/>
    </row>
    <row r="24" spans="1:9" ht="14.25">
      <c r="A24" s="14"/>
      <c r="B24" s="9"/>
      <c r="C24" s="32"/>
      <c r="D24" s="11"/>
      <c r="E24" s="11"/>
      <c r="F24" s="12"/>
      <c r="G24" s="13"/>
      <c r="H24" s="13"/>
      <c r="I24" s="12"/>
    </row>
    <row r="25" spans="1:9" ht="14.25">
      <c r="A25" s="14"/>
      <c r="B25" s="9"/>
      <c r="C25" s="32"/>
      <c r="D25" s="11"/>
      <c r="E25" s="11"/>
      <c r="F25" s="12"/>
      <c r="G25" s="13"/>
      <c r="H25" s="13"/>
      <c r="I25" s="12"/>
    </row>
    <row r="26" spans="1:9" ht="13.15">
      <c r="A26" s="14"/>
      <c r="B26" s="14"/>
      <c r="C26" s="14"/>
      <c r="D26" s="14"/>
      <c r="E26" s="14"/>
      <c r="F26" s="14"/>
      <c r="G26" s="14"/>
      <c r="H26" s="14"/>
      <c r="I26" s="14"/>
    </row>
    <row r="27" spans="1:9" ht="13.15">
      <c r="A27" s="14"/>
      <c r="B27" s="14"/>
      <c r="C27" s="14"/>
      <c r="D27" s="14"/>
      <c r="E27" s="14"/>
      <c r="F27" s="14"/>
      <c r="G27" s="14"/>
      <c r="H27" s="14"/>
      <c r="I27" s="14"/>
    </row>
    <row r="28" spans="1:9" ht="13.15">
      <c r="A28" s="14"/>
      <c r="B28" s="14"/>
      <c r="C28" s="14"/>
      <c r="D28" s="14"/>
      <c r="E28" s="14"/>
      <c r="F28" s="15"/>
      <c r="G28" s="14"/>
      <c r="H28" s="14"/>
      <c r="I28" s="15"/>
    </row>
    <row r="29" spans="1:9" ht="13.15">
      <c r="A29" s="14"/>
      <c r="B29" s="14"/>
      <c r="C29" s="14"/>
      <c r="D29" s="14"/>
      <c r="E29" s="14"/>
      <c r="F29" s="15"/>
      <c r="G29" s="14"/>
      <c r="H29" s="14"/>
      <c r="I29" s="15"/>
    </row>
    <row r="30" spans="1:9" ht="13.15">
      <c r="A30" s="14"/>
      <c r="B30" s="14"/>
      <c r="C30" s="14"/>
      <c r="D30" s="14"/>
      <c r="E30" s="14"/>
      <c r="F30" s="15"/>
      <c r="G30" s="14"/>
      <c r="H30" s="14"/>
      <c r="I30" s="15"/>
    </row>
    <row r="31" spans="1:9" ht="13.15">
      <c r="A31" s="14"/>
      <c r="B31" s="14"/>
      <c r="C31" s="14"/>
      <c r="D31" s="14"/>
      <c r="E31" s="14"/>
      <c r="F31" s="15"/>
      <c r="G31" s="14"/>
      <c r="H31" s="14"/>
      <c r="I31" s="15"/>
    </row>
    <row r="32" spans="1:9" ht="13.15">
      <c r="A32" s="14"/>
      <c r="B32" s="14"/>
      <c r="C32" s="14"/>
      <c r="D32" s="14"/>
      <c r="E32" s="14"/>
      <c r="F32" s="15"/>
      <c r="G32" s="14"/>
      <c r="H32" s="14"/>
      <c r="I32" s="15"/>
    </row>
    <row r="33" spans="1:9" ht="13.15">
      <c r="A33" s="14"/>
      <c r="B33" s="14"/>
      <c r="C33" s="14"/>
      <c r="D33" s="14"/>
      <c r="E33" s="14"/>
      <c r="F33" s="15"/>
      <c r="G33" s="14"/>
      <c r="H33" s="14"/>
      <c r="I33" s="15"/>
    </row>
    <row r="34" spans="1:9" ht="13.15">
      <c r="A34" s="14"/>
      <c r="B34" s="14"/>
      <c r="C34" s="14"/>
      <c r="D34" s="14"/>
      <c r="E34" s="14"/>
      <c r="F34" s="15"/>
      <c r="G34" s="14"/>
      <c r="H34" s="14"/>
      <c r="I34" s="15"/>
    </row>
    <row r="35" spans="1:9" ht="13.15">
      <c r="A35" s="14"/>
      <c r="B35" s="14"/>
      <c r="C35" s="14"/>
      <c r="D35" s="14"/>
      <c r="E35" s="14"/>
      <c r="F35" s="15"/>
      <c r="G35" s="14"/>
      <c r="H35" s="14"/>
      <c r="I35" s="15"/>
    </row>
    <row r="36" spans="1:9" ht="13.15">
      <c r="A36" s="14"/>
      <c r="B36" s="14"/>
      <c r="C36" s="14"/>
      <c r="D36" s="14"/>
      <c r="E36" s="14"/>
      <c r="F36" s="15"/>
      <c r="G36" s="14"/>
      <c r="H36" s="14"/>
      <c r="I36" s="15"/>
    </row>
    <row r="37" spans="1:9" ht="13.15">
      <c r="A37" s="14"/>
      <c r="B37" s="14"/>
      <c r="C37" s="14"/>
      <c r="D37" s="14"/>
      <c r="E37" s="14"/>
      <c r="F37" s="15"/>
      <c r="G37" s="14"/>
      <c r="H37" s="14"/>
      <c r="I37" s="15"/>
    </row>
    <row r="38" spans="1:9" ht="13.15">
      <c r="A38" s="14"/>
      <c r="B38" s="14"/>
      <c r="C38" s="14"/>
      <c r="D38" s="14"/>
      <c r="E38" s="14"/>
      <c r="F38" s="15"/>
      <c r="G38" s="14"/>
      <c r="H38" s="14"/>
      <c r="I38" s="15"/>
    </row>
    <row r="39" spans="1:9" ht="13.15">
      <c r="A39" s="14"/>
      <c r="B39" s="14"/>
      <c r="C39" s="14"/>
      <c r="D39" s="14"/>
      <c r="E39" s="14"/>
      <c r="F39" s="15"/>
      <c r="G39" s="14"/>
      <c r="H39" s="14"/>
      <c r="I39" s="15"/>
    </row>
    <row r="40" spans="1:9" ht="13.15">
      <c r="A40" s="14"/>
      <c r="B40" s="14"/>
      <c r="C40" s="14"/>
      <c r="D40" s="14"/>
      <c r="E40" s="14"/>
      <c r="F40" s="15"/>
      <c r="G40" s="14"/>
      <c r="H40" s="14"/>
      <c r="I40" s="15"/>
    </row>
    <row r="41" spans="1:9" ht="13.15">
      <c r="A41" s="14"/>
      <c r="B41" s="14"/>
      <c r="C41" s="14"/>
      <c r="D41" s="14"/>
      <c r="E41" s="14"/>
      <c r="F41" s="15"/>
      <c r="G41" s="14"/>
      <c r="H41" s="14"/>
      <c r="I41" s="15"/>
    </row>
    <row r="42" spans="1:9" ht="13.15">
      <c r="A42" s="14"/>
      <c r="B42" s="14"/>
      <c r="C42" s="14"/>
      <c r="D42" s="14"/>
      <c r="E42" s="14"/>
      <c r="F42" s="15"/>
      <c r="G42" s="14"/>
      <c r="H42" s="14"/>
      <c r="I42" s="15"/>
    </row>
    <row r="43" spans="1:9" ht="13.15">
      <c r="A43" s="14"/>
      <c r="B43" s="14"/>
      <c r="C43" s="14"/>
      <c r="D43" s="14"/>
      <c r="E43" s="14"/>
      <c r="F43" s="15"/>
      <c r="G43" s="14"/>
      <c r="H43" s="14"/>
      <c r="I43" s="15"/>
    </row>
    <row r="44" spans="1:9" ht="13.15">
      <c r="A44" s="14"/>
      <c r="B44" s="14"/>
      <c r="C44" s="14"/>
      <c r="D44" s="14"/>
      <c r="E44" s="14"/>
      <c r="F44" s="15"/>
      <c r="G44" s="14"/>
      <c r="H44" s="14"/>
      <c r="I44" s="15"/>
    </row>
    <row r="45" spans="1:9" ht="13.15">
      <c r="A45" s="14"/>
      <c r="B45" s="14"/>
      <c r="C45" s="14"/>
      <c r="D45" s="14"/>
      <c r="E45" s="14"/>
      <c r="F45" s="15"/>
      <c r="G45" s="14"/>
      <c r="H45" s="14"/>
      <c r="I45" s="15"/>
    </row>
    <row r="46" spans="1:9" ht="13.15">
      <c r="A46" s="14"/>
      <c r="B46" s="14"/>
      <c r="C46" s="14"/>
      <c r="D46" s="14"/>
      <c r="E46" s="14"/>
      <c r="F46" s="15"/>
      <c r="G46" s="14"/>
      <c r="H46" s="14"/>
      <c r="I46" s="15"/>
    </row>
    <row r="47" spans="1:9" ht="13.15">
      <c r="A47" s="14"/>
      <c r="B47" s="14"/>
      <c r="C47" s="14"/>
      <c r="D47" s="14"/>
      <c r="E47" s="14"/>
      <c r="F47" s="15"/>
      <c r="G47" s="14"/>
      <c r="H47" s="14"/>
      <c r="I47" s="15"/>
    </row>
    <row r="48" spans="1:9" ht="13.15">
      <c r="A48" s="14"/>
      <c r="B48" s="14"/>
      <c r="C48" s="14"/>
      <c r="D48" s="14"/>
      <c r="E48" s="14"/>
      <c r="F48" s="15"/>
      <c r="G48" s="14"/>
      <c r="H48" s="14"/>
      <c r="I48" s="15"/>
    </row>
    <row r="49" spans="1:9" ht="13.15">
      <c r="A49" s="14"/>
      <c r="B49" s="14"/>
      <c r="C49" s="14"/>
      <c r="D49" s="14"/>
      <c r="E49" s="14"/>
      <c r="F49" s="15"/>
      <c r="G49" s="14"/>
      <c r="H49" s="14"/>
      <c r="I49" s="15"/>
    </row>
    <row r="50" spans="1:9" ht="13.15">
      <c r="A50" s="14"/>
      <c r="B50" s="14"/>
      <c r="C50" s="14"/>
      <c r="D50" s="14"/>
      <c r="E50" s="14"/>
      <c r="F50" s="15"/>
      <c r="G50" s="14"/>
      <c r="H50" s="14"/>
      <c r="I50" s="15"/>
    </row>
    <row r="51" spans="1:9" ht="13.15">
      <c r="A51" s="14"/>
      <c r="B51" s="14"/>
      <c r="C51" s="14"/>
      <c r="D51" s="14"/>
      <c r="E51" s="14"/>
      <c r="F51" s="15"/>
      <c r="G51" s="14"/>
      <c r="H51" s="14"/>
      <c r="I51" s="15"/>
    </row>
    <row r="52" spans="1:9" ht="13.15">
      <c r="A52" s="14"/>
      <c r="B52" s="14"/>
      <c r="C52" s="14"/>
      <c r="D52" s="14"/>
      <c r="E52" s="14"/>
      <c r="F52" s="15"/>
      <c r="G52" s="14"/>
      <c r="H52" s="14"/>
      <c r="I52" s="15"/>
    </row>
    <row r="53" spans="1:9" ht="13.15">
      <c r="A53" s="14"/>
      <c r="B53" s="14"/>
      <c r="C53" s="14"/>
      <c r="D53" s="14"/>
      <c r="E53" s="14"/>
      <c r="F53" s="15"/>
      <c r="G53" s="14"/>
      <c r="H53" s="14"/>
      <c r="I53" s="15"/>
    </row>
    <row r="54" spans="1:9" ht="13.15">
      <c r="A54" s="14"/>
      <c r="B54" s="14"/>
      <c r="C54" s="14"/>
      <c r="D54" s="14"/>
      <c r="E54" s="14"/>
      <c r="F54" s="15"/>
      <c r="G54" s="14"/>
      <c r="H54" s="14"/>
      <c r="I54" s="15"/>
    </row>
    <row r="55" spans="1:9" ht="13.15">
      <c r="A55" s="14"/>
      <c r="B55" s="14"/>
      <c r="C55" s="14"/>
      <c r="D55" s="14"/>
      <c r="E55" s="14"/>
      <c r="F55" s="15"/>
      <c r="G55" s="14"/>
      <c r="H55" s="14"/>
      <c r="I55" s="15"/>
    </row>
    <row r="56" spans="1:9" ht="13.15">
      <c r="A56" s="14"/>
      <c r="B56" s="14"/>
      <c r="C56" s="14"/>
      <c r="D56" s="14"/>
      <c r="E56" s="14"/>
      <c r="F56" s="15"/>
      <c r="G56" s="14"/>
      <c r="H56" s="14"/>
      <c r="I56" s="15"/>
    </row>
    <row r="57" spans="1:9" ht="13.15">
      <c r="A57" s="14"/>
      <c r="B57" s="14"/>
      <c r="C57" s="14"/>
      <c r="D57" s="14"/>
      <c r="E57" s="14"/>
      <c r="F57" s="15"/>
      <c r="G57" s="14"/>
      <c r="H57" s="14"/>
      <c r="I57" s="15"/>
    </row>
    <row r="58" spans="1:9" ht="13.15">
      <c r="A58" s="14"/>
      <c r="B58" s="14"/>
      <c r="C58" s="14"/>
      <c r="D58" s="14"/>
      <c r="E58" s="14"/>
      <c r="F58" s="15"/>
      <c r="G58" s="14"/>
      <c r="H58" s="14"/>
      <c r="I58" s="15"/>
    </row>
    <row r="59" spans="1:9" ht="13.15">
      <c r="A59" s="14"/>
      <c r="B59" s="14"/>
      <c r="C59" s="14"/>
      <c r="D59" s="14"/>
      <c r="E59" s="14"/>
      <c r="F59" s="15"/>
      <c r="G59" s="14"/>
      <c r="H59" s="14"/>
      <c r="I59" s="15"/>
    </row>
    <row r="60" spans="1:9" ht="13.15">
      <c r="A60" s="14"/>
      <c r="B60" s="14"/>
      <c r="C60" s="14"/>
      <c r="D60" s="14"/>
      <c r="E60" s="14"/>
      <c r="F60" s="15"/>
      <c r="G60" s="14"/>
      <c r="H60" s="14"/>
      <c r="I60" s="15"/>
    </row>
    <row r="61" spans="1:9" ht="13.15">
      <c r="A61" s="14"/>
      <c r="B61" s="14"/>
      <c r="C61" s="14"/>
      <c r="D61" s="14"/>
      <c r="E61" s="14"/>
      <c r="F61" s="15"/>
      <c r="G61" s="14"/>
      <c r="H61" s="14"/>
      <c r="I61" s="15"/>
    </row>
    <row r="62" spans="1:9" ht="13.15">
      <c r="A62" s="14"/>
      <c r="B62" s="14"/>
      <c r="C62" s="14"/>
      <c r="D62" s="14"/>
      <c r="E62" s="14"/>
      <c r="F62" s="15"/>
      <c r="G62" s="14"/>
      <c r="H62" s="14"/>
      <c r="I62" s="15"/>
    </row>
    <row r="63" spans="1:9" ht="13.15">
      <c r="A63" s="14"/>
      <c r="B63" s="14"/>
      <c r="C63" s="14"/>
      <c r="D63" s="14"/>
      <c r="E63" s="14"/>
      <c r="F63" s="15"/>
      <c r="G63" s="14"/>
      <c r="H63" s="14"/>
      <c r="I63" s="15"/>
    </row>
    <row r="64" spans="1:9" ht="13.15">
      <c r="A64" s="14"/>
      <c r="B64" s="14"/>
      <c r="C64" s="14"/>
      <c r="D64" s="14"/>
      <c r="E64" s="14"/>
      <c r="F64" s="15"/>
      <c r="G64" s="14"/>
      <c r="H64" s="14"/>
      <c r="I64" s="15"/>
    </row>
    <row r="65" spans="1:9" ht="13.15">
      <c r="A65" s="14"/>
      <c r="B65" s="14"/>
      <c r="C65" s="14"/>
      <c r="D65" s="14"/>
      <c r="E65" s="14"/>
      <c r="F65" s="15"/>
      <c r="G65" s="14"/>
      <c r="H65" s="14"/>
      <c r="I65" s="15"/>
    </row>
    <row r="66" spans="1:9" ht="13.15">
      <c r="A66" s="14"/>
      <c r="B66" s="14"/>
      <c r="C66" s="14"/>
      <c r="D66" s="14"/>
      <c r="E66" s="14"/>
      <c r="F66" s="15"/>
      <c r="G66" s="14"/>
      <c r="H66" s="14"/>
      <c r="I66" s="15"/>
    </row>
    <row r="67" spans="1:9" ht="13.15">
      <c r="A67" s="14"/>
      <c r="B67" s="14"/>
      <c r="C67" s="14"/>
      <c r="D67" s="14"/>
      <c r="E67" s="14"/>
      <c r="F67" s="15"/>
      <c r="G67" s="14"/>
      <c r="H67" s="14"/>
      <c r="I67" s="15"/>
    </row>
    <row r="68" spans="1:9" ht="13.15">
      <c r="A68" s="14"/>
      <c r="B68" s="14"/>
      <c r="C68" s="14"/>
      <c r="D68" s="14"/>
      <c r="E68" s="14"/>
      <c r="F68" s="15"/>
      <c r="G68" s="14"/>
      <c r="H68" s="14"/>
      <c r="I68" s="15"/>
    </row>
    <row r="69" spans="1:9" ht="13.15">
      <c r="A69" s="14"/>
      <c r="B69" s="14"/>
      <c r="C69" s="14"/>
      <c r="D69" s="14"/>
      <c r="E69" s="14"/>
      <c r="F69" s="15"/>
      <c r="G69" s="14"/>
      <c r="H69" s="14"/>
      <c r="I69" s="15"/>
    </row>
    <row r="70" spans="1:9" ht="13.15">
      <c r="A70" s="14"/>
      <c r="B70" s="14"/>
      <c r="C70" s="14"/>
      <c r="D70" s="14"/>
      <c r="E70" s="14"/>
      <c r="F70" s="15"/>
      <c r="G70" s="14"/>
      <c r="H70" s="14"/>
      <c r="I70" s="15"/>
    </row>
    <row r="71" spans="1:9" ht="13.15">
      <c r="A71" s="14"/>
      <c r="B71" s="14"/>
      <c r="C71" s="14"/>
      <c r="D71" s="14"/>
      <c r="E71" s="14"/>
      <c r="F71" s="15"/>
      <c r="G71" s="14"/>
      <c r="H71" s="14"/>
      <c r="I71" s="15"/>
    </row>
    <row r="72" spans="1:9" ht="13.15">
      <c r="A72" s="14"/>
      <c r="B72" s="14"/>
      <c r="C72" s="14"/>
      <c r="D72" s="14"/>
      <c r="E72" s="14"/>
      <c r="F72" s="15"/>
      <c r="G72" s="14"/>
      <c r="H72" s="14"/>
      <c r="I72" s="15"/>
    </row>
    <row r="73" spans="1:9" ht="13.15">
      <c r="A73" s="14"/>
      <c r="B73" s="14"/>
      <c r="C73" s="14"/>
      <c r="D73" s="14"/>
      <c r="E73" s="14"/>
      <c r="F73" s="15"/>
      <c r="G73" s="14"/>
      <c r="H73" s="14"/>
      <c r="I73" s="15"/>
    </row>
    <row r="74" spans="1:9" ht="13.15">
      <c r="A74" s="14"/>
      <c r="B74" s="14"/>
      <c r="C74" s="14"/>
      <c r="D74" s="14"/>
      <c r="E74" s="14"/>
      <c r="F74" s="15"/>
      <c r="G74" s="14"/>
      <c r="H74" s="14"/>
      <c r="I74" s="15"/>
    </row>
    <row r="75" spans="1:9" ht="13.15">
      <c r="A75" s="14"/>
      <c r="B75" s="14"/>
      <c r="C75" s="14"/>
      <c r="D75" s="14"/>
      <c r="E75" s="14"/>
      <c r="F75" s="15"/>
      <c r="G75" s="14"/>
      <c r="H75" s="14"/>
      <c r="I75" s="15"/>
    </row>
    <row r="76" spans="1:9" ht="13.15">
      <c r="A76" s="14"/>
      <c r="B76" s="14"/>
      <c r="C76" s="14"/>
      <c r="D76" s="14"/>
      <c r="E76" s="14"/>
      <c r="F76" s="15"/>
      <c r="G76" s="14"/>
      <c r="H76" s="14"/>
      <c r="I76" s="15"/>
    </row>
    <row r="77" spans="1:9" ht="13.15">
      <c r="A77" s="14"/>
      <c r="B77" s="14"/>
      <c r="C77" s="14"/>
      <c r="D77" s="14"/>
      <c r="E77" s="14"/>
      <c r="F77" s="15"/>
      <c r="G77" s="14"/>
      <c r="H77" s="14"/>
      <c r="I77" s="15"/>
    </row>
    <row r="78" spans="1:9" ht="13.15">
      <c r="A78" s="14"/>
      <c r="B78" s="14"/>
      <c r="C78" s="14"/>
      <c r="D78" s="14"/>
      <c r="E78" s="14"/>
      <c r="F78" s="15"/>
      <c r="G78" s="14"/>
      <c r="H78" s="14"/>
      <c r="I78" s="15"/>
    </row>
    <row r="79" spans="1:9" ht="13.15">
      <c r="A79" s="14"/>
      <c r="B79" s="14"/>
      <c r="C79" s="14"/>
      <c r="D79" s="14"/>
      <c r="E79" s="14"/>
      <c r="F79" s="15"/>
      <c r="G79" s="14"/>
      <c r="H79" s="14"/>
      <c r="I79" s="15"/>
    </row>
    <row r="80" spans="1:9" ht="13.15">
      <c r="A80" s="14"/>
      <c r="B80" s="14"/>
      <c r="C80" s="14"/>
      <c r="D80" s="14"/>
      <c r="E80" s="14"/>
      <c r="F80" s="15"/>
      <c r="G80" s="14"/>
      <c r="H80" s="14"/>
      <c r="I80" s="15"/>
    </row>
    <row r="81" spans="1:9" ht="13.15">
      <c r="A81" s="14"/>
      <c r="B81" s="14"/>
      <c r="C81" s="14"/>
      <c r="D81" s="14"/>
      <c r="E81" s="14"/>
      <c r="F81" s="15"/>
      <c r="G81" s="14"/>
      <c r="H81" s="14"/>
      <c r="I81" s="15"/>
    </row>
    <row r="82" spans="1:9" ht="13.15">
      <c r="A82" s="14"/>
      <c r="B82" s="14"/>
      <c r="C82" s="14"/>
      <c r="D82" s="14"/>
      <c r="E82" s="14"/>
      <c r="F82" s="15"/>
      <c r="G82" s="14"/>
      <c r="H82" s="14"/>
      <c r="I82" s="15"/>
    </row>
    <row r="83" spans="1:9" ht="13.15">
      <c r="A83" s="14"/>
      <c r="B83" s="14"/>
      <c r="C83" s="14"/>
      <c r="D83" s="14"/>
      <c r="E83" s="14"/>
      <c r="F83" s="15"/>
      <c r="G83" s="14"/>
      <c r="H83" s="14"/>
      <c r="I83" s="15"/>
    </row>
    <row r="84" spans="1:9" ht="13.15">
      <c r="A84" s="14"/>
      <c r="B84" s="14"/>
      <c r="C84" s="14"/>
      <c r="D84" s="14"/>
      <c r="E84" s="14"/>
      <c r="F84" s="15"/>
      <c r="G84" s="14"/>
      <c r="H84" s="14"/>
      <c r="I84" s="15"/>
    </row>
    <row r="85" spans="1:9" ht="13.15">
      <c r="A85" s="14"/>
      <c r="B85" s="14"/>
      <c r="C85" s="14"/>
      <c r="D85" s="14"/>
      <c r="E85" s="14"/>
      <c r="F85" s="15"/>
      <c r="G85" s="14"/>
      <c r="H85" s="14"/>
      <c r="I85" s="15"/>
    </row>
    <row r="86" spans="1:9" ht="13.15">
      <c r="A86" s="14"/>
      <c r="B86" s="14"/>
      <c r="C86" s="14"/>
      <c r="D86" s="14"/>
      <c r="E86" s="14"/>
      <c r="F86" s="15"/>
      <c r="G86" s="14"/>
      <c r="H86" s="14"/>
      <c r="I86" s="15"/>
    </row>
    <row r="87" spans="1:9" ht="13.15">
      <c r="A87" s="14"/>
      <c r="B87" s="14"/>
      <c r="C87" s="14"/>
      <c r="D87" s="14"/>
      <c r="E87" s="14"/>
      <c r="F87" s="15"/>
      <c r="G87" s="14"/>
      <c r="H87" s="14"/>
      <c r="I87" s="15"/>
    </row>
    <row r="88" spans="1:9" ht="13.15">
      <c r="A88" s="14"/>
      <c r="B88" s="14"/>
      <c r="C88" s="14"/>
      <c r="D88" s="14"/>
      <c r="E88" s="14"/>
      <c r="F88" s="15"/>
      <c r="G88" s="14"/>
      <c r="H88" s="14"/>
      <c r="I88" s="15"/>
    </row>
    <row r="89" spans="1:9" ht="13.15">
      <c r="A89" s="14"/>
      <c r="B89" s="14"/>
      <c r="C89" s="14"/>
      <c r="D89" s="14"/>
      <c r="E89" s="14"/>
      <c r="F89" s="15"/>
      <c r="G89" s="14"/>
      <c r="H89" s="14"/>
      <c r="I89" s="15"/>
    </row>
    <row r="90" spans="1:9" ht="13.15">
      <c r="A90" s="14"/>
      <c r="B90" s="14"/>
      <c r="C90" s="14"/>
      <c r="D90" s="14"/>
      <c r="E90" s="14"/>
      <c r="F90" s="15"/>
      <c r="G90" s="14"/>
      <c r="H90" s="14"/>
      <c r="I90" s="15"/>
    </row>
    <row r="91" spans="1:9" ht="13.15">
      <c r="A91" s="14"/>
      <c r="B91" s="14"/>
      <c r="C91" s="14"/>
      <c r="D91" s="14"/>
      <c r="E91" s="14"/>
      <c r="F91" s="15"/>
      <c r="G91" s="14"/>
      <c r="H91" s="14"/>
      <c r="I91" s="15"/>
    </row>
    <row r="92" spans="1:9" ht="13.15">
      <c r="A92" s="14"/>
      <c r="B92" s="14"/>
      <c r="C92" s="14"/>
      <c r="D92" s="14"/>
      <c r="E92" s="14"/>
      <c r="F92" s="15"/>
      <c r="G92" s="14"/>
      <c r="H92" s="14"/>
      <c r="I92" s="15"/>
    </row>
    <row r="93" spans="1:9" ht="13.15">
      <c r="A93" s="14"/>
      <c r="B93" s="14"/>
      <c r="C93" s="14"/>
      <c r="D93" s="14"/>
      <c r="E93" s="14"/>
      <c r="F93" s="15"/>
      <c r="G93" s="14"/>
      <c r="H93" s="14"/>
      <c r="I93" s="15"/>
    </row>
    <row r="94" spans="1:9" ht="13.15">
      <c r="A94" s="14"/>
      <c r="B94" s="14"/>
      <c r="C94" s="14"/>
      <c r="D94" s="14"/>
      <c r="E94" s="14"/>
      <c r="F94" s="15"/>
      <c r="G94" s="14"/>
      <c r="H94" s="14"/>
      <c r="I94" s="15"/>
    </row>
    <row r="95" spans="1:9" ht="13.15">
      <c r="A95" s="14"/>
      <c r="B95" s="14"/>
      <c r="C95" s="14"/>
      <c r="D95" s="14"/>
      <c r="E95" s="14"/>
      <c r="F95" s="15"/>
      <c r="G95" s="14"/>
      <c r="H95" s="14"/>
      <c r="I95" s="15"/>
    </row>
    <row r="96" spans="1:9" ht="13.15">
      <c r="A96" s="14"/>
      <c r="B96" s="14"/>
      <c r="C96" s="14"/>
      <c r="D96" s="14"/>
      <c r="E96" s="14"/>
      <c r="F96" s="15"/>
      <c r="G96" s="14"/>
      <c r="H96" s="14"/>
      <c r="I96" s="15"/>
    </row>
    <row r="97" spans="1:9" ht="13.15">
      <c r="A97" s="14"/>
      <c r="B97" s="14"/>
      <c r="C97" s="14"/>
      <c r="D97" s="14"/>
      <c r="E97" s="14"/>
      <c r="F97" s="15"/>
      <c r="G97" s="14"/>
      <c r="H97" s="14"/>
      <c r="I97" s="15"/>
    </row>
    <row r="98" spans="1:9" ht="13.15">
      <c r="A98" s="14"/>
      <c r="B98" s="14"/>
      <c r="C98" s="14"/>
      <c r="D98" s="14"/>
      <c r="E98" s="14"/>
      <c r="F98" s="15"/>
      <c r="G98" s="14"/>
      <c r="H98" s="14"/>
      <c r="I98" s="15"/>
    </row>
    <row r="99" spans="1:9" ht="13.15">
      <c r="A99" s="14"/>
      <c r="B99" s="14"/>
      <c r="C99" s="14"/>
      <c r="D99" s="14"/>
      <c r="E99" s="14"/>
      <c r="F99" s="15"/>
      <c r="G99" s="14"/>
      <c r="H99" s="14"/>
      <c r="I99" s="15"/>
    </row>
    <row r="100" spans="1:9" ht="13.15">
      <c r="A100" s="14"/>
      <c r="B100" s="14"/>
      <c r="C100" s="14"/>
      <c r="D100" s="14"/>
      <c r="E100" s="14"/>
      <c r="F100" s="15"/>
      <c r="G100" s="14"/>
      <c r="H100" s="14"/>
      <c r="I100" s="15"/>
    </row>
    <row r="101" spans="1:9" ht="13.15">
      <c r="A101" s="14"/>
      <c r="B101" s="14"/>
      <c r="C101" s="14"/>
      <c r="D101" s="14"/>
      <c r="E101" s="14"/>
      <c r="F101" s="15"/>
      <c r="G101" s="14"/>
      <c r="H101" s="14"/>
      <c r="I101" s="15"/>
    </row>
    <row r="102" spans="1:9" ht="13.15">
      <c r="A102" s="14"/>
      <c r="B102" s="14"/>
      <c r="C102" s="14"/>
      <c r="D102" s="14"/>
      <c r="E102" s="14"/>
      <c r="F102" s="15"/>
      <c r="G102" s="14"/>
      <c r="H102" s="14"/>
      <c r="I102" s="15"/>
    </row>
    <row r="103" spans="1:9" ht="13.15">
      <c r="A103" s="14"/>
      <c r="B103" s="14"/>
      <c r="C103" s="14"/>
      <c r="D103" s="14"/>
      <c r="E103" s="14"/>
      <c r="F103" s="15"/>
      <c r="G103" s="14"/>
      <c r="H103" s="14"/>
      <c r="I103" s="15"/>
    </row>
    <row r="104" spans="1:9" ht="13.15">
      <c r="A104" s="14"/>
      <c r="B104" s="14"/>
      <c r="C104" s="14"/>
      <c r="D104" s="14"/>
      <c r="E104" s="14"/>
      <c r="F104" s="15"/>
      <c r="G104" s="14"/>
      <c r="H104" s="14"/>
      <c r="I104" s="15"/>
    </row>
    <row r="105" spans="1:9" ht="13.15">
      <c r="A105" s="14"/>
      <c r="B105" s="14"/>
      <c r="C105" s="14"/>
      <c r="D105" s="14"/>
      <c r="E105" s="14"/>
      <c r="F105" s="15"/>
      <c r="G105" s="14"/>
      <c r="H105" s="14"/>
      <c r="I105" s="15"/>
    </row>
    <row r="106" spans="1:9" ht="13.15">
      <c r="A106" s="14"/>
      <c r="B106" s="14"/>
      <c r="C106" s="14"/>
      <c r="D106" s="14"/>
      <c r="E106" s="14"/>
      <c r="F106" s="15"/>
      <c r="G106" s="14"/>
      <c r="H106" s="14"/>
      <c r="I106" s="15"/>
    </row>
    <row r="107" spans="1:9" ht="13.15">
      <c r="A107" s="14"/>
      <c r="B107" s="14"/>
      <c r="C107" s="14"/>
      <c r="D107" s="14"/>
      <c r="E107" s="14"/>
      <c r="F107" s="15"/>
      <c r="G107" s="14"/>
      <c r="H107" s="14"/>
      <c r="I107" s="15"/>
    </row>
    <row r="108" spans="1:9" ht="13.15">
      <c r="A108" s="14"/>
      <c r="B108" s="14"/>
      <c r="C108" s="14"/>
      <c r="D108" s="14"/>
      <c r="E108" s="14"/>
      <c r="F108" s="15"/>
      <c r="G108" s="14"/>
      <c r="H108" s="14"/>
      <c r="I108" s="15"/>
    </row>
    <row r="109" spans="1:9" ht="13.15">
      <c r="A109" s="14"/>
      <c r="B109" s="14"/>
      <c r="C109" s="14"/>
      <c r="D109" s="14"/>
      <c r="E109" s="14"/>
      <c r="F109" s="15"/>
      <c r="G109" s="14"/>
      <c r="H109" s="14"/>
      <c r="I109" s="15"/>
    </row>
    <row r="110" spans="1:9" ht="13.15">
      <c r="A110" s="14"/>
      <c r="B110" s="14"/>
      <c r="C110" s="14"/>
      <c r="D110" s="14"/>
      <c r="E110" s="14"/>
      <c r="F110" s="15"/>
      <c r="G110" s="14"/>
      <c r="H110" s="14"/>
      <c r="I110" s="15"/>
    </row>
    <row r="111" spans="1:9" ht="13.15">
      <c r="A111" s="14"/>
      <c r="B111" s="14"/>
      <c r="C111" s="14"/>
      <c r="D111" s="14"/>
      <c r="E111" s="14"/>
      <c r="F111" s="15"/>
      <c r="G111" s="14"/>
      <c r="H111" s="14"/>
      <c r="I111" s="15"/>
    </row>
    <row r="112" spans="1:9" ht="13.15">
      <c r="A112" s="14"/>
      <c r="B112" s="14"/>
      <c r="C112" s="14"/>
      <c r="D112" s="14"/>
      <c r="E112" s="14"/>
      <c r="F112" s="15"/>
      <c r="G112" s="14"/>
      <c r="H112" s="14"/>
      <c r="I112" s="15"/>
    </row>
    <row r="113" spans="1:9" ht="13.15">
      <c r="A113" s="14"/>
      <c r="B113" s="14"/>
      <c r="C113" s="14"/>
      <c r="D113" s="14"/>
      <c r="E113" s="14"/>
      <c r="F113" s="15"/>
      <c r="G113" s="14"/>
      <c r="H113" s="14"/>
      <c r="I113" s="15"/>
    </row>
    <row r="114" spans="1:9" ht="13.15">
      <c r="A114" s="14"/>
      <c r="B114" s="14"/>
      <c r="C114" s="14"/>
      <c r="D114" s="14"/>
      <c r="E114" s="14"/>
      <c r="F114" s="15"/>
      <c r="G114" s="14"/>
      <c r="H114" s="14"/>
      <c r="I114" s="15"/>
    </row>
    <row r="115" spans="1:9" ht="13.15">
      <c r="A115" s="14"/>
      <c r="B115" s="14"/>
      <c r="C115" s="14"/>
      <c r="D115" s="14"/>
      <c r="E115" s="14"/>
      <c r="F115" s="15"/>
      <c r="G115" s="14"/>
      <c r="H115" s="14"/>
      <c r="I115" s="15"/>
    </row>
    <row r="116" spans="1:9" ht="13.15">
      <c r="A116" s="14"/>
      <c r="B116" s="14"/>
      <c r="C116" s="14"/>
      <c r="D116" s="14"/>
      <c r="E116" s="14"/>
      <c r="F116" s="15"/>
      <c r="G116" s="14"/>
      <c r="H116" s="14"/>
      <c r="I116" s="15"/>
    </row>
    <row r="117" spans="1:9" ht="13.15">
      <c r="A117" s="14"/>
      <c r="B117" s="14"/>
      <c r="C117" s="14"/>
      <c r="D117" s="14"/>
      <c r="E117" s="14"/>
      <c r="F117" s="15"/>
      <c r="G117" s="14"/>
      <c r="H117" s="14"/>
      <c r="I117" s="15"/>
    </row>
    <row r="118" spans="1:9" ht="13.15">
      <c r="A118" s="14"/>
      <c r="B118" s="14"/>
      <c r="C118" s="14"/>
      <c r="D118" s="14"/>
      <c r="E118" s="14"/>
      <c r="F118" s="15"/>
      <c r="G118" s="14"/>
      <c r="H118" s="14"/>
      <c r="I118" s="15"/>
    </row>
    <row r="119" spans="1:9" ht="13.15">
      <c r="A119" s="14"/>
      <c r="B119" s="14"/>
      <c r="C119" s="14"/>
      <c r="D119" s="14"/>
      <c r="E119" s="14"/>
      <c r="F119" s="15"/>
      <c r="G119" s="14"/>
      <c r="H119" s="14"/>
      <c r="I119" s="15"/>
    </row>
    <row r="120" spans="1:9" ht="13.15">
      <c r="A120" s="14"/>
      <c r="B120" s="14"/>
      <c r="C120" s="14"/>
      <c r="D120" s="14"/>
      <c r="E120" s="14"/>
      <c r="F120" s="15"/>
      <c r="G120" s="14"/>
      <c r="H120" s="14"/>
      <c r="I120" s="15"/>
    </row>
    <row r="121" spans="1:9" ht="13.15">
      <c r="A121" s="14"/>
      <c r="B121" s="14"/>
      <c r="C121" s="14"/>
      <c r="D121" s="14"/>
      <c r="E121" s="14"/>
      <c r="F121" s="15"/>
      <c r="G121" s="14"/>
      <c r="H121" s="14"/>
      <c r="I121" s="15"/>
    </row>
    <row r="122" spans="1:9" ht="13.15">
      <c r="A122" s="14"/>
      <c r="B122" s="14"/>
      <c r="C122" s="14"/>
      <c r="D122" s="14"/>
      <c r="E122" s="14"/>
      <c r="F122" s="15"/>
      <c r="G122" s="14"/>
      <c r="H122" s="14"/>
      <c r="I122" s="15"/>
    </row>
    <row r="123" spans="1:9" ht="13.15">
      <c r="A123" s="14"/>
      <c r="B123" s="14"/>
      <c r="C123" s="14"/>
      <c r="D123" s="14"/>
      <c r="E123" s="14"/>
      <c r="F123" s="15"/>
      <c r="G123" s="14"/>
      <c r="H123" s="14"/>
      <c r="I123" s="15"/>
    </row>
    <row r="124" spans="1:9" ht="13.15">
      <c r="A124" s="14"/>
      <c r="B124" s="14"/>
      <c r="C124" s="14"/>
      <c r="D124" s="14"/>
      <c r="E124" s="14"/>
      <c r="F124" s="15"/>
      <c r="G124" s="14"/>
      <c r="H124" s="14"/>
      <c r="I124" s="15"/>
    </row>
    <row r="125" spans="1:9" ht="13.15">
      <c r="A125" s="14"/>
      <c r="B125" s="14"/>
      <c r="C125" s="14"/>
      <c r="D125" s="14"/>
      <c r="E125" s="14"/>
      <c r="F125" s="15"/>
      <c r="G125" s="14"/>
      <c r="H125" s="14"/>
      <c r="I125" s="15"/>
    </row>
    <row r="126" spans="1:9" ht="13.15">
      <c r="A126" s="14"/>
      <c r="B126" s="14"/>
      <c r="C126" s="14"/>
      <c r="D126" s="14"/>
      <c r="E126" s="14"/>
      <c r="F126" s="15"/>
      <c r="G126" s="14"/>
      <c r="H126" s="14"/>
      <c r="I126" s="15"/>
    </row>
    <row r="127" spans="1:9" ht="13.15">
      <c r="A127" s="14"/>
      <c r="B127" s="14"/>
      <c r="C127" s="14"/>
      <c r="D127" s="14"/>
      <c r="E127" s="14"/>
      <c r="F127" s="15"/>
      <c r="G127" s="14"/>
      <c r="H127" s="14"/>
      <c r="I127" s="15"/>
    </row>
    <row r="128" spans="1:9" ht="13.15">
      <c r="A128" s="14"/>
      <c r="B128" s="14"/>
      <c r="C128" s="14"/>
      <c r="D128" s="14"/>
      <c r="E128" s="14"/>
      <c r="F128" s="15"/>
      <c r="G128" s="14"/>
      <c r="H128" s="14"/>
      <c r="I128" s="15"/>
    </row>
    <row r="129" spans="1:9" ht="13.15">
      <c r="A129" s="14"/>
      <c r="B129" s="14"/>
      <c r="C129" s="14"/>
      <c r="D129" s="14"/>
      <c r="E129" s="14"/>
      <c r="F129" s="15"/>
      <c r="G129" s="14"/>
      <c r="H129" s="14"/>
      <c r="I129" s="15"/>
    </row>
    <row r="130" spans="1:9" ht="13.15">
      <c r="A130" s="14"/>
      <c r="B130" s="14"/>
      <c r="C130" s="14"/>
      <c r="D130" s="14"/>
      <c r="E130" s="14"/>
      <c r="F130" s="15"/>
      <c r="G130" s="14"/>
      <c r="H130" s="14"/>
      <c r="I130" s="15"/>
    </row>
    <row r="131" spans="1:9" ht="13.15">
      <c r="A131" s="14"/>
      <c r="B131" s="14"/>
      <c r="C131" s="14"/>
      <c r="D131" s="14"/>
      <c r="E131" s="14"/>
      <c r="F131" s="15"/>
      <c r="G131" s="14"/>
      <c r="H131" s="14"/>
      <c r="I131" s="15"/>
    </row>
    <row r="132" spans="1:9" ht="13.15">
      <c r="A132" s="14"/>
      <c r="B132" s="14"/>
      <c r="C132" s="14"/>
      <c r="D132" s="14"/>
      <c r="E132" s="14"/>
      <c r="F132" s="15"/>
      <c r="G132" s="14"/>
      <c r="H132" s="14"/>
      <c r="I132" s="15"/>
    </row>
    <row r="133" spans="1:9" ht="13.15">
      <c r="A133" s="14"/>
      <c r="B133" s="14"/>
      <c r="C133" s="14"/>
      <c r="D133" s="14"/>
      <c r="E133" s="14"/>
      <c r="F133" s="15"/>
      <c r="G133" s="14"/>
      <c r="H133" s="14"/>
      <c r="I133" s="15"/>
    </row>
    <row r="134" spans="1:9" ht="13.15">
      <c r="A134" s="14"/>
      <c r="B134" s="14"/>
      <c r="C134" s="14"/>
      <c r="D134" s="14"/>
      <c r="E134" s="14"/>
      <c r="F134" s="15"/>
      <c r="G134" s="14"/>
      <c r="H134" s="14"/>
      <c r="I134" s="15"/>
    </row>
    <row r="135" spans="1:9" ht="13.15">
      <c r="A135" s="14"/>
      <c r="B135" s="14"/>
      <c r="C135" s="14"/>
      <c r="D135" s="14"/>
      <c r="E135" s="14"/>
      <c r="F135" s="15"/>
      <c r="G135" s="14"/>
      <c r="H135" s="14"/>
      <c r="I135" s="15"/>
    </row>
    <row r="136" spans="1:9" ht="13.15">
      <c r="A136" s="14"/>
      <c r="B136" s="14"/>
      <c r="C136" s="14"/>
      <c r="D136" s="14"/>
      <c r="E136" s="14"/>
      <c r="F136" s="15"/>
      <c r="G136" s="14"/>
      <c r="H136" s="14"/>
      <c r="I136" s="15"/>
    </row>
    <row r="137" spans="1:9" ht="13.15">
      <c r="A137" s="14"/>
      <c r="B137" s="14"/>
      <c r="C137" s="14"/>
      <c r="D137" s="14"/>
      <c r="E137" s="14"/>
      <c r="F137" s="15"/>
      <c r="G137" s="14"/>
      <c r="H137" s="14"/>
      <c r="I137" s="15"/>
    </row>
    <row r="138" spans="1:9" ht="13.15">
      <c r="A138" s="14"/>
      <c r="B138" s="14"/>
      <c r="C138" s="14"/>
      <c r="D138" s="14"/>
      <c r="E138" s="14"/>
      <c r="F138" s="15"/>
      <c r="G138" s="14"/>
      <c r="H138" s="14"/>
      <c r="I138" s="15"/>
    </row>
    <row r="139" spans="1:9" ht="13.15">
      <c r="A139" s="14"/>
      <c r="B139" s="14"/>
      <c r="C139" s="14"/>
      <c r="D139" s="14"/>
      <c r="E139" s="14"/>
      <c r="F139" s="15"/>
      <c r="G139" s="14"/>
      <c r="H139" s="14"/>
      <c r="I139" s="15"/>
    </row>
    <row r="140" spans="1:9" ht="13.15">
      <c r="A140" s="14"/>
      <c r="B140" s="14"/>
      <c r="C140" s="14"/>
      <c r="D140" s="14"/>
      <c r="E140" s="14"/>
      <c r="F140" s="15"/>
      <c r="G140" s="14"/>
      <c r="H140" s="14"/>
      <c r="I140" s="15"/>
    </row>
    <row r="141" spans="1:9" ht="13.15">
      <c r="A141" s="14"/>
      <c r="B141" s="14"/>
      <c r="C141" s="14"/>
      <c r="D141" s="14"/>
      <c r="E141" s="14"/>
      <c r="F141" s="15"/>
      <c r="G141" s="14"/>
      <c r="H141" s="14"/>
      <c r="I141" s="15"/>
    </row>
    <row r="142" spans="1:9" ht="13.15">
      <c r="A142" s="14"/>
      <c r="B142" s="14"/>
      <c r="C142" s="14"/>
      <c r="D142" s="14"/>
      <c r="E142" s="14"/>
      <c r="F142" s="15"/>
      <c r="G142" s="14"/>
      <c r="H142" s="14"/>
      <c r="I142" s="15"/>
    </row>
    <row r="143" spans="1:9" ht="13.15">
      <c r="A143" s="14"/>
      <c r="B143" s="14"/>
      <c r="C143" s="14"/>
      <c r="D143" s="14"/>
      <c r="E143" s="14"/>
      <c r="F143" s="15"/>
      <c r="G143" s="14"/>
      <c r="H143" s="14"/>
      <c r="I143" s="15"/>
    </row>
    <row r="144" spans="1:9" ht="13.15">
      <c r="A144" s="14"/>
      <c r="B144" s="14"/>
      <c r="C144" s="14"/>
      <c r="D144" s="14"/>
      <c r="E144" s="14"/>
      <c r="F144" s="15"/>
      <c r="G144" s="14"/>
      <c r="H144" s="14"/>
      <c r="I144" s="15"/>
    </row>
    <row r="145" spans="1:9" ht="13.15">
      <c r="A145" s="14"/>
      <c r="B145" s="14"/>
      <c r="C145" s="14"/>
      <c r="D145" s="14"/>
      <c r="E145" s="14"/>
      <c r="F145" s="15"/>
      <c r="G145" s="14"/>
      <c r="H145" s="14"/>
      <c r="I145" s="15"/>
    </row>
    <row r="146" spans="1:9" ht="13.15">
      <c r="A146" s="14"/>
      <c r="B146" s="14"/>
      <c r="C146" s="14"/>
      <c r="D146" s="14"/>
      <c r="E146" s="14"/>
      <c r="F146" s="15"/>
      <c r="G146" s="14"/>
      <c r="H146" s="14"/>
      <c r="I146" s="15"/>
    </row>
    <row r="147" spans="1:9" ht="13.15">
      <c r="A147" s="14"/>
      <c r="B147" s="14"/>
      <c r="C147" s="14"/>
      <c r="D147" s="14"/>
      <c r="E147" s="14"/>
      <c r="F147" s="15"/>
      <c r="G147" s="14"/>
      <c r="H147" s="14"/>
      <c r="I147" s="15"/>
    </row>
    <row r="148" spans="1:9" ht="13.15">
      <c r="A148" s="14"/>
      <c r="B148" s="14"/>
      <c r="C148" s="14"/>
      <c r="D148" s="14"/>
      <c r="E148" s="14"/>
      <c r="F148" s="15"/>
      <c r="G148" s="14"/>
      <c r="H148" s="14"/>
      <c r="I148" s="15"/>
    </row>
    <row r="149" spans="1:9" ht="13.15">
      <c r="A149" s="14"/>
      <c r="B149" s="14"/>
      <c r="C149" s="14"/>
      <c r="D149" s="14"/>
      <c r="E149" s="14"/>
      <c r="F149" s="15"/>
      <c r="G149" s="14"/>
      <c r="H149" s="14"/>
      <c r="I149" s="15"/>
    </row>
    <row r="150" spans="1:9" ht="13.15">
      <c r="A150" s="14"/>
      <c r="B150" s="14"/>
      <c r="C150" s="14"/>
      <c r="D150" s="14"/>
      <c r="E150" s="14"/>
      <c r="F150" s="15"/>
      <c r="G150" s="14"/>
      <c r="H150" s="14"/>
      <c r="I150" s="15"/>
    </row>
    <row r="151" spans="1:9" ht="13.15">
      <c r="A151" s="14"/>
      <c r="B151" s="14"/>
      <c r="C151" s="14"/>
      <c r="D151" s="14"/>
      <c r="E151" s="14"/>
      <c r="F151" s="15"/>
      <c r="G151" s="14"/>
      <c r="H151" s="14"/>
      <c r="I151" s="15"/>
    </row>
    <row r="152" spans="1:9" ht="13.15">
      <c r="A152" s="14"/>
      <c r="B152" s="14"/>
      <c r="C152" s="14"/>
      <c r="D152" s="14"/>
      <c r="E152" s="14"/>
      <c r="F152" s="15"/>
      <c r="G152" s="14"/>
      <c r="H152" s="14"/>
      <c r="I152" s="15"/>
    </row>
    <row r="153" spans="1:9" ht="13.15">
      <c r="A153" s="14"/>
      <c r="B153" s="14"/>
      <c r="C153" s="14"/>
      <c r="D153" s="14"/>
      <c r="E153" s="14"/>
      <c r="F153" s="15"/>
      <c r="G153" s="14"/>
      <c r="H153" s="14"/>
      <c r="I153" s="15"/>
    </row>
    <row r="154" spans="1:9" ht="13.15">
      <c r="A154" s="14"/>
      <c r="B154" s="14"/>
      <c r="C154" s="14"/>
      <c r="D154" s="14"/>
      <c r="E154" s="14"/>
      <c r="F154" s="15"/>
      <c r="G154" s="14"/>
      <c r="H154" s="14"/>
      <c r="I154" s="15"/>
    </row>
    <row r="155" spans="1:9" ht="13.15">
      <c r="A155" s="14"/>
      <c r="B155" s="14"/>
      <c r="C155" s="14"/>
      <c r="D155" s="14"/>
      <c r="E155" s="14"/>
      <c r="F155" s="15"/>
      <c r="G155" s="14"/>
      <c r="H155" s="14"/>
      <c r="I155" s="15"/>
    </row>
    <row r="156" spans="1:9" ht="13.15">
      <c r="A156" s="14"/>
      <c r="B156" s="14"/>
      <c r="C156" s="14"/>
      <c r="D156" s="14"/>
      <c r="E156" s="14"/>
      <c r="F156" s="15"/>
      <c r="G156" s="14"/>
      <c r="H156" s="14"/>
      <c r="I156" s="15"/>
    </row>
    <row r="157" spans="1:9" ht="13.15">
      <c r="A157" s="14"/>
      <c r="B157" s="14"/>
      <c r="C157" s="14"/>
      <c r="D157" s="14"/>
      <c r="E157" s="14"/>
      <c r="F157" s="15"/>
      <c r="G157" s="14"/>
      <c r="H157" s="14"/>
      <c r="I157" s="15"/>
    </row>
    <row r="158" spans="1:9" ht="13.15">
      <c r="A158" s="14"/>
      <c r="B158" s="14"/>
      <c r="C158" s="14"/>
      <c r="D158" s="14"/>
      <c r="E158" s="14"/>
      <c r="F158" s="15"/>
      <c r="G158" s="14"/>
      <c r="H158" s="14"/>
      <c r="I158" s="15"/>
    </row>
    <row r="159" spans="1:9" ht="13.15">
      <c r="A159" s="14"/>
      <c r="B159" s="14"/>
      <c r="C159" s="14"/>
      <c r="D159" s="14"/>
      <c r="E159" s="14"/>
      <c r="F159" s="15"/>
      <c r="G159" s="14"/>
      <c r="H159" s="14"/>
      <c r="I159" s="15"/>
    </row>
    <row r="160" spans="1:9" ht="13.15">
      <c r="A160" s="14"/>
      <c r="B160" s="14"/>
      <c r="C160" s="14"/>
      <c r="D160" s="14"/>
      <c r="E160" s="14"/>
      <c r="F160" s="15"/>
      <c r="G160" s="14"/>
      <c r="H160" s="14"/>
      <c r="I160" s="15"/>
    </row>
    <row r="161" spans="1:9" ht="13.15">
      <c r="A161" s="14"/>
      <c r="B161" s="14"/>
      <c r="C161" s="14"/>
      <c r="D161" s="14"/>
      <c r="E161" s="14"/>
      <c r="F161" s="15"/>
      <c r="G161" s="14"/>
      <c r="H161" s="14"/>
      <c r="I161" s="15"/>
    </row>
    <row r="162" spans="1:9" ht="13.15">
      <c r="A162" s="14"/>
      <c r="B162" s="14"/>
      <c r="C162" s="14"/>
      <c r="D162" s="14"/>
      <c r="E162" s="14"/>
      <c r="F162" s="15"/>
      <c r="G162" s="14"/>
      <c r="H162" s="14"/>
      <c r="I162" s="15"/>
    </row>
    <row r="163" spans="1:9" ht="13.15">
      <c r="A163" s="14"/>
      <c r="B163" s="14"/>
      <c r="C163" s="14"/>
      <c r="D163" s="14"/>
      <c r="E163" s="14"/>
      <c r="F163" s="15"/>
      <c r="G163" s="14"/>
      <c r="H163" s="14"/>
      <c r="I163" s="15"/>
    </row>
    <row r="164" spans="1:9" ht="13.15">
      <c r="A164" s="14"/>
      <c r="B164" s="14"/>
      <c r="C164" s="14"/>
      <c r="D164" s="14"/>
      <c r="E164" s="14"/>
      <c r="F164" s="15"/>
      <c r="G164" s="14"/>
      <c r="H164" s="14"/>
      <c r="I164" s="15"/>
    </row>
    <row r="165" spans="1:9" ht="13.15">
      <c r="A165" s="14"/>
      <c r="B165" s="14"/>
      <c r="C165" s="14"/>
      <c r="D165" s="14"/>
      <c r="E165" s="14"/>
      <c r="F165" s="15"/>
      <c r="G165" s="14"/>
      <c r="H165" s="14"/>
      <c r="I165" s="15"/>
    </row>
    <row r="166" spans="1:9" ht="13.15">
      <c r="A166" s="14"/>
      <c r="B166" s="14"/>
      <c r="C166" s="14"/>
      <c r="D166" s="14"/>
      <c r="E166" s="14"/>
      <c r="F166" s="15"/>
      <c r="G166" s="14"/>
      <c r="H166" s="14"/>
      <c r="I166" s="15"/>
    </row>
    <row r="167" spans="1:9" ht="13.15">
      <c r="A167" s="14"/>
      <c r="B167" s="14"/>
      <c r="C167" s="14"/>
      <c r="D167" s="14"/>
      <c r="E167" s="14"/>
      <c r="F167" s="15"/>
      <c r="G167" s="14"/>
      <c r="H167" s="14"/>
      <c r="I167" s="15"/>
    </row>
    <row r="168" spans="1:9" ht="13.15">
      <c r="A168" s="14"/>
      <c r="B168" s="14"/>
      <c r="C168" s="14"/>
      <c r="D168" s="14"/>
      <c r="E168" s="14"/>
      <c r="F168" s="15"/>
      <c r="G168" s="14"/>
      <c r="H168" s="14"/>
      <c r="I168" s="15"/>
    </row>
    <row r="169" spans="1:9" ht="13.15">
      <c r="A169" s="14"/>
      <c r="B169" s="14"/>
      <c r="C169" s="14"/>
      <c r="D169" s="14"/>
      <c r="E169" s="14"/>
      <c r="F169" s="15"/>
      <c r="G169" s="14"/>
      <c r="H169" s="14"/>
      <c r="I169" s="15"/>
    </row>
    <row r="170" spans="1:9" ht="13.15">
      <c r="A170" s="14"/>
      <c r="B170" s="14"/>
      <c r="C170" s="14"/>
      <c r="D170" s="14"/>
      <c r="E170" s="14"/>
      <c r="F170" s="15"/>
      <c r="G170" s="14"/>
      <c r="H170" s="14"/>
      <c r="I170" s="15"/>
    </row>
    <row r="171" spans="1:9" ht="13.15">
      <c r="A171" s="14"/>
      <c r="B171" s="14"/>
      <c r="C171" s="14"/>
      <c r="D171" s="14"/>
      <c r="E171" s="14"/>
      <c r="F171" s="15"/>
      <c r="G171" s="14"/>
      <c r="H171" s="14"/>
      <c r="I171" s="15"/>
    </row>
    <row r="172" spans="1:9" ht="13.15">
      <c r="A172" s="14"/>
      <c r="B172" s="14"/>
      <c r="C172" s="14"/>
      <c r="D172" s="14"/>
      <c r="E172" s="14"/>
      <c r="F172" s="15"/>
      <c r="G172" s="14"/>
      <c r="H172" s="14"/>
      <c r="I172" s="15"/>
    </row>
    <row r="173" spans="1:9" ht="13.15">
      <c r="A173" s="14"/>
      <c r="B173" s="14"/>
      <c r="C173" s="14"/>
      <c r="D173" s="14"/>
      <c r="E173" s="14"/>
      <c r="F173" s="15"/>
      <c r="G173" s="14"/>
      <c r="H173" s="14"/>
      <c r="I173" s="15"/>
    </row>
    <row r="174" spans="1:9" ht="13.15">
      <c r="A174" s="14"/>
      <c r="B174" s="14"/>
      <c r="C174" s="14"/>
      <c r="D174" s="14"/>
      <c r="E174" s="14"/>
      <c r="F174" s="15"/>
      <c r="G174" s="14"/>
      <c r="H174" s="14"/>
      <c r="I174" s="15"/>
    </row>
    <row r="175" spans="1:9" ht="13.15">
      <c r="A175" s="14"/>
      <c r="B175" s="14"/>
      <c r="C175" s="14"/>
      <c r="D175" s="14"/>
      <c r="E175" s="14"/>
      <c r="F175" s="15"/>
      <c r="G175" s="14"/>
      <c r="H175" s="14"/>
      <c r="I175" s="15"/>
    </row>
    <row r="176" spans="1:9" ht="13.15">
      <c r="A176" s="14"/>
      <c r="B176" s="14"/>
      <c r="C176" s="14"/>
      <c r="D176" s="14"/>
      <c r="E176" s="14"/>
      <c r="F176" s="15"/>
      <c r="G176" s="14"/>
      <c r="H176" s="14"/>
      <c r="I176" s="15"/>
    </row>
    <row r="177" spans="1:9" ht="13.15">
      <c r="A177" s="14"/>
      <c r="B177" s="14"/>
      <c r="C177" s="14"/>
      <c r="D177" s="14"/>
      <c r="E177" s="14"/>
      <c r="F177" s="15"/>
      <c r="G177" s="14"/>
      <c r="H177" s="14"/>
      <c r="I177" s="15"/>
    </row>
    <row r="178" spans="1:9" ht="13.15">
      <c r="A178" s="14"/>
      <c r="B178" s="14"/>
      <c r="C178" s="14"/>
      <c r="D178" s="14"/>
      <c r="E178" s="14"/>
      <c r="F178" s="15"/>
      <c r="G178" s="14"/>
      <c r="H178" s="14"/>
      <c r="I178" s="15"/>
    </row>
    <row r="179" spans="1:9" ht="13.15">
      <c r="A179" s="14"/>
      <c r="B179" s="14"/>
      <c r="C179" s="14"/>
      <c r="D179" s="14"/>
      <c r="E179" s="14"/>
      <c r="F179" s="15"/>
      <c r="G179" s="14"/>
      <c r="H179" s="14"/>
      <c r="I179" s="15"/>
    </row>
    <row r="180" spans="1:9" ht="13.15">
      <c r="A180" s="14"/>
      <c r="B180" s="14"/>
      <c r="C180" s="14"/>
      <c r="D180" s="14"/>
      <c r="E180" s="14"/>
      <c r="F180" s="15"/>
      <c r="G180" s="14"/>
      <c r="H180" s="14"/>
      <c r="I180" s="15"/>
    </row>
    <row r="181" spans="1:9" ht="13.15">
      <c r="A181" s="14"/>
      <c r="B181" s="14"/>
      <c r="C181" s="14"/>
      <c r="D181" s="14"/>
      <c r="E181" s="14"/>
      <c r="F181" s="15"/>
      <c r="G181" s="14"/>
      <c r="H181" s="14"/>
      <c r="I181" s="15"/>
    </row>
    <row r="182" spans="1:9" ht="13.15">
      <c r="A182" s="14"/>
      <c r="B182" s="14"/>
      <c r="C182" s="14"/>
      <c r="D182" s="14"/>
      <c r="E182" s="14"/>
      <c r="F182" s="15"/>
      <c r="G182" s="14"/>
      <c r="H182" s="14"/>
      <c r="I182" s="15"/>
    </row>
    <row r="183" spans="1:9" ht="13.15">
      <c r="A183" s="14"/>
      <c r="B183" s="14"/>
      <c r="C183" s="14"/>
      <c r="D183" s="14"/>
      <c r="E183" s="14"/>
      <c r="F183" s="15"/>
      <c r="G183" s="14"/>
      <c r="H183" s="14"/>
      <c r="I183" s="15"/>
    </row>
    <row r="184" spans="1:9" ht="13.15">
      <c r="A184" s="14"/>
      <c r="B184" s="14"/>
      <c r="C184" s="14"/>
      <c r="D184" s="14"/>
      <c r="E184" s="14"/>
      <c r="F184" s="15"/>
      <c r="G184" s="14"/>
      <c r="H184" s="14"/>
      <c r="I184" s="15"/>
    </row>
    <row r="185" spans="1:9" ht="13.15">
      <c r="A185" s="14"/>
      <c r="B185" s="14"/>
      <c r="C185" s="14"/>
      <c r="D185" s="14"/>
      <c r="E185" s="14"/>
      <c r="F185" s="15"/>
      <c r="G185" s="14"/>
      <c r="H185" s="14"/>
      <c r="I185" s="15"/>
    </row>
    <row r="186" spans="1:9" ht="13.15">
      <c r="A186" s="14"/>
      <c r="B186" s="14"/>
      <c r="C186" s="14"/>
      <c r="D186" s="14"/>
      <c r="E186" s="14"/>
      <c r="F186" s="15"/>
      <c r="G186" s="14"/>
      <c r="H186" s="14"/>
      <c r="I186" s="15"/>
    </row>
    <row r="187" spans="1:9" ht="13.15">
      <c r="A187" s="14"/>
      <c r="B187" s="14"/>
      <c r="C187" s="14"/>
      <c r="D187" s="14"/>
      <c r="E187" s="14"/>
      <c r="F187" s="15"/>
      <c r="G187" s="14"/>
      <c r="H187" s="14"/>
      <c r="I187" s="15"/>
    </row>
    <row r="188" spans="1:9" ht="13.15">
      <c r="A188" s="14"/>
      <c r="B188" s="14"/>
      <c r="C188" s="14"/>
      <c r="D188" s="14"/>
      <c r="E188" s="14"/>
      <c r="F188" s="15"/>
      <c r="G188" s="14"/>
      <c r="H188" s="14"/>
      <c r="I188" s="15"/>
    </row>
    <row r="189" spans="1:9" ht="13.15">
      <c r="A189" s="14"/>
      <c r="B189" s="14"/>
      <c r="C189" s="14"/>
      <c r="D189" s="14"/>
      <c r="E189" s="14"/>
      <c r="F189" s="15"/>
      <c r="G189" s="14"/>
      <c r="H189" s="14"/>
      <c r="I189" s="15"/>
    </row>
    <row r="190" spans="1:9" ht="13.15">
      <c r="A190" s="14"/>
      <c r="B190" s="14"/>
      <c r="C190" s="14"/>
      <c r="D190" s="14"/>
      <c r="E190" s="14"/>
      <c r="F190" s="15"/>
      <c r="G190" s="14"/>
      <c r="H190" s="14"/>
      <c r="I190" s="15"/>
    </row>
    <row r="191" spans="1:9" ht="13.15">
      <c r="A191" s="14"/>
      <c r="B191" s="14"/>
      <c r="C191" s="14"/>
      <c r="D191" s="14"/>
      <c r="E191" s="14"/>
      <c r="F191" s="15"/>
      <c r="G191" s="14"/>
      <c r="H191" s="14"/>
      <c r="I191" s="15"/>
    </row>
    <row r="192" spans="1:9" ht="13.15">
      <c r="A192" s="14"/>
      <c r="B192" s="14"/>
      <c r="C192" s="14"/>
      <c r="D192" s="14"/>
      <c r="E192" s="14"/>
      <c r="F192" s="15"/>
      <c r="G192" s="14"/>
      <c r="H192" s="14"/>
      <c r="I192" s="15"/>
    </row>
    <row r="193" spans="1:9" ht="13.15">
      <c r="A193" s="14"/>
      <c r="B193" s="14"/>
      <c r="C193" s="14"/>
      <c r="D193" s="14"/>
      <c r="E193" s="14"/>
      <c r="F193" s="15"/>
      <c r="G193" s="14"/>
      <c r="H193" s="14"/>
      <c r="I193" s="15"/>
    </row>
    <row r="194" spans="1:9" ht="13.15">
      <c r="A194" s="14"/>
      <c r="B194" s="14"/>
      <c r="C194" s="14"/>
      <c r="D194" s="14"/>
      <c r="E194" s="14"/>
      <c r="F194" s="15"/>
      <c r="G194" s="14"/>
      <c r="H194" s="14"/>
      <c r="I194" s="15"/>
    </row>
    <row r="195" spans="1:9" ht="13.15">
      <c r="A195" s="14"/>
      <c r="B195" s="14"/>
      <c r="C195" s="14"/>
      <c r="D195" s="14"/>
      <c r="E195" s="14"/>
      <c r="F195" s="15"/>
      <c r="G195" s="14"/>
      <c r="H195" s="14"/>
      <c r="I195" s="15"/>
    </row>
    <row r="196" spans="1:9" ht="13.15">
      <c r="A196" s="14"/>
      <c r="B196" s="14"/>
      <c r="C196" s="14"/>
      <c r="D196" s="14"/>
      <c r="E196" s="14"/>
      <c r="F196" s="15"/>
      <c r="G196" s="14"/>
      <c r="H196" s="14"/>
      <c r="I196" s="15"/>
    </row>
    <row r="197" spans="1:9" ht="13.15">
      <c r="A197" s="14"/>
      <c r="B197" s="14"/>
      <c r="C197" s="14"/>
      <c r="D197" s="14"/>
      <c r="E197" s="14"/>
      <c r="F197" s="15"/>
      <c r="G197" s="14"/>
      <c r="H197" s="14"/>
      <c r="I197" s="15"/>
    </row>
    <row r="198" spans="1:9" ht="13.15">
      <c r="A198" s="14"/>
      <c r="B198" s="14"/>
      <c r="C198" s="14"/>
      <c r="D198" s="14"/>
      <c r="E198" s="14"/>
      <c r="F198" s="15"/>
      <c r="G198" s="14"/>
      <c r="H198" s="14"/>
      <c r="I198" s="15"/>
    </row>
    <row r="199" spans="1:9" ht="13.15">
      <c r="A199" s="14"/>
      <c r="B199" s="14"/>
      <c r="C199" s="14"/>
      <c r="D199" s="14"/>
      <c r="E199" s="14"/>
      <c r="F199" s="15"/>
      <c r="G199" s="14"/>
      <c r="H199" s="14"/>
      <c r="I199" s="15"/>
    </row>
    <row r="200" spans="1:9" ht="13.15">
      <c r="A200" s="14"/>
      <c r="B200" s="14"/>
      <c r="C200" s="14"/>
      <c r="D200" s="14"/>
      <c r="E200" s="14"/>
      <c r="F200" s="15"/>
      <c r="G200" s="14"/>
      <c r="H200" s="14"/>
      <c r="I200" s="15"/>
    </row>
    <row r="201" spans="1:9" ht="13.15">
      <c r="A201" s="14"/>
      <c r="B201" s="14"/>
      <c r="C201" s="14"/>
      <c r="D201" s="14"/>
      <c r="E201" s="14"/>
      <c r="F201" s="15"/>
      <c r="G201" s="14"/>
      <c r="H201" s="14"/>
      <c r="I201" s="15"/>
    </row>
    <row r="202" spans="1:9" ht="13.15">
      <c r="A202" s="14"/>
      <c r="B202" s="14"/>
      <c r="C202" s="14"/>
      <c r="D202" s="14"/>
      <c r="E202" s="14"/>
      <c r="F202" s="15"/>
      <c r="G202" s="14"/>
      <c r="H202" s="14"/>
      <c r="I202" s="15"/>
    </row>
    <row r="203" spans="1:9" ht="13.15">
      <c r="A203" s="14"/>
      <c r="B203" s="14"/>
      <c r="C203" s="14"/>
      <c r="D203" s="14"/>
      <c r="E203" s="14"/>
      <c r="F203" s="15"/>
      <c r="G203" s="14"/>
      <c r="H203" s="14"/>
      <c r="I203" s="15"/>
    </row>
    <row r="204" spans="1:9" ht="13.15">
      <c r="A204" s="14"/>
      <c r="B204" s="14"/>
      <c r="C204" s="14"/>
      <c r="D204" s="14"/>
      <c r="E204" s="14"/>
      <c r="F204" s="15"/>
      <c r="G204" s="14"/>
      <c r="H204" s="14"/>
      <c r="I204" s="15"/>
    </row>
    <row r="205" spans="1:9" ht="13.15">
      <c r="A205" s="14"/>
      <c r="B205" s="14"/>
      <c r="C205" s="14"/>
      <c r="D205" s="14"/>
      <c r="E205" s="14"/>
      <c r="F205" s="15"/>
      <c r="G205" s="14"/>
      <c r="H205" s="14"/>
      <c r="I205" s="15"/>
    </row>
    <row r="206" spans="1:9" ht="13.15">
      <c r="A206" s="14"/>
      <c r="B206" s="14"/>
      <c r="C206" s="14"/>
      <c r="D206" s="14"/>
      <c r="E206" s="14"/>
      <c r="F206" s="15"/>
      <c r="G206" s="14"/>
      <c r="H206" s="14"/>
      <c r="I206" s="15"/>
    </row>
    <row r="207" spans="1:9" ht="13.15">
      <c r="A207" s="14"/>
      <c r="B207" s="14"/>
      <c r="C207" s="14"/>
      <c r="D207" s="14"/>
      <c r="E207" s="14"/>
      <c r="F207" s="15"/>
      <c r="G207" s="14"/>
      <c r="H207" s="14"/>
      <c r="I207" s="15"/>
    </row>
    <row r="208" spans="1:9" ht="13.15">
      <c r="A208" s="14"/>
      <c r="B208" s="14"/>
      <c r="C208" s="14"/>
      <c r="D208" s="14"/>
      <c r="E208" s="14"/>
      <c r="F208" s="15"/>
      <c r="G208" s="14"/>
      <c r="H208" s="14"/>
      <c r="I208" s="15"/>
    </row>
    <row r="209" spans="1:9" ht="13.15">
      <c r="A209" s="14"/>
      <c r="B209" s="14"/>
      <c r="C209" s="14"/>
      <c r="D209" s="14"/>
      <c r="E209" s="14"/>
      <c r="F209" s="15"/>
      <c r="G209" s="14"/>
      <c r="H209" s="14"/>
      <c r="I209" s="15"/>
    </row>
    <row r="210" spans="1:9" ht="13.15">
      <c r="A210" s="14"/>
      <c r="B210" s="14"/>
      <c r="C210" s="14"/>
      <c r="D210" s="14"/>
      <c r="E210" s="14"/>
      <c r="F210" s="15"/>
      <c r="G210" s="14"/>
      <c r="H210" s="14"/>
      <c r="I210" s="15"/>
    </row>
    <row r="211" spans="1:9" ht="13.15">
      <c r="A211" s="14"/>
      <c r="B211" s="14"/>
      <c r="C211" s="14"/>
      <c r="D211" s="14"/>
      <c r="E211" s="14"/>
      <c r="F211" s="15"/>
      <c r="G211" s="14"/>
      <c r="H211" s="14"/>
      <c r="I211" s="15"/>
    </row>
    <row r="212" spans="1:9" ht="13.15">
      <c r="A212" s="14"/>
      <c r="B212" s="14"/>
      <c r="C212" s="14"/>
      <c r="D212" s="14"/>
      <c r="E212" s="14"/>
      <c r="F212" s="15"/>
      <c r="G212" s="14"/>
      <c r="H212" s="14"/>
      <c r="I212" s="15"/>
    </row>
    <row r="213" spans="1:9" ht="13.15">
      <c r="A213" s="14"/>
      <c r="B213" s="14"/>
      <c r="C213" s="14"/>
      <c r="D213" s="14"/>
      <c r="E213" s="14"/>
      <c r="F213" s="15"/>
      <c r="G213" s="14"/>
      <c r="H213" s="14"/>
      <c r="I213" s="15"/>
    </row>
    <row r="214" spans="1:9" ht="13.15">
      <c r="A214" s="14"/>
      <c r="B214" s="14"/>
      <c r="C214" s="14"/>
      <c r="D214" s="14"/>
      <c r="E214" s="14"/>
      <c r="F214" s="15"/>
      <c r="G214" s="14"/>
      <c r="H214" s="14"/>
      <c r="I214" s="15"/>
    </row>
    <row r="215" spans="1:9" ht="13.15">
      <c r="A215" s="14"/>
      <c r="B215" s="14"/>
      <c r="C215" s="14"/>
      <c r="D215" s="14"/>
      <c r="E215" s="14"/>
      <c r="F215" s="15"/>
      <c r="G215" s="14"/>
      <c r="H215" s="14"/>
      <c r="I215" s="15"/>
    </row>
    <row r="216" spans="1:9" ht="13.15">
      <c r="A216" s="14"/>
      <c r="B216" s="14"/>
      <c r="C216" s="14"/>
      <c r="D216" s="14"/>
      <c r="E216" s="14"/>
      <c r="F216" s="15"/>
      <c r="G216" s="14"/>
      <c r="H216" s="14"/>
      <c r="I216" s="15"/>
    </row>
    <row r="217" spans="1:9" ht="13.15">
      <c r="A217" s="14"/>
      <c r="B217" s="14"/>
      <c r="C217" s="14"/>
      <c r="D217" s="14"/>
      <c r="E217" s="14"/>
      <c r="F217" s="15"/>
      <c r="G217" s="14"/>
      <c r="H217" s="14"/>
      <c r="I217" s="15"/>
    </row>
    <row r="218" spans="1:9" ht="13.15">
      <c r="A218" s="14"/>
      <c r="B218" s="14"/>
      <c r="C218" s="14"/>
      <c r="D218" s="14"/>
      <c r="E218" s="14"/>
      <c r="F218" s="15"/>
      <c r="G218" s="14"/>
      <c r="H218" s="14"/>
      <c r="I218" s="15"/>
    </row>
    <row r="219" spans="1:9" ht="13.15">
      <c r="A219" s="14"/>
      <c r="B219" s="14"/>
      <c r="C219" s="14"/>
      <c r="D219" s="14"/>
      <c r="E219" s="14"/>
      <c r="F219" s="15"/>
      <c r="G219" s="14"/>
      <c r="H219" s="14"/>
      <c r="I219" s="15"/>
    </row>
    <row r="220" spans="1:9" ht="13.15">
      <c r="A220" s="14"/>
      <c r="B220" s="14"/>
      <c r="C220" s="14"/>
      <c r="D220" s="14"/>
      <c r="E220" s="14"/>
      <c r="F220" s="15"/>
      <c r="G220" s="14"/>
      <c r="H220" s="14"/>
      <c r="I220" s="15"/>
    </row>
    <row r="221" spans="1:9" ht="13.15">
      <c r="A221" s="14"/>
      <c r="B221" s="14"/>
      <c r="C221" s="14"/>
      <c r="D221" s="14"/>
      <c r="E221" s="14"/>
      <c r="F221" s="15"/>
      <c r="G221" s="14"/>
      <c r="H221" s="14"/>
      <c r="I221" s="15"/>
    </row>
    <row r="222" spans="1:9" ht="13.15">
      <c r="A222" s="14"/>
      <c r="B222" s="14"/>
      <c r="C222" s="14"/>
      <c r="D222" s="14"/>
      <c r="E222" s="14"/>
      <c r="F222" s="15"/>
      <c r="G222" s="14"/>
      <c r="H222" s="14"/>
      <c r="I222" s="15"/>
    </row>
    <row r="223" spans="1:9" ht="13.15">
      <c r="A223" s="14"/>
      <c r="B223" s="14"/>
      <c r="C223" s="14"/>
      <c r="D223" s="14"/>
      <c r="E223" s="14"/>
      <c r="F223" s="15"/>
      <c r="G223" s="14"/>
      <c r="H223" s="14"/>
      <c r="I223" s="15"/>
    </row>
    <row r="224" spans="1:9" ht="13.15">
      <c r="A224" s="14"/>
      <c r="B224" s="14"/>
      <c r="C224" s="14"/>
      <c r="D224" s="14"/>
      <c r="E224" s="14"/>
      <c r="F224" s="15"/>
      <c r="G224" s="14"/>
      <c r="H224" s="14"/>
      <c r="I224" s="15"/>
    </row>
    <row r="225" spans="1:9" ht="13.15">
      <c r="A225" s="14"/>
      <c r="B225" s="14"/>
      <c r="C225" s="14"/>
      <c r="D225" s="14"/>
      <c r="E225" s="14"/>
      <c r="F225" s="15"/>
      <c r="G225" s="14"/>
      <c r="H225" s="14"/>
      <c r="I225" s="15"/>
    </row>
    <row r="226" spans="1:9" ht="13.15">
      <c r="A226" s="14"/>
      <c r="B226" s="14"/>
      <c r="C226" s="14"/>
      <c r="D226" s="14"/>
      <c r="E226" s="14"/>
      <c r="F226" s="15"/>
      <c r="G226" s="14"/>
      <c r="H226" s="14"/>
      <c r="I226" s="15"/>
    </row>
    <row r="227" spans="1:9" ht="13.15">
      <c r="A227" s="14"/>
      <c r="B227" s="14"/>
      <c r="C227" s="14"/>
      <c r="D227" s="14"/>
      <c r="E227" s="14"/>
      <c r="F227" s="15"/>
      <c r="G227" s="14"/>
      <c r="H227" s="14"/>
      <c r="I227" s="15"/>
    </row>
    <row r="228" spans="1:9" ht="13.15">
      <c r="A228" s="14"/>
      <c r="B228" s="14"/>
      <c r="C228" s="14"/>
      <c r="D228" s="14"/>
      <c r="E228" s="14"/>
      <c r="F228" s="15"/>
      <c r="G228" s="14"/>
      <c r="H228" s="14"/>
      <c r="I228" s="15"/>
    </row>
    <row r="229" spans="1:9" ht="13.15">
      <c r="A229" s="14"/>
      <c r="B229" s="14"/>
      <c r="C229" s="14"/>
      <c r="D229" s="14"/>
      <c r="E229" s="14"/>
      <c r="F229" s="15"/>
      <c r="G229" s="14"/>
      <c r="H229" s="14"/>
      <c r="I229" s="15"/>
    </row>
    <row r="230" spans="1:9" ht="13.15">
      <c r="A230" s="14"/>
      <c r="B230" s="14"/>
      <c r="C230" s="14"/>
      <c r="D230" s="14"/>
      <c r="E230" s="14"/>
      <c r="F230" s="15"/>
      <c r="G230" s="14"/>
      <c r="H230" s="14"/>
      <c r="I230" s="15"/>
    </row>
    <row r="231" spans="1:9" ht="13.15">
      <c r="A231" s="14"/>
      <c r="B231" s="14"/>
      <c r="C231" s="14"/>
      <c r="D231" s="14"/>
      <c r="E231" s="14"/>
      <c r="F231" s="15"/>
      <c r="G231" s="14"/>
      <c r="H231" s="14"/>
      <c r="I231" s="15"/>
    </row>
    <row r="232" spans="1:9" ht="13.15">
      <c r="A232" s="14"/>
      <c r="B232" s="14"/>
      <c r="C232" s="14"/>
      <c r="D232" s="14"/>
      <c r="E232" s="14"/>
      <c r="F232" s="15"/>
      <c r="G232" s="14"/>
      <c r="H232" s="14"/>
      <c r="I232" s="15"/>
    </row>
    <row r="233" spans="1:9" ht="13.15">
      <c r="A233" s="14"/>
      <c r="B233" s="14"/>
      <c r="C233" s="14"/>
      <c r="D233" s="14"/>
      <c r="E233" s="14"/>
      <c r="F233" s="15"/>
      <c r="G233" s="14"/>
      <c r="H233" s="14"/>
      <c r="I233" s="15"/>
    </row>
    <row r="234" spans="1:9" ht="13.15">
      <c r="A234" s="14"/>
      <c r="B234" s="14"/>
      <c r="C234" s="14"/>
      <c r="D234" s="14"/>
      <c r="E234" s="14"/>
      <c r="F234" s="15"/>
      <c r="G234" s="14"/>
      <c r="H234" s="14"/>
      <c r="I234" s="15"/>
    </row>
    <row r="235" spans="1:9" ht="13.15">
      <c r="A235" s="14"/>
      <c r="B235" s="14"/>
      <c r="C235" s="14"/>
      <c r="D235" s="14"/>
      <c r="E235" s="14"/>
      <c r="F235" s="15"/>
      <c r="G235" s="14"/>
      <c r="H235" s="14"/>
      <c r="I235" s="15"/>
    </row>
    <row r="236" spans="1:9" ht="13.15">
      <c r="A236" s="14"/>
      <c r="B236" s="14"/>
      <c r="C236" s="14"/>
      <c r="D236" s="14"/>
      <c r="E236" s="14"/>
      <c r="F236" s="15"/>
      <c r="G236" s="14"/>
      <c r="H236" s="14"/>
      <c r="I236" s="15"/>
    </row>
    <row r="237" spans="1:9" ht="13.15">
      <c r="A237" s="14"/>
      <c r="B237" s="14"/>
      <c r="C237" s="14"/>
      <c r="D237" s="14"/>
      <c r="E237" s="14"/>
      <c r="F237" s="15"/>
      <c r="G237" s="14"/>
      <c r="H237" s="14"/>
      <c r="I237" s="15"/>
    </row>
    <row r="238" spans="1:9" ht="13.15">
      <c r="A238" s="14"/>
      <c r="B238" s="14"/>
      <c r="C238" s="14"/>
      <c r="D238" s="14"/>
      <c r="E238" s="14"/>
      <c r="F238" s="15"/>
      <c r="G238" s="14"/>
      <c r="H238" s="14"/>
      <c r="I238" s="15"/>
    </row>
    <row r="239" spans="1:9" ht="13.15">
      <c r="A239" s="14"/>
      <c r="B239" s="14"/>
      <c r="C239" s="14"/>
      <c r="D239" s="14"/>
      <c r="E239" s="14"/>
      <c r="F239" s="15"/>
      <c r="G239" s="14"/>
      <c r="H239" s="14"/>
      <c r="I239" s="15"/>
    </row>
    <row r="240" spans="1:9" ht="13.15">
      <c r="A240" s="14"/>
      <c r="B240" s="14"/>
      <c r="C240" s="14"/>
      <c r="D240" s="14"/>
      <c r="E240" s="14"/>
      <c r="F240" s="15"/>
      <c r="G240" s="14"/>
      <c r="H240" s="14"/>
      <c r="I240" s="15"/>
    </row>
    <row r="241" spans="1:9" ht="13.15">
      <c r="A241" s="14"/>
      <c r="B241" s="14"/>
      <c r="C241" s="14"/>
      <c r="D241" s="14"/>
      <c r="E241" s="14"/>
      <c r="F241" s="15"/>
      <c r="G241" s="14"/>
      <c r="H241" s="14"/>
      <c r="I241" s="15"/>
    </row>
    <row r="242" spans="1:9" ht="13.15">
      <c r="A242" s="14"/>
      <c r="B242" s="14"/>
      <c r="C242" s="14"/>
      <c r="D242" s="14"/>
      <c r="E242" s="14"/>
      <c r="F242" s="15"/>
      <c r="G242" s="14"/>
      <c r="H242" s="14"/>
      <c r="I242" s="15"/>
    </row>
    <row r="243" spans="1:9" ht="13.15">
      <c r="A243" s="14"/>
      <c r="B243" s="14"/>
      <c r="C243" s="14"/>
      <c r="D243" s="14"/>
      <c r="E243" s="14"/>
      <c r="F243" s="15"/>
      <c r="G243" s="14"/>
      <c r="H243" s="14"/>
      <c r="I243" s="15"/>
    </row>
    <row r="244" spans="1:9" ht="13.15">
      <c r="A244" s="14"/>
      <c r="B244" s="14"/>
      <c r="C244" s="14"/>
      <c r="D244" s="14"/>
      <c r="E244" s="14"/>
      <c r="F244" s="15"/>
      <c r="G244" s="14"/>
      <c r="H244" s="14"/>
      <c r="I244" s="15"/>
    </row>
    <row r="245" spans="1:9" ht="13.15">
      <c r="A245" s="14"/>
      <c r="B245" s="14"/>
      <c r="C245" s="14"/>
      <c r="D245" s="14"/>
      <c r="E245" s="14"/>
      <c r="F245" s="15"/>
      <c r="G245" s="14"/>
      <c r="H245" s="14"/>
      <c r="I245" s="15"/>
    </row>
    <row r="246" spans="1:9" ht="13.15">
      <c r="A246" s="14"/>
      <c r="B246" s="14"/>
      <c r="C246" s="14"/>
      <c r="D246" s="14"/>
      <c r="E246" s="14"/>
      <c r="F246" s="15"/>
      <c r="G246" s="14"/>
      <c r="H246" s="14"/>
      <c r="I246" s="15"/>
    </row>
    <row r="247" spans="1:9" ht="13.15">
      <c r="A247" s="14"/>
      <c r="B247" s="14"/>
      <c r="C247" s="14"/>
      <c r="D247" s="14"/>
      <c r="E247" s="14"/>
      <c r="F247" s="15"/>
      <c r="G247" s="14"/>
      <c r="H247" s="14"/>
      <c r="I247" s="15"/>
    </row>
    <row r="248" spans="1:9" ht="13.15">
      <c r="A248" s="14"/>
      <c r="B248" s="14"/>
      <c r="C248" s="14"/>
      <c r="D248" s="14"/>
      <c r="E248" s="14"/>
      <c r="F248" s="15"/>
      <c r="G248" s="14"/>
      <c r="H248" s="14"/>
      <c r="I248" s="15"/>
    </row>
    <row r="249" spans="1:9" ht="13.15">
      <c r="A249" s="14"/>
      <c r="B249" s="14"/>
      <c r="C249" s="14"/>
      <c r="D249" s="14"/>
      <c r="E249" s="14"/>
      <c r="F249" s="15"/>
      <c r="G249" s="14"/>
      <c r="H249" s="14"/>
      <c r="I249" s="15"/>
    </row>
    <row r="250" spans="1:9" ht="13.15">
      <c r="A250" s="14"/>
      <c r="B250" s="14"/>
      <c r="C250" s="14"/>
      <c r="D250" s="14"/>
      <c r="E250" s="14"/>
      <c r="F250" s="15"/>
      <c r="G250" s="14"/>
      <c r="H250" s="14"/>
      <c r="I250" s="15"/>
    </row>
    <row r="251" spans="1:9" ht="13.15">
      <c r="A251" s="14"/>
      <c r="B251" s="14"/>
      <c r="C251" s="14"/>
      <c r="D251" s="14"/>
      <c r="E251" s="14"/>
      <c r="F251" s="15"/>
      <c r="G251" s="14"/>
      <c r="H251" s="14"/>
      <c r="I251" s="15"/>
    </row>
    <row r="252" spans="1:9" ht="13.15">
      <c r="A252" s="14"/>
      <c r="B252" s="14"/>
      <c r="C252" s="14"/>
      <c r="D252" s="14"/>
      <c r="E252" s="14"/>
      <c r="F252" s="15"/>
      <c r="G252" s="14"/>
      <c r="H252" s="14"/>
      <c r="I252" s="15"/>
    </row>
    <row r="253" spans="1:9" ht="13.15">
      <c r="A253" s="14"/>
      <c r="B253" s="14"/>
      <c r="C253" s="14"/>
      <c r="D253" s="14"/>
      <c r="E253" s="14"/>
      <c r="F253" s="15"/>
      <c r="G253" s="14"/>
      <c r="H253" s="14"/>
      <c r="I253" s="15"/>
    </row>
    <row r="254" spans="1:9" ht="13.15">
      <c r="A254" s="14"/>
      <c r="B254" s="14"/>
      <c r="C254" s="14"/>
      <c r="D254" s="14"/>
      <c r="E254" s="14"/>
      <c r="F254" s="15"/>
      <c r="G254" s="14"/>
      <c r="H254" s="14"/>
      <c r="I254" s="15"/>
    </row>
    <row r="255" spans="1:9" ht="13.15">
      <c r="A255" s="14"/>
      <c r="B255" s="14"/>
      <c r="C255" s="14"/>
      <c r="D255" s="14"/>
      <c r="E255" s="14"/>
      <c r="F255" s="15"/>
      <c r="G255" s="14"/>
      <c r="H255" s="14"/>
      <c r="I255" s="15"/>
    </row>
    <row r="256" spans="1:9" ht="13.15">
      <c r="A256" s="14"/>
      <c r="B256" s="14"/>
      <c r="C256" s="14"/>
      <c r="D256" s="14"/>
      <c r="E256" s="14"/>
      <c r="F256" s="15"/>
      <c r="G256" s="14"/>
      <c r="H256" s="14"/>
      <c r="I256" s="15"/>
    </row>
    <row r="257" spans="1:9" ht="13.15">
      <c r="A257" s="14"/>
      <c r="B257" s="14"/>
      <c r="C257" s="14"/>
      <c r="D257" s="14"/>
      <c r="E257" s="14"/>
      <c r="F257" s="15"/>
      <c r="G257" s="14"/>
      <c r="H257" s="14"/>
      <c r="I257" s="15"/>
    </row>
    <row r="258" spans="1:9" ht="13.15">
      <c r="A258" s="14"/>
      <c r="B258" s="14"/>
      <c r="C258" s="14"/>
      <c r="D258" s="14"/>
      <c r="E258" s="14"/>
      <c r="F258" s="15"/>
      <c r="G258" s="14"/>
      <c r="H258" s="14"/>
      <c r="I258" s="15"/>
    </row>
    <row r="259" spans="1:9" ht="13.15">
      <c r="A259" s="14"/>
      <c r="B259" s="14"/>
      <c r="C259" s="14"/>
      <c r="D259" s="14"/>
      <c r="E259" s="14"/>
      <c r="F259" s="15"/>
      <c r="G259" s="14"/>
      <c r="H259" s="14"/>
      <c r="I259" s="15"/>
    </row>
    <row r="260" spans="1:9" ht="13.15">
      <c r="A260" s="14"/>
      <c r="B260" s="14"/>
      <c r="C260" s="14"/>
      <c r="D260" s="14"/>
      <c r="E260" s="14"/>
      <c r="F260" s="15"/>
      <c r="G260" s="14"/>
      <c r="H260" s="14"/>
      <c r="I260" s="15"/>
    </row>
    <row r="261" spans="1:9" ht="13.15">
      <c r="A261" s="14"/>
      <c r="B261" s="14"/>
      <c r="C261" s="14"/>
      <c r="D261" s="14"/>
      <c r="E261" s="14"/>
      <c r="F261" s="15"/>
      <c r="G261" s="14"/>
      <c r="H261" s="14"/>
      <c r="I261" s="15"/>
    </row>
    <row r="262" spans="1:9" ht="13.15">
      <c r="A262" s="14"/>
      <c r="B262" s="14"/>
      <c r="C262" s="14"/>
      <c r="D262" s="14"/>
      <c r="E262" s="14"/>
      <c r="F262" s="15"/>
      <c r="G262" s="14"/>
      <c r="H262" s="14"/>
      <c r="I262" s="15"/>
    </row>
    <row r="263" spans="1:9" ht="13.15">
      <c r="A263" s="14"/>
      <c r="B263" s="14"/>
      <c r="C263" s="14"/>
      <c r="D263" s="14"/>
      <c r="E263" s="14"/>
      <c r="F263" s="15"/>
      <c r="G263" s="14"/>
      <c r="H263" s="14"/>
      <c r="I263" s="15"/>
    </row>
    <row r="264" spans="1:9" ht="13.15">
      <c r="A264" s="14"/>
      <c r="B264" s="14"/>
      <c r="C264" s="14"/>
      <c r="D264" s="14"/>
      <c r="E264" s="14"/>
      <c r="F264" s="15"/>
      <c r="G264" s="14"/>
      <c r="H264" s="14"/>
      <c r="I264" s="15"/>
    </row>
    <row r="265" spans="1:9" ht="13.15">
      <c r="A265" s="14"/>
      <c r="B265" s="14"/>
      <c r="C265" s="14"/>
      <c r="D265" s="14"/>
      <c r="E265" s="14"/>
      <c r="F265" s="15"/>
      <c r="G265" s="14"/>
      <c r="H265" s="14"/>
      <c r="I265" s="15"/>
    </row>
    <row r="266" spans="1:9" ht="13.15">
      <c r="A266" s="14"/>
      <c r="B266" s="14"/>
      <c r="C266" s="14"/>
      <c r="D266" s="14"/>
      <c r="E266" s="14"/>
      <c r="F266" s="15"/>
      <c r="G266" s="14"/>
      <c r="H266" s="14"/>
      <c r="I266" s="15"/>
    </row>
    <row r="267" spans="1:9" ht="13.15">
      <c r="A267" s="14"/>
      <c r="B267" s="14"/>
      <c r="C267" s="14"/>
      <c r="D267" s="14"/>
      <c r="E267" s="14"/>
      <c r="F267" s="15"/>
      <c r="G267" s="14"/>
      <c r="H267" s="14"/>
      <c r="I267" s="15"/>
    </row>
    <row r="268" spans="1:9" ht="13.15">
      <c r="A268" s="14"/>
      <c r="B268" s="14"/>
      <c r="C268" s="14"/>
      <c r="D268" s="14"/>
      <c r="E268" s="14"/>
      <c r="F268" s="15"/>
      <c r="G268" s="14"/>
      <c r="H268" s="14"/>
      <c r="I268" s="15"/>
    </row>
    <row r="269" spans="1:9" ht="13.15">
      <c r="A269" s="14"/>
      <c r="B269" s="14"/>
      <c r="C269" s="14"/>
      <c r="D269" s="14"/>
      <c r="E269" s="14"/>
      <c r="F269" s="15"/>
      <c r="G269" s="14"/>
      <c r="H269" s="14"/>
      <c r="I269" s="15"/>
    </row>
    <row r="270" spans="1:9" ht="13.15">
      <c r="A270" s="14"/>
      <c r="B270" s="14"/>
      <c r="C270" s="14"/>
      <c r="D270" s="14"/>
      <c r="E270" s="14"/>
      <c r="F270" s="15"/>
      <c r="G270" s="14"/>
      <c r="H270" s="14"/>
      <c r="I270" s="15"/>
    </row>
    <row r="271" spans="1:9" ht="13.15">
      <c r="A271" s="14"/>
      <c r="B271" s="14"/>
      <c r="C271" s="14"/>
      <c r="D271" s="14"/>
      <c r="E271" s="14"/>
      <c r="F271" s="15"/>
      <c r="G271" s="14"/>
      <c r="H271" s="14"/>
      <c r="I271" s="15"/>
    </row>
    <row r="272" spans="1:9" ht="13.15">
      <c r="A272" s="14"/>
      <c r="B272" s="14"/>
      <c r="C272" s="14"/>
      <c r="D272" s="14"/>
      <c r="E272" s="14"/>
      <c r="F272" s="15"/>
      <c r="G272" s="14"/>
      <c r="H272" s="14"/>
      <c r="I272" s="15"/>
    </row>
    <row r="273" spans="1:9" ht="13.15">
      <c r="A273" s="14"/>
      <c r="B273" s="14"/>
      <c r="C273" s="14"/>
      <c r="D273" s="14"/>
      <c r="E273" s="14"/>
      <c r="F273" s="15"/>
      <c r="G273" s="14"/>
      <c r="H273" s="14"/>
      <c r="I273" s="15"/>
    </row>
    <row r="274" spans="1:9" ht="13.15">
      <c r="A274" s="14"/>
      <c r="B274" s="14"/>
      <c r="C274" s="14"/>
      <c r="D274" s="14"/>
      <c r="E274" s="14"/>
      <c r="F274" s="15"/>
      <c r="G274" s="14"/>
      <c r="H274" s="14"/>
      <c r="I274" s="15"/>
    </row>
    <row r="275" spans="1:9" ht="13.15">
      <c r="A275" s="14"/>
      <c r="B275" s="14"/>
      <c r="C275" s="14"/>
      <c r="D275" s="14"/>
      <c r="E275" s="14"/>
      <c r="F275" s="15"/>
      <c r="G275" s="14"/>
      <c r="H275" s="14"/>
      <c r="I275" s="15"/>
    </row>
    <row r="276" spans="1:9" ht="13.15">
      <c r="A276" s="14"/>
      <c r="B276" s="14"/>
      <c r="C276" s="14"/>
      <c r="D276" s="14"/>
      <c r="E276" s="14"/>
      <c r="F276" s="15"/>
      <c r="G276" s="14"/>
      <c r="H276" s="14"/>
      <c r="I276" s="15"/>
    </row>
    <row r="277" spans="1:9" ht="13.15">
      <c r="A277" s="14"/>
      <c r="B277" s="14"/>
      <c r="C277" s="14"/>
      <c r="D277" s="14"/>
      <c r="E277" s="14"/>
      <c r="F277" s="15"/>
      <c r="G277" s="14"/>
      <c r="H277" s="14"/>
      <c r="I277" s="15"/>
    </row>
    <row r="278" spans="1:9" ht="13.15">
      <c r="A278" s="14"/>
      <c r="B278" s="14"/>
      <c r="C278" s="14"/>
      <c r="D278" s="14"/>
      <c r="E278" s="14"/>
      <c r="F278" s="15"/>
      <c r="G278" s="14"/>
      <c r="H278" s="14"/>
      <c r="I278" s="15"/>
    </row>
    <row r="279" spans="1:9" ht="13.15">
      <c r="A279" s="14"/>
      <c r="B279" s="14"/>
      <c r="C279" s="14"/>
      <c r="D279" s="14"/>
      <c r="E279" s="14"/>
      <c r="F279" s="15"/>
      <c r="G279" s="14"/>
      <c r="H279" s="14"/>
      <c r="I279" s="15"/>
    </row>
    <row r="280" spans="1:9" ht="13.15">
      <c r="A280" s="14"/>
      <c r="B280" s="14"/>
      <c r="C280" s="14"/>
      <c r="D280" s="14"/>
      <c r="E280" s="14"/>
      <c r="F280" s="15"/>
      <c r="G280" s="14"/>
      <c r="H280" s="14"/>
      <c r="I280" s="15"/>
    </row>
    <row r="281" spans="1:9" ht="13.15">
      <c r="A281" s="14"/>
      <c r="B281" s="14"/>
      <c r="C281" s="14"/>
      <c r="D281" s="14"/>
      <c r="E281" s="14"/>
      <c r="F281" s="15"/>
      <c r="G281" s="14"/>
      <c r="H281" s="14"/>
      <c r="I281" s="15"/>
    </row>
    <row r="282" spans="1:9" ht="13.15">
      <c r="A282" s="14"/>
      <c r="B282" s="14"/>
      <c r="C282" s="14"/>
      <c r="D282" s="14"/>
      <c r="E282" s="14"/>
      <c r="F282" s="15"/>
      <c r="G282" s="14"/>
      <c r="H282" s="14"/>
      <c r="I282" s="15"/>
    </row>
    <row r="283" spans="1:9" ht="13.15">
      <c r="A283" s="14"/>
      <c r="B283" s="14"/>
      <c r="C283" s="14"/>
      <c r="D283" s="14"/>
      <c r="E283" s="14"/>
      <c r="F283" s="15"/>
      <c r="G283" s="14"/>
      <c r="H283" s="14"/>
      <c r="I283" s="15"/>
    </row>
    <row r="284" spans="1:9" ht="13.15">
      <c r="A284" s="14"/>
      <c r="B284" s="14"/>
      <c r="C284" s="14"/>
      <c r="D284" s="14"/>
      <c r="E284" s="14"/>
      <c r="F284" s="15"/>
      <c r="G284" s="14"/>
      <c r="H284" s="14"/>
      <c r="I284" s="15"/>
    </row>
    <row r="285" spans="1:9" ht="13.15">
      <c r="A285" s="14"/>
      <c r="B285" s="14"/>
      <c r="C285" s="14"/>
      <c r="D285" s="14"/>
      <c r="E285" s="14"/>
      <c r="F285" s="15"/>
      <c r="G285" s="14"/>
      <c r="H285" s="14"/>
      <c r="I285" s="15"/>
    </row>
    <row r="286" spans="1:9" ht="13.15">
      <c r="A286" s="14"/>
      <c r="B286" s="14"/>
      <c r="C286" s="14"/>
      <c r="D286" s="14"/>
      <c r="E286" s="14"/>
      <c r="F286" s="15"/>
      <c r="G286" s="14"/>
      <c r="H286" s="14"/>
      <c r="I286" s="15"/>
    </row>
    <row r="287" spans="1:9" ht="13.15">
      <c r="A287" s="14"/>
      <c r="B287" s="14"/>
      <c r="C287" s="14"/>
      <c r="D287" s="14"/>
      <c r="E287" s="14"/>
      <c r="F287" s="15"/>
      <c r="G287" s="14"/>
      <c r="H287" s="14"/>
      <c r="I287" s="15"/>
    </row>
    <row r="288" spans="1:9" ht="13.15">
      <c r="A288" s="14"/>
      <c r="B288" s="14"/>
      <c r="C288" s="14"/>
      <c r="D288" s="14"/>
      <c r="E288" s="14"/>
      <c r="F288" s="15"/>
      <c r="G288" s="14"/>
      <c r="H288" s="14"/>
      <c r="I288" s="15"/>
    </row>
    <row r="289" spans="1:9" ht="13.15">
      <c r="A289" s="14"/>
      <c r="B289" s="14"/>
      <c r="C289" s="14"/>
      <c r="D289" s="14"/>
      <c r="E289" s="14"/>
      <c r="F289" s="15"/>
      <c r="G289" s="14"/>
      <c r="H289" s="14"/>
      <c r="I289" s="15"/>
    </row>
    <row r="290" spans="1:9" ht="13.15">
      <c r="A290" s="14"/>
      <c r="B290" s="14"/>
      <c r="C290" s="14"/>
      <c r="D290" s="14"/>
      <c r="E290" s="14"/>
      <c r="F290" s="15"/>
      <c r="G290" s="14"/>
      <c r="H290" s="14"/>
      <c r="I290" s="15"/>
    </row>
    <row r="291" spans="1:9" ht="13.15">
      <c r="A291" s="14"/>
      <c r="B291" s="14"/>
      <c r="C291" s="14"/>
      <c r="D291" s="14"/>
      <c r="E291" s="14"/>
      <c r="F291" s="15"/>
      <c r="G291" s="14"/>
      <c r="H291" s="14"/>
      <c r="I291" s="15"/>
    </row>
    <row r="292" spans="1:9" ht="13.15">
      <c r="A292" s="14"/>
      <c r="B292" s="14"/>
      <c r="C292" s="14"/>
      <c r="D292" s="14"/>
      <c r="E292" s="14"/>
      <c r="F292" s="15"/>
      <c r="G292" s="14"/>
      <c r="H292" s="14"/>
      <c r="I292" s="15"/>
    </row>
    <row r="293" spans="1:9" ht="13.15">
      <c r="A293" s="14"/>
      <c r="B293" s="14"/>
      <c r="C293" s="14"/>
      <c r="D293" s="14"/>
      <c r="E293" s="14"/>
      <c r="F293" s="15"/>
      <c r="G293" s="14"/>
      <c r="H293" s="14"/>
      <c r="I293" s="15"/>
    </row>
    <row r="294" spans="1:9" ht="13.15">
      <c r="A294" s="14"/>
      <c r="B294" s="14"/>
      <c r="C294" s="14"/>
      <c r="D294" s="14"/>
      <c r="E294" s="14"/>
      <c r="F294" s="15"/>
      <c r="G294" s="14"/>
      <c r="H294" s="14"/>
      <c r="I294" s="15"/>
    </row>
    <row r="295" spans="1:9" ht="13.15">
      <c r="A295" s="14"/>
      <c r="B295" s="14"/>
      <c r="C295" s="14"/>
      <c r="D295" s="14"/>
      <c r="E295" s="14"/>
      <c r="F295" s="15"/>
      <c r="G295" s="14"/>
      <c r="H295" s="14"/>
      <c r="I295" s="15"/>
    </row>
    <row r="296" spans="1:9" ht="13.15">
      <c r="A296" s="14"/>
      <c r="B296" s="14"/>
      <c r="C296" s="14"/>
      <c r="D296" s="14"/>
      <c r="E296" s="14"/>
      <c r="F296" s="15"/>
      <c r="G296" s="14"/>
      <c r="H296" s="14"/>
      <c r="I296" s="15"/>
    </row>
    <row r="297" spans="1:9" ht="13.15">
      <c r="A297" s="14"/>
      <c r="B297" s="14"/>
      <c r="C297" s="14"/>
      <c r="D297" s="14"/>
      <c r="E297" s="14"/>
      <c r="F297" s="15"/>
      <c r="G297" s="14"/>
      <c r="H297" s="14"/>
      <c r="I297" s="15"/>
    </row>
    <row r="298" spans="1:9" ht="13.15">
      <c r="A298" s="14"/>
      <c r="B298" s="14"/>
      <c r="C298" s="14"/>
      <c r="D298" s="14"/>
      <c r="E298" s="14"/>
      <c r="F298" s="15"/>
      <c r="G298" s="14"/>
      <c r="H298" s="14"/>
      <c r="I298" s="15"/>
    </row>
    <row r="299" spans="1:9" ht="13.15">
      <c r="A299" s="14"/>
      <c r="B299" s="14"/>
      <c r="C299" s="14"/>
      <c r="D299" s="14"/>
      <c r="E299" s="14"/>
      <c r="F299" s="15"/>
      <c r="G299" s="14"/>
      <c r="H299" s="14"/>
      <c r="I299" s="15"/>
    </row>
    <row r="300" spans="1:9" ht="13.15">
      <c r="A300" s="14"/>
      <c r="B300" s="14"/>
      <c r="C300" s="14"/>
      <c r="D300" s="14"/>
      <c r="E300" s="14"/>
      <c r="F300" s="15"/>
      <c r="G300" s="14"/>
      <c r="H300" s="14"/>
      <c r="I300" s="15"/>
    </row>
    <row r="301" spans="1:9" ht="13.15">
      <c r="A301" s="14"/>
      <c r="B301" s="14"/>
      <c r="C301" s="14"/>
      <c r="D301" s="14"/>
      <c r="E301" s="14"/>
      <c r="F301" s="15"/>
      <c r="G301" s="14"/>
      <c r="H301" s="14"/>
      <c r="I301" s="15"/>
    </row>
    <row r="302" spans="1:9" ht="13.15">
      <c r="A302" s="14"/>
      <c r="B302" s="14"/>
      <c r="C302" s="14"/>
      <c r="D302" s="14"/>
      <c r="E302" s="14"/>
      <c r="F302" s="15"/>
      <c r="G302" s="14"/>
      <c r="H302" s="14"/>
      <c r="I302" s="15"/>
    </row>
    <row r="303" spans="1:9" ht="13.15">
      <c r="A303" s="14"/>
      <c r="B303" s="14"/>
      <c r="C303" s="14"/>
      <c r="D303" s="14"/>
      <c r="E303" s="14"/>
      <c r="F303" s="15"/>
      <c r="G303" s="14"/>
      <c r="H303" s="14"/>
      <c r="I303" s="15"/>
    </row>
    <row r="304" spans="1:9" ht="13.15">
      <c r="A304" s="14"/>
      <c r="B304" s="14"/>
      <c r="C304" s="14"/>
      <c r="D304" s="14"/>
      <c r="E304" s="14"/>
      <c r="F304" s="15"/>
      <c r="G304" s="14"/>
      <c r="H304" s="14"/>
      <c r="I304" s="15"/>
    </row>
    <row r="305" spans="1:9" ht="13.15">
      <c r="A305" s="14"/>
      <c r="B305" s="14"/>
      <c r="C305" s="14"/>
      <c r="D305" s="14"/>
      <c r="E305" s="14"/>
      <c r="F305" s="15"/>
      <c r="G305" s="14"/>
      <c r="H305" s="14"/>
      <c r="I305" s="15"/>
    </row>
    <row r="306" spans="1:9" ht="13.15">
      <c r="A306" s="14"/>
      <c r="B306" s="14"/>
      <c r="C306" s="14"/>
      <c r="D306" s="14"/>
      <c r="E306" s="14"/>
      <c r="F306" s="15"/>
      <c r="G306" s="14"/>
      <c r="H306" s="14"/>
      <c r="I306" s="15"/>
    </row>
    <row r="307" spans="1:9" ht="13.15">
      <c r="A307" s="14"/>
      <c r="B307" s="14"/>
      <c r="C307" s="14"/>
      <c r="D307" s="14"/>
      <c r="E307" s="14"/>
      <c r="F307" s="15"/>
      <c r="G307" s="14"/>
      <c r="H307" s="14"/>
      <c r="I307" s="15"/>
    </row>
    <row r="308" spans="1:9" ht="13.15">
      <c r="A308" s="14"/>
      <c r="B308" s="14"/>
      <c r="C308" s="14"/>
      <c r="D308" s="14"/>
      <c r="E308" s="14"/>
      <c r="F308" s="15"/>
      <c r="G308" s="14"/>
      <c r="H308" s="14"/>
      <c r="I308" s="15"/>
    </row>
    <row r="309" spans="1:9" ht="13.15">
      <c r="A309" s="14"/>
      <c r="B309" s="14"/>
      <c r="C309" s="14"/>
      <c r="D309" s="14"/>
      <c r="E309" s="14"/>
      <c r="F309" s="15"/>
      <c r="G309" s="14"/>
      <c r="H309" s="14"/>
      <c r="I309" s="15"/>
    </row>
    <row r="310" spans="1:9" ht="13.15">
      <c r="A310" s="14"/>
      <c r="B310" s="14"/>
      <c r="C310" s="14"/>
      <c r="D310" s="14"/>
      <c r="E310" s="14"/>
      <c r="F310" s="15"/>
      <c r="G310" s="14"/>
      <c r="H310" s="14"/>
      <c r="I310" s="15"/>
    </row>
    <row r="311" spans="1:9" ht="13.15">
      <c r="A311" s="14"/>
      <c r="B311" s="14"/>
      <c r="C311" s="14"/>
      <c r="D311" s="14"/>
      <c r="E311" s="14"/>
      <c r="F311" s="15"/>
      <c r="G311" s="14"/>
      <c r="H311" s="14"/>
      <c r="I311" s="15"/>
    </row>
    <row r="312" spans="1:9" ht="13.15">
      <c r="A312" s="14"/>
      <c r="B312" s="14"/>
      <c r="C312" s="14"/>
      <c r="D312" s="14"/>
      <c r="E312" s="14"/>
      <c r="F312" s="15"/>
      <c r="G312" s="14"/>
      <c r="H312" s="14"/>
      <c r="I312" s="15"/>
    </row>
    <row r="313" spans="1:9" ht="13.15">
      <c r="A313" s="14"/>
      <c r="B313" s="14"/>
      <c r="C313" s="14"/>
      <c r="D313" s="14"/>
      <c r="E313" s="14"/>
      <c r="F313" s="15"/>
      <c r="G313" s="14"/>
      <c r="H313" s="14"/>
      <c r="I313" s="15"/>
    </row>
    <row r="314" spans="1:9" ht="13.15">
      <c r="A314" s="14"/>
      <c r="B314" s="14"/>
      <c r="C314" s="14"/>
      <c r="D314" s="14"/>
      <c r="E314" s="14"/>
      <c r="F314" s="15"/>
      <c r="G314" s="14"/>
      <c r="H314" s="14"/>
      <c r="I314" s="15"/>
    </row>
    <row r="315" spans="1:9" ht="13.15">
      <c r="A315" s="14"/>
      <c r="B315" s="14"/>
      <c r="C315" s="14"/>
      <c r="D315" s="14"/>
      <c r="E315" s="14"/>
      <c r="F315" s="15"/>
      <c r="G315" s="14"/>
      <c r="H315" s="14"/>
      <c r="I315" s="15"/>
    </row>
    <row r="316" spans="1:9" ht="13.15">
      <c r="A316" s="14"/>
      <c r="B316" s="14"/>
      <c r="C316" s="14"/>
      <c r="D316" s="14"/>
      <c r="E316" s="14"/>
      <c r="F316" s="15"/>
      <c r="G316" s="14"/>
      <c r="H316" s="14"/>
      <c r="I316" s="15"/>
    </row>
    <row r="317" spans="1:9" ht="13.15">
      <c r="A317" s="14"/>
      <c r="B317" s="14"/>
      <c r="C317" s="14"/>
      <c r="D317" s="14"/>
      <c r="E317" s="14"/>
      <c r="F317" s="15"/>
      <c r="G317" s="14"/>
      <c r="H317" s="14"/>
      <c r="I317" s="15"/>
    </row>
    <row r="318" spans="1:9" ht="13.15">
      <c r="A318" s="14"/>
      <c r="B318" s="14"/>
      <c r="C318" s="14"/>
      <c r="D318" s="14"/>
      <c r="E318" s="14"/>
      <c r="F318" s="15"/>
      <c r="G318" s="14"/>
      <c r="H318" s="14"/>
      <c r="I318" s="15"/>
    </row>
    <row r="319" spans="1:9" ht="13.15">
      <c r="A319" s="14"/>
      <c r="B319" s="14"/>
      <c r="C319" s="14"/>
      <c r="D319" s="14"/>
      <c r="E319" s="14"/>
      <c r="F319" s="15"/>
      <c r="G319" s="14"/>
      <c r="H319" s="14"/>
      <c r="I319" s="15"/>
    </row>
    <row r="320" spans="1:9" ht="13.15">
      <c r="A320" s="14"/>
      <c r="B320" s="14"/>
      <c r="C320" s="14"/>
      <c r="D320" s="14"/>
      <c r="E320" s="14"/>
      <c r="F320" s="15"/>
      <c r="G320" s="14"/>
      <c r="H320" s="14"/>
      <c r="I320" s="15"/>
    </row>
    <row r="321" spans="1:9" ht="13.15">
      <c r="A321" s="14"/>
      <c r="B321" s="14"/>
      <c r="C321" s="14"/>
      <c r="D321" s="14"/>
      <c r="E321" s="14"/>
      <c r="F321" s="15"/>
      <c r="G321" s="14"/>
      <c r="H321" s="14"/>
      <c r="I321" s="15"/>
    </row>
    <row r="322" spans="1:9" ht="13.15">
      <c r="A322" s="14"/>
      <c r="B322" s="14"/>
      <c r="C322" s="14"/>
      <c r="D322" s="14"/>
      <c r="E322" s="14"/>
      <c r="F322" s="15"/>
      <c r="G322" s="14"/>
      <c r="H322" s="14"/>
      <c r="I322" s="15"/>
    </row>
    <row r="323" spans="1:9" ht="13.15">
      <c r="A323" s="14"/>
      <c r="B323" s="14"/>
      <c r="C323" s="14"/>
      <c r="D323" s="14"/>
      <c r="E323" s="14"/>
      <c r="F323" s="15"/>
      <c r="G323" s="14"/>
      <c r="H323" s="14"/>
      <c r="I323" s="15"/>
    </row>
    <row r="324" spans="1:9" ht="13.15">
      <c r="A324" s="14"/>
      <c r="B324" s="14"/>
      <c r="C324" s="14"/>
      <c r="D324" s="14"/>
      <c r="E324" s="14"/>
      <c r="F324" s="15"/>
      <c r="G324" s="14"/>
      <c r="H324" s="14"/>
      <c r="I324" s="15"/>
    </row>
    <row r="325" spans="1:9" ht="13.15">
      <c r="A325" s="14"/>
      <c r="B325" s="14"/>
      <c r="C325" s="14"/>
      <c r="D325" s="14"/>
      <c r="E325" s="14"/>
      <c r="F325" s="15"/>
      <c r="G325" s="14"/>
      <c r="H325" s="14"/>
      <c r="I325" s="15"/>
    </row>
    <row r="326" spans="1:9" ht="13.15">
      <c r="A326" s="14"/>
      <c r="B326" s="14"/>
      <c r="C326" s="14"/>
      <c r="D326" s="14"/>
      <c r="E326" s="14"/>
      <c r="F326" s="15"/>
      <c r="G326" s="14"/>
      <c r="H326" s="14"/>
      <c r="I326" s="15"/>
    </row>
    <row r="327" spans="1:9" ht="13.15">
      <c r="A327" s="14"/>
      <c r="B327" s="14"/>
      <c r="C327" s="14"/>
      <c r="D327" s="14"/>
      <c r="E327" s="14"/>
      <c r="F327" s="15"/>
      <c r="G327" s="14"/>
      <c r="H327" s="14"/>
      <c r="I327" s="15"/>
    </row>
    <row r="328" spans="1:9" ht="13.15">
      <c r="A328" s="14"/>
      <c r="B328" s="14"/>
      <c r="C328" s="14"/>
      <c r="D328" s="14"/>
      <c r="E328" s="14"/>
      <c r="F328" s="15"/>
      <c r="G328" s="14"/>
      <c r="H328" s="14"/>
      <c r="I328" s="15"/>
    </row>
    <row r="329" spans="1:9" ht="13.15">
      <c r="A329" s="14"/>
      <c r="B329" s="14"/>
      <c r="C329" s="14"/>
      <c r="D329" s="14"/>
      <c r="E329" s="14"/>
      <c r="F329" s="15"/>
      <c r="G329" s="14"/>
      <c r="H329" s="14"/>
      <c r="I329" s="15"/>
    </row>
    <row r="330" spans="1:9" ht="13.15">
      <c r="A330" s="14"/>
      <c r="B330" s="14"/>
      <c r="C330" s="14"/>
      <c r="D330" s="14"/>
      <c r="E330" s="14"/>
      <c r="F330" s="15"/>
      <c r="G330" s="14"/>
      <c r="H330" s="14"/>
      <c r="I330" s="15"/>
    </row>
    <row r="331" spans="1:9" ht="13.15">
      <c r="A331" s="14"/>
      <c r="B331" s="14"/>
      <c r="C331" s="14"/>
      <c r="D331" s="14"/>
      <c r="E331" s="14"/>
      <c r="F331" s="15"/>
      <c r="G331" s="14"/>
      <c r="H331" s="14"/>
      <c r="I331" s="15"/>
    </row>
    <row r="332" spans="1:9" ht="13.15">
      <c r="A332" s="14"/>
      <c r="B332" s="14"/>
      <c r="C332" s="14"/>
      <c r="D332" s="14"/>
      <c r="E332" s="14"/>
      <c r="F332" s="15"/>
      <c r="G332" s="14"/>
      <c r="H332" s="14"/>
      <c r="I332" s="15"/>
    </row>
    <row r="333" spans="1:9" ht="13.15">
      <c r="A333" s="14"/>
      <c r="B333" s="14"/>
      <c r="C333" s="14"/>
      <c r="D333" s="14"/>
      <c r="E333" s="14"/>
      <c r="F333" s="15"/>
      <c r="G333" s="14"/>
      <c r="H333" s="14"/>
      <c r="I333" s="15"/>
    </row>
    <row r="334" spans="1:9" ht="13.15">
      <c r="A334" s="14"/>
      <c r="B334" s="14"/>
      <c r="C334" s="14"/>
      <c r="D334" s="14"/>
      <c r="E334" s="14"/>
      <c r="F334" s="15"/>
      <c r="G334" s="14"/>
      <c r="H334" s="14"/>
      <c r="I334" s="15"/>
    </row>
    <row r="335" spans="1:9" ht="13.15">
      <c r="A335" s="14"/>
      <c r="B335" s="14"/>
      <c r="C335" s="14"/>
      <c r="D335" s="14"/>
      <c r="E335" s="14"/>
      <c r="F335" s="15"/>
      <c r="G335" s="14"/>
      <c r="H335" s="14"/>
      <c r="I335" s="15"/>
    </row>
    <row r="336" spans="1:9" ht="13.15">
      <c r="A336" s="14"/>
      <c r="B336" s="14"/>
      <c r="C336" s="14"/>
      <c r="D336" s="14"/>
      <c r="E336" s="14"/>
      <c r="F336" s="15"/>
      <c r="G336" s="14"/>
      <c r="H336" s="14"/>
      <c r="I336" s="15"/>
    </row>
    <row r="337" spans="1:9" ht="13.15">
      <c r="A337" s="14"/>
      <c r="B337" s="14"/>
      <c r="C337" s="14"/>
      <c r="D337" s="14"/>
      <c r="E337" s="14"/>
      <c r="F337" s="15"/>
      <c r="G337" s="14"/>
      <c r="H337" s="14"/>
      <c r="I337" s="15"/>
    </row>
  </sheetData>
  <mergeCells count="4">
    <mergeCell ref="G1:I1"/>
    <mergeCell ref="A1:C1"/>
    <mergeCell ref="D1:F1"/>
    <mergeCell ref="A2:B2"/>
  </mergeCells>
  <conditionalFormatting sqref="F2 I2 F4:F95 I4:I95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6"/>
  <sheetViews>
    <sheetView zoomScale="80" zoomScaleNormal="80" workbookViewId="0">
      <pane xSplit="2" ySplit="3" topLeftCell="C4" activePane="bottomRight" state="frozen"/>
      <selection pane="bottomRight" activeCell="M11" sqref="M11"/>
      <selection pane="bottomLeft" activeCell="A4" sqref="A4:I20"/>
      <selection pane="topRight" activeCell="A4" sqref="A4:I20"/>
    </sheetView>
  </sheetViews>
  <sheetFormatPr defaultRowHeight="13.5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9" t="str" cm="1">
        <f t="array" ref="A1">portfolio</f>
        <v>MN8 KEF</v>
      </c>
      <c r="B1" s="79"/>
      <c r="C1" s="79"/>
      <c r="D1" s="80" t="s">
        <v>18</v>
      </c>
      <c r="E1" s="80"/>
      <c r="F1" s="80"/>
      <c r="G1" s="78" t="s">
        <v>19</v>
      </c>
      <c r="H1" s="78"/>
      <c r="I1" s="78"/>
      <c r="J1" s="4"/>
      <c r="K1" s="4"/>
    </row>
    <row r="2" spans="1:11" ht="19.5" customHeight="1">
      <c r="A2" s="81" t="s">
        <v>2</v>
      </c>
      <c r="B2" s="81"/>
      <c r="C2" s="5">
        <f>SUM(C4:C94)</f>
        <v>779580.43176222313</v>
      </c>
      <c r="D2" s="5">
        <f>SUM(D4:D94)</f>
        <v>1198899.99</v>
      </c>
      <c r="E2" s="5">
        <f>C2-D2</f>
        <v>-419319.55823777686</v>
      </c>
      <c r="F2" s="6">
        <f>IFERROR(E2/D2, 0)</f>
        <v>-0.34975357555702113</v>
      </c>
      <c r="G2" s="5">
        <f>SUM(G4:G94)</f>
        <v>1598697.0599999998</v>
      </c>
      <c r="H2" s="7">
        <f>C2-G2</f>
        <v>-819116.62823777669</v>
      </c>
      <c r="I2" s="6">
        <f>IFERROR(H2/G2, 0)</f>
        <v>-0.51236513078830381</v>
      </c>
      <c r="J2" s="1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9" t="s">
        <v>3</v>
      </c>
      <c r="B3" s="19" t="s">
        <v>4</v>
      </c>
      <c r="C3" s="36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42" t="s">
        <v>20</v>
      </c>
      <c r="K3" s="42" t="s">
        <v>21</v>
      </c>
    </row>
    <row r="4" spans="1:11" ht="15.75">
      <c r="A4" s="43" t="str" cm="1">
        <f t="array" ref="A4:A20">Sites[Site]</f>
        <v>Williamsburg A</v>
      </c>
      <c r="B4" s="44" t="str" cm="1">
        <f t="array" ref="B4:B20">Sites[State]</f>
        <v>MA</v>
      </c>
      <c r="C4" s="45">
        <v>34976.740458011598</v>
      </c>
      <c r="D4" s="45">
        <v>63711.839999999997</v>
      </c>
      <c r="E4" s="45">
        <f>IF(AND(ISNUMBER(C4),ISNUMBER(D4)), C4-D4, "")</f>
        <v>-28735.099541988398</v>
      </c>
      <c r="F4" s="46">
        <f>IFERROR(E4/D4, "")</f>
        <v>-0.45101663273244658</v>
      </c>
      <c r="G4" s="47">
        <v>96254.79</v>
      </c>
      <c r="H4" s="47">
        <f>IF(AND(ISNUMBER(C4),ISNUMBER(G4)), C4-G4, "")</f>
        <v>-61278.049541988396</v>
      </c>
      <c r="I4" s="46">
        <f>IFERROR(H4/G4, "")</f>
        <v>-0.63662337782866074</v>
      </c>
      <c r="J4" s="60" t="s">
        <v>22</v>
      </c>
      <c r="K4" s="48" t="s">
        <v>22</v>
      </c>
    </row>
    <row r="5" spans="1:11" ht="28.5">
      <c r="A5" s="49" t="str">
        <v>Orange A KB</v>
      </c>
      <c r="B5" s="50" t="str">
        <v>MA</v>
      </c>
      <c r="C5" s="51">
        <v>36812.441304211497</v>
      </c>
      <c r="D5" s="51">
        <v>50249.95</v>
      </c>
      <c r="E5" s="51">
        <f t="shared" ref="E5:E15" si="0">IF(AND(ISNUMBER(C5),ISNUMBER(D5)), C5-D5, "")</f>
        <v>-13437.5086957885</v>
      </c>
      <c r="F5" s="52">
        <f t="shared" ref="F5:F20" si="1">IFERROR(E5/D5, "")</f>
        <v>-0.26741337445686014</v>
      </c>
      <c r="G5" s="53">
        <v>78902.03</v>
      </c>
      <c r="H5" s="53">
        <f t="shared" ref="H5:H6" si="2">IF(AND(ISNUMBER(C5),ISNUMBER(G5)), C5-G5, "")</f>
        <v>-42089.588695788501</v>
      </c>
      <c r="I5" s="52">
        <f t="shared" ref="I5:I6" si="3">IFERROR(H5/G5, "")</f>
        <v>-0.53344113827981998</v>
      </c>
      <c r="J5" s="71" t="s">
        <v>23</v>
      </c>
      <c r="K5" s="72" t="s">
        <v>24</v>
      </c>
    </row>
    <row r="6" spans="1:11" ht="28.5">
      <c r="A6" s="54" t="str">
        <v>Goshen A</v>
      </c>
      <c r="B6" s="44" t="str">
        <v>MA</v>
      </c>
      <c r="C6" s="45">
        <v>25506</v>
      </c>
      <c r="D6" s="45">
        <v>57487.3</v>
      </c>
      <c r="E6" s="45">
        <f t="shared" si="0"/>
        <v>-31981.300000000003</v>
      </c>
      <c r="F6" s="46">
        <f t="shared" si="1"/>
        <v>-0.55631939576219447</v>
      </c>
      <c r="G6" s="47">
        <v>45574.37</v>
      </c>
      <c r="H6" s="47">
        <f t="shared" si="2"/>
        <v>-20068.370000000003</v>
      </c>
      <c r="I6" s="46">
        <f t="shared" si="3"/>
        <v>-0.44034333332528791</v>
      </c>
      <c r="J6" s="69" t="s">
        <v>25</v>
      </c>
      <c r="K6" s="70" t="s">
        <v>26</v>
      </c>
    </row>
    <row r="7" spans="1:11" ht="15.75">
      <c r="A7" s="49" t="str">
        <v>Phillipston A KB</v>
      </c>
      <c r="B7" s="50" t="str">
        <v>MA</v>
      </c>
      <c r="C7" s="51">
        <v>28771</v>
      </c>
      <c r="D7" s="51">
        <v>81174.38</v>
      </c>
      <c r="E7" s="51">
        <f t="shared" si="0"/>
        <v>-52403.380000000005</v>
      </c>
      <c r="F7" s="52">
        <f t="shared" si="1"/>
        <v>-0.64556550970885151</v>
      </c>
      <c r="G7" s="53">
        <v>48828.99</v>
      </c>
      <c r="H7" s="53">
        <f t="shared" ref="H7:H15" si="4">IF(AND(ISNUMBER(C7),ISNUMBER(G7)), C7-G7, "")</f>
        <v>-20057.989999999998</v>
      </c>
      <c r="I7" s="52">
        <f t="shared" ref="I7:I15" si="5">IFERROR(H7/G7, "")</f>
        <v>-0.41078035814379937</v>
      </c>
      <c r="J7" s="71" t="s">
        <v>22</v>
      </c>
      <c r="K7" s="72" t="s">
        <v>22</v>
      </c>
    </row>
    <row r="8" spans="1:11" ht="15.75">
      <c r="A8" s="54" t="str">
        <v>Uxbridge D</v>
      </c>
      <c r="B8" s="44" t="str">
        <v>MA</v>
      </c>
      <c r="C8" s="45">
        <v>42944</v>
      </c>
      <c r="D8" s="45">
        <v>75174.5</v>
      </c>
      <c r="E8" s="45">
        <f t="shared" si="0"/>
        <v>-32230.5</v>
      </c>
      <c r="F8" s="46">
        <f t="shared" si="1"/>
        <v>-0.42874245921156773</v>
      </c>
      <c r="G8" s="47">
        <v>103260</v>
      </c>
      <c r="H8" s="47">
        <f t="shared" si="4"/>
        <v>-60316</v>
      </c>
      <c r="I8" s="46">
        <f t="shared" si="5"/>
        <v>-0.58411776099167156</v>
      </c>
      <c r="J8" s="69" t="s">
        <v>22</v>
      </c>
      <c r="K8" s="70" t="s">
        <v>22</v>
      </c>
    </row>
    <row r="9" spans="1:11" ht="15.75">
      <c r="A9" s="49" t="str">
        <v>West Bridgewater A&amp;B</v>
      </c>
      <c r="B9" s="50" t="str">
        <v>MA</v>
      </c>
      <c r="C9" s="51">
        <v>84322</v>
      </c>
      <c r="D9" s="51">
        <v>126671.7</v>
      </c>
      <c r="E9" s="51">
        <f t="shared" si="0"/>
        <v>-42349.7</v>
      </c>
      <c r="F9" s="52">
        <f t="shared" si="1"/>
        <v>-0.33432645176467984</v>
      </c>
      <c r="G9" s="53">
        <v>169067.9</v>
      </c>
      <c r="H9" s="53">
        <f t="shared" si="4"/>
        <v>-84745.9</v>
      </c>
      <c r="I9" s="52">
        <f t="shared" si="5"/>
        <v>-0.50125363833110836</v>
      </c>
      <c r="J9" s="71" t="s">
        <v>22</v>
      </c>
      <c r="K9" s="72" t="s">
        <v>22</v>
      </c>
    </row>
    <row r="10" spans="1:11" ht="15.75">
      <c r="A10" s="54" t="str">
        <v>Sutton A</v>
      </c>
      <c r="B10" s="44" t="str">
        <v>MA</v>
      </c>
      <c r="C10" s="45">
        <v>30226</v>
      </c>
      <c r="D10" s="45">
        <v>57946.25</v>
      </c>
      <c r="E10" s="45">
        <f t="shared" si="0"/>
        <v>-27720.25</v>
      </c>
      <c r="F10" s="46">
        <f t="shared" si="1"/>
        <v>-0.47837866988804278</v>
      </c>
      <c r="G10" s="47">
        <v>93432.82</v>
      </c>
      <c r="H10" s="47">
        <f t="shared" si="4"/>
        <v>-63206.820000000007</v>
      </c>
      <c r="I10" s="46">
        <f t="shared" si="5"/>
        <v>-0.67649483340008365</v>
      </c>
      <c r="J10" s="69" t="s">
        <v>22</v>
      </c>
      <c r="K10" s="70" t="s">
        <v>22</v>
      </c>
    </row>
    <row r="11" spans="1:11" ht="28.5">
      <c r="A11" s="49" t="str">
        <v>North Adams A</v>
      </c>
      <c r="B11" s="50" t="str">
        <v>MA</v>
      </c>
      <c r="C11" s="51">
        <v>33659</v>
      </c>
      <c r="D11" s="51">
        <v>55008.74</v>
      </c>
      <c r="E11" s="51">
        <f t="shared" si="0"/>
        <v>-21349.739999999998</v>
      </c>
      <c r="F11" s="52">
        <f t="shared" si="1"/>
        <v>-0.38811541584119175</v>
      </c>
      <c r="G11" s="53">
        <v>98462.86</v>
      </c>
      <c r="H11" s="53">
        <f t="shared" si="4"/>
        <v>-64803.86</v>
      </c>
      <c r="I11" s="52">
        <f t="shared" si="5"/>
        <v>-0.6581553694459007</v>
      </c>
      <c r="J11" s="71" t="s">
        <v>27</v>
      </c>
      <c r="K11" s="72" t="s">
        <v>28</v>
      </c>
    </row>
    <row r="12" spans="1:11" ht="15.75">
      <c r="A12" s="54" t="str">
        <v>North Adams B</v>
      </c>
      <c r="B12" s="44" t="str">
        <v>MA</v>
      </c>
      <c r="C12" s="45">
        <v>25714</v>
      </c>
      <c r="D12" s="45">
        <v>47004.33</v>
      </c>
      <c r="E12" s="45">
        <f t="shared" si="0"/>
        <v>-21290.33</v>
      </c>
      <c r="F12" s="46">
        <f t="shared" si="1"/>
        <v>-0.45294401600873796</v>
      </c>
      <c r="G12" s="47">
        <v>98462.86</v>
      </c>
      <c r="H12" s="47">
        <f t="shared" si="4"/>
        <v>-72748.86</v>
      </c>
      <c r="I12" s="46">
        <f t="shared" si="5"/>
        <v>-0.73884569268046851</v>
      </c>
      <c r="J12" s="69" t="s">
        <v>22</v>
      </c>
      <c r="K12" s="70" t="s">
        <v>22</v>
      </c>
    </row>
    <row r="13" spans="1:11" ht="15.75">
      <c r="A13" s="49" t="str">
        <v>Clarksburg A</v>
      </c>
      <c r="B13" s="50" t="str">
        <v>MA</v>
      </c>
      <c r="C13" s="51">
        <v>25169</v>
      </c>
      <c r="D13" s="51">
        <v>48116.73</v>
      </c>
      <c r="E13" s="51">
        <f t="shared" si="0"/>
        <v>-22947.730000000003</v>
      </c>
      <c r="F13" s="52">
        <f t="shared" si="1"/>
        <v>-0.47691790360650033</v>
      </c>
      <c r="G13" s="53">
        <v>98015.59</v>
      </c>
      <c r="H13" s="53">
        <f t="shared" si="4"/>
        <v>-72846.59</v>
      </c>
      <c r="I13" s="52">
        <f t="shared" si="5"/>
        <v>-0.74321431927308701</v>
      </c>
      <c r="J13" s="71" t="s">
        <v>22</v>
      </c>
      <c r="K13" s="72" t="s">
        <v>22</v>
      </c>
    </row>
    <row r="14" spans="1:11" ht="15.75">
      <c r="A14" s="54" t="str">
        <v>Swansea B</v>
      </c>
      <c r="B14" s="44" t="str">
        <v>MA</v>
      </c>
      <c r="C14" s="45">
        <v>54645</v>
      </c>
      <c r="D14" s="45">
        <v>81330.64</v>
      </c>
      <c r="E14" s="45">
        <f t="shared" si="0"/>
        <v>-26685.64</v>
      </c>
      <c r="F14" s="46">
        <f t="shared" si="1"/>
        <v>-0.32811299652873749</v>
      </c>
      <c r="G14" s="47">
        <v>50080.160000000003</v>
      </c>
      <c r="H14" s="47">
        <f t="shared" si="4"/>
        <v>4564.8399999999965</v>
      </c>
      <c r="I14" s="46">
        <f t="shared" si="5"/>
        <v>9.11506672502643E-2</v>
      </c>
      <c r="J14" s="69" t="s">
        <v>29</v>
      </c>
      <c r="K14" s="70" t="s">
        <v>30</v>
      </c>
    </row>
    <row r="15" spans="1:11" ht="15.75">
      <c r="A15" s="49" t="str">
        <v>Wareham 2</v>
      </c>
      <c r="B15" s="50" t="str">
        <v>MA</v>
      </c>
      <c r="C15" s="51">
        <v>59387.25</v>
      </c>
      <c r="D15" s="51">
        <v>65302.43</v>
      </c>
      <c r="E15" s="51">
        <f t="shared" si="0"/>
        <v>-5915.18</v>
      </c>
      <c r="F15" s="52">
        <f t="shared" si="1"/>
        <v>-9.0581315274178925E-2</v>
      </c>
      <c r="G15" s="53">
        <v>103231.1</v>
      </c>
      <c r="H15" s="53">
        <f t="shared" si="4"/>
        <v>-43843.850000000006</v>
      </c>
      <c r="I15" s="52">
        <f t="shared" si="5"/>
        <v>-0.42471551693239734</v>
      </c>
      <c r="J15" s="71" t="s">
        <v>22</v>
      </c>
      <c r="K15" s="72" t="s">
        <v>22</v>
      </c>
    </row>
    <row r="16" spans="1:11" ht="42.75">
      <c r="A16" s="54" t="str">
        <v>Kingston 1 KB</v>
      </c>
      <c r="B16" s="44" t="str">
        <v>MA</v>
      </c>
      <c r="C16" s="45">
        <v>46172</v>
      </c>
      <c r="D16" s="45">
        <v>64095.79</v>
      </c>
      <c r="E16" s="45">
        <f t="shared" ref="E16:E20" si="6">IF(AND(ISNUMBER(C16),ISNUMBER(D16)), C16-D16, "")</f>
        <v>-17923.79</v>
      </c>
      <c r="F16" s="46">
        <f t="shared" si="1"/>
        <v>-0.27964067530800385</v>
      </c>
      <c r="G16" s="47">
        <v>78554.16</v>
      </c>
      <c r="H16" s="47">
        <f t="shared" ref="H16:H17" si="7">IF(AND(ISNUMBER(C16),ISNUMBER(G16)), C16-G16, "")</f>
        <v>-32382.160000000003</v>
      </c>
      <c r="I16" s="46">
        <f t="shared" ref="I16:I17" si="8">IFERROR(H16/G16, "")</f>
        <v>-0.41222718185771451</v>
      </c>
      <c r="J16" s="69" t="s">
        <v>31</v>
      </c>
      <c r="K16" s="70" t="s">
        <v>32</v>
      </c>
    </row>
    <row r="17" spans="1:11" ht="42.75">
      <c r="A17" s="49" t="str">
        <v>Kingston 2 KB</v>
      </c>
      <c r="B17" s="55" t="str">
        <v>MA</v>
      </c>
      <c r="C17" s="51">
        <v>38326</v>
      </c>
      <c r="D17" s="51">
        <v>38638.25</v>
      </c>
      <c r="E17" s="51">
        <f t="shared" si="6"/>
        <v>-312.25</v>
      </c>
      <c r="F17" s="46">
        <f t="shared" si="1"/>
        <v>-8.0813701448693969E-3</v>
      </c>
      <c r="G17" s="53">
        <v>63052.82</v>
      </c>
      <c r="H17" s="53">
        <f t="shared" si="7"/>
        <v>-24726.82</v>
      </c>
      <c r="I17" s="46">
        <f t="shared" si="8"/>
        <v>-0.39216041407822838</v>
      </c>
      <c r="J17" s="71" t="s">
        <v>31</v>
      </c>
      <c r="K17" s="72" t="s">
        <v>33</v>
      </c>
    </row>
    <row r="18" spans="1:11" ht="15.75">
      <c r="A18" s="54" t="str">
        <v>Holliston B</v>
      </c>
      <c r="B18" s="56" t="str">
        <v>MA</v>
      </c>
      <c r="C18" s="45">
        <v>32229</v>
      </c>
      <c r="D18" s="45">
        <v>61034.62</v>
      </c>
      <c r="E18" s="45">
        <f t="shared" si="6"/>
        <v>-28805.620000000003</v>
      </c>
      <c r="F18" s="46">
        <f t="shared" si="1"/>
        <v>-0.47195542464260448</v>
      </c>
      <c r="G18" s="47">
        <v>98146.17</v>
      </c>
      <c r="H18" s="47">
        <f t="shared" ref="H18:H20" si="9">IF(AND(ISNUMBER(C18),ISNUMBER(G18)), C18-G18, "")</f>
        <v>-65917.17</v>
      </c>
      <c r="I18" s="46">
        <f t="shared" ref="I18:I20" si="10">IFERROR(H18/G18, "")</f>
        <v>-0.67162243824695345</v>
      </c>
      <c r="J18" s="69" t="s">
        <v>22</v>
      </c>
      <c r="K18" s="70" t="s">
        <v>22</v>
      </c>
    </row>
    <row r="19" spans="1:11" ht="42.75">
      <c r="A19" s="49" t="str">
        <v>Fairhaven C</v>
      </c>
      <c r="B19" s="55" t="str">
        <v>MA</v>
      </c>
      <c r="C19" s="51">
        <v>120080</v>
      </c>
      <c r="D19" s="51">
        <v>148303.4</v>
      </c>
      <c r="E19" s="51">
        <f t="shared" si="6"/>
        <v>-28223.399999999994</v>
      </c>
      <c r="F19" s="46">
        <f t="shared" si="1"/>
        <v>-0.19030851619045819</v>
      </c>
      <c r="G19" s="53">
        <v>176726.2</v>
      </c>
      <c r="H19" s="53">
        <f t="shared" si="9"/>
        <v>-56646.200000000012</v>
      </c>
      <c r="I19" s="46">
        <f t="shared" si="10"/>
        <v>-0.32053085507412032</v>
      </c>
      <c r="J19" s="71" t="s">
        <v>34</v>
      </c>
      <c r="K19" s="72" t="s">
        <v>35</v>
      </c>
    </row>
    <row r="20" spans="1:11" ht="15.75">
      <c r="A20" s="54" t="str">
        <v>Plympton A-2</v>
      </c>
      <c r="B20" s="56" t="str">
        <v>MA</v>
      </c>
      <c r="C20" s="45">
        <v>60641</v>
      </c>
      <c r="D20" s="45">
        <v>77649.14</v>
      </c>
      <c r="E20" s="45">
        <f t="shared" si="6"/>
        <v>-17008.14</v>
      </c>
      <c r="F20" s="46">
        <f t="shared" si="1"/>
        <v>-0.21903835638102365</v>
      </c>
      <c r="G20" s="47">
        <v>98644.24</v>
      </c>
      <c r="H20" s="47">
        <f t="shared" si="9"/>
        <v>-38003.240000000005</v>
      </c>
      <c r="I20" s="46">
        <f t="shared" si="10"/>
        <v>-0.38525554051610111</v>
      </c>
      <c r="J20" s="69" t="s">
        <v>36</v>
      </c>
      <c r="K20" s="70" t="s">
        <v>37</v>
      </c>
    </row>
    <row r="21" spans="1:11" ht="14.25">
      <c r="A21" s="14"/>
      <c r="B21" s="20"/>
      <c r="C21" s="30"/>
      <c r="D21" s="14"/>
      <c r="E21" s="14"/>
      <c r="F21" s="14"/>
      <c r="G21" s="14"/>
      <c r="H21" s="14"/>
      <c r="I21" s="14"/>
      <c r="J21" s="31"/>
      <c r="K21" s="14"/>
    </row>
    <row r="22" spans="1:11" ht="14.25">
      <c r="A22" s="14"/>
      <c r="B22" s="20"/>
      <c r="C22" s="14"/>
      <c r="D22" s="14"/>
      <c r="E22" s="14"/>
      <c r="F22" s="14"/>
      <c r="G22" s="14"/>
      <c r="H22" s="14"/>
      <c r="I22" s="14"/>
      <c r="J22" s="28"/>
      <c r="K22" s="14"/>
    </row>
    <row r="23" spans="1:11" ht="14.2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4.2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4.2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4.2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4.25">
      <c r="A27" s="14"/>
      <c r="B27" s="20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4.2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2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2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2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2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2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2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2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2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2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2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2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2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2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2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2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2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2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2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2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2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2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2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2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2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2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2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2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2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2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2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2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2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2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2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2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2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2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2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2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2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2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2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2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2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2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2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2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2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2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2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2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2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2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2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2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2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2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2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2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2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2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2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2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2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2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2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2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2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2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2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2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2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2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2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2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2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2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2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2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2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2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2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2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2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2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2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2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2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2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2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2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2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2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2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2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2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2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2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2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2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2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2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2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2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2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2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2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2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2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2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2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2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2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2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2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2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2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2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2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2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2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2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2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2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2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2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2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2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2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2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2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2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2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2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2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2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2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2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2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2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2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2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2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2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2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2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2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2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2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2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2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2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2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2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2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2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2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2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2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2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2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2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2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2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2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2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2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2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2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2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2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2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2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2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2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2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2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2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2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2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2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2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2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2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2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2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2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2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2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2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2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2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2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2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2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2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2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2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2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2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2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2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2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2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2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2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2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2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2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2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2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2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2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2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2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2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2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2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2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2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2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2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2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2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2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2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2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2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2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2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2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2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2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2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2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2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2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2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2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2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2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2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2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2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2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2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2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2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2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2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2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2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2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2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2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2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2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2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2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2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2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2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2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2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2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2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2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2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2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2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2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2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2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2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2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2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2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2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2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2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2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2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2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2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2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2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2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2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2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2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2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2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2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2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4.2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4.2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4.2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4.2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4.2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4.2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4.2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4.2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4.2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4.2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4.2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4.2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4.2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4.2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</sheetData>
  <mergeCells count="4">
    <mergeCell ref="D1:F1"/>
    <mergeCell ref="A1:C1"/>
    <mergeCell ref="G1:I1"/>
    <mergeCell ref="A2:B2"/>
  </mergeCells>
  <conditionalFormatting sqref="F2 I2 I4:I94">
    <cfRule type="cellIs" dxfId="28" priority="6" stopIfTrue="1" operator="lessThanOrEqual">
      <formula>-0.1</formula>
    </cfRule>
    <cfRule type="expression" dxfId="27" priority="7">
      <formula>AND(ISNUMBER(F2), F2&gt;=0.1)</formula>
    </cfRule>
  </conditionalFormatting>
  <conditionalFormatting sqref="F4:F94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7"/>
  <sheetViews>
    <sheetView zoomScale="90" zoomScaleNormal="90" workbookViewId="0">
      <pane xSplit="2" ySplit="3" topLeftCell="C4" activePane="bottomRight" state="frozen"/>
      <selection pane="bottomRight" activeCell="J5" sqref="J5"/>
      <selection pane="bottomLeft" activeCell="A4" sqref="A4:I20"/>
      <selection pane="topRight" activeCell="A4" sqref="A4:I20"/>
    </sheetView>
  </sheetViews>
  <sheetFormatPr defaultRowHeight="13.5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9" t="str" cm="1">
        <f t="array" ref="A1">portfolio</f>
        <v>MN8 KEF</v>
      </c>
      <c r="B1" s="79"/>
      <c r="C1" s="79"/>
      <c r="D1" s="80" t="s">
        <v>38</v>
      </c>
      <c r="E1" s="80"/>
      <c r="F1" s="80"/>
      <c r="G1" s="78" t="s">
        <v>39</v>
      </c>
      <c r="H1" s="78"/>
      <c r="I1" s="78"/>
      <c r="J1" s="4"/>
      <c r="K1" s="4"/>
    </row>
    <row r="2" spans="1:11" ht="19.5" customHeight="1">
      <c r="A2" s="81" t="s">
        <v>2</v>
      </c>
      <c r="B2" s="81"/>
      <c r="C2" s="5">
        <f>SUM(C4:C95)</f>
        <v>1996105.2104538491</v>
      </c>
      <c r="D2" s="5">
        <f>SUM(D4:D95)</f>
        <v>2188725.0799999996</v>
      </c>
      <c r="E2" s="5">
        <f>C2-D2</f>
        <v>-192619.86954615056</v>
      </c>
      <c r="F2" s="6">
        <f>IFERROR(E2/D2, 0)</f>
        <v>-8.8005511202051287E-2</v>
      </c>
      <c r="G2" s="5">
        <f>SUM(G4:G95)</f>
        <v>1959995.17</v>
      </c>
      <c r="H2" s="7">
        <f>C2-G2</f>
        <v>36110.040453849128</v>
      </c>
      <c r="I2" s="6">
        <f>IFERROR(H2/G2, 0)</f>
        <v>1.8423535428329207E-2</v>
      </c>
      <c r="J2" s="1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75">
      <c r="A4" s="43" t="str" cm="1">
        <f t="array" ref="A4:A20">Sites[Site]</f>
        <v>Williamsburg A</v>
      </c>
      <c r="B4" s="44" t="str" cm="1">
        <f t="array" ref="B4:B20">Sites[State]</f>
        <v>MA</v>
      </c>
      <c r="C4" s="57">
        <v>129427.323282445</v>
      </c>
      <c r="D4" s="45">
        <v>137302.39999999999</v>
      </c>
      <c r="E4" s="45">
        <f>IF(AND(ISNUMBER(C4),ISNUMBER(D4)), C4-D4, "")</f>
        <v>-7875.076717554999</v>
      </c>
      <c r="F4" s="58">
        <f>IFERROR(E4/D4, "")</f>
        <v>-5.7355710588853505E-2</v>
      </c>
      <c r="G4" s="47">
        <v>113866</v>
      </c>
      <c r="H4" s="47">
        <f>IF(AND(ISNUMBER(C4),ISNUMBER(G4)), C4-G4, "")</f>
        <v>15561.323282444995</v>
      </c>
      <c r="I4" s="46">
        <f>IFERROR(H4/G4, "")</f>
        <v>0.13666347533455989</v>
      </c>
      <c r="J4" s="60"/>
      <c r="K4" s="48"/>
    </row>
    <row r="5" spans="1:11" ht="32.450000000000003" customHeight="1">
      <c r="A5" s="49" t="str">
        <v>Orange A KB</v>
      </c>
      <c r="B5" s="50" t="str">
        <v>MA</v>
      </c>
      <c r="C5" s="59">
        <v>103151.887171404</v>
      </c>
      <c r="D5" s="51">
        <v>104286.39999999999</v>
      </c>
      <c r="E5" s="51">
        <f t="shared" ref="E5:E15" si="0">IF(AND(ISNUMBER(C5),ISNUMBER(D5)), C5-D5, "")</f>
        <v>-1134.5128285959945</v>
      </c>
      <c r="F5" s="52">
        <f>IFERROR(E5/D5, "")</f>
        <v>-1.0878818605263914E-2</v>
      </c>
      <c r="G5" s="53">
        <v>95699.56</v>
      </c>
      <c r="H5" s="53">
        <f t="shared" ref="H5:H15" si="1">IF(AND(ISNUMBER(C5),ISNUMBER(G5)), C5-G5, "")</f>
        <v>7452.327171404002</v>
      </c>
      <c r="I5" s="52">
        <f t="shared" ref="I5:I15" si="2">IFERROR(H5/G5, "")</f>
        <v>7.7872115309662884E-2</v>
      </c>
      <c r="J5" s="71" t="s">
        <v>40</v>
      </c>
      <c r="K5" s="72" t="s">
        <v>41</v>
      </c>
    </row>
    <row r="6" spans="1:11" ht="28.5">
      <c r="A6" s="54" t="str">
        <v>Goshen A</v>
      </c>
      <c r="B6" s="44" t="str">
        <v>MA</v>
      </c>
      <c r="C6" s="57">
        <v>115740</v>
      </c>
      <c r="D6" s="45">
        <v>124956.1</v>
      </c>
      <c r="E6" s="45">
        <f t="shared" si="0"/>
        <v>-9216.1000000000058</v>
      </c>
      <c r="F6" s="58">
        <f t="shared" ref="F6:F15" si="3">IFERROR(E6/D6, "")</f>
        <v>-7.3754702651571274E-2</v>
      </c>
      <c r="G6" s="47">
        <v>59464.02</v>
      </c>
      <c r="H6" s="47">
        <f t="shared" si="1"/>
        <v>56275.98</v>
      </c>
      <c r="I6" s="46">
        <f t="shared" si="2"/>
        <v>0.94638707574765391</v>
      </c>
      <c r="J6" s="69" t="s">
        <v>42</v>
      </c>
      <c r="K6" s="70" t="s">
        <v>43</v>
      </c>
    </row>
    <row r="7" spans="1:11" ht="15.75">
      <c r="A7" s="49" t="str">
        <v>Phillipston A KB</v>
      </c>
      <c r="B7" s="50" t="str">
        <v>MA</v>
      </c>
      <c r="C7" s="59">
        <v>119297</v>
      </c>
      <c r="D7" s="51">
        <v>156008.79999999999</v>
      </c>
      <c r="E7" s="51">
        <f t="shared" si="0"/>
        <v>-36711.799999999988</v>
      </c>
      <c r="F7" s="52">
        <f t="shared" si="3"/>
        <v>-0.23531877688950875</v>
      </c>
      <c r="G7" s="53">
        <v>69074.69</v>
      </c>
      <c r="H7" s="53">
        <f t="shared" si="1"/>
        <v>50222.31</v>
      </c>
      <c r="I7" s="52">
        <f t="shared" si="2"/>
        <v>0.72707253554087603</v>
      </c>
      <c r="J7" s="71"/>
      <c r="K7" s="68"/>
    </row>
    <row r="8" spans="1:11" ht="15.75">
      <c r="A8" s="54" t="str">
        <v>Uxbridge D</v>
      </c>
      <c r="B8" s="44" t="str">
        <v>MA</v>
      </c>
      <c r="C8" s="57">
        <v>130995</v>
      </c>
      <c r="D8" s="45">
        <v>137973</v>
      </c>
      <c r="E8" s="45">
        <f t="shared" si="0"/>
        <v>-6978</v>
      </c>
      <c r="F8" s="58">
        <f t="shared" si="3"/>
        <v>-5.057511252201518E-2</v>
      </c>
      <c r="G8" s="47">
        <v>125233.8</v>
      </c>
      <c r="H8" s="47">
        <f t="shared" si="1"/>
        <v>5761.1999999999971</v>
      </c>
      <c r="I8" s="46">
        <f t="shared" si="2"/>
        <v>4.600355495081996E-2</v>
      </c>
      <c r="J8" s="69"/>
      <c r="K8" s="70"/>
    </row>
    <row r="9" spans="1:11" ht="15.75">
      <c r="A9" s="49" t="str">
        <v>West Bridgewater A&amp;B</v>
      </c>
      <c r="B9" s="50" t="str">
        <v>MA</v>
      </c>
      <c r="C9" s="59">
        <v>191715</v>
      </c>
      <c r="D9" s="51">
        <v>209729.7</v>
      </c>
      <c r="E9" s="51">
        <f t="shared" si="0"/>
        <v>-18014.700000000012</v>
      </c>
      <c r="F9" s="52">
        <f t="shared" si="3"/>
        <v>-8.5894844650042462E-2</v>
      </c>
      <c r="G9" s="53">
        <v>203452.79999999999</v>
      </c>
      <c r="H9" s="53">
        <f t="shared" si="1"/>
        <v>-11737.799999999988</v>
      </c>
      <c r="I9" s="52">
        <f t="shared" si="2"/>
        <v>-5.7692988250837483E-2</v>
      </c>
      <c r="J9" s="71"/>
      <c r="K9" s="68"/>
    </row>
    <row r="10" spans="1:11" ht="15.75">
      <c r="A10" s="54" t="str">
        <v>Sutton A</v>
      </c>
      <c r="B10" s="44" t="str">
        <v>MA</v>
      </c>
      <c r="C10" s="57">
        <v>95646</v>
      </c>
      <c r="D10" s="45">
        <v>114772</v>
      </c>
      <c r="E10" s="45">
        <f t="shared" si="0"/>
        <v>-19126</v>
      </c>
      <c r="F10" s="58">
        <f t="shared" si="3"/>
        <v>-0.166643432196006</v>
      </c>
      <c r="G10" s="47">
        <v>115682.6</v>
      </c>
      <c r="H10" s="47">
        <f t="shared" si="1"/>
        <v>-20036.600000000006</v>
      </c>
      <c r="I10" s="46">
        <f t="shared" si="2"/>
        <v>-0.17320323021785475</v>
      </c>
      <c r="J10" s="69"/>
      <c r="K10" s="70"/>
    </row>
    <row r="11" spans="1:11" ht="28.5">
      <c r="A11" s="49" t="str">
        <v>North Adams A</v>
      </c>
      <c r="B11" s="50" t="str">
        <v>MA</v>
      </c>
      <c r="C11" s="59">
        <v>112525</v>
      </c>
      <c r="D11" s="51">
        <v>120744.9</v>
      </c>
      <c r="E11" s="51">
        <f t="shared" si="0"/>
        <v>-8219.8999999999942</v>
      </c>
      <c r="F11" s="52">
        <f t="shared" si="3"/>
        <v>-6.8076581288319379E-2</v>
      </c>
      <c r="G11" s="53">
        <v>119388.7</v>
      </c>
      <c r="H11" s="53">
        <f t="shared" si="1"/>
        <v>-6863.6999999999971</v>
      </c>
      <c r="I11" s="52">
        <f t="shared" si="2"/>
        <v>-5.7490365503602911E-2</v>
      </c>
      <c r="J11" s="71" t="s">
        <v>44</v>
      </c>
      <c r="K11" s="68" t="s">
        <v>28</v>
      </c>
    </row>
    <row r="12" spans="1:11" ht="15.75">
      <c r="A12" s="54" t="str">
        <v>North Adams B</v>
      </c>
      <c r="B12" s="44" t="str">
        <v>MA</v>
      </c>
      <c r="C12" s="57">
        <v>107095</v>
      </c>
      <c r="D12" s="45">
        <v>104225.4</v>
      </c>
      <c r="E12" s="45">
        <f t="shared" si="0"/>
        <v>2869.6000000000058</v>
      </c>
      <c r="F12" s="58">
        <f t="shared" si="3"/>
        <v>2.7532635998518653E-2</v>
      </c>
      <c r="G12" s="47">
        <v>119388.7</v>
      </c>
      <c r="H12" s="47">
        <f t="shared" si="1"/>
        <v>-12293.699999999997</v>
      </c>
      <c r="I12" s="46">
        <f t="shared" si="2"/>
        <v>-0.10297205681944771</v>
      </c>
      <c r="J12" s="69"/>
      <c r="K12" s="70"/>
    </row>
    <row r="13" spans="1:11" ht="15.75">
      <c r="A13" s="49" t="str">
        <v>Clarksburg A</v>
      </c>
      <c r="B13" s="50" t="str">
        <v>MA</v>
      </c>
      <c r="C13" s="59">
        <v>116505</v>
      </c>
      <c r="D13" s="51">
        <v>117091.1</v>
      </c>
      <c r="E13" s="51">
        <f t="shared" si="0"/>
        <v>-586.10000000000582</v>
      </c>
      <c r="F13" s="52">
        <f t="shared" si="3"/>
        <v>-5.0055042612120459E-3</v>
      </c>
      <c r="G13" s="53">
        <v>118846.2</v>
      </c>
      <c r="H13" s="53">
        <f t="shared" si="1"/>
        <v>-2341.1999999999971</v>
      </c>
      <c r="I13" s="52">
        <f t="shared" si="2"/>
        <v>-1.969940982547189E-2</v>
      </c>
      <c r="J13" s="71"/>
      <c r="K13" s="68"/>
    </row>
    <row r="14" spans="1:11" ht="15.75">
      <c r="A14" s="54" t="str">
        <v>Swansea B</v>
      </c>
      <c r="B14" s="44" t="str">
        <v>MA</v>
      </c>
      <c r="C14" s="57">
        <v>117946</v>
      </c>
      <c r="D14" s="45">
        <v>130137.5</v>
      </c>
      <c r="E14" s="45">
        <f t="shared" si="0"/>
        <v>-12191.5</v>
      </c>
      <c r="F14" s="58">
        <f t="shared" si="3"/>
        <v>-9.3681682835462493E-2</v>
      </c>
      <c r="G14" s="47">
        <v>66792.55</v>
      </c>
      <c r="H14" s="47">
        <f t="shared" si="1"/>
        <v>51153.45</v>
      </c>
      <c r="I14" s="46">
        <f t="shared" si="2"/>
        <v>0.76585562311964428</v>
      </c>
      <c r="J14" s="69"/>
      <c r="K14" s="70"/>
    </row>
    <row r="15" spans="1:11" ht="34.5" customHeight="1">
      <c r="A15" s="49" t="str">
        <v>Wareham 2</v>
      </c>
      <c r="B15" s="50" t="str">
        <v>MA</v>
      </c>
      <c r="C15" s="59">
        <v>88759</v>
      </c>
      <c r="D15" s="51">
        <v>98078.5</v>
      </c>
      <c r="E15" s="51">
        <f t="shared" si="0"/>
        <v>-9319.5</v>
      </c>
      <c r="F15" s="52">
        <f t="shared" si="3"/>
        <v>-9.5020825155360242E-2</v>
      </c>
      <c r="G15" s="53">
        <v>123998.2</v>
      </c>
      <c r="H15" s="53">
        <f t="shared" si="1"/>
        <v>-35239.199999999997</v>
      </c>
      <c r="I15" s="52">
        <f t="shared" si="2"/>
        <v>-0.28419122213064379</v>
      </c>
      <c r="J15" s="71" t="s">
        <v>45</v>
      </c>
      <c r="K15" s="68" t="s">
        <v>46</v>
      </c>
    </row>
    <row r="16" spans="1:11" ht="63" customHeight="1">
      <c r="A16" s="54" t="str">
        <v>Kingston 1 KB</v>
      </c>
      <c r="B16" s="44" t="str">
        <v>MA</v>
      </c>
      <c r="C16" s="57">
        <v>90493</v>
      </c>
      <c r="D16" s="45">
        <v>102655.2</v>
      </c>
      <c r="E16" s="45">
        <f t="shared" ref="E16:E20" si="4">IF(AND(ISNUMBER(C16),ISNUMBER(D16)), C16-D16, "")</f>
        <v>-12162.199999999997</v>
      </c>
      <c r="F16" s="58">
        <f t="shared" ref="F16:F20" si="5">IFERROR(E16/D16, "")</f>
        <v>-0.11847621942190943</v>
      </c>
      <c r="G16" s="47">
        <v>97249.23</v>
      </c>
      <c r="H16" s="47">
        <f t="shared" ref="H16:H20" si="6">IF(AND(ISNUMBER(C16),ISNUMBER(G16)), C16-G16, "")</f>
        <v>-6756.2299999999959</v>
      </c>
      <c r="I16" s="46">
        <f t="shared" ref="I16:I20" si="7">IFERROR(H16/G16, "")</f>
        <v>-6.9473352128340715E-2</v>
      </c>
      <c r="J16" s="69" t="s">
        <v>47</v>
      </c>
      <c r="K16" s="70" t="s">
        <v>48</v>
      </c>
    </row>
    <row r="17" spans="1:11" ht="15.75">
      <c r="A17" s="49" t="str">
        <v>Kingston 2 KB</v>
      </c>
      <c r="B17" s="50" t="str">
        <v>MA</v>
      </c>
      <c r="C17" s="59">
        <v>76899</v>
      </c>
      <c r="D17" s="51">
        <v>66380.179999999993</v>
      </c>
      <c r="E17" s="51">
        <f t="shared" si="4"/>
        <v>10518.820000000007</v>
      </c>
      <c r="F17" s="52">
        <f t="shared" si="5"/>
        <v>0.15846326418518311</v>
      </c>
      <c r="G17" s="53">
        <v>78058.62</v>
      </c>
      <c r="H17" s="53">
        <f t="shared" si="6"/>
        <v>-1159.6199999999953</v>
      </c>
      <c r="I17" s="52">
        <f t="shared" si="7"/>
        <v>-1.4855758403107759E-2</v>
      </c>
      <c r="J17" s="71" t="s">
        <v>49</v>
      </c>
      <c r="K17" s="72" t="s">
        <v>50</v>
      </c>
    </row>
    <row r="18" spans="1:11" ht="12.75" customHeight="1">
      <c r="A18" s="43" t="str">
        <v>Holliston B</v>
      </c>
      <c r="B18" s="44" t="str">
        <v>MA</v>
      </c>
      <c r="C18" s="57">
        <v>111207</v>
      </c>
      <c r="D18" s="45">
        <v>124683.7</v>
      </c>
      <c r="E18" s="45">
        <f t="shared" si="4"/>
        <v>-13476.699999999997</v>
      </c>
      <c r="F18" s="52">
        <f t="shared" si="5"/>
        <v>-0.10808710360696705</v>
      </c>
      <c r="G18" s="47">
        <v>121518</v>
      </c>
      <c r="H18" s="47">
        <f t="shared" si="6"/>
        <v>-10311</v>
      </c>
      <c r="I18" s="46">
        <f t="shared" si="7"/>
        <v>-8.4851626919468723E-2</v>
      </c>
      <c r="J18" s="69"/>
      <c r="K18" s="70"/>
    </row>
    <row r="19" spans="1:11" ht="15.75">
      <c r="A19" s="49" t="str">
        <v>Fairhaven C</v>
      </c>
      <c r="B19" s="50" t="str">
        <v>MA</v>
      </c>
      <c r="C19" s="59">
        <v>187036</v>
      </c>
      <c r="D19" s="51">
        <v>219891.7</v>
      </c>
      <c r="E19" s="51">
        <f t="shared" si="4"/>
        <v>-32855.700000000012</v>
      </c>
      <c r="F19" s="52">
        <f t="shared" si="5"/>
        <v>-0.14941764514076708</v>
      </c>
      <c r="G19" s="53">
        <v>212087.3</v>
      </c>
      <c r="H19" s="53">
        <f t="shared" si="6"/>
        <v>-25051.299999999988</v>
      </c>
      <c r="I19" s="52">
        <f t="shared" si="7"/>
        <v>-0.11811786938680435</v>
      </c>
      <c r="J19" s="71" t="s">
        <v>51</v>
      </c>
      <c r="K19" s="72" t="s">
        <v>52</v>
      </c>
    </row>
    <row r="20" spans="1:11" ht="15.75">
      <c r="A20" s="54" t="str">
        <v>Plympton A-2</v>
      </c>
      <c r="B20" s="44" t="str">
        <v>MA</v>
      </c>
      <c r="C20" s="57">
        <v>101668</v>
      </c>
      <c r="D20" s="45">
        <v>119808.5</v>
      </c>
      <c r="E20" s="45">
        <f t="shared" si="4"/>
        <v>-18140.5</v>
      </c>
      <c r="F20" s="52">
        <f t="shared" si="5"/>
        <v>-0.15141246238789402</v>
      </c>
      <c r="G20" s="47">
        <v>120194.2</v>
      </c>
      <c r="H20" s="47">
        <f t="shared" si="6"/>
        <v>-18526.199999999997</v>
      </c>
      <c r="I20" s="52">
        <f t="shared" si="7"/>
        <v>-0.15413555728978601</v>
      </c>
      <c r="J20" s="69"/>
      <c r="K20" s="70"/>
    </row>
    <row r="21" spans="1:11" ht="14.2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4.2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4.2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4.2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4.2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4.2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4.2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4.2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2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2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2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2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2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2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2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2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2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2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2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2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2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2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2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2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2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2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2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2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2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2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2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2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2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2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2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2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2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2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2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2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2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2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2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2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2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2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2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2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2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2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2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2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2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2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2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2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2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2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2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2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2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2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2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2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2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2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2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2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2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2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2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2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2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2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2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2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2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2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2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2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2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2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2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2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2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2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2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2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2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2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2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2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2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2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2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2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2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2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2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2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2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2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2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2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2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2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2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2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2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2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2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2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2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2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2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2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2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2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2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2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2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2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2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2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2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2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2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2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2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2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2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2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2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2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2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2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2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2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2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2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2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2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2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2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2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2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2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2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2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2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2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2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2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2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2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2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2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2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2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2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2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2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2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2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2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2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2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2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2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2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2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2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2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2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2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2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2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2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2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2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2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2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2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2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2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2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2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2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2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2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2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2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2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2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2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2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2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2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2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2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2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2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2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2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2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2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2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2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2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2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2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2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2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2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2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2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2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2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2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2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2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2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2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2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2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2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2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2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2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2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2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2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2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2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2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2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2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2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2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2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2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2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2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2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2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2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2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2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2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2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2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2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2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2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2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2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2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2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2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2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2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2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2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2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2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2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2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2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2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2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2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2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2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2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2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2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2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2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2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2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2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2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2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2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2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2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2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2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2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2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2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2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2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2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2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2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2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2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2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2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2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2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4.2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4.2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4.2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4.2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4.2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4.2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4.2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4.2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4.2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4.2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4.2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4.2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4.2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4.2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 ht="13.9">
      <c r="C337" s="14"/>
      <c r="D337" s="14"/>
      <c r="E337" s="14"/>
      <c r="F337" s="15"/>
      <c r="G337" s="14"/>
      <c r="H337" s="14"/>
      <c r="I337" s="15"/>
      <c r="J337" s="14"/>
      <c r="K337" s="14"/>
    </row>
  </sheetData>
  <mergeCells count="4">
    <mergeCell ref="G1:I1"/>
    <mergeCell ref="A1:C1"/>
    <mergeCell ref="D1:F1"/>
    <mergeCell ref="A2:B2"/>
  </mergeCells>
  <conditionalFormatting sqref="F2 I2 F4:F95 I4:I9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7"/>
  <sheetViews>
    <sheetView workbookViewId="0">
      <pane xSplit="2" ySplit="3" topLeftCell="C4" activePane="bottomRight" state="frozen"/>
      <selection pane="bottomRight" activeCell="J13" sqref="J13"/>
      <selection pane="bottomLeft" activeCell="A4" sqref="A4:I20"/>
      <selection pane="topRight" activeCell="A4" sqref="A4:I20"/>
    </sheetView>
  </sheetViews>
  <sheetFormatPr defaultRowHeight="13.5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9" t="str" cm="1">
        <f t="array" ref="A1">portfolio</f>
        <v>MN8 KEF</v>
      </c>
      <c r="B1" s="79"/>
      <c r="C1" s="79"/>
      <c r="D1" s="80" t="s">
        <v>53</v>
      </c>
      <c r="E1" s="80"/>
      <c r="F1" s="80"/>
      <c r="G1" s="78" t="s">
        <v>54</v>
      </c>
      <c r="H1" s="78"/>
      <c r="I1" s="78"/>
      <c r="J1" s="4"/>
      <c r="K1" s="4"/>
    </row>
    <row r="2" spans="1:11" ht="19.5" customHeight="1">
      <c r="A2" s="81" t="s">
        <v>2</v>
      </c>
      <c r="B2" s="81"/>
      <c r="C2" s="5">
        <f>SUM(C4:C95)</f>
        <v>2286213.3977280268</v>
      </c>
      <c r="D2" s="5">
        <f>SUM(D4:D95)</f>
        <v>2355311.84</v>
      </c>
      <c r="E2" s="5">
        <f>C2-D2</f>
        <v>-69098.442271973006</v>
      </c>
      <c r="F2" s="6">
        <f>IFERROR(E2/D2, 0)</f>
        <v>-2.9337279717480218E-2</v>
      </c>
      <c r="G2" s="5">
        <f>SUM(G4:G95)</f>
        <v>2573917.2999999998</v>
      </c>
      <c r="H2" s="7">
        <f>C2-G2</f>
        <v>-287703.90227197297</v>
      </c>
      <c r="I2" s="6">
        <f>IFERROR(H2/G2, 0)</f>
        <v>-0.1117766690763425</v>
      </c>
      <c r="J2" s="1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75">
      <c r="A4" s="65" t="str" cm="1">
        <f t="array" ref="A4:A20">Sites[Site]</f>
        <v>Williamsburg A</v>
      </c>
      <c r="B4" s="44" t="str" cm="1">
        <f t="array" ref="B4:B20">Sites[State]</f>
        <v>MA</v>
      </c>
      <c r="C4" s="57">
        <v>135110.03053435101</v>
      </c>
      <c r="D4" s="45">
        <v>142317.5</v>
      </c>
      <c r="E4" s="45">
        <f>IF(AND(ISNUMBER(C4),ISNUMBER(D4)), C4-D4, "")</f>
        <v>-7207.4694656489883</v>
      </c>
      <c r="F4" s="58">
        <f>IFERROR(E4/D4, "")</f>
        <v>-5.0643592429947044E-2</v>
      </c>
      <c r="G4" s="47">
        <v>148092.70000000001</v>
      </c>
      <c r="H4" s="47">
        <f>IF(AND(ISNUMBER(C4),ISNUMBER(G4)), C4-G4, "")</f>
        <v>-12982.669465649</v>
      </c>
      <c r="I4" s="46">
        <f>IFERROR(H4/G4, "")</f>
        <v>-8.7665830021662103E-2</v>
      </c>
      <c r="J4" s="27"/>
      <c r="K4" s="27"/>
    </row>
    <row r="5" spans="1:11" ht="15.75">
      <c r="A5" s="55" t="str">
        <v>Orange A KB</v>
      </c>
      <c r="B5" s="50" t="str">
        <v>MA</v>
      </c>
      <c r="C5" s="59">
        <v>107315.3671936756</v>
      </c>
      <c r="D5" s="51">
        <v>104368.1</v>
      </c>
      <c r="E5" s="51">
        <f t="shared" ref="E5:E20" si="0">IF(AND(ISNUMBER(C5),ISNUMBER(D5)), C5-D5, "")</f>
        <v>2947.2671936755942</v>
      </c>
      <c r="F5" s="52">
        <f>IFERROR(E5/D5, "")</f>
        <v>2.8239157306452777E-2</v>
      </c>
      <c r="G5" s="53">
        <v>123550.3</v>
      </c>
      <c r="H5" s="53">
        <f t="shared" ref="H5:H20" si="1">IF(AND(ISNUMBER(C5),ISNUMBER(G5)), C5-G5, "")</f>
        <v>-16234.932806324403</v>
      </c>
      <c r="I5" s="52">
        <f t="shared" ref="I5:I20" si="2">IFERROR(H5/G5, "")</f>
        <v>-0.13140342683364106</v>
      </c>
      <c r="J5" s="28"/>
      <c r="K5" s="28"/>
    </row>
    <row r="6" spans="1:11" ht="28.5">
      <c r="A6" s="56" t="str">
        <v>Goshen A</v>
      </c>
      <c r="B6" s="44" t="str">
        <v>MA</v>
      </c>
      <c r="C6" s="57">
        <v>120599</v>
      </c>
      <c r="D6" s="45">
        <v>126112.1</v>
      </c>
      <c r="E6" s="45">
        <f t="shared" si="0"/>
        <v>-5513.1000000000058</v>
      </c>
      <c r="F6" s="58">
        <f t="shared" ref="F6:F20" si="3">IFERROR(E6/D6, "")</f>
        <v>-4.3715868659708348E-2</v>
      </c>
      <c r="G6" s="47">
        <v>86049.77</v>
      </c>
      <c r="H6" s="47">
        <f t="shared" si="1"/>
        <v>34549.229999999996</v>
      </c>
      <c r="I6" s="46">
        <f t="shared" si="2"/>
        <v>0.40150287444115185</v>
      </c>
      <c r="J6" s="27" t="s">
        <v>55</v>
      </c>
      <c r="K6" s="27" t="s">
        <v>56</v>
      </c>
    </row>
    <row r="7" spans="1:11" ht="15.75">
      <c r="A7" s="55" t="str">
        <v>Phillipston A KB</v>
      </c>
      <c r="B7" s="50" t="str">
        <v>MA</v>
      </c>
      <c r="C7" s="59">
        <v>134199</v>
      </c>
      <c r="D7" s="51">
        <v>158262</v>
      </c>
      <c r="E7" s="51">
        <f>IF(AND(ISNUMBER(C7),ISNUMBER(D7)), C7-D7, "")</f>
        <v>-24063</v>
      </c>
      <c r="F7" s="52">
        <f>IFERROR(E7/D7, "")</f>
        <v>-0.15204534253326762</v>
      </c>
      <c r="G7" s="53">
        <v>100406</v>
      </c>
      <c r="H7" s="53">
        <f t="shared" si="1"/>
        <v>33793</v>
      </c>
      <c r="I7" s="52">
        <f t="shared" si="2"/>
        <v>0.33656355197896543</v>
      </c>
      <c r="J7" s="28" t="s">
        <v>57</v>
      </c>
      <c r="K7" s="29" t="s">
        <v>58</v>
      </c>
    </row>
    <row r="8" spans="1:11" ht="15.75">
      <c r="A8" s="56" t="str">
        <v>Uxbridge D</v>
      </c>
      <c r="B8" s="44" t="str">
        <v>MA</v>
      </c>
      <c r="C8" s="57">
        <v>138288</v>
      </c>
      <c r="D8" s="45">
        <v>143309.9</v>
      </c>
      <c r="E8" s="45">
        <f>IF(AND(ISNUMBER(C8),ISNUMBER(D8)), C8-D8, "")</f>
        <v>-5021.8999999999942</v>
      </c>
      <c r="F8" s="58">
        <f>IFERROR(E8/D8, "")</f>
        <v>-3.5042240626781504E-2</v>
      </c>
      <c r="G8" s="47">
        <v>161683.6</v>
      </c>
      <c r="H8" s="47">
        <f t="shared" si="1"/>
        <v>-23395.600000000006</v>
      </c>
      <c r="I8" s="46">
        <f t="shared" si="2"/>
        <v>-0.14469989535116737</v>
      </c>
      <c r="J8" s="27"/>
      <c r="K8" s="27"/>
    </row>
    <row r="9" spans="1:11" ht="15.75">
      <c r="A9" s="55" t="str">
        <v>West Bridgewater A&amp;B</v>
      </c>
      <c r="B9" s="50" t="str">
        <v>MA</v>
      </c>
      <c r="C9" s="59">
        <v>217285</v>
      </c>
      <c r="D9" s="51">
        <v>229620.8</v>
      </c>
      <c r="E9" s="51">
        <f t="shared" si="0"/>
        <v>-12335.799999999988</v>
      </c>
      <c r="F9" s="52">
        <f t="shared" si="3"/>
        <v>-5.3722485071038814E-2</v>
      </c>
      <c r="G9" s="53">
        <v>266918.5</v>
      </c>
      <c r="H9" s="53">
        <f t="shared" si="1"/>
        <v>-49633.5</v>
      </c>
      <c r="I9" s="52">
        <f t="shared" si="2"/>
        <v>-0.18595001845132503</v>
      </c>
      <c r="J9" s="28"/>
      <c r="K9" s="29"/>
    </row>
    <row r="10" spans="1:11" ht="15.75">
      <c r="A10" s="56" t="str">
        <v>Sutton A</v>
      </c>
      <c r="B10" s="44" t="str">
        <v>MA</v>
      </c>
      <c r="C10" s="57">
        <v>125601</v>
      </c>
      <c r="D10" s="45">
        <v>129677.7</v>
      </c>
      <c r="E10" s="45">
        <f t="shared" si="0"/>
        <v>-4076.6999999999971</v>
      </c>
      <c r="F10" s="58">
        <f t="shared" si="3"/>
        <v>-3.1437170770302045E-2</v>
      </c>
      <c r="G10" s="47">
        <v>152217.9</v>
      </c>
      <c r="H10" s="47">
        <f t="shared" si="1"/>
        <v>-26616.899999999994</v>
      </c>
      <c r="I10" s="46">
        <f t="shared" si="2"/>
        <v>-0.1748605124627261</v>
      </c>
      <c r="J10" s="27"/>
      <c r="K10" s="27"/>
    </row>
    <row r="11" spans="1:11" ht="28.5">
      <c r="A11" s="55" t="str">
        <v>North Adams A</v>
      </c>
      <c r="B11" s="50" t="str">
        <v>MA</v>
      </c>
      <c r="C11" s="59">
        <v>112601</v>
      </c>
      <c r="D11" s="51">
        <v>118763.1</v>
      </c>
      <c r="E11" s="51">
        <f t="shared" si="0"/>
        <v>-6162.1000000000058</v>
      </c>
      <c r="F11" s="52">
        <f t="shared" si="3"/>
        <v>-5.1885644615204604E-2</v>
      </c>
      <c r="G11" s="53">
        <v>145854.29999999999</v>
      </c>
      <c r="H11" s="53">
        <f t="shared" si="1"/>
        <v>-33253.299999999988</v>
      </c>
      <c r="I11" s="52">
        <f t="shared" si="2"/>
        <v>-0.22798985014497339</v>
      </c>
      <c r="J11" s="73" t="s">
        <v>59</v>
      </c>
      <c r="K11" s="74" t="s">
        <v>28</v>
      </c>
    </row>
    <row r="12" spans="1:11" ht="15.75">
      <c r="A12" s="56" t="str">
        <v>North Adams B</v>
      </c>
      <c r="B12" s="44" t="str">
        <v>MA</v>
      </c>
      <c r="C12" s="57">
        <v>108271</v>
      </c>
      <c r="D12" s="45">
        <v>103121.8</v>
      </c>
      <c r="E12" s="45">
        <f t="shared" si="0"/>
        <v>5149.1999999999971</v>
      </c>
      <c r="F12" s="58">
        <f t="shared" si="3"/>
        <v>4.9933185805523146E-2</v>
      </c>
      <c r="G12" s="47">
        <v>145854.29999999999</v>
      </c>
      <c r="H12" s="47">
        <f t="shared" si="1"/>
        <v>-37583.299999999988</v>
      </c>
      <c r="I12" s="46">
        <f t="shared" si="2"/>
        <v>-0.25767701055094017</v>
      </c>
      <c r="J12" s="27"/>
      <c r="K12" s="27"/>
    </row>
    <row r="13" spans="1:11" ht="15.75">
      <c r="A13" s="55" t="str">
        <v>Clarksburg A</v>
      </c>
      <c r="B13" s="50" t="str">
        <v>MA</v>
      </c>
      <c r="C13" s="59">
        <v>111902</v>
      </c>
      <c r="D13" s="51">
        <v>115432.6</v>
      </c>
      <c r="E13" s="51">
        <f t="shared" si="0"/>
        <v>-3530.6000000000058</v>
      </c>
      <c r="F13" s="52">
        <f t="shared" si="3"/>
        <v>-3.0585813712937296E-2</v>
      </c>
      <c r="G13" s="53">
        <v>145191.20000000001</v>
      </c>
      <c r="H13" s="53">
        <f t="shared" si="1"/>
        <v>-33289.200000000012</v>
      </c>
      <c r="I13" s="52">
        <f t="shared" si="2"/>
        <v>-0.2292783584680064</v>
      </c>
      <c r="J13" s="28"/>
      <c r="K13" s="29"/>
    </row>
    <row r="14" spans="1:11" ht="15.75">
      <c r="A14" s="56" t="str">
        <v>Swansea B</v>
      </c>
      <c r="B14" s="44" t="str">
        <v>MA</v>
      </c>
      <c r="C14" s="57">
        <v>146083</v>
      </c>
      <c r="D14" s="45">
        <v>149943.20000000001</v>
      </c>
      <c r="E14" s="45">
        <f t="shared" si="0"/>
        <v>-3860.2000000000116</v>
      </c>
      <c r="F14" s="58">
        <f t="shared" si="3"/>
        <v>-2.5744415218562838E-2</v>
      </c>
      <c r="G14" s="47">
        <v>102081.60000000001</v>
      </c>
      <c r="H14" s="47">
        <f t="shared" si="1"/>
        <v>44001.399999999994</v>
      </c>
      <c r="I14" s="46">
        <f t="shared" si="2"/>
        <v>0.43104144135671846</v>
      </c>
      <c r="J14" s="27"/>
      <c r="K14" s="27"/>
    </row>
    <row r="15" spans="1:11" ht="15.75">
      <c r="A15" s="55" t="str">
        <v>Wareham 2</v>
      </c>
      <c r="B15" s="50" t="str">
        <v>MA</v>
      </c>
      <c r="C15" s="59">
        <v>123608</v>
      </c>
      <c r="D15" s="51">
        <v>123630.8</v>
      </c>
      <c r="E15" s="51">
        <f t="shared" si="0"/>
        <v>-22.80000000000291</v>
      </c>
      <c r="F15" s="52">
        <f t="shared" si="3"/>
        <v>-1.8442006360876829E-4</v>
      </c>
      <c r="G15" s="53">
        <v>168325.4</v>
      </c>
      <c r="H15" s="53">
        <f t="shared" si="1"/>
        <v>-44717.399999999994</v>
      </c>
      <c r="I15" s="52">
        <f t="shared" si="2"/>
        <v>-0.26566044102672559</v>
      </c>
      <c r="J15" s="28"/>
      <c r="K15" s="29"/>
    </row>
    <row r="16" spans="1:11" ht="15.75">
      <c r="A16" s="56" t="str">
        <v>Kingston 1 KB</v>
      </c>
      <c r="B16" s="44" t="str">
        <v>MA</v>
      </c>
      <c r="C16" s="57">
        <v>109697</v>
      </c>
      <c r="D16" s="45">
        <v>113352.4</v>
      </c>
      <c r="E16" s="45">
        <f t="shared" si="0"/>
        <v>-3655.3999999999942</v>
      </c>
      <c r="F16" s="58">
        <f t="shared" si="3"/>
        <v>-3.2248104142479507E-2</v>
      </c>
      <c r="G16" s="47">
        <v>121507.6</v>
      </c>
      <c r="H16" s="47">
        <f t="shared" si="1"/>
        <v>-11810.600000000006</v>
      </c>
      <c r="I16" s="46">
        <f t="shared" si="2"/>
        <v>-9.7200504330593351E-2</v>
      </c>
      <c r="J16" s="27"/>
      <c r="K16" s="27"/>
    </row>
    <row r="17" spans="1:11" ht="15.75">
      <c r="A17" s="55" t="str">
        <v>Kingston 2 KB</v>
      </c>
      <c r="B17" s="50" t="str">
        <v>MA</v>
      </c>
      <c r="C17" s="59">
        <v>89967</v>
      </c>
      <c r="D17" s="51">
        <v>75090.14</v>
      </c>
      <c r="E17" s="51">
        <f t="shared" si="0"/>
        <v>14876.86</v>
      </c>
      <c r="F17" s="52">
        <f t="shared" si="3"/>
        <v>0.19812001948591387</v>
      </c>
      <c r="G17" s="53">
        <v>97530.33</v>
      </c>
      <c r="H17" s="53">
        <f t="shared" si="1"/>
        <v>-7563.3300000000017</v>
      </c>
      <c r="I17" s="52">
        <f t="shared" si="2"/>
        <v>-7.7548491838385067E-2</v>
      </c>
      <c r="J17" s="28"/>
      <c r="K17" s="29"/>
    </row>
    <row r="18" spans="1:11" ht="15.75">
      <c r="A18" s="65" t="str">
        <v>Holliston B</v>
      </c>
      <c r="B18" s="44" t="str">
        <v>MA</v>
      </c>
      <c r="C18" s="57">
        <v>138307</v>
      </c>
      <c r="D18" s="45">
        <v>138459.5</v>
      </c>
      <c r="E18" s="45">
        <f t="shared" si="0"/>
        <v>-152.5</v>
      </c>
      <c r="F18" s="58">
        <f t="shared" si="3"/>
        <v>-1.101405104019587E-3</v>
      </c>
      <c r="G18" s="47">
        <v>159875.6</v>
      </c>
      <c r="H18" s="47">
        <f t="shared" si="1"/>
        <v>-21568.600000000006</v>
      </c>
      <c r="I18" s="46">
        <f t="shared" si="2"/>
        <v>-0.13490864146874199</v>
      </c>
      <c r="J18" s="27"/>
      <c r="K18" s="27"/>
    </row>
    <row r="19" spans="1:11" ht="15.75">
      <c r="A19" s="55" t="str">
        <v>Fairhaven C</v>
      </c>
      <c r="B19" s="50" t="str">
        <v>MA</v>
      </c>
      <c r="C19" s="59">
        <v>235520</v>
      </c>
      <c r="D19" s="51">
        <v>250903.4</v>
      </c>
      <c r="E19" s="51">
        <f t="shared" si="0"/>
        <v>-15383.399999999994</v>
      </c>
      <c r="F19" s="52">
        <f t="shared" si="3"/>
        <v>-6.13120428021302E-2</v>
      </c>
      <c r="G19" s="53">
        <v>289415.40000000002</v>
      </c>
      <c r="H19" s="53">
        <f t="shared" si="1"/>
        <v>-53895.400000000023</v>
      </c>
      <c r="I19" s="52">
        <f t="shared" si="2"/>
        <v>-0.18622160396440554</v>
      </c>
      <c r="J19" s="28"/>
      <c r="K19" s="28"/>
    </row>
    <row r="20" spans="1:11" ht="15.75">
      <c r="A20" s="56" t="str">
        <v>Plympton A-2</v>
      </c>
      <c r="B20" s="44" t="str">
        <v>MA</v>
      </c>
      <c r="C20" s="57">
        <v>131860</v>
      </c>
      <c r="D20" s="45">
        <v>132946.79999999999</v>
      </c>
      <c r="E20" s="45">
        <f t="shared" si="0"/>
        <v>-1086.7999999999884</v>
      </c>
      <c r="F20" s="58">
        <f t="shared" si="3"/>
        <v>-8.174698450808808E-3</v>
      </c>
      <c r="G20" s="47">
        <v>159362.79999999999</v>
      </c>
      <c r="H20" s="47">
        <f t="shared" si="1"/>
        <v>-27502.799999999988</v>
      </c>
      <c r="I20" s="46">
        <f t="shared" si="2"/>
        <v>-0.17257979904971543</v>
      </c>
      <c r="J20" s="27"/>
      <c r="K20" s="27"/>
    </row>
    <row r="21" spans="1:11" ht="14.2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4.2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4.2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4.2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4.2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4.2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4.2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4.2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2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2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2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2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2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2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2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2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2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2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2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2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2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2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2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2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2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2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2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2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2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2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2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2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2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2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2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2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2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2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2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2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2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2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2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2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2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2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2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2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2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2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2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2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2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2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2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2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2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2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2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2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2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2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2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2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2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2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2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2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2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2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2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2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2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2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2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2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2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2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2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2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2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2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2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2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2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2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2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2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2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2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2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2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2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2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2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2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2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2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2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2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2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2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2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2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2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2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2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2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2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2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2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2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2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2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2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2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2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2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2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2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2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2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2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2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2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2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2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2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2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2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2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2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2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2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2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2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2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2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2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2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2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2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2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2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2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2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2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2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2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2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2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2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2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2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2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2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2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2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2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2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2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2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2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2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2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2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2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2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2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2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2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2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2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2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2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2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2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2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2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2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2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2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2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2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2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2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2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2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2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2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2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2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2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2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2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2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2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2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2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2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2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2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2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2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2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2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2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2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2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2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2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2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2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2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2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2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2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2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2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2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2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2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2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2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2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2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2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2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2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2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2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2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2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2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2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2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2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2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2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2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2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2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2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2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2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2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2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2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2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2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2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2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2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2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2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2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2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2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2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2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2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2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2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2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2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2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2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2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2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2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2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2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2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2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2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2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2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2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2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2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2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2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2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2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2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2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2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2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2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2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2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2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2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2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2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2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2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2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2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2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2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2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4.2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4.2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4.2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4.2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4.2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4.2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4.2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4.2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4.2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4.2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4.2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4.2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4.2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4.2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 ht="13.9">
      <c r="C337" s="14"/>
      <c r="D337" s="14"/>
      <c r="E337" s="14"/>
      <c r="F337" s="15"/>
      <c r="G337" s="14"/>
      <c r="H337" s="14"/>
      <c r="I337" s="15"/>
      <c r="J337" s="14"/>
      <c r="K337" s="14"/>
    </row>
  </sheetData>
  <mergeCells count="4">
    <mergeCell ref="G1:I1"/>
    <mergeCell ref="A1:C1"/>
    <mergeCell ref="D1:F1"/>
    <mergeCell ref="A2:B2"/>
  </mergeCells>
  <conditionalFormatting sqref="F2 I2 F4:F95 I4:I95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7"/>
  <sheetViews>
    <sheetView zoomScale="90" zoomScaleNormal="90" workbookViewId="0">
      <pane xSplit="2" ySplit="3" topLeftCell="D4" activePane="bottomRight" state="frozen"/>
      <selection pane="bottomRight" activeCell="J27" sqref="J27"/>
      <selection pane="bottomLeft" activeCell="A4" sqref="A4:I20"/>
      <selection pane="topRight" activeCell="A4" sqref="A4:I20"/>
    </sheetView>
  </sheetViews>
  <sheetFormatPr defaultRowHeight="13.5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9" t="str" cm="1">
        <f t="array" ref="A1">portfolio</f>
        <v>MN8 KEF</v>
      </c>
      <c r="B1" s="79"/>
      <c r="C1" s="79"/>
      <c r="D1" s="80" t="s">
        <v>60</v>
      </c>
      <c r="E1" s="80"/>
      <c r="F1" s="80"/>
      <c r="G1" s="78" t="s">
        <v>61</v>
      </c>
      <c r="H1" s="78"/>
      <c r="I1" s="78"/>
      <c r="J1" s="4"/>
      <c r="K1" s="4"/>
    </row>
    <row r="2" spans="1:11" ht="19.5" customHeight="1">
      <c r="A2" s="81" t="s">
        <v>2</v>
      </c>
      <c r="B2" s="81"/>
      <c r="C2" s="5">
        <f>SUM(C4:C95)</f>
        <v>2539049.042797457</v>
      </c>
      <c r="D2" s="5">
        <f>SUM(D4:D95)</f>
        <v>2586916.5900000003</v>
      </c>
      <c r="E2" s="5">
        <f>C2-D2</f>
        <v>-47867.547202543356</v>
      </c>
      <c r="F2" s="6">
        <f>IFERROR(E2/D2, 0)</f>
        <v>-1.8503707227198751E-2</v>
      </c>
      <c r="G2" s="5">
        <f>SUM(G4:G95)</f>
        <v>2858064.4000000004</v>
      </c>
      <c r="H2" s="7">
        <f>C2-G2</f>
        <v>-319015.35720254341</v>
      </c>
      <c r="I2" s="6">
        <f>IFERROR(H2/G2, 0)</f>
        <v>-0.11161937330822334</v>
      </c>
      <c r="J2" s="1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75">
      <c r="A4" s="65" t="str" cm="1">
        <f t="array" ref="A4:A20">Sites[Site]</f>
        <v>Williamsburg A</v>
      </c>
      <c r="B4" s="44" t="str" cm="1">
        <f t="array" ref="B4:B20">Sites[State]</f>
        <v>MA</v>
      </c>
      <c r="C4" s="57">
        <v>143258.007224334</v>
      </c>
      <c r="D4" s="45">
        <v>148127.5</v>
      </c>
      <c r="E4" s="45">
        <f>IF(AND(ISNUMBER(C4),ISNUMBER(D4)), C4-D4, "")</f>
        <v>-4869.4927756660036</v>
      </c>
      <c r="F4" s="58">
        <f>IFERROR(E4/D4, "")</f>
        <v>-3.287365800182953E-2</v>
      </c>
      <c r="G4" s="47">
        <v>168203.5</v>
      </c>
      <c r="H4" s="47">
        <f>IF(AND(ISNUMBER(C4),ISNUMBER(G4)), C4-G4, "")</f>
        <v>-24945.492775666004</v>
      </c>
      <c r="I4" s="46">
        <f>IFERROR(H4/G4, "")</f>
        <v>-0.148305432263098</v>
      </c>
      <c r="J4" s="27" t="s">
        <v>62</v>
      </c>
      <c r="K4" s="27" t="s">
        <v>63</v>
      </c>
    </row>
    <row r="5" spans="1:11" ht="15.75">
      <c r="A5" s="55" t="str">
        <v>Orange A KB</v>
      </c>
      <c r="B5" s="50" t="str">
        <v>MA</v>
      </c>
      <c r="C5" s="59">
        <v>115631.335573123</v>
      </c>
      <c r="D5" s="51">
        <v>109834.3</v>
      </c>
      <c r="E5" s="51">
        <f t="shared" ref="E5:E20" si="0">IF(AND(ISNUMBER(C5),ISNUMBER(D5)), C5-D5, "")</f>
        <v>5797.0355731229938</v>
      </c>
      <c r="F5" s="52">
        <f>IFERROR(E5/D5, "")</f>
        <v>5.277982900717712E-2</v>
      </c>
      <c r="G5" s="53">
        <v>126717.1</v>
      </c>
      <c r="H5" s="53">
        <f t="shared" ref="H5:H20" si="1">IF(AND(ISNUMBER(C5),ISNUMBER(G5)), C5-G5, "")</f>
        <v>-11085.764426877009</v>
      </c>
      <c r="I5" s="52">
        <f t="shared" ref="I5:I20" si="2">IFERROR(H5/G5, "")</f>
        <v>-8.74843602550643E-2</v>
      </c>
      <c r="J5" s="28" t="s">
        <v>64</v>
      </c>
      <c r="K5" s="28" t="s">
        <v>65</v>
      </c>
    </row>
    <row r="6" spans="1:11" ht="15.75">
      <c r="A6" s="56" t="str">
        <v>Goshen A</v>
      </c>
      <c r="B6" s="44" t="str">
        <v>MA</v>
      </c>
      <c r="C6" s="57">
        <v>129214</v>
      </c>
      <c r="D6" s="45">
        <v>130471</v>
      </c>
      <c r="E6" s="45">
        <f t="shared" si="0"/>
        <v>-1257</v>
      </c>
      <c r="F6" s="58">
        <f t="shared" ref="F6:F20" si="3">IFERROR(E6/D6, "")</f>
        <v>-9.6343248691280053E-3</v>
      </c>
      <c r="G6" s="47">
        <v>106261</v>
      </c>
      <c r="H6" s="47">
        <f t="shared" si="1"/>
        <v>22953</v>
      </c>
      <c r="I6" s="46">
        <f t="shared" si="2"/>
        <v>0.21600587233321727</v>
      </c>
      <c r="J6" s="27" t="s">
        <v>66</v>
      </c>
      <c r="K6" s="27" t="s">
        <v>67</v>
      </c>
    </row>
    <row r="7" spans="1:11" ht="15.75">
      <c r="A7" s="55" t="str">
        <v>Phillipston A KB</v>
      </c>
      <c r="B7" s="50" t="str">
        <v>MA</v>
      </c>
      <c r="C7" s="59">
        <v>142454</v>
      </c>
      <c r="D7" s="51">
        <v>156407.6</v>
      </c>
      <c r="E7" s="51">
        <f t="shared" si="0"/>
        <v>-13953.600000000006</v>
      </c>
      <c r="F7" s="52">
        <f t="shared" si="3"/>
        <v>-8.9213056143051903E-2</v>
      </c>
      <c r="G7" s="53">
        <v>115136.8</v>
      </c>
      <c r="H7" s="53">
        <f t="shared" si="1"/>
        <v>27317.199999999997</v>
      </c>
      <c r="I7" s="52">
        <f t="shared" si="2"/>
        <v>0.23725863494556038</v>
      </c>
      <c r="J7" s="28" t="s">
        <v>68</v>
      </c>
      <c r="K7" s="29" t="s">
        <v>69</v>
      </c>
    </row>
    <row r="8" spans="1:11" ht="15.75">
      <c r="A8" s="56" t="str">
        <v>Uxbridge D</v>
      </c>
      <c r="B8" s="44" t="str">
        <v>MA</v>
      </c>
      <c r="C8" s="57">
        <v>144003</v>
      </c>
      <c r="D8" s="45">
        <v>147586.70000000001</v>
      </c>
      <c r="E8" s="45">
        <f t="shared" si="0"/>
        <v>-3583.7000000000116</v>
      </c>
      <c r="F8" s="58">
        <f t="shared" si="3"/>
        <v>-2.4281998310145912E-2</v>
      </c>
      <c r="G8" s="47">
        <v>165832.79999999999</v>
      </c>
      <c r="H8" s="47">
        <f t="shared" si="1"/>
        <v>-21829.799999999988</v>
      </c>
      <c r="I8" s="46">
        <f t="shared" si="2"/>
        <v>-0.13163740828111201</v>
      </c>
      <c r="J8" s="27" t="s">
        <v>70</v>
      </c>
      <c r="K8" s="27" t="s">
        <v>71</v>
      </c>
    </row>
    <row r="9" spans="1:11" ht="15.75">
      <c r="A9" s="55" t="str">
        <v>West Bridgewater A&amp;B</v>
      </c>
      <c r="B9" s="50" t="str">
        <v>MA</v>
      </c>
      <c r="C9" s="59">
        <v>254331.5</v>
      </c>
      <c r="D9" s="51">
        <v>261902.2</v>
      </c>
      <c r="E9" s="51">
        <f t="shared" si="0"/>
        <v>-7570.7000000000116</v>
      </c>
      <c r="F9" s="52">
        <f t="shared" si="3"/>
        <v>-2.8906591849934868E-2</v>
      </c>
      <c r="G9" s="53">
        <v>280666.3</v>
      </c>
      <c r="H9" s="53">
        <f t="shared" si="1"/>
        <v>-26334.799999999988</v>
      </c>
      <c r="I9" s="52">
        <f t="shared" si="2"/>
        <v>-9.3829576261916695E-2</v>
      </c>
      <c r="J9" s="28"/>
      <c r="K9" s="29"/>
    </row>
    <row r="10" spans="1:11" ht="15.75">
      <c r="A10" s="56" t="str">
        <v>Sutton A</v>
      </c>
      <c r="B10" s="44" t="str">
        <v>MA</v>
      </c>
      <c r="C10" s="57">
        <v>135968</v>
      </c>
      <c r="D10" s="45">
        <v>139058.20000000001</v>
      </c>
      <c r="E10" s="45">
        <f t="shared" si="0"/>
        <v>-3090.2000000000116</v>
      </c>
      <c r="F10" s="58">
        <f t="shared" si="3"/>
        <v>-2.2222350066375168E-2</v>
      </c>
      <c r="G10" s="47">
        <v>159133.1</v>
      </c>
      <c r="H10" s="47">
        <f t="shared" si="1"/>
        <v>-23165.100000000006</v>
      </c>
      <c r="I10" s="46">
        <f t="shared" si="2"/>
        <v>-0.14557059467829134</v>
      </c>
      <c r="J10" s="27" t="s">
        <v>72</v>
      </c>
      <c r="K10" s="27" t="s">
        <v>73</v>
      </c>
    </row>
    <row r="11" spans="1:11" ht="15.75">
      <c r="A11" s="55" t="str">
        <v>North Adams A</v>
      </c>
      <c r="B11" s="50" t="str">
        <v>MA</v>
      </c>
      <c r="C11" s="59">
        <v>133243</v>
      </c>
      <c r="D11" s="51">
        <v>136901.6</v>
      </c>
      <c r="E11" s="51">
        <f t="shared" si="0"/>
        <v>-3658.6000000000058</v>
      </c>
      <c r="F11" s="52">
        <f t="shared" si="3"/>
        <v>-2.672430417175552E-2</v>
      </c>
      <c r="G11" s="53">
        <v>169783.1</v>
      </c>
      <c r="H11" s="53">
        <f t="shared" si="1"/>
        <v>-36540.100000000006</v>
      </c>
      <c r="I11" s="52">
        <f t="shared" si="2"/>
        <v>-0.21521635545587284</v>
      </c>
      <c r="J11" s="28"/>
      <c r="K11" s="29"/>
    </row>
    <row r="12" spans="1:11" ht="15.75">
      <c r="A12" s="56" t="str">
        <v>North Adams B</v>
      </c>
      <c r="B12" s="44" t="str">
        <v>MA</v>
      </c>
      <c r="C12" s="57">
        <v>131267</v>
      </c>
      <c r="D12" s="45">
        <v>118829.4</v>
      </c>
      <c r="E12" s="45">
        <f t="shared" si="0"/>
        <v>12437.600000000006</v>
      </c>
      <c r="F12" s="58">
        <f t="shared" si="3"/>
        <v>0.10466770008095645</v>
      </c>
      <c r="G12" s="47">
        <v>169783.1</v>
      </c>
      <c r="H12" s="47">
        <f t="shared" si="1"/>
        <v>-38516.100000000006</v>
      </c>
      <c r="I12" s="46">
        <f t="shared" si="2"/>
        <v>-0.22685473406952755</v>
      </c>
      <c r="J12" s="27"/>
      <c r="K12" s="27"/>
    </row>
    <row r="13" spans="1:11" ht="15.75">
      <c r="A13" s="55" t="str">
        <v>Clarksburg A</v>
      </c>
      <c r="B13" s="50" t="str">
        <v>MA</v>
      </c>
      <c r="C13" s="59">
        <v>137517</v>
      </c>
      <c r="D13" s="51">
        <v>139764.5</v>
      </c>
      <c r="E13" s="51">
        <f t="shared" si="0"/>
        <v>-2247.5</v>
      </c>
      <c r="F13" s="52">
        <f t="shared" si="3"/>
        <v>-1.6080621330881589E-2</v>
      </c>
      <c r="G13" s="53">
        <v>169012.3</v>
      </c>
      <c r="H13" s="53">
        <f t="shared" si="1"/>
        <v>-31495.299999999988</v>
      </c>
      <c r="I13" s="52">
        <f t="shared" si="2"/>
        <v>-0.18634915920320586</v>
      </c>
      <c r="J13" s="28"/>
      <c r="K13" s="29"/>
    </row>
    <row r="14" spans="1:11" ht="15.75">
      <c r="A14" s="56" t="str">
        <v>Swansea B</v>
      </c>
      <c r="B14" s="44" t="str">
        <v>MA</v>
      </c>
      <c r="C14" s="57">
        <v>157217</v>
      </c>
      <c r="D14" s="45">
        <v>159428.79999999999</v>
      </c>
      <c r="E14" s="45">
        <f t="shared" si="0"/>
        <v>-2211.7999999999884</v>
      </c>
      <c r="F14" s="58">
        <f t="shared" si="3"/>
        <v>-1.3873277601035626E-2</v>
      </c>
      <c r="G14" s="47">
        <v>123799.4</v>
      </c>
      <c r="H14" s="47">
        <f t="shared" si="1"/>
        <v>33417.600000000006</v>
      </c>
      <c r="I14" s="46">
        <f t="shared" si="2"/>
        <v>0.26993345686651155</v>
      </c>
      <c r="J14" s="27" t="s">
        <v>74</v>
      </c>
      <c r="K14" s="27" t="s">
        <v>75</v>
      </c>
    </row>
    <row r="15" spans="1:11" ht="71.25">
      <c r="A15" s="55" t="str">
        <v>Wareham 2</v>
      </c>
      <c r="B15" s="50" t="str">
        <v>MA</v>
      </c>
      <c r="C15" s="59">
        <v>140967.20000000001</v>
      </c>
      <c r="D15" s="51">
        <v>137966</v>
      </c>
      <c r="E15" s="51">
        <f t="shared" si="0"/>
        <v>3001.2000000000116</v>
      </c>
      <c r="F15" s="52">
        <f t="shared" si="3"/>
        <v>2.1753185567458734E-2</v>
      </c>
      <c r="G15" s="53">
        <v>186589.6</v>
      </c>
      <c r="H15" s="53">
        <f t="shared" si="1"/>
        <v>-45622.399999999994</v>
      </c>
      <c r="I15" s="52">
        <f t="shared" si="2"/>
        <v>-0.244506660607022</v>
      </c>
      <c r="J15" s="28" t="s">
        <v>76</v>
      </c>
      <c r="K15" s="29" t="s">
        <v>77</v>
      </c>
    </row>
    <row r="16" spans="1:11" ht="15.75">
      <c r="A16" s="56" t="str">
        <v>Kingston 1 KB</v>
      </c>
      <c r="B16" s="44" t="str">
        <v>MA</v>
      </c>
      <c r="C16" s="57">
        <v>131349</v>
      </c>
      <c r="D16" s="45">
        <v>130566.39999999999</v>
      </c>
      <c r="E16" s="45">
        <f t="shared" si="0"/>
        <v>782.60000000000582</v>
      </c>
      <c r="F16" s="58">
        <f t="shared" si="3"/>
        <v>5.9938851036714334E-3</v>
      </c>
      <c r="G16" s="47">
        <v>143795.20000000001</v>
      </c>
      <c r="H16" s="47">
        <f t="shared" si="1"/>
        <v>-12446.200000000012</v>
      </c>
      <c r="I16" s="46">
        <f t="shared" si="2"/>
        <v>-8.6555044952821861E-2</v>
      </c>
      <c r="J16" s="27"/>
      <c r="K16" s="27"/>
    </row>
    <row r="17" spans="1:11" ht="15.75">
      <c r="A17" s="55" t="str">
        <v>Kingston 2 KB</v>
      </c>
      <c r="B17" s="50" t="str">
        <v>MA</v>
      </c>
      <c r="C17" s="59">
        <v>106240</v>
      </c>
      <c r="D17" s="51">
        <v>89203.59</v>
      </c>
      <c r="E17" s="51">
        <f t="shared" si="0"/>
        <v>17036.410000000003</v>
      </c>
      <c r="F17" s="52">
        <f t="shared" si="3"/>
        <v>0.19098345705593245</v>
      </c>
      <c r="G17" s="53">
        <v>115418.7</v>
      </c>
      <c r="H17" s="53">
        <f t="shared" si="1"/>
        <v>-9178.6999999999971</v>
      </c>
      <c r="I17" s="52">
        <f t="shared" si="2"/>
        <v>-7.9525241576971467E-2</v>
      </c>
      <c r="J17" s="28"/>
      <c r="K17" s="29"/>
    </row>
    <row r="18" spans="1:11" ht="16.5" customHeight="1">
      <c r="A18" s="65" t="str">
        <v>Holliston B</v>
      </c>
      <c r="B18" s="44" t="str">
        <v>MA</v>
      </c>
      <c r="C18" s="57">
        <v>150997</v>
      </c>
      <c r="D18" s="45">
        <v>146964.1</v>
      </c>
      <c r="E18" s="45">
        <f t="shared" si="0"/>
        <v>4032.8999999999942</v>
      </c>
      <c r="F18" s="58">
        <f t="shared" si="3"/>
        <v>2.7441395551702722E-2</v>
      </c>
      <c r="G18" s="47">
        <v>167145.60000000001</v>
      </c>
      <c r="H18" s="47">
        <f t="shared" si="1"/>
        <v>-16148.600000000006</v>
      </c>
      <c r="I18" s="46">
        <f t="shared" si="2"/>
        <v>-9.6613970095533505E-2</v>
      </c>
      <c r="J18" s="27" t="s">
        <v>78</v>
      </c>
      <c r="K18" s="27" t="s">
        <v>79</v>
      </c>
    </row>
    <row r="19" spans="1:11" ht="71.25">
      <c r="A19" s="55" t="str">
        <v>Fairhaven C</v>
      </c>
      <c r="B19" s="50" t="str">
        <v>MA</v>
      </c>
      <c r="C19" s="59">
        <v>230664</v>
      </c>
      <c r="D19" s="51">
        <v>278442.5</v>
      </c>
      <c r="E19" s="51">
        <f t="shared" si="0"/>
        <v>-47778.5</v>
      </c>
      <c r="F19" s="52">
        <f t="shared" si="3"/>
        <v>-0.17159198039092452</v>
      </c>
      <c r="G19" s="53">
        <v>321205.90000000002</v>
      </c>
      <c r="H19" s="53">
        <f t="shared" si="1"/>
        <v>-90541.900000000023</v>
      </c>
      <c r="I19" s="52">
        <f t="shared" si="2"/>
        <v>-0.28188118586862826</v>
      </c>
      <c r="J19" s="28" t="s">
        <v>80</v>
      </c>
      <c r="K19" s="28" t="s">
        <v>81</v>
      </c>
    </row>
    <row r="20" spans="1:11" ht="15.75">
      <c r="A20" s="56" t="str">
        <v>Plympton A-2</v>
      </c>
      <c r="B20" s="44" t="str">
        <v>MA</v>
      </c>
      <c r="C20" s="57">
        <v>154728</v>
      </c>
      <c r="D20" s="45">
        <v>155462.20000000001</v>
      </c>
      <c r="E20" s="45">
        <f t="shared" si="0"/>
        <v>-734.20000000001164</v>
      </c>
      <c r="F20" s="58">
        <f t="shared" si="3"/>
        <v>-4.722691432386854E-3</v>
      </c>
      <c r="G20" s="47">
        <v>169580.9</v>
      </c>
      <c r="H20" s="47">
        <f t="shared" si="1"/>
        <v>-14852.899999999994</v>
      </c>
      <c r="I20" s="46">
        <f t="shared" si="2"/>
        <v>-8.7585925065853498E-2</v>
      </c>
      <c r="J20" s="27" t="s">
        <v>82</v>
      </c>
      <c r="K20" s="27" t="s">
        <v>83</v>
      </c>
    </row>
    <row r="21" spans="1:11" ht="14.2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4.2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4.2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4.2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4.2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4.2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4.2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4.2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2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2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2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2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2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2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2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2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2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2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2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2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2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2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2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2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2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2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2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2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2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2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2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2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2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2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2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2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2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2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2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2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2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2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2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2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2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2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2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2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2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2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2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2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2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2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2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2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2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2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2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2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2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2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2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2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2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2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2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2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2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2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2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2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2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2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2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2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2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2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2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2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2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2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2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2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2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2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2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2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2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2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2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2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2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2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2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2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2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2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2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2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2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2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2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2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2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2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2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2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2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2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2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2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2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2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2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2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2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2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2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2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2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2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2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2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2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2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2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2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2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2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2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2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2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2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2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2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2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2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2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2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2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2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2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2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2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2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2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2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2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2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2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2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2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2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2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2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2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2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2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2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2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2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2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2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2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2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2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2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2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2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2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2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2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2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2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2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2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2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2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2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2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2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2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2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2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2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2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2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2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2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2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2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2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2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2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2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2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2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2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2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2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2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2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2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2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2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2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2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2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2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2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2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2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2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2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2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2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2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2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2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2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2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2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2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2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2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2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2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2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2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2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2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2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2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2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2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2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2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2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2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2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2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2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2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2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2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2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2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2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2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2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2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2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2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2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2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2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2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2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2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2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2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2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2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2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2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2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2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2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2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2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2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2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2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2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2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2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2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2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2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2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2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2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2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2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2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2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2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2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2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2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2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2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2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2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2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2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2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2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2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2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2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4.2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4.2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4.2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4.2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4.2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4.2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4.2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4.2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4.2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4.2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4.2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4.2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4.2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4.2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 ht="13.9">
      <c r="C337" s="14"/>
      <c r="D337" s="14"/>
      <c r="E337" s="14"/>
      <c r="F337" s="15"/>
      <c r="G337" s="14"/>
      <c r="H337" s="14"/>
      <c r="I337" s="15"/>
      <c r="J337" s="14"/>
      <c r="K337" s="14"/>
    </row>
  </sheetData>
  <mergeCells count="4">
    <mergeCell ref="G1:I1"/>
    <mergeCell ref="A1:C1"/>
    <mergeCell ref="D1:F1"/>
    <mergeCell ref="A2:B2"/>
  </mergeCells>
  <conditionalFormatting sqref="F2 I2 F4:F95 I4:I95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7"/>
  <sheetViews>
    <sheetView zoomScale="70" zoomScaleNormal="70" workbookViewId="0">
      <pane xSplit="2" ySplit="3" topLeftCell="C4" activePane="bottomRight" state="frozen"/>
      <selection pane="bottomRight" activeCell="J20" sqref="J20"/>
      <selection pane="bottomLeft" activeCell="A4" sqref="A4:I20"/>
      <selection pane="topRight" activeCell="A4" sqref="A4:I20"/>
    </sheetView>
  </sheetViews>
  <sheetFormatPr defaultRowHeight="13.5"/>
  <cols>
    <col min="1" max="1" width="35.85546875" bestFit="1" customWidth="1"/>
    <col min="2" max="2" width="8.42578125" style="21" customWidth="1"/>
    <col min="3" max="3" width="13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9" t="str" cm="1">
        <f t="array" ref="A1">portfolio</f>
        <v>MN8 KEF</v>
      </c>
      <c r="B1" s="79"/>
      <c r="C1" s="79"/>
      <c r="D1" s="80" t="s">
        <v>84</v>
      </c>
      <c r="E1" s="80"/>
      <c r="F1" s="80"/>
      <c r="G1" s="78" t="s">
        <v>85</v>
      </c>
      <c r="H1" s="78"/>
      <c r="I1" s="78"/>
      <c r="J1" s="4"/>
      <c r="K1" s="4"/>
    </row>
    <row r="2" spans="1:11" ht="19.5" customHeight="1">
      <c r="A2" s="81" t="s">
        <v>2</v>
      </c>
      <c r="B2" s="81"/>
      <c r="C2" s="5">
        <f>SUM(C4:C95)</f>
        <v>-8973955.7099730279</v>
      </c>
      <c r="D2" s="5">
        <f>SUM(D4:D95)</f>
        <v>2998098.1999999997</v>
      </c>
      <c r="E2" s="5">
        <f>C2-D2</f>
        <v>-11972053.909973027</v>
      </c>
      <c r="F2" s="6">
        <f>IFERROR(E2/D2, 0)</f>
        <v>-3.9932160694312908</v>
      </c>
      <c r="G2" s="5">
        <f>SUM(G4:G95)</f>
        <v>3231680.7000000007</v>
      </c>
      <c r="H2" s="7">
        <f>C2-G2</f>
        <v>-12205636.409973029</v>
      </c>
      <c r="I2" s="6">
        <f>IFERROR(H2/G2, 0)</f>
        <v>-3.7768695434462405</v>
      </c>
      <c r="J2" s="1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75">
      <c r="A4" s="65" t="str" cm="1">
        <f t="array" ref="A4:A20">Sites[Site]</f>
        <v>Williamsburg A</v>
      </c>
      <c r="B4" s="44" t="str" cm="1">
        <f t="array" ref="B4:B20">Sites[State]</f>
        <v>MA</v>
      </c>
      <c r="C4" s="57">
        <v>173965.67560009501</v>
      </c>
      <c r="D4" s="45">
        <v>173895.1</v>
      </c>
      <c r="E4" s="45">
        <f>IF(AND(ISNUMBER(C4),ISNUMBER(D4)), C4-D4, "")</f>
        <v>70.575600095005939</v>
      </c>
      <c r="F4" s="58">
        <f>IFERROR(E4/D4, "")</f>
        <v>4.0585157428246071E-4</v>
      </c>
      <c r="G4" s="47">
        <v>178092.1</v>
      </c>
      <c r="H4" s="47">
        <f>IF(AND(ISNUMBER(C4),ISNUMBER(G4)), C4-G4, "")</f>
        <v>-4126.4243999049941</v>
      </c>
      <c r="I4" s="46">
        <f>IFERROR(H4/G4, "")</f>
        <v>-2.3170170939109561E-2</v>
      </c>
      <c r="J4" s="75"/>
      <c r="K4" s="75"/>
    </row>
    <row r="5" spans="1:11" ht="15.75">
      <c r="A5" s="55" t="str">
        <v>Orange A KB</v>
      </c>
      <c r="B5" s="50" t="str">
        <v>MA</v>
      </c>
      <c r="C5" s="59">
        <v>136972.364426877</v>
      </c>
      <c r="D5" s="51">
        <v>128672.7</v>
      </c>
      <c r="E5" s="51">
        <f t="shared" ref="E5:E17" si="0">IF(AND(ISNUMBER(C5),ISNUMBER(D5)), C5-D5, "")</f>
        <v>8299.6644268770033</v>
      </c>
      <c r="F5" s="52">
        <f>IFERROR(E5/D5, "")</f>
        <v>6.4502139357276278E-2</v>
      </c>
      <c r="G5" s="53">
        <v>143165.9</v>
      </c>
      <c r="H5" s="53">
        <f t="shared" ref="H5:H17" si="1">IF(AND(ISNUMBER(C5),ISNUMBER(G5)), C5-G5, "")</f>
        <v>-6193.5355731229938</v>
      </c>
      <c r="I5" s="52">
        <f t="shared" ref="I5:I17" si="2">IFERROR(H5/G5, "")</f>
        <v>-4.3261248475530791E-2</v>
      </c>
      <c r="J5" s="73"/>
      <c r="K5" s="73"/>
    </row>
    <row r="6" spans="1:11" ht="71.25">
      <c r="A6" s="56" t="str">
        <v>Goshen A</v>
      </c>
      <c r="B6" s="44" t="str">
        <v>MA</v>
      </c>
      <c r="C6" s="57">
        <v>-11843991.75</v>
      </c>
      <c r="D6" s="45">
        <v>152191.5</v>
      </c>
      <c r="E6" s="45">
        <f t="shared" si="0"/>
        <v>-11996183.25</v>
      </c>
      <c r="F6" s="58">
        <f t="shared" ref="F6:F17" si="3">IFERROR(E6/D6, "")</f>
        <v>-78.822951676013446</v>
      </c>
      <c r="G6" s="47">
        <v>119525.4</v>
      </c>
      <c r="H6" s="47">
        <f t="shared" si="1"/>
        <v>-11963517.15</v>
      </c>
      <c r="I6" s="46">
        <f t="shared" si="2"/>
        <v>-100.09183947512412</v>
      </c>
      <c r="J6" s="75" t="s">
        <v>86</v>
      </c>
      <c r="K6" s="75" t="s">
        <v>87</v>
      </c>
    </row>
    <row r="7" spans="1:11" ht="15.75">
      <c r="A7" s="55" t="str">
        <v>Phillipston A KB</v>
      </c>
      <c r="B7" s="50" t="str">
        <v>MA</v>
      </c>
      <c r="C7" s="59">
        <v>166750</v>
      </c>
      <c r="D7" s="51">
        <v>174107.4</v>
      </c>
      <c r="E7" s="51">
        <f t="shared" si="0"/>
        <v>-7357.3999999999942</v>
      </c>
      <c r="F7" s="52">
        <f t="shared" si="3"/>
        <v>-4.2257824767930566E-2</v>
      </c>
      <c r="G7" s="53">
        <v>138861.20000000001</v>
      </c>
      <c r="H7" s="53">
        <f t="shared" si="1"/>
        <v>27888.799999999988</v>
      </c>
      <c r="I7" s="52">
        <f t="shared" si="2"/>
        <v>0.20083939934265285</v>
      </c>
      <c r="J7" s="73" t="s">
        <v>88</v>
      </c>
      <c r="K7" s="73" t="s">
        <v>89</v>
      </c>
    </row>
    <row r="8" spans="1:11" ht="15.75">
      <c r="A8" s="56" t="str">
        <v>Uxbridge D</v>
      </c>
      <c r="B8" s="44" t="str">
        <v>MA</v>
      </c>
      <c r="C8" s="57">
        <v>167815</v>
      </c>
      <c r="D8" s="45">
        <v>169800</v>
      </c>
      <c r="E8" s="45">
        <f t="shared" si="0"/>
        <v>-1985</v>
      </c>
      <c r="F8" s="58">
        <f t="shared" si="3"/>
        <v>-1.1690223792697291E-2</v>
      </c>
      <c r="G8" s="47">
        <v>187348.5</v>
      </c>
      <c r="H8" s="47">
        <f t="shared" si="1"/>
        <v>-19533.5</v>
      </c>
      <c r="I8" s="46">
        <f t="shared" si="2"/>
        <v>-0.10426291109883452</v>
      </c>
      <c r="J8" s="75"/>
      <c r="K8" s="75"/>
    </row>
    <row r="9" spans="1:11" ht="15.75">
      <c r="A9" s="55" t="str">
        <v>West Bridgewater A&amp;B</v>
      </c>
      <c r="B9" s="50" t="str">
        <v>MA</v>
      </c>
      <c r="C9" s="59">
        <v>279538</v>
      </c>
      <c r="D9" s="51">
        <v>287934.3</v>
      </c>
      <c r="E9" s="51">
        <f t="shared" si="0"/>
        <v>-8396.2999999999884</v>
      </c>
      <c r="F9" s="52">
        <f t="shared" si="3"/>
        <v>-2.9160471677045732E-2</v>
      </c>
      <c r="G9" s="53">
        <v>320294.2</v>
      </c>
      <c r="H9" s="53">
        <f t="shared" si="1"/>
        <v>-40756.200000000012</v>
      </c>
      <c r="I9" s="52">
        <f t="shared" si="2"/>
        <v>-0.12724613808180107</v>
      </c>
      <c r="J9" s="73"/>
      <c r="K9" s="73"/>
    </row>
    <row r="10" spans="1:11" ht="15.75">
      <c r="A10" s="56" t="str">
        <v>Sutton A</v>
      </c>
      <c r="B10" s="44" t="str">
        <v>MA</v>
      </c>
      <c r="C10" s="57">
        <v>156960</v>
      </c>
      <c r="D10" s="45">
        <v>155795.20000000001</v>
      </c>
      <c r="E10" s="45">
        <f t="shared" si="0"/>
        <v>1164.7999999999884</v>
      </c>
      <c r="F10" s="58">
        <f t="shared" si="3"/>
        <v>7.4764819455284135E-3</v>
      </c>
      <c r="G10" s="47">
        <v>181995</v>
      </c>
      <c r="H10" s="47">
        <f t="shared" si="1"/>
        <v>-25035</v>
      </c>
      <c r="I10" s="46">
        <f t="shared" si="2"/>
        <v>-0.13755872414077311</v>
      </c>
      <c r="J10" s="75"/>
      <c r="K10" s="75"/>
    </row>
    <row r="11" spans="1:11" ht="28.5">
      <c r="A11" s="55" t="str">
        <v>North Adams A</v>
      </c>
      <c r="B11" s="50" t="str">
        <v>MA</v>
      </c>
      <c r="C11" s="59">
        <v>175242</v>
      </c>
      <c r="D11" s="51">
        <v>176263.8</v>
      </c>
      <c r="E11" s="51">
        <f t="shared" si="0"/>
        <v>-1021.7999999999884</v>
      </c>
      <c r="F11" s="52">
        <f t="shared" si="3"/>
        <v>-5.7969929162992543E-3</v>
      </c>
      <c r="G11" s="53">
        <v>193978.2</v>
      </c>
      <c r="H11" s="53">
        <f t="shared" si="1"/>
        <v>-18736.200000000012</v>
      </c>
      <c r="I11" s="52">
        <f t="shared" si="2"/>
        <v>-9.6589204353891372E-2</v>
      </c>
      <c r="J11" s="73" t="s">
        <v>90</v>
      </c>
      <c r="K11" s="73" t="s">
        <v>91</v>
      </c>
    </row>
    <row r="12" spans="1:11" ht="28.5">
      <c r="A12" s="56" t="str">
        <v>North Adams B</v>
      </c>
      <c r="B12" s="44" t="str">
        <v>MA</v>
      </c>
      <c r="C12" s="57">
        <v>174636</v>
      </c>
      <c r="D12" s="45">
        <v>153126.29999999999</v>
      </c>
      <c r="E12" s="45">
        <f t="shared" si="0"/>
        <v>21509.700000000012</v>
      </c>
      <c r="F12" s="58">
        <f t="shared" si="3"/>
        <v>0.14047031763975237</v>
      </c>
      <c r="G12" s="47">
        <v>193978.2</v>
      </c>
      <c r="H12" s="47">
        <f t="shared" si="1"/>
        <v>-19342.200000000012</v>
      </c>
      <c r="I12" s="46">
        <f t="shared" si="2"/>
        <v>-9.9713266748531593E-2</v>
      </c>
      <c r="J12" s="75" t="s">
        <v>90</v>
      </c>
      <c r="K12" s="75" t="s">
        <v>92</v>
      </c>
    </row>
    <row r="13" spans="1:11" ht="15.75">
      <c r="A13" s="55" t="str">
        <v>Clarksburg A</v>
      </c>
      <c r="B13" s="50" t="str">
        <v>MA</v>
      </c>
      <c r="C13" s="59">
        <v>176599</v>
      </c>
      <c r="D13" s="51">
        <v>176175.5</v>
      </c>
      <c r="E13" s="51">
        <f t="shared" si="0"/>
        <v>423.5</v>
      </c>
      <c r="F13" s="52">
        <f t="shared" si="3"/>
        <v>2.4038529761516215E-3</v>
      </c>
      <c r="G13" s="53">
        <v>193097.8</v>
      </c>
      <c r="H13" s="53">
        <f t="shared" si="1"/>
        <v>-16498.799999999988</v>
      </c>
      <c r="I13" s="52">
        <f t="shared" si="2"/>
        <v>-8.5442713485083671E-2</v>
      </c>
      <c r="J13" s="73"/>
      <c r="K13" s="73"/>
    </row>
    <row r="14" spans="1:11" ht="15.75">
      <c r="A14" s="56" t="str">
        <v>Swansea B</v>
      </c>
      <c r="B14" s="44" t="str">
        <v>MA</v>
      </c>
      <c r="C14" s="57">
        <v>177464</v>
      </c>
      <c r="D14" s="45">
        <v>182570.1</v>
      </c>
      <c r="E14" s="45">
        <f t="shared" si="0"/>
        <v>-5106.1000000000058</v>
      </c>
      <c r="F14" s="58">
        <f t="shared" si="3"/>
        <v>-2.7967887403249521E-2</v>
      </c>
      <c r="G14" s="47">
        <v>143014.20000000001</v>
      </c>
      <c r="H14" s="47">
        <f t="shared" si="1"/>
        <v>34449.799999999988</v>
      </c>
      <c r="I14" s="46">
        <f t="shared" si="2"/>
        <v>0.24088377238064462</v>
      </c>
      <c r="J14" s="75" t="s">
        <v>93</v>
      </c>
      <c r="K14" s="75" t="s">
        <v>94</v>
      </c>
    </row>
    <row r="15" spans="1:11" ht="84.75" customHeight="1">
      <c r="A15" s="55" t="str">
        <v>Wareham 2</v>
      </c>
      <c r="B15" s="50" t="str">
        <v>MA</v>
      </c>
      <c r="C15" s="59">
        <v>160615</v>
      </c>
      <c r="D15" s="51">
        <v>156360.1</v>
      </c>
      <c r="E15" s="51">
        <f t="shared" si="0"/>
        <v>4254.8999999999942</v>
      </c>
      <c r="F15" s="52">
        <f t="shared" si="3"/>
        <v>2.7212185205816534E-2</v>
      </c>
      <c r="G15" s="53">
        <v>203086.9</v>
      </c>
      <c r="H15" s="53">
        <f t="shared" si="1"/>
        <v>-42471.899999999994</v>
      </c>
      <c r="I15" s="52">
        <f t="shared" si="2"/>
        <v>-0.20913165743334503</v>
      </c>
      <c r="J15" s="73" t="s">
        <v>95</v>
      </c>
      <c r="K15" s="73" t="s">
        <v>96</v>
      </c>
    </row>
    <row r="16" spans="1:11" ht="15.75">
      <c r="A16" s="56" t="str">
        <v>Kingston 1 KB</v>
      </c>
      <c r="B16" s="44" t="str">
        <v>MA</v>
      </c>
      <c r="C16" s="57">
        <v>150240</v>
      </c>
      <c r="D16" s="45">
        <v>147896.29999999999</v>
      </c>
      <c r="E16" s="45">
        <f t="shared" si="0"/>
        <v>2343.7000000000116</v>
      </c>
      <c r="F16" s="58">
        <f t="shared" si="3"/>
        <v>1.5846914358236222E-2</v>
      </c>
      <c r="G16" s="47">
        <v>166043.70000000001</v>
      </c>
      <c r="H16" s="47">
        <f t="shared" si="1"/>
        <v>-15803.700000000012</v>
      </c>
      <c r="I16" s="46">
        <f t="shared" si="2"/>
        <v>-9.5177956164551922E-2</v>
      </c>
      <c r="J16" s="75" t="s">
        <v>97</v>
      </c>
      <c r="K16" s="75" t="s">
        <v>98</v>
      </c>
    </row>
    <row r="17" spans="1:11" ht="15.75">
      <c r="A17" s="55" t="str">
        <v>Kingston 2 KB</v>
      </c>
      <c r="B17" s="50" t="str">
        <v>MA</v>
      </c>
      <c r="C17" s="59">
        <v>123117</v>
      </c>
      <c r="D17" s="51">
        <v>103564.4</v>
      </c>
      <c r="E17" s="51">
        <f t="shared" si="0"/>
        <v>19552.600000000006</v>
      </c>
      <c r="F17" s="52">
        <f t="shared" si="3"/>
        <v>0.18879653626149534</v>
      </c>
      <c r="G17" s="53">
        <v>133277.20000000001</v>
      </c>
      <c r="H17" s="53">
        <f t="shared" si="1"/>
        <v>-10160.200000000012</v>
      </c>
      <c r="I17" s="52">
        <f t="shared" si="2"/>
        <v>-7.623359434321858E-2</v>
      </c>
      <c r="J17" s="73"/>
      <c r="K17" s="73"/>
    </row>
    <row r="18" spans="1:11" ht="12.75" customHeight="1">
      <c r="A18" s="65" t="str">
        <v>Holliston B</v>
      </c>
      <c r="B18" s="44" t="str">
        <v>MA</v>
      </c>
      <c r="C18" s="57">
        <v>174004</v>
      </c>
      <c r="D18" s="45">
        <v>167285.79999999999</v>
      </c>
      <c r="E18" s="45">
        <f t="shared" ref="E18:E20" si="4">IF(AND(ISNUMBER(C18),ISNUMBER(D18)), C18-D18, "")</f>
        <v>6718.2000000000116</v>
      </c>
      <c r="F18" s="58">
        <f t="shared" ref="F18:F20" si="5">IFERROR(E18/D18, "")</f>
        <v>4.0160013581547339E-2</v>
      </c>
      <c r="G18" s="47">
        <v>191175.5</v>
      </c>
      <c r="H18" s="47">
        <f t="shared" ref="H18:H20" si="6">IF(AND(ISNUMBER(C18),ISNUMBER(G18)), C18-G18, "")</f>
        <v>-17171.5</v>
      </c>
      <c r="I18" s="46">
        <f t="shared" ref="I18:I20" si="7">IFERROR(H18/G18, "")</f>
        <v>-8.9820609858480824E-2</v>
      </c>
      <c r="J18" s="75"/>
      <c r="K18" s="75"/>
    </row>
    <row r="19" spans="1:11" ht="15.75">
      <c r="A19" s="55" t="str">
        <v>Fairhaven C</v>
      </c>
      <c r="B19" s="50" t="str">
        <v>MA</v>
      </c>
      <c r="C19" s="59">
        <v>307864</v>
      </c>
      <c r="D19" s="51">
        <v>318321.90000000002</v>
      </c>
      <c r="E19" s="51">
        <f t="shared" si="4"/>
        <v>-10457.900000000023</v>
      </c>
      <c r="F19" s="52">
        <f t="shared" si="5"/>
        <v>-3.2853221848701021E-2</v>
      </c>
      <c r="G19" s="53">
        <v>350031.2</v>
      </c>
      <c r="H19" s="53">
        <f t="shared" si="6"/>
        <v>-42167.200000000012</v>
      </c>
      <c r="I19" s="52">
        <f t="shared" si="7"/>
        <v>-0.12046697551532552</v>
      </c>
      <c r="J19" s="73" t="s">
        <v>99</v>
      </c>
      <c r="K19" s="73" t="s">
        <v>100</v>
      </c>
    </row>
    <row r="20" spans="1:11" ht="15.75">
      <c r="A20" s="56" t="str">
        <v>Plympton A-2</v>
      </c>
      <c r="B20" s="44" t="str">
        <v>MA</v>
      </c>
      <c r="C20" s="57">
        <v>168254</v>
      </c>
      <c r="D20" s="45">
        <v>174137.8</v>
      </c>
      <c r="E20" s="45">
        <f t="shared" si="4"/>
        <v>-5883.7999999999884</v>
      </c>
      <c r="F20" s="58">
        <f t="shared" si="5"/>
        <v>-3.3788183840613516E-2</v>
      </c>
      <c r="G20" s="47">
        <v>194715.5</v>
      </c>
      <c r="H20" s="47">
        <f t="shared" si="6"/>
        <v>-26461.5</v>
      </c>
      <c r="I20" s="46">
        <f t="shared" si="7"/>
        <v>-0.13589827209441468</v>
      </c>
      <c r="J20" s="75" t="s">
        <v>101</v>
      </c>
      <c r="K20" s="75" t="s">
        <v>102</v>
      </c>
    </row>
    <row r="21" spans="1:11" ht="14.2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4.2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4.2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4.2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4.2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4.2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4.2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4.2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2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2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2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2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2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2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2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2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2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2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2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2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2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2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2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2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2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2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2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2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2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2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2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2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2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2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2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2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2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2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2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2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2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2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2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2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2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2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2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2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2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2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2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2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2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2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2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2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2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2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2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2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2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2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2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2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2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2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2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2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2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2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2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2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2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2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2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2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2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2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2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2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2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2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2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2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2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2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2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2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2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2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2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2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2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2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2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2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2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2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2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2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2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2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2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2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2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2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2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2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2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2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2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2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2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2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2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2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2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2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2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2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2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2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2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2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2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2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2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2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2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2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2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2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2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2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2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2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2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2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2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2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2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2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2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2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2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2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2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2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2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2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2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2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2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2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2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2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2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2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2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2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2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2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2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2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2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2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2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2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2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2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2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2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2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2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2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2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2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2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2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2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2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2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2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2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2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2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2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2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2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2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2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2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2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2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2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2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2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2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2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2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2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2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2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2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2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2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2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2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2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2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2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2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2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2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2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2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2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2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2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2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2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2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2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2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2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2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2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2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2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2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2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2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2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2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2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2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2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2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2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2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2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2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2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2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2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2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2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2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2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2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2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2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2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2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2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2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2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2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2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2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2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2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2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2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2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2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2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2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2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2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2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2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2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2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2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2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2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2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2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2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2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2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2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2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2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2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2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2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2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2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2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2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2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2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2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2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2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2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2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2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2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2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4.2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4.2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4.2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4.2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4.2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4.2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4.2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4.2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4.2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4.2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4.2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4.2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4.2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4.2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 ht="13.9">
      <c r="C337" s="14"/>
      <c r="D337" s="14"/>
      <c r="E337" s="14"/>
      <c r="F337" s="15"/>
      <c r="G337" s="14"/>
      <c r="H337" s="14"/>
      <c r="I337" s="15"/>
      <c r="J337" s="14"/>
      <c r="K337" s="14"/>
    </row>
  </sheetData>
  <mergeCells count="4">
    <mergeCell ref="G1:I1"/>
    <mergeCell ref="A1:C1"/>
    <mergeCell ref="D1:F1"/>
    <mergeCell ref="A2:B2"/>
  </mergeCells>
  <conditionalFormatting sqref="F2 I2 F4:F95 I4:I95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7"/>
  <sheetViews>
    <sheetView tabSelected="1" zoomScale="70" zoomScaleNormal="70" workbookViewId="0">
      <pane xSplit="2" ySplit="3" topLeftCell="C4" activePane="bottomRight" state="frozen"/>
      <selection pane="bottomRight" activeCell="A4" sqref="A4:A20"/>
      <selection pane="bottomLeft" activeCell="A4" sqref="A4:I20"/>
      <selection pane="topRight" activeCell="A4" sqref="A4:I20"/>
    </sheetView>
  </sheetViews>
  <sheetFormatPr defaultRowHeight="13.5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3.7109375" customWidth="1"/>
  </cols>
  <sheetData>
    <row r="1" spans="1:11" ht="19.5" customHeight="1">
      <c r="A1" s="79" t="str" cm="1">
        <f t="array" ref="A1">portfolio</f>
        <v>MN8 KEF</v>
      </c>
      <c r="B1" s="79"/>
      <c r="C1" s="79"/>
      <c r="D1" s="80" t="s">
        <v>103</v>
      </c>
      <c r="E1" s="80"/>
      <c r="F1" s="80"/>
      <c r="G1" s="78" t="s">
        <v>104</v>
      </c>
      <c r="H1" s="78"/>
      <c r="I1" s="78"/>
      <c r="J1" s="4"/>
      <c r="K1" s="4"/>
    </row>
    <row r="2" spans="1:11" ht="19.5" customHeight="1">
      <c r="A2" s="81" t="s">
        <v>2</v>
      </c>
      <c r="B2" s="81"/>
      <c r="C2" s="5">
        <f>SUM(C4:C95)</f>
        <v>3259907.1934148991</v>
      </c>
      <c r="D2" s="5">
        <f>SUM(D4:D95)</f>
        <v>3290534.9000000004</v>
      </c>
      <c r="E2" s="5">
        <f>C2-D2</f>
        <v>-30627.706585101318</v>
      </c>
      <c r="F2" s="6">
        <f>IFERROR(E2/D2, 0)</f>
        <v>-9.3078200097805718E-3</v>
      </c>
      <c r="G2" s="5">
        <f>SUM(G4:G95)</f>
        <v>3192289.4000000004</v>
      </c>
      <c r="H2" s="7">
        <f>C2-G2</f>
        <v>67617.793414898682</v>
      </c>
      <c r="I2" s="6">
        <f>IFERROR(H2/G2, 0)</f>
        <v>2.1181598828382751E-2</v>
      </c>
      <c r="J2" s="1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75">
      <c r="A4" s="77" t="str" cm="1">
        <f t="array" ref="A4:A20">Sites[Site]</f>
        <v>Williamsburg A</v>
      </c>
      <c r="B4" s="44" t="str" cm="1">
        <f t="array" ref="B4:B20">Sites[State]</f>
        <v>MA</v>
      </c>
      <c r="C4" s="57">
        <v>181297.035114503</v>
      </c>
      <c r="D4" s="45">
        <v>182127</v>
      </c>
      <c r="E4" s="45">
        <f>IF(AND(ISNUMBER(C4),ISNUMBER(D4)), C4-D4, "")</f>
        <v>-829.96488549700007</v>
      </c>
      <c r="F4" s="58">
        <f>IFERROR(E4/D4, "")</f>
        <v>-4.5570666924563633E-3</v>
      </c>
      <c r="G4" s="47">
        <v>186744.6</v>
      </c>
      <c r="H4" s="47">
        <f>IF(AND(ISNUMBER(C4),ISNUMBER(G4)), C4-G4, "")</f>
        <v>-5447.5648854970059</v>
      </c>
      <c r="I4" s="46">
        <f>IFERROR(H4/G4, "")</f>
        <v>-2.9171204337351687E-2</v>
      </c>
      <c r="J4" s="27" t="s">
        <v>105</v>
      </c>
      <c r="K4" s="27" t="s">
        <v>106</v>
      </c>
    </row>
    <row r="5" spans="1:11" ht="15.75">
      <c r="A5" s="55" t="str">
        <v>Orange A KB</v>
      </c>
      <c r="B5" s="50" t="str">
        <v>MA</v>
      </c>
      <c r="C5" s="59">
        <v>142027.408300396</v>
      </c>
      <c r="D5" s="51">
        <v>133790.29999999999</v>
      </c>
      <c r="E5" s="51">
        <f t="shared" ref="E5:E20" si="0">IF(AND(ISNUMBER(C5),ISNUMBER(D5)), C5-D5, "")</f>
        <v>8237.1083003960084</v>
      </c>
      <c r="F5" s="52">
        <f>IFERROR(E5/D5, "")</f>
        <v>6.1567305704494341E-2</v>
      </c>
      <c r="G5" s="53">
        <v>140518.39999999999</v>
      </c>
      <c r="H5" s="53">
        <f t="shared" ref="H5:H20" si="1">IF(AND(ISNUMBER(C5),ISNUMBER(G5)), C5-G5, "")</f>
        <v>1509.0083003960026</v>
      </c>
      <c r="I5" s="52">
        <f t="shared" ref="I5:I20" si="2">IFERROR(H5/G5, "")</f>
        <v>1.073886622958988E-2</v>
      </c>
      <c r="J5" s="28"/>
      <c r="K5" s="28"/>
    </row>
    <row r="6" spans="1:11" ht="28.5">
      <c r="A6" s="56" t="str">
        <v>Goshen A</v>
      </c>
      <c r="B6" s="44" t="str">
        <v>MA</v>
      </c>
      <c r="C6" s="57">
        <v>162665</v>
      </c>
      <c r="D6" s="45">
        <v>157629.20000000001</v>
      </c>
      <c r="E6" s="45">
        <f t="shared" si="0"/>
        <v>5035.7999999999884</v>
      </c>
      <c r="F6" s="58">
        <f t="shared" ref="F6:F20" si="3">IFERROR(E6/D6, "")</f>
        <v>3.1947126547619276E-2</v>
      </c>
      <c r="G6" s="47">
        <v>127715.7</v>
      </c>
      <c r="H6" s="47">
        <f t="shared" si="1"/>
        <v>34949.300000000003</v>
      </c>
      <c r="I6" s="46">
        <f t="shared" si="2"/>
        <v>0.27364920679290022</v>
      </c>
      <c r="J6" s="27" t="s">
        <v>107</v>
      </c>
      <c r="K6" s="27" t="s">
        <v>108</v>
      </c>
    </row>
    <row r="7" spans="1:11" ht="54.4" customHeight="1">
      <c r="A7" s="55" t="str">
        <v>Phillipston A KB</v>
      </c>
      <c r="B7" s="50" t="str">
        <v>MA</v>
      </c>
      <c r="C7" s="59">
        <v>184462</v>
      </c>
      <c r="D7" s="51">
        <v>189192.3</v>
      </c>
      <c r="E7" s="51">
        <f t="shared" si="0"/>
        <v>-4730.2999999999884</v>
      </c>
      <c r="F7" s="52">
        <f t="shared" si="3"/>
        <v>-2.5002603171482077E-2</v>
      </c>
      <c r="G7" s="53">
        <v>140663.29999999999</v>
      </c>
      <c r="H7" s="53">
        <f t="shared" si="1"/>
        <v>43798.700000000012</v>
      </c>
      <c r="I7" s="52">
        <f t="shared" si="2"/>
        <v>0.31137261815981865</v>
      </c>
      <c r="J7" s="28" t="s">
        <v>109</v>
      </c>
      <c r="K7" s="74" t="s">
        <v>110</v>
      </c>
    </row>
    <row r="8" spans="1:11" ht="15.75">
      <c r="A8" s="56" t="str">
        <v>Uxbridge D</v>
      </c>
      <c r="B8" s="44" t="str">
        <v>MA</v>
      </c>
      <c r="C8" s="57">
        <v>184896</v>
      </c>
      <c r="D8" s="45">
        <v>189125.4</v>
      </c>
      <c r="E8" s="45">
        <f t="shared" si="0"/>
        <v>-4229.3999999999942</v>
      </c>
      <c r="F8" s="58">
        <f t="shared" si="3"/>
        <v>-2.236294014447554E-2</v>
      </c>
      <c r="G8" s="47">
        <v>183894.5</v>
      </c>
      <c r="H8" s="47">
        <f t="shared" si="1"/>
        <v>1001.5</v>
      </c>
      <c r="I8" s="46">
        <f t="shared" si="2"/>
        <v>5.4460573861643494E-3</v>
      </c>
      <c r="J8" s="27" t="s">
        <v>111</v>
      </c>
      <c r="K8" s="27" t="s">
        <v>112</v>
      </c>
    </row>
    <row r="9" spans="1:11" ht="15.75">
      <c r="A9" s="55" t="str">
        <v>West Bridgewater A&amp;B</v>
      </c>
      <c r="B9" s="50" t="str">
        <v>MA</v>
      </c>
      <c r="C9" s="59">
        <v>315635</v>
      </c>
      <c r="D9" s="51">
        <v>330947.20000000001</v>
      </c>
      <c r="E9" s="51">
        <f t="shared" si="0"/>
        <v>-15312.200000000012</v>
      </c>
      <c r="F9" s="52">
        <f t="shared" si="3"/>
        <v>-4.6267803444174811E-2</v>
      </c>
      <c r="G9" s="53">
        <v>315957.3</v>
      </c>
      <c r="H9" s="53">
        <f t="shared" si="1"/>
        <v>-322.29999999998836</v>
      </c>
      <c r="I9" s="52">
        <f t="shared" si="2"/>
        <v>-1.0200745480480698E-3</v>
      </c>
      <c r="J9" s="28"/>
      <c r="K9" s="29"/>
    </row>
    <row r="10" spans="1:11" ht="15.75">
      <c r="A10" s="56" t="str">
        <v>Sutton A</v>
      </c>
      <c r="B10" s="44" t="str">
        <v>MA</v>
      </c>
      <c r="C10" s="57">
        <v>175687</v>
      </c>
      <c r="D10" s="45">
        <v>175040.1</v>
      </c>
      <c r="E10" s="45">
        <f t="shared" si="0"/>
        <v>646.89999999999418</v>
      </c>
      <c r="F10" s="58">
        <f t="shared" si="3"/>
        <v>3.6957245796819939E-3</v>
      </c>
      <c r="G10" s="47">
        <v>179696.6</v>
      </c>
      <c r="H10" s="47">
        <f t="shared" si="1"/>
        <v>-4009.6000000000058</v>
      </c>
      <c r="I10" s="46">
        <f t="shared" si="2"/>
        <v>-2.2313165635855135E-2</v>
      </c>
      <c r="J10" s="27"/>
      <c r="K10" s="27"/>
    </row>
    <row r="11" spans="1:11" ht="15.75">
      <c r="A11" s="55" t="str">
        <v>North Adams A</v>
      </c>
      <c r="B11" s="50" t="str">
        <v>MA</v>
      </c>
      <c r="C11" s="59">
        <v>175275</v>
      </c>
      <c r="D11" s="51">
        <v>176595</v>
      </c>
      <c r="E11" s="51">
        <f t="shared" si="0"/>
        <v>-1320</v>
      </c>
      <c r="F11" s="52">
        <f t="shared" si="3"/>
        <v>-7.474730315127835E-3</v>
      </c>
      <c r="G11" s="53">
        <v>182658.6</v>
      </c>
      <c r="H11" s="53">
        <f t="shared" si="1"/>
        <v>-7383.6000000000058</v>
      </c>
      <c r="I11" s="52">
        <f t="shared" si="2"/>
        <v>-4.0422952984420148E-2</v>
      </c>
      <c r="J11" s="28" t="s">
        <v>113</v>
      </c>
      <c r="K11" s="29" t="s">
        <v>114</v>
      </c>
    </row>
    <row r="12" spans="1:11" ht="15.75">
      <c r="A12" s="56" t="str">
        <v>North Adams B</v>
      </c>
      <c r="B12" s="44" t="str">
        <v>MA</v>
      </c>
      <c r="C12" s="57">
        <v>173476</v>
      </c>
      <c r="D12" s="45">
        <v>153892.6</v>
      </c>
      <c r="E12" s="45">
        <f t="shared" si="0"/>
        <v>19583.399999999994</v>
      </c>
      <c r="F12" s="58">
        <f t="shared" si="3"/>
        <v>0.12725368211336993</v>
      </c>
      <c r="G12" s="47">
        <v>182658.6</v>
      </c>
      <c r="H12" s="47">
        <f t="shared" si="1"/>
        <v>-9182.6000000000058</v>
      </c>
      <c r="I12" s="46">
        <f t="shared" si="2"/>
        <v>-5.0271928066896412E-2</v>
      </c>
      <c r="J12" s="27" t="s">
        <v>115</v>
      </c>
      <c r="K12" s="27" t="s">
        <v>116</v>
      </c>
    </row>
    <row r="13" spans="1:11" ht="31.5">
      <c r="A13" s="55" t="str">
        <v>Clarksburg A</v>
      </c>
      <c r="B13" s="50" t="str">
        <v>MA</v>
      </c>
      <c r="C13" s="59">
        <v>167342</v>
      </c>
      <c r="D13" s="51">
        <v>175618</v>
      </c>
      <c r="E13" s="51">
        <f t="shared" si="0"/>
        <v>-8276</v>
      </c>
      <c r="F13" s="52">
        <f t="shared" si="3"/>
        <v>-4.7125009964809984E-2</v>
      </c>
      <c r="G13" s="53">
        <v>181829.1</v>
      </c>
      <c r="H13" s="53">
        <f t="shared" si="1"/>
        <v>-14487.100000000006</v>
      </c>
      <c r="I13" s="52">
        <f t="shared" si="2"/>
        <v>-7.9674265560353133E-2</v>
      </c>
      <c r="J13" s="28" t="s">
        <v>117</v>
      </c>
      <c r="K13" s="76" t="s">
        <v>118</v>
      </c>
    </row>
    <row r="14" spans="1:11" ht="15.75">
      <c r="A14" s="56" t="str">
        <v>Swansea B</v>
      </c>
      <c r="B14" s="44" t="str">
        <v>MA</v>
      </c>
      <c r="C14" s="57">
        <v>203535</v>
      </c>
      <c r="D14" s="45">
        <v>208333.7</v>
      </c>
      <c r="E14" s="45">
        <f t="shared" si="0"/>
        <v>-4798.7000000000116</v>
      </c>
      <c r="F14" s="58">
        <f t="shared" si="3"/>
        <v>-2.3033719460653804E-2</v>
      </c>
      <c r="G14" s="47">
        <v>147117.20000000001</v>
      </c>
      <c r="H14" s="47">
        <f t="shared" si="1"/>
        <v>56417.799999999988</v>
      </c>
      <c r="I14" s="46">
        <f t="shared" si="2"/>
        <v>0.38348881028187037</v>
      </c>
      <c r="J14" s="27"/>
      <c r="K14" s="27"/>
    </row>
    <row r="15" spans="1:11" ht="15.75">
      <c r="A15" s="55" t="str">
        <v>Wareham 2</v>
      </c>
      <c r="B15" s="50" t="str">
        <v>MA</v>
      </c>
      <c r="C15" s="59">
        <v>175958.75</v>
      </c>
      <c r="D15" s="51">
        <v>178069.2</v>
      </c>
      <c r="E15" s="51">
        <f t="shared" si="0"/>
        <v>-2110.4500000000116</v>
      </c>
      <c r="F15" s="52">
        <f t="shared" si="3"/>
        <v>-1.1851853099806207E-2</v>
      </c>
      <c r="G15" s="53">
        <v>204614.2</v>
      </c>
      <c r="H15" s="53">
        <f t="shared" si="1"/>
        <v>-28655.450000000012</v>
      </c>
      <c r="I15" s="52">
        <f t="shared" si="2"/>
        <v>-0.14004624312486627</v>
      </c>
      <c r="J15" s="28" t="s">
        <v>119</v>
      </c>
      <c r="K15" s="29" t="s">
        <v>120</v>
      </c>
    </row>
    <row r="16" spans="1:11" ht="28.5">
      <c r="A16" s="56" t="str">
        <v>Kingston 1 KB</v>
      </c>
      <c r="B16" s="44" t="str">
        <v>MA</v>
      </c>
      <c r="C16" s="57">
        <v>162804</v>
      </c>
      <c r="D16" s="45">
        <v>167001</v>
      </c>
      <c r="E16" s="51">
        <f t="shared" si="0"/>
        <v>-4197</v>
      </c>
      <c r="F16" s="58">
        <f t="shared" si="3"/>
        <v>-2.5131586038406956E-2</v>
      </c>
      <c r="G16" s="47">
        <v>157451.9</v>
      </c>
      <c r="H16" s="47">
        <f t="shared" si="1"/>
        <v>5352.1000000000058</v>
      </c>
      <c r="I16" s="46">
        <f t="shared" si="2"/>
        <v>3.3991968340807609E-2</v>
      </c>
      <c r="J16" s="27" t="s">
        <v>121</v>
      </c>
      <c r="K16" s="27" t="s">
        <v>122</v>
      </c>
    </row>
    <row r="17" spans="1:11" ht="15.75">
      <c r="A17" s="55" t="str">
        <v>Kingston 2 KB</v>
      </c>
      <c r="B17" s="50" t="str">
        <v>MA</v>
      </c>
      <c r="C17" s="59">
        <v>135033</v>
      </c>
      <c r="D17" s="51">
        <v>119906.9</v>
      </c>
      <c r="E17" s="51">
        <f t="shared" si="0"/>
        <v>15126.100000000006</v>
      </c>
      <c r="F17" s="52">
        <f t="shared" si="3"/>
        <v>0.12614870370262268</v>
      </c>
      <c r="G17" s="53">
        <v>126380.4</v>
      </c>
      <c r="H17" s="47">
        <f t="shared" si="1"/>
        <v>8652.6000000000058</v>
      </c>
      <c r="I17" s="46">
        <f t="shared" si="2"/>
        <v>6.846473029045648E-2</v>
      </c>
      <c r="J17" s="28"/>
      <c r="K17" s="29"/>
    </row>
    <row r="18" spans="1:11" ht="88.9" customHeight="1">
      <c r="A18" s="77" t="str">
        <v>Holliston B</v>
      </c>
      <c r="B18" s="44" t="str">
        <v>MA</v>
      </c>
      <c r="C18" s="57">
        <v>189160</v>
      </c>
      <c r="D18" s="45">
        <v>184580.1</v>
      </c>
      <c r="E18" s="51">
        <f t="shared" si="0"/>
        <v>4579.8999999999942</v>
      </c>
      <c r="F18" s="52">
        <f t="shared" si="3"/>
        <v>2.4812533962220162E-2</v>
      </c>
      <c r="G18" s="47">
        <v>188764.3</v>
      </c>
      <c r="H18" s="47">
        <f t="shared" si="1"/>
        <v>395.70000000001164</v>
      </c>
      <c r="I18" s="46">
        <f t="shared" si="2"/>
        <v>2.0962650246895819E-3</v>
      </c>
      <c r="J18" s="27" t="s">
        <v>123</v>
      </c>
      <c r="K18" s="27" t="s">
        <v>124</v>
      </c>
    </row>
    <row r="19" spans="1:11" ht="15.75">
      <c r="A19" s="55" t="str">
        <v>Fairhaven C</v>
      </c>
      <c r="B19" s="50" t="str">
        <v>MA</v>
      </c>
      <c r="C19" s="59">
        <v>345514</v>
      </c>
      <c r="D19" s="51">
        <v>370667.3</v>
      </c>
      <c r="E19" s="51">
        <f t="shared" si="0"/>
        <v>-25153.299999999988</v>
      </c>
      <c r="F19" s="52">
        <f t="shared" si="3"/>
        <v>-6.7859506355159971E-2</v>
      </c>
      <c r="G19" s="53">
        <v>352742.2</v>
      </c>
      <c r="H19" s="47">
        <f t="shared" si="1"/>
        <v>-7228.2000000000116</v>
      </c>
      <c r="I19" s="46">
        <f t="shared" si="2"/>
        <v>-2.0491452397813505E-2</v>
      </c>
      <c r="J19" s="28" t="s">
        <v>125</v>
      </c>
      <c r="K19" s="28" t="s">
        <v>126</v>
      </c>
    </row>
    <row r="20" spans="1:11" ht="15.75">
      <c r="A20" s="56" t="str">
        <v>Plympton A-2</v>
      </c>
      <c r="B20" s="44" t="str">
        <v>MA</v>
      </c>
      <c r="C20" s="57">
        <v>185140</v>
      </c>
      <c r="D20" s="45">
        <v>198019.6</v>
      </c>
      <c r="E20" s="51">
        <f t="shared" si="0"/>
        <v>-12879.600000000006</v>
      </c>
      <c r="F20" s="52">
        <f t="shared" si="3"/>
        <v>-6.5042046342887294E-2</v>
      </c>
      <c r="G20" s="47">
        <v>192882.5</v>
      </c>
      <c r="H20" s="47">
        <f t="shared" si="1"/>
        <v>-7742.5</v>
      </c>
      <c r="I20" s="46">
        <f t="shared" si="2"/>
        <v>-4.0141018495716302E-2</v>
      </c>
      <c r="J20" s="27"/>
      <c r="K20" s="27"/>
    </row>
    <row r="21" spans="1:11" ht="14.2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4.2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4.2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4.2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4.2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4.2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4.2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4.2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2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2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2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2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2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2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2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2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2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2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2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2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2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2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2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2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2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2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2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2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2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2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2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2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2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2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2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2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2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2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2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2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2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2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2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2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2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2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2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2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2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2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2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2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2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2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2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2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2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2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2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2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2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2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2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2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2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2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2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2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2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2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2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2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2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2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2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2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2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2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2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2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2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2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2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2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2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2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2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2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2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2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2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2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2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2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2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2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2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2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2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2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2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2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2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2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2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2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2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2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2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2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2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2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2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2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2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2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2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2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2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2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2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2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2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2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2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2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2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2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2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2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2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2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2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2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2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2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2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2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2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2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2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2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2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2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2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2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2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2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2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2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2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2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2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2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2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2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2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2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2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2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2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2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2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2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2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2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2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2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2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2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2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2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2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2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2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2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2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2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2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2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2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2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2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2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2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2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2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2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2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2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2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2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2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2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2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2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2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2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2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2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2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2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2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2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2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2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2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2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2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2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2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2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2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2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2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2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2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2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2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2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2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2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2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2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2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2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2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2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2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2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2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2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2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2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2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2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2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2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2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2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2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2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2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2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2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2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2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2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2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2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2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2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2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2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2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2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2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2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2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2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2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2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2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2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2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2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2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2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2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2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2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2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2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2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2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2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2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2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2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2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2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2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2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2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2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2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2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2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2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2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2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2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2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2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2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2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2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2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2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2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2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2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4.2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4.2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4.2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4.2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4.2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4.2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4.2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4.2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4.2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4.2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4.2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4.2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4.2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4.2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 ht="13.9">
      <c r="C337" s="14"/>
      <c r="D337" s="14"/>
      <c r="E337" s="14"/>
      <c r="F337" s="15"/>
      <c r="G337" s="14"/>
      <c r="H337" s="14"/>
      <c r="I337" s="15"/>
      <c r="J337" s="14"/>
      <c r="K337" s="14"/>
    </row>
  </sheetData>
  <mergeCells count="4">
    <mergeCell ref="G1:I1"/>
    <mergeCell ref="A1:C1"/>
    <mergeCell ref="D1:F1"/>
    <mergeCell ref="A2:B2"/>
  </mergeCells>
  <conditionalFormatting sqref="F2 I2 F4:F95 I4:I95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7"/>
  <sheetViews>
    <sheetView workbookViewId="0">
      <pane xSplit="2" ySplit="3" topLeftCell="C4" activePane="bottomRight" state="frozen"/>
      <selection pane="bottomRight" activeCell="A4" sqref="A4:I20"/>
      <selection pane="bottomLeft" activeCell="A4" sqref="A4:I20"/>
      <selection pane="topRight" activeCell="A4" sqref="A4:I20"/>
    </sheetView>
  </sheetViews>
  <sheetFormatPr defaultRowHeight="13.5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9" t="str" cm="1">
        <f t="array" ref="A1">portfolio</f>
        <v>MN8 KEF</v>
      </c>
      <c r="B1" s="79"/>
      <c r="C1" s="79"/>
      <c r="D1" s="80" t="s">
        <v>127</v>
      </c>
      <c r="E1" s="80"/>
      <c r="F1" s="80"/>
      <c r="G1" s="78" t="s">
        <v>128</v>
      </c>
      <c r="H1" s="78"/>
      <c r="I1" s="78"/>
      <c r="J1" s="4"/>
      <c r="K1" s="4"/>
    </row>
    <row r="2" spans="1:11" ht="19.5" customHeight="1">
      <c r="A2" s="81" t="s">
        <v>2</v>
      </c>
      <c r="B2" s="81"/>
      <c r="C2" s="5">
        <f>SUM(C4:C95)</f>
        <v>0</v>
      </c>
      <c r="D2" s="5">
        <f>SUM(D4:D95)</f>
        <v>0</v>
      </c>
      <c r="E2" s="5">
        <f>C2-D2</f>
        <v>0</v>
      </c>
      <c r="F2" s="6">
        <f>IFERROR(E2/D2, 0)</f>
        <v>0</v>
      </c>
      <c r="G2" s="5">
        <f>SUM(G4:G95)</f>
        <v>0</v>
      </c>
      <c r="H2" s="7">
        <f>C2-G2</f>
        <v>0</v>
      </c>
      <c r="I2" s="6">
        <f>IFERROR(H2/G2, 0)</f>
        <v>0</v>
      </c>
      <c r="J2" s="18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75">
      <c r="A4" s="65" t="str" cm="1">
        <f t="array" ref="A4:A20">Sites[Site]</f>
        <v>Williamsburg A</v>
      </c>
      <c r="B4" s="44" t="str" cm="1">
        <f t="array" ref="B4:B20">Sites[State]</f>
        <v>MA</v>
      </c>
      <c r="C4" s="57"/>
      <c r="D4" s="45"/>
      <c r="E4" s="45" t="str">
        <f>IF(AND(ISNUMBER(C4),ISNUMBER(D4)), C4-D4, "")</f>
        <v/>
      </c>
      <c r="F4" s="58" t="str">
        <f>IFERROR(E4/D4, "")</f>
        <v/>
      </c>
      <c r="G4" s="47"/>
      <c r="H4" s="47" t="str">
        <f>IF(AND(ISNUMBER(C4),ISNUMBER(G4)), C4-G4, "")</f>
        <v/>
      </c>
      <c r="I4" s="46" t="str">
        <f>IFERROR(H4/G4, "")</f>
        <v/>
      </c>
      <c r="J4" s="27"/>
      <c r="K4" s="27"/>
    </row>
    <row r="5" spans="1:11" ht="15.75">
      <c r="A5" s="55" t="str">
        <v>Orange A KB</v>
      </c>
      <c r="B5" s="50" t="str">
        <v>MA</v>
      </c>
      <c r="C5" s="59"/>
      <c r="D5" s="51"/>
      <c r="E5" s="51" t="str">
        <f t="shared" ref="E5:E17" si="0">IF(AND(ISNUMBER(C5),ISNUMBER(D5)), C5-D5, "")</f>
        <v/>
      </c>
      <c r="F5" s="52" t="str">
        <f>IFERROR(E5/D5, "")</f>
        <v/>
      </c>
      <c r="G5" s="53"/>
      <c r="H5" s="53" t="str">
        <f t="shared" ref="H5:H17" si="1">IF(AND(ISNUMBER(C5),ISNUMBER(G5)), C5-G5, "")</f>
        <v/>
      </c>
      <c r="I5" s="52" t="str">
        <f t="shared" ref="I5:I17" si="2">IFERROR(H5/G5, "")</f>
        <v/>
      </c>
      <c r="J5" s="28"/>
      <c r="K5" s="28"/>
    </row>
    <row r="6" spans="1:11" ht="15.75">
      <c r="A6" s="56" t="str">
        <v>Goshen A</v>
      </c>
      <c r="B6" s="44" t="str">
        <v>MA</v>
      </c>
      <c r="C6" s="57"/>
      <c r="D6" s="45"/>
      <c r="E6" s="45" t="str">
        <f t="shared" si="0"/>
        <v/>
      </c>
      <c r="F6" s="58" t="str">
        <f t="shared" ref="F6:F17" si="3">IFERROR(E6/D6, "")</f>
        <v/>
      </c>
      <c r="G6" s="47"/>
      <c r="H6" s="47" t="str">
        <f t="shared" si="1"/>
        <v/>
      </c>
      <c r="I6" s="46" t="str">
        <f t="shared" si="2"/>
        <v/>
      </c>
      <c r="J6" s="27"/>
      <c r="K6" s="27"/>
    </row>
    <row r="7" spans="1:11" ht="15.75">
      <c r="A7" s="55" t="str">
        <v>Phillipston A KB</v>
      </c>
      <c r="B7" s="50" t="str">
        <v>MA</v>
      </c>
      <c r="C7" s="59"/>
      <c r="D7" s="51"/>
      <c r="E7" s="51" t="str">
        <f t="shared" si="0"/>
        <v/>
      </c>
      <c r="F7" s="52" t="str">
        <f t="shared" si="3"/>
        <v/>
      </c>
      <c r="G7" s="53"/>
      <c r="H7" s="53" t="str">
        <f t="shared" si="1"/>
        <v/>
      </c>
      <c r="I7" s="52" t="str">
        <f t="shared" si="2"/>
        <v/>
      </c>
      <c r="J7" s="28"/>
      <c r="K7" s="29"/>
    </row>
    <row r="8" spans="1:11" ht="15.75">
      <c r="A8" s="56" t="str">
        <v>Uxbridge D</v>
      </c>
      <c r="B8" s="44" t="str">
        <v>MA</v>
      </c>
      <c r="C8" s="57"/>
      <c r="D8" s="45"/>
      <c r="E8" s="45" t="str">
        <f t="shared" si="0"/>
        <v/>
      </c>
      <c r="F8" s="58" t="str">
        <f t="shared" si="3"/>
        <v/>
      </c>
      <c r="G8" s="47"/>
      <c r="H8" s="47" t="str">
        <f t="shared" si="1"/>
        <v/>
      </c>
      <c r="I8" s="46" t="str">
        <f t="shared" si="2"/>
        <v/>
      </c>
      <c r="J8" s="27"/>
      <c r="K8" s="27"/>
    </row>
    <row r="9" spans="1:11" ht="15.75">
      <c r="A9" s="55" t="str">
        <v>West Bridgewater A&amp;B</v>
      </c>
      <c r="B9" s="50" t="str">
        <v>MA</v>
      </c>
      <c r="C9" s="59"/>
      <c r="D9" s="51"/>
      <c r="E9" s="51" t="str">
        <f t="shared" si="0"/>
        <v/>
      </c>
      <c r="F9" s="52" t="str">
        <f t="shared" si="3"/>
        <v/>
      </c>
      <c r="G9" s="53"/>
      <c r="H9" s="53" t="str">
        <f t="shared" si="1"/>
        <v/>
      </c>
      <c r="I9" s="52" t="str">
        <f t="shared" si="2"/>
        <v/>
      </c>
      <c r="J9" s="28"/>
      <c r="K9" s="29"/>
    </row>
    <row r="10" spans="1:11" ht="15.75">
      <c r="A10" s="56" t="str">
        <v>Sutton A</v>
      </c>
      <c r="B10" s="44" t="str">
        <v>MA</v>
      </c>
      <c r="C10" s="57"/>
      <c r="D10" s="45"/>
      <c r="E10" s="45" t="str">
        <f t="shared" si="0"/>
        <v/>
      </c>
      <c r="F10" s="58" t="str">
        <f t="shared" si="3"/>
        <v/>
      </c>
      <c r="G10" s="47"/>
      <c r="H10" s="47" t="str">
        <f t="shared" si="1"/>
        <v/>
      </c>
      <c r="I10" s="46" t="str">
        <f t="shared" si="2"/>
        <v/>
      </c>
      <c r="J10" s="27"/>
      <c r="K10" s="27"/>
    </row>
    <row r="11" spans="1:11" ht="15.75">
      <c r="A11" s="55" t="str">
        <v>North Adams A</v>
      </c>
      <c r="B11" s="50" t="str">
        <v>MA</v>
      </c>
      <c r="C11" s="59"/>
      <c r="D11" s="51"/>
      <c r="E11" s="51" t="str">
        <f t="shared" si="0"/>
        <v/>
      </c>
      <c r="F11" s="52" t="str">
        <f t="shared" si="3"/>
        <v/>
      </c>
      <c r="G11" s="53"/>
      <c r="H11" s="53" t="str">
        <f t="shared" si="1"/>
        <v/>
      </c>
      <c r="I11" s="52" t="str">
        <f t="shared" si="2"/>
        <v/>
      </c>
      <c r="J11" s="28"/>
      <c r="K11" s="29"/>
    </row>
    <row r="12" spans="1:11" ht="15.75">
      <c r="A12" s="56" t="str">
        <v>North Adams B</v>
      </c>
      <c r="B12" s="44" t="str">
        <v>MA</v>
      </c>
      <c r="C12" s="57"/>
      <c r="D12" s="45"/>
      <c r="E12" s="45" t="str">
        <f t="shared" si="0"/>
        <v/>
      </c>
      <c r="F12" s="58" t="str">
        <f t="shared" si="3"/>
        <v/>
      </c>
      <c r="G12" s="47"/>
      <c r="H12" s="47" t="str">
        <f t="shared" si="1"/>
        <v/>
      </c>
      <c r="I12" s="46" t="str">
        <f t="shared" si="2"/>
        <v/>
      </c>
      <c r="J12" s="27"/>
      <c r="K12" s="27"/>
    </row>
    <row r="13" spans="1:11" ht="15.75">
      <c r="A13" s="55" t="str">
        <v>Clarksburg A</v>
      </c>
      <c r="B13" s="50" t="str">
        <v>MA</v>
      </c>
      <c r="C13" s="59"/>
      <c r="D13" s="51"/>
      <c r="E13" s="51" t="str">
        <f t="shared" si="0"/>
        <v/>
      </c>
      <c r="F13" s="52" t="str">
        <f t="shared" si="3"/>
        <v/>
      </c>
      <c r="G13" s="53"/>
      <c r="H13" s="53" t="str">
        <f t="shared" si="1"/>
        <v/>
      </c>
      <c r="I13" s="52" t="str">
        <f t="shared" si="2"/>
        <v/>
      </c>
      <c r="J13" s="28"/>
      <c r="K13" s="29"/>
    </row>
    <row r="14" spans="1:11" ht="15.75">
      <c r="A14" s="56" t="str">
        <v>Swansea B</v>
      </c>
      <c r="B14" s="44" t="str">
        <v>MA</v>
      </c>
      <c r="C14" s="57"/>
      <c r="D14" s="45"/>
      <c r="E14" s="45" t="str">
        <f t="shared" si="0"/>
        <v/>
      </c>
      <c r="F14" s="58" t="str">
        <f t="shared" si="3"/>
        <v/>
      </c>
      <c r="G14" s="47"/>
      <c r="H14" s="47" t="str">
        <f t="shared" si="1"/>
        <v/>
      </c>
      <c r="I14" s="46" t="str">
        <f t="shared" si="2"/>
        <v/>
      </c>
      <c r="J14" s="27"/>
      <c r="K14" s="27"/>
    </row>
    <row r="15" spans="1:11" ht="15.75">
      <c r="A15" s="55" t="str">
        <v>Wareham 2</v>
      </c>
      <c r="B15" s="50" t="str">
        <v>MA</v>
      </c>
      <c r="C15" s="59"/>
      <c r="D15" s="51"/>
      <c r="E15" s="51" t="str">
        <f t="shared" si="0"/>
        <v/>
      </c>
      <c r="F15" s="52" t="str">
        <f t="shared" si="3"/>
        <v/>
      </c>
      <c r="G15" s="53"/>
      <c r="H15" s="53" t="str">
        <f t="shared" si="1"/>
        <v/>
      </c>
      <c r="I15" s="52" t="str">
        <f t="shared" si="2"/>
        <v/>
      </c>
      <c r="J15" s="28"/>
      <c r="K15" s="29"/>
    </row>
    <row r="16" spans="1:11" ht="15.75">
      <c r="A16" s="56" t="str">
        <v>Kingston 1 KB</v>
      </c>
      <c r="B16" s="44" t="str">
        <v>MA</v>
      </c>
      <c r="C16" s="57"/>
      <c r="D16" s="45"/>
      <c r="E16" s="45" t="str">
        <f t="shared" si="0"/>
        <v/>
      </c>
      <c r="F16" s="58" t="str">
        <f t="shared" si="3"/>
        <v/>
      </c>
      <c r="G16" s="47"/>
      <c r="H16" s="47" t="str">
        <f t="shared" si="1"/>
        <v/>
      </c>
      <c r="I16" s="46" t="str">
        <f t="shared" si="2"/>
        <v/>
      </c>
      <c r="J16" s="27"/>
      <c r="K16" s="27"/>
    </row>
    <row r="17" spans="1:11" ht="15.75">
      <c r="A17" s="55" t="str">
        <v>Kingston 2 KB</v>
      </c>
      <c r="B17" s="50" t="str">
        <v>MA</v>
      </c>
      <c r="C17" s="59"/>
      <c r="D17" s="51"/>
      <c r="E17" s="51" t="str">
        <f t="shared" si="0"/>
        <v/>
      </c>
      <c r="F17" s="52" t="str">
        <f t="shared" si="3"/>
        <v/>
      </c>
      <c r="G17" s="53"/>
      <c r="H17" s="53" t="str">
        <f t="shared" si="1"/>
        <v/>
      </c>
      <c r="I17" s="52" t="str">
        <f t="shared" si="2"/>
        <v/>
      </c>
      <c r="J17" s="28"/>
      <c r="K17" s="29"/>
    </row>
    <row r="18" spans="1:11" ht="12.75" customHeight="1">
      <c r="A18" s="65" t="str">
        <v>Holliston B</v>
      </c>
      <c r="B18" s="44" t="str">
        <v>MA</v>
      </c>
      <c r="C18" s="57"/>
      <c r="D18" s="45"/>
      <c r="E18" s="45"/>
      <c r="F18" s="58"/>
      <c r="G18" s="47"/>
      <c r="H18" s="47"/>
      <c r="I18" s="46"/>
      <c r="J18" s="27"/>
      <c r="K18" s="27"/>
    </row>
    <row r="19" spans="1:11" ht="15.75">
      <c r="A19" s="55" t="str">
        <v>Fairhaven C</v>
      </c>
      <c r="B19" s="50" t="str">
        <v>MA</v>
      </c>
      <c r="C19" s="59"/>
      <c r="D19" s="51"/>
      <c r="E19" s="51"/>
      <c r="F19" s="52"/>
      <c r="G19" s="53"/>
      <c r="H19" s="53"/>
      <c r="I19" s="52"/>
      <c r="J19" s="28"/>
      <c r="K19" s="28"/>
    </row>
    <row r="20" spans="1:11" ht="15.75">
      <c r="A20" s="56" t="str">
        <v>Plympton A-2</v>
      </c>
      <c r="B20" s="44" t="str">
        <v>MA</v>
      </c>
      <c r="C20" s="57"/>
      <c r="D20" s="45"/>
      <c r="E20" s="45"/>
      <c r="F20" s="58"/>
      <c r="G20" s="47"/>
      <c r="H20" s="47"/>
      <c r="I20" s="46"/>
      <c r="J20" s="27"/>
      <c r="K20" s="27"/>
    </row>
    <row r="21" spans="1:11" ht="14.2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4.2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4.2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4.2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4.2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4.2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4.2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4.2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2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2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2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2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2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2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2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2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2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2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2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2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2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2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2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2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2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2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2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2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2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2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2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2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2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2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2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2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2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2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2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2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2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2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2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2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2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2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2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2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2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2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2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2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2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2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2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2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2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2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2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2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2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2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2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2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2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2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2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2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2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2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2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2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2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2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2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2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2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2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2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2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2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2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2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2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2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2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2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2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2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2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2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2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2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2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2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2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2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2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2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2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2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2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2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2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2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2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2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2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2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2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2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2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2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2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2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2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2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2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2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2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2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2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2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2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2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2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2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2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2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2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2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2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2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2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2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2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2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2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2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2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2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2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2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2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2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2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2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2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2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2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2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2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2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2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2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2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2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2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2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2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2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2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2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2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2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2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2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2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2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2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2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2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2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2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2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2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2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2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2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2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2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2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2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2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2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2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2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2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2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2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2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2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2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2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2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2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2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2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2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2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2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2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2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2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2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2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2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2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2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2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2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2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2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2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2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2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2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2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2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2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2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2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2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2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2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2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2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2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2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2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2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2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2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2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2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2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2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2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2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2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2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2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2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2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2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2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2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2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2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2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2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2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2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2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2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2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2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2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2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2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2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2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2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2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2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2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2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2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2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2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2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2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2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2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2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2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2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2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2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2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2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2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2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2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2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2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2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2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2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2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2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2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2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2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2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2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2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2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2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2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2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2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4.2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4.2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4.2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4.2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4.2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4.2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4.2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4.2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4.2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4.2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4.2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4.2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4.2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4.2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 ht="13.9">
      <c r="C337" s="14"/>
      <c r="D337" s="14"/>
      <c r="E337" s="14"/>
      <c r="F337" s="15"/>
      <c r="G337" s="14"/>
      <c r="H337" s="14"/>
      <c r="I337" s="15"/>
      <c r="J337" s="14"/>
      <c r="K337" s="14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 F4:F95 I4:I95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7"/>
  <sheetViews>
    <sheetView workbookViewId="0">
      <pane xSplit="2" ySplit="3" topLeftCell="C4" activePane="bottomRight" state="frozen"/>
      <selection pane="bottomRight" activeCell="A4" sqref="A4:I20"/>
      <selection pane="bottomLeft" activeCell="A4" sqref="A4:I20"/>
      <selection pane="topRight" activeCell="A4" sqref="A4:I20"/>
    </sheetView>
  </sheetViews>
  <sheetFormatPr defaultRowHeight="13.5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9" t="str" cm="1">
        <f t="array" ref="A1">portfolio</f>
        <v>MN8 KEF</v>
      </c>
      <c r="B1" s="79"/>
      <c r="C1" s="79"/>
      <c r="D1" s="80" t="s">
        <v>129</v>
      </c>
      <c r="E1" s="80"/>
      <c r="F1" s="80"/>
      <c r="G1" s="78" t="s">
        <v>130</v>
      </c>
      <c r="H1" s="78"/>
      <c r="I1" s="78"/>
      <c r="J1" s="4"/>
      <c r="K1" s="4"/>
    </row>
    <row r="2" spans="1:11" ht="19.5" customHeight="1">
      <c r="A2" s="81" t="s">
        <v>2</v>
      </c>
      <c r="B2" s="81"/>
      <c r="C2" s="5">
        <f>SUM(C4:C95)</f>
        <v>0</v>
      </c>
      <c r="D2" s="5">
        <f>SUM(D4:D95)</f>
        <v>0</v>
      </c>
      <c r="E2" s="5">
        <f>C2-D2</f>
        <v>0</v>
      </c>
      <c r="F2" s="6">
        <f>IFERROR(E2/D2, 0)</f>
        <v>0</v>
      </c>
      <c r="G2" s="5">
        <f>SUM(G4:G95)</f>
        <v>0</v>
      </c>
      <c r="H2" s="7">
        <f>C2-G2</f>
        <v>0</v>
      </c>
      <c r="I2" s="6">
        <f>IFERROR(H2/G2, 0)</f>
        <v>0</v>
      </c>
      <c r="J2" s="1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75">
      <c r="A4" s="65" t="str" cm="1">
        <f t="array" ref="A4:A20">Sites[Site]</f>
        <v>Williamsburg A</v>
      </c>
      <c r="B4" s="44" t="str" cm="1">
        <f t="array" ref="B4:B20">Sites[State]</f>
        <v>MA</v>
      </c>
      <c r="C4" s="57"/>
      <c r="D4" s="45"/>
      <c r="E4" s="45" t="str">
        <f>IF(AND(ISNUMBER(C4),ISNUMBER(D4)), C4-D4, "")</f>
        <v/>
      </c>
      <c r="F4" s="58" t="str">
        <f>IFERROR(E4/D4, "")</f>
        <v/>
      </c>
      <c r="G4" s="47"/>
      <c r="H4" s="47" t="str">
        <f>IF(AND(ISNUMBER(C4),ISNUMBER(G4)), C4-G4, "")</f>
        <v/>
      </c>
      <c r="I4" s="46" t="str">
        <f>IFERROR(H4/G4, "")</f>
        <v/>
      </c>
      <c r="J4" s="27"/>
      <c r="K4" s="27"/>
    </row>
    <row r="5" spans="1:11" ht="15.75">
      <c r="A5" s="55" t="str">
        <v>Orange A KB</v>
      </c>
      <c r="B5" s="50" t="str">
        <v>MA</v>
      </c>
      <c r="C5" s="59"/>
      <c r="D5" s="51"/>
      <c r="E5" s="51" t="str">
        <f t="shared" ref="E5:E17" si="0">IF(AND(ISNUMBER(C5),ISNUMBER(D5)), C5-D5, "")</f>
        <v/>
      </c>
      <c r="F5" s="52" t="str">
        <f>IFERROR(E5/D5, "")</f>
        <v/>
      </c>
      <c r="G5" s="53"/>
      <c r="H5" s="53" t="str">
        <f t="shared" ref="H5:H17" si="1">IF(AND(ISNUMBER(C5),ISNUMBER(G5)), C5-G5, "")</f>
        <v/>
      </c>
      <c r="I5" s="52" t="str">
        <f t="shared" ref="I5:I17" si="2">IFERROR(H5/G5, "")</f>
        <v/>
      </c>
      <c r="J5" s="28"/>
      <c r="K5" s="28"/>
    </row>
    <row r="6" spans="1:11" ht="15.75">
      <c r="A6" s="56" t="str">
        <v>Goshen A</v>
      </c>
      <c r="B6" s="44" t="str">
        <v>MA</v>
      </c>
      <c r="C6" s="57"/>
      <c r="D6" s="45"/>
      <c r="E6" s="45" t="str">
        <f t="shared" si="0"/>
        <v/>
      </c>
      <c r="F6" s="58" t="str">
        <f t="shared" ref="F6:F17" si="3">IFERROR(E6/D6, "")</f>
        <v/>
      </c>
      <c r="G6" s="47"/>
      <c r="H6" s="47" t="str">
        <f t="shared" si="1"/>
        <v/>
      </c>
      <c r="I6" s="46" t="str">
        <f t="shared" si="2"/>
        <v/>
      </c>
      <c r="J6" s="27"/>
      <c r="K6" s="27"/>
    </row>
    <row r="7" spans="1:11" ht="15.75">
      <c r="A7" s="55" t="str">
        <v>Phillipston A KB</v>
      </c>
      <c r="B7" s="50" t="str">
        <v>MA</v>
      </c>
      <c r="C7" s="59"/>
      <c r="D7" s="51"/>
      <c r="E7" s="51" t="str">
        <f t="shared" si="0"/>
        <v/>
      </c>
      <c r="F7" s="52" t="str">
        <f t="shared" si="3"/>
        <v/>
      </c>
      <c r="G7" s="53"/>
      <c r="H7" s="53" t="str">
        <f t="shared" si="1"/>
        <v/>
      </c>
      <c r="I7" s="52" t="str">
        <f t="shared" si="2"/>
        <v/>
      </c>
      <c r="J7" s="28"/>
      <c r="K7" s="29"/>
    </row>
    <row r="8" spans="1:11" ht="15.75">
      <c r="A8" s="56" t="str">
        <v>Uxbridge D</v>
      </c>
      <c r="B8" s="44" t="str">
        <v>MA</v>
      </c>
      <c r="C8" s="57"/>
      <c r="D8" s="45"/>
      <c r="E8" s="45" t="str">
        <f t="shared" si="0"/>
        <v/>
      </c>
      <c r="F8" s="58" t="str">
        <f t="shared" si="3"/>
        <v/>
      </c>
      <c r="G8" s="47"/>
      <c r="H8" s="47" t="str">
        <f t="shared" si="1"/>
        <v/>
      </c>
      <c r="I8" s="46" t="str">
        <f t="shared" si="2"/>
        <v/>
      </c>
      <c r="J8" s="27"/>
      <c r="K8" s="27"/>
    </row>
    <row r="9" spans="1:11" ht="15.75">
      <c r="A9" s="55" t="str">
        <v>West Bridgewater A&amp;B</v>
      </c>
      <c r="B9" s="50" t="str">
        <v>MA</v>
      </c>
      <c r="C9" s="59"/>
      <c r="D9" s="51"/>
      <c r="E9" s="51" t="str">
        <f t="shared" si="0"/>
        <v/>
      </c>
      <c r="F9" s="52" t="str">
        <f t="shared" si="3"/>
        <v/>
      </c>
      <c r="G9" s="53"/>
      <c r="H9" s="53" t="str">
        <f t="shared" si="1"/>
        <v/>
      </c>
      <c r="I9" s="52" t="str">
        <f t="shared" si="2"/>
        <v/>
      </c>
      <c r="J9" s="28"/>
      <c r="K9" s="29"/>
    </row>
    <row r="10" spans="1:11" ht="15.75">
      <c r="A10" s="56" t="str">
        <v>Sutton A</v>
      </c>
      <c r="B10" s="44" t="str">
        <v>MA</v>
      </c>
      <c r="C10" s="57"/>
      <c r="D10" s="45"/>
      <c r="E10" s="45" t="str">
        <f t="shared" si="0"/>
        <v/>
      </c>
      <c r="F10" s="58" t="str">
        <f t="shared" si="3"/>
        <v/>
      </c>
      <c r="G10" s="47"/>
      <c r="H10" s="47" t="str">
        <f t="shared" si="1"/>
        <v/>
      </c>
      <c r="I10" s="46" t="str">
        <f t="shared" si="2"/>
        <v/>
      </c>
      <c r="J10" s="27"/>
      <c r="K10" s="27"/>
    </row>
    <row r="11" spans="1:11" ht="15.75">
      <c r="A11" s="55" t="str">
        <v>North Adams A</v>
      </c>
      <c r="B11" s="50" t="str">
        <v>MA</v>
      </c>
      <c r="C11" s="59"/>
      <c r="D11" s="51"/>
      <c r="E11" s="51" t="str">
        <f t="shared" si="0"/>
        <v/>
      </c>
      <c r="F11" s="52" t="str">
        <f t="shared" si="3"/>
        <v/>
      </c>
      <c r="G11" s="53"/>
      <c r="H11" s="53" t="str">
        <f t="shared" si="1"/>
        <v/>
      </c>
      <c r="I11" s="52" t="str">
        <f t="shared" si="2"/>
        <v/>
      </c>
      <c r="J11" s="28"/>
      <c r="K11" s="29"/>
    </row>
    <row r="12" spans="1:11" ht="15.75">
      <c r="A12" s="56" t="str">
        <v>North Adams B</v>
      </c>
      <c r="B12" s="44" t="str">
        <v>MA</v>
      </c>
      <c r="C12" s="57"/>
      <c r="D12" s="45"/>
      <c r="E12" s="45" t="str">
        <f t="shared" si="0"/>
        <v/>
      </c>
      <c r="F12" s="58" t="str">
        <f t="shared" si="3"/>
        <v/>
      </c>
      <c r="G12" s="47"/>
      <c r="H12" s="47" t="str">
        <f t="shared" si="1"/>
        <v/>
      </c>
      <c r="I12" s="46" t="str">
        <f t="shared" si="2"/>
        <v/>
      </c>
      <c r="J12" s="27"/>
      <c r="K12" s="27"/>
    </row>
    <row r="13" spans="1:11" ht="15.75">
      <c r="A13" s="55" t="str">
        <v>Clarksburg A</v>
      </c>
      <c r="B13" s="50" t="str">
        <v>MA</v>
      </c>
      <c r="C13" s="59"/>
      <c r="D13" s="51"/>
      <c r="E13" s="51" t="str">
        <f t="shared" si="0"/>
        <v/>
      </c>
      <c r="F13" s="52" t="str">
        <f t="shared" si="3"/>
        <v/>
      </c>
      <c r="G13" s="53"/>
      <c r="H13" s="53" t="str">
        <f t="shared" si="1"/>
        <v/>
      </c>
      <c r="I13" s="52" t="str">
        <f t="shared" si="2"/>
        <v/>
      </c>
      <c r="J13" s="28"/>
      <c r="K13" s="29"/>
    </row>
    <row r="14" spans="1:11" ht="15.75">
      <c r="A14" s="56" t="str">
        <v>Swansea B</v>
      </c>
      <c r="B14" s="44" t="str">
        <v>MA</v>
      </c>
      <c r="C14" s="57"/>
      <c r="D14" s="45"/>
      <c r="E14" s="45" t="str">
        <f t="shared" si="0"/>
        <v/>
      </c>
      <c r="F14" s="58" t="str">
        <f t="shared" si="3"/>
        <v/>
      </c>
      <c r="G14" s="47"/>
      <c r="H14" s="47" t="str">
        <f t="shared" si="1"/>
        <v/>
      </c>
      <c r="I14" s="46" t="str">
        <f t="shared" si="2"/>
        <v/>
      </c>
      <c r="J14" s="27"/>
      <c r="K14" s="27"/>
    </row>
    <row r="15" spans="1:11" ht="15.75">
      <c r="A15" s="55" t="str">
        <v>Wareham 2</v>
      </c>
      <c r="B15" s="50" t="str">
        <v>MA</v>
      </c>
      <c r="C15" s="59"/>
      <c r="D15" s="51"/>
      <c r="E15" s="51" t="str">
        <f t="shared" si="0"/>
        <v/>
      </c>
      <c r="F15" s="52" t="str">
        <f t="shared" si="3"/>
        <v/>
      </c>
      <c r="G15" s="53"/>
      <c r="H15" s="53" t="str">
        <f t="shared" si="1"/>
        <v/>
      </c>
      <c r="I15" s="52" t="str">
        <f t="shared" si="2"/>
        <v/>
      </c>
      <c r="J15" s="28"/>
      <c r="K15" s="29"/>
    </row>
    <row r="16" spans="1:11" ht="15.75">
      <c r="A16" s="56" t="str">
        <v>Kingston 1 KB</v>
      </c>
      <c r="B16" s="44" t="str">
        <v>MA</v>
      </c>
      <c r="C16" s="57"/>
      <c r="D16" s="45"/>
      <c r="E16" s="45" t="str">
        <f t="shared" si="0"/>
        <v/>
      </c>
      <c r="F16" s="58" t="str">
        <f t="shared" si="3"/>
        <v/>
      </c>
      <c r="G16" s="47"/>
      <c r="H16" s="47" t="str">
        <f t="shared" si="1"/>
        <v/>
      </c>
      <c r="I16" s="46" t="str">
        <f t="shared" si="2"/>
        <v/>
      </c>
      <c r="J16" s="27"/>
      <c r="K16" s="27"/>
    </row>
    <row r="17" spans="1:11" ht="15.75">
      <c r="A17" s="55" t="str">
        <v>Kingston 2 KB</v>
      </c>
      <c r="B17" s="50" t="str">
        <v>MA</v>
      </c>
      <c r="C17" s="59"/>
      <c r="D17" s="51"/>
      <c r="E17" s="51" t="str">
        <f t="shared" si="0"/>
        <v/>
      </c>
      <c r="F17" s="52" t="str">
        <f t="shared" si="3"/>
        <v/>
      </c>
      <c r="G17" s="53"/>
      <c r="H17" s="53" t="str">
        <f t="shared" si="1"/>
        <v/>
      </c>
      <c r="I17" s="52" t="str">
        <f t="shared" si="2"/>
        <v/>
      </c>
      <c r="J17" s="28"/>
      <c r="K17" s="29"/>
    </row>
    <row r="18" spans="1:11" ht="12.75" customHeight="1">
      <c r="A18" s="65" t="str">
        <v>Holliston B</v>
      </c>
      <c r="B18" s="44" t="str">
        <v>MA</v>
      </c>
      <c r="C18" s="57"/>
      <c r="D18" s="45"/>
      <c r="E18" s="45"/>
      <c r="F18" s="58"/>
      <c r="G18" s="47"/>
      <c r="H18" s="47"/>
      <c r="I18" s="46"/>
      <c r="J18" s="27"/>
      <c r="K18" s="27"/>
    </row>
    <row r="19" spans="1:11" ht="15.75">
      <c r="A19" s="55" t="str">
        <v>Fairhaven C</v>
      </c>
      <c r="B19" s="50" t="str">
        <v>MA</v>
      </c>
      <c r="C19" s="59"/>
      <c r="D19" s="51"/>
      <c r="E19" s="51"/>
      <c r="F19" s="52"/>
      <c r="G19" s="53"/>
      <c r="H19" s="53"/>
      <c r="I19" s="52"/>
      <c r="J19" s="28"/>
      <c r="K19" s="28"/>
    </row>
    <row r="20" spans="1:11" ht="15.75">
      <c r="A20" s="56" t="str">
        <v>Plympton A-2</v>
      </c>
      <c r="B20" s="44" t="str">
        <v>MA</v>
      </c>
      <c r="C20" s="57"/>
      <c r="D20" s="45"/>
      <c r="E20" s="45"/>
      <c r="F20" s="58"/>
      <c r="G20" s="47"/>
      <c r="H20" s="47"/>
      <c r="I20" s="46"/>
      <c r="J20" s="27"/>
      <c r="K20" s="27"/>
    </row>
    <row r="21" spans="1:11" ht="14.2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4.2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4.2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4.2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4.2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4.2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4.2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4.2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2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2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2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2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2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2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2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2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2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2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2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2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2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2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2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2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2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2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2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2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2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2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2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2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2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2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2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2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2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2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2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2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2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2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2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2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2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2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2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2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2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2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2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2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2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2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2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2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2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2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2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2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2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2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2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2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2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2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2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2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2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2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2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2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2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2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2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2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2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2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2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2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2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2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2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2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2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2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2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2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2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2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2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2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2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2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2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2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2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2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2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2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2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2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2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2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2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2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2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2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2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2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2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2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2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2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2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2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2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2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2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2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2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2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2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2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2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2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2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2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2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2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2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2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2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2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2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2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2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2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2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2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2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2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2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2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2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2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2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2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2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2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2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2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2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2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2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2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2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2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2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2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2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2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2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2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2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2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2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2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2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2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2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2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2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2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2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2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2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2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2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2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2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2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2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2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2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2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2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2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2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2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2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2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2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2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2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2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2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2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2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2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2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2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2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2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2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2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2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2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2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2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2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2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2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2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2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2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2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2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2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2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2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2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2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2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2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2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2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2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2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2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2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2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2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2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2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2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2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2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2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2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2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2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2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2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2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2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2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2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2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2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2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2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2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2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2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2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2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2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2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2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2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2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2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2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2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2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2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2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2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2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2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2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2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2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2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2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2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2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2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2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2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2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2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2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2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2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2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2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2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2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2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2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2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2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2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2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2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2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2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2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2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2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4.2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4.2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4.2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4.2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4.2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4.2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4.2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4.2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4.2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4.2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4.2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4.2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4.2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4.2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 ht="13.9">
      <c r="C337" s="14"/>
      <c r="D337" s="14"/>
      <c r="E337" s="14"/>
      <c r="F337" s="15"/>
      <c r="G337" s="14"/>
      <c r="H337" s="14"/>
      <c r="I337" s="15"/>
      <c r="J337" s="14"/>
      <c r="K337" s="14"/>
    </row>
  </sheetData>
  <mergeCells count="4">
    <mergeCell ref="G1:I1"/>
    <mergeCell ref="A1:C1"/>
    <mergeCell ref="D1:F1"/>
    <mergeCell ref="A2:B2"/>
  </mergeCells>
  <conditionalFormatting sqref="F2 I2 F4:F95 I4:I95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7"/>
  <sheetViews>
    <sheetView workbookViewId="0">
      <pane xSplit="2" ySplit="3" topLeftCell="C4" activePane="bottomRight" state="frozen"/>
      <selection pane="bottomRight" activeCell="A4" sqref="A4:I20"/>
      <selection pane="bottomLeft" activeCell="A4" sqref="A4:I20"/>
      <selection pane="topRight" activeCell="A4" sqref="A4:I20"/>
    </sheetView>
  </sheetViews>
  <sheetFormatPr defaultRowHeight="13.5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9" t="str" cm="1">
        <f t="array" ref="A1">portfolio</f>
        <v>MN8 KEF</v>
      </c>
      <c r="B1" s="79"/>
      <c r="C1" s="79"/>
      <c r="D1" s="80" t="s">
        <v>131</v>
      </c>
      <c r="E1" s="80"/>
      <c r="F1" s="80"/>
      <c r="G1" s="78" t="s">
        <v>132</v>
      </c>
      <c r="H1" s="78"/>
      <c r="I1" s="78"/>
      <c r="J1" s="4"/>
      <c r="K1" s="4"/>
    </row>
    <row r="2" spans="1:11" ht="19.5" customHeight="1">
      <c r="A2" s="81" t="s">
        <v>2</v>
      </c>
      <c r="B2" s="81"/>
      <c r="C2" s="5">
        <f>SUM(C4:C95)</f>
        <v>0</v>
      </c>
      <c r="D2" s="5">
        <f>SUM(D4:D95)</f>
        <v>0</v>
      </c>
      <c r="E2" s="5">
        <f>C2-D2</f>
        <v>0</v>
      </c>
      <c r="F2" s="6">
        <f>IFERROR(E2/D2, 0)</f>
        <v>0</v>
      </c>
      <c r="G2" s="5">
        <f>SUM(G4:G95)</f>
        <v>0</v>
      </c>
      <c r="H2" s="7">
        <f>C2-G2</f>
        <v>0</v>
      </c>
      <c r="I2" s="6">
        <f>IFERROR(H2/G2, 0)</f>
        <v>0</v>
      </c>
      <c r="J2" s="1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75">
      <c r="A4" s="65" t="str" cm="1">
        <f t="array" ref="A4:A20">Sites[Site]</f>
        <v>Williamsburg A</v>
      </c>
      <c r="B4" s="44" t="str" cm="1">
        <f t="array" ref="B4:B20">Sites[State]</f>
        <v>MA</v>
      </c>
      <c r="C4" s="57"/>
      <c r="D4" s="45"/>
      <c r="E4" s="45" t="str">
        <f>IF(AND(ISNUMBER(C4),ISNUMBER(D4)), C4-D4, "")</f>
        <v/>
      </c>
      <c r="F4" s="58" t="str">
        <f>IFERROR(E4/D4, "")</f>
        <v/>
      </c>
      <c r="G4" s="47"/>
      <c r="H4" s="47" t="str">
        <f>IF(AND(ISNUMBER(C4),ISNUMBER(G4)), C4-G4, "")</f>
        <v/>
      </c>
      <c r="I4" s="46" t="str">
        <f>IFERROR(H4/G4, "")</f>
        <v/>
      </c>
      <c r="J4" s="27"/>
      <c r="K4" s="27"/>
    </row>
    <row r="5" spans="1:11" ht="15.75">
      <c r="A5" s="55" t="str">
        <v>Orange A KB</v>
      </c>
      <c r="B5" s="50" t="str">
        <v>MA</v>
      </c>
      <c r="C5" s="59"/>
      <c r="D5" s="51"/>
      <c r="E5" s="51" t="str">
        <f t="shared" ref="E5:E17" si="0">IF(AND(ISNUMBER(C5),ISNUMBER(D5)), C5-D5, "")</f>
        <v/>
      </c>
      <c r="F5" s="52" t="str">
        <f>IFERROR(E5/D5, "")</f>
        <v/>
      </c>
      <c r="G5" s="53"/>
      <c r="H5" s="53" t="str">
        <f t="shared" ref="H5:H17" si="1">IF(AND(ISNUMBER(C5),ISNUMBER(G5)), C5-G5, "")</f>
        <v/>
      </c>
      <c r="I5" s="52" t="str">
        <f t="shared" ref="I5:I17" si="2">IFERROR(H5/G5, "")</f>
        <v/>
      </c>
      <c r="J5" s="28"/>
      <c r="K5" s="28"/>
    </row>
    <row r="6" spans="1:11" ht="15.75">
      <c r="A6" s="56" t="str">
        <v>Goshen A</v>
      </c>
      <c r="B6" s="44" t="str">
        <v>MA</v>
      </c>
      <c r="C6" s="57"/>
      <c r="D6" s="45"/>
      <c r="E6" s="45" t="str">
        <f t="shared" si="0"/>
        <v/>
      </c>
      <c r="F6" s="58" t="str">
        <f t="shared" ref="F6:F17" si="3">IFERROR(E6/D6, "")</f>
        <v/>
      </c>
      <c r="G6" s="47"/>
      <c r="H6" s="47" t="str">
        <f t="shared" si="1"/>
        <v/>
      </c>
      <c r="I6" s="46" t="str">
        <f t="shared" si="2"/>
        <v/>
      </c>
      <c r="J6" s="27"/>
      <c r="K6" s="27"/>
    </row>
    <row r="7" spans="1:11" ht="15.75">
      <c r="A7" s="55" t="str">
        <v>Phillipston A KB</v>
      </c>
      <c r="B7" s="50" t="str">
        <v>MA</v>
      </c>
      <c r="C7" s="59"/>
      <c r="D7" s="51"/>
      <c r="E7" s="51" t="str">
        <f t="shared" si="0"/>
        <v/>
      </c>
      <c r="F7" s="52" t="str">
        <f t="shared" si="3"/>
        <v/>
      </c>
      <c r="G7" s="53"/>
      <c r="H7" s="53" t="str">
        <f t="shared" si="1"/>
        <v/>
      </c>
      <c r="I7" s="52" t="str">
        <f t="shared" si="2"/>
        <v/>
      </c>
      <c r="J7" s="28"/>
      <c r="K7" s="29"/>
    </row>
    <row r="8" spans="1:11" ht="15.75">
      <c r="A8" s="56" t="str">
        <v>Uxbridge D</v>
      </c>
      <c r="B8" s="44" t="str">
        <v>MA</v>
      </c>
      <c r="C8" s="57"/>
      <c r="D8" s="45"/>
      <c r="E8" s="45" t="str">
        <f t="shared" si="0"/>
        <v/>
      </c>
      <c r="F8" s="58" t="str">
        <f t="shared" si="3"/>
        <v/>
      </c>
      <c r="G8" s="47"/>
      <c r="H8" s="47" t="str">
        <f t="shared" si="1"/>
        <v/>
      </c>
      <c r="I8" s="46" t="str">
        <f t="shared" si="2"/>
        <v/>
      </c>
      <c r="J8" s="27"/>
      <c r="K8" s="27"/>
    </row>
    <row r="9" spans="1:11" ht="15.75">
      <c r="A9" s="55" t="str">
        <v>West Bridgewater A&amp;B</v>
      </c>
      <c r="B9" s="50" t="str">
        <v>MA</v>
      </c>
      <c r="C9" s="59"/>
      <c r="D9" s="51"/>
      <c r="E9" s="51" t="str">
        <f t="shared" si="0"/>
        <v/>
      </c>
      <c r="F9" s="52" t="str">
        <f t="shared" si="3"/>
        <v/>
      </c>
      <c r="G9" s="53"/>
      <c r="H9" s="53" t="str">
        <f t="shared" si="1"/>
        <v/>
      </c>
      <c r="I9" s="52" t="str">
        <f t="shared" si="2"/>
        <v/>
      </c>
      <c r="J9" s="28"/>
      <c r="K9" s="29"/>
    </row>
    <row r="10" spans="1:11" ht="15.75">
      <c r="A10" s="56" t="str">
        <v>Sutton A</v>
      </c>
      <c r="B10" s="44" t="str">
        <v>MA</v>
      </c>
      <c r="C10" s="57"/>
      <c r="D10" s="45"/>
      <c r="E10" s="45" t="str">
        <f t="shared" si="0"/>
        <v/>
      </c>
      <c r="F10" s="58" t="str">
        <f t="shared" si="3"/>
        <v/>
      </c>
      <c r="G10" s="47"/>
      <c r="H10" s="47" t="str">
        <f t="shared" si="1"/>
        <v/>
      </c>
      <c r="I10" s="46" t="str">
        <f t="shared" si="2"/>
        <v/>
      </c>
      <c r="J10" s="27"/>
      <c r="K10" s="27"/>
    </row>
    <row r="11" spans="1:11" ht="15.75">
      <c r="A11" s="55" t="str">
        <v>North Adams A</v>
      </c>
      <c r="B11" s="50" t="str">
        <v>MA</v>
      </c>
      <c r="C11" s="59"/>
      <c r="D11" s="51"/>
      <c r="E11" s="51" t="str">
        <f t="shared" si="0"/>
        <v/>
      </c>
      <c r="F11" s="52" t="str">
        <f t="shared" si="3"/>
        <v/>
      </c>
      <c r="G11" s="53"/>
      <c r="H11" s="53" t="str">
        <f t="shared" si="1"/>
        <v/>
      </c>
      <c r="I11" s="52" t="str">
        <f t="shared" si="2"/>
        <v/>
      </c>
      <c r="J11" s="28"/>
      <c r="K11" s="29"/>
    </row>
    <row r="12" spans="1:11" ht="15.75">
      <c r="A12" s="56" t="str">
        <v>North Adams B</v>
      </c>
      <c r="B12" s="44" t="str">
        <v>MA</v>
      </c>
      <c r="C12" s="57"/>
      <c r="D12" s="45"/>
      <c r="E12" s="45" t="str">
        <f t="shared" si="0"/>
        <v/>
      </c>
      <c r="F12" s="58" t="str">
        <f t="shared" si="3"/>
        <v/>
      </c>
      <c r="G12" s="47"/>
      <c r="H12" s="47" t="str">
        <f t="shared" si="1"/>
        <v/>
      </c>
      <c r="I12" s="46" t="str">
        <f t="shared" si="2"/>
        <v/>
      </c>
      <c r="J12" s="27"/>
      <c r="K12" s="27"/>
    </row>
    <row r="13" spans="1:11" ht="15.75">
      <c r="A13" s="55" t="str">
        <v>Clarksburg A</v>
      </c>
      <c r="B13" s="50" t="str">
        <v>MA</v>
      </c>
      <c r="C13" s="59"/>
      <c r="D13" s="51"/>
      <c r="E13" s="51" t="str">
        <f t="shared" si="0"/>
        <v/>
      </c>
      <c r="F13" s="52" t="str">
        <f t="shared" si="3"/>
        <v/>
      </c>
      <c r="G13" s="53"/>
      <c r="H13" s="53" t="str">
        <f t="shared" si="1"/>
        <v/>
      </c>
      <c r="I13" s="52" t="str">
        <f t="shared" si="2"/>
        <v/>
      </c>
      <c r="J13" s="28"/>
      <c r="K13" s="29"/>
    </row>
    <row r="14" spans="1:11" ht="15.75">
      <c r="A14" s="56" t="str">
        <v>Swansea B</v>
      </c>
      <c r="B14" s="44" t="str">
        <v>MA</v>
      </c>
      <c r="C14" s="57"/>
      <c r="D14" s="45"/>
      <c r="E14" s="45" t="str">
        <f t="shared" si="0"/>
        <v/>
      </c>
      <c r="F14" s="58" t="str">
        <f t="shared" si="3"/>
        <v/>
      </c>
      <c r="G14" s="47"/>
      <c r="H14" s="47" t="str">
        <f t="shared" si="1"/>
        <v/>
      </c>
      <c r="I14" s="46" t="str">
        <f t="shared" si="2"/>
        <v/>
      </c>
      <c r="J14" s="27"/>
      <c r="K14" s="27"/>
    </row>
    <row r="15" spans="1:11" ht="15.75">
      <c r="A15" s="55" t="str">
        <v>Wareham 2</v>
      </c>
      <c r="B15" s="50" t="str">
        <v>MA</v>
      </c>
      <c r="C15" s="59"/>
      <c r="D15" s="51"/>
      <c r="E15" s="51" t="str">
        <f t="shared" si="0"/>
        <v/>
      </c>
      <c r="F15" s="52" t="str">
        <f t="shared" si="3"/>
        <v/>
      </c>
      <c r="G15" s="53"/>
      <c r="H15" s="53" t="str">
        <f t="shared" si="1"/>
        <v/>
      </c>
      <c r="I15" s="52" t="str">
        <f t="shared" si="2"/>
        <v/>
      </c>
      <c r="J15" s="28"/>
      <c r="K15" s="29"/>
    </row>
    <row r="16" spans="1:11" ht="15.75">
      <c r="A16" s="56" t="str">
        <v>Kingston 1 KB</v>
      </c>
      <c r="B16" s="44" t="str">
        <v>MA</v>
      </c>
      <c r="C16" s="57"/>
      <c r="D16" s="45"/>
      <c r="E16" s="45" t="str">
        <f t="shared" si="0"/>
        <v/>
      </c>
      <c r="F16" s="58" t="str">
        <f t="shared" si="3"/>
        <v/>
      </c>
      <c r="G16" s="47"/>
      <c r="H16" s="47" t="str">
        <f t="shared" si="1"/>
        <v/>
      </c>
      <c r="I16" s="46" t="str">
        <f t="shared" si="2"/>
        <v/>
      </c>
      <c r="J16" s="27"/>
      <c r="K16" s="27"/>
    </row>
    <row r="17" spans="1:11" ht="15.75">
      <c r="A17" s="55" t="str">
        <v>Kingston 2 KB</v>
      </c>
      <c r="B17" s="50" t="str">
        <v>MA</v>
      </c>
      <c r="C17" s="59"/>
      <c r="D17" s="51"/>
      <c r="E17" s="51" t="str">
        <f t="shared" si="0"/>
        <v/>
      </c>
      <c r="F17" s="52" t="str">
        <f t="shared" si="3"/>
        <v/>
      </c>
      <c r="G17" s="53"/>
      <c r="H17" s="53" t="str">
        <f t="shared" si="1"/>
        <v/>
      </c>
      <c r="I17" s="52" t="str">
        <f t="shared" si="2"/>
        <v/>
      </c>
      <c r="J17" s="28"/>
      <c r="K17" s="29"/>
    </row>
    <row r="18" spans="1:11" ht="12.75" customHeight="1">
      <c r="A18" s="65" t="str">
        <v>Holliston B</v>
      </c>
      <c r="B18" s="44" t="str">
        <v>MA</v>
      </c>
      <c r="C18" s="57"/>
      <c r="D18" s="45"/>
      <c r="E18" s="45"/>
      <c r="F18" s="58"/>
      <c r="G18" s="47"/>
      <c r="H18" s="47"/>
      <c r="I18" s="46"/>
      <c r="J18" s="27"/>
      <c r="K18" s="27"/>
    </row>
    <row r="19" spans="1:11" ht="15.75">
      <c r="A19" s="55" t="str">
        <v>Fairhaven C</v>
      </c>
      <c r="B19" s="50" t="str">
        <v>MA</v>
      </c>
      <c r="C19" s="59"/>
      <c r="D19" s="51"/>
      <c r="E19" s="51"/>
      <c r="F19" s="52"/>
      <c r="G19" s="53"/>
      <c r="H19" s="53"/>
      <c r="I19" s="52"/>
      <c r="J19" s="28"/>
      <c r="K19" s="28"/>
    </row>
    <row r="20" spans="1:11" ht="15.75">
      <c r="A20" s="56" t="str">
        <v>Plympton A-2</v>
      </c>
      <c r="B20" s="44" t="str">
        <v>MA</v>
      </c>
      <c r="C20" s="57"/>
      <c r="D20" s="45"/>
      <c r="E20" s="45"/>
      <c r="F20" s="58"/>
      <c r="G20" s="47"/>
      <c r="H20" s="47"/>
      <c r="I20" s="46"/>
      <c r="J20" s="27"/>
      <c r="K20" s="27"/>
    </row>
    <row r="21" spans="1:11" ht="14.2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4.2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4.2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4.2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4.2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4.2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4.2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4.2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2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2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2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2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2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2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2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2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2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2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2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2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2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2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2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2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2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2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2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2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2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2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2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2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2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2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2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2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2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2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2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2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2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2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2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2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2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2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2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2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2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2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2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2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2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2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2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2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2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2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2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2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2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2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2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2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2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2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2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2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2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2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2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2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2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2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2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2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2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2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2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2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2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2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2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2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2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2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2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2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2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2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2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2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2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2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2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2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2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2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2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2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2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2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2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2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2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2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2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2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2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2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2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2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2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2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2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2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2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2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2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2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2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2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2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2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2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2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2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2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2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2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2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2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2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2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2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2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2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2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2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2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2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2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2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2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2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2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2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2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2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2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2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2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2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2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2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2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2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2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2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2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2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2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2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2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2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2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2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2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2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2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2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2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2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2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2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2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2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2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2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2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2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2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2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2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2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2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2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2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2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2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2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2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2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2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2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2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2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2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2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2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2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2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2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2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2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2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2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2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2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2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2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2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2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2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2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2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2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2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2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2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2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2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2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2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2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2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2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2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2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2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2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2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2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2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2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2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2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2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2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2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2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2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2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2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2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2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2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2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2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2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2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2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2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2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2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2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2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2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2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2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2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2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2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2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2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2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2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2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2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2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2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2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2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2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2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2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2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2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2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2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2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2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2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2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2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2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2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2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2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2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2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2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2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2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2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2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2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2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2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2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2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2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4.2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4.2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4.2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4.2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4.2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4.2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4.2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4.2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4.2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4.2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4.2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4.2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4.2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4.2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 ht="13.9">
      <c r="C337" s="14"/>
      <c r="D337" s="14"/>
      <c r="E337" s="14"/>
      <c r="F337" s="15"/>
      <c r="G337" s="14"/>
      <c r="H337" s="14"/>
      <c r="I337" s="15"/>
      <c r="J337" s="14"/>
      <c r="K337" s="14"/>
    </row>
  </sheetData>
  <mergeCells count="4">
    <mergeCell ref="G1:I1"/>
    <mergeCell ref="A1:C1"/>
    <mergeCell ref="D1:F1"/>
    <mergeCell ref="A2:B2"/>
  </mergeCells>
  <conditionalFormatting sqref="F2 I2 F4:F95 I4:I95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7"/>
  <sheetViews>
    <sheetView workbookViewId="0">
      <pane xSplit="2" ySplit="3" topLeftCell="C4" activePane="bottomRight" state="frozen"/>
      <selection pane="bottomRight" activeCell="A4" sqref="A4:I20"/>
      <selection pane="bottomLeft" activeCell="A4" sqref="A4:I20"/>
      <selection pane="topRight" activeCell="A4" sqref="A4:I20"/>
    </sheetView>
  </sheetViews>
  <sheetFormatPr defaultRowHeight="13.5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9" t="str" cm="1">
        <f t="array" ref="A1">portfolio</f>
        <v>MN8 KEF</v>
      </c>
      <c r="B1" s="79"/>
      <c r="C1" s="79"/>
      <c r="D1" s="80" t="s">
        <v>133</v>
      </c>
      <c r="E1" s="80"/>
      <c r="F1" s="80"/>
      <c r="G1" s="78" t="s">
        <v>134</v>
      </c>
      <c r="H1" s="78"/>
      <c r="I1" s="78"/>
      <c r="J1" s="4"/>
      <c r="K1" s="4"/>
    </row>
    <row r="2" spans="1:11" ht="19.5" customHeight="1">
      <c r="A2" s="81" t="s">
        <v>2</v>
      </c>
      <c r="B2" s="81"/>
      <c r="C2" s="5">
        <f>SUM(C4:C95)</f>
        <v>0</v>
      </c>
      <c r="D2" s="5">
        <f>SUM(D4:D95)</f>
        <v>0</v>
      </c>
      <c r="E2" s="5">
        <f>C2-D2</f>
        <v>0</v>
      </c>
      <c r="F2" s="6">
        <f>IFERROR(E2/D2, 0)</f>
        <v>0</v>
      </c>
      <c r="G2" s="5">
        <f>SUM(G4:G95)</f>
        <v>0</v>
      </c>
      <c r="H2" s="7">
        <f>C2-G2</f>
        <v>0</v>
      </c>
      <c r="I2" s="6">
        <f>IFERROR(H2/G2, 0)</f>
        <v>0</v>
      </c>
      <c r="J2" s="1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75">
      <c r="A4" s="65" t="str" cm="1">
        <f t="array" ref="A4:A20">Sites[Site]</f>
        <v>Williamsburg A</v>
      </c>
      <c r="B4" s="44" t="str" cm="1">
        <f t="array" ref="B4:B20">Sites[State]</f>
        <v>MA</v>
      </c>
      <c r="C4" s="57"/>
      <c r="D4" s="45"/>
      <c r="E4" s="45" t="str">
        <f>IF(AND(ISNUMBER(C4),ISNUMBER(D4)), C4-D4, "")</f>
        <v/>
      </c>
      <c r="F4" s="58" t="str">
        <f>IFERROR(E4/D4, "")</f>
        <v/>
      </c>
      <c r="G4" s="47"/>
      <c r="H4" s="47" t="str">
        <f>IF(AND(ISNUMBER(C4),ISNUMBER(G4)), C4-G4, "")</f>
        <v/>
      </c>
      <c r="I4" s="46" t="str">
        <f>IFERROR(H4/G4, "")</f>
        <v/>
      </c>
      <c r="J4" s="27"/>
      <c r="K4" s="27"/>
    </row>
    <row r="5" spans="1:11" ht="15.75">
      <c r="A5" s="55" t="str">
        <v>Orange A KB</v>
      </c>
      <c r="B5" s="50" t="str">
        <v>MA</v>
      </c>
      <c r="C5" s="59"/>
      <c r="D5" s="51"/>
      <c r="E5" s="51" t="str">
        <f t="shared" ref="E5:E17" si="0">IF(AND(ISNUMBER(C5),ISNUMBER(D5)), C5-D5, "")</f>
        <v/>
      </c>
      <c r="F5" s="52" t="str">
        <f>IFERROR(E5/D5, "")</f>
        <v/>
      </c>
      <c r="G5" s="53"/>
      <c r="H5" s="53" t="str">
        <f t="shared" ref="H5:H17" si="1">IF(AND(ISNUMBER(C5),ISNUMBER(G5)), C5-G5, "")</f>
        <v/>
      </c>
      <c r="I5" s="52" t="str">
        <f t="shared" ref="I5:I17" si="2">IFERROR(H5/G5, "")</f>
        <v/>
      </c>
      <c r="J5" s="28"/>
      <c r="K5" s="28"/>
    </row>
    <row r="6" spans="1:11" ht="15.75">
      <c r="A6" s="56" t="str">
        <v>Goshen A</v>
      </c>
      <c r="B6" s="44" t="str">
        <v>MA</v>
      </c>
      <c r="C6" s="57"/>
      <c r="D6" s="45"/>
      <c r="E6" s="45" t="str">
        <f t="shared" si="0"/>
        <v/>
      </c>
      <c r="F6" s="58" t="str">
        <f t="shared" ref="F6:F17" si="3">IFERROR(E6/D6, "")</f>
        <v/>
      </c>
      <c r="G6" s="47"/>
      <c r="H6" s="47" t="str">
        <f t="shared" si="1"/>
        <v/>
      </c>
      <c r="I6" s="46" t="str">
        <f t="shared" si="2"/>
        <v/>
      </c>
      <c r="J6" s="27"/>
      <c r="K6" s="27"/>
    </row>
    <row r="7" spans="1:11" ht="15.75">
      <c r="A7" s="55" t="str">
        <v>Phillipston A KB</v>
      </c>
      <c r="B7" s="50" t="str">
        <v>MA</v>
      </c>
      <c r="C7" s="59"/>
      <c r="D7" s="51"/>
      <c r="E7" s="51" t="str">
        <f t="shared" si="0"/>
        <v/>
      </c>
      <c r="F7" s="52" t="str">
        <f t="shared" si="3"/>
        <v/>
      </c>
      <c r="G7" s="53"/>
      <c r="H7" s="53" t="str">
        <f t="shared" si="1"/>
        <v/>
      </c>
      <c r="I7" s="52" t="str">
        <f t="shared" si="2"/>
        <v/>
      </c>
      <c r="J7" s="28"/>
      <c r="K7" s="29"/>
    </row>
    <row r="8" spans="1:11" ht="15.75">
      <c r="A8" s="56" t="str">
        <v>Uxbridge D</v>
      </c>
      <c r="B8" s="44" t="str">
        <v>MA</v>
      </c>
      <c r="C8" s="57"/>
      <c r="D8" s="45"/>
      <c r="E8" s="45" t="str">
        <f t="shared" si="0"/>
        <v/>
      </c>
      <c r="F8" s="58" t="str">
        <f t="shared" si="3"/>
        <v/>
      </c>
      <c r="G8" s="47"/>
      <c r="H8" s="47" t="str">
        <f t="shared" si="1"/>
        <v/>
      </c>
      <c r="I8" s="46" t="str">
        <f t="shared" si="2"/>
        <v/>
      </c>
      <c r="J8" s="27"/>
      <c r="K8" s="27"/>
    </row>
    <row r="9" spans="1:11" ht="15.75">
      <c r="A9" s="55" t="str">
        <v>West Bridgewater A&amp;B</v>
      </c>
      <c r="B9" s="50" t="str">
        <v>MA</v>
      </c>
      <c r="C9" s="59"/>
      <c r="D9" s="51"/>
      <c r="E9" s="51" t="str">
        <f t="shared" si="0"/>
        <v/>
      </c>
      <c r="F9" s="52" t="str">
        <f t="shared" si="3"/>
        <v/>
      </c>
      <c r="G9" s="53"/>
      <c r="H9" s="53" t="str">
        <f t="shared" si="1"/>
        <v/>
      </c>
      <c r="I9" s="52" t="str">
        <f t="shared" si="2"/>
        <v/>
      </c>
      <c r="J9" s="28"/>
      <c r="K9" s="29"/>
    </row>
    <row r="10" spans="1:11" ht="15.75">
      <c r="A10" s="56" t="str">
        <v>Sutton A</v>
      </c>
      <c r="B10" s="44" t="str">
        <v>MA</v>
      </c>
      <c r="C10" s="57"/>
      <c r="D10" s="45"/>
      <c r="E10" s="45" t="str">
        <f t="shared" si="0"/>
        <v/>
      </c>
      <c r="F10" s="58" t="str">
        <f t="shared" si="3"/>
        <v/>
      </c>
      <c r="G10" s="47"/>
      <c r="H10" s="47" t="str">
        <f t="shared" si="1"/>
        <v/>
      </c>
      <c r="I10" s="46" t="str">
        <f t="shared" si="2"/>
        <v/>
      </c>
      <c r="J10" s="27"/>
      <c r="K10" s="27"/>
    </row>
    <row r="11" spans="1:11" ht="15.75">
      <c r="A11" s="55" t="str">
        <v>North Adams A</v>
      </c>
      <c r="B11" s="50" t="str">
        <v>MA</v>
      </c>
      <c r="C11" s="59"/>
      <c r="D11" s="51"/>
      <c r="E11" s="51" t="str">
        <f t="shared" si="0"/>
        <v/>
      </c>
      <c r="F11" s="52" t="str">
        <f t="shared" si="3"/>
        <v/>
      </c>
      <c r="G11" s="53"/>
      <c r="H11" s="53" t="str">
        <f t="shared" si="1"/>
        <v/>
      </c>
      <c r="I11" s="52" t="str">
        <f t="shared" si="2"/>
        <v/>
      </c>
      <c r="J11" s="28"/>
      <c r="K11" s="29"/>
    </row>
    <row r="12" spans="1:11" ht="15.75">
      <c r="A12" s="56" t="str">
        <v>North Adams B</v>
      </c>
      <c r="B12" s="44" t="str">
        <v>MA</v>
      </c>
      <c r="C12" s="57"/>
      <c r="D12" s="45"/>
      <c r="E12" s="45" t="str">
        <f t="shared" si="0"/>
        <v/>
      </c>
      <c r="F12" s="58" t="str">
        <f t="shared" si="3"/>
        <v/>
      </c>
      <c r="G12" s="47"/>
      <c r="H12" s="47" t="str">
        <f t="shared" si="1"/>
        <v/>
      </c>
      <c r="I12" s="46" t="str">
        <f t="shared" si="2"/>
        <v/>
      </c>
      <c r="J12" s="27"/>
      <c r="K12" s="27"/>
    </row>
    <row r="13" spans="1:11" ht="15.75">
      <c r="A13" s="55" t="str">
        <v>Clarksburg A</v>
      </c>
      <c r="B13" s="50" t="str">
        <v>MA</v>
      </c>
      <c r="C13" s="59"/>
      <c r="D13" s="51"/>
      <c r="E13" s="51" t="str">
        <f t="shared" si="0"/>
        <v/>
      </c>
      <c r="F13" s="52" t="str">
        <f t="shared" si="3"/>
        <v/>
      </c>
      <c r="G13" s="53"/>
      <c r="H13" s="53" t="str">
        <f t="shared" si="1"/>
        <v/>
      </c>
      <c r="I13" s="52" t="str">
        <f t="shared" si="2"/>
        <v/>
      </c>
      <c r="J13" s="28"/>
      <c r="K13" s="29"/>
    </row>
    <row r="14" spans="1:11" ht="15.75">
      <c r="A14" s="56" t="str">
        <v>Swansea B</v>
      </c>
      <c r="B14" s="44" t="str">
        <v>MA</v>
      </c>
      <c r="C14" s="57"/>
      <c r="D14" s="45"/>
      <c r="E14" s="45" t="str">
        <f t="shared" si="0"/>
        <v/>
      </c>
      <c r="F14" s="58" t="str">
        <f t="shared" si="3"/>
        <v/>
      </c>
      <c r="G14" s="47"/>
      <c r="H14" s="47" t="str">
        <f t="shared" si="1"/>
        <v/>
      </c>
      <c r="I14" s="46" t="str">
        <f t="shared" si="2"/>
        <v/>
      </c>
      <c r="J14" s="27"/>
      <c r="K14" s="27"/>
    </row>
    <row r="15" spans="1:11" ht="15.75">
      <c r="A15" s="55" t="str">
        <v>Wareham 2</v>
      </c>
      <c r="B15" s="50" t="str">
        <v>MA</v>
      </c>
      <c r="C15" s="59"/>
      <c r="D15" s="51"/>
      <c r="E15" s="51" t="str">
        <f t="shared" si="0"/>
        <v/>
      </c>
      <c r="F15" s="52" t="str">
        <f t="shared" si="3"/>
        <v/>
      </c>
      <c r="G15" s="53"/>
      <c r="H15" s="53" t="str">
        <f t="shared" si="1"/>
        <v/>
      </c>
      <c r="I15" s="52" t="str">
        <f t="shared" si="2"/>
        <v/>
      </c>
      <c r="J15" s="28"/>
      <c r="K15" s="29"/>
    </row>
    <row r="16" spans="1:11" ht="15.75">
      <c r="A16" s="56" t="str">
        <v>Kingston 1 KB</v>
      </c>
      <c r="B16" s="44" t="str">
        <v>MA</v>
      </c>
      <c r="C16" s="57"/>
      <c r="D16" s="45"/>
      <c r="E16" s="45" t="str">
        <f t="shared" si="0"/>
        <v/>
      </c>
      <c r="F16" s="58" t="str">
        <f t="shared" si="3"/>
        <v/>
      </c>
      <c r="G16" s="47"/>
      <c r="H16" s="47" t="str">
        <f t="shared" si="1"/>
        <v/>
      </c>
      <c r="I16" s="46" t="str">
        <f t="shared" si="2"/>
        <v/>
      </c>
      <c r="J16" s="27"/>
      <c r="K16" s="27"/>
    </row>
    <row r="17" spans="1:11" ht="15.75">
      <c r="A17" s="55" t="str">
        <v>Kingston 2 KB</v>
      </c>
      <c r="B17" s="50" t="str">
        <v>MA</v>
      </c>
      <c r="C17" s="59"/>
      <c r="D17" s="51"/>
      <c r="E17" s="51" t="str">
        <f t="shared" si="0"/>
        <v/>
      </c>
      <c r="F17" s="52" t="str">
        <f t="shared" si="3"/>
        <v/>
      </c>
      <c r="G17" s="53"/>
      <c r="H17" s="53" t="str">
        <f t="shared" si="1"/>
        <v/>
      </c>
      <c r="I17" s="52" t="str">
        <f t="shared" si="2"/>
        <v/>
      </c>
      <c r="J17" s="28"/>
      <c r="K17" s="29"/>
    </row>
    <row r="18" spans="1:11" ht="12.75" customHeight="1">
      <c r="A18" s="65" t="str">
        <v>Holliston B</v>
      </c>
      <c r="B18" s="44" t="str">
        <v>MA</v>
      </c>
      <c r="C18" s="57"/>
      <c r="D18" s="45"/>
      <c r="E18" s="45"/>
      <c r="F18" s="58"/>
      <c r="G18" s="47"/>
      <c r="H18" s="47"/>
      <c r="I18" s="46"/>
      <c r="J18" s="27"/>
      <c r="K18" s="27"/>
    </row>
    <row r="19" spans="1:11" ht="15.75">
      <c r="A19" s="55" t="str">
        <v>Fairhaven C</v>
      </c>
      <c r="B19" s="50" t="str">
        <v>MA</v>
      </c>
      <c r="C19" s="59"/>
      <c r="D19" s="51"/>
      <c r="E19" s="51"/>
      <c r="F19" s="52"/>
      <c r="G19" s="53"/>
      <c r="H19" s="53"/>
      <c r="I19" s="52"/>
      <c r="J19" s="28"/>
      <c r="K19" s="28"/>
    </row>
    <row r="20" spans="1:11" ht="15.75">
      <c r="A20" s="56" t="str">
        <v>Plympton A-2</v>
      </c>
      <c r="B20" s="44" t="str">
        <v>MA</v>
      </c>
      <c r="C20" s="57"/>
      <c r="D20" s="45"/>
      <c r="E20" s="45"/>
      <c r="F20" s="58"/>
      <c r="G20" s="47"/>
      <c r="H20" s="47"/>
      <c r="I20" s="46"/>
      <c r="J20" s="27"/>
      <c r="K20" s="27"/>
    </row>
    <row r="21" spans="1:11" ht="14.2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4.2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4.2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4.2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4.2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4.2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4.2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4.2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2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2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2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2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2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2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2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2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2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2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2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2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2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2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2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2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2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2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2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2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2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2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2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2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2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2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2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2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2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2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2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2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2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2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2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2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2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2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2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2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2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2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2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2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2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2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2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2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2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2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2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2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2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2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2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2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2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2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2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2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2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2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2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2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2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2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2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2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2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2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2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2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2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2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2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2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2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2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2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2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2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2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2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2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2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2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2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2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2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2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2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2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2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2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2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2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2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2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2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2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2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2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2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2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2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2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2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2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2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2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2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2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2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2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2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2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2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2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2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2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2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2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2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2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2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2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2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2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2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2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2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2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2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2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2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2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2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2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2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2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2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2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2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2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2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2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2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2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2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2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2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2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2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2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2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2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2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2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2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2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2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2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2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2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2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2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2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2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2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2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2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2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2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2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2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2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2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2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2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2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2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2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2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2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2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2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2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2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2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2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2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2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2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2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2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2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2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2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2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2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2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2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2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2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2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2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2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2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2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2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2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2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2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2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2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2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2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2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2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2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2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2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2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2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2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2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2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2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2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2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2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2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2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2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2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2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2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2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2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2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2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2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2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2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2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2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2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2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2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2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2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2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2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2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2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2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2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2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2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2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2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2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2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2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2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2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2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2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2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2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2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2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2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2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2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2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2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2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2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2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2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2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2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2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2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2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2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2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2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2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2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2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2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2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4.2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4.2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4.2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4.2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4.2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4.2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4.2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4.2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4.2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4.2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4.2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4.2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4.2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4.2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 ht="13.9">
      <c r="C337" s="14"/>
      <c r="D337" s="14"/>
      <c r="E337" s="14"/>
      <c r="F337" s="15"/>
      <c r="G337" s="14"/>
      <c r="H337" s="14"/>
      <c r="I337" s="15"/>
      <c r="J337" s="14"/>
      <c r="K337" s="14"/>
    </row>
  </sheetData>
  <mergeCells count="4">
    <mergeCell ref="G1:I1"/>
    <mergeCell ref="A1:C1"/>
    <mergeCell ref="D1:F1"/>
    <mergeCell ref="A2:B2"/>
  </mergeCells>
  <conditionalFormatting sqref="F2 I2 F4:F95 I4:I95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7"/>
  <sheetViews>
    <sheetView workbookViewId="0">
      <pane xSplit="2" ySplit="3" topLeftCell="C4" activePane="bottomRight" state="frozen"/>
      <selection pane="bottomRight" activeCell="A24" sqref="A24"/>
      <selection pane="bottomLeft" activeCell="A4" sqref="A4:I20"/>
      <selection pane="topRight" activeCell="A4" sqref="A4:I20"/>
    </sheetView>
  </sheetViews>
  <sheetFormatPr defaultRowHeight="13.5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9" t="str" cm="1">
        <f t="array" ref="A1">portfolio</f>
        <v>MN8 KEF</v>
      </c>
      <c r="B1" s="79"/>
      <c r="C1" s="79"/>
      <c r="D1" s="80" t="s">
        <v>135</v>
      </c>
      <c r="E1" s="80"/>
      <c r="F1" s="80"/>
      <c r="G1" s="78" t="s">
        <v>136</v>
      </c>
      <c r="H1" s="78"/>
      <c r="I1" s="78"/>
      <c r="J1" s="4"/>
      <c r="K1" s="4"/>
    </row>
    <row r="2" spans="1:11" ht="19.5" customHeight="1">
      <c r="A2" s="81" t="s">
        <v>2</v>
      </c>
      <c r="B2" s="81"/>
      <c r="C2" s="5">
        <f>SUM(C4:C95)</f>
        <v>0</v>
      </c>
      <c r="D2" s="5">
        <f>SUM(D4:D95)</f>
        <v>0</v>
      </c>
      <c r="E2" s="5">
        <f>C2-D2</f>
        <v>0</v>
      </c>
      <c r="F2" s="6">
        <f>IFERROR(E2/D2, 0)</f>
        <v>0</v>
      </c>
      <c r="G2" s="5">
        <f>SUM(G4:G95)</f>
        <v>0</v>
      </c>
      <c r="H2" s="7">
        <f>C2-G2</f>
        <v>0</v>
      </c>
      <c r="I2" s="6">
        <f>IFERROR(H2/G2, 0)</f>
        <v>0</v>
      </c>
      <c r="J2" s="1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75">
      <c r="A4" s="65" t="str" cm="1">
        <f t="array" ref="A4:A20">Sites[Site]</f>
        <v>Williamsburg A</v>
      </c>
      <c r="B4" s="44" t="str" cm="1">
        <f t="array" ref="B4:B20">Sites[State]</f>
        <v>MA</v>
      </c>
      <c r="C4" s="57"/>
      <c r="D4" s="45"/>
      <c r="E4" s="45" t="str">
        <f>IF(AND(ISNUMBER(C4),ISNUMBER(D4)), C4-D4, "")</f>
        <v/>
      </c>
      <c r="F4" s="58" t="str">
        <f>IFERROR(E4/D4, "")</f>
        <v/>
      </c>
      <c r="G4" s="47"/>
      <c r="H4" s="47" t="str">
        <f>IF(AND(ISNUMBER(C4),ISNUMBER(G4)), C4-G4, "")</f>
        <v/>
      </c>
      <c r="I4" s="46" t="str">
        <f>IFERROR(H4/G4, "")</f>
        <v/>
      </c>
      <c r="J4" s="27"/>
      <c r="K4" s="27"/>
    </row>
    <row r="5" spans="1:11" ht="15.75">
      <c r="A5" s="55" t="str">
        <v>Orange A KB</v>
      </c>
      <c r="B5" s="50" t="str">
        <v>MA</v>
      </c>
      <c r="C5" s="59"/>
      <c r="D5" s="51"/>
      <c r="E5" s="51" t="str">
        <f t="shared" ref="E5:E17" si="0">IF(AND(ISNUMBER(C5),ISNUMBER(D5)), C5-D5, "")</f>
        <v/>
      </c>
      <c r="F5" s="52" t="str">
        <f>IFERROR(E5/D5, "")</f>
        <v/>
      </c>
      <c r="G5" s="53"/>
      <c r="H5" s="53" t="str">
        <f t="shared" ref="H5:H17" si="1">IF(AND(ISNUMBER(C5),ISNUMBER(G5)), C5-G5, "")</f>
        <v/>
      </c>
      <c r="I5" s="52" t="str">
        <f t="shared" ref="I5:I17" si="2">IFERROR(H5/G5, "")</f>
        <v/>
      </c>
      <c r="J5" s="28"/>
      <c r="K5" s="28"/>
    </row>
    <row r="6" spans="1:11" ht="15.75">
      <c r="A6" s="56" t="str">
        <v>Goshen A</v>
      </c>
      <c r="B6" s="44" t="str">
        <v>MA</v>
      </c>
      <c r="C6" s="57"/>
      <c r="D6" s="45"/>
      <c r="E6" s="45" t="str">
        <f t="shared" si="0"/>
        <v/>
      </c>
      <c r="F6" s="58" t="str">
        <f t="shared" ref="F6:F17" si="3">IFERROR(E6/D6, "")</f>
        <v/>
      </c>
      <c r="G6" s="47"/>
      <c r="H6" s="47" t="str">
        <f t="shared" si="1"/>
        <v/>
      </c>
      <c r="I6" s="46" t="str">
        <f t="shared" si="2"/>
        <v/>
      </c>
      <c r="J6" s="27"/>
      <c r="K6" s="27"/>
    </row>
    <row r="7" spans="1:11" ht="15.75">
      <c r="A7" s="55" t="str">
        <v>Phillipston A KB</v>
      </c>
      <c r="B7" s="50" t="str">
        <v>MA</v>
      </c>
      <c r="C7" s="59"/>
      <c r="D7" s="51"/>
      <c r="E7" s="51" t="str">
        <f t="shared" si="0"/>
        <v/>
      </c>
      <c r="F7" s="52" t="str">
        <f t="shared" si="3"/>
        <v/>
      </c>
      <c r="G7" s="53"/>
      <c r="H7" s="53" t="str">
        <f t="shared" si="1"/>
        <v/>
      </c>
      <c r="I7" s="52" t="str">
        <f t="shared" si="2"/>
        <v/>
      </c>
      <c r="J7" s="28"/>
      <c r="K7" s="29"/>
    </row>
    <row r="8" spans="1:11" ht="15.75">
      <c r="A8" s="56" t="str">
        <v>Uxbridge D</v>
      </c>
      <c r="B8" s="44" t="str">
        <v>MA</v>
      </c>
      <c r="C8" s="57"/>
      <c r="D8" s="45"/>
      <c r="E8" s="45" t="str">
        <f t="shared" si="0"/>
        <v/>
      </c>
      <c r="F8" s="58" t="str">
        <f t="shared" si="3"/>
        <v/>
      </c>
      <c r="G8" s="47"/>
      <c r="H8" s="47" t="str">
        <f t="shared" si="1"/>
        <v/>
      </c>
      <c r="I8" s="46" t="str">
        <f t="shared" si="2"/>
        <v/>
      </c>
      <c r="J8" s="27"/>
      <c r="K8" s="27"/>
    </row>
    <row r="9" spans="1:11" ht="15.75">
      <c r="A9" s="55" t="str">
        <v>West Bridgewater A&amp;B</v>
      </c>
      <c r="B9" s="50" t="str">
        <v>MA</v>
      </c>
      <c r="C9" s="59"/>
      <c r="D9" s="51"/>
      <c r="E9" s="51" t="str">
        <f t="shared" si="0"/>
        <v/>
      </c>
      <c r="F9" s="52" t="str">
        <f t="shared" si="3"/>
        <v/>
      </c>
      <c r="G9" s="53"/>
      <c r="H9" s="53" t="str">
        <f t="shared" si="1"/>
        <v/>
      </c>
      <c r="I9" s="52" t="str">
        <f t="shared" si="2"/>
        <v/>
      </c>
      <c r="J9" s="28"/>
      <c r="K9" s="29"/>
    </row>
    <row r="10" spans="1:11" ht="15.75">
      <c r="A10" s="56" t="str">
        <v>Sutton A</v>
      </c>
      <c r="B10" s="44" t="str">
        <v>MA</v>
      </c>
      <c r="C10" s="57"/>
      <c r="D10" s="45"/>
      <c r="E10" s="45" t="str">
        <f t="shared" si="0"/>
        <v/>
      </c>
      <c r="F10" s="58" t="str">
        <f t="shared" si="3"/>
        <v/>
      </c>
      <c r="G10" s="47"/>
      <c r="H10" s="47" t="str">
        <f t="shared" si="1"/>
        <v/>
      </c>
      <c r="I10" s="46" t="str">
        <f t="shared" si="2"/>
        <v/>
      </c>
      <c r="J10" s="27"/>
      <c r="K10" s="27"/>
    </row>
    <row r="11" spans="1:11" ht="15.75">
      <c r="A11" s="55" t="str">
        <v>North Adams A</v>
      </c>
      <c r="B11" s="50" t="str">
        <v>MA</v>
      </c>
      <c r="C11" s="59"/>
      <c r="D11" s="51"/>
      <c r="E11" s="51" t="str">
        <f t="shared" si="0"/>
        <v/>
      </c>
      <c r="F11" s="52" t="str">
        <f t="shared" si="3"/>
        <v/>
      </c>
      <c r="G11" s="53"/>
      <c r="H11" s="53" t="str">
        <f t="shared" si="1"/>
        <v/>
      </c>
      <c r="I11" s="52" t="str">
        <f t="shared" si="2"/>
        <v/>
      </c>
      <c r="J11" s="28"/>
      <c r="K11" s="29"/>
    </row>
    <row r="12" spans="1:11" ht="15.75">
      <c r="A12" s="56" t="str">
        <v>North Adams B</v>
      </c>
      <c r="B12" s="44" t="str">
        <v>MA</v>
      </c>
      <c r="C12" s="57"/>
      <c r="D12" s="45"/>
      <c r="E12" s="45" t="str">
        <f t="shared" si="0"/>
        <v/>
      </c>
      <c r="F12" s="58" t="str">
        <f t="shared" si="3"/>
        <v/>
      </c>
      <c r="G12" s="47"/>
      <c r="H12" s="47" t="str">
        <f t="shared" si="1"/>
        <v/>
      </c>
      <c r="I12" s="46" t="str">
        <f t="shared" si="2"/>
        <v/>
      </c>
      <c r="J12" s="27"/>
      <c r="K12" s="27"/>
    </row>
    <row r="13" spans="1:11" ht="15.75">
      <c r="A13" s="55" t="str">
        <v>Clarksburg A</v>
      </c>
      <c r="B13" s="50" t="str">
        <v>MA</v>
      </c>
      <c r="C13" s="59"/>
      <c r="D13" s="51"/>
      <c r="E13" s="51" t="str">
        <f t="shared" si="0"/>
        <v/>
      </c>
      <c r="F13" s="52" t="str">
        <f t="shared" si="3"/>
        <v/>
      </c>
      <c r="G13" s="53"/>
      <c r="H13" s="53" t="str">
        <f t="shared" si="1"/>
        <v/>
      </c>
      <c r="I13" s="52" t="str">
        <f t="shared" si="2"/>
        <v/>
      </c>
      <c r="J13" s="28"/>
      <c r="K13" s="29"/>
    </row>
    <row r="14" spans="1:11" ht="15.75">
      <c r="A14" s="56" t="str">
        <v>Swansea B</v>
      </c>
      <c r="B14" s="44" t="str">
        <v>MA</v>
      </c>
      <c r="C14" s="57"/>
      <c r="D14" s="45"/>
      <c r="E14" s="45" t="str">
        <f t="shared" si="0"/>
        <v/>
      </c>
      <c r="F14" s="58" t="str">
        <f t="shared" si="3"/>
        <v/>
      </c>
      <c r="G14" s="47"/>
      <c r="H14" s="47" t="str">
        <f t="shared" si="1"/>
        <v/>
      </c>
      <c r="I14" s="46" t="str">
        <f t="shared" si="2"/>
        <v/>
      </c>
      <c r="J14" s="27"/>
      <c r="K14" s="27"/>
    </row>
    <row r="15" spans="1:11" ht="15.75">
      <c r="A15" s="55" t="str">
        <v>Wareham 2</v>
      </c>
      <c r="B15" s="50" t="str">
        <v>MA</v>
      </c>
      <c r="C15" s="59"/>
      <c r="D15" s="51"/>
      <c r="E15" s="51" t="str">
        <f t="shared" si="0"/>
        <v/>
      </c>
      <c r="F15" s="52" t="str">
        <f t="shared" si="3"/>
        <v/>
      </c>
      <c r="G15" s="53"/>
      <c r="H15" s="53" t="str">
        <f t="shared" si="1"/>
        <v/>
      </c>
      <c r="I15" s="52" t="str">
        <f t="shared" si="2"/>
        <v/>
      </c>
      <c r="J15" s="28"/>
      <c r="K15" s="29"/>
    </row>
    <row r="16" spans="1:11" ht="15.75">
      <c r="A16" s="56" t="str">
        <v>Kingston 1 KB</v>
      </c>
      <c r="B16" s="44" t="str">
        <v>MA</v>
      </c>
      <c r="C16" s="57"/>
      <c r="D16" s="45"/>
      <c r="E16" s="45" t="str">
        <f t="shared" si="0"/>
        <v/>
      </c>
      <c r="F16" s="58" t="str">
        <f t="shared" si="3"/>
        <v/>
      </c>
      <c r="G16" s="47"/>
      <c r="H16" s="47" t="str">
        <f t="shared" si="1"/>
        <v/>
      </c>
      <c r="I16" s="46" t="str">
        <f t="shared" si="2"/>
        <v/>
      </c>
      <c r="J16" s="27"/>
      <c r="K16" s="27"/>
    </row>
    <row r="17" spans="1:11" ht="15.75">
      <c r="A17" s="55" t="str">
        <v>Kingston 2 KB</v>
      </c>
      <c r="B17" s="50" t="str">
        <v>MA</v>
      </c>
      <c r="C17" s="59"/>
      <c r="D17" s="51"/>
      <c r="E17" s="51" t="str">
        <f t="shared" si="0"/>
        <v/>
      </c>
      <c r="F17" s="52" t="str">
        <f t="shared" si="3"/>
        <v/>
      </c>
      <c r="G17" s="53"/>
      <c r="H17" s="53" t="str">
        <f t="shared" si="1"/>
        <v/>
      </c>
      <c r="I17" s="52" t="str">
        <f t="shared" si="2"/>
        <v/>
      </c>
      <c r="J17" s="28"/>
      <c r="K17" s="29"/>
    </row>
    <row r="18" spans="1:11" ht="12.75" customHeight="1">
      <c r="A18" s="65" t="str">
        <v>Holliston B</v>
      </c>
      <c r="B18" s="44" t="str">
        <v>MA</v>
      </c>
      <c r="C18" s="57"/>
      <c r="D18" s="45"/>
      <c r="E18" s="45"/>
      <c r="F18" s="58"/>
      <c r="G18" s="47"/>
      <c r="H18" s="47"/>
      <c r="I18" s="46"/>
      <c r="J18" s="27"/>
      <c r="K18" s="27"/>
    </row>
    <row r="19" spans="1:11" ht="15.75">
      <c r="A19" s="55" t="str">
        <v>Fairhaven C</v>
      </c>
      <c r="B19" s="50" t="str">
        <v>MA</v>
      </c>
      <c r="C19" s="59"/>
      <c r="D19" s="51"/>
      <c r="E19" s="51"/>
      <c r="F19" s="52"/>
      <c r="G19" s="53"/>
      <c r="H19" s="53"/>
      <c r="I19" s="52"/>
      <c r="J19" s="28"/>
      <c r="K19" s="28"/>
    </row>
    <row r="20" spans="1:11" ht="15.75">
      <c r="A20" s="56" t="str">
        <v>Plympton A-2</v>
      </c>
      <c r="B20" s="44" t="str">
        <v>MA</v>
      </c>
      <c r="C20" s="57"/>
      <c r="D20" s="45"/>
      <c r="E20" s="45"/>
      <c r="F20" s="58"/>
      <c r="G20" s="47"/>
      <c r="H20" s="47"/>
      <c r="I20" s="46"/>
      <c r="J20" s="27"/>
      <c r="K20" s="27"/>
    </row>
    <row r="21" spans="1:11" ht="14.2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4.2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4.2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4.2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4.2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4.2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4.2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4.2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2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2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2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2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2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2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2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2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2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2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2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2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2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2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2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2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2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2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2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2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2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2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2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2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2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2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2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2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2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2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2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2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2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2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2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2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2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2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2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2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2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2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2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2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2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2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2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2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2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2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2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2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2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2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2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2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2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2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2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2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2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2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2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2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2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2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2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2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2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2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2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2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2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2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2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2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2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2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2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2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2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2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2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2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2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2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2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2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2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2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2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2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2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2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2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2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2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2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2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2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2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2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2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2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2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2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2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2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2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2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2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2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2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2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2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2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2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2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2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2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2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2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2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2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2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2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2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2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2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2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2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2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2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2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2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2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2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2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2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2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2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2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2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2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2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2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2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2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2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2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2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2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2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2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2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2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2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2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2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2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2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2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2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2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2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2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2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2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2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2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2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2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2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2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2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2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2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2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2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2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2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2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2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2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2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2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2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2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2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2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2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2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2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2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2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2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2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2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2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2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2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2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2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2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2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2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2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2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2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2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2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2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2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2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2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2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2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2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2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2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2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2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2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2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2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2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2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2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2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2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2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2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2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2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2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2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2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2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2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2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2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2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2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2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2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2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2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2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2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2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2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2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2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2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2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2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2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2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2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2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2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2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2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2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2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2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2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2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2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2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2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2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2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2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2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2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2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2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2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2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2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2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2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2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2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2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2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2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2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2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2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2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2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2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4.2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4.2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4.2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4.2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4.2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4.2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4.2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4.2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4.2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4.2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4.2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4.2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4.2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4.2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 ht="13.9">
      <c r="C337" s="14"/>
      <c r="D337" s="14"/>
      <c r="E337" s="14"/>
      <c r="F337" s="15"/>
      <c r="G337" s="14"/>
      <c r="H337" s="14"/>
      <c r="I337" s="15"/>
      <c r="J337" s="14"/>
      <c r="K337" s="14"/>
    </row>
  </sheetData>
  <mergeCells count="4">
    <mergeCell ref="G1:I1"/>
    <mergeCell ref="A1:C1"/>
    <mergeCell ref="D1:F1"/>
    <mergeCell ref="A2:B2"/>
  </mergeCells>
  <conditionalFormatting sqref="F2 I2 F4:F95 I4:I95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7"/>
  <sheetViews>
    <sheetView workbookViewId="0">
      <pane xSplit="2" ySplit="3" topLeftCell="C4" activePane="bottomRight" state="frozen"/>
      <selection pane="bottomRight" activeCell="A4" sqref="A4:I20"/>
      <selection pane="bottomLeft" activeCell="A4" sqref="A4:I20"/>
      <selection pane="topRight" activeCell="A4" sqref="A4:I20"/>
    </sheetView>
  </sheetViews>
  <sheetFormatPr defaultRowHeight="13.5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9" t="str" cm="1">
        <f t="array" ref="A1">portfolio</f>
        <v>MN8 KEF</v>
      </c>
      <c r="B1" s="79"/>
      <c r="C1" s="79"/>
      <c r="D1" s="80" t="s">
        <v>137</v>
      </c>
      <c r="E1" s="80"/>
      <c r="F1" s="80"/>
      <c r="G1" s="78" t="s">
        <v>138</v>
      </c>
      <c r="H1" s="78"/>
      <c r="I1" s="78"/>
      <c r="J1" s="4"/>
      <c r="K1" s="4"/>
    </row>
    <row r="2" spans="1:11" ht="19.5" customHeight="1">
      <c r="A2" s="81" t="s">
        <v>2</v>
      </c>
      <c r="B2" s="81"/>
      <c r="C2" s="5">
        <f>SUM(C4:C95)</f>
        <v>0</v>
      </c>
      <c r="D2" s="5">
        <f>SUM(D4:D95)</f>
        <v>0</v>
      </c>
      <c r="E2" s="5">
        <f>C2-D2</f>
        <v>0</v>
      </c>
      <c r="F2" s="6">
        <f>IFERROR(E2/D2, 0)</f>
        <v>0</v>
      </c>
      <c r="G2" s="5">
        <f>SUM(G4:G95)</f>
        <v>0</v>
      </c>
      <c r="H2" s="7">
        <f>C2-G2</f>
        <v>0</v>
      </c>
      <c r="I2" s="6">
        <f>IFERROR(H2/G2, 0)</f>
        <v>0</v>
      </c>
      <c r="J2" s="1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75">
      <c r="A4" s="65" t="str" cm="1">
        <f t="array" ref="A4:A20">Sites[Site]</f>
        <v>Williamsburg A</v>
      </c>
      <c r="B4" s="44" t="str" cm="1">
        <f t="array" ref="B4:B20">Sites[State]</f>
        <v>MA</v>
      </c>
      <c r="C4" s="57"/>
      <c r="D4" s="45"/>
      <c r="E4" s="45" t="str">
        <f>IF(AND(ISNUMBER(C4),ISNUMBER(D4)), C4-D4, "")</f>
        <v/>
      </c>
      <c r="F4" s="58" t="str">
        <f>IFERROR(E4/D4, "")</f>
        <v/>
      </c>
      <c r="G4" s="47"/>
      <c r="H4" s="47" t="str">
        <f>IF(AND(ISNUMBER(C4),ISNUMBER(G4)), C4-G4, "")</f>
        <v/>
      </c>
      <c r="I4" s="46" t="str">
        <f>IFERROR(H4/G4, "")</f>
        <v/>
      </c>
      <c r="J4" s="27"/>
      <c r="K4" s="27"/>
    </row>
    <row r="5" spans="1:11" ht="15.75">
      <c r="A5" s="55" t="str">
        <v>Orange A KB</v>
      </c>
      <c r="B5" s="50" t="str">
        <v>MA</v>
      </c>
      <c r="C5" s="59"/>
      <c r="D5" s="51"/>
      <c r="E5" s="51" t="str">
        <f t="shared" ref="E5:E17" si="0">IF(AND(ISNUMBER(C5),ISNUMBER(D5)), C5-D5, "")</f>
        <v/>
      </c>
      <c r="F5" s="52" t="str">
        <f>IFERROR(E5/D5, "")</f>
        <v/>
      </c>
      <c r="G5" s="53"/>
      <c r="H5" s="53" t="str">
        <f t="shared" ref="H5:H17" si="1">IF(AND(ISNUMBER(C5),ISNUMBER(G5)), C5-G5, "")</f>
        <v/>
      </c>
      <c r="I5" s="52" t="str">
        <f t="shared" ref="I5:I17" si="2">IFERROR(H5/G5, "")</f>
        <v/>
      </c>
      <c r="J5" s="28"/>
      <c r="K5" s="28"/>
    </row>
    <row r="6" spans="1:11" ht="15.75">
      <c r="A6" s="56" t="str">
        <v>Goshen A</v>
      </c>
      <c r="B6" s="44" t="str">
        <v>MA</v>
      </c>
      <c r="C6" s="57"/>
      <c r="D6" s="45"/>
      <c r="E6" s="45" t="str">
        <f t="shared" si="0"/>
        <v/>
      </c>
      <c r="F6" s="58" t="str">
        <f t="shared" ref="F6:F17" si="3">IFERROR(E6/D6, "")</f>
        <v/>
      </c>
      <c r="G6" s="47"/>
      <c r="H6" s="47" t="str">
        <f t="shared" si="1"/>
        <v/>
      </c>
      <c r="I6" s="46" t="str">
        <f t="shared" si="2"/>
        <v/>
      </c>
      <c r="J6" s="27"/>
      <c r="K6" s="27"/>
    </row>
    <row r="7" spans="1:11" ht="15.75">
      <c r="A7" s="55" t="str">
        <v>Phillipston A KB</v>
      </c>
      <c r="B7" s="50" t="str">
        <v>MA</v>
      </c>
      <c r="C7" s="59"/>
      <c r="D7" s="51"/>
      <c r="E7" s="51" t="str">
        <f t="shared" si="0"/>
        <v/>
      </c>
      <c r="F7" s="52" t="str">
        <f t="shared" si="3"/>
        <v/>
      </c>
      <c r="G7" s="53"/>
      <c r="H7" s="53" t="str">
        <f t="shared" si="1"/>
        <v/>
      </c>
      <c r="I7" s="52" t="str">
        <f t="shared" si="2"/>
        <v/>
      </c>
      <c r="J7" s="28"/>
      <c r="K7" s="29"/>
    </row>
    <row r="8" spans="1:11" ht="15.75">
      <c r="A8" s="56" t="str">
        <v>Uxbridge D</v>
      </c>
      <c r="B8" s="44" t="str">
        <v>MA</v>
      </c>
      <c r="C8" s="57"/>
      <c r="D8" s="45"/>
      <c r="E8" s="45" t="str">
        <f t="shared" si="0"/>
        <v/>
      </c>
      <c r="F8" s="58" t="str">
        <f t="shared" si="3"/>
        <v/>
      </c>
      <c r="G8" s="47"/>
      <c r="H8" s="47" t="str">
        <f t="shared" si="1"/>
        <v/>
      </c>
      <c r="I8" s="46" t="str">
        <f t="shared" si="2"/>
        <v/>
      </c>
      <c r="J8" s="27"/>
      <c r="K8" s="27"/>
    </row>
    <row r="9" spans="1:11" ht="15.75">
      <c r="A9" s="55" t="str">
        <v>West Bridgewater A&amp;B</v>
      </c>
      <c r="B9" s="50" t="str">
        <v>MA</v>
      </c>
      <c r="C9" s="59"/>
      <c r="D9" s="51"/>
      <c r="E9" s="51" t="str">
        <f t="shared" si="0"/>
        <v/>
      </c>
      <c r="F9" s="52" t="str">
        <f t="shared" si="3"/>
        <v/>
      </c>
      <c r="G9" s="53"/>
      <c r="H9" s="53" t="str">
        <f t="shared" si="1"/>
        <v/>
      </c>
      <c r="I9" s="52" t="str">
        <f t="shared" si="2"/>
        <v/>
      </c>
      <c r="J9" s="28"/>
      <c r="K9" s="29"/>
    </row>
    <row r="10" spans="1:11" ht="15.75">
      <c r="A10" s="56" t="str">
        <v>Sutton A</v>
      </c>
      <c r="B10" s="44" t="str">
        <v>MA</v>
      </c>
      <c r="C10" s="57"/>
      <c r="D10" s="45"/>
      <c r="E10" s="45" t="str">
        <f t="shared" si="0"/>
        <v/>
      </c>
      <c r="F10" s="58" t="str">
        <f t="shared" si="3"/>
        <v/>
      </c>
      <c r="G10" s="47"/>
      <c r="H10" s="47" t="str">
        <f t="shared" si="1"/>
        <v/>
      </c>
      <c r="I10" s="46" t="str">
        <f t="shared" si="2"/>
        <v/>
      </c>
      <c r="J10" s="27"/>
      <c r="K10" s="27"/>
    </row>
    <row r="11" spans="1:11" ht="15.75">
      <c r="A11" s="55" t="str">
        <v>North Adams A</v>
      </c>
      <c r="B11" s="50" t="str">
        <v>MA</v>
      </c>
      <c r="C11" s="59"/>
      <c r="D11" s="51"/>
      <c r="E11" s="51" t="str">
        <f t="shared" si="0"/>
        <v/>
      </c>
      <c r="F11" s="52" t="str">
        <f t="shared" si="3"/>
        <v/>
      </c>
      <c r="G11" s="53"/>
      <c r="H11" s="53" t="str">
        <f t="shared" si="1"/>
        <v/>
      </c>
      <c r="I11" s="52" t="str">
        <f t="shared" si="2"/>
        <v/>
      </c>
      <c r="J11" s="28"/>
      <c r="K11" s="29"/>
    </row>
    <row r="12" spans="1:11" ht="15.75">
      <c r="A12" s="56" t="str">
        <v>North Adams B</v>
      </c>
      <c r="B12" s="44" t="str">
        <v>MA</v>
      </c>
      <c r="C12" s="57"/>
      <c r="D12" s="45"/>
      <c r="E12" s="45" t="str">
        <f t="shared" si="0"/>
        <v/>
      </c>
      <c r="F12" s="58" t="str">
        <f t="shared" si="3"/>
        <v/>
      </c>
      <c r="G12" s="47"/>
      <c r="H12" s="47" t="str">
        <f t="shared" si="1"/>
        <v/>
      </c>
      <c r="I12" s="46" t="str">
        <f t="shared" si="2"/>
        <v/>
      </c>
      <c r="J12" s="27"/>
      <c r="K12" s="27"/>
    </row>
    <row r="13" spans="1:11" ht="15.75">
      <c r="A13" s="55" t="str">
        <v>Clarksburg A</v>
      </c>
      <c r="B13" s="50" t="str">
        <v>MA</v>
      </c>
      <c r="C13" s="59"/>
      <c r="D13" s="51"/>
      <c r="E13" s="51" t="str">
        <f t="shared" si="0"/>
        <v/>
      </c>
      <c r="F13" s="52" t="str">
        <f t="shared" si="3"/>
        <v/>
      </c>
      <c r="G13" s="53"/>
      <c r="H13" s="53" t="str">
        <f t="shared" si="1"/>
        <v/>
      </c>
      <c r="I13" s="52" t="str">
        <f t="shared" si="2"/>
        <v/>
      </c>
      <c r="J13" s="28"/>
      <c r="K13" s="29"/>
    </row>
    <row r="14" spans="1:11" ht="15.75">
      <c r="A14" s="56" t="str">
        <v>Swansea B</v>
      </c>
      <c r="B14" s="44" t="str">
        <v>MA</v>
      </c>
      <c r="C14" s="57"/>
      <c r="D14" s="45"/>
      <c r="E14" s="45" t="str">
        <f t="shared" si="0"/>
        <v/>
      </c>
      <c r="F14" s="58" t="str">
        <f t="shared" si="3"/>
        <v/>
      </c>
      <c r="G14" s="47"/>
      <c r="H14" s="47" t="str">
        <f t="shared" si="1"/>
        <v/>
      </c>
      <c r="I14" s="46" t="str">
        <f t="shared" si="2"/>
        <v/>
      </c>
      <c r="J14" s="27"/>
      <c r="K14" s="27"/>
    </row>
    <row r="15" spans="1:11" ht="15.75">
      <c r="A15" s="55" t="str">
        <v>Wareham 2</v>
      </c>
      <c r="B15" s="50" t="str">
        <v>MA</v>
      </c>
      <c r="C15" s="59"/>
      <c r="D15" s="51"/>
      <c r="E15" s="51" t="str">
        <f t="shared" si="0"/>
        <v/>
      </c>
      <c r="F15" s="52" t="str">
        <f t="shared" si="3"/>
        <v/>
      </c>
      <c r="G15" s="53"/>
      <c r="H15" s="53" t="str">
        <f t="shared" si="1"/>
        <v/>
      </c>
      <c r="I15" s="52" t="str">
        <f t="shared" si="2"/>
        <v/>
      </c>
      <c r="J15" s="28"/>
      <c r="K15" s="29"/>
    </row>
    <row r="16" spans="1:11" ht="15.75">
      <c r="A16" s="56" t="str">
        <v>Kingston 1 KB</v>
      </c>
      <c r="B16" s="44" t="str">
        <v>MA</v>
      </c>
      <c r="C16" s="57"/>
      <c r="D16" s="45"/>
      <c r="E16" s="45" t="str">
        <f t="shared" si="0"/>
        <v/>
      </c>
      <c r="F16" s="58" t="str">
        <f t="shared" si="3"/>
        <v/>
      </c>
      <c r="G16" s="47"/>
      <c r="H16" s="47" t="str">
        <f t="shared" si="1"/>
        <v/>
      </c>
      <c r="I16" s="46" t="str">
        <f t="shared" si="2"/>
        <v/>
      </c>
      <c r="J16" s="27"/>
      <c r="K16" s="27"/>
    </row>
    <row r="17" spans="1:11" ht="15.75">
      <c r="A17" s="55" t="str">
        <v>Kingston 2 KB</v>
      </c>
      <c r="B17" s="50" t="str">
        <v>MA</v>
      </c>
      <c r="C17" s="59"/>
      <c r="D17" s="51"/>
      <c r="E17" s="51" t="str">
        <f t="shared" si="0"/>
        <v/>
      </c>
      <c r="F17" s="52" t="str">
        <f t="shared" si="3"/>
        <v/>
      </c>
      <c r="G17" s="53"/>
      <c r="H17" s="53" t="str">
        <f t="shared" si="1"/>
        <v/>
      </c>
      <c r="I17" s="52" t="str">
        <f t="shared" si="2"/>
        <v/>
      </c>
      <c r="J17" s="28"/>
      <c r="K17" s="29"/>
    </row>
    <row r="18" spans="1:11" ht="12.75" customHeight="1">
      <c r="A18" s="65" t="str">
        <v>Holliston B</v>
      </c>
      <c r="B18" s="44" t="str">
        <v>MA</v>
      </c>
      <c r="C18" s="57"/>
      <c r="D18" s="45"/>
      <c r="E18" s="45"/>
      <c r="F18" s="58"/>
      <c r="G18" s="47"/>
      <c r="H18" s="47"/>
      <c r="I18" s="46"/>
      <c r="J18" s="27"/>
      <c r="K18" s="27"/>
    </row>
    <row r="19" spans="1:11" ht="15.75">
      <c r="A19" s="55" t="str">
        <v>Fairhaven C</v>
      </c>
      <c r="B19" s="50" t="str">
        <v>MA</v>
      </c>
      <c r="C19" s="59"/>
      <c r="D19" s="51"/>
      <c r="E19" s="51"/>
      <c r="F19" s="52"/>
      <c r="G19" s="53"/>
      <c r="H19" s="53"/>
      <c r="I19" s="52"/>
      <c r="J19" s="28"/>
      <c r="K19" s="28"/>
    </row>
    <row r="20" spans="1:11" ht="15.75">
      <c r="A20" s="56" t="str">
        <v>Plympton A-2</v>
      </c>
      <c r="B20" s="44" t="str">
        <v>MA</v>
      </c>
      <c r="C20" s="57"/>
      <c r="D20" s="45"/>
      <c r="E20" s="45"/>
      <c r="F20" s="58"/>
      <c r="G20" s="47"/>
      <c r="H20" s="47"/>
      <c r="I20" s="46"/>
      <c r="J20" s="27"/>
      <c r="K20" s="27"/>
    </row>
    <row r="21" spans="1:11" ht="14.2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4.2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4.2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4.2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4.2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4.2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4.2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4.2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2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2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2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2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2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2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2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2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2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2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2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2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2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2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2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2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2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2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2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2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2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2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2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2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2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2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2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2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2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2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2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2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2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2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2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2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2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2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2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2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2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2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2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2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2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2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2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2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2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2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2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2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2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2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2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2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2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2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2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2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2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2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2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2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2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2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2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2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2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2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2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2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2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2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2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2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2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2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2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2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2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2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2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2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2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2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2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2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2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2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2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2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2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2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2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2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2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2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2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2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2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2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2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2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2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2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2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2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2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2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2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2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2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2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2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2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2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2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2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2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2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2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2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2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2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2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2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2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2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2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2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2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2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2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2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2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2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2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2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2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2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2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2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2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2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2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2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2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2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2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2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2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2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2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2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2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2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2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2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2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2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2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2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2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2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2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2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2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2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2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2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2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2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2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2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2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2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2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2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2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2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2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2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2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2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2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2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2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2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2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2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2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2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2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2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2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2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2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2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2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2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2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2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2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2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2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2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2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2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2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2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2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2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2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2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2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2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2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2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2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2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2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2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2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2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2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2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2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2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2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2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2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2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2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2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2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2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2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2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2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2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2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2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2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2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2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2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2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2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2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2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2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2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2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2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2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2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2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2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2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2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2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2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2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2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2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2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2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2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2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2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2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2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2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2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2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2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2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2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2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2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2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2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2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2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2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2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2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2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2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2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2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2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2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4.2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4.2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4.2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4.2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4.2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4.2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4.2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4.2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4.2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4.2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4.2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4.2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4.2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4.2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 ht="13.9">
      <c r="C337" s="14"/>
      <c r="D337" s="14"/>
      <c r="E337" s="14"/>
      <c r="F337" s="15"/>
      <c r="G337" s="14"/>
      <c r="H337" s="14"/>
      <c r="I337" s="15"/>
      <c r="J337" s="14"/>
      <c r="K337" s="14"/>
    </row>
  </sheetData>
  <mergeCells count="4">
    <mergeCell ref="G1:I1"/>
    <mergeCell ref="A1:C1"/>
    <mergeCell ref="D1:F1"/>
    <mergeCell ref="A2:B2"/>
  </mergeCells>
  <conditionalFormatting sqref="F2 I2 F4:F95 I4:I95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26"/>
  <sheetViews>
    <sheetView workbookViewId="0">
      <pane ySplit="3" topLeftCell="A4" activePane="bottomLeft" state="frozen"/>
      <selection pane="bottomLeft" activeCell="E35" sqref="E35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139</v>
      </c>
      <c r="B1" t="s">
        <v>140</v>
      </c>
    </row>
    <row r="3" spans="1:12">
      <c r="A3" t="s">
        <v>141</v>
      </c>
      <c r="B3" t="s">
        <v>3</v>
      </c>
      <c r="C3" t="s">
        <v>4</v>
      </c>
      <c r="D3" t="s">
        <v>142</v>
      </c>
      <c r="E3" s="2" t="s">
        <v>143</v>
      </c>
    </row>
    <row r="4" spans="1:12" ht="14.25">
      <c r="A4" s="35" t="s">
        <v>144</v>
      </c>
      <c r="B4" t="s">
        <v>145</v>
      </c>
      <c r="C4" s="34" t="s">
        <v>146</v>
      </c>
      <c r="D4" s="33" t="s">
        <v>147</v>
      </c>
      <c r="E4" t="s">
        <v>148</v>
      </c>
      <c r="G4" s="3"/>
    </row>
    <row r="5" spans="1:12" ht="14.25">
      <c r="A5" s="35" t="s">
        <v>149</v>
      </c>
      <c r="B5" t="s">
        <v>150</v>
      </c>
      <c r="C5" s="34" t="s">
        <v>146</v>
      </c>
      <c r="D5" s="33" t="s">
        <v>147</v>
      </c>
      <c r="E5" t="s">
        <v>148</v>
      </c>
      <c r="G5" s="3"/>
    </row>
    <row r="6" spans="1:12" ht="14.25">
      <c r="A6" s="35" t="s">
        <v>151</v>
      </c>
      <c r="B6" t="s">
        <v>152</v>
      </c>
      <c r="C6" s="34" t="s">
        <v>146</v>
      </c>
      <c r="D6" s="33" t="s">
        <v>147</v>
      </c>
      <c r="E6" t="s">
        <v>148</v>
      </c>
      <c r="G6" s="3"/>
    </row>
    <row r="7" spans="1:12" ht="12.75" customHeight="1">
      <c r="A7" s="35" t="s">
        <v>153</v>
      </c>
      <c r="B7" t="s">
        <v>154</v>
      </c>
      <c r="C7" s="34" t="s">
        <v>146</v>
      </c>
      <c r="D7" s="33" t="s">
        <v>147</v>
      </c>
      <c r="E7" t="s">
        <v>148</v>
      </c>
    </row>
    <row r="8" spans="1:12" ht="12.75" customHeight="1">
      <c r="A8" s="35" t="s">
        <v>155</v>
      </c>
      <c r="B8" t="s">
        <v>156</v>
      </c>
      <c r="C8" s="34" t="s">
        <v>146</v>
      </c>
      <c r="D8" s="33" t="s">
        <v>147</v>
      </c>
      <c r="E8" t="s">
        <v>148</v>
      </c>
    </row>
    <row r="9" spans="1:12" ht="12.75" customHeight="1">
      <c r="A9" s="35" t="s">
        <v>157</v>
      </c>
      <c r="B9" t="s">
        <v>158</v>
      </c>
      <c r="C9" s="34" t="s">
        <v>146</v>
      </c>
      <c r="D9" s="33" t="s">
        <v>147</v>
      </c>
      <c r="E9" t="s">
        <v>148</v>
      </c>
    </row>
    <row r="10" spans="1:12" ht="12.75" customHeight="1">
      <c r="A10" s="35" t="s">
        <v>159</v>
      </c>
      <c r="B10" t="s">
        <v>160</v>
      </c>
      <c r="C10" s="34" t="s">
        <v>146</v>
      </c>
      <c r="D10" s="33" t="s">
        <v>147</v>
      </c>
      <c r="E10" t="s">
        <v>148</v>
      </c>
      <c r="K10" s="30"/>
      <c r="L10" s="30"/>
    </row>
    <row r="11" spans="1:12" ht="12.75" customHeight="1">
      <c r="A11" s="35" t="s">
        <v>161</v>
      </c>
      <c r="B11" t="s">
        <v>162</v>
      </c>
      <c r="C11" s="34" t="s">
        <v>146</v>
      </c>
      <c r="D11" s="33" t="s">
        <v>147</v>
      </c>
      <c r="E11" t="s">
        <v>148</v>
      </c>
      <c r="K11" s="30"/>
      <c r="L11" s="30"/>
    </row>
    <row r="12" spans="1:12" ht="12.75" customHeight="1">
      <c r="A12" s="35" t="s">
        <v>163</v>
      </c>
      <c r="B12" t="s">
        <v>164</v>
      </c>
      <c r="C12" s="34" t="s">
        <v>146</v>
      </c>
      <c r="D12" s="33" t="s">
        <v>147</v>
      </c>
      <c r="E12" t="s">
        <v>148</v>
      </c>
      <c r="K12" s="30"/>
      <c r="L12" s="30"/>
    </row>
    <row r="13" spans="1:12" ht="12.75" customHeight="1">
      <c r="A13" s="35" t="s">
        <v>165</v>
      </c>
      <c r="B13" t="s">
        <v>166</v>
      </c>
      <c r="C13" s="34" t="s">
        <v>146</v>
      </c>
      <c r="D13" s="33" t="s">
        <v>147</v>
      </c>
      <c r="E13" t="s">
        <v>148</v>
      </c>
      <c r="K13" s="30"/>
      <c r="L13" s="30"/>
    </row>
    <row r="14" spans="1:12" ht="12.75" customHeight="1">
      <c r="A14" s="35" t="s">
        <v>167</v>
      </c>
      <c r="B14" t="s">
        <v>168</v>
      </c>
      <c r="C14" s="34" t="s">
        <v>146</v>
      </c>
      <c r="D14" s="33" t="s">
        <v>147</v>
      </c>
      <c r="E14" t="s">
        <v>148</v>
      </c>
      <c r="K14" s="30"/>
      <c r="L14" s="30"/>
    </row>
    <row r="15" spans="1:12" ht="12.75" customHeight="1">
      <c r="A15" s="35" t="s">
        <v>169</v>
      </c>
      <c r="B15" t="s">
        <v>170</v>
      </c>
      <c r="C15" s="34" t="s">
        <v>146</v>
      </c>
      <c r="D15" s="33" t="s">
        <v>147</v>
      </c>
      <c r="E15" t="s">
        <v>148</v>
      </c>
      <c r="K15" s="30"/>
      <c r="L15" s="30"/>
    </row>
    <row r="16" spans="1:12" ht="12.75" customHeight="1">
      <c r="A16" s="35" t="s">
        <v>171</v>
      </c>
      <c r="B16" t="s">
        <v>172</v>
      </c>
      <c r="C16" s="34" t="s">
        <v>146</v>
      </c>
      <c r="D16" s="33" t="s">
        <v>147</v>
      </c>
      <c r="E16" t="s">
        <v>148</v>
      </c>
      <c r="K16" s="30"/>
      <c r="L16" s="30"/>
    </row>
    <row r="17" spans="1:12" ht="12.75" customHeight="1">
      <c r="A17" s="35" t="s">
        <v>173</v>
      </c>
      <c r="B17" t="s">
        <v>174</v>
      </c>
      <c r="C17" s="34" t="s">
        <v>146</v>
      </c>
      <c r="D17" s="33" t="s">
        <v>147</v>
      </c>
      <c r="E17" t="s">
        <v>148</v>
      </c>
      <c r="K17" s="30"/>
      <c r="L17" s="30"/>
    </row>
    <row r="18" spans="1:12" ht="12.75" customHeight="1">
      <c r="A18" s="35" t="s">
        <v>175</v>
      </c>
      <c r="B18" t="s">
        <v>176</v>
      </c>
      <c r="C18" s="34" t="s">
        <v>146</v>
      </c>
      <c r="D18" s="33" t="s">
        <v>147</v>
      </c>
      <c r="E18" t="s">
        <v>148</v>
      </c>
      <c r="K18" s="30"/>
      <c r="L18" s="30"/>
    </row>
    <row r="19" spans="1:12" ht="12.75" customHeight="1">
      <c r="A19" s="35" t="s">
        <v>177</v>
      </c>
      <c r="B19" t="s">
        <v>178</v>
      </c>
      <c r="C19" s="34" t="s">
        <v>146</v>
      </c>
      <c r="D19" s="33" t="s">
        <v>147</v>
      </c>
      <c r="E19" t="s">
        <v>148</v>
      </c>
      <c r="K19" s="30"/>
      <c r="L19" s="30"/>
    </row>
    <row r="20" spans="1:12" ht="12.75" customHeight="1">
      <c r="A20" s="35" t="s">
        <v>179</v>
      </c>
      <c r="B20" t="s">
        <v>180</v>
      </c>
      <c r="C20" s="34" t="s">
        <v>146</v>
      </c>
      <c r="D20" s="33" t="s">
        <v>147</v>
      </c>
      <c r="E20" t="s">
        <v>148</v>
      </c>
      <c r="K20" s="30"/>
      <c r="L20" s="30"/>
    </row>
    <row r="21" spans="1:12" ht="12.75" customHeight="1">
      <c r="K21" s="30"/>
      <c r="L21" s="30"/>
    </row>
    <row r="22" spans="1:12" ht="12.75" customHeight="1">
      <c r="K22" s="30"/>
      <c r="L22" s="30"/>
    </row>
    <row r="23" spans="1:12" ht="12.75" customHeight="1">
      <c r="K23" s="30"/>
      <c r="L23" s="30"/>
    </row>
    <row r="24" spans="1:12" ht="12.75" customHeight="1">
      <c r="K24" s="30"/>
      <c r="L24" s="30"/>
    </row>
    <row r="25" spans="1:12" ht="12.75" customHeight="1">
      <c r="K25" s="30"/>
      <c r="L25" s="30"/>
    </row>
    <row r="26" spans="1:12" ht="12.75" customHeight="1">
      <c r="K26" s="30"/>
      <c r="L26" s="30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2.xml>��
</file>

<file path=customXml/item13.xml>��
</file>

<file path=customXml/item14.xml>��
</file>

<file path=customXml/item15.xml>��
</file>

<file path=customXml/item1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7.xml>��
</file>

<file path=customXml/item18.xml>��
</file>

<file path=customXml/item19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20.xml>��
</file>

<file path=customXml/itemProps1.xml><?xml version="1.0" encoding="utf-8"?>
<ds:datastoreItem xmlns:ds="http://schemas.openxmlformats.org/officeDocument/2006/customXml" ds:itemID="{D3A7101F-9A85-4235-8B03-415370C100B2}"/>
</file>

<file path=customXml/itemProps2.xml><?xml version="1.0" encoding="utf-8"?>
<ds:datastoreItem xmlns:ds="http://schemas.openxmlformats.org/officeDocument/2006/customXml" ds:itemID="{98A113BB-8B7A-453C-8BD4-8EFC67FC2D3F}"/>
</file>

<file path=customXml/itemProps3.xml><?xml version="1.0" encoding="utf-8"?>
<ds:datastoreItem xmlns:ds="http://schemas.openxmlformats.org/officeDocument/2006/customXml" ds:itemID="{E20E8303-6A67-485C-B6F4-303542CC295C}"/>
</file>

<file path=customXml/itemProps4.xml><?xml version="1.0" encoding="utf-8"?>
<ds:datastoreItem xmlns:ds="http://schemas.openxmlformats.org/officeDocument/2006/customXml" ds:itemID="{BE26B669-A686-459C-A5E9-FEC3409C4C81}"/>
</file>

<file path=customXml/itemProps5.xml><?xml version="1.0" encoding="utf-8"?>
<ds:datastoreItem xmlns:ds="http://schemas.openxmlformats.org/officeDocument/2006/customXml" ds:itemID="{3AEAA9D8-2182-46BA-A58E-96C72DDA1C54}"/>
</file>

<file path=customXml/itemProps6.xml><?xml version="1.0" encoding="utf-8"?>
<ds:datastoreItem xmlns:ds="http://schemas.openxmlformats.org/officeDocument/2006/customXml" ds:itemID="{0389C43E-394D-44C0-87DC-4780FCFCFB40}"/>
</file>

<file path=customXml/itemProps7.xml><?xml version="1.0" encoding="utf-8"?>
<ds:datastoreItem xmlns:ds="http://schemas.openxmlformats.org/officeDocument/2006/customXml" ds:itemID="{F6B2B1A1-1C4B-4AC9-9A7D-7A102DD1C942}"/>
</file>

<file path=customXml/itemProps8.xml><?xml version="1.0" encoding="utf-8"?>
<ds:datastoreItem xmlns:ds="http://schemas.openxmlformats.org/officeDocument/2006/customXml" ds:itemID="{66B09F59-6532-46F8-924A-9A02417E070D}"/>
</file>

<file path=customXml/itemProps9.xml><?xml version="1.0" encoding="utf-8"?>
<ds:datastoreItem xmlns:ds="http://schemas.openxmlformats.org/officeDocument/2006/customXml" ds:itemID="{14966E4F-347B-477B-B74C-9DAC05405806}"/>
</file>

<file path=customXml/itemProps10.xml><?xml version="1.0" encoding="utf-8"?>
<ds:datastoreItem xmlns:ds="http://schemas.openxmlformats.org/officeDocument/2006/customXml" ds:itemID="{E3716282-BFD2-4ED2-BA47-BFA1123827F0}"/>
</file>

<file path=customXml/itemProps11.xml><?xml version="1.0" encoding="utf-8"?>
<ds:datastoreItem xmlns:ds="http://schemas.openxmlformats.org/officeDocument/2006/customXml" ds:itemID="{7946C510-7D04-49D8-9B25-EEC04582A1CA}"/>
</file>

<file path=customXml/itemProps12.xml><?xml version="1.0" encoding="utf-8"?>
<ds:datastoreItem xmlns:ds="http://schemas.openxmlformats.org/officeDocument/2006/customXml" ds:itemID="{F12EFA50-0068-4A8C-85A0-F1B26389EBC3}"/>
</file>

<file path=customXml/itemProps13.xml><?xml version="1.0" encoding="utf-8"?>
<ds:datastoreItem xmlns:ds="http://schemas.openxmlformats.org/officeDocument/2006/customXml" ds:itemID="{89CF5C07-45EB-4100-9AFB-2C6AF77FA787}"/>
</file>

<file path=customXml/itemProps14.xml><?xml version="1.0" encoding="utf-8"?>
<ds:datastoreItem xmlns:ds="http://schemas.openxmlformats.org/officeDocument/2006/customXml" ds:itemID="{BF5C6359-7763-4C37-8EAF-2BC4698CB285}"/>
</file>

<file path=customXml/itemProps15.xml><?xml version="1.0" encoding="utf-8"?>
<ds:datastoreItem xmlns:ds="http://schemas.openxmlformats.org/officeDocument/2006/customXml" ds:itemID="{2BC74AAC-D69B-4AF1-9649-B21EF3C1C463}"/>
</file>

<file path=customXml/itemProps16.xml><?xml version="1.0" encoding="utf-8"?>
<ds:datastoreItem xmlns:ds="http://schemas.openxmlformats.org/officeDocument/2006/customXml" ds:itemID="{C0BCDC1E-6052-4E48-9BAF-94A40814E7C2}"/>
</file>

<file path=customXml/itemProps17.xml><?xml version="1.0" encoding="utf-8"?>
<ds:datastoreItem xmlns:ds="http://schemas.openxmlformats.org/officeDocument/2006/customXml" ds:itemID="{1954BBA4-0359-438C-B0EC-A756015F7C02}"/>
</file>

<file path=customXml/itemProps18.xml><?xml version="1.0" encoding="utf-8"?>
<ds:datastoreItem xmlns:ds="http://schemas.openxmlformats.org/officeDocument/2006/customXml" ds:itemID="{078388C9-06F9-42F4-B857-EF76B5CAF1FD}"/>
</file>

<file path=customXml/itemProps19.xml><?xml version="1.0" encoding="utf-8"?>
<ds:datastoreItem xmlns:ds="http://schemas.openxmlformats.org/officeDocument/2006/customXml" ds:itemID="{8D732231-4216-4543-A665-18A2886B0EB7}"/>
</file>

<file path=customXml/itemProps20.xml><?xml version="1.0" encoding="utf-8"?>
<ds:datastoreItem xmlns:ds="http://schemas.openxmlformats.org/officeDocument/2006/customXml" ds:itemID="{CB52044A-5C0B-44A2-99D0-C1C315EC30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Balayan, Diana</cp:lastModifiedBy>
  <cp:revision/>
  <dcterms:created xsi:type="dcterms:W3CDTF">2021-01-01T16:39:53Z</dcterms:created>
  <dcterms:modified xsi:type="dcterms:W3CDTF">2024-07-11T16:17:15Z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