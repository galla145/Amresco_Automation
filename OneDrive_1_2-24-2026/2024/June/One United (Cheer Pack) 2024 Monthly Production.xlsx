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47" documentId="13_ncr:1_{E055DD24-2325-45FB-9662-429E1B6D4754}" xr6:coauthVersionLast="47" xr6:coauthVersionMax="47" xr10:uidLastSave="{26E1A6C0-5238-462F-BE18-3D0E767380DE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<sst xmlns="http://schemas.openxmlformats.org/spreadsheetml/2006/main" count="244" uniqueCount="58">
  <si>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</si>
  <si>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</si>
  <si>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</si>
  <si>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</si>
  <si>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</si>
  <si>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</si>
  <si>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</si>
  <si>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</si>
  <si>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</si>
  <si>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</si>
  <si>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</si>
  <si>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</si>
  <si>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</si>
  <si>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</si>
  <si>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</si>
  <si>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</si>
  <si>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</si>
  <si>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</si>
  <si>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</si>
  <si>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</si>
  <si>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</si>
  <si>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</si>
  <si>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</si>
  <si>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</si>
  <si>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</si>
  <si>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</si>
  <si>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2 is offline due to Isolated fault on 03/22 and the inverter was re energized by technician and is back online on 03/23.</t>
  </si>
  <si>
    <t>1. SR082397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</si>
  <si>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</si>
  <si>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</si>
  <si>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</si>
  <si>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</si>
  <si>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</si>
  <si>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</si>
  <si>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 Inverter 2 is derating from 06/23 at 11:30 approximately 150kW compared to its peer inverters and also Inverter 2 is offline from 06/28</t>
  </si>
  <si>
    <t xml:space="preserve">1.SR086763
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</si>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</sst>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SUM(C4:C64)</f>
        <v>1218296</v>
      </c>
      <c r="D2" s="5">
        <f>SUM(D4:D64)</f>
        <v>1306885.3999999999</v>
      </c>
      <c r="E2" s="5">
        <f>C2-D2</f>
        <v>-88589.399999999907</v>
      </c>
      <c r="F2" s="6">
        <f>IFERROR(E2/D2, 0)</f>
        <v>-6.7786662855059757E-2</v>
      </c>
      <c r="G2" s="5">
        <f>SUM(G4:G64)</f>
        <v>500815.3</v>
      </c>
      <c r="H2" s="7">
        <f>C2-G2</f>
        <v>717480.7</v>
      </c>
      <c r="I2" s="6">
        <f>IFERROR(H2/G2, 0)</f>
        <v>1.4326253610862127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1218296</v>
      </c>
      <c r="D4" s="11">
        <f>SUM('1st Qtr'!D4, '2nd Qtr'!D4, '3rd Qtr'!D4, '4th Qtr'!D4)</f>
        <v>1306885.3999999999</v>
      </c>
      <c r="E4" s="11">
        <f>IF(AND(ISNUMBER(C4),ISNUMBER(D4)), C4-D4, "")</f>
        <v>-88589.399999999907</v>
      </c>
      <c r="F4" s="12">
        <f>IFERROR(E4/D4, "")</f>
        <v>-6.7786662855059757E-2</v>
      </c>
      <c r="G4" s="13">
        <f>SUM('1st Qtr'!G4, '2nd Qtr'!G4, '3rd Qtr'!G4, '4th Qtr'!G4)</f>
        <v>500815.3</v>
      </c>
      <c r="H4" s="13">
        <f>SUM('1st Qtr'!H4, '2nd Qtr'!H4, '3rd Qtr'!H4, '4th Qtr'!H4)</f>
        <v>-112805.89999999997</v>
      </c>
      <c r="I4" s="14">
        <f>IFERROR(H4/G4, "")</f>
        <v>-0.22524451629173464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SUM(C4:C64)</f>
        <v>394602</v>
      </c>
      <c r="D2" s="5">
        <f>SUM(D4:D64)</f>
        <v>463986</v>
      </c>
      <c r="E2" s="5">
        <f>C2-D2</f>
        <v>-69384</v>
      </c>
      <c r="F2" s="6">
        <f>IFERROR(E2/D2, 0)</f>
        <v>-0.14953899471104731</v>
      </c>
      <c r="G2" s="5">
        <f>SUM(G4:G64)</f>
        <v>500815.3</v>
      </c>
      <c r="H2" s="7">
        <f>C2-G2</f>
        <v>-106213.29999999999</v>
      </c>
      <c r="I2" s="6">
        <f>IFERROR(H2/G2, 0)</f>
        <v>-0.21208078107837358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394602</v>
      </c>
      <c r="D4" s="11">
        <f>SUM(Jan!D4, Feb!D4, Mar!D4)</f>
        <v>463986</v>
      </c>
      <c r="E4" s="11">
        <f>IF(AND(ISNUMBER(C4),ISNUMBER(D4)), C4-D4, "")</f>
        <v>-69384</v>
      </c>
      <c r="F4" s="12">
        <f>IFERROR(E4/D4, "")</f>
        <v>-0.14953899471104731</v>
      </c>
      <c r="G4" s="13">
        <f>SUM(Jan!G4, Feb!G4, Mar!G4)</f>
        <v>500815.3</v>
      </c>
      <c r="H4" s="13">
        <f>SUM(Jan!H4, Feb!H4, Mar!H4)</f>
        <v>-106213.29999999999</v>
      </c>
      <c r="I4" s="14">
        <f>IFERROR(H4/G4, "")</f>
        <v>-0.21208078107837358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SUM(C4:C64)</f>
        <v>823694</v>
      </c>
      <c r="D2" s="5">
        <f>SUM(D4:D64)</f>
        <v>842899.4</v>
      </c>
      <c r="E2" s="5">
        <f>C2-D2</f>
        <v>-19205.400000000023</v>
      </c>
      <c r="F2" s="6">
        <f>IFERROR(E2/D2, 0)</f>
        <v>-2.2784925460855737E-2</v>
      </c>
      <c r="G2" s="5">
        <f>SUM(G4:G64)</f>
        <v>0</v>
      </c>
      <c r="H2" s="7">
        <f>C2-G2</f>
        <v>823694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823694</v>
      </c>
      <c r="D4" s="11">
        <f>SUM(Apr!D4, May!D4, Jun!D4)</f>
        <v>842899.4</v>
      </c>
      <c r="E4" s="11">
        <f>IF(AND(ISNUMBER(C4),ISNUMBER(D4)), C4-D4, "")</f>
        <v>-19205.400000000023</v>
      </c>
      <c r="F4" s="12">
        <f>IFERROR(E4/D4, "")</f>
        <v>-2.2784925460855737E-2</v>
      </c>
      <c r="G4" s="13"/>
      <c r="H4" s="13">
        <f>SUM(Apr!H4, May!H4, Jun!H4)</f>
        <v>-6592.5999999999767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H9" sqref="H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SUM(C4:C63)</f>
        <v>59106</v>
      </c>
      <c r="D2" s="5">
        <f>SUM(D4:D63)</f>
        <v>98220.7</v>
      </c>
      <c r="E2" s="5">
        <f>C2-D2</f>
        <v>-39114.699999999997</v>
      </c>
      <c r="F2" s="6">
        <f>IFERROR(E2/D2, 0)</f>
        <v>-0.3982327554171371</v>
      </c>
      <c r="G2" s="5">
        <f>SUM(G4:G63)</f>
        <v>120187.9</v>
      </c>
      <c r="H2" s="7">
        <f>C2-G2</f>
        <v>-61081.899999999994</v>
      </c>
      <c r="I2" s="6">
        <f>IFERROR(H2/G2, 0)</f>
        <v>-0.50822004544550659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1">
        <v>59106</v>
      </c>
      <c r="D4" s="11">
        <v>98220.7</v>
      </c>
      <c r="E4" s="11">
        <f>IF(AND(ISNUMBER(C4),ISNUMBER(D4)), C4-D4, "")</f>
        <v>-39114.699999999997</v>
      </c>
      <c r="F4" s="34">
        <f>IFERROR(E4/D4, "")</f>
        <v>-0.3982327554171371</v>
      </c>
      <c r="G4" s="13">
        <v>120187.9</v>
      </c>
      <c r="H4" s="13">
        <f>IF(AND(ISNUMBER(C4),ISNUMBER(G4)), C4-G4, "")</f>
        <v>-61081.899999999994</v>
      </c>
      <c r="I4" s="14">
        <f>IFERROR(H4/G4, "")</f>
        <v>-0.50822004544550659</v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bottomRight" activeCell="G8" sqref="G8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139092</v>
      </c>
      <c r="D2" s="5">
        <f>SUM(D4:D64)</f>
        <v>162361.29999999999</v>
      </c>
      <c r="E2" s="5">
        <f>C2-D2</f>
        <v>-23269.299999999988</v>
      </c>
      <c r="F2" s="6">
        <f>IFERROR(E2/D2, 0)</f>
        <v>-0.1433180197497802</v>
      </c>
      <c r="G2" s="5">
        <f>SUM(G4:G64)</f>
        <v>153747.4</v>
      </c>
      <c r="H2" s="7">
        <f>C2-G2</f>
        <v>-14655.399999999994</v>
      </c>
      <c r="I2" s="6">
        <f>IFERROR(H2/G2, 0)</f>
        <v>-9.5321286733954486E-2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139092</v>
      </c>
      <c r="D4" s="11">
        <v>162361.29999999999</v>
      </c>
      <c r="E4" s="11">
        <f>IF(AND(ISNUMBER(C4),ISNUMBER(D4)), C4-D4, "")</f>
        <v>-23269.299999999988</v>
      </c>
      <c r="F4" s="12">
        <f>IFERROR(E4/D4, "")</f>
        <v>-0.1433180197497802</v>
      </c>
      <c r="G4" s="13">
        <v>153747.4</v>
      </c>
      <c r="H4" s="13">
        <f>IF(AND(ISNUMBER(C4),ISNUMBER(G4)), C4-G4, "")</f>
        <v>-14655.399999999994</v>
      </c>
      <c r="I4" s="14">
        <f>IFERROR(H4/G4, "")</f>
        <v>-9.5321286733954486E-2</v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zoomScale="80" zoomScaleNormal="80" workbookViewId="0">
      <pane xSplit="2" ySplit="3" topLeftCell="D4" activePane="bottomRight" state="frozen"/>
      <selection pane="bottomRight" activeCell="J19" sqref="J1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196404</v>
      </c>
      <c r="D2" s="5">
        <f>SUM(D4:D64)</f>
        <v>203404</v>
      </c>
      <c r="E2" s="5">
        <f>C2-D2</f>
        <v>-7000</v>
      </c>
      <c r="F2" s="6">
        <f>IFERROR(E2/D2, 0)</f>
        <v>-3.4414269139249963E-2</v>
      </c>
      <c r="G2" s="5">
        <f>SUM(G4:G64)</f>
        <v>226880</v>
      </c>
      <c r="H2" s="7">
        <f>C2-G2</f>
        <v>-30476</v>
      </c>
      <c r="I2" s="6">
        <f>IFERROR(H2/G2, 0)</f>
        <v>-0.1343265162200282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196404</v>
      </c>
      <c r="D4" s="11">
        <v>203404</v>
      </c>
      <c r="E4" s="11">
        <f>IF(AND(ISNUMBER(C4),ISNUMBER(D4)), C4-D4, "")</f>
        <v>-7000</v>
      </c>
      <c r="F4" s="12">
        <f>IFERROR(E4/D4, "")</f>
        <v>-3.4414269139249963E-2</v>
      </c>
      <c r="G4" s="13">
        <v>226880</v>
      </c>
      <c r="H4" s="13">
        <f>IF(AND(ISNUMBER(C4),ISNUMBER(G4)), C4-G4, "")</f>
        <v>-30476</v>
      </c>
      <c r="I4" s="14">
        <f>IFERROR(H4/G4, "")</f>
        <v>-0.1343265162200282</v>
      </c>
      <c r="J4" s="42" t="s">
        <v>26</v>
      </c>
      <c r="K4" s="42" t="s">
        <v>27</v>
      </c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zoomScale="90" zoomScaleNormal="90" workbookViewId="0">
      <pane xSplit="2" ySplit="3" topLeftCell="C4" activePane="bottomRight" state="frozen"/>
      <selection pane="bottomRight" activeCell="E19" sqref="E1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244760</v>
      </c>
      <c r="D2" s="5">
        <f>SUM(D4:D64)</f>
        <v>241399.8</v>
      </c>
      <c r="E2" s="5">
        <f>C2-D2</f>
        <v>3360.2000000000116</v>
      </c>
      <c r="F2" s="6">
        <f>IFERROR(E2/D2, 0)</f>
        <v>1.3919646992251077E-2</v>
      </c>
      <c r="G2" s="5">
        <f>SUM(G4:G64)</f>
        <v>248718</v>
      </c>
      <c r="H2" s="7">
        <f>C2-G2</f>
        <v>-3958</v>
      </c>
      <c r="I2" s="6">
        <f>IFERROR(H2/G2, 0)</f>
        <v>-1.5913604966267016E-2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244760</v>
      </c>
      <c r="D4" s="11">
        <v>241399.8</v>
      </c>
      <c r="E4" s="11">
        <f>IF(AND(ISNUMBER(C4),ISNUMBER(D4)), C4-D4, "")</f>
        <v>3360.2000000000116</v>
      </c>
      <c r="F4" s="12">
        <f>IFERROR(E4/D4, "")</f>
        <v>1.3919646992251077E-2</v>
      </c>
      <c r="G4" s="13">
        <v>248718</v>
      </c>
      <c r="H4" s="13">
        <f>IF(AND(ISNUMBER(C4),ISNUMBER(G4)), C4-G4, "")</f>
        <v>-3958</v>
      </c>
      <c r="I4" s="14">
        <f>IFERROR(H4/G4, "")</f>
        <v>-1.5913604966267016E-2</v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276998</v>
      </c>
      <c r="D2" s="5">
        <f>SUM(D4:D64)</f>
        <v>279548.90000000002</v>
      </c>
      <c r="E2" s="5">
        <f>C2-D2</f>
        <v>-2550.9000000000233</v>
      </c>
      <c r="F2" s="6">
        <f>IFERROR(E2/D2, 0)</f>
        <v>-9.1250582635096153E-3</v>
      </c>
      <c r="G2" s="5">
        <f>SUM(G4:G64)</f>
        <v>292988.79999999999</v>
      </c>
      <c r="H2" s="7">
        <f>C2-G2</f>
        <v>-15990.799999999988</v>
      </c>
      <c r="I2" s="6">
        <f>IFERROR(H2/G2, 0)</f>
        <v>-5.4578195480509795E-2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276998</v>
      </c>
      <c r="D4" s="11">
        <v>279548.90000000002</v>
      </c>
      <c r="E4" s="11">
        <f>IF(AND(ISNUMBER(C4),ISNUMBER(D4)), C4-D4, "")</f>
        <v>-2550.9000000000233</v>
      </c>
      <c r="F4" s="12">
        <f>IFERROR(E4/D4, "")</f>
        <v>-9.1250582635096153E-3</v>
      </c>
      <c r="G4" s="13">
        <v>292988.79999999999</v>
      </c>
      <c r="H4" s="13">
        <f>IF(AND(ISNUMBER(C4),ISNUMBER(G4)), C4-G4, "")</f>
        <v>-15990.799999999988</v>
      </c>
      <c r="I4" s="14">
        <f>IFERROR(H4/G4, "")</f>
        <v>-5.4578195480509795E-2</v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tabSelected="1" zoomScale="80" zoomScaleNormal="80" workbookViewId="0">
      <pane xSplit="2" ySplit="3" topLeftCell="C4" activePane="bottomRight" state="frozen"/>
      <selection pane="bottomRight" activeCell="J14" sqref="J14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301936</v>
      </c>
      <c r="D2" s="5">
        <f>SUM(D4:D64)</f>
        <v>321950.7</v>
      </c>
      <c r="E2" s="5">
        <f>C2-D2</f>
        <v>-20014.700000000012</v>
      </c>
      <c r="F2" s="6">
        <f>IFERROR(E2/D2, 0)</f>
        <v>-6.216697152700712E-2</v>
      </c>
      <c r="G2" s="5">
        <f>SUM(G4:G64)</f>
        <v>288579.8</v>
      </c>
      <c r="H2" s="7">
        <f>C2-G2</f>
        <v>13356.200000000012</v>
      </c>
      <c r="I2" s="6">
        <f>IFERROR(H2/G2, 0)</f>
        <v>4.6282518734852583E-2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301936</v>
      </c>
      <c r="D4" s="11">
        <v>321950.7</v>
      </c>
      <c r="E4" s="11">
        <f>IF(AND(ISNUMBER(C4),ISNUMBER(D4)), C4-D4, "")</f>
        <v>-20014.700000000012</v>
      </c>
      <c r="F4" s="12">
        <f>IFERROR(E4/D4, "")</f>
        <v>-6.216697152700712E-2</v>
      </c>
      <c r="G4" s="13">
        <v>288579.8</v>
      </c>
      <c r="H4" s="13">
        <f>IF(AND(ISNUMBER(C4),ISNUMBER(G4)), C4-G4, "")</f>
        <v>13356.200000000012</v>
      </c>
      <c r="I4" s="14">
        <f>IFERROR(H4/G4, "")</f>
        <v>4.6282518734852583E-2</v>
      </c>
      <c r="J4" s="32" t="s">
        <v>34</v>
      </c>
      <c r="K4" s="32" t="s">
        <v>35</v>
      </c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46</v>
      </c>
      <c r="E1" s="45"/>
      <c r="F1" s="45"/>
      <c r="G1" s="43" t="s">
        <v>47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25">
      <c r="A4" s="38" t="s">
        <v>53</v>
      </c>
      <c r="B4" t="s">
        <v>54</v>
      </c>
      <c r="C4" s="36" t="s">
        <v>55</v>
      </c>
      <c r="D4" s="40" t="s">
        <v>56</v>
      </c>
      <c r="E4" s="41" t="s">
        <v>57</v>
      </c>
      <c r="G4" s="3"/>
    </row>
    <row r="5" spans="1:12" ht="14.25">
      <c r="A5" s="38"/>
      <c r="C5" s="36"/>
      <c r="D5" s="35"/>
      <c r="G5" s="3"/>
    </row>
    <row r="6" spans="1:12" ht="14.2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2024-08-19T16:21:09Z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