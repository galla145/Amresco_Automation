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maneeshav_amgsol_com/Documents/Desktop/New folder/"/>
    </mc:Choice>
  </mc:AlternateContent>
  <xr:revisionPtr revIDLastSave="27" documentId="13_ncr:1_{E055DD24-2325-45FB-9662-429E1B6D4754}" xr6:coauthVersionLast="47" xr6:coauthVersionMax="47" xr10:uidLastSave="{3902F88F-6BA6-4913-B923-11D88F7CA6FB}"/>
  <bookViews>
    <workbookView xWindow="-108" yWindow="-108" windowWidth="23256" windowHeight="12456" tabRatio="866" firstSheet="6" activeTab="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May" sheetId="20" r:id="rId9"/>
    <sheet name="Apr" sheetId="21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9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8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72" l="1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E4" i="30" s="1"/>
  <c r="F4" i="30" s="1"/>
  <c r="D4" i="29"/>
  <c r="D2" i="29" s="1"/>
  <c r="C4" i="29"/>
  <c r="D4" i="18"/>
  <c r="C4" i="18"/>
  <c r="E4" i="18" s="1"/>
  <c r="F4" i="18" s="1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D4" i="34" s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D2" i="30" l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D2" i="34"/>
  <c r="H4" i="30"/>
  <c r="I4" i="30" s="1"/>
  <c r="H4" i="29"/>
  <c r="I4" i="29" s="1"/>
  <c r="H4" i="18"/>
  <c r="I4" i="18" s="1"/>
  <c r="C4" i="34"/>
  <c r="E4" i="34" s="1"/>
  <c r="F4" i="34" s="1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G2" i="34" l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<sst xmlns="http://schemas.openxmlformats.org/spreadsheetml/2006/main" count="240" uniqueCount="53">
  <si>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</si>
  <si>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</si>
  <si>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</si>
  <si>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</si>
  <si>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</si>
  <si>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</si>
  <si>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</si>
  <si>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</si>
  <si>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</si>
  <si>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</si>
  <si>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</si>
  <si>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</si>
  <si>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</si>
  <si>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</si>
  <si>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</si>
  <si>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</si>
  <si>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</si>
  <si>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</si>
  <si>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</si>
  <si>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</si>
  <si>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</si>
  <si>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</si>
  <si>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</si>
  <si>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</si>
  <si>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</si>
  <si>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</si>
  <si>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May Actual v. Expected</t>
  </si>
  <si>
    <t>May Actual v. Forecasted</t>
  </si>
  <si>
    <t>April Actual v. Expected</t>
  </si>
  <si>
    <t>April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</si>
  <si>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</si>
  <si>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</si>
  <si>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</si>
  <si>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</si>
  <si>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</si>
  <si>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</si>
  <si>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</si>
  <si>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</si>
  <si>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</si>
  <si>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</si>
  <si>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</si>
  <si>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</si>
  <si>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</si>
  <si>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</si>
  <si>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</si>
  <si>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Creed Monarch - Roof</t>
  </si>
  <si>
    <t>Site DAS Name</t>
  </si>
  <si>
    <t>Update</t>
  </si>
  <si>
    <t>DAS</t>
  </si>
  <si>
    <t>CT: New Britain - Creed Monarch</t>
  </si>
  <si>
    <t>CT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</si>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</sst>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8EA9DB"/>
      </top>
      <bottom style="thin">
        <color rgb="FF000000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2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3" fontId="35" fillId="46" borderId="1" xfId="0" applyNumberFormat="1" applyFont="1" applyFill="1" applyBorder="1" applyAlignment="1">
      <alignment horizontal="right" vertical="center"/>
    </xf>
    <xf numFmtId="3" fontId="35" fillId="47" borderId="12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7"/>
  <sheetViews>
    <sheetView workbookViewId="0">
      <pane xSplit="2" ySplit="3" topLeftCell="C4" activePane="bottomRight" state="frozen"/>
      <selection pane="bottomRight" activeCell="C21" sqref="C21"/>
      <selection pane="bottomLeft" activeCell="C21" sqref="C21"/>
      <selection pane="topRight" activeCell="C21" sqref="C2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Creed Monarch - Roof</v>
      </c>
      <c r="B1" s="49"/>
      <c r="C1" s="49"/>
      <c r="D1" s="50" t="s">
        <v>0</v>
      </c>
      <c r="E1" s="50"/>
      <c r="F1" s="50"/>
      <c r="G1" s="48" t="s">
        <v>1</v>
      </c>
      <c r="H1" s="48"/>
      <c r="I1" s="48"/>
    </row>
    <row r="2" spans="1:9" ht="19.5" customHeight="1">
      <c r="A2" s="51" t="s">
        <v>2</v>
      </c>
      <c r="B2" s="51"/>
      <c r="C2" s="5">
        <f>SUM(C4:C75)</f>
        <v>159443.52023243549</v>
      </c>
      <c r="D2" s="5">
        <f>SUM(D4:D75)</f>
        <v>0</v>
      </c>
      <c r="E2" s="5">
        <f>C2-D2</f>
        <v>159443.52023243549</v>
      </c>
      <c r="F2" s="6">
        <f>IFERROR(E2/D2, 0)</f>
        <v>0</v>
      </c>
      <c r="G2" s="5">
        <f>SUM(G4:G75)</f>
        <v>236807.81299999999</v>
      </c>
      <c r="H2" s="7">
        <f>C2-G2</f>
        <v>-77364.292767564504</v>
      </c>
      <c r="I2" s="6">
        <f>IFERROR(H2/G2, 0)</f>
        <v>-0.32669653837630985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CT: New Britain - Creed Monarch</v>
      </c>
      <c r="B4" s="9" t="str" cm="1">
        <f t="array" ref="B4">Sites[State]</f>
        <v>CT</v>
      </c>
      <c r="C4" s="23">
        <f>SUM('1st Qtr'!C4, '2nd Qtr'!C4, '3rd Qtr'!C4, '4th Qtr'!C4)</f>
        <v>159443.52023243549</v>
      </c>
      <c r="D4" s="12">
        <f>SUM('1st Qtr'!D4, '2nd Qtr'!D4, '3rd Qtr'!D4, '4th Qtr'!D4)</f>
        <v>0</v>
      </c>
      <c r="E4" s="12">
        <f>IF(AND(ISNUMBER(C4),ISNUMBER(D4)), C4-D4, "")</f>
        <v>159443.52023243549</v>
      </c>
      <c r="F4" s="13" t="str">
        <f>IFERROR(E4/D4, "")</f>
        <v/>
      </c>
      <c r="G4" s="14">
        <f>SUM('1st Qtr'!G4, '2nd Qtr'!G4, '3rd Qtr'!G4, '4th Qtr'!G4)</f>
        <v>236807.81299999999</v>
      </c>
      <c r="H4" s="14">
        <f>SUM('1st Qtr'!H4, '2nd Qtr'!H4, '3rd Qtr'!H4, '4th Qtr'!H4)</f>
        <v>-77364.292767564504</v>
      </c>
      <c r="I4" s="15">
        <f>IFERROR(H4/G4, "")</f>
        <v>-0.32669653837630985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1"/>
      <c r="G8" s="20"/>
      <c r="H8" s="20"/>
      <c r="I8" s="21"/>
    </row>
    <row r="9" spans="1:9" ht="13.9">
      <c r="A9" s="20"/>
      <c r="B9" s="20"/>
      <c r="C9" s="20"/>
      <c r="D9" s="20"/>
      <c r="E9" s="20"/>
      <c r="F9" s="21"/>
      <c r="G9" s="20"/>
      <c r="H9" s="20"/>
      <c r="I9" s="21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5 I4:I75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7"/>
  <sheetViews>
    <sheetView workbookViewId="0">
      <pane xSplit="2" ySplit="3" topLeftCell="C4" activePane="bottomRight" state="frozen"/>
      <selection pane="bottomRight" activeCell="C21" sqref="C21"/>
      <selection pane="bottomLeft" activeCell="C21" sqref="C21"/>
      <selection pane="topRight" activeCell="C21" sqref="C2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Creed Monarch - Roof</v>
      </c>
      <c r="B1" s="49"/>
      <c r="C1" s="49"/>
      <c r="D1" s="50" t="s">
        <v>10</v>
      </c>
      <c r="E1" s="50"/>
      <c r="F1" s="50"/>
      <c r="G1" s="48" t="s">
        <v>11</v>
      </c>
      <c r="H1" s="48"/>
      <c r="I1" s="48"/>
    </row>
    <row r="2" spans="1:9" ht="19.5" customHeight="1">
      <c r="A2" s="51" t="s">
        <v>2</v>
      </c>
      <c r="B2" s="51"/>
      <c r="C2" s="5">
        <f>SUM(C4:C75)</f>
        <v>159443.52023243549</v>
      </c>
      <c r="D2" s="5">
        <f>SUM(D4:D75)</f>
        <v>0</v>
      </c>
      <c r="E2" s="5">
        <f>C2-D2</f>
        <v>159443.52023243549</v>
      </c>
      <c r="F2" s="6">
        <f>IFERROR(E2/D2, 0)</f>
        <v>0</v>
      </c>
      <c r="G2" s="5">
        <f>SUM(G4:G75)</f>
        <v>236807.81299999999</v>
      </c>
      <c r="H2" s="7">
        <f>C2-G2</f>
        <v>-77364.292767564504</v>
      </c>
      <c r="I2" s="6">
        <f>IFERROR(H2/G2, 0)</f>
        <v>-0.32669653837630985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CT: New Britain - Creed Monarch</v>
      </c>
      <c r="B4" s="9" t="str" cm="1">
        <f t="array" ref="B4">Sites[State]</f>
        <v>CT</v>
      </c>
      <c r="C4" s="23">
        <f>SUM(Jan!C4, Feb!C4, Mar!C4)</f>
        <v>159443.52023243549</v>
      </c>
      <c r="D4" s="12">
        <f>SUM(Jan!D4, Feb!D4, Mar!D4)</f>
        <v>0</v>
      </c>
      <c r="E4" s="12">
        <f>IF(AND(ISNUMBER(C4),ISNUMBER(D4)), C4-D4, "")</f>
        <v>159443.52023243549</v>
      </c>
      <c r="F4" s="13" t="str">
        <f>IFERROR(E4/D4, "")</f>
        <v/>
      </c>
      <c r="G4" s="14">
        <f>SUM(Jan!G4, Feb!G4, Mar!G4)</f>
        <v>236807.81299999999</v>
      </c>
      <c r="H4" s="14">
        <f>SUM(Jan!H4, Feb!H4, Mar!H4)</f>
        <v>-77364.292767564504</v>
      </c>
      <c r="I4" s="15">
        <f>IFERROR(H4/G4, "")</f>
        <v>-0.32669653837630985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1"/>
      <c r="G8" s="20"/>
      <c r="H8" s="20"/>
      <c r="I8" s="21"/>
    </row>
    <row r="9" spans="1:9" ht="13.9">
      <c r="A9" s="20"/>
      <c r="B9" s="20"/>
      <c r="C9" s="20"/>
      <c r="D9" s="20"/>
      <c r="E9" s="20"/>
      <c r="F9" s="21"/>
      <c r="G9" s="20"/>
      <c r="H9" s="20"/>
      <c r="I9" s="21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5 I4:I75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7"/>
  <sheetViews>
    <sheetView workbookViewId="0">
      <pane xSplit="2" ySplit="3" topLeftCell="C13" activePane="bottomRight" state="frozen"/>
      <selection pane="bottomRight" activeCell="C21" sqref="C21"/>
      <selection pane="bottomLeft" activeCell="C21" sqref="C21"/>
      <selection pane="topRight" activeCell="C21" sqref="C2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Creed Monarch - Roof</v>
      </c>
      <c r="B1" s="49"/>
      <c r="C1" s="49"/>
      <c r="D1" s="50" t="s">
        <v>12</v>
      </c>
      <c r="E1" s="50"/>
      <c r="F1" s="50"/>
      <c r="G1" s="48" t="s">
        <v>13</v>
      </c>
      <c r="H1" s="48"/>
      <c r="I1" s="48"/>
    </row>
    <row r="2" spans="1:9" ht="19.5" customHeight="1">
      <c r="A2" s="51" t="s">
        <v>2</v>
      </c>
      <c r="B2" s="51"/>
      <c r="C2" s="5">
        <f>SUM(C4:C75)</f>
        <v>0</v>
      </c>
      <c r="D2" s="5">
        <f>SUM(D4:D75)</f>
        <v>0</v>
      </c>
      <c r="E2" s="5">
        <f>C2-D2</f>
        <v>0</v>
      </c>
      <c r="F2" s="6">
        <f>IFERROR(E2/D2, 0)</f>
        <v>0</v>
      </c>
      <c r="G2" s="5">
        <f>SUM(G4:G75)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CT: New Britain - Creed Monarch</v>
      </c>
      <c r="B4" s="9" t="str" cm="1">
        <f t="array" ref="B4">Sites[State]</f>
        <v>CT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SUM(Apr!H4, May!H4, Jun!H4)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1"/>
      <c r="G8" s="20"/>
      <c r="H8" s="20"/>
      <c r="I8" s="21"/>
    </row>
    <row r="9" spans="1:9" ht="13.9">
      <c r="A9" s="20"/>
      <c r="B9" s="20"/>
      <c r="C9" s="20"/>
      <c r="D9" s="20"/>
      <c r="E9" s="20"/>
      <c r="F9" s="21"/>
      <c r="G9" s="20"/>
      <c r="H9" s="20"/>
      <c r="I9" s="21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5 I4:I75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7"/>
  <sheetViews>
    <sheetView workbookViewId="0">
      <pane xSplit="2" ySplit="3" topLeftCell="C4" activePane="bottomRight" state="frozen"/>
      <selection pane="bottomRight" activeCell="C21" sqref="C21"/>
      <selection pane="bottomLeft" activeCell="C21" sqref="C21"/>
      <selection pane="topRight" activeCell="C21" sqref="C2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Creed Monarch - Roof</v>
      </c>
      <c r="B1" s="49"/>
      <c r="C1" s="49"/>
      <c r="D1" s="50" t="s">
        <v>14</v>
      </c>
      <c r="E1" s="50"/>
      <c r="F1" s="50"/>
      <c r="G1" s="48" t="s">
        <v>15</v>
      </c>
      <c r="H1" s="48"/>
      <c r="I1" s="48"/>
    </row>
    <row r="2" spans="1:9" ht="19.5" customHeight="1">
      <c r="A2" s="51" t="s">
        <v>2</v>
      </c>
      <c r="B2" s="51"/>
      <c r="C2" s="5">
        <f>SUM(C4:C75)</f>
        <v>0</v>
      </c>
      <c r="D2" s="5">
        <f>SUM(D4:D75)</f>
        <v>0</v>
      </c>
      <c r="E2" s="5">
        <f>C2-D2</f>
        <v>0</v>
      </c>
      <c r="F2" s="6">
        <f>IFERROR(E2/D2, 0)</f>
        <v>0</v>
      </c>
      <c r="G2" s="5">
        <f>SUM(G4:G75)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CT: New Britain - Creed Monarch</v>
      </c>
      <c r="B4" s="9" t="str" cm="1">
        <f t="array" ref="B4">Sites[State]</f>
        <v>CT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1"/>
      <c r="G8" s="20"/>
      <c r="H8" s="20"/>
      <c r="I8" s="21"/>
    </row>
    <row r="9" spans="1:9" ht="13.9">
      <c r="A9" s="20"/>
      <c r="B9" s="20"/>
      <c r="C9" s="20"/>
      <c r="D9" s="20"/>
      <c r="E9" s="20"/>
      <c r="F9" s="21"/>
      <c r="G9" s="20"/>
      <c r="H9" s="20"/>
      <c r="I9" s="21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</sheetData>
  <mergeCells count="4">
    <mergeCell ref="G1:I1"/>
    <mergeCell ref="A1:C1"/>
    <mergeCell ref="D1:F1"/>
    <mergeCell ref="A2:B2"/>
  </mergeCells>
  <conditionalFormatting sqref="F2 I2 F4:F75 I4:I75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7"/>
  <sheetViews>
    <sheetView workbookViewId="0">
      <pane xSplit="2" ySplit="3" topLeftCell="C4" activePane="bottomRight" state="frozen"/>
      <selection pane="bottomRight" activeCell="C21" sqref="C21"/>
      <selection pane="bottomLeft" activeCell="C21" sqref="C21"/>
      <selection pane="topRight" activeCell="C21" sqref="C2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Creed Monarch - Roof</v>
      </c>
      <c r="B1" s="49"/>
      <c r="C1" s="49"/>
      <c r="D1" s="50" t="s">
        <v>16</v>
      </c>
      <c r="E1" s="50"/>
      <c r="F1" s="50"/>
      <c r="G1" s="48" t="s">
        <v>17</v>
      </c>
      <c r="H1" s="48"/>
      <c r="I1" s="48"/>
    </row>
    <row r="2" spans="1:9" ht="19.5" customHeight="1">
      <c r="A2" s="51" t="s">
        <v>2</v>
      </c>
      <c r="B2" s="51"/>
      <c r="C2" s="5">
        <f>SUM(C4:C75)</f>
        <v>0</v>
      </c>
      <c r="D2" s="5">
        <f>SUM(D4:D75)</f>
        <v>0</v>
      </c>
      <c r="E2" s="5">
        <f>C2-D2</f>
        <v>0</v>
      </c>
      <c r="F2" s="6">
        <f>IFERROR(E2/D2, 0)</f>
        <v>0</v>
      </c>
      <c r="G2" s="5">
        <f>SUM(G4:G75)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CT: New Britain - Creed Monarch</v>
      </c>
      <c r="B4" s="9" t="str" cm="1">
        <f t="array" ref="B4">Sites[State]</f>
        <v>CT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4.45">
      <c r="A5" s="20"/>
      <c r="B5" s="10"/>
      <c r="C5" s="40"/>
      <c r="D5" s="17"/>
      <c r="E5" s="17"/>
      <c r="F5" s="18"/>
      <c r="G5" s="19"/>
      <c r="H5" s="19"/>
      <c r="I5" s="18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1"/>
      <c r="G8" s="20"/>
      <c r="H8" s="20"/>
      <c r="I8" s="21"/>
    </row>
    <row r="9" spans="1:9" ht="13.9">
      <c r="A9" s="20"/>
      <c r="B9" s="20"/>
      <c r="C9" s="20"/>
      <c r="D9" s="20"/>
      <c r="E9" s="20"/>
      <c r="F9" s="21"/>
      <c r="G9" s="20"/>
      <c r="H9" s="20"/>
      <c r="I9" s="21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</sheetData>
  <mergeCells count="4">
    <mergeCell ref="G1:I1"/>
    <mergeCell ref="A1:C1"/>
    <mergeCell ref="D1:F1"/>
    <mergeCell ref="A2:B2"/>
  </mergeCells>
  <conditionalFormatting sqref="F2 I2 F4:F75 I4:I75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6"/>
  <sheetViews>
    <sheetView workbookViewId="0">
      <pane xSplit="2" ySplit="3" topLeftCell="C4" activePane="bottomRight" state="frozen"/>
      <selection pane="bottomRight" activeCell="F14" sqref="F14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Creed Monarch - Roof</v>
      </c>
      <c r="B1" s="49"/>
      <c r="C1" s="49"/>
      <c r="D1" s="50" t="s">
        <v>18</v>
      </c>
      <c r="E1" s="50"/>
      <c r="F1" s="50"/>
      <c r="G1" s="48" t="s">
        <v>19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SUM(C4:C74)</f>
        <v>22388.470232435498</v>
      </c>
      <c r="D2" s="5">
        <f>SUM(D4:D74)</f>
        <v>0</v>
      </c>
      <c r="E2" s="5">
        <f>C2-D2</f>
        <v>22388.470232435498</v>
      </c>
      <c r="F2" s="6">
        <f>IFERROR(E2/D2, 0)</f>
        <v>0</v>
      </c>
      <c r="G2" s="5">
        <f>SUM(G4:G74)</f>
        <v>57340</v>
      </c>
      <c r="H2" s="7">
        <f>C2-G2</f>
        <v>-34951.529767564498</v>
      </c>
      <c r="I2" s="6">
        <f>IFERROR(H2/G2, 0)</f>
        <v>-0.6095488274775811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6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5" t="str" cm="1">
        <f t="array" ref="A4">Sites[Site]</f>
        <v>CT: New Britain - Creed Monarch</v>
      </c>
      <c r="B4" s="27" t="str" cm="1">
        <f t="array" ref="B4">Sites[State]</f>
        <v>CT</v>
      </c>
      <c r="C4" s="46">
        <v>22388.470232435498</v>
      </c>
      <c r="D4" s="12">
        <v>0</v>
      </c>
      <c r="E4" s="12">
        <f>IF(AND(ISNUMBER(C4),ISNUMBER(D4)), C4-D4, "")</f>
        <v>22388.470232435498</v>
      </c>
      <c r="F4" s="39" t="str">
        <f>IFERROR(E4/D4, "")</f>
        <v/>
      </c>
      <c r="G4" s="47">
        <v>57340</v>
      </c>
      <c r="H4" s="14">
        <f>IF(AND(ISNUMBER(C4),ISNUMBER(G4)), C4-G4, "")</f>
        <v>-34951.529767564498</v>
      </c>
      <c r="I4" s="15">
        <f>IFERROR(H4/G4, "")</f>
        <v>-0.6095488274775811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1"/>
      <c r="G7" s="20"/>
      <c r="H7" s="20"/>
      <c r="I7" s="21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</sheetData>
  <mergeCells count="4">
    <mergeCell ref="D1:F1"/>
    <mergeCell ref="A1:C1"/>
    <mergeCell ref="G1:I1"/>
    <mergeCell ref="A2:B2"/>
  </mergeCells>
  <conditionalFormatting sqref="F2 I2 I4:I74 F5:F74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7"/>
  <sheetViews>
    <sheetView tabSelected="1" workbookViewId="0">
      <pane xSplit="2" ySplit="3" topLeftCell="C4" activePane="bottomRight" state="frozen"/>
      <selection pane="bottomRight" activeCell="J8" sqref="J8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Creed Monarch - Roof</v>
      </c>
      <c r="B1" s="49"/>
      <c r="C1" s="49"/>
      <c r="D1" s="50" t="s">
        <v>22</v>
      </c>
      <c r="E1" s="50"/>
      <c r="F1" s="50"/>
      <c r="G1" s="48" t="s">
        <v>23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SUM(C4:C75)</f>
        <v>43907.63</v>
      </c>
      <c r="D2" s="5">
        <f>SUM(D4:D75)</f>
        <v>0</v>
      </c>
      <c r="E2" s="5">
        <f>C2-D2</f>
        <v>43907.63</v>
      </c>
      <c r="F2" s="6">
        <f>IFERROR(E2/D2, 0)</f>
        <v>0</v>
      </c>
      <c r="G2" s="5">
        <f>SUM(G4:G75)</f>
        <v>73689.024999999994</v>
      </c>
      <c r="H2" s="7">
        <f>C2-G2</f>
        <v>-29781.394999999997</v>
      </c>
      <c r="I2" s="6">
        <f>IFERROR(H2/G2, 0)</f>
        <v>-0.40414966814936143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45" t="str" cm="1">
        <f t="array" ref="A4">Sites[Site]</f>
        <v>CT: New Britain - Creed Monarch</v>
      </c>
      <c r="B4" s="27" t="str" cm="1">
        <f t="array" ref="B4">Sites[State]</f>
        <v>CT</v>
      </c>
      <c r="C4" s="23">
        <v>43907.63</v>
      </c>
      <c r="D4" s="12">
        <v>0</v>
      </c>
      <c r="E4" s="12">
        <f>IF(AND(ISNUMBER(C4),ISNUMBER(D4)), C4-D4, "")</f>
        <v>43907.63</v>
      </c>
      <c r="F4" s="13" t="str">
        <f>IFERROR(E4/D4, "")</f>
        <v/>
      </c>
      <c r="G4" s="14">
        <v>73689.024999999994</v>
      </c>
      <c r="H4" s="14">
        <f>IF(AND(ISNUMBER(C4),ISNUMBER(G4)), C4-G4, "")</f>
        <v>-29781.394999999997</v>
      </c>
      <c r="I4" s="15">
        <f>IFERROR(H4/G4, "")</f>
        <v>-0.40414966814936143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7"/>
  <sheetViews>
    <sheetView workbookViewId="0">
      <pane xSplit="2" ySplit="3" topLeftCell="C4" activePane="bottomRight" state="frozen"/>
      <selection pane="bottomRight" activeCell="J4" sqref="J4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Creed Monarch - Roof</v>
      </c>
      <c r="B1" s="49"/>
      <c r="C1" s="49"/>
      <c r="D1" s="50" t="s">
        <v>24</v>
      </c>
      <c r="E1" s="50"/>
      <c r="F1" s="50"/>
      <c r="G1" s="48" t="s">
        <v>25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SUM(C4:C75)</f>
        <v>93147.42</v>
      </c>
      <c r="D2" s="5">
        <f>SUM(D4:D75)</f>
        <v>0</v>
      </c>
      <c r="E2" s="5">
        <f>C2-D2</f>
        <v>93147.42</v>
      </c>
      <c r="F2" s="6">
        <f>IFERROR(E2/D2, 0)</f>
        <v>0</v>
      </c>
      <c r="G2" s="5">
        <f>SUM(G4:G75)</f>
        <v>105778.788</v>
      </c>
      <c r="H2" s="7">
        <f>C2-G2</f>
        <v>-12631.368000000002</v>
      </c>
      <c r="I2" s="6">
        <f>IFERROR(H2/G2, 0)</f>
        <v>-0.11941305283248284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New Britain - Creed Monarch</v>
      </c>
      <c r="B4" s="27" t="str" cm="1">
        <f t="array" ref="B4">Sites[State]</f>
        <v>CT</v>
      </c>
      <c r="C4" s="23">
        <v>93147.42</v>
      </c>
      <c r="D4" s="12">
        <v>0</v>
      </c>
      <c r="E4" s="12">
        <f>IF(AND(ISNUMBER(C4),ISNUMBER(D4)), C4-D4, "")</f>
        <v>93147.42</v>
      </c>
      <c r="F4" s="13" t="str">
        <f>IFERROR(E4/D4, "")</f>
        <v/>
      </c>
      <c r="G4" s="14">
        <v>105778.788</v>
      </c>
      <c r="H4" s="14">
        <f>IF(AND(ISNUMBER(C4),ISNUMBER(G4)), C4-G4, "")</f>
        <v>-12631.368000000002</v>
      </c>
      <c r="I4" s="15">
        <f>IFERROR(H4/G4, "")</f>
        <v>-0.11941305283248284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7"/>
  <sheetViews>
    <sheetView workbookViewId="0">
      <pane xSplit="2" ySplit="3" topLeftCell="C4" activePane="bottomRight" state="frozen"/>
      <selection pane="bottomRight" activeCell="C21" sqref="C21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Creed Monarch - Roof</v>
      </c>
      <c r="B1" s="49"/>
      <c r="C1" s="49"/>
      <c r="D1" s="50" t="s">
        <v>26</v>
      </c>
      <c r="E1" s="50"/>
      <c r="F1" s="50"/>
      <c r="G1" s="48" t="s">
        <v>27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SUM(C4:C75)</f>
        <v>0</v>
      </c>
      <c r="D2" s="5">
        <f>SUM(D4:D75)</f>
        <v>0</v>
      </c>
      <c r="E2" s="5">
        <f>C2-D2</f>
        <v>0</v>
      </c>
      <c r="F2" s="6">
        <f>IFERROR(E2/D2, 0)</f>
        <v>0</v>
      </c>
      <c r="G2" s="5">
        <f>SUM(G4:G75)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New Britain - Creed Monarch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7"/>
  <sheetViews>
    <sheetView workbookViewId="0">
      <pane xSplit="2" ySplit="3" topLeftCell="C4" activePane="bottomRight" state="frozen"/>
      <selection pane="bottomRight" activeCell="C21" sqref="C21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Creed Monarch - Roof</v>
      </c>
      <c r="B1" s="49"/>
      <c r="C1" s="49"/>
      <c r="D1" s="50" t="s">
        <v>28</v>
      </c>
      <c r="E1" s="50"/>
      <c r="F1" s="50"/>
      <c r="G1" s="48" t="s">
        <v>29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SUM(C4:C75)</f>
        <v>0</v>
      </c>
      <c r="D2" s="5">
        <f>SUM(D4:D75)</f>
        <v>0</v>
      </c>
      <c r="E2" s="5">
        <f>C2-D2</f>
        <v>0</v>
      </c>
      <c r="F2" s="6">
        <f>IFERROR(E2/D2, 0)</f>
        <v>0</v>
      </c>
      <c r="G2" s="5">
        <f>SUM(G4:G75)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New Britain - Creed Monarch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7"/>
  <sheetViews>
    <sheetView workbookViewId="0">
      <pane xSplit="2" ySplit="3" topLeftCell="C4" activePane="bottomRight" state="frozen"/>
      <selection pane="bottomRight" activeCell="C21" sqref="C21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Creed Monarch - Roof</v>
      </c>
      <c r="B1" s="49"/>
      <c r="C1" s="49"/>
      <c r="D1" s="50" t="s">
        <v>30</v>
      </c>
      <c r="E1" s="50"/>
      <c r="F1" s="50"/>
      <c r="G1" s="48" t="s">
        <v>31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SUM(C4:C75)</f>
        <v>0</v>
      </c>
      <c r="D2" s="5">
        <f>SUM(D4:D75)</f>
        <v>0</v>
      </c>
      <c r="E2" s="5">
        <f>C2-D2</f>
        <v>0</v>
      </c>
      <c r="F2" s="6">
        <f>IFERROR(E2/D2, 0)</f>
        <v>0</v>
      </c>
      <c r="G2" s="5">
        <f>SUM(G4:G75)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New Britain - Creed Monarch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7"/>
  <sheetViews>
    <sheetView workbookViewId="0">
      <pane xSplit="2" ySplit="3" topLeftCell="C4" activePane="bottomRight" state="frozen"/>
      <selection pane="bottomRight" activeCell="C21" sqref="C21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Creed Monarch - Roof</v>
      </c>
      <c r="B1" s="49"/>
      <c r="C1" s="49"/>
      <c r="D1" s="50" t="s">
        <v>32</v>
      </c>
      <c r="E1" s="50"/>
      <c r="F1" s="50"/>
      <c r="G1" s="48" t="s">
        <v>33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SUM(C4:C75)</f>
        <v>0</v>
      </c>
      <c r="D2" s="5">
        <f>SUM(D4:D75)</f>
        <v>0</v>
      </c>
      <c r="E2" s="5">
        <f>C2-D2</f>
        <v>0</v>
      </c>
      <c r="F2" s="6">
        <f>IFERROR(E2/D2, 0)</f>
        <v>0</v>
      </c>
      <c r="G2" s="5">
        <f>SUM(G4:G75)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New Britain - Creed Monarch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5 I4:I75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7"/>
  <sheetViews>
    <sheetView workbookViewId="0">
      <pane xSplit="2" ySplit="3" topLeftCell="C4" activePane="bottomRight" state="frozen"/>
      <selection pane="bottomRight" activeCell="C21" sqref="C21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Creed Monarch - Roof</v>
      </c>
      <c r="B1" s="49"/>
      <c r="C1" s="49"/>
      <c r="D1" s="50" t="s">
        <v>34</v>
      </c>
      <c r="E1" s="50"/>
      <c r="F1" s="50"/>
      <c r="G1" s="48" t="s">
        <v>35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SUM(C4:C75)</f>
        <v>0</v>
      </c>
      <c r="D2" s="5">
        <f>SUM(D4:D75)</f>
        <v>0</v>
      </c>
      <c r="E2" s="5">
        <f>C2-D2</f>
        <v>0</v>
      </c>
      <c r="F2" s="6">
        <f>IFERROR(E2/D2, 0)</f>
        <v>0</v>
      </c>
      <c r="G2" s="5">
        <f>SUM(G4:G75)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New Britain - Creed Monarch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7"/>
  <sheetViews>
    <sheetView workbookViewId="0">
      <pane xSplit="2" ySplit="3" topLeftCell="C4" activePane="bottomRight" state="frozen"/>
      <selection pane="bottomRight" activeCell="C21" sqref="C21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Creed Monarch - Roof</v>
      </c>
      <c r="B1" s="49"/>
      <c r="C1" s="49"/>
      <c r="D1" s="50" t="s">
        <v>36</v>
      </c>
      <c r="E1" s="50"/>
      <c r="F1" s="50"/>
      <c r="G1" s="48" t="s">
        <v>37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SUM(C4:C75)</f>
        <v>0</v>
      </c>
      <c r="D2" s="5">
        <f>SUM(D4:D75)</f>
        <v>0</v>
      </c>
      <c r="E2" s="5">
        <f>C2-D2</f>
        <v>0</v>
      </c>
      <c r="F2" s="6">
        <f>IFERROR(E2/D2, 0)</f>
        <v>0</v>
      </c>
      <c r="G2" s="5">
        <f>SUM(G4:G75)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New Britain - Creed Monarch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7"/>
  <sheetViews>
    <sheetView workbookViewId="0">
      <pane xSplit="2" ySplit="3" topLeftCell="C4" activePane="bottomRight" state="frozen"/>
      <selection pane="bottomRight" activeCell="C21" sqref="C21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Creed Monarch - Roof</v>
      </c>
      <c r="B1" s="49"/>
      <c r="C1" s="49"/>
      <c r="D1" s="50" t="s">
        <v>38</v>
      </c>
      <c r="E1" s="50"/>
      <c r="F1" s="50"/>
      <c r="G1" s="48" t="s">
        <v>39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SUM(C4:C75)</f>
        <v>0</v>
      </c>
      <c r="D2" s="5">
        <f>SUM(D4:D75)</f>
        <v>0</v>
      </c>
      <c r="E2" s="5">
        <f>C2-D2</f>
        <v>0</v>
      </c>
      <c r="F2" s="6">
        <f>IFERROR(E2/D2, 0)</f>
        <v>0</v>
      </c>
      <c r="G2" s="5">
        <f>SUM(G4:G75)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New Britain - Creed Monarch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7"/>
  <sheetViews>
    <sheetView workbookViewId="0">
      <pane xSplit="2" ySplit="3" topLeftCell="C4" activePane="bottomRight" state="frozen"/>
      <selection pane="bottomRight" activeCell="C21" sqref="C21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Creed Monarch - Roof</v>
      </c>
      <c r="B1" s="49"/>
      <c r="C1" s="49"/>
      <c r="D1" s="50" t="s">
        <v>40</v>
      </c>
      <c r="E1" s="50"/>
      <c r="F1" s="50"/>
      <c r="G1" s="48" t="s">
        <v>41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SUM(C4:C75)</f>
        <v>0</v>
      </c>
      <c r="D2" s="5">
        <f>SUM(D4:D75)</f>
        <v>0</v>
      </c>
      <c r="E2" s="5">
        <f>C2-D2</f>
        <v>0</v>
      </c>
      <c r="F2" s="6">
        <f>IFERROR(E2/D2, 0)</f>
        <v>0</v>
      </c>
      <c r="G2" s="5">
        <f>SUM(G4:G75)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New Britain - Creed Monarch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7"/>
  <sheetViews>
    <sheetView workbookViewId="0">
      <pane xSplit="2" ySplit="3" topLeftCell="C4" activePane="bottomRight" state="frozen"/>
      <selection pane="bottomRight" activeCell="C21" sqref="C21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Creed Monarch - Roof</v>
      </c>
      <c r="B1" s="49"/>
      <c r="C1" s="49"/>
      <c r="D1" s="50" t="s">
        <v>42</v>
      </c>
      <c r="E1" s="50"/>
      <c r="F1" s="50"/>
      <c r="G1" s="48" t="s">
        <v>43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SUM(C4:C75)</f>
        <v>0</v>
      </c>
      <c r="D2" s="5">
        <f>SUM(D4:D75)</f>
        <v>0</v>
      </c>
      <c r="E2" s="5">
        <f>C2-D2</f>
        <v>0</v>
      </c>
      <c r="F2" s="6">
        <f>IFERROR(E2/D2, 0)</f>
        <v>0</v>
      </c>
      <c r="G2" s="5">
        <f>SUM(G4:G75)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New Britain - Creed Monarch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0" sqref="E10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44</v>
      </c>
      <c r="B1" t="s">
        <v>45</v>
      </c>
    </row>
    <row r="3" spans="1:12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12" ht="14.45">
      <c r="A4" s="44" t="s">
        <v>45</v>
      </c>
      <c r="B4" t="s">
        <v>49</v>
      </c>
      <c r="C4" s="42" t="s">
        <v>50</v>
      </c>
      <c r="D4" s="41" t="s">
        <v>51</v>
      </c>
      <c r="E4" t="s">
        <v>52</v>
      </c>
      <c r="G4" s="3"/>
    </row>
    <row r="5" spans="1:12" ht="14.45">
      <c r="A5" s="44"/>
      <c r="C5" s="42"/>
      <c r="D5" s="41"/>
      <c r="G5" s="3"/>
    </row>
    <row r="6" spans="1:12" ht="14.45">
      <c r="A6" s="44"/>
      <c r="C6" s="42"/>
      <c r="D6" s="41"/>
      <c r="G6" s="3"/>
    </row>
    <row r="7" spans="1:12" ht="12.75" customHeight="1">
      <c r="A7" s="44"/>
      <c r="C7" s="42"/>
      <c r="D7" s="41"/>
    </row>
    <row r="8" spans="1:12" ht="12.75" customHeight="1">
      <c r="A8" s="44"/>
      <c r="C8" s="42"/>
      <c r="D8" s="41"/>
    </row>
    <row r="9" spans="1:12" ht="12.75" customHeight="1">
      <c r="A9" s="44"/>
      <c r="C9" s="42"/>
      <c r="D9" s="41"/>
    </row>
    <row r="10" spans="1:12" ht="12.75" customHeight="1">
      <c r="A10" s="44"/>
      <c r="C10" s="42"/>
      <c r="D10" s="41"/>
      <c r="K10" s="38"/>
      <c r="L10" s="38"/>
    </row>
    <row r="11" spans="1:12" ht="12.75" customHeight="1">
      <c r="A11" s="44"/>
      <c r="C11" s="42"/>
      <c r="D11" s="41"/>
      <c r="K11" s="38"/>
      <c r="L11" s="38"/>
    </row>
    <row r="12" spans="1:12" ht="12.75" customHeight="1">
      <c r="A12" s="44"/>
      <c r="C12" s="42"/>
      <c r="D12" s="41"/>
      <c r="K12" s="38"/>
      <c r="L12" s="38"/>
    </row>
    <row r="13" spans="1:12" ht="12.75" customHeight="1">
      <c r="A13" s="44"/>
      <c r="C13" s="42"/>
      <c r="D13" s="41"/>
      <c r="K13" s="38"/>
      <c r="L13" s="38"/>
    </row>
    <row r="14" spans="1:12" ht="12.75" customHeight="1">
      <c r="A14" s="44"/>
      <c r="C14" s="42"/>
      <c r="D14" s="41"/>
      <c r="K14" s="38"/>
      <c r="L14" s="38"/>
    </row>
    <row r="15" spans="1:12" ht="12.75" customHeight="1">
      <c r="A15" s="44"/>
      <c r="C15" s="42"/>
      <c r="D15" s="41"/>
      <c r="K15" s="38"/>
      <c r="L15" s="38"/>
    </row>
    <row r="16" spans="1:12" ht="12.75" customHeight="1">
      <c r="A16" s="44"/>
      <c r="C16" s="42"/>
      <c r="D16" s="41"/>
      <c r="K16" s="38"/>
      <c r="L16" s="38"/>
    </row>
    <row r="17" spans="1:12" ht="12.75" customHeight="1">
      <c r="A17" s="44"/>
      <c r="C17" s="42"/>
      <c r="D17" s="41"/>
      <c r="K17" s="38"/>
      <c r="L17" s="38"/>
    </row>
    <row r="18" spans="1:12" ht="12.75" customHeight="1">
      <c r="A18" s="44"/>
      <c r="C18" s="42"/>
      <c r="D18" s="41"/>
      <c r="K18" s="38"/>
      <c r="L18" s="38"/>
    </row>
    <row r="19" spans="1:12" ht="12.75" customHeight="1">
      <c r="A19" s="44"/>
      <c r="C19" s="42"/>
      <c r="D19" s="41"/>
      <c r="K19" s="38"/>
      <c r="L19" s="38"/>
    </row>
    <row r="20" spans="1:12" ht="12.75" customHeight="1">
      <c r="A20" s="44"/>
      <c r="C20" s="42"/>
      <c r="D20" s="41"/>
      <c r="K20" s="38"/>
      <c r="L20" s="38"/>
    </row>
    <row r="21" spans="1:12" ht="12.75" customHeight="1">
      <c r="A21" s="44"/>
      <c r="C21" s="42"/>
      <c r="D21" s="41"/>
      <c r="K21" s="38"/>
      <c r="L21" s="38"/>
    </row>
    <row r="22" spans="1:12" ht="12.75" customHeight="1">
      <c r="A22" s="44"/>
      <c r="C22" s="42"/>
      <c r="D22" s="41"/>
      <c r="K22" s="38"/>
      <c r="L22" s="38"/>
    </row>
    <row r="23" spans="1:12" ht="12.75" customHeight="1">
      <c r="A23" s="44"/>
      <c r="C23" s="42"/>
      <c r="D23" s="41"/>
      <c r="K23" s="38"/>
      <c r="L23" s="38"/>
    </row>
    <row r="24" spans="1:12" ht="12.75" customHeight="1">
      <c r="A24" s="44"/>
      <c r="C24" s="42"/>
      <c r="D24" s="41"/>
      <c r="K24" s="38"/>
      <c r="L24" s="38"/>
    </row>
    <row r="25" spans="1:12" ht="12.75" customHeight="1">
      <c r="A25" s="44"/>
      <c r="C25" s="42"/>
      <c r="D25" s="41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2.xml>��
</file>

<file path=customXml/item13.xml>��
</file>

<file path=customXml/item14.xml>��
</file>

<file path=customXml/item15.xml>��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389C43E-394D-44C0-87DC-4780FCFCFB40}"/>
</file>

<file path=customXml/itemProps2.xml><?xml version="1.0" encoding="utf-8"?>
<ds:datastoreItem xmlns:ds="http://schemas.openxmlformats.org/officeDocument/2006/customXml" ds:itemID="{C0BCDC1E-6052-4E48-9BAF-94A40814E7C2}"/>
</file>

<file path=customXml/itemProps3.xml><?xml version="1.0" encoding="utf-8"?>
<ds:datastoreItem xmlns:ds="http://schemas.openxmlformats.org/officeDocument/2006/customXml" ds:itemID="{F6B2B1A1-1C4B-4AC9-9A7D-7A102DD1C942}"/>
</file>

<file path=customXml/itemProps4.xml><?xml version="1.0" encoding="utf-8"?>
<ds:datastoreItem xmlns:ds="http://schemas.openxmlformats.org/officeDocument/2006/customXml" ds:itemID="{3AEAA9D8-2182-46BA-A58E-96C72DDA1C54}"/>
</file>

<file path=customXml/itemProps5.xml><?xml version="1.0" encoding="utf-8"?>
<ds:datastoreItem xmlns:ds="http://schemas.openxmlformats.org/officeDocument/2006/customXml" ds:itemID="{078388C9-06F9-42F4-B857-EF76B5CAF1FD}"/>
</file>

<file path=customXml/itemProps6.xml><?xml version="1.0" encoding="utf-8"?>
<ds:datastoreItem xmlns:ds="http://schemas.openxmlformats.org/officeDocument/2006/customXml" ds:itemID="{BE26B669-A686-459C-A5E9-FEC3409C4C81}"/>
</file>

<file path=customXml/itemProps7.xml><?xml version="1.0" encoding="utf-8"?>
<ds:datastoreItem xmlns:ds="http://schemas.openxmlformats.org/officeDocument/2006/customXml" ds:itemID="{D3A7101F-9A85-4235-8B03-415370C100B2}"/>
</file>

<file path=customXml/itemProps8.xml><?xml version="1.0" encoding="utf-8"?>
<ds:datastoreItem xmlns:ds="http://schemas.openxmlformats.org/officeDocument/2006/customXml" ds:itemID="{BF5C6359-7763-4C37-8EAF-2BC4698CB285}"/>
</file>

<file path=customXml/itemProps9.xml><?xml version="1.0" encoding="utf-8"?>
<ds:datastoreItem xmlns:ds="http://schemas.openxmlformats.org/officeDocument/2006/customXml" ds:itemID="{F12EFA50-0068-4A8C-85A0-F1B26389EBC3}"/>
</file>

<file path=customXml/itemProps10.xml><?xml version="1.0" encoding="utf-8"?>
<ds:datastoreItem xmlns:ds="http://schemas.openxmlformats.org/officeDocument/2006/customXml" ds:itemID="{E3716282-BFD2-4ED2-BA47-BFA1123827F0}"/>
</file>

<file path=customXml/itemProps11.xml><?xml version="1.0" encoding="utf-8"?>
<ds:datastoreItem xmlns:ds="http://schemas.openxmlformats.org/officeDocument/2006/customXml" ds:itemID="{7946C510-7D04-49D8-9B25-EEC04582A1CA}"/>
</file>

<file path=customXml/itemProps12.xml><?xml version="1.0" encoding="utf-8"?>
<ds:datastoreItem xmlns:ds="http://schemas.openxmlformats.org/officeDocument/2006/customXml" ds:itemID="{2BC74AAC-D69B-4AF1-9649-B21EF3C1C463}"/>
</file>

<file path=customXml/itemProps13.xml><?xml version="1.0" encoding="utf-8"?>
<ds:datastoreItem xmlns:ds="http://schemas.openxmlformats.org/officeDocument/2006/customXml" ds:itemID="{89CF5C07-45EB-4100-9AFB-2C6AF77FA787}"/>
</file>

<file path=customXml/itemProps14.xml><?xml version="1.0" encoding="utf-8"?>
<ds:datastoreItem xmlns:ds="http://schemas.openxmlformats.org/officeDocument/2006/customXml" ds:itemID="{14966E4F-347B-477B-B74C-9DAC05405806}"/>
</file>

<file path=customXml/itemProps15.xml><?xml version="1.0" encoding="utf-8"?>
<ds:datastoreItem xmlns:ds="http://schemas.openxmlformats.org/officeDocument/2006/customXml" ds:itemID="{CB52044A-5C0B-44A2-99D0-C1C315EC302D}"/>
</file>

<file path=customXml/itemProps16.xml><?xml version="1.0" encoding="utf-8"?>
<ds:datastoreItem xmlns:ds="http://schemas.openxmlformats.org/officeDocument/2006/customXml" ds:itemID="{8D732231-4216-4543-A665-18A2886B0EB7}"/>
</file>

<file path=customXml/itemProps17.xml><?xml version="1.0" encoding="utf-8"?>
<ds:datastoreItem xmlns:ds="http://schemas.openxmlformats.org/officeDocument/2006/customXml" ds:itemID="{E20E8303-6A67-485C-B6F4-303542CC295C}"/>
</file>

<file path=customXml/itemProps18.xml><?xml version="1.0" encoding="utf-8"?>
<ds:datastoreItem xmlns:ds="http://schemas.openxmlformats.org/officeDocument/2006/customXml" ds:itemID="{1954BBA4-0359-438C-B0EC-A756015F7C02}"/>
</file>

<file path=customXml/itemProps19.xml><?xml version="1.0" encoding="utf-8"?>
<ds:datastoreItem xmlns:ds="http://schemas.openxmlformats.org/officeDocument/2006/customXml" ds:itemID="{98A113BB-8B7A-453C-8BD4-8EFC67FC2D3F}"/>
</file>

<file path=customXml/itemProps20.xml><?xml version="1.0" encoding="utf-8"?>
<ds:datastoreItem xmlns:ds="http://schemas.openxmlformats.org/officeDocument/2006/customXml" ds:itemID="{66B09F59-6532-46F8-924A-9A02417E0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2024-04-15T20:32:29Z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