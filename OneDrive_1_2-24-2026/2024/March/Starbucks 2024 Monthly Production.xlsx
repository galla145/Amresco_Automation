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0" documentId="13_ncr:1_{81E3EED5-8FA4-4C82-89ED-37BF9BF6B9E8}" xr6:coauthVersionLast="47" xr6:coauthVersionMax="47" xr10:uidLastSave="{00000000-0000-0000-0000-000000000000}"/>
  <bookViews>
    <workbookView xWindow="-93" yWindow="-93" windowWidth="19386" windowHeight="1146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72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E2" i="28"/>
  <c r="F2" i="28" s="1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H2" i="27" s="1"/>
  <c r="I2" i="27" s="1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H2" i="20" s="1"/>
  <c r="I2" i="20" s="1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G2" i="72"/>
  <c r="D2" i="72"/>
  <c r="C2" i="72"/>
  <c r="J2" i="72" s="1"/>
  <c r="E4" i="72"/>
  <c r="F4" i="72" s="1"/>
  <c r="A1" i="72" a="1"/>
  <c r="A1" i="72" s="1"/>
  <c r="H2" i="4" l="1"/>
  <c r="I2" i="4" s="1"/>
  <c r="J2" i="4"/>
  <c r="J2" i="21"/>
  <c r="E4" i="18"/>
  <c r="F4" i="18" s="1"/>
  <c r="J2" i="20"/>
  <c r="J2" i="19"/>
  <c r="H2" i="26"/>
  <c r="I2" i="26" s="1"/>
  <c r="J2" i="26"/>
  <c r="J2" i="27"/>
  <c r="H2" i="28"/>
  <c r="I2" i="28" s="1"/>
  <c r="J2" i="28"/>
  <c r="J2" i="31"/>
  <c r="J2" i="32"/>
  <c r="D4" i="34"/>
  <c r="D2" i="34" s="1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<sst xmlns="http://schemas.openxmlformats.org/spreadsheetml/2006/main" count="240" uniqueCount="53">
  <si>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</si>
  <si>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</si>
  <si>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</si>
  <si>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</si>
  <si>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</si>
  <si>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</si>
  <si>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</si>
  <si>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</si>
  <si>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</si>
  <si>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</si>
  <si>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</si>
  <si>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</si>
  <si>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</si>
  <si>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</si>
  <si>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</si>
  <si>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</si>
  <si>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</si>
  <si>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</si>
  <si>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</si>
  <si>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</si>
  <si>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</si>
  <si>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</si>
  <si>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</si>
  <si>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</si>
  <si>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</si>
  <si>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</si>
  <si>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 xml:space="preserve">1.Inverter 4 is offline since 03/20/2024 &amp; continued. </t>
  </si>
  <si>
    <t>1.SR082349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</si>
  <si>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</si>
  <si>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</si>
  <si>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</si>
  <si>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</si>
  <si>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</si>
  <si>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</si>
  <si>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</si>
  <si>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</si>
  <si>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</si>
  <si>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</si>
  <si>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</si>
  <si>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</si>
  <si>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</si>
  <si>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</si>
  <si>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</si>
  <si>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</si>
  <si>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</si>
  <si>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</si>
  <si>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</si>
  <si>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Starbucks</t>
  </si>
  <si>
    <t>Site DAS Name</t>
  </si>
  <si>
    <t>Update</t>
  </si>
  <si>
    <t>DAS</t>
  </si>
  <si>
    <t>NV: Starbucks - Minden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</si>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</sst>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ySplit="2" topLeftCell="A3" activePane="bottomLeft" state="frozen"/>
      <selection pane="bottomLeft" activeCell="I7" sqref="I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SUM(C4:C88)</f>
        <v>377896.88</v>
      </c>
      <c r="D2" s="6">
        <f>SUM(D4:D88)</f>
        <v>397843.58</v>
      </c>
      <c r="E2" s="6">
        <f>C2-D2</f>
        <v>-19946.700000000012</v>
      </c>
      <c r="F2" s="7">
        <f>IFERROR(E2/D2, 0)</f>
        <v>-5.0137041296481423E-2</v>
      </c>
      <c r="G2" s="6">
        <f>SUM(G4:G88)</f>
        <v>339538</v>
      </c>
      <c r="H2" s="8">
        <f>C2-G2</f>
        <v>38358.880000000005</v>
      </c>
      <c r="I2" s="7">
        <f>IFERROR(H2/G2, 0)</f>
        <v>0.11297374667931132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SUM('1st Qtr'!C4, '2nd Qtr'!C4, '3rd Qtr'!C4, '4th Qtr'!C4)</f>
        <v>377896.88</v>
      </c>
      <c r="D4" s="14">
        <f>SUM('1st Qtr'!D4, '2nd Qtr'!D4, '3rd Qtr'!D4, '4th Qtr'!D4)</f>
        <v>397843.58</v>
      </c>
      <c r="E4" s="14">
        <f>IF(AND(ISNUMBER(C4),ISNUMBER(D4)), C4-D4, "")</f>
        <v>-19946.700000000012</v>
      </c>
      <c r="F4" s="15">
        <f>IFERROR(E4/D4, 0)</f>
        <v>-5.0137041296481423E-2</v>
      </c>
      <c r="G4" s="16">
        <f>SUM('1st Qtr'!G4,'2nd Qtr'!G4,'3rd Qtr'!G4,'4th Qtr'!G4)</f>
        <v>339538</v>
      </c>
      <c r="H4" s="16">
        <f>SUM('1st Qtr'!H4, '2nd Qtr'!H4, '3rd Qtr'!H4, '4th Qtr'!H4)</f>
        <v>38358.880000000005</v>
      </c>
      <c r="I4" s="17">
        <f>IFERROR(H4/G4, 0)</f>
        <v>0.11297374667931132</v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I5" sqref="I5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SUM(C4:C88)</f>
        <v>377896.88</v>
      </c>
      <c r="D2" s="6">
        <f>SUM(D4:D88)</f>
        <v>397843.58</v>
      </c>
      <c r="E2" s="6">
        <f>C2-D2</f>
        <v>-19946.700000000012</v>
      </c>
      <c r="F2" s="7">
        <f>IFERROR(E2/D2, 0)</f>
        <v>-5.0137041296481423E-2</v>
      </c>
      <c r="G2" s="6">
        <f>SUM(G4:G88)</f>
        <v>339538</v>
      </c>
      <c r="H2" s="8">
        <f>C2-G2</f>
        <v>38358.880000000005</v>
      </c>
      <c r="I2" s="7">
        <f>IFERROR(H2/G2, 0)</f>
        <v>0.11297374667931132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SUM(Jan!C4, Feb!C4, Mar!C4)</f>
        <v>377896.88</v>
      </c>
      <c r="D4" s="14">
        <f>SUM(Jan!D4, Feb!D4, Mar!D4)</f>
        <v>397843.58</v>
      </c>
      <c r="E4" s="14">
        <f>IF(AND(ISNUMBER(C4),ISNUMBER(D4)), C4-D4, "")</f>
        <v>-19946.700000000012</v>
      </c>
      <c r="F4" s="15">
        <f>IFERROR(E4/D4, "")</f>
        <v>-5.0137041296481423E-2</v>
      </c>
      <c r="G4" s="16">
        <f>SUM(Jan!G4, Feb!G4, Mar!G4)</f>
        <v>339538</v>
      </c>
      <c r="H4" s="16">
        <f>SUM(Jan!H4, Feb!H4, Mar!H4)</f>
        <v>38358.880000000005</v>
      </c>
      <c r="I4" s="17">
        <f>IFERROR(H4/G4, 0)</f>
        <v>0.11297374667931132</v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D33" sqref="D3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ySplit="2" topLeftCell="A3" activePane="bottomLeft" state="frozen"/>
      <selection pane="bottomLef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SUM(C4:C80)</f>
        <v>0</v>
      </c>
      <c r="D2" s="6">
        <f>SUM(D4:D80)</f>
        <v>0</v>
      </c>
      <c r="E2" s="6">
        <f>C2-D2</f>
        <v>0</v>
      </c>
      <c r="F2" s="7">
        <f>IFERROR(E2/D2, 0)</f>
        <v>0</v>
      </c>
      <c r="G2" s="6">
        <f>SUM(G4:G80)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2.9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2.9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2.9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2.9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2.9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2.9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2.9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workbookViewId="0">
      <pane ySplit="3" topLeftCell="A4" activePane="bottomLeft" state="frozen"/>
      <selection pane="bottomLeft" activeCell="I12" sqref="I12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89237.88</v>
      </c>
      <c r="D2" s="6">
        <f>SUM(D4:D89)</f>
        <v>92249.58</v>
      </c>
      <c r="E2" s="6">
        <f>C2-D2</f>
        <v>-3011.6999999999971</v>
      </c>
      <c r="F2" s="7">
        <f>IFERROR(E2/D2, 0)</f>
        <v>-3.2647303109672662E-2</v>
      </c>
      <c r="G2" s="6">
        <f>SUM(G4:G89)</f>
        <v>0</v>
      </c>
      <c r="H2" s="8">
        <f>C2-G2</f>
        <v>89237.88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89237.88</v>
      </c>
      <c r="D4" s="14">
        <v>92249.58</v>
      </c>
      <c r="E4" s="14">
        <f>IF(AND(ISNUMBER(C4),ISNUMBER(D4)), C4-D4, "")</f>
        <v>-3011.6999999999971</v>
      </c>
      <c r="F4" s="15">
        <f>IFERROR(E4/D4, "")</f>
        <v>-3.2647303109672662E-2</v>
      </c>
      <c r="G4" s="16">
        <v>0</v>
      </c>
      <c r="H4" s="16">
        <f>IF(AND(ISNUMBER(C4),ISNUMBER(G4)), C4-G4, "")</f>
        <v>89237.88</v>
      </c>
      <c r="I4" s="17">
        <f>IFERROR(H4/G4, 0)</f>
        <v>0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workbookViewId="0">
      <pane ySplit="2" topLeftCell="A3" activePane="bottomLeft" state="frozen"/>
      <selection pane="bottomLeft" activeCell="F20" sqref="F20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122811</v>
      </c>
      <c r="D2" s="6">
        <f>SUM(D4:D89)</f>
        <v>123904</v>
      </c>
      <c r="E2" s="6">
        <f>C2-D2</f>
        <v>-1093</v>
      </c>
      <c r="F2" s="7">
        <f>IFERROR(E2/D2, 0)</f>
        <v>-8.8213455578512404E-3</v>
      </c>
      <c r="G2" s="6">
        <f>SUM(G4:G89)</f>
        <v>139658</v>
      </c>
      <c r="H2" s="8">
        <f>C2-G2</f>
        <v>-16847</v>
      </c>
      <c r="I2" s="7">
        <f>IFERROR(H2/G2, 0)</f>
        <v>-0.12063039711294735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122811</v>
      </c>
      <c r="D4" s="14">
        <v>123904</v>
      </c>
      <c r="E4" s="14">
        <f>IF(AND(ISNUMBER(C4),ISNUMBER(D4)), C4-D4, "")</f>
        <v>-1093</v>
      </c>
      <c r="F4" s="15">
        <f>IFERROR(E4/D4, "")</f>
        <v>-8.8213455578512404E-3</v>
      </c>
      <c r="G4" s="16">
        <v>139658</v>
      </c>
      <c r="H4" s="16">
        <f>IF(AND(ISNUMBER(C4),ISNUMBER(G4)), C4-G4, "")</f>
        <v>-16847</v>
      </c>
      <c r="I4" s="17">
        <f>IFERROR(H4/G4, "")</f>
        <v>-0.12063039711294735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1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4" sqref="J4:K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165848</v>
      </c>
      <c r="D2" s="6">
        <f>SUM(D4:D90)</f>
        <v>181690</v>
      </c>
      <c r="E2" s="6">
        <f>C2-D2</f>
        <v>-15842</v>
      </c>
      <c r="F2" s="7">
        <f>IFERROR(E2/D2, 0)</f>
        <v>-8.7192470691837748E-2</v>
      </c>
      <c r="G2" s="6">
        <f>SUM(G4:G90)</f>
        <v>199880</v>
      </c>
      <c r="H2" s="8">
        <f>C2-G2</f>
        <v>-34032</v>
      </c>
      <c r="I2" s="7">
        <f>IFERROR(H2/G2, 0)</f>
        <v>-0.17026215729437663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165848</v>
      </c>
      <c r="D4" s="14">
        <v>181690</v>
      </c>
      <c r="E4" s="14">
        <f>IF(AND(ISNUMBER(C4),ISNUMBER(D4)), C4-D4, "")</f>
        <v>-15842</v>
      </c>
      <c r="F4" s="15">
        <f>IFERROR(E4/D4, "")</f>
        <v>-8.7192470691837748E-2</v>
      </c>
      <c r="G4" s="16">
        <v>199880</v>
      </c>
      <c r="H4" s="16">
        <f>IF(AND(ISNUMBER(C4),ISNUMBER(G4)), C4-G4, "")</f>
        <v>-34032</v>
      </c>
      <c r="I4" s="17">
        <f>IFERROR(H4/G4, "")</f>
        <v>-0.17026215729437663</v>
      </c>
      <c r="J4" s="18" t="s">
        <v>26</v>
      </c>
      <c r="K4" s="18" t="s">
        <v>27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10" sqref="A10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A10" sqref="A10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s="36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45">
      <c r="A4" t="s">
        <v>51</v>
      </c>
      <c r="B4" t="s">
        <v>51</v>
      </c>
      <c r="C4" s="4" t="s">
        <v>52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2024-07-08T08:09:16Z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