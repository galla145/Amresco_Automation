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3" documentId="13_ncr:1_{243A6520-E174-4DA4-8AD9-F6D0FB296B1F}" xr6:coauthVersionLast="47" xr6:coauthVersionMax="47" xr10:uidLastSave="{4D54FB82-492C-4ACD-AAD1-D924AF9D41D5}"/>
  <bookViews>
    <workbookView xWindow="-120" yWindow="-120" windowWidth="29040" windowHeight="15720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4" l="1"/>
  <c r="I20" i="4"/>
  <c r="E20" i="4"/>
  <c r="F20" i="4"/>
  <c r="H19" i="4"/>
  <c r="I19" i="4" s="1"/>
  <c r="E19" i="4"/>
  <c r="F19" i="4" s="1"/>
  <c r="H18" i="4"/>
  <c r="I18" i="4"/>
  <c r="E18" i="4"/>
  <c r="F18" i="4" s="1"/>
  <c r="I18" i="3"/>
  <c r="I19" i="3"/>
  <c r="I20" i="3"/>
  <c r="H18" i="3"/>
  <c r="H19" i="3"/>
  <c r="H20" i="3"/>
  <c r="F18" i="3"/>
  <c r="F19" i="3"/>
  <c r="F20" i="3"/>
  <c r="E18" i="3"/>
  <c r="E19" i="3"/>
  <c r="E20" i="3"/>
  <c r="C4" i="18"/>
  <c r="D4" i="18"/>
  <c r="C5" i="18"/>
  <c r="D5" i="18"/>
  <c r="C6" i="18"/>
  <c r="D6" i="18"/>
  <c r="C7" i="18"/>
  <c r="D7" i="18"/>
  <c r="C8" i="18"/>
  <c r="D8" i="18"/>
  <c r="C9" i="18"/>
  <c r="D9" i="18"/>
  <c r="C10" i="18"/>
  <c r="D10" i="18"/>
  <c r="C11" i="18"/>
  <c r="D11" i="18"/>
  <c r="C12" i="18"/>
  <c r="D12" i="18"/>
  <c r="C13" i="18"/>
  <c r="D13" i="18"/>
  <c r="C14" i="18"/>
  <c r="D14" i="18"/>
  <c r="C15" i="18"/>
  <c r="D15" i="18"/>
  <c r="C16" i="18"/>
  <c r="D16" i="18"/>
  <c r="C17" i="18"/>
  <c r="D17" i="18"/>
  <c r="C18" i="18"/>
  <c r="D18" i="18"/>
  <c r="C19" i="18"/>
  <c r="D19" i="18"/>
  <c r="C20" i="18"/>
  <c r="D20" i="18"/>
  <c r="C18" i="29" l="1"/>
  <c r="E18" i="29" s="1"/>
  <c r="F18" i="29" s="1"/>
  <c r="D18" i="29"/>
  <c r="H18" i="29"/>
  <c r="I18" i="29" s="1"/>
  <c r="C19" i="29"/>
  <c r="D19" i="29"/>
  <c r="H19" i="29"/>
  <c r="I19" i="29" s="1"/>
  <c r="C20" i="29"/>
  <c r="D20" i="29"/>
  <c r="H20" i="29"/>
  <c r="I20" i="29" s="1"/>
  <c r="H18" i="18"/>
  <c r="I18" i="18" s="1"/>
  <c r="H19" i="18"/>
  <c r="I19" i="18" s="1"/>
  <c r="H20" i="18"/>
  <c r="I20" i="18" s="1"/>
  <c r="D18" i="34"/>
  <c r="D19" i="34"/>
  <c r="D20" i="34"/>
  <c r="E20" i="18" l="1"/>
  <c r="F20" i="18" s="1"/>
  <c r="E17" i="18"/>
  <c r="F17" i="18" s="1"/>
  <c r="E20" i="29"/>
  <c r="F20" i="29" s="1"/>
  <c r="E19" i="29"/>
  <c r="F19" i="29" s="1"/>
  <c r="E19" i="18"/>
  <c r="F19" i="18" s="1"/>
  <c r="E18" i="18"/>
  <c r="F18" i="18" s="1"/>
  <c r="C18" i="1"/>
  <c r="C18" i="34" s="1"/>
  <c r="E18" i="34" s="1"/>
  <c r="F18" i="34" s="1"/>
  <c r="D18" i="1"/>
  <c r="G18" i="1"/>
  <c r="G18" i="34" s="1"/>
  <c r="C19" i="1"/>
  <c r="C19" i="34" s="1"/>
  <c r="E19" i="34" s="1"/>
  <c r="F19" i="34" s="1"/>
  <c r="D19" i="1"/>
  <c r="G19" i="1"/>
  <c r="G19" i="34" s="1"/>
  <c r="C20" i="1"/>
  <c r="C20" i="34" s="1"/>
  <c r="E20" i="34" s="1"/>
  <c r="F20" i="34" s="1"/>
  <c r="D20" i="1"/>
  <c r="G20" i="1"/>
  <c r="C18" i="30"/>
  <c r="D18" i="30"/>
  <c r="H18" i="30"/>
  <c r="I18" i="30" s="1"/>
  <c r="C19" i="30"/>
  <c r="D19" i="30"/>
  <c r="H19" i="30"/>
  <c r="I19" i="30" s="1"/>
  <c r="C20" i="30"/>
  <c r="D20" i="30"/>
  <c r="H20" i="30"/>
  <c r="I20" i="30" s="1"/>
  <c r="E18" i="72"/>
  <c r="F18" i="72" s="1"/>
  <c r="E19" i="72"/>
  <c r="F19" i="72" s="1"/>
  <c r="E20" i="72"/>
  <c r="F20" i="72" s="1"/>
  <c r="H18" i="72"/>
  <c r="H18" i="1" s="1"/>
  <c r="H19" i="72"/>
  <c r="H19" i="1" s="1"/>
  <c r="H20" i="72"/>
  <c r="H20" i="1" s="1"/>
  <c r="C16" i="30"/>
  <c r="D16" i="30"/>
  <c r="E16" i="30"/>
  <c r="F16" i="30"/>
  <c r="C17" i="30"/>
  <c r="E17" i="30" s="1"/>
  <c r="F17" i="30" s="1"/>
  <c r="D17" i="30"/>
  <c r="C16" i="29"/>
  <c r="D16" i="29"/>
  <c r="E16" i="29"/>
  <c r="F16" i="29" s="1"/>
  <c r="C17" i="29"/>
  <c r="D17" i="29"/>
  <c r="E17" i="29" s="1"/>
  <c r="F17" i="29" s="1"/>
  <c r="E16" i="18"/>
  <c r="F16" i="18"/>
  <c r="C16" i="1"/>
  <c r="C16" i="34" s="1"/>
  <c r="D16" i="1"/>
  <c r="G16" i="1"/>
  <c r="G16" i="34" s="1"/>
  <c r="C17" i="1"/>
  <c r="C17" i="34" s="1"/>
  <c r="D17" i="1"/>
  <c r="G17" i="1"/>
  <c r="G17" i="34" s="1"/>
  <c r="D16" i="34"/>
  <c r="D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I16" i="21" s="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E12" i="30" s="1"/>
  <c r="F12" i="30" s="1"/>
  <c r="D11" i="30"/>
  <c r="C11" i="30"/>
  <c r="D10" i="30"/>
  <c r="C10" i="30"/>
  <c r="D9" i="30"/>
  <c r="C9" i="30"/>
  <c r="E9" i="30" s="1"/>
  <c r="F9" i="30" s="1"/>
  <c r="D8" i="30"/>
  <c r="C8" i="30"/>
  <c r="E8" i="30" s="1"/>
  <c r="F8" i="30" s="1"/>
  <c r="D7" i="30"/>
  <c r="C7" i="30"/>
  <c r="D6" i="30"/>
  <c r="C6" i="30"/>
  <c r="E6" i="30" s="1"/>
  <c r="F6" i="30" s="1"/>
  <c r="D5" i="30"/>
  <c r="C5" i="30"/>
  <c r="D4" i="30"/>
  <c r="C4" i="30"/>
  <c r="D15" i="29"/>
  <c r="C15" i="29"/>
  <c r="D14" i="29"/>
  <c r="C14" i="29"/>
  <c r="E14" i="29" s="1"/>
  <c r="F14" i="29" s="1"/>
  <c r="D13" i="29"/>
  <c r="C13" i="29"/>
  <c r="D12" i="29"/>
  <c r="C12" i="29"/>
  <c r="D11" i="29"/>
  <c r="C11" i="29"/>
  <c r="D10" i="29"/>
  <c r="C10" i="29"/>
  <c r="E10" i="29" s="1"/>
  <c r="F10" i="29" s="1"/>
  <c r="D9" i="29"/>
  <c r="C9" i="29"/>
  <c r="E9" i="29" s="1"/>
  <c r="F9" i="29" s="1"/>
  <c r="D8" i="29"/>
  <c r="C8" i="29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E14" i="18"/>
  <c r="F14" i="18" s="1"/>
  <c r="E13" i="18"/>
  <c r="F13" i="18" s="1"/>
  <c r="E10" i="18"/>
  <c r="F10" i="18" s="1"/>
  <c r="E9" i="18"/>
  <c r="F9" i="18" s="1"/>
  <c r="E6" i="18"/>
  <c r="F6" i="18" s="1"/>
  <c r="E5" i="18"/>
  <c r="F5" i="18" s="1"/>
  <c r="D2" i="18"/>
  <c r="E11" i="30"/>
  <c r="F11" i="30" s="1"/>
  <c r="E13" i="29"/>
  <c r="F13" i="29" s="1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5" i="34" s="1"/>
  <c r="C14" i="1"/>
  <c r="C14" i="34" s="1"/>
  <c r="C13" i="1"/>
  <c r="C13" i="34" s="1"/>
  <c r="C12" i="1"/>
  <c r="C12" i="34" s="1"/>
  <c r="C11" i="1"/>
  <c r="C11" i="34" s="1"/>
  <c r="C10" i="1"/>
  <c r="C10" i="34" s="1"/>
  <c r="C9" i="1"/>
  <c r="C9" i="34" s="1"/>
  <c r="C8" i="1"/>
  <c r="C8" i="34" s="1"/>
  <c r="C7" i="1"/>
  <c r="C7" i="34" s="1"/>
  <c r="C6" i="1"/>
  <c r="C6" i="34" s="1"/>
  <c r="C5" i="1"/>
  <c r="C5" i="34" s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H10" i="27"/>
  <c r="E10" i="27"/>
  <c r="F10" i="27" s="1"/>
  <c r="H9" i="27"/>
  <c r="I9" i="27" s="1"/>
  <c r="E9" i="27"/>
  <c r="F9" i="27" s="1"/>
  <c r="H8" i="27"/>
  <c r="I8" i="27" s="1"/>
  <c r="F8" i="27"/>
  <c r="E8" i="27"/>
  <c r="H7" i="27"/>
  <c r="I7" i="27" s="1"/>
  <c r="E7" i="27"/>
  <c r="F7" i="27" s="1"/>
  <c r="H6" i="27"/>
  <c r="I6" i="27" s="1"/>
  <c r="E6" i="27"/>
  <c r="F6" i="27" s="1"/>
  <c r="H5" i="27"/>
  <c r="I5" i="27" s="1"/>
  <c r="F5" i="27"/>
  <c r="E5" i="27"/>
  <c r="H4" i="27"/>
  <c r="I4" i="27" s="1"/>
  <c r="E4" i="27"/>
  <c r="F4" i="27" s="1"/>
  <c r="G2" i="27"/>
  <c r="D2" i="27"/>
  <c r="C2" i="27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H17" i="29" l="1"/>
  <c r="I17" i="29" s="1"/>
  <c r="H10" i="29"/>
  <c r="I10" i="29" s="1"/>
  <c r="E10" i="30"/>
  <c r="F10" i="30" s="1"/>
  <c r="E14" i="30"/>
  <c r="F14" i="30" s="1"/>
  <c r="I10" i="27"/>
  <c r="I13" i="27"/>
  <c r="E7" i="18"/>
  <c r="F7" i="18" s="1"/>
  <c r="E11" i="18"/>
  <c r="F11" i="18" s="1"/>
  <c r="E15" i="18"/>
  <c r="F15" i="18" s="1"/>
  <c r="E11" i="29"/>
  <c r="F11" i="29" s="1"/>
  <c r="H6" i="30"/>
  <c r="I6" i="30" s="1"/>
  <c r="H16" i="18"/>
  <c r="I16" i="18" s="1"/>
  <c r="H16" i="30"/>
  <c r="I16" i="30" s="1"/>
  <c r="E19" i="30"/>
  <c r="F19" i="30" s="1"/>
  <c r="H17" i="1"/>
  <c r="I17" i="1" s="1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H16" i="1"/>
  <c r="I16" i="1" s="1"/>
  <c r="E5" i="30"/>
  <c r="F5" i="30" s="1"/>
  <c r="I17" i="21"/>
  <c r="H17" i="18"/>
  <c r="I17" i="18" s="1"/>
  <c r="H16" i="29"/>
  <c r="I16" i="29" s="1"/>
  <c r="E20" i="30"/>
  <c r="F20" i="30" s="1"/>
  <c r="I20" i="72"/>
  <c r="H20" i="34"/>
  <c r="I19" i="72"/>
  <c r="H19" i="34"/>
  <c r="I19" i="34" s="1"/>
  <c r="I18" i="72"/>
  <c r="H18" i="34"/>
  <c r="I18" i="34" s="1"/>
  <c r="E18" i="30"/>
  <c r="F18" i="30" s="1"/>
  <c r="E19" i="1"/>
  <c r="F19" i="1" s="1"/>
  <c r="I18" i="1"/>
  <c r="E18" i="1"/>
  <c r="F18" i="1" s="1"/>
  <c r="I20" i="1"/>
  <c r="G20" i="34"/>
  <c r="E20" i="1"/>
  <c r="F20" i="1" s="1"/>
  <c r="I19" i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20" i="34" l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<sst xmlns="http://schemas.openxmlformats.org/spreadsheetml/2006/main" count="374" uniqueCount="120">
  <si>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</si>
  <si>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</si>
  <si>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</si>
  <si>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</si>
  <si>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</si>
  <si>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</si>
  <si>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</si>
  <si>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</si>
  <si>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</si>
  <si>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</si>
  <si>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</si>
  <si>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</si>
  <si>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</si>
  <si>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</si>
  <si>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</si>
  <si>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</si>
  <si>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</si>
  <si>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</si>
  <si>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</si>
  <si>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</si>
  <si>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</si>
  <si>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</si>
  <si>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</si>
  <si>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1. Site tripped offline on 01/13 multiple times early in the morningand auto-closed shortly after</t>
  </si>
  <si>
    <t>1. SR080185</t>
  </si>
  <si>
    <t>1. Site tripped on 01/14 at 14:30 and later back online on 01/15 at 10:00AM
2. Site tripped offline on 01/25 at 11:06AM and later back online 01/25 at 11:27AM.</t>
  </si>
  <si>
    <t>1. SR080209
2. SR080465</t>
  </si>
  <si>
    <t>1. Inverter 3.3 is offline on 01/13 at 07:00AM, later back online
 on 01/13 at 12:45PM and tripping on and off multiple days on and off.</t>
  </si>
  <si>
    <t>1. SR080193</t>
  </si>
  <si>
    <t>1. Site tripped offline on 01/29 at 16:00 and later back online on 01/30 at 11:15AM.</t>
  </si>
  <si>
    <t>1. SR080590</t>
  </si>
  <si>
    <t>1. Site tripped on 01/14 at 16:45 and later back online on 01/15 at 14:30.
2. Site tripped offline due to utility outage on 01/16 at 11:30AM and utility cleared outage on 01/18 at 07:45AM.</t>
  </si>
  <si>
    <t>1. SR080216
2. SR080258</t>
  </si>
  <si>
    <t>1. SR080217
2. SR080259</t>
  </si>
  <si>
    <t>1. Site tripped offline on 01/11 at 07:00AM and later back online on 01/12 at 07:45AM.
2. Inverter 47 was offline after site re-energize the site on 01/12  and back online on 14:15.</t>
  </si>
  <si>
    <t>1. SR080149
2. SR080171</t>
  </si>
  <si>
    <t>1. Site tripped offline on 01/10 at 03:26AM and later back online on 01/10 at 06:24AM.</t>
  </si>
  <si>
    <t>1. SR080115</t>
  </si>
  <si>
    <t>February Actual v. Expected</t>
  </si>
  <si>
    <t>February Actual v. Forecasted</t>
  </si>
  <si>
    <t>1.  Inverters 1.01 &amp; 1.02 tripped offline on 02/28  at 10:00 AM and resolved at 11:30AM</t>
  </si>
  <si>
    <t>1. SR081451</t>
  </si>
  <si>
    <t>1. Site offline on 02/16 at  04:45AM and back online at 10:15
2. Site offline on 02/20 at 18:30 and back online on 02/21 at 08:15AM</t>
  </si>
  <si>
    <t>1. SR081034
2.  SR081141</t>
  </si>
  <si>
    <t>1. Inverter 3.3 is offline on 02/02 and back online on 02/03 at 07:00AM and tripping on and off multiple days on and off.</t>
  </si>
  <si>
    <t>1. Site is offline due to utility outage On 02/13 at 14:30PM and back online on 02/14 at 09:00AM</t>
  </si>
  <si>
    <t>1.  SR080991</t>
  </si>
  <si>
    <t xml:space="preserve">1. Inverter 3.3 is offline on 02/16 at 12:45 and back online on 02/20 at 06:15AM.
2.  Inverter 3.3 tripped offline on 02/24 at 14:00PM and back online on 02/25 
3. Inverter 3.3 tripped offline on 02/28 at 10:45AM and back online at EOD and again tripped offline at 10:15 on 02/29
</t>
  </si>
  <si>
    <t>1. SR081063
2. SR081294
3. SR081405</t>
  </si>
  <si>
    <t>1. Inverter 5.1 tripped offline from 02/28 at 11:15</t>
  </si>
  <si>
    <t>1. SR081422</t>
  </si>
  <si>
    <t>1.  Inverter 47 derating after 10 am on sunny days. Possible fan issue.</t>
  </si>
  <si>
    <t>1. SR081128</t>
  </si>
  <si>
    <t>March Actual v. Expected</t>
  </si>
  <si>
    <t>March Actual v. Forecasted</t>
  </si>
  <si>
    <t>1. Relay tripped offline but voltages are available on 03/23 at 17:00 and back online at 13:00 on 03/24</t>
  </si>
  <si>
    <t>1. SR082602</t>
  </si>
  <si>
    <t>1. The relay tripped at 6:08PM and auto-closed within five minutes.</t>
  </si>
  <si>
    <t>1. SR082604</t>
  </si>
  <si>
    <t>1. Inverter 3.3 is offline on 03/04 and back online at 14:00 on 03/04 and again offline on 03/05 and back online on 03/06 at 10:30am.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</si>
  <si>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</si>
  <si>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</si>
  <si>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</si>
  <si>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</si>
  <si>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</si>
  <si>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</si>
  <si>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</si>
  <si>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</si>
  <si>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</si>
  <si>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</si>
  <si>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</si>
  <si>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</si>
  <si>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</si>
  <si>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</si>
  <si>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</si>
  <si>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</si>
  <si>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</si>
  <si>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</si>
  <si>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</si>
  <si>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MN8 KEF</t>
  </si>
  <si>
    <t>Site DAS Name</t>
  </si>
  <si>
    <t>Update</t>
  </si>
  <si>
    <t>DAS</t>
  </si>
  <si>
    <t>MA-11-001 - Williamsburg A #1058</t>
  </si>
  <si>
    <t>Williamsburg A</t>
  </si>
  <si>
    <t>MA</t>
  </si>
  <si>
    <t>AEF</t>
  </si>
  <si>
    <t>PowerTrack</t>
  </si>
  <si>
    <t>MA-11-002 - Orange A KB</t>
  </si>
  <si>
    <t>Orange A KB</t>
  </si>
  <si>
    <t>MA-11-003 - Goshen A #1052</t>
  </si>
  <si>
    <t>Goshen A</t>
  </si>
  <si>
    <t>MA-11-004 - Phillipston A KB</t>
  </si>
  <si>
    <t>Phillipston A KB</t>
  </si>
  <si>
    <t>MA-11-005 - Uxbridge D</t>
  </si>
  <si>
    <t>Uxbridge D</t>
  </si>
  <si>
    <t>MA-11-006 - West Bridgewater A&amp;B #1063</t>
  </si>
  <si>
    <t>West Bridgewater A&amp;B</t>
  </si>
  <si>
    <t>MA-11-007 - Sutton A #1054</t>
  </si>
  <si>
    <t>Sutton A</t>
  </si>
  <si>
    <t>MA-11-008 - North Adams A #1079</t>
  </si>
  <si>
    <t>North Adams A</t>
  </si>
  <si>
    <t>MA-11-009 - North Adams B #1080</t>
  </si>
  <si>
    <t>North Adams B</t>
  </si>
  <si>
    <t>MA-11-010 - Clarksburg A #1081</t>
  </si>
  <si>
    <t>Clarksburg A</t>
  </si>
  <si>
    <t>MA-11-011 - Swansea B #1098</t>
  </si>
  <si>
    <t>Swansea B</t>
  </si>
  <si>
    <t>MA-11-012 - Wareham 2</t>
  </si>
  <si>
    <t>Wareham 2</t>
  </si>
  <si>
    <t>MA-11-013 - Kingston 1 KB</t>
  </si>
  <si>
    <t>Kingston 1 KB</t>
  </si>
  <si>
    <t>MA-11-014 - Kingston 2 KB</t>
  </si>
  <si>
    <t>Kingston 2 KB</t>
  </si>
  <si>
    <t>MA-11-015 - Holliston B</t>
  </si>
  <si>
    <t>Holliston B</t>
  </si>
  <si>
    <t>MA-11-016 - Fairhaven C</t>
  </si>
  <si>
    <t>Fairhaven C</t>
  </si>
  <si>
    <t>MA-11-017 - Plympton A</t>
  </si>
  <si>
    <t>Plympton A-2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</si>
</sst>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7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5" fillId="45" borderId="11" xfId="0" applyFont="1" applyFill="1" applyBorder="1" applyAlignment="1">
      <alignment horizontal="center" vertical="center"/>
    </xf>
    <xf numFmtId="0" fontId="34" fillId="40" borderId="1" xfId="0" applyFont="1" applyFill="1" applyBorder="1" applyAlignment="1">
      <alignment horizontal="left"/>
    </xf>
    <xf numFmtId="0" fontId="28" fillId="40" borderId="1" xfId="0" applyFont="1" applyFill="1" applyBorder="1" applyAlignment="1">
      <alignment horizontal="center" vertical="center"/>
    </xf>
    <xf numFmtId="3" fontId="30" fillId="3" borderId="1" xfId="0" applyNumberFormat="1" applyFont="1" applyFill="1" applyBorder="1" applyAlignment="1">
      <alignment horizontal="right" vertical="center"/>
    </xf>
    <xf numFmtId="9" fontId="30" fillId="37" borderId="1" xfId="2" applyFont="1" applyFill="1" applyBorder="1" applyAlignment="1">
      <alignment horizontal="center" vertical="center"/>
    </xf>
    <xf numFmtId="3" fontId="30" fillId="4" borderId="1" xfId="1" applyNumberFormat="1" applyFont="1" applyFill="1" applyBorder="1" applyAlignment="1">
      <alignment vertical="center"/>
    </xf>
    <xf numFmtId="49" fontId="30" fillId="38" borderId="1" xfId="2" applyNumberFormat="1" applyFont="1" applyFill="1" applyBorder="1" applyAlignment="1">
      <alignment vertical="top" wrapText="1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right" vertical="center"/>
    </xf>
    <xf numFmtId="9" fontId="30" fillId="0" borderId="1" xfId="2" applyFont="1" applyFill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0" fontId="27" fillId="40" borderId="1" xfId="0" applyFont="1" applyFill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27" fillId="40" borderId="1" xfId="0" applyFont="1" applyFill="1" applyBorder="1" applyAlignment="1">
      <alignment horizontal="center" vertical="center"/>
    </xf>
    <xf numFmtId="164" fontId="28" fillId="44" borderId="1" xfId="1" applyNumberFormat="1" applyFont="1" applyFill="1" applyBorder="1" applyAlignment="1">
      <alignment horizontal="center" vertical="center"/>
    </xf>
    <xf numFmtId="9" fontId="30" fillId="3" borderId="1" xfId="2" applyFont="1" applyFill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49" fontId="30" fillId="38" borderId="12" xfId="2" applyNumberFormat="1" applyFont="1" applyFill="1" applyBorder="1" applyAlignment="1">
      <alignment vertical="top" wrapText="1"/>
    </xf>
    <xf numFmtId="49" fontId="27" fillId="40" borderId="1" xfId="0" applyNumberFormat="1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0" fontId="34" fillId="40" borderId="1" xfId="0" applyFont="1" applyFill="1" applyBorder="1" applyAlignment="1">
      <alignment horizontal="center"/>
    </xf>
    <xf numFmtId="49" fontId="27" fillId="40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top" wrapText="1"/>
    </xf>
    <xf numFmtId="49" fontId="30" fillId="38" borderId="12" xfId="2" applyNumberFormat="1" applyFont="1" applyFill="1" applyBorder="1" applyAlignment="1">
      <alignment horizontal="left" vertical="top" wrapText="1"/>
    </xf>
    <xf numFmtId="49" fontId="30" fillId="38" borderId="1" xfId="2" applyNumberFormat="1" applyFont="1" applyFill="1" applyBorder="1" applyAlignment="1">
      <alignment horizontal="left" vertical="top" wrapText="1"/>
    </xf>
    <xf numFmtId="49" fontId="28" fillId="0" borderId="12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0" totalsRowShown="0">
  <autoFilter ref="A3:E20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7"/>
  <sheetViews>
    <sheetView workbookViewId="0">
      <pane xSplit="2" ySplit="3" topLeftCell="C4" activePane="bottomRight" state="frozen"/>
      <selection pane="bottomRight" activeCell="D24" sqref="D2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MN8 KEF</v>
      </c>
      <c r="B1" s="76"/>
      <c r="C1" s="76"/>
      <c r="D1" s="77" t="s">
        <v>0</v>
      </c>
      <c r="E1" s="77"/>
      <c r="F1" s="77"/>
      <c r="G1" s="75" t="s">
        <v>1</v>
      </c>
      <c r="H1" s="75"/>
      <c r="I1" s="75"/>
    </row>
    <row r="2" spans="1:9" ht="19.5" customHeight="1">
      <c r="A2" s="78" t="s">
        <v>2</v>
      </c>
      <c r="B2" s="78"/>
      <c r="C2" s="5">
        <f>SUM(C4:C95)</f>
        <v>5061899.0399440993</v>
      </c>
      <c r="D2" s="5">
        <f>SUM(D4:D95)</f>
        <v>5742936.9100000011</v>
      </c>
      <c r="E2" s="5">
        <f>C2-D2</f>
        <v>-681037.87005590182</v>
      </c>
      <c r="F2" s="6">
        <f>IFERROR(E2/D2, 0)</f>
        <v>-0.11858703669023968</v>
      </c>
      <c r="G2" s="5">
        <f>SUM(G4:G95)</f>
        <v>6132609.5299999993</v>
      </c>
      <c r="H2" s="7">
        <f>C2-G2</f>
        <v>-1070710.4900559001</v>
      </c>
      <c r="I2" s="6">
        <f>IFERROR(H2/G2, 0)</f>
        <v>-0.17459296647179495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1" t="str" cm="1">
        <f t="array" ref="A4:A20">Sites[Site]</f>
        <v>Williamsburg A</v>
      </c>
      <c r="B4" s="62" t="str" cm="1">
        <f t="array" ref="B4:B20">Sites[State]</f>
        <v>MA</v>
      </c>
      <c r="C4" s="57">
        <f>SUM('1st Qtr'!C4, '2nd Qtr'!C4, '3rd Qtr'!C4, '4th Qtr'!C4)</f>
        <v>299514.0942748076</v>
      </c>
      <c r="D4" s="45">
        <f>SUM('1st Qtr'!D4, '2nd Qtr'!D4, '3rd Qtr'!D4, '4th Qtr'!D4)</f>
        <v>343331.74</v>
      </c>
      <c r="E4" s="45">
        <f>IF(AND(ISNUMBER(C4),ISNUMBER(D4)), C4-D4, "")</f>
        <v>-43817.645725192386</v>
      </c>
      <c r="F4" s="58">
        <f>IFERROR(E4/D4, "")</f>
        <v>-0.1276248031282875</v>
      </c>
      <c r="G4" s="47">
        <f>SUM('1st Qtr'!G4, '2nd Qtr'!G4, '3rd Qtr'!G4, '4th Qtr'!G4)</f>
        <v>358213.49</v>
      </c>
      <c r="H4" s="47">
        <f>SUM('1st Qtr'!H4, '2nd Qtr'!H4, '3rd Qtr'!H4, '4th Qtr'!H4)</f>
        <v>-58699.3957251924</v>
      </c>
      <c r="I4" s="46">
        <f>IFERROR(H4/G4, "")</f>
        <v>-0.16386707191064301</v>
      </c>
    </row>
    <row r="5" spans="1:9" ht="15.75">
      <c r="A5" s="63" t="str">
        <v>Orange A KB</v>
      </c>
      <c r="B5" s="64" t="str">
        <v>MA</v>
      </c>
      <c r="C5" s="59">
        <f>SUM('1st Qtr'!C5, '2nd Qtr'!C5, '3rd Qtr'!C5, '4th Qtr'!C5)</f>
        <v>247279.6956692911</v>
      </c>
      <c r="D5" s="51">
        <f>SUM(Jan!D5, Feb!D5, Mar!D5)</f>
        <v>258904.44999999998</v>
      </c>
      <c r="E5" s="51">
        <f t="shared" ref="E5:E15" si="0">IF(AND(ISNUMBER(C5),ISNUMBER(D5)), C5-D5, "")</f>
        <v>-11624.754330708878</v>
      </c>
      <c r="F5" s="52">
        <f>IFERROR(E5/D5, "")</f>
        <v>-4.4899785734501201E-2</v>
      </c>
      <c r="G5" s="53">
        <f>SUM('1st Qtr'!G5, '2nd Qtr'!G5, '3rd Qtr'!G5, '4th Qtr'!G5)</f>
        <v>298151.89</v>
      </c>
      <c r="H5" s="53">
        <f>SUM(Jan!H5, Feb!H5, Mar!H5)</f>
        <v>-50872.194330708902</v>
      </c>
      <c r="I5" s="52">
        <f>IFERROR(H5/G5, "")</f>
        <v>-0.17062509424544953</v>
      </c>
    </row>
    <row r="6" spans="1:9" ht="15.75">
      <c r="A6" s="61" t="str">
        <v>Goshen A</v>
      </c>
      <c r="B6" s="62" t="str">
        <v>MA</v>
      </c>
      <c r="C6" s="57">
        <f>SUM('1st Qtr'!C6, '2nd Qtr'!C6, '3rd Qtr'!C6, '4th Qtr'!C6)</f>
        <v>261845</v>
      </c>
      <c r="D6" s="45">
        <f>SUM(Jan!D6, Feb!D6, Mar!D6)</f>
        <v>308555.5</v>
      </c>
      <c r="E6" s="45">
        <f t="shared" si="0"/>
        <v>-46710.5</v>
      </c>
      <c r="F6" s="58">
        <f t="shared" ref="F6:F15" si="1">IFERROR(E6/D6, "")</f>
        <v>-0.15138443489096776</v>
      </c>
      <c r="G6" s="47">
        <f>SUM('1st Qtr'!G6, '2nd Qtr'!G6, '3rd Qtr'!G6, '4th Qtr'!G6)</f>
        <v>191088.16</v>
      </c>
      <c r="H6" s="47">
        <f>SUM(Jan!H6, Feb!H6, Mar!H6)</f>
        <v>70756.84</v>
      </c>
      <c r="I6" s="46">
        <f t="shared" ref="I6:I15" si="2">IFERROR(H6/G6, "")</f>
        <v>0.37028374756447491</v>
      </c>
    </row>
    <row r="7" spans="1:9" ht="15.75">
      <c r="A7" s="63" t="str">
        <v>Phillipston A KB</v>
      </c>
      <c r="B7" s="64" t="str">
        <v>MA</v>
      </c>
      <c r="C7" s="59">
        <f>SUM('1st Qtr'!C7, '2nd Qtr'!C7, '3rd Qtr'!C7, '4th Qtr'!C7)</f>
        <v>282267</v>
      </c>
      <c r="D7" s="51">
        <f>SUM(Jan!D7, Feb!D7, Mar!D7)</f>
        <v>395445.18</v>
      </c>
      <c r="E7" s="51">
        <f t="shared" si="0"/>
        <v>-113178.18</v>
      </c>
      <c r="F7" s="52">
        <f t="shared" si="1"/>
        <v>-0.28620447466321375</v>
      </c>
      <c r="G7" s="53">
        <f>SUM('1st Qtr'!G7, '2nd Qtr'!G7, '3rd Qtr'!G7, '4th Qtr'!G7)</f>
        <v>218309.68</v>
      </c>
      <c r="H7" s="53">
        <f>SUM(Jan!H7, Feb!H7, Mar!H7)</f>
        <v>63957.32</v>
      </c>
      <c r="I7" s="52">
        <f t="shared" si="2"/>
        <v>0.29296602880825073</v>
      </c>
    </row>
    <row r="8" spans="1:9" ht="15.75">
      <c r="A8" s="61" t="str">
        <v>Uxbridge D</v>
      </c>
      <c r="B8" s="62" t="str">
        <v>MA</v>
      </c>
      <c r="C8" s="57">
        <f>SUM('1st Qtr'!C8, '2nd Qtr'!C8, '3rd Qtr'!C8, '4th Qtr'!C8)</f>
        <v>312227</v>
      </c>
      <c r="D8" s="45">
        <f>SUM(Jan!D8, Feb!D8, Mar!D8)</f>
        <v>356457.4</v>
      </c>
      <c r="E8" s="45">
        <f t="shared" si="0"/>
        <v>-44230.400000000023</v>
      </c>
      <c r="F8" s="58">
        <f t="shared" si="1"/>
        <v>-0.12408327053948107</v>
      </c>
      <c r="G8" s="47">
        <f>SUM('1st Qtr'!G8, '2nd Qtr'!G8, '3rd Qtr'!G8, '4th Qtr'!G8)</f>
        <v>390177.4</v>
      </c>
      <c r="H8" s="47">
        <f>SUM(Jan!H8, Feb!H8, Mar!H8)</f>
        <v>-77950.400000000009</v>
      </c>
      <c r="I8" s="46">
        <f t="shared" si="2"/>
        <v>-0.19978194534076038</v>
      </c>
    </row>
    <row r="9" spans="1:9" ht="15.75">
      <c r="A9" s="63" t="str">
        <v>West Bridgewater A&amp;B</v>
      </c>
      <c r="B9" s="64" t="str">
        <v>MA</v>
      </c>
      <c r="C9" s="59">
        <f>SUM('1st Qtr'!C9, '2nd Qtr'!C9, '3rd Qtr'!C9, '4th Qtr'!C9)</f>
        <v>493322</v>
      </c>
      <c r="D9" s="51">
        <f>SUM(Jan!D9, Feb!D9, Mar!D9)</f>
        <v>566022.19999999995</v>
      </c>
      <c r="E9" s="51">
        <f t="shared" si="0"/>
        <v>-72700.199999999953</v>
      </c>
      <c r="F9" s="52">
        <f t="shared" si="1"/>
        <v>-0.12844054526483228</v>
      </c>
      <c r="G9" s="53">
        <f>SUM('1st Qtr'!G9, '2nd Qtr'!G9, '3rd Qtr'!G9, '4th Qtr'!G9)</f>
        <v>639439.19999999995</v>
      </c>
      <c r="H9" s="53">
        <f>SUM(Jan!H9, Feb!H9, Mar!H9)</f>
        <v>-146117.19999999998</v>
      </c>
      <c r="I9" s="52">
        <f t="shared" si="2"/>
        <v>-0.22850835544645995</v>
      </c>
    </row>
    <row r="10" spans="1:9" ht="15.75">
      <c r="A10" s="61" t="str">
        <v>Sutton A</v>
      </c>
      <c r="B10" s="62" t="str">
        <v>MA</v>
      </c>
      <c r="C10" s="57">
        <f>SUM('1st Qtr'!C10, '2nd Qtr'!C10, '3rd Qtr'!C10, '4th Qtr'!C10)</f>
        <v>251473</v>
      </c>
      <c r="D10" s="45">
        <f>SUM(Jan!D10, Feb!D10, Mar!D10)</f>
        <v>302395.95</v>
      </c>
      <c r="E10" s="45">
        <f t="shared" si="0"/>
        <v>-50922.950000000012</v>
      </c>
      <c r="F10" s="58">
        <f t="shared" si="1"/>
        <v>-0.16839825401100778</v>
      </c>
      <c r="G10" s="47">
        <f>SUM('1st Qtr'!G10, '2nd Qtr'!G10, '3rd Qtr'!G10, '4th Qtr'!G10)</f>
        <v>361333.32</v>
      </c>
      <c r="H10" s="47">
        <f>SUM(Jan!H10, Feb!H10, Mar!H10)</f>
        <v>-109860.32</v>
      </c>
      <c r="I10" s="46">
        <f t="shared" si="2"/>
        <v>-0.3040414872340032</v>
      </c>
    </row>
    <row r="11" spans="1:9" ht="15.75">
      <c r="A11" s="63" t="str">
        <v>North Adams A</v>
      </c>
      <c r="B11" s="64" t="str">
        <v>MA</v>
      </c>
      <c r="C11" s="59">
        <f>SUM('1st Qtr'!C11, '2nd Qtr'!C11, '3rd Qtr'!C11, '4th Qtr'!C11)</f>
        <v>258785</v>
      </c>
      <c r="D11" s="51">
        <f>SUM(Jan!D11, Feb!D11, Mar!D11)</f>
        <v>294516.74</v>
      </c>
      <c r="E11" s="51">
        <f t="shared" si="0"/>
        <v>-35731.739999999991</v>
      </c>
      <c r="F11" s="52">
        <f t="shared" si="1"/>
        <v>-0.12132329048596692</v>
      </c>
      <c r="G11" s="53">
        <f>SUM('1st Qtr'!G11, '2nd Qtr'!G11, '3rd Qtr'!G11, '4th Qtr'!G11)</f>
        <v>363705.86</v>
      </c>
      <c r="H11" s="53">
        <f>SUM(Jan!H11, Feb!H11, Mar!H11)</f>
        <v>-104920.85999999999</v>
      </c>
      <c r="I11" s="52">
        <f t="shared" si="2"/>
        <v>-0.28847723267367753</v>
      </c>
    </row>
    <row r="12" spans="1:9" ht="15.75">
      <c r="A12" s="61" t="str">
        <v>North Adams B</v>
      </c>
      <c r="B12" s="62" t="str">
        <v>MA</v>
      </c>
      <c r="C12" s="57">
        <f>SUM('1st Qtr'!C12, '2nd Qtr'!C12, '3rd Qtr'!C12, '4th Qtr'!C12)</f>
        <v>241080</v>
      </c>
      <c r="D12" s="45">
        <f>SUM(Jan!D12, Feb!D12, Mar!D12)</f>
        <v>254351.52999999997</v>
      </c>
      <c r="E12" s="45">
        <f t="shared" si="0"/>
        <v>-13271.52999999997</v>
      </c>
      <c r="F12" s="58">
        <f t="shared" si="1"/>
        <v>-5.2177905122096066E-2</v>
      </c>
      <c r="G12" s="47">
        <f>SUM('1st Qtr'!G12, '2nd Qtr'!G12, '3rd Qtr'!G12, '4th Qtr'!G12)</f>
        <v>363705.86</v>
      </c>
      <c r="H12" s="47">
        <f>SUM(Jan!H12, Feb!H12, Mar!H12)</f>
        <v>-122625.85999999999</v>
      </c>
      <c r="I12" s="46">
        <f t="shared" si="2"/>
        <v>-0.33715667930123533</v>
      </c>
    </row>
    <row r="13" spans="1:9" ht="15.75">
      <c r="A13" s="63" t="str">
        <v>Clarksburg A</v>
      </c>
      <c r="B13" s="64" t="str">
        <v>MA</v>
      </c>
      <c r="C13" s="59">
        <f>SUM('1st Qtr'!C13, '2nd Qtr'!C13, '3rd Qtr'!C13, '4th Qtr'!C13)</f>
        <v>253576</v>
      </c>
      <c r="D13" s="51">
        <f>SUM(Jan!D13, Feb!D13, Mar!D13)</f>
        <v>280640.43000000005</v>
      </c>
      <c r="E13" s="51">
        <f t="shared" si="0"/>
        <v>-27064.430000000051</v>
      </c>
      <c r="F13" s="52">
        <f t="shared" si="1"/>
        <v>-9.6438100526000645E-2</v>
      </c>
      <c r="G13" s="53">
        <f>SUM('1st Qtr'!G13, '2nd Qtr'!G13, '3rd Qtr'!G13, '4th Qtr'!G13)</f>
        <v>362052.99</v>
      </c>
      <c r="H13" s="53">
        <f>SUM(Jan!H13, Feb!H13, Mar!H13)</f>
        <v>-108476.99</v>
      </c>
      <c r="I13" s="52">
        <f t="shared" si="2"/>
        <v>-0.29961633516684949</v>
      </c>
    </row>
    <row r="14" spans="1:9" ht="15.75">
      <c r="A14" s="61" t="str">
        <v>Swansea B</v>
      </c>
      <c r="B14" s="62" t="str">
        <v>MA</v>
      </c>
      <c r="C14" s="57">
        <f>SUM('1st Qtr'!C14, '2nd Qtr'!C14, '3rd Qtr'!C14, '4th Qtr'!C14)</f>
        <v>318674</v>
      </c>
      <c r="D14" s="45">
        <f>SUM(Jan!D14, Feb!D14, Mar!D14)</f>
        <v>361411.34</v>
      </c>
      <c r="E14" s="45">
        <f t="shared" si="0"/>
        <v>-42737.340000000026</v>
      </c>
      <c r="F14" s="58">
        <f t="shared" si="1"/>
        <v>-0.11825124247623227</v>
      </c>
      <c r="G14" s="47">
        <f>SUM('1st Qtr'!G14, '2nd Qtr'!G14, '3rd Qtr'!G14, '4th Qtr'!G14)</f>
        <v>218954.31</v>
      </c>
      <c r="H14" s="47">
        <f>SUM(Jan!H14, Feb!H14, Mar!H14)</f>
        <v>99719.689999999988</v>
      </c>
      <c r="I14" s="46">
        <f t="shared" si="2"/>
        <v>0.45543606791754859</v>
      </c>
    </row>
    <row r="15" spans="1:9" ht="15.75">
      <c r="A15" s="63" t="str">
        <v>Wareham 2</v>
      </c>
      <c r="B15" s="64" t="str">
        <v>MA</v>
      </c>
      <c r="C15" s="59">
        <f>SUM('1st Qtr'!C15, '2nd Qtr'!C15, '3rd Qtr'!C15, '4th Qtr'!C15)</f>
        <v>271754.25</v>
      </c>
      <c r="D15" s="51">
        <f>SUM(Jan!D15, Feb!D15, Mar!D15)</f>
        <v>287011.73</v>
      </c>
      <c r="E15" s="51">
        <f t="shared" si="0"/>
        <v>-15257.479999999981</v>
      </c>
      <c r="F15" s="52">
        <f t="shared" si="1"/>
        <v>-5.3159778521943972E-2</v>
      </c>
      <c r="G15" s="53">
        <f>SUM('1st Qtr'!G15, '2nd Qtr'!G15, '3rd Qtr'!G15, '4th Qtr'!G15)</f>
        <v>395554.69999999995</v>
      </c>
      <c r="H15" s="53">
        <f>SUM(Jan!H15, Feb!H15, Mar!H15)</f>
        <v>-123800.45</v>
      </c>
      <c r="I15" s="52">
        <f t="shared" si="2"/>
        <v>-0.31297934268003896</v>
      </c>
    </row>
    <row r="16" spans="1:9" ht="15.75">
      <c r="A16" s="61" t="str">
        <v>Kingston 1 KB</v>
      </c>
      <c r="B16" s="62" t="str">
        <v>MA</v>
      </c>
      <c r="C16" s="57">
        <f>SUM('1st Qtr'!C16, '2nd Qtr'!C16, '3rd Qtr'!C16, '4th Qtr'!C16)</f>
        <v>246362</v>
      </c>
      <c r="D16" s="45">
        <f>SUM(Jan!D16, Feb!D16, Mar!D16)</f>
        <v>280103.39</v>
      </c>
      <c r="E16" s="45">
        <f t="shared" ref="E16:E19" si="3">IF(AND(ISNUMBER(C16),ISNUMBER(D16)), C16-D16, "")</f>
        <v>-33741.390000000014</v>
      </c>
      <c r="F16" s="58">
        <f t="shared" ref="F16:F19" si="4">IFERROR(E16/D16, "")</f>
        <v>-0.12046048425190431</v>
      </c>
      <c r="G16" s="47">
        <f>SUM('1st Qtr'!G16, '2nd Qtr'!G16, '3rd Qtr'!G16, '4th Qtr'!G16)</f>
        <v>297310.99</v>
      </c>
      <c r="H16" s="47">
        <f>SUM(Jan!H16, Feb!H16, Mar!H16)</f>
        <v>-50948.990000000005</v>
      </c>
      <c r="I16" s="46">
        <f t="shared" ref="I16:I19" si="5">IFERROR(H16/G16, "")</f>
        <v>-0.17136598280473928</v>
      </c>
    </row>
    <row r="17" spans="1:9" ht="15.75">
      <c r="A17" s="63" t="str">
        <v>Kingston 2 KB</v>
      </c>
      <c r="B17" s="64" t="str">
        <v>MA</v>
      </c>
      <c r="C17" s="59">
        <f>SUM('1st Qtr'!C17, '2nd Qtr'!C17, '3rd Qtr'!C17, '4th Qtr'!C17)</f>
        <v>205192</v>
      </c>
      <c r="D17" s="51">
        <f>SUM(Jan!D17, Feb!D17, Mar!D17)</f>
        <v>180108.57</v>
      </c>
      <c r="E17" s="51">
        <f t="shared" si="3"/>
        <v>25083.429999999993</v>
      </c>
      <c r="F17" s="52">
        <f t="shared" si="4"/>
        <v>0.13926838684022638</v>
      </c>
      <c r="G17" s="53">
        <f>SUM('1st Qtr'!G17, '2nd Qtr'!G17, '3rd Qtr'!G17, '4th Qtr'!G17)</f>
        <v>238641.77000000002</v>
      </c>
      <c r="H17" s="53">
        <f>SUM(Jan!H17, Feb!H17, Mar!H17)</f>
        <v>-33449.769999999997</v>
      </c>
      <c r="I17" s="52">
        <f t="shared" si="5"/>
        <v>-0.14016728923859387</v>
      </c>
    </row>
    <row r="18" spans="1:9" ht="12.75" customHeight="1">
      <c r="A18" s="63" t="str">
        <v>Holliston B</v>
      </c>
      <c r="B18" s="63" t="str">
        <v>MA</v>
      </c>
      <c r="C18" s="57">
        <f>SUM('1st Qtr'!C18, '2nd Qtr'!C18, '3rd Qtr'!C18, '4th Qtr'!C18)</f>
        <v>281743</v>
      </c>
      <c r="D18" s="45">
        <f>SUM(Jan!D18, Feb!D18, Mar!D18)</f>
        <v>324177.82</v>
      </c>
      <c r="E18" s="45">
        <f t="shared" si="3"/>
        <v>-42434.820000000007</v>
      </c>
      <c r="F18" s="58">
        <f t="shared" si="4"/>
        <v>-0.13089982528724514</v>
      </c>
      <c r="G18" s="47">
        <f>SUM('1st Qtr'!G18, '2nd Qtr'!G18, '3rd Qtr'!G18, '4th Qtr'!G18)</f>
        <v>379539.77</v>
      </c>
      <c r="H18" s="47">
        <f>SUM(Jan!H18, Feb!H18, Mar!H18)</f>
        <v>-97796.77</v>
      </c>
      <c r="I18" s="46">
        <f t="shared" si="5"/>
        <v>-0.25767199574368715</v>
      </c>
    </row>
    <row r="19" spans="1:9" ht="15.75">
      <c r="A19" s="63" t="str">
        <v>Fairhaven C</v>
      </c>
      <c r="B19" s="63" t="str">
        <v>MA</v>
      </c>
      <c r="C19" s="59">
        <f>SUM('1st Qtr'!C19, '2nd Qtr'!C19, '3rd Qtr'!C19, '4th Qtr'!C19)</f>
        <v>542636</v>
      </c>
      <c r="D19" s="51">
        <f>SUM(Jan!D19, Feb!D19, Mar!D19)</f>
        <v>619098.5</v>
      </c>
      <c r="E19" s="51">
        <f t="shared" si="3"/>
        <v>-76462.5</v>
      </c>
      <c r="F19" s="52">
        <f t="shared" si="4"/>
        <v>-0.12350619489467346</v>
      </c>
      <c r="G19" s="53">
        <f>SUM('1st Qtr'!G19, '2nd Qtr'!G19, '3rd Qtr'!G19, '4th Qtr'!G19)</f>
        <v>678228.9</v>
      </c>
      <c r="H19" s="53">
        <f>SUM(Jan!H19, Feb!H19, Mar!H19)</f>
        <v>-135592.90000000002</v>
      </c>
      <c r="I19" s="52">
        <f t="shared" si="5"/>
        <v>-0.19992203222245472</v>
      </c>
    </row>
    <row r="20" spans="1:9" ht="15.75">
      <c r="A20" s="63" t="str">
        <v>Plympton A-2</v>
      </c>
      <c r="B20" s="63" t="str">
        <v>MA</v>
      </c>
      <c r="C20" s="57">
        <f>SUM('1st Qtr'!C20, '2nd Qtr'!C20, '3rd Qtr'!C20, '4th Qtr'!C20)</f>
        <v>294169</v>
      </c>
      <c r="D20" s="45">
        <f>SUM(Jan!D20, Feb!D20, Mar!D20)</f>
        <v>330404.44</v>
      </c>
      <c r="E20" s="45">
        <f t="shared" ref="E20" si="6">IF(AND(ISNUMBER(C20),ISNUMBER(D20)), C20-D20, "")</f>
        <v>-36235.440000000002</v>
      </c>
      <c r="F20" s="58">
        <f t="shared" ref="F20" si="7">IFERROR(E20/D20, "")</f>
        <v>-0.10966995479842825</v>
      </c>
      <c r="G20" s="47">
        <f>SUM('1st Qtr'!G20, '2nd Qtr'!G20, '3rd Qtr'!G20, '4th Qtr'!G20)</f>
        <v>378201.24</v>
      </c>
      <c r="H20" s="47">
        <f>SUM(Jan!H20, Feb!H20, Mar!H20)</f>
        <v>-84032.239999999991</v>
      </c>
      <c r="I20" s="46">
        <f t="shared" ref="I20" si="8">IFERROR(H20/G20, "")</f>
        <v>-0.22218922391687557</v>
      </c>
    </row>
    <row r="21" spans="1:9">
      <c r="A21" s="14"/>
      <c r="B21" s="14"/>
      <c r="C21" s="14"/>
      <c r="D21" s="14"/>
      <c r="E21" s="14"/>
      <c r="F21" s="14"/>
      <c r="G21" s="14"/>
      <c r="H21" s="14"/>
      <c r="I21" s="14"/>
    </row>
    <row r="22" spans="1:9">
      <c r="A22" s="14"/>
      <c r="B22" s="14"/>
      <c r="C22" s="14"/>
      <c r="D22" s="14"/>
      <c r="E22" s="14"/>
      <c r="F22" s="14"/>
      <c r="G22" s="14"/>
      <c r="H22" s="14"/>
      <c r="I22" s="14"/>
    </row>
    <row r="23" spans="1:9">
      <c r="A23" s="14"/>
      <c r="B23" s="14"/>
      <c r="C23" s="14"/>
      <c r="D23" s="14"/>
      <c r="E23" s="14"/>
      <c r="F23" s="14"/>
      <c r="G23" s="14"/>
      <c r="H23" s="14"/>
      <c r="I23" s="14"/>
    </row>
    <row r="24" spans="1:9">
      <c r="A24" s="14"/>
      <c r="B24" s="14"/>
      <c r="C24" s="14"/>
      <c r="D24" s="14"/>
      <c r="E24" s="14"/>
      <c r="F24" s="14"/>
      <c r="G24" s="14"/>
      <c r="H24" s="14"/>
      <c r="I24" s="14"/>
    </row>
    <row r="25" spans="1:9">
      <c r="A25" s="14"/>
      <c r="B25" s="14"/>
      <c r="C25" s="14"/>
      <c r="D25" s="14"/>
      <c r="E25" s="14"/>
      <c r="F25" s="14"/>
      <c r="G25" s="14"/>
      <c r="H25" s="14"/>
      <c r="I25" s="14"/>
    </row>
    <row r="26" spans="1:9">
      <c r="A26" s="14"/>
      <c r="B26" s="14"/>
      <c r="C26" s="14"/>
      <c r="D26" s="14"/>
      <c r="E26" s="14"/>
      <c r="F26" s="14"/>
      <c r="G26" s="14"/>
      <c r="H26" s="14"/>
      <c r="I26" s="14"/>
    </row>
    <row r="27" spans="1:9">
      <c r="A27" s="14"/>
      <c r="B27" s="14"/>
      <c r="C27" s="14"/>
      <c r="D27" s="14"/>
      <c r="E27" s="14"/>
      <c r="F27" s="14"/>
      <c r="G27" s="14"/>
      <c r="H27" s="14"/>
      <c r="I27" s="14"/>
    </row>
    <row r="28" spans="1:9">
      <c r="A28" s="14"/>
      <c r="B28" s="14"/>
      <c r="C28" s="14"/>
      <c r="D28" s="14"/>
      <c r="E28" s="14"/>
      <c r="F28" s="15"/>
      <c r="G28" s="14"/>
      <c r="H28" s="14"/>
      <c r="I28" s="15"/>
    </row>
    <row r="29" spans="1:9">
      <c r="A29" s="14"/>
      <c r="B29" s="14"/>
      <c r="C29" s="14"/>
      <c r="D29" s="14"/>
      <c r="E29" s="14"/>
      <c r="F29" s="15"/>
      <c r="G29" s="14"/>
      <c r="H29" s="14"/>
      <c r="I29" s="15"/>
    </row>
    <row r="30" spans="1:9">
      <c r="A30" s="14"/>
      <c r="B30" s="14"/>
      <c r="C30" s="14"/>
      <c r="D30" s="14"/>
      <c r="E30" s="14"/>
      <c r="F30" s="15"/>
      <c r="G30" s="14"/>
      <c r="H30" s="14"/>
      <c r="I30" s="15"/>
    </row>
    <row r="31" spans="1:9">
      <c r="A31" s="14"/>
      <c r="B31" s="14"/>
      <c r="C31" s="14"/>
      <c r="D31" s="14"/>
      <c r="E31" s="14"/>
      <c r="F31" s="15"/>
      <c r="G31" s="14"/>
      <c r="H31" s="14"/>
      <c r="I31" s="15"/>
    </row>
    <row r="32" spans="1:9">
      <c r="A32" s="14"/>
      <c r="B32" s="14"/>
      <c r="C32" s="14"/>
      <c r="D32" s="14"/>
      <c r="E32" s="14"/>
      <c r="F32" s="15"/>
      <c r="G32" s="14"/>
      <c r="H32" s="14"/>
      <c r="I32" s="15"/>
    </row>
    <row r="33" spans="1:9">
      <c r="A33" s="14"/>
      <c r="B33" s="14"/>
      <c r="C33" s="14"/>
      <c r="D33" s="14"/>
      <c r="E33" s="14"/>
      <c r="F33" s="15"/>
      <c r="G33" s="14"/>
      <c r="H33" s="14"/>
      <c r="I33" s="15"/>
    </row>
    <row r="34" spans="1:9">
      <c r="A34" s="14"/>
      <c r="B34" s="14"/>
      <c r="C34" s="14"/>
      <c r="D34" s="14"/>
      <c r="E34" s="14"/>
      <c r="F34" s="15"/>
      <c r="G34" s="14"/>
      <c r="H34" s="14"/>
      <c r="I34" s="15"/>
    </row>
    <row r="35" spans="1:9">
      <c r="A35" s="14"/>
      <c r="B35" s="14"/>
      <c r="C35" s="14"/>
      <c r="D35" s="14"/>
      <c r="E35" s="14"/>
      <c r="F35" s="15"/>
      <c r="G35" s="14"/>
      <c r="H35" s="14"/>
      <c r="I35" s="15"/>
    </row>
    <row r="36" spans="1:9">
      <c r="A36" s="14"/>
      <c r="B36" s="14"/>
      <c r="C36" s="14"/>
      <c r="D36" s="14"/>
      <c r="E36" s="14"/>
      <c r="F36" s="15"/>
      <c r="G36" s="14"/>
      <c r="H36" s="14"/>
      <c r="I36" s="15"/>
    </row>
    <row r="37" spans="1:9">
      <c r="A37" s="14"/>
      <c r="B37" s="14"/>
      <c r="C37" s="14"/>
      <c r="D37" s="14"/>
      <c r="E37" s="14"/>
      <c r="F37" s="15"/>
      <c r="G37" s="14"/>
      <c r="H37" s="14"/>
      <c r="I37" s="15"/>
    </row>
    <row r="38" spans="1:9">
      <c r="A38" s="14"/>
      <c r="B38" s="14"/>
      <c r="C38" s="14"/>
      <c r="D38" s="14"/>
      <c r="E38" s="14"/>
      <c r="F38" s="15"/>
      <c r="G38" s="14"/>
      <c r="H38" s="14"/>
      <c r="I38" s="15"/>
    </row>
    <row r="39" spans="1:9">
      <c r="A39" s="14"/>
      <c r="B39" s="14"/>
      <c r="C39" s="14"/>
      <c r="D39" s="14"/>
      <c r="E39" s="14"/>
      <c r="F39" s="15"/>
      <c r="G39" s="14"/>
      <c r="H39" s="14"/>
      <c r="I39" s="15"/>
    </row>
    <row r="40" spans="1:9">
      <c r="A40" s="14"/>
      <c r="B40" s="14"/>
      <c r="C40" s="14"/>
      <c r="D40" s="14"/>
      <c r="E40" s="14"/>
      <c r="F40" s="15"/>
      <c r="G40" s="14"/>
      <c r="H40" s="14"/>
      <c r="I40" s="15"/>
    </row>
    <row r="41" spans="1:9">
      <c r="A41" s="14"/>
      <c r="B41" s="14"/>
      <c r="C41" s="14"/>
      <c r="D41" s="14"/>
      <c r="E41" s="14"/>
      <c r="F41" s="15"/>
      <c r="G41" s="14"/>
      <c r="H41" s="14"/>
      <c r="I41" s="15"/>
    </row>
    <row r="42" spans="1:9">
      <c r="A42" s="14"/>
      <c r="B42" s="14"/>
      <c r="C42" s="14"/>
      <c r="D42" s="14"/>
      <c r="E42" s="14"/>
      <c r="F42" s="15"/>
      <c r="G42" s="14"/>
      <c r="H42" s="14"/>
      <c r="I42" s="15"/>
    </row>
    <row r="43" spans="1:9">
      <c r="A43" s="14"/>
      <c r="B43" s="14"/>
      <c r="C43" s="14"/>
      <c r="D43" s="14"/>
      <c r="E43" s="14"/>
      <c r="F43" s="15"/>
      <c r="G43" s="14"/>
      <c r="H43" s="14"/>
      <c r="I43" s="15"/>
    </row>
    <row r="44" spans="1:9">
      <c r="A44" s="14"/>
      <c r="B44" s="14"/>
      <c r="C44" s="14"/>
      <c r="D44" s="14"/>
      <c r="E44" s="14"/>
      <c r="F44" s="15"/>
      <c r="G44" s="14"/>
      <c r="H44" s="14"/>
      <c r="I44" s="15"/>
    </row>
    <row r="45" spans="1:9">
      <c r="A45" s="14"/>
      <c r="B45" s="14"/>
      <c r="C45" s="14"/>
      <c r="D45" s="14"/>
      <c r="E45" s="14"/>
      <c r="F45" s="15"/>
      <c r="G45" s="14"/>
      <c r="H45" s="14"/>
      <c r="I45" s="15"/>
    </row>
    <row r="46" spans="1:9">
      <c r="A46" s="14"/>
      <c r="B46" s="14"/>
      <c r="C46" s="14"/>
      <c r="D46" s="14"/>
      <c r="E46" s="14"/>
      <c r="F46" s="15"/>
      <c r="G46" s="14"/>
      <c r="H46" s="14"/>
      <c r="I46" s="15"/>
    </row>
    <row r="47" spans="1:9">
      <c r="A47" s="14"/>
      <c r="B47" s="14"/>
      <c r="C47" s="14"/>
      <c r="D47" s="14"/>
      <c r="E47" s="14"/>
      <c r="F47" s="15"/>
      <c r="G47" s="14"/>
      <c r="H47" s="14"/>
      <c r="I47" s="15"/>
    </row>
    <row r="48" spans="1:9">
      <c r="A48" s="14"/>
      <c r="B48" s="14"/>
      <c r="C48" s="14"/>
      <c r="D48" s="14"/>
      <c r="E48" s="14"/>
      <c r="F48" s="15"/>
      <c r="G48" s="14"/>
      <c r="H48" s="14"/>
      <c r="I48" s="15"/>
    </row>
    <row r="49" spans="1:9">
      <c r="A49" s="14"/>
      <c r="B49" s="14"/>
      <c r="C49" s="14"/>
      <c r="D49" s="14"/>
      <c r="E49" s="14"/>
      <c r="F49" s="15"/>
      <c r="G49" s="14"/>
      <c r="H49" s="14"/>
      <c r="I49" s="15"/>
    </row>
    <row r="50" spans="1:9">
      <c r="A50" s="14"/>
      <c r="B50" s="14"/>
      <c r="C50" s="14"/>
      <c r="D50" s="14"/>
      <c r="E50" s="14"/>
      <c r="F50" s="15"/>
      <c r="G50" s="14"/>
      <c r="H50" s="14"/>
      <c r="I50" s="15"/>
    </row>
    <row r="51" spans="1:9">
      <c r="A51" s="14"/>
      <c r="B51" s="14"/>
      <c r="C51" s="14"/>
      <c r="D51" s="14"/>
      <c r="E51" s="14"/>
      <c r="F51" s="15"/>
      <c r="G51" s="14"/>
      <c r="H51" s="14"/>
      <c r="I51" s="15"/>
    </row>
    <row r="52" spans="1:9">
      <c r="A52" s="14"/>
      <c r="B52" s="14"/>
      <c r="C52" s="14"/>
      <c r="D52" s="14"/>
      <c r="E52" s="14"/>
      <c r="F52" s="15"/>
      <c r="G52" s="14"/>
      <c r="H52" s="14"/>
      <c r="I52" s="15"/>
    </row>
    <row r="53" spans="1:9">
      <c r="A53" s="14"/>
      <c r="B53" s="14"/>
      <c r="C53" s="14"/>
      <c r="D53" s="14"/>
      <c r="E53" s="14"/>
      <c r="F53" s="15"/>
      <c r="G53" s="14"/>
      <c r="H53" s="14"/>
      <c r="I53" s="15"/>
    </row>
    <row r="54" spans="1:9">
      <c r="A54" s="14"/>
      <c r="B54" s="14"/>
      <c r="C54" s="14"/>
      <c r="D54" s="14"/>
      <c r="E54" s="14"/>
      <c r="F54" s="15"/>
      <c r="G54" s="14"/>
      <c r="H54" s="14"/>
      <c r="I54" s="15"/>
    </row>
    <row r="55" spans="1:9">
      <c r="A55" s="14"/>
      <c r="B55" s="14"/>
      <c r="C55" s="14"/>
      <c r="D55" s="14"/>
      <c r="E55" s="14"/>
      <c r="F55" s="15"/>
      <c r="G55" s="14"/>
      <c r="H55" s="14"/>
      <c r="I55" s="15"/>
    </row>
    <row r="56" spans="1:9">
      <c r="A56" s="14"/>
      <c r="B56" s="14"/>
      <c r="C56" s="14"/>
      <c r="D56" s="14"/>
      <c r="E56" s="14"/>
      <c r="F56" s="15"/>
      <c r="G56" s="14"/>
      <c r="H56" s="14"/>
      <c r="I56" s="15"/>
    </row>
    <row r="57" spans="1:9">
      <c r="A57" s="14"/>
      <c r="B57" s="14"/>
      <c r="C57" s="14"/>
      <c r="D57" s="14"/>
      <c r="E57" s="14"/>
      <c r="F57" s="15"/>
      <c r="G57" s="14"/>
      <c r="H57" s="14"/>
      <c r="I57" s="15"/>
    </row>
    <row r="58" spans="1:9">
      <c r="A58" s="14"/>
      <c r="B58" s="14"/>
      <c r="C58" s="14"/>
      <c r="D58" s="14"/>
      <c r="E58" s="14"/>
      <c r="F58" s="15"/>
      <c r="G58" s="14"/>
      <c r="H58" s="14"/>
      <c r="I58" s="15"/>
    </row>
    <row r="59" spans="1:9">
      <c r="A59" s="14"/>
      <c r="B59" s="14"/>
      <c r="C59" s="14"/>
      <c r="D59" s="14"/>
      <c r="E59" s="14"/>
      <c r="F59" s="15"/>
      <c r="G59" s="14"/>
      <c r="H59" s="14"/>
      <c r="I59" s="15"/>
    </row>
    <row r="60" spans="1:9">
      <c r="A60" s="14"/>
      <c r="B60" s="14"/>
      <c r="C60" s="14"/>
      <c r="D60" s="14"/>
      <c r="E60" s="14"/>
      <c r="F60" s="15"/>
      <c r="G60" s="14"/>
      <c r="H60" s="14"/>
      <c r="I60" s="15"/>
    </row>
    <row r="61" spans="1:9">
      <c r="A61" s="14"/>
      <c r="B61" s="14"/>
      <c r="C61" s="14"/>
      <c r="D61" s="14"/>
      <c r="E61" s="14"/>
      <c r="F61" s="15"/>
      <c r="G61" s="14"/>
      <c r="H61" s="14"/>
      <c r="I61" s="15"/>
    </row>
    <row r="62" spans="1:9">
      <c r="A62" s="14"/>
      <c r="B62" s="14"/>
      <c r="C62" s="14"/>
      <c r="D62" s="14"/>
      <c r="E62" s="14"/>
      <c r="F62" s="15"/>
      <c r="G62" s="14"/>
      <c r="H62" s="14"/>
      <c r="I62" s="15"/>
    </row>
    <row r="63" spans="1:9">
      <c r="A63" s="14"/>
      <c r="B63" s="14"/>
      <c r="C63" s="14"/>
      <c r="D63" s="14"/>
      <c r="E63" s="14"/>
      <c r="F63" s="15"/>
      <c r="G63" s="14"/>
      <c r="H63" s="14"/>
      <c r="I63" s="15"/>
    </row>
    <row r="64" spans="1:9">
      <c r="A64" s="14"/>
      <c r="B64" s="14"/>
      <c r="C64" s="14"/>
      <c r="D64" s="14"/>
      <c r="E64" s="14"/>
      <c r="F64" s="15"/>
      <c r="G64" s="14"/>
      <c r="H64" s="14"/>
      <c r="I64" s="15"/>
    </row>
    <row r="65" spans="1:9">
      <c r="A65" s="14"/>
      <c r="B65" s="14"/>
      <c r="C65" s="14"/>
      <c r="D65" s="14"/>
      <c r="E65" s="14"/>
      <c r="F65" s="15"/>
      <c r="G65" s="14"/>
      <c r="H65" s="14"/>
      <c r="I65" s="15"/>
    </row>
    <row r="66" spans="1:9">
      <c r="A66" s="14"/>
      <c r="B66" s="14"/>
      <c r="C66" s="14"/>
      <c r="D66" s="14"/>
      <c r="E66" s="14"/>
      <c r="F66" s="15"/>
      <c r="G66" s="14"/>
      <c r="H66" s="14"/>
      <c r="I66" s="15"/>
    </row>
    <row r="67" spans="1:9">
      <c r="A67" s="14"/>
      <c r="B67" s="14"/>
      <c r="C67" s="14"/>
      <c r="D67" s="14"/>
      <c r="E67" s="14"/>
      <c r="F67" s="15"/>
      <c r="G67" s="14"/>
      <c r="H67" s="14"/>
      <c r="I67" s="15"/>
    </row>
    <row r="68" spans="1:9">
      <c r="A68" s="14"/>
      <c r="B68" s="14"/>
      <c r="C68" s="14"/>
      <c r="D68" s="14"/>
      <c r="E68" s="14"/>
      <c r="F68" s="15"/>
      <c r="G68" s="14"/>
      <c r="H68" s="14"/>
      <c r="I68" s="15"/>
    </row>
    <row r="69" spans="1:9">
      <c r="A69" s="14"/>
      <c r="B69" s="14"/>
      <c r="C69" s="14"/>
      <c r="D69" s="14"/>
      <c r="E69" s="14"/>
      <c r="F69" s="15"/>
      <c r="G69" s="14"/>
      <c r="H69" s="14"/>
      <c r="I69" s="15"/>
    </row>
    <row r="70" spans="1:9">
      <c r="A70" s="14"/>
      <c r="B70" s="14"/>
      <c r="C70" s="14"/>
      <c r="D70" s="14"/>
      <c r="E70" s="14"/>
      <c r="F70" s="15"/>
      <c r="G70" s="14"/>
      <c r="H70" s="14"/>
      <c r="I70" s="15"/>
    </row>
    <row r="71" spans="1:9">
      <c r="A71" s="14"/>
      <c r="B71" s="14"/>
      <c r="C71" s="14"/>
      <c r="D71" s="14"/>
      <c r="E71" s="14"/>
      <c r="F71" s="15"/>
      <c r="G71" s="14"/>
      <c r="H71" s="14"/>
      <c r="I71" s="15"/>
    </row>
    <row r="72" spans="1:9">
      <c r="A72" s="14"/>
      <c r="B72" s="14"/>
      <c r="C72" s="14"/>
      <c r="D72" s="14"/>
      <c r="E72" s="14"/>
      <c r="F72" s="15"/>
      <c r="G72" s="14"/>
      <c r="H72" s="14"/>
      <c r="I72" s="15"/>
    </row>
    <row r="73" spans="1:9">
      <c r="A73" s="14"/>
      <c r="B73" s="14"/>
      <c r="C73" s="14"/>
      <c r="D73" s="14"/>
      <c r="E73" s="14"/>
      <c r="F73" s="15"/>
      <c r="G73" s="14"/>
      <c r="H73" s="14"/>
      <c r="I73" s="15"/>
    </row>
    <row r="74" spans="1:9">
      <c r="A74" s="14"/>
      <c r="B74" s="14"/>
      <c r="C74" s="14"/>
      <c r="D74" s="14"/>
      <c r="E74" s="14"/>
      <c r="F74" s="15"/>
      <c r="G74" s="14"/>
      <c r="H74" s="14"/>
      <c r="I74" s="15"/>
    </row>
    <row r="75" spans="1:9">
      <c r="A75" s="14"/>
      <c r="B75" s="14"/>
      <c r="C75" s="14"/>
      <c r="D75" s="14"/>
      <c r="E75" s="14"/>
      <c r="F75" s="15"/>
      <c r="G75" s="14"/>
      <c r="H75" s="14"/>
      <c r="I75" s="15"/>
    </row>
    <row r="76" spans="1:9">
      <c r="A76" s="14"/>
      <c r="B76" s="14"/>
      <c r="C76" s="14"/>
      <c r="D76" s="14"/>
      <c r="E76" s="14"/>
      <c r="F76" s="15"/>
      <c r="G76" s="14"/>
      <c r="H76" s="14"/>
      <c r="I76" s="15"/>
    </row>
    <row r="77" spans="1:9">
      <c r="A77" s="14"/>
      <c r="B77" s="14"/>
      <c r="C77" s="14"/>
      <c r="D77" s="14"/>
      <c r="E77" s="14"/>
      <c r="F77" s="15"/>
      <c r="G77" s="14"/>
      <c r="H77" s="14"/>
      <c r="I77" s="15"/>
    </row>
    <row r="78" spans="1:9">
      <c r="A78" s="14"/>
      <c r="B78" s="14"/>
      <c r="C78" s="14"/>
      <c r="D78" s="14"/>
      <c r="E78" s="14"/>
      <c r="F78" s="15"/>
      <c r="G78" s="14"/>
      <c r="H78" s="14"/>
      <c r="I78" s="15"/>
    </row>
    <row r="79" spans="1:9">
      <c r="A79" s="14"/>
      <c r="B79" s="14"/>
      <c r="C79" s="14"/>
      <c r="D79" s="14"/>
      <c r="E79" s="14"/>
      <c r="F79" s="15"/>
      <c r="G79" s="14"/>
      <c r="H79" s="14"/>
      <c r="I79" s="15"/>
    </row>
    <row r="80" spans="1:9">
      <c r="A80" s="14"/>
      <c r="B80" s="14"/>
      <c r="C80" s="14"/>
      <c r="D80" s="14"/>
      <c r="E80" s="14"/>
      <c r="F80" s="15"/>
      <c r="G80" s="14"/>
      <c r="H80" s="14"/>
      <c r="I80" s="15"/>
    </row>
    <row r="81" spans="1:9">
      <c r="A81" s="14"/>
      <c r="B81" s="14"/>
      <c r="C81" s="14"/>
      <c r="D81" s="14"/>
      <c r="E81" s="14"/>
      <c r="F81" s="15"/>
      <c r="G81" s="14"/>
      <c r="H81" s="14"/>
      <c r="I81" s="15"/>
    </row>
    <row r="82" spans="1:9">
      <c r="A82" s="14"/>
      <c r="B82" s="14"/>
      <c r="C82" s="14"/>
      <c r="D82" s="14"/>
      <c r="E82" s="14"/>
      <c r="F82" s="15"/>
      <c r="G82" s="14"/>
      <c r="H82" s="14"/>
      <c r="I82" s="15"/>
    </row>
    <row r="83" spans="1:9">
      <c r="A83" s="14"/>
      <c r="B83" s="14"/>
      <c r="C83" s="14"/>
      <c r="D83" s="14"/>
      <c r="E83" s="14"/>
      <c r="F83" s="15"/>
      <c r="G83" s="14"/>
      <c r="H83" s="14"/>
      <c r="I83" s="15"/>
    </row>
    <row r="84" spans="1:9">
      <c r="A84" s="14"/>
      <c r="B84" s="14"/>
      <c r="C84" s="14"/>
      <c r="D84" s="14"/>
      <c r="E84" s="14"/>
      <c r="F84" s="15"/>
      <c r="G84" s="14"/>
      <c r="H84" s="14"/>
      <c r="I84" s="15"/>
    </row>
    <row r="85" spans="1:9">
      <c r="A85" s="14"/>
      <c r="B85" s="14"/>
      <c r="C85" s="14"/>
      <c r="D85" s="14"/>
      <c r="E85" s="14"/>
      <c r="F85" s="15"/>
      <c r="G85" s="14"/>
      <c r="H85" s="14"/>
      <c r="I85" s="15"/>
    </row>
    <row r="86" spans="1:9">
      <c r="A86" s="14"/>
      <c r="B86" s="14"/>
      <c r="C86" s="14"/>
      <c r="D86" s="14"/>
      <c r="E86" s="14"/>
      <c r="F86" s="15"/>
      <c r="G86" s="14"/>
      <c r="H86" s="14"/>
      <c r="I86" s="15"/>
    </row>
    <row r="87" spans="1:9">
      <c r="A87" s="14"/>
      <c r="B87" s="14"/>
      <c r="C87" s="14"/>
      <c r="D87" s="14"/>
      <c r="E87" s="14"/>
      <c r="F87" s="15"/>
      <c r="G87" s="14"/>
      <c r="H87" s="14"/>
      <c r="I87" s="15"/>
    </row>
    <row r="88" spans="1:9">
      <c r="A88" s="14"/>
      <c r="B88" s="14"/>
      <c r="C88" s="14"/>
      <c r="D88" s="14"/>
      <c r="E88" s="14"/>
      <c r="F88" s="15"/>
      <c r="G88" s="14"/>
      <c r="H88" s="14"/>
      <c r="I88" s="15"/>
    </row>
    <row r="89" spans="1:9">
      <c r="A89" s="14"/>
      <c r="B89" s="14"/>
      <c r="C89" s="14"/>
      <c r="D89" s="14"/>
      <c r="E89" s="14"/>
      <c r="F89" s="15"/>
      <c r="G89" s="14"/>
      <c r="H89" s="14"/>
      <c r="I89" s="15"/>
    </row>
    <row r="90" spans="1:9">
      <c r="A90" s="14"/>
      <c r="B90" s="14"/>
      <c r="C90" s="14"/>
      <c r="D90" s="14"/>
      <c r="E90" s="14"/>
      <c r="F90" s="15"/>
      <c r="G90" s="14"/>
      <c r="H90" s="14"/>
      <c r="I90" s="15"/>
    </row>
    <row r="91" spans="1:9">
      <c r="A91" s="14"/>
      <c r="B91" s="14"/>
      <c r="C91" s="14"/>
      <c r="D91" s="14"/>
      <c r="E91" s="14"/>
      <c r="F91" s="15"/>
      <c r="G91" s="14"/>
      <c r="H91" s="14"/>
      <c r="I91" s="15"/>
    </row>
    <row r="92" spans="1:9">
      <c r="A92" s="14"/>
      <c r="B92" s="14"/>
      <c r="C92" s="14"/>
      <c r="D92" s="14"/>
      <c r="E92" s="14"/>
      <c r="F92" s="15"/>
      <c r="G92" s="14"/>
      <c r="H92" s="14"/>
      <c r="I92" s="15"/>
    </row>
    <row r="93" spans="1:9">
      <c r="A93" s="14"/>
      <c r="B93" s="14"/>
      <c r="C93" s="14"/>
      <c r="D93" s="14"/>
      <c r="E93" s="14"/>
      <c r="F93" s="15"/>
      <c r="G93" s="14"/>
      <c r="H93" s="14"/>
      <c r="I93" s="15"/>
    </row>
    <row r="94" spans="1:9">
      <c r="A94" s="14"/>
      <c r="B94" s="14"/>
      <c r="C94" s="14"/>
      <c r="D94" s="14"/>
      <c r="E94" s="14"/>
      <c r="F94" s="15"/>
      <c r="G94" s="14"/>
      <c r="H94" s="14"/>
      <c r="I94" s="15"/>
    </row>
    <row r="95" spans="1:9">
      <c r="A95" s="14"/>
      <c r="B95" s="14"/>
      <c r="C95" s="14"/>
      <c r="D95" s="14"/>
      <c r="E95" s="14"/>
      <c r="F95" s="15"/>
      <c r="G95" s="14"/>
      <c r="H95" s="14"/>
      <c r="I95" s="15"/>
    </row>
    <row r="96" spans="1:9">
      <c r="A96" s="14"/>
      <c r="B96" s="14"/>
      <c r="C96" s="14"/>
      <c r="D96" s="14"/>
      <c r="E96" s="14"/>
      <c r="F96" s="15"/>
      <c r="G96" s="14"/>
      <c r="H96" s="14"/>
      <c r="I96" s="15"/>
    </row>
    <row r="97" spans="1:9">
      <c r="A97" s="14"/>
      <c r="B97" s="14"/>
      <c r="C97" s="14"/>
      <c r="D97" s="14"/>
      <c r="E97" s="14"/>
      <c r="F97" s="15"/>
      <c r="G97" s="14"/>
      <c r="H97" s="14"/>
      <c r="I97" s="15"/>
    </row>
    <row r="98" spans="1:9">
      <c r="A98" s="14"/>
      <c r="B98" s="14"/>
      <c r="C98" s="14"/>
      <c r="D98" s="14"/>
      <c r="E98" s="14"/>
      <c r="F98" s="15"/>
      <c r="G98" s="14"/>
      <c r="H98" s="14"/>
      <c r="I98" s="15"/>
    </row>
    <row r="99" spans="1:9">
      <c r="A99" s="14"/>
      <c r="B99" s="14"/>
      <c r="C99" s="14"/>
      <c r="D99" s="14"/>
      <c r="E99" s="14"/>
      <c r="F99" s="15"/>
      <c r="G99" s="14"/>
      <c r="H99" s="14"/>
      <c r="I99" s="15"/>
    </row>
    <row r="100" spans="1: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>
      <c r="A337" s="14"/>
      <c r="B337" s="14"/>
      <c r="C337" s="14"/>
      <c r="D337" s="14"/>
      <c r="E337" s="14"/>
      <c r="F337" s="15"/>
      <c r="G337" s="14"/>
      <c r="H337" s="14"/>
      <c r="I337" s="15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5 I4:I95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7"/>
  <sheetViews>
    <sheetView workbookViewId="0">
      <pane xSplit="2" ySplit="3" topLeftCell="C4" activePane="bottomRight" state="frozen"/>
      <selection pane="bottomRight" activeCell="D27" sqref="D27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MN8 KEF</v>
      </c>
      <c r="B1" s="76"/>
      <c r="C1" s="76"/>
      <c r="D1" s="77" t="s">
        <v>10</v>
      </c>
      <c r="E1" s="77"/>
      <c r="F1" s="77"/>
      <c r="G1" s="75" t="s">
        <v>11</v>
      </c>
      <c r="H1" s="75"/>
      <c r="I1" s="75"/>
    </row>
    <row r="2" spans="1:9" ht="19.5" customHeight="1">
      <c r="A2" s="78" t="s">
        <v>2</v>
      </c>
      <c r="B2" s="78"/>
      <c r="C2" s="5">
        <f>SUM(C4:C95)</f>
        <v>5061899.0399440993</v>
      </c>
      <c r="D2" s="5">
        <f>SUM(D4:D95)</f>
        <v>5742936.9100000011</v>
      </c>
      <c r="E2" s="5">
        <f>C2-D2</f>
        <v>-681037.87005590182</v>
      </c>
      <c r="F2" s="6">
        <f>IFERROR(E2/D2, 0)</f>
        <v>-0.11858703669023968</v>
      </c>
      <c r="G2" s="5">
        <f>SUM(G4:G95)</f>
        <v>6132609.5299999993</v>
      </c>
      <c r="H2" s="7">
        <f>C2-G2</f>
        <v>-1070710.4900559001</v>
      </c>
      <c r="I2" s="6">
        <f>IFERROR(H2/G2, 0)</f>
        <v>-0.17459296647179495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SUM(Jan!C4, Feb!C4, Mar!C4)</f>
        <v>299514.0942748076</v>
      </c>
      <c r="D4" s="45">
        <f>SUM(Jan!D4, Feb!D4, Mar!D4)</f>
        <v>343331.74</v>
      </c>
      <c r="E4" s="45">
        <f>IF(AND(ISNUMBER(C4),ISNUMBER(D4)), C4-D4, "")</f>
        <v>-43817.645725192386</v>
      </c>
      <c r="F4" s="58">
        <f>IFERROR(E4/D4, "")</f>
        <v>-0.1276248031282875</v>
      </c>
      <c r="G4" s="47">
        <f>SUM(Jan!G4, Feb!G4, Mar!G4)</f>
        <v>358213.49</v>
      </c>
      <c r="H4" s="47">
        <f>SUM(Jan!H4, Feb!H4, Mar!H4)</f>
        <v>-58699.3957251924</v>
      </c>
      <c r="I4" s="46">
        <f>IFERROR(H4/G4, "")</f>
        <v>-0.16386707191064301</v>
      </c>
    </row>
    <row r="5" spans="1:9" ht="15.75">
      <c r="A5" s="67" t="str">
        <v>Orange A KB</v>
      </c>
      <c r="B5" s="64" t="str">
        <v>MA</v>
      </c>
      <c r="C5" s="59">
        <f>SUM(Jan!C5, Feb!C5, Mar!C5)</f>
        <v>247279.6956692911</v>
      </c>
      <c r="D5" s="51">
        <f>SUM(Jan!D5, Feb!D5, Mar!D5)</f>
        <v>258904.44999999998</v>
      </c>
      <c r="E5" s="51">
        <f t="shared" ref="E5:E15" si="0">IF(AND(ISNUMBER(C5),ISNUMBER(D5)), C5-D5, "")</f>
        <v>-11624.754330708878</v>
      </c>
      <c r="F5" s="52">
        <f>IFERROR(E5/D5, "")</f>
        <v>-4.4899785734501201E-2</v>
      </c>
      <c r="G5" s="53">
        <f>SUM(Jan!G5, Feb!G5, Mar!G5)</f>
        <v>298151.89</v>
      </c>
      <c r="H5" s="53">
        <f>SUM(Jan!H5, Feb!H5, Mar!H5)</f>
        <v>-50872.194330708902</v>
      </c>
      <c r="I5" s="52">
        <f>IFERROR(H5/G5, "")</f>
        <v>-0.17062509424544953</v>
      </c>
    </row>
    <row r="6" spans="1:9" ht="15.75">
      <c r="A6" s="66" t="str">
        <v>Goshen A</v>
      </c>
      <c r="B6" s="62" t="str">
        <v>MA</v>
      </c>
      <c r="C6" s="57">
        <f>SUM(Jan!C6, Feb!C6, Mar!C6)</f>
        <v>261845</v>
      </c>
      <c r="D6" s="45">
        <f>SUM(Jan!D6, Feb!D6, Mar!D6)</f>
        <v>308555.5</v>
      </c>
      <c r="E6" s="45">
        <f t="shared" si="0"/>
        <v>-46710.5</v>
      </c>
      <c r="F6" s="58">
        <f t="shared" ref="F6:F15" si="1">IFERROR(E6/D6, "")</f>
        <v>-0.15138443489096776</v>
      </c>
      <c r="G6" s="47">
        <f>SUM(Jan!G6, Feb!G6, Mar!G6)</f>
        <v>191088.16</v>
      </c>
      <c r="H6" s="47">
        <f>SUM(Jan!H6, Feb!H6, Mar!H6)</f>
        <v>70756.84</v>
      </c>
      <c r="I6" s="46">
        <f t="shared" ref="I6:I15" si="2">IFERROR(H6/G6, "")</f>
        <v>0.37028374756447491</v>
      </c>
    </row>
    <row r="7" spans="1:9" ht="15.75">
      <c r="A7" s="67" t="str">
        <v>Phillipston A KB</v>
      </c>
      <c r="B7" s="64" t="str">
        <v>MA</v>
      </c>
      <c r="C7" s="59">
        <f>SUM(Jan!C7, Feb!C7, Mar!C7)</f>
        <v>282267</v>
      </c>
      <c r="D7" s="51">
        <f>SUM(Jan!D7, Feb!D7, Mar!D7)</f>
        <v>395445.18</v>
      </c>
      <c r="E7" s="51">
        <f t="shared" si="0"/>
        <v>-113178.18</v>
      </c>
      <c r="F7" s="52">
        <f t="shared" si="1"/>
        <v>-0.28620447466321375</v>
      </c>
      <c r="G7" s="53">
        <f>SUM(Jan!G7, Feb!G7, Mar!G7)</f>
        <v>218309.68</v>
      </c>
      <c r="H7" s="53">
        <f>SUM(Jan!H7, Feb!H7, Mar!H7)</f>
        <v>63957.32</v>
      </c>
      <c r="I7" s="52">
        <f t="shared" si="2"/>
        <v>0.29296602880825073</v>
      </c>
    </row>
    <row r="8" spans="1:9" ht="15.75">
      <c r="A8" s="66" t="str">
        <v>Uxbridge D</v>
      </c>
      <c r="B8" s="62" t="str">
        <v>MA</v>
      </c>
      <c r="C8" s="57">
        <f>SUM(Jan!C8, Feb!C8, Mar!C8)</f>
        <v>312227</v>
      </c>
      <c r="D8" s="45">
        <f>SUM(Jan!D8, Feb!D8, Mar!D8)</f>
        <v>356457.4</v>
      </c>
      <c r="E8" s="45">
        <f t="shared" si="0"/>
        <v>-44230.400000000023</v>
      </c>
      <c r="F8" s="58">
        <f t="shared" si="1"/>
        <v>-0.12408327053948107</v>
      </c>
      <c r="G8" s="47">
        <f>SUM(Jan!G8, Feb!G8, Mar!G8)</f>
        <v>390177.4</v>
      </c>
      <c r="H8" s="47">
        <f>SUM(Jan!H8, Feb!H8, Mar!H8)</f>
        <v>-77950.400000000009</v>
      </c>
      <c r="I8" s="46">
        <f t="shared" si="2"/>
        <v>-0.19978194534076038</v>
      </c>
    </row>
    <row r="9" spans="1:9" ht="15.75">
      <c r="A9" s="67" t="str">
        <v>West Bridgewater A&amp;B</v>
      </c>
      <c r="B9" s="64" t="str">
        <v>MA</v>
      </c>
      <c r="C9" s="59">
        <f>SUM(Jan!C9, Feb!C9, Mar!C9)</f>
        <v>493322</v>
      </c>
      <c r="D9" s="51">
        <f>SUM(Jan!D9, Feb!D9, Mar!D9)</f>
        <v>566022.19999999995</v>
      </c>
      <c r="E9" s="51">
        <f t="shared" si="0"/>
        <v>-72700.199999999953</v>
      </c>
      <c r="F9" s="52">
        <f t="shared" si="1"/>
        <v>-0.12844054526483228</v>
      </c>
      <c r="G9" s="53">
        <f>SUM(Jan!G9, Feb!G9, Mar!G9)</f>
        <v>639439.19999999995</v>
      </c>
      <c r="H9" s="53">
        <f>SUM(Jan!H9, Feb!H9, Mar!H9)</f>
        <v>-146117.19999999998</v>
      </c>
      <c r="I9" s="52">
        <f t="shared" si="2"/>
        <v>-0.22850835544645995</v>
      </c>
    </row>
    <row r="10" spans="1:9" ht="15.75">
      <c r="A10" s="66" t="str">
        <v>Sutton A</v>
      </c>
      <c r="B10" s="62" t="str">
        <v>MA</v>
      </c>
      <c r="C10" s="57">
        <f>SUM(Jan!C10, Feb!C10, Mar!C10)</f>
        <v>251473</v>
      </c>
      <c r="D10" s="45">
        <f>SUM(Jan!D10, Feb!D10, Mar!D10)</f>
        <v>302395.95</v>
      </c>
      <c r="E10" s="45">
        <f t="shared" si="0"/>
        <v>-50922.950000000012</v>
      </c>
      <c r="F10" s="58">
        <f t="shared" si="1"/>
        <v>-0.16839825401100778</v>
      </c>
      <c r="G10" s="47">
        <f>SUM(Jan!G10, Feb!G10, Mar!G10)</f>
        <v>361333.32</v>
      </c>
      <c r="H10" s="47">
        <f>SUM(Jan!H10, Feb!H10, Mar!H10)</f>
        <v>-109860.32</v>
      </c>
      <c r="I10" s="46">
        <f t="shared" si="2"/>
        <v>-0.3040414872340032</v>
      </c>
    </row>
    <row r="11" spans="1:9" ht="15.75">
      <c r="A11" s="67" t="str">
        <v>North Adams A</v>
      </c>
      <c r="B11" s="64" t="str">
        <v>MA</v>
      </c>
      <c r="C11" s="59">
        <f>SUM(Jan!C11, Feb!C11, Mar!C11)</f>
        <v>258785</v>
      </c>
      <c r="D11" s="51">
        <f>SUM(Jan!D11, Feb!D11, Mar!D11)</f>
        <v>294516.74</v>
      </c>
      <c r="E11" s="51">
        <f t="shared" si="0"/>
        <v>-35731.739999999991</v>
      </c>
      <c r="F11" s="52">
        <f t="shared" si="1"/>
        <v>-0.12132329048596692</v>
      </c>
      <c r="G11" s="53">
        <f>SUM(Jan!G11, Feb!G11, Mar!G11)</f>
        <v>363705.86</v>
      </c>
      <c r="H11" s="53">
        <f>SUM(Jan!H11, Feb!H11, Mar!H11)</f>
        <v>-104920.85999999999</v>
      </c>
      <c r="I11" s="52">
        <f t="shared" si="2"/>
        <v>-0.28847723267367753</v>
      </c>
    </row>
    <row r="12" spans="1:9" ht="15.75">
      <c r="A12" s="66" t="str">
        <v>North Adams B</v>
      </c>
      <c r="B12" s="62" t="str">
        <v>MA</v>
      </c>
      <c r="C12" s="57">
        <f>SUM(Jan!C12, Feb!C12, Mar!C12)</f>
        <v>241080</v>
      </c>
      <c r="D12" s="45">
        <f>SUM(Jan!D12, Feb!D12, Mar!D12)</f>
        <v>254351.52999999997</v>
      </c>
      <c r="E12" s="45">
        <f t="shared" si="0"/>
        <v>-13271.52999999997</v>
      </c>
      <c r="F12" s="58">
        <f t="shared" si="1"/>
        <v>-5.2177905122096066E-2</v>
      </c>
      <c r="G12" s="47">
        <f>SUM(Jan!G12, Feb!G12, Mar!G12)</f>
        <v>363705.86</v>
      </c>
      <c r="H12" s="47">
        <f>SUM(Jan!H12, Feb!H12, Mar!H12)</f>
        <v>-122625.85999999999</v>
      </c>
      <c r="I12" s="46">
        <f t="shared" si="2"/>
        <v>-0.33715667930123533</v>
      </c>
    </row>
    <row r="13" spans="1:9" ht="15.75">
      <c r="A13" s="67" t="str">
        <v>Clarksburg A</v>
      </c>
      <c r="B13" s="64" t="str">
        <v>MA</v>
      </c>
      <c r="C13" s="59">
        <f>SUM(Jan!C13, Feb!C13, Mar!C13)</f>
        <v>253576</v>
      </c>
      <c r="D13" s="51">
        <f>SUM(Jan!D13, Feb!D13, Mar!D13)</f>
        <v>280640.43000000005</v>
      </c>
      <c r="E13" s="51">
        <f t="shared" si="0"/>
        <v>-27064.430000000051</v>
      </c>
      <c r="F13" s="52">
        <f t="shared" si="1"/>
        <v>-9.6438100526000645E-2</v>
      </c>
      <c r="G13" s="53">
        <f>SUM(Jan!G13, Feb!G13, Mar!G13)</f>
        <v>362052.99</v>
      </c>
      <c r="H13" s="53">
        <f>SUM(Jan!H13, Feb!H13, Mar!H13)</f>
        <v>-108476.99</v>
      </c>
      <c r="I13" s="52">
        <f t="shared" si="2"/>
        <v>-0.29961633516684949</v>
      </c>
    </row>
    <row r="14" spans="1:9" ht="15.75">
      <c r="A14" s="66" t="str">
        <v>Swansea B</v>
      </c>
      <c r="B14" s="62" t="str">
        <v>MA</v>
      </c>
      <c r="C14" s="57">
        <f>SUM(Jan!C14, Feb!C14, Mar!C14)</f>
        <v>318674</v>
      </c>
      <c r="D14" s="45">
        <f>SUM(Jan!D14, Feb!D14, Mar!D14)</f>
        <v>361411.34</v>
      </c>
      <c r="E14" s="45">
        <f t="shared" si="0"/>
        <v>-42737.340000000026</v>
      </c>
      <c r="F14" s="58">
        <f t="shared" si="1"/>
        <v>-0.11825124247623227</v>
      </c>
      <c r="G14" s="47">
        <f>SUM(Jan!G14, Feb!G14, Mar!G14)</f>
        <v>218954.31</v>
      </c>
      <c r="H14" s="47">
        <f>SUM(Jan!H14, Feb!H14, Mar!H14)</f>
        <v>99719.689999999988</v>
      </c>
      <c r="I14" s="46">
        <f t="shared" si="2"/>
        <v>0.45543606791754859</v>
      </c>
    </row>
    <row r="15" spans="1:9" ht="15.75">
      <c r="A15" s="67" t="str">
        <v>Wareham 2</v>
      </c>
      <c r="B15" s="64" t="str">
        <v>MA</v>
      </c>
      <c r="C15" s="59">
        <f>SUM(Jan!C15, Feb!C15, Mar!C15)</f>
        <v>271754.25</v>
      </c>
      <c r="D15" s="51">
        <f>SUM(Jan!D15, Feb!D15, Mar!D15)</f>
        <v>287011.73</v>
      </c>
      <c r="E15" s="51">
        <f t="shared" si="0"/>
        <v>-15257.479999999981</v>
      </c>
      <c r="F15" s="52">
        <f t="shared" si="1"/>
        <v>-5.3159778521943972E-2</v>
      </c>
      <c r="G15" s="53">
        <f>SUM(Jan!G15, Feb!G15, Mar!G15)</f>
        <v>395554.69999999995</v>
      </c>
      <c r="H15" s="53">
        <f>SUM(Jan!H15, Feb!H15, Mar!H15)</f>
        <v>-123800.45</v>
      </c>
      <c r="I15" s="52">
        <f t="shared" si="2"/>
        <v>-0.31297934268003896</v>
      </c>
    </row>
    <row r="16" spans="1:9" ht="15.75">
      <c r="A16" s="66" t="str">
        <v>Kingston 1 KB</v>
      </c>
      <c r="B16" s="62" t="str">
        <v>MA</v>
      </c>
      <c r="C16" s="57">
        <f>SUM(Jan!C16, Feb!C16, Mar!C16)</f>
        <v>246362</v>
      </c>
      <c r="D16" s="45">
        <f>SUM(Jan!D16, Feb!D16, Mar!D16)</f>
        <v>280103.39</v>
      </c>
      <c r="E16" s="45">
        <f t="shared" ref="E16:E18" si="3">IF(AND(ISNUMBER(C16),ISNUMBER(D16)), C16-D16, "")</f>
        <v>-33741.390000000014</v>
      </c>
      <c r="F16" s="58">
        <f t="shared" ref="F16:F18" si="4">IFERROR(E16/D16, "")</f>
        <v>-0.12046048425190431</v>
      </c>
      <c r="G16" s="47">
        <f>SUM(Jan!G16, Feb!G16, Mar!G16)</f>
        <v>297310.99</v>
      </c>
      <c r="H16" s="47">
        <f>SUM(Jan!H16, Feb!H16, Mar!H16)</f>
        <v>-50948.990000000005</v>
      </c>
      <c r="I16" s="46">
        <f t="shared" ref="I16:I18" si="5">IFERROR(H16/G16, "")</f>
        <v>-0.17136598280473928</v>
      </c>
    </row>
    <row r="17" spans="1:9" ht="15.75">
      <c r="A17" s="67" t="str">
        <v>Kingston 2 KB</v>
      </c>
      <c r="B17" s="64" t="str">
        <v>MA</v>
      </c>
      <c r="C17" s="59">
        <f>SUM(Jan!C17, Feb!C17, Mar!C17)</f>
        <v>205192</v>
      </c>
      <c r="D17" s="51">
        <f>SUM(Jan!D17, Feb!D17, Mar!D17)</f>
        <v>180108.57</v>
      </c>
      <c r="E17" s="51">
        <f t="shared" si="3"/>
        <v>25083.429999999993</v>
      </c>
      <c r="F17" s="52">
        <f t="shared" si="4"/>
        <v>0.13926838684022638</v>
      </c>
      <c r="G17" s="53">
        <f>SUM(Jan!G17, Feb!G17, Mar!G17)</f>
        <v>238641.77000000002</v>
      </c>
      <c r="H17" s="53">
        <f>SUM(Jan!H17, Feb!H17, Mar!H17)</f>
        <v>-33449.769999999997</v>
      </c>
      <c r="I17" s="52">
        <f t="shared" si="5"/>
        <v>-0.14016728923859387</v>
      </c>
    </row>
    <row r="18" spans="1:9" ht="12.75" customHeight="1">
      <c r="A18" s="66" t="str">
        <v>Holliston B</v>
      </c>
      <c r="B18" s="62" t="str">
        <v>MA</v>
      </c>
      <c r="C18" s="57">
        <f>SUM(Jan!C18, Feb!C18, Mar!C18)</f>
        <v>281743</v>
      </c>
      <c r="D18" s="45">
        <f>SUM(Jan!D18, Feb!D18, Mar!D18)</f>
        <v>324177.82</v>
      </c>
      <c r="E18" s="45">
        <f t="shared" si="3"/>
        <v>-42434.820000000007</v>
      </c>
      <c r="F18" s="58">
        <f t="shared" si="4"/>
        <v>-0.13089982528724514</v>
      </c>
      <c r="G18" s="47">
        <f>SUM(Jan!G18, Feb!G18, Mar!G18)</f>
        <v>379539.77</v>
      </c>
      <c r="H18" s="47">
        <f>SUM(Jan!H18, Feb!H18, Mar!H18)</f>
        <v>-97796.77</v>
      </c>
      <c r="I18" s="52">
        <f t="shared" si="5"/>
        <v>-0.25767199574368715</v>
      </c>
    </row>
    <row r="19" spans="1:9" ht="15.75">
      <c r="A19" s="67" t="str">
        <v>Fairhaven C</v>
      </c>
      <c r="B19" s="64" t="str">
        <v>MA</v>
      </c>
      <c r="C19" s="59">
        <f>SUM(Jan!C19, Feb!C19, Mar!C19)</f>
        <v>542636</v>
      </c>
      <c r="D19" s="51">
        <f>SUM(Jan!D19, Feb!D19, Mar!D19)</f>
        <v>619098.5</v>
      </c>
      <c r="E19" s="51">
        <f t="shared" ref="E19:E20" si="6">IF(AND(ISNUMBER(C19),ISNUMBER(D19)), C19-D19, "")</f>
        <v>-76462.5</v>
      </c>
      <c r="F19" s="52">
        <f t="shared" ref="F19:F20" si="7">IFERROR(E19/D19, "")</f>
        <v>-0.12350619489467346</v>
      </c>
      <c r="G19" s="53">
        <f>SUM(Jan!G19, Feb!G19, Mar!G19)</f>
        <v>678228.9</v>
      </c>
      <c r="H19" s="53">
        <f>SUM(Jan!H19, Feb!H19, Mar!H19)</f>
        <v>-135592.90000000002</v>
      </c>
      <c r="I19" s="46">
        <f t="shared" ref="I19:I20" si="8">IFERROR(H19/G19, "")</f>
        <v>-0.19992203222245472</v>
      </c>
    </row>
    <row r="20" spans="1:9" ht="15.75">
      <c r="A20" s="66" t="str">
        <v>Plympton A-2</v>
      </c>
      <c r="B20" s="62" t="str">
        <v>MA</v>
      </c>
      <c r="C20" s="57">
        <f>SUM(Jan!C20, Feb!C20, Mar!C20)</f>
        <v>294169</v>
      </c>
      <c r="D20" s="45">
        <f>SUM(Jan!D20, Feb!D20, Mar!D20)</f>
        <v>330404.44</v>
      </c>
      <c r="E20" s="45">
        <f t="shared" si="6"/>
        <v>-36235.440000000002</v>
      </c>
      <c r="F20" s="58">
        <f t="shared" si="7"/>
        <v>-0.10966995479842825</v>
      </c>
      <c r="G20" s="47">
        <f>SUM(Jan!G20, Feb!G20, Mar!G20)</f>
        <v>378201.24</v>
      </c>
      <c r="H20" s="47">
        <f>SUM(Jan!H20, Feb!H20, Mar!H20)</f>
        <v>-84032.239999999991</v>
      </c>
      <c r="I20" s="52">
        <f t="shared" si="8"/>
        <v>-0.22218922391687557</v>
      </c>
    </row>
    <row r="21" spans="1:9" ht="15">
      <c r="A21" s="14"/>
      <c r="B21" s="9"/>
      <c r="C21" s="14"/>
      <c r="D21" s="14"/>
      <c r="E21" s="14"/>
      <c r="F21" s="14"/>
      <c r="G21" s="14"/>
      <c r="H21" s="14"/>
      <c r="I21" s="14"/>
    </row>
    <row r="22" spans="1:9">
      <c r="A22" s="14"/>
      <c r="B22" s="14"/>
      <c r="C22" s="14"/>
      <c r="D22" s="14"/>
      <c r="E22" s="14"/>
      <c r="F22" s="14"/>
      <c r="G22" s="14"/>
      <c r="H22" s="14"/>
      <c r="I22" s="14"/>
    </row>
    <row r="23" spans="1:9">
      <c r="A23" s="14"/>
      <c r="B23" s="14"/>
      <c r="C23" s="14"/>
      <c r="D23" s="14"/>
      <c r="E23" s="14"/>
      <c r="F23" s="14"/>
      <c r="G23" s="14"/>
      <c r="H23" s="14"/>
      <c r="I23" s="14"/>
    </row>
    <row r="24" spans="1:9">
      <c r="A24" s="14"/>
      <c r="B24" s="14"/>
      <c r="C24" s="14"/>
      <c r="D24" s="14"/>
      <c r="E24" s="14"/>
      <c r="F24" s="14"/>
      <c r="G24" s="14"/>
      <c r="H24" s="14"/>
      <c r="I24" s="14"/>
    </row>
    <row r="25" spans="1:9">
      <c r="A25" s="14"/>
      <c r="B25" s="14"/>
      <c r="C25" s="14"/>
      <c r="D25" s="14"/>
      <c r="E25" s="14"/>
      <c r="F25" s="14"/>
      <c r="G25" s="14"/>
      <c r="H25" s="14"/>
      <c r="I25" s="14"/>
    </row>
    <row r="26" spans="1:9">
      <c r="A26" s="14"/>
      <c r="B26" s="14"/>
      <c r="C26" s="14"/>
      <c r="D26" s="14"/>
      <c r="E26" s="14"/>
      <c r="F26" s="14"/>
      <c r="G26" s="14"/>
      <c r="H26" s="14"/>
      <c r="I26" s="14"/>
    </row>
    <row r="27" spans="1:9">
      <c r="A27" s="14"/>
      <c r="B27" s="14"/>
      <c r="C27" s="14"/>
      <c r="D27" s="14"/>
      <c r="E27" s="14"/>
      <c r="F27" s="14"/>
      <c r="G27" s="14"/>
      <c r="H27" s="14"/>
      <c r="I27" s="14"/>
    </row>
    <row r="28" spans="1:9">
      <c r="A28" s="14"/>
      <c r="B28" s="14"/>
      <c r="C28" s="14"/>
      <c r="D28" s="14"/>
      <c r="E28" s="14"/>
      <c r="F28" s="15"/>
      <c r="G28" s="14"/>
      <c r="H28" s="14"/>
      <c r="I28" s="15"/>
    </row>
    <row r="29" spans="1:9">
      <c r="A29" s="14"/>
      <c r="B29" s="14"/>
      <c r="C29" s="14"/>
      <c r="D29" s="14"/>
      <c r="E29" s="14"/>
      <c r="F29" s="15"/>
      <c r="G29" s="14"/>
      <c r="H29" s="14"/>
      <c r="I29" s="15"/>
    </row>
    <row r="30" spans="1:9">
      <c r="A30" s="14"/>
      <c r="B30" s="14"/>
      <c r="C30" s="14"/>
      <c r="D30" s="14"/>
      <c r="E30" s="14"/>
      <c r="F30" s="15"/>
      <c r="G30" s="14"/>
      <c r="H30" s="14"/>
      <c r="I30" s="15"/>
    </row>
    <row r="31" spans="1:9">
      <c r="A31" s="14"/>
      <c r="B31" s="14"/>
      <c r="C31" s="14"/>
      <c r="D31" s="14"/>
      <c r="E31" s="14"/>
      <c r="F31" s="15"/>
      <c r="G31" s="14"/>
      <c r="H31" s="14"/>
      <c r="I31" s="15"/>
    </row>
    <row r="32" spans="1:9">
      <c r="A32" s="14"/>
      <c r="B32" s="14"/>
      <c r="C32" s="14"/>
      <c r="D32" s="14"/>
      <c r="E32" s="14"/>
      <c r="F32" s="15"/>
      <c r="G32" s="14"/>
      <c r="H32" s="14"/>
      <c r="I32" s="15"/>
    </row>
    <row r="33" spans="1:9">
      <c r="A33" s="14"/>
      <c r="B33" s="14"/>
      <c r="C33" s="14"/>
      <c r="D33" s="14"/>
      <c r="E33" s="14"/>
      <c r="F33" s="15"/>
      <c r="G33" s="14"/>
      <c r="H33" s="14"/>
      <c r="I33" s="15"/>
    </row>
    <row r="34" spans="1:9">
      <c r="A34" s="14"/>
      <c r="B34" s="14"/>
      <c r="C34" s="14"/>
      <c r="D34" s="14"/>
      <c r="E34" s="14"/>
      <c r="F34" s="15"/>
      <c r="G34" s="14"/>
      <c r="H34" s="14"/>
      <c r="I34" s="15"/>
    </row>
    <row r="35" spans="1:9">
      <c r="A35" s="14"/>
      <c r="B35" s="14"/>
      <c r="C35" s="14"/>
      <c r="D35" s="14"/>
      <c r="E35" s="14"/>
      <c r="F35" s="15"/>
      <c r="G35" s="14"/>
      <c r="H35" s="14"/>
      <c r="I35" s="15"/>
    </row>
    <row r="36" spans="1:9">
      <c r="A36" s="14"/>
      <c r="B36" s="14"/>
      <c r="C36" s="14"/>
      <c r="D36" s="14"/>
      <c r="E36" s="14"/>
      <c r="F36" s="15"/>
      <c r="G36" s="14"/>
      <c r="H36" s="14"/>
      <c r="I36" s="15"/>
    </row>
    <row r="37" spans="1:9">
      <c r="A37" s="14"/>
      <c r="B37" s="14"/>
      <c r="C37" s="14"/>
      <c r="D37" s="14"/>
      <c r="E37" s="14"/>
      <c r="F37" s="15"/>
      <c r="G37" s="14"/>
      <c r="H37" s="14"/>
      <c r="I37" s="15"/>
    </row>
    <row r="38" spans="1:9">
      <c r="A38" s="14"/>
      <c r="B38" s="14"/>
      <c r="C38" s="14"/>
      <c r="D38" s="14"/>
      <c r="E38" s="14"/>
      <c r="F38" s="15"/>
      <c r="G38" s="14"/>
      <c r="H38" s="14"/>
      <c r="I38" s="15"/>
    </row>
    <row r="39" spans="1:9">
      <c r="A39" s="14"/>
      <c r="B39" s="14"/>
      <c r="C39" s="14"/>
      <c r="D39" s="14"/>
      <c r="E39" s="14"/>
      <c r="F39" s="15"/>
      <c r="G39" s="14"/>
      <c r="H39" s="14"/>
      <c r="I39" s="15"/>
    </row>
    <row r="40" spans="1:9">
      <c r="A40" s="14"/>
      <c r="B40" s="14"/>
      <c r="C40" s="14"/>
      <c r="D40" s="14"/>
      <c r="E40" s="14"/>
      <c r="F40" s="15"/>
      <c r="G40" s="14"/>
      <c r="H40" s="14"/>
      <c r="I40" s="15"/>
    </row>
    <row r="41" spans="1:9">
      <c r="A41" s="14"/>
      <c r="B41" s="14"/>
      <c r="C41" s="14"/>
      <c r="D41" s="14"/>
      <c r="E41" s="14"/>
      <c r="F41" s="15"/>
      <c r="G41" s="14"/>
      <c r="H41" s="14"/>
      <c r="I41" s="15"/>
    </row>
    <row r="42" spans="1:9">
      <c r="A42" s="14"/>
      <c r="B42" s="14"/>
      <c r="C42" s="14"/>
      <c r="D42" s="14"/>
      <c r="E42" s="14"/>
      <c r="F42" s="15"/>
      <c r="G42" s="14"/>
      <c r="H42" s="14"/>
      <c r="I42" s="15"/>
    </row>
    <row r="43" spans="1:9">
      <c r="A43" s="14"/>
      <c r="B43" s="14"/>
      <c r="C43" s="14"/>
      <c r="D43" s="14"/>
      <c r="E43" s="14"/>
      <c r="F43" s="15"/>
      <c r="G43" s="14"/>
      <c r="H43" s="14"/>
      <c r="I43" s="15"/>
    </row>
    <row r="44" spans="1:9">
      <c r="A44" s="14"/>
      <c r="B44" s="14"/>
      <c r="C44" s="14"/>
      <c r="D44" s="14"/>
      <c r="E44" s="14"/>
      <c r="F44" s="15"/>
      <c r="G44" s="14"/>
      <c r="H44" s="14"/>
      <c r="I44" s="15"/>
    </row>
    <row r="45" spans="1:9">
      <c r="A45" s="14"/>
      <c r="B45" s="14"/>
      <c r="C45" s="14"/>
      <c r="D45" s="14"/>
      <c r="E45" s="14"/>
      <c r="F45" s="15"/>
      <c r="G45" s="14"/>
      <c r="H45" s="14"/>
      <c r="I45" s="15"/>
    </row>
    <row r="46" spans="1:9">
      <c r="A46" s="14"/>
      <c r="B46" s="14"/>
      <c r="C46" s="14"/>
      <c r="D46" s="14"/>
      <c r="E46" s="14"/>
      <c r="F46" s="15"/>
      <c r="G46" s="14"/>
      <c r="H46" s="14"/>
      <c r="I46" s="15"/>
    </row>
    <row r="47" spans="1:9">
      <c r="A47" s="14"/>
      <c r="B47" s="14"/>
      <c r="C47" s="14"/>
      <c r="D47" s="14"/>
      <c r="E47" s="14"/>
      <c r="F47" s="15"/>
      <c r="G47" s="14"/>
      <c r="H47" s="14"/>
      <c r="I47" s="15"/>
    </row>
    <row r="48" spans="1:9">
      <c r="A48" s="14"/>
      <c r="B48" s="14"/>
      <c r="C48" s="14"/>
      <c r="D48" s="14"/>
      <c r="E48" s="14"/>
      <c r="F48" s="15"/>
      <c r="G48" s="14"/>
      <c r="H48" s="14"/>
      <c r="I48" s="15"/>
    </row>
    <row r="49" spans="1:9">
      <c r="A49" s="14"/>
      <c r="B49" s="14"/>
      <c r="C49" s="14"/>
      <c r="D49" s="14"/>
      <c r="E49" s="14"/>
      <c r="F49" s="15"/>
      <c r="G49" s="14"/>
      <c r="H49" s="14"/>
      <c r="I49" s="15"/>
    </row>
    <row r="50" spans="1:9">
      <c r="A50" s="14"/>
      <c r="B50" s="14"/>
      <c r="C50" s="14"/>
      <c r="D50" s="14"/>
      <c r="E50" s="14"/>
      <c r="F50" s="15"/>
      <c r="G50" s="14"/>
      <c r="H50" s="14"/>
      <c r="I50" s="15"/>
    </row>
    <row r="51" spans="1:9">
      <c r="A51" s="14"/>
      <c r="B51" s="14"/>
      <c r="C51" s="14"/>
      <c r="D51" s="14"/>
      <c r="E51" s="14"/>
      <c r="F51" s="15"/>
      <c r="G51" s="14"/>
      <c r="H51" s="14"/>
      <c r="I51" s="15"/>
    </row>
    <row r="52" spans="1:9">
      <c r="A52" s="14"/>
      <c r="B52" s="14"/>
      <c r="C52" s="14"/>
      <c r="D52" s="14"/>
      <c r="E52" s="14"/>
      <c r="F52" s="15"/>
      <c r="G52" s="14"/>
      <c r="H52" s="14"/>
      <c r="I52" s="15"/>
    </row>
    <row r="53" spans="1:9">
      <c r="A53" s="14"/>
      <c r="B53" s="14"/>
      <c r="C53" s="14"/>
      <c r="D53" s="14"/>
      <c r="E53" s="14"/>
      <c r="F53" s="15"/>
      <c r="G53" s="14"/>
      <c r="H53" s="14"/>
      <c r="I53" s="15"/>
    </row>
    <row r="54" spans="1:9">
      <c r="A54" s="14"/>
      <c r="B54" s="14"/>
      <c r="C54" s="14"/>
      <c r="D54" s="14"/>
      <c r="E54" s="14"/>
      <c r="F54" s="15"/>
      <c r="G54" s="14"/>
      <c r="H54" s="14"/>
      <c r="I54" s="15"/>
    </row>
    <row r="55" spans="1:9">
      <c r="A55" s="14"/>
      <c r="B55" s="14"/>
      <c r="C55" s="14"/>
      <c r="D55" s="14"/>
      <c r="E55" s="14"/>
      <c r="F55" s="15"/>
      <c r="G55" s="14"/>
      <c r="H55" s="14"/>
      <c r="I55" s="15"/>
    </row>
    <row r="56" spans="1:9">
      <c r="A56" s="14"/>
      <c r="B56" s="14"/>
      <c r="C56" s="14"/>
      <c r="D56" s="14"/>
      <c r="E56" s="14"/>
      <c r="F56" s="15"/>
      <c r="G56" s="14"/>
      <c r="H56" s="14"/>
      <c r="I56" s="15"/>
    </row>
    <row r="57" spans="1:9">
      <c r="A57" s="14"/>
      <c r="B57" s="14"/>
      <c r="C57" s="14"/>
      <c r="D57" s="14"/>
      <c r="E57" s="14"/>
      <c r="F57" s="15"/>
      <c r="G57" s="14"/>
      <c r="H57" s="14"/>
      <c r="I57" s="15"/>
    </row>
    <row r="58" spans="1:9">
      <c r="A58" s="14"/>
      <c r="B58" s="14"/>
      <c r="C58" s="14"/>
      <c r="D58" s="14"/>
      <c r="E58" s="14"/>
      <c r="F58" s="15"/>
      <c r="G58" s="14"/>
      <c r="H58" s="14"/>
      <c r="I58" s="15"/>
    </row>
    <row r="59" spans="1:9">
      <c r="A59" s="14"/>
      <c r="B59" s="14"/>
      <c r="C59" s="14"/>
      <c r="D59" s="14"/>
      <c r="E59" s="14"/>
      <c r="F59" s="15"/>
      <c r="G59" s="14"/>
      <c r="H59" s="14"/>
      <c r="I59" s="15"/>
    </row>
    <row r="60" spans="1:9">
      <c r="A60" s="14"/>
      <c r="B60" s="14"/>
      <c r="C60" s="14"/>
      <c r="D60" s="14"/>
      <c r="E60" s="14"/>
      <c r="F60" s="15"/>
      <c r="G60" s="14"/>
      <c r="H60" s="14"/>
      <c r="I60" s="15"/>
    </row>
    <row r="61" spans="1:9">
      <c r="A61" s="14"/>
      <c r="B61" s="14"/>
      <c r="C61" s="14"/>
      <c r="D61" s="14"/>
      <c r="E61" s="14"/>
      <c r="F61" s="15"/>
      <c r="G61" s="14"/>
      <c r="H61" s="14"/>
      <c r="I61" s="15"/>
    </row>
    <row r="62" spans="1:9">
      <c r="A62" s="14"/>
      <c r="B62" s="14"/>
      <c r="C62" s="14"/>
      <c r="D62" s="14"/>
      <c r="E62" s="14"/>
      <c r="F62" s="15"/>
      <c r="G62" s="14"/>
      <c r="H62" s="14"/>
      <c r="I62" s="15"/>
    </row>
    <row r="63" spans="1:9">
      <c r="A63" s="14"/>
      <c r="B63" s="14"/>
      <c r="C63" s="14"/>
      <c r="D63" s="14"/>
      <c r="E63" s="14"/>
      <c r="F63" s="15"/>
      <c r="G63" s="14"/>
      <c r="H63" s="14"/>
      <c r="I63" s="15"/>
    </row>
    <row r="64" spans="1:9">
      <c r="A64" s="14"/>
      <c r="B64" s="14"/>
      <c r="C64" s="14"/>
      <c r="D64" s="14"/>
      <c r="E64" s="14"/>
      <c r="F64" s="15"/>
      <c r="G64" s="14"/>
      <c r="H64" s="14"/>
      <c r="I64" s="15"/>
    </row>
    <row r="65" spans="1:9">
      <c r="A65" s="14"/>
      <c r="B65" s="14"/>
      <c r="C65" s="14"/>
      <c r="D65" s="14"/>
      <c r="E65" s="14"/>
      <c r="F65" s="15"/>
      <c r="G65" s="14"/>
      <c r="H65" s="14"/>
      <c r="I65" s="15"/>
    </row>
    <row r="66" spans="1:9">
      <c r="A66" s="14"/>
      <c r="B66" s="14"/>
      <c r="C66" s="14"/>
      <c r="D66" s="14"/>
      <c r="E66" s="14"/>
      <c r="F66" s="15"/>
      <c r="G66" s="14"/>
      <c r="H66" s="14"/>
      <c r="I66" s="15"/>
    </row>
    <row r="67" spans="1:9">
      <c r="A67" s="14"/>
      <c r="B67" s="14"/>
      <c r="C67" s="14"/>
      <c r="D67" s="14"/>
      <c r="E67" s="14"/>
      <c r="F67" s="15"/>
      <c r="G67" s="14"/>
      <c r="H67" s="14"/>
      <c r="I67" s="15"/>
    </row>
    <row r="68" spans="1:9">
      <c r="A68" s="14"/>
      <c r="B68" s="14"/>
      <c r="C68" s="14"/>
      <c r="D68" s="14"/>
      <c r="E68" s="14"/>
      <c r="F68" s="15"/>
      <c r="G68" s="14"/>
      <c r="H68" s="14"/>
      <c r="I68" s="15"/>
    </row>
    <row r="69" spans="1:9">
      <c r="A69" s="14"/>
      <c r="B69" s="14"/>
      <c r="C69" s="14"/>
      <c r="D69" s="14"/>
      <c r="E69" s="14"/>
      <c r="F69" s="15"/>
      <c r="G69" s="14"/>
      <c r="H69" s="14"/>
      <c r="I69" s="15"/>
    </row>
    <row r="70" spans="1:9">
      <c r="A70" s="14"/>
      <c r="B70" s="14"/>
      <c r="C70" s="14"/>
      <c r="D70" s="14"/>
      <c r="E70" s="14"/>
      <c r="F70" s="15"/>
      <c r="G70" s="14"/>
      <c r="H70" s="14"/>
      <c r="I70" s="15"/>
    </row>
    <row r="71" spans="1:9">
      <c r="A71" s="14"/>
      <c r="B71" s="14"/>
      <c r="C71" s="14"/>
      <c r="D71" s="14"/>
      <c r="E71" s="14"/>
      <c r="F71" s="15"/>
      <c r="G71" s="14"/>
      <c r="H71" s="14"/>
      <c r="I71" s="15"/>
    </row>
    <row r="72" spans="1:9">
      <c r="A72" s="14"/>
      <c r="B72" s="14"/>
      <c r="C72" s="14"/>
      <c r="D72" s="14"/>
      <c r="E72" s="14"/>
      <c r="F72" s="15"/>
      <c r="G72" s="14"/>
      <c r="H72" s="14"/>
      <c r="I72" s="15"/>
    </row>
    <row r="73" spans="1:9">
      <c r="A73" s="14"/>
      <c r="B73" s="14"/>
      <c r="C73" s="14"/>
      <c r="D73" s="14"/>
      <c r="E73" s="14"/>
      <c r="F73" s="15"/>
      <c r="G73" s="14"/>
      <c r="H73" s="14"/>
      <c r="I73" s="15"/>
    </row>
    <row r="74" spans="1:9">
      <c r="A74" s="14"/>
      <c r="B74" s="14"/>
      <c r="C74" s="14"/>
      <c r="D74" s="14"/>
      <c r="E74" s="14"/>
      <c r="F74" s="15"/>
      <c r="G74" s="14"/>
      <c r="H74" s="14"/>
      <c r="I74" s="15"/>
    </row>
    <row r="75" spans="1:9">
      <c r="A75" s="14"/>
      <c r="B75" s="14"/>
      <c r="C75" s="14"/>
      <c r="D75" s="14"/>
      <c r="E75" s="14"/>
      <c r="F75" s="15"/>
      <c r="G75" s="14"/>
      <c r="H75" s="14"/>
      <c r="I75" s="15"/>
    </row>
    <row r="76" spans="1:9">
      <c r="A76" s="14"/>
      <c r="B76" s="14"/>
      <c r="C76" s="14"/>
      <c r="D76" s="14"/>
      <c r="E76" s="14"/>
      <c r="F76" s="15"/>
      <c r="G76" s="14"/>
      <c r="H76" s="14"/>
      <c r="I76" s="15"/>
    </row>
    <row r="77" spans="1:9">
      <c r="A77" s="14"/>
      <c r="B77" s="14"/>
      <c r="C77" s="14"/>
      <c r="D77" s="14"/>
      <c r="E77" s="14"/>
      <c r="F77" s="15"/>
      <c r="G77" s="14"/>
      <c r="H77" s="14"/>
      <c r="I77" s="15"/>
    </row>
    <row r="78" spans="1:9">
      <c r="A78" s="14"/>
      <c r="B78" s="14"/>
      <c r="C78" s="14"/>
      <c r="D78" s="14"/>
      <c r="E78" s="14"/>
      <c r="F78" s="15"/>
      <c r="G78" s="14"/>
      <c r="H78" s="14"/>
      <c r="I78" s="15"/>
    </row>
    <row r="79" spans="1:9">
      <c r="A79" s="14"/>
      <c r="B79" s="14"/>
      <c r="C79" s="14"/>
      <c r="D79" s="14"/>
      <c r="E79" s="14"/>
      <c r="F79" s="15"/>
      <c r="G79" s="14"/>
      <c r="H79" s="14"/>
      <c r="I79" s="15"/>
    </row>
    <row r="80" spans="1:9">
      <c r="A80" s="14"/>
      <c r="B80" s="14"/>
      <c r="C80" s="14"/>
      <c r="D80" s="14"/>
      <c r="E80" s="14"/>
      <c r="F80" s="15"/>
      <c r="G80" s="14"/>
      <c r="H80" s="14"/>
      <c r="I80" s="15"/>
    </row>
    <row r="81" spans="1:9">
      <c r="A81" s="14"/>
      <c r="B81" s="14"/>
      <c r="C81" s="14"/>
      <c r="D81" s="14"/>
      <c r="E81" s="14"/>
      <c r="F81" s="15"/>
      <c r="G81" s="14"/>
      <c r="H81" s="14"/>
      <c r="I81" s="15"/>
    </row>
    <row r="82" spans="1:9">
      <c r="A82" s="14"/>
      <c r="B82" s="14"/>
      <c r="C82" s="14"/>
      <c r="D82" s="14"/>
      <c r="E82" s="14"/>
      <c r="F82" s="15"/>
      <c r="G82" s="14"/>
      <c r="H82" s="14"/>
      <c r="I82" s="15"/>
    </row>
    <row r="83" spans="1:9">
      <c r="A83" s="14"/>
      <c r="B83" s="14"/>
      <c r="C83" s="14"/>
      <c r="D83" s="14"/>
      <c r="E83" s="14"/>
      <c r="F83" s="15"/>
      <c r="G83" s="14"/>
      <c r="H83" s="14"/>
      <c r="I83" s="15"/>
    </row>
    <row r="84" spans="1:9">
      <c r="A84" s="14"/>
      <c r="B84" s="14"/>
      <c r="C84" s="14"/>
      <c r="D84" s="14"/>
      <c r="E84" s="14"/>
      <c r="F84" s="15"/>
      <c r="G84" s="14"/>
      <c r="H84" s="14"/>
      <c r="I84" s="15"/>
    </row>
    <row r="85" spans="1:9">
      <c r="A85" s="14"/>
      <c r="B85" s="14"/>
      <c r="C85" s="14"/>
      <c r="D85" s="14"/>
      <c r="E85" s="14"/>
      <c r="F85" s="15"/>
      <c r="G85" s="14"/>
      <c r="H85" s="14"/>
      <c r="I85" s="15"/>
    </row>
    <row r="86" spans="1:9">
      <c r="A86" s="14"/>
      <c r="B86" s="14"/>
      <c r="C86" s="14"/>
      <c r="D86" s="14"/>
      <c r="E86" s="14"/>
      <c r="F86" s="15"/>
      <c r="G86" s="14"/>
      <c r="H86" s="14"/>
      <c r="I86" s="15"/>
    </row>
    <row r="87" spans="1:9">
      <c r="A87" s="14"/>
      <c r="B87" s="14"/>
      <c r="C87" s="14"/>
      <c r="D87" s="14"/>
      <c r="E87" s="14"/>
      <c r="F87" s="15"/>
      <c r="G87" s="14"/>
      <c r="H87" s="14"/>
      <c r="I87" s="15"/>
    </row>
    <row r="88" spans="1:9">
      <c r="A88" s="14"/>
      <c r="B88" s="14"/>
      <c r="C88" s="14"/>
      <c r="D88" s="14"/>
      <c r="E88" s="14"/>
      <c r="F88" s="15"/>
      <c r="G88" s="14"/>
      <c r="H88" s="14"/>
      <c r="I88" s="15"/>
    </row>
    <row r="89" spans="1:9">
      <c r="A89" s="14"/>
      <c r="B89" s="14"/>
      <c r="C89" s="14"/>
      <c r="D89" s="14"/>
      <c r="E89" s="14"/>
      <c r="F89" s="15"/>
      <c r="G89" s="14"/>
      <c r="H89" s="14"/>
      <c r="I89" s="15"/>
    </row>
    <row r="90" spans="1:9">
      <c r="A90" s="14"/>
      <c r="B90" s="14"/>
      <c r="C90" s="14"/>
      <c r="D90" s="14"/>
      <c r="E90" s="14"/>
      <c r="F90" s="15"/>
      <c r="G90" s="14"/>
      <c r="H90" s="14"/>
      <c r="I90" s="15"/>
    </row>
    <row r="91" spans="1:9">
      <c r="A91" s="14"/>
      <c r="B91" s="14"/>
      <c r="C91" s="14"/>
      <c r="D91" s="14"/>
      <c r="E91" s="14"/>
      <c r="F91" s="15"/>
      <c r="G91" s="14"/>
      <c r="H91" s="14"/>
      <c r="I91" s="15"/>
    </row>
    <row r="92" spans="1:9">
      <c r="A92" s="14"/>
      <c r="B92" s="14"/>
      <c r="C92" s="14"/>
      <c r="D92" s="14"/>
      <c r="E92" s="14"/>
      <c r="F92" s="15"/>
      <c r="G92" s="14"/>
      <c r="H92" s="14"/>
      <c r="I92" s="15"/>
    </row>
    <row r="93" spans="1:9">
      <c r="A93" s="14"/>
      <c r="B93" s="14"/>
      <c r="C93" s="14"/>
      <c r="D93" s="14"/>
      <c r="E93" s="14"/>
      <c r="F93" s="15"/>
      <c r="G93" s="14"/>
      <c r="H93" s="14"/>
      <c r="I93" s="15"/>
    </row>
    <row r="94" spans="1:9">
      <c r="A94" s="14"/>
      <c r="B94" s="14"/>
      <c r="C94" s="14"/>
      <c r="D94" s="14"/>
      <c r="E94" s="14"/>
      <c r="F94" s="15"/>
      <c r="G94" s="14"/>
      <c r="H94" s="14"/>
      <c r="I94" s="15"/>
    </row>
    <row r="95" spans="1:9">
      <c r="A95" s="14"/>
      <c r="B95" s="14"/>
      <c r="C95" s="14"/>
      <c r="D95" s="14"/>
      <c r="E95" s="14"/>
      <c r="F95" s="15"/>
      <c r="G95" s="14"/>
      <c r="H95" s="14"/>
      <c r="I95" s="15"/>
    </row>
    <row r="96" spans="1:9">
      <c r="A96" s="14"/>
      <c r="B96" s="14"/>
      <c r="C96" s="14"/>
      <c r="D96" s="14"/>
      <c r="E96" s="14"/>
      <c r="F96" s="15"/>
      <c r="G96" s="14"/>
      <c r="H96" s="14"/>
      <c r="I96" s="15"/>
    </row>
    <row r="97" spans="1:9">
      <c r="A97" s="14"/>
      <c r="B97" s="14"/>
      <c r="C97" s="14"/>
      <c r="D97" s="14"/>
      <c r="E97" s="14"/>
      <c r="F97" s="15"/>
      <c r="G97" s="14"/>
      <c r="H97" s="14"/>
      <c r="I97" s="15"/>
    </row>
    <row r="98" spans="1:9">
      <c r="A98" s="14"/>
      <c r="B98" s="14"/>
      <c r="C98" s="14"/>
      <c r="D98" s="14"/>
      <c r="E98" s="14"/>
      <c r="F98" s="15"/>
      <c r="G98" s="14"/>
      <c r="H98" s="14"/>
      <c r="I98" s="15"/>
    </row>
    <row r="99" spans="1:9">
      <c r="A99" s="14"/>
      <c r="B99" s="14"/>
      <c r="C99" s="14"/>
      <c r="D99" s="14"/>
      <c r="E99" s="14"/>
      <c r="F99" s="15"/>
      <c r="G99" s="14"/>
      <c r="H99" s="14"/>
      <c r="I99" s="15"/>
    </row>
    <row r="100" spans="1: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>
      <c r="A337" s="14"/>
      <c r="B337" s="14"/>
      <c r="C337" s="14"/>
      <c r="D337" s="14"/>
      <c r="E337" s="14"/>
      <c r="F337" s="15"/>
      <c r="G337" s="14"/>
      <c r="H337" s="14"/>
      <c r="I337" s="15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5 I4:I9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7"/>
  <sheetViews>
    <sheetView workbookViewId="0">
      <pane xSplit="2" ySplit="3" topLeftCell="C4" activePane="bottomRight" state="frozen"/>
      <selection pane="bottomRight" activeCell="S14" sqref="S14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MN8 KEF</v>
      </c>
      <c r="B1" s="76"/>
      <c r="C1" s="76"/>
      <c r="D1" s="77" t="s">
        <v>12</v>
      </c>
      <c r="E1" s="77"/>
      <c r="F1" s="77"/>
      <c r="G1" s="75" t="s">
        <v>13</v>
      </c>
      <c r="H1" s="75"/>
      <c r="I1" s="75"/>
    </row>
    <row r="2" spans="1:9" ht="19.5" customHeight="1">
      <c r="A2" s="78" t="s">
        <v>2</v>
      </c>
      <c r="B2" s="78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SUM(Apr!C4, May!C4, Jun!C4)</f>
        <v>0</v>
      </c>
      <c r="D4" s="45">
        <f>SUM(Apr!D4, May!D4, Jun!D4)</f>
        <v>0</v>
      </c>
      <c r="E4" s="45">
        <f>IF(AND(ISNUMBER(C4),ISNUMBER(D4)), C4-D4, "")</f>
        <v>0</v>
      </c>
      <c r="F4" s="58" t="str">
        <f>IFERROR(E4/D4, "")</f>
        <v/>
      </c>
      <c r="G4" s="47"/>
      <c r="H4" s="47">
        <f>SUM(Apr!H4, May!H4, Jun!H4)</f>
        <v>0</v>
      </c>
      <c r="I4" s="46" t="str">
        <f>IFERROR(H4/G4, "")</f>
        <v/>
      </c>
    </row>
    <row r="5" spans="1:9" ht="15.75">
      <c r="A5" s="67" t="str">
        <v>Orange A KB</v>
      </c>
      <c r="B5" s="64" t="str">
        <v>MA</v>
      </c>
      <c r="C5" s="59">
        <f>SUM(Apr!C5, May!C5, Jun!C5)</f>
        <v>0</v>
      </c>
      <c r="D5" s="51">
        <f>SUM(Apr!D5, May!D5, Jun!D5)</f>
        <v>0</v>
      </c>
      <c r="E5" s="51">
        <f t="shared" ref="E5:E15" si="0">IF(AND(ISNUMBER(C5),ISNUMBER(D5)), C5-D5, "")</f>
        <v>0</v>
      </c>
      <c r="F5" s="52" t="str">
        <f>IFERROR(E5/D5, "")</f>
        <v/>
      </c>
      <c r="G5" s="53"/>
      <c r="H5" s="53">
        <f>SUM(Apr!H5, May!H5, Jun!H5)</f>
        <v>0</v>
      </c>
      <c r="I5" s="52" t="str">
        <f>IFERROR(H5/G5, "")</f>
        <v/>
      </c>
    </row>
    <row r="6" spans="1:9" ht="15.75">
      <c r="A6" s="66" t="str">
        <v>Goshen A</v>
      </c>
      <c r="B6" s="62" t="str">
        <v>MA</v>
      </c>
      <c r="C6" s="57">
        <f>SUM(Apr!C6, May!C6, Jun!C6)</f>
        <v>0</v>
      </c>
      <c r="D6" s="45">
        <f>SUM(Apr!D6, May!D6, Jun!D6)</f>
        <v>0</v>
      </c>
      <c r="E6" s="45">
        <f t="shared" si="0"/>
        <v>0</v>
      </c>
      <c r="F6" s="58" t="str">
        <f t="shared" ref="F6:F15" si="1">IFERROR(E6/D6, "")</f>
        <v/>
      </c>
      <c r="G6" s="47"/>
      <c r="H6" s="47">
        <f>SUM(Apr!H6, May!H6, Jun!H6)</f>
        <v>0</v>
      </c>
      <c r="I6" s="46" t="str">
        <f t="shared" ref="I6:I15" si="2">IFERROR(H6/G6, "")</f>
        <v/>
      </c>
    </row>
    <row r="7" spans="1:9" ht="15.75">
      <c r="A7" s="67" t="str">
        <v>Phillipston A KB</v>
      </c>
      <c r="B7" s="64" t="str">
        <v>MA</v>
      </c>
      <c r="C7" s="59">
        <f>SUM(Apr!C7, May!C7, Jun!C7)</f>
        <v>0</v>
      </c>
      <c r="D7" s="51">
        <f>SUM(Apr!D7, May!D7, Jun!D7)</f>
        <v>0</v>
      </c>
      <c r="E7" s="51">
        <f t="shared" si="0"/>
        <v>0</v>
      </c>
      <c r="F7" s="52" t="str">
        <f t="shared" si="1"/>
        <v/>
      </c>
      <c r="G7" s="53"/>
      <c r="H7" s="53">
        <f>SUM(Apr!H7, May!H7, Jun!H7)</f>
        <v>0</v>
      </c>
      <c r="I7" s="52" t="str">
        <f t="shared" si="2"/>
        <v/>
      </c>
    </row>
    <row r="8" spans="1:9" ht="15.75">
      <c r="A8" s="66" t="str">
        <v>Uxbridge D</v>
      </c>
      <c r="B8" s="62" t="str">
        <v>MA</v>
      </c>
      <c r="C8" s="57">
        <f>SUM(Apr!C8, May!C8, Jun!C8)</f>
        <v>0</v>
      </c>
      <c r="D8" s="45">
        <f>SUM(Apr!D8, May!D8, Jun!D8)</f>
        <v>0</v>
      </c>
      <c r="E8" s="45">
        <f t="shared" si="0"/>
        <v>0</v>
      </c>
      <c r="F8" s="58" t="str">
        <f t="shared" si="1"/>
        <v/>
      </c>
      <c r="G8" s="47"/>
      <c r="H8" s="47">
        <f>SUM(Apr!H8, May!H8, Jun!H8)</f>
        <v>0</v>
      </c>
      <c r="I8" s="46" t="str">
        <f t="shared" si="2"/>
        <v/>
      </c>
    </row>
    <row r="9" spans="1:9" ht="15.75">
      <c r="A9" s="67" t="str">
        <v>West Bridgewater A&amp;B</v>
      </c>
      <c r="B9" s="64" t="str">
        <v>MA</v>
      </c>
      <c r="C9" s="59">
        <f>SUM(Apr!C9, May!C9, Jun!C9)</f>
        <v>0</v>
      </c>
      <c r="D9" s="51">
        <f>SUM(Apr!D9, May!D9, Jun!D9)</f>
        <v>0</v>
      </c>
      <c r="E9" s="51">
        <f t="shared" si="0"/>
        <v>0</v>
      </c>
      <c r="F9" s="52" t="str">
        <f t="shared" si="1"/>
        <v/>
      </c>
      <c r="G9" s="53"/>
      <c r="H9" s="53">
        <f>SUM(Apr!H9, May!H9, Jun!H9)</f>
        <v>0</v>
      </c>
      <c r="I9" s="52" t="str">
        <f t="shared" si="2"/>
        <v/>
      </c>
    </row>
    <row r="10" spans="1:9" ht="15.75">
      <c r="A10" s="66" t="str">
        <v>Sutton A</v>
      </c>
      <c r="B10" s="62" t="str">
        <v>MA</v>
      </c>
      <c r="C10" s="57">
        <f>SUM(Apr!C10, May!C10, Jun!C10)</f>
        <v>0</v>
      </c>
      <c r="D10" s="45">
        <f>SUM(Apr!D10, May!D10, Jun!D10)</f>
        <v>0</v>
      </c>
      <c r="E10" s="45">
        <f t="shared" si="0"/>
        <v>0</v>
      </c>
      <c r="F10" s="58" t="str">
        <f t="shared" si="1"/>
        <v/>
      </c>
      <c r="G10" s="47"/>
      <c r="H10" s="47">
        <f>SUM(Apr!H10, May!H10, Jun!H10)</f>
        <v>0</v>
      </c>
      <c r="I10" s="46" t="str">
        <f t="shared" si="2"/>
        <v/>
      </c>
    </row>
    <row r="11" spans="1:9" ht="15.75">
      <c r="A11" s="67" t="str">
        <v>North Adams A</v>
      </c>
      <c r="B11" s="64" t="str">
        <v>MA</v>
      </c>
      <c r="C11" s="59">
        <f>SUM(Apr!C11, May!C11, Jun!C11)</f>
        <v>0</v>
      </c>
      <c r="D11" s="51">
        <f>SUM(Apr!D11, May!D11, Jun!D11)</f>
        <v>0</v>
      </c>
      <c r="E11" s="51">
        <f t="shared" si="0"/>
        <v>0</v>
      </c>
      <c r="F11" s="52" t="str">
        <f t="shared" si="1"/>
        <v/>
      </c>
      <c r="G11" s="53"/>
      <c r="H11" s="53">
        <f>SUM(Apr!H11, May!H11, Jun!H11)</f>
        <v>0</v>
      </c>
      <c r="I11" s="52" t="str">
        <f t="shared" si="2"/>
        <v/>
      </c>
    </row>
    <row r="12" spans="1:9" ht="15.75">
      <c r="A12" s="66" t="str">
        <v>North Adams B</v>
      </c>
      <c r="B12" s="62" t="str">
        <v>MA</v>
      </c>
      <c r="C12" s="57">
        <f>SUM(Apr!C12, May!C12, Jun!C12)</f>
        <v>0</v>
      </c>
      <c r="D12" s="45">
        <f>SUM(Apr!D12, May!D12, Jun!D12)</f>
        <v>0</v>
      </c>
      <c r="E12" s="45">
        <f t="shared" si="0"/>
        <v>0</v>
      </c>
      <c r="F12" s="58" t="str">
        <f t="shared" si="1"/>
        <v/>
      </c>
      <c r="G12" s="47"/>
      <c r="H12" s="47">
        <f>SUM(Apr!H12, May!H12, Jun!H12)</f>
        <v>0</v>
      </c>
      <c r="I12" s="46" t="str">
        <f t="shared" si="2"/>
        <v/>
      </c>
    </row>
    <row r="13" spans="1:9" ht="15.75">
      <c r="A13" s="67" t="str">
        <v>Clarksburg A</v>
      </c>
      <c r="B13" s="64" t="str">
        <v>MA</v>
      </c>
      <c r="C13" s="59">
        <f>SUM(Apr!C13, May!C13, Jun!C13)</f>
        <v>0</v>
      </c>
      <c r="D13" s="51">
        <f>SUM(Apr!D13, May!D13, Jun!D13)</f>
        <v>0</v>
      </c>
      <c r="E13" s="51">
        <f t="shared" si="0"/>
        <v>0</v>
      </c>
      <c r="F13" s="52" t="str">
        <f t="shared" si="1"/>
        <v/>
      </c>
      <c r="G13" s="53"/>
      <c r="H13" s="53">
        <f>SUM(Apr!H13, May!H13, Jun!H13)</f>
        <v>0</v>
      </c>
      <c r="I13" s="52" t="str">
        <f t="shared" si="2"/>
        <v/>
      </c>
    </row>
    <row r="14" spans="1:9" ht="15.75">
      <c r="A14" s="66" t="str">
        <v>Swansea B</v>
      </c>
      <c r="B14" s="62" t="str">
        <v>MA</v>
      </c>
      <c r="C14" s="57">
        <f>SUM(Apr!C14, May!C14, Jun!C14)</f>
        <v>0</v>
      </c>
      <c r="D14" s="45">
        <f>SUM(Apr!D14, May!D14, Jun!D14)</f>
        <v>0</v>
      </c>
      <c r="E14" s="45">
        <f t="shared" si="0"/>
        <v>0</v>
      </c>
      <c r="F14" s="58" t="str">
        <f t="shared" si="1"/>
        <v/>
      </c>
      <c r="G14" s="47"/>
      <c r="H14" s="47">
        <f>SUM(Apr!H14, May!H14, Jun!H14)</f>
        <v>0</v>
      </c>
      <c r="I14" s="46" t="str">
        <f t="shared" si="2"/>
        <v/>
      </c>
    </row>
    <row r="15" spans="1:9" ht="15.75">
      <c r="A15" s="67" t="str">
        <v>Wareham 2</v>
      </c>
      <c r="B15" s="64" t="str">
        <v>MA</v>
      </c>
      <c r="C15" s="59">
        <f>SUM(Apr!C15, May!C15, Jun!C15)</f>
        <v>0</v>
      </c>
      <c r="D15" s="51">
        <f>SUM(Apr!D15, May!D15, Jun!D15)</f>
        <v>0</v>
      </c>
      <c r="E15" s="51">
        <f t="shared" si="0"/>
        <v>0</v>
      </c>
      <c r="F15" s="52" t="str">
        <f t="shared" si="1"/>
        <v/>
      </c>
      <c r="G15" s="53"/>
      <c r="H15" s="53">
        <f>SUM(Apr!H15, May!H15, Jun!H15)</f>
        <v>0</v>
      </c>
      <c r="I15" s="52" t="str">
        <f t="shared" si="2"/>
        <v/>
      </c>
    </row>
    <row r="16" spans="1:9" ht="15.75">
      <c r="A16" s="66" t="str">
        <v>Kingston 1 KB</v>
      </c>
      <c r="B16" s="62" t="str">
        <v>MA</v>
      </c>
      <c r="C16" s="57">
        <f>SUM(Apr!C16, May!C16, Jun!C16)</f>
        <v>0</v>
      </c>
      <c r="D16" s="45">
        <f>SUM(Apr!D16, May!D16, Jun!D16)</f>
        <v>0</v>
      </c>
      <c r="E16" s="45">
        <f t="shared" ref="E16:E18" si="3">IF(AND(ISNUMBER(C16),ISNUMBER(D16)), C16-D16, "")</f>
        <v>0</v>
      </c>
      <c r="F16" s="58" t="str">
        <f t="shared" ref="F16:F18" si="4">IFERROR(E16/D16, "")</f>
        <v/>
      </c>
      <c r="G16" s="47"/>
      <c r="H16" s="47">
        <f>SUM(Apr!H16, May!H16, Jun!H16)</f>
        <v>0</v>
      </c>
      <c r="I16" s="46" t="str">
        <f t="shared" ref="I16:I18" si="5">IFERROR(H16/G16, "")</f>
        <v/>
      </c>
    </row>
    <row r="17" spans="1:9" ht="15.75">
      <c r="A17" s="67" t="str">
        <v>Kingston 2 KB</v>
      </c>
      <c r="B17" s="64" t="str">
        <v>MA</v>
      </c>
      <c r="C17" s="57">
        <f>SUM(Apr!C17, May!C17, Jun!C17)</f>
        <v>0</v>
      </c>
      <c r="D17" s="45">
        <f>SUM(Apr!D17, May!D17, Jun!D17)</f>
        <v>0</v>
      </c>
      <c r="E17" s="45">
        <f t="shared" si="3"/>
        <v>0</v>
      </c>
      <c r="F17" s="58" t="str">
        <f t="shared" si="4"/>
        <v/>
      </c>
      <c r="G17" s="47"/>
      <c r="H17" s="47">
        <f>SUM(Apr!H17, May!H17, Jun!H17)</f>
        <v>0</v>
      </c>
      <c r="I17" s="46" t="str">
        <f t="shared" si="5"/>
        <v/>
      </c>
    </row>
    <row r="18" spans="1:9" ht="12.75" customHeight="1">
      <c r="A18" s="66" t="str">
        <v>Holliston B</v>
      </c>
      <c r="B18" s="62" t="str">
        <v>MA</v>
      </c>
      <c r="C18" s="59">
        <f>SUM(Apr!C18, May!C18, Jun!C18)</f>
        <v>0</v>
      </c>
      <c r="D18" s="51">
        <f>SUM(Apr!D18, May!D18, Jun!D18)</f>
        <v>0</v>
      </c>
      <c r="E18" s="51">
        <f t="shared" si="3"/>
        <v>0</v>
      </c>
      <c r="F18" s="52" t="str">
        <f t="shared" si="4"/>
        <v/>
      </c>
      <c r="G18" s="53"/>
      <c r="H18" s="53">
        <f>SUM(Apr!H18, May!H18, Jun!H18)</f>
        <v>0</v>
      </c>
      <c r="I18" s="52" t="str">
        <f t="shared" si="5"/>
        <v/>
      </c>
    </row>
    <row r="19" spans="1:9" ht="15.75">
      <c r="A19" s="67" t="str">
        <v>Fairhaven C</v>
      </c>
      <c r="B19" s="64" t="str">
        <v>MA</v>
      </c>
      <c r="C19" s="57">
        <f>SUM(Apr!C19, May!C19, Jun!C19)</f>
        <v>0</v>
      </c>
      <c r="D19" s="45">
        <f>SUM(Apr!D19, May!D19, Jun!D19)</f>
        <v>0</v>
      </c>
      <c r="E19" s="45">
        <f t="shared" ref="E19:E20" si="6">IF(AND(ISNUMBER(C19),ISNUMBER(D19)), C19-D19, "")</f>
        <v>0</v>
      </c>
      <c r="F19" s="58" t="str">
        <f t="shared" ref="F19:F20" si="7">IFERROR(E19/D19, "")</f>
        <v/>
      </c>
      <c r="G19" s="47"/>
      <c r="H19" s="47">
        <f>SUM(Apr!H19, May!H19, Jun!H19)</f>
        <v>0</v>
      </c>
      <c r="I19" s="46" t="str">
        <f t="shared" ref="I19:I20" si="8">IFERROR(H19/G19, "")</f>
        <v/>
      </c>
    </row>
    <row r="20" spans="1:9" ht="15.75">
      <c r="A20" s="66" t="str">
        <v>Plympton A-2</v>
      </c>
      <c r="B20" s="62" t="str">
        <v>MA</v>
      </c>
      <c r="C20" s="57">
        <f>SUM(Apr!C20, May!C20, Jun!C20)</f>
        <v>0</v>
      </c>
      <c r="D20" s="45">
        <f>SUM(Apr!D20, May!D20, Jun!D20)</f>
        <v>0</v>
      </c>
      <c r="E20" s="45">
        <f t="shared" si="6"/>
        <v>0</v>
      </c>
      <c r="F20" s="58" t="str">
        <f t="shared" si="7"/>
        <v/>
      </c>
      <c r="G20" s="47"/>
      <c r="H20" s="47">
        <f>SUM(Apr!H20, May!H20, Jun!H20)</f>
        <v>0</v>
      </c>
      <c r="I20" s="46" t="str">
        <f t="shared" si="8"/>
        <v/>
      </c>
    </row>
    <row r="21" spans="1:9">
      <c r="A21" s="14"/>
      <c r="B21" s="14"/>
      <c r="C21" s="14"/>
      <c r="D21" s="14"/>
      <c r="E21" s="14"/>
      <c r="F21" s="14"/>
      <c r="G21" s="14"/>
      <c r="H21" s="14"/>
      <c r="I21" s="14"/>
    </row>
    <row r="22" spans="1:9">
      <c r="A22" s="14"/>
      <c r="B22" s="14"/>
      <c r="C22" s="14"/>
      <c r="D22" s="14"/>
      <c r="E22" s="14"/>
      <c r="F22" s="14"/>
      <c r="G22" s="14"/>
      <c r="H22" s="14"/>
      <c r="I22" s="14"/>
    </row>
    <row r="23" spans="1:9">
      <c r="A23" s="14"/>
      <c r="B23" s="14"/>
      <c r="C23" s="14"/>
      <c r="D23" s="14"/>
      <c r="E23" s="14"/>
      <c r="F23" s="14"/>
      <c r="G23" s="14"/>
      <c r="H23" s="14"/>
      <c r="I23" s="14"/>
    </row>
    <row r="24" spans="1:9">
      <c r="A24" s="14"/>
      <c r="B24" s="14"/>
      <c r="C24" s="14"/>
      <c r="D24" s="14"/>
      <c r="E24" s="14"/>
      <c r="F24" s="14"/>
      <c r="G24" s="14"/>
      <c r="H24" s="14"/>
      <c r="I24" s="14"/>
    </row>
    <row r="25" spans="1:9">
      <c r="A25" s="14"/>
      <c r="B25" s="14"/>
      <c r="C25" s="14"/>
      <c r="D25" s="14"/>
      <c r="E25" s="14"/>
      <c r="F25" s="14"/>
      <c r="G25" s="14"/>
      <c r="H25" s="14"/>
      <c r="I25" s="14"/>
    </row>
    <row r="26" spans="1:9">
      <c r="A26" s="14"/>
      <c r="B26" s="14"/>
      <c r="C26" s="14"/>
      <c r="D26" s="14"/>
      <c r="E26" s="14"/>
      <c r="F26" s="14"/>
      <c r="G26" s="14"/>
      <c r="H26" s="14"/>
      <c r="I26" s="14"/>
    </row>
    <row r="27" spans="1:9">
      <c r="A27" s="14"/>
      <c r="B27" s="14"/>
      <c r="C27" s="14"/>
      <c r="D27" s="14"/>
      <c r="E27" s="14"/>
      <c r="F27" s="14"/>
      <c r="G27" s="14"/>
      <c r="H27" s="14"/>
      <c r="I27" s="14"/>
    </row>
    <row r="28" spans="1:9">
      <c r="A28" s="14"/>
      <c r="B28" s="14"/>
      <c r="C28" s="14"/>
      <c r="D28" s="14"/>
      <c r="E28" s="14"/>
      <c r="F28" s="15"/>
      <c r="G28" s="14"/>
      <c r="H28" s="14"/>
      <c r="I28" s="15"/>
    </row>
    <row r="29" spans="1:9">
      <c r="A29" s="14"/>
      <c r="B29" s="14"/>
      <c r="C29" s="14"/>
      <c r="D29" s="14"/>
      <c r="E29" s="14"/>
      <c r="F29" s="15"/>
      <c r="G29" s="14"/>
      <c r="H29" s="14"/>
      <c r="I29" s="15"/>
    </row>
    <row r="30" spans="1:9">
      <c r="A30" s="14"/>
      <c r="B30" s="14"/>
      <c r="C30" s="14"/>
      <c r="D30" s="14"/>
      <c r="E30" s="14"/>
      <c r="F30" s="15"/>
      <c r="G30" s="14"/>
      <c r="H30" s="14"/>
      <c r="I30" s="15"/>
    </row>
    <row r="31" spans="1:9">
      <c r="A31" s="14"/>
      <c r="B31" s="14"/>
      <c r="C31" s="14"/>
      <c r="D31" s="14"/>
      <c r="E31" s="14"/>
      <c r="F31" s="15"/>
      <c r="G31" s="14"/>
      <c r="H31" s="14"/>
      <c r="I31" s="15"/>
    </row>
    <row r="32" spans="1:9">
      <c r="A32" s="14"/>
      <c r="B32" s="14"/>
      <c r="C32" s="14"/>
      <c r="D32" s="14"/>
      <c r="E32" s="14"/>
      <c r="F32" s="15"/>
      <c r="G32" s="14"/>
      <c r="H32" s="14"/>
      <c r="I32" s="15"/>
    </row>
    <row r="33" spans="1:9">
      <c r="A33" s="14"/>
      <c r="B33" s="14"/>
      <c r="C33" s="14"/>
      <c r="D33" s="14"/>
      <c r="E33" s="14"/>
      <c r="F33" s="15"/>
      <c r="G33" s="14"/>
      <c r="H33" s="14"/>
      <c r="I33" s="15"/>
    </row>
    <row r="34" spans="1:9">
      <c r="A34" s="14"/>
      <c r="B34" s="14"/>
      <c r="C34" s="14"/>
      <c r="D34" s="14"/>
      <c r="E34" s="14"/>
      <c r="F34" s="15"/>
      <c r="G34" s="14"/>
      <c r="H34" s="14"/>
      <c r="I34" s="15"/>
    </row>
    <row r="35" spans="1:9">
      <c r="A35" s="14"/>
      <c r="B35" s="14"/>
      <c r="C35" s="14"/>
      <c r="D35" s="14"/>
      <c r="E35" s="14"/>
      <c r="F35" s="15"/>
      <c r="G35" s="14"/>
      <c r="H35" s="14"/>
      <c r="I35" s="15"/>
    </row>
    <row r="36" spans="1:9">
      <c r="A36" s="14"/>
      <c r="B36" s="14"/>
      <c r="C36" s="14"/>
      <c r="D36" s="14"/>
      <c r="E36" s="14"/>
      <c r="F36" s="15"/>
      <c r="G36" s="14"/>
      <c r="H36" s="14"/>
      <c r="I36" s="15"/>
    </row>
    <row r="37" spans="1:9">
      <c r="A37" s="14"/>
      <c r="B37" s="14"/>
      <c r="C37" s="14"/>
      <c r="D37" s="14"/>
      <c r="E37" s="14"/>
      <c r="F37" s="15"/>
      <c r="G37" s="14"/>
      <c r="H37" s="14"/>
      <c r="I37" s="15"/>
    </row>
    <row r="38" spans="1:9">
      <c r="A38" s="14"/>
      <c r="B38" s="14"/>
      <c r="C38" s="14"/>
      <c r="D38" s="14"/>
      <c r="E38" s="14"/>
      <c r="F38" s="15"/>
      <c r="G38" s="14"/>
      <c r="H38" s="14"/>
      <c r="I38" s="15"/>
    </row>
    <row r="39" spans="1:9">
      <c r="A39" s="14"/>
      <c r="B39" s="14"/>
      <c r="C39" s="14"/>
      <c r="D39" s="14"/>
      <c r="E39" s="14"/>
      <c r="F39" s="15"/>
      <c r="G39" s="14"/>
      <c r="H39" s="14"/>
      <c r="I39" s="15"/>
    </row>
    <row r="40" spans="1:9">
      <c r="A40" s="14"/>
      <c r="B40" s="14"/>
      <c r="C40" s="14"/>
      <c r="D40" s="14"/>
      <c r="E40" s="14"/>
      <c r="F40" s="15"/>
      <c r="G40" s="14"/>
      <c r="H40" s="14"/>
      <c r="I40" s="15"/>
    </row>
    <row r="41" spans="1:9">
      <c r="A41" s="14"/>
      <c r="B41" s="14"/>
      <c r="C41" s="14"/>
      <c r="D41" s="14"/>
      <c r="E41" s="14"/>
      <c r="F41" s="15"/>
      <c r="G41" s="14"/>
      <c r="H41" s="14"/>
      <c r="I41" s="15"/>
    </row>
    <row r="42" spans="1:9">
      <c r="A42" s="14"/>
      <c r="B42" s="14"/>
      <c r="C42" s="14"/>
      <c r="D42" s="14"/>
      <c r="E42" s="14"/>
      <c r="F42" s="15"/>
      <c r="G42" s="14"/>
      <c r="H42" s="14"/>
      <c r="I42" s="15"/>
    </row>
    <row r="43" spans="1:9">
      <c r="A43" s="14"/>
      <c r="B43" s="14"/>
      <c r="C43" s="14"/>
      <c r="D43" s="14"/>
      <c r="E43" s="14"/>
      <c r="F43" s="15"/>
      <c r="G43" s="14"/>
      <c r="H43" s="14"/>
      <c r="I43" s="15"/>
    </row>
    <row r="44" spans="1:9">
      <c r="A44" s="14"/>
      <c r="B44" s="14"/>
      <c r="C44" s="14"/>
      <c r="D44" s="14"/>
      <c r="E44" s="14"/>
      <c r="F44" s="15"/>
      <c r="G44" s="14"/>
      <c r="H44" s="14"/>
      <c r="I44" s="15"/>
    </row>
    <row r="45" spans="1:9">
      <c r="A45" s="14"/>
      <c r="B45" s="14"/>
      <c r="C45" s="14"/>
      <c r="D45" s="14"/>
      <c r="E45" s="14"/>
      <c r="F45" s="15"/>
      <c r="G45" s="14"/>
      <c r="H45" s="14"/>
      <c r="I45" s="15"/>
    </row>
    <row r="46" spans="1:9">
      <c r="A46" s="14"/>
      <c r="B46" s="14"/>
      <c r="C46" s="14"/>
      <c r="D46" s="14"/>
      <c r="E46" s="14"/>
      <c r="F46" s="15"/>
      <c r="G46" s="14"/>
      <c r="H46" s="14"/>
      <c r="I46" s="15"/>
    </row>
    <row r="47" spans="1:9">
      <c r="A47" s="14"/>
      <c r="B47" s="14"/>
      <c r="C47" s="14"/>
      <c r="D47" s="14"/>
      <c r="E47" s="14"/>
      <c r="F47" s="15"/>
      <c r="G47" s="14"/>
      <c r="H47" s="14"/>
      <c r="I47" s="15"/>
    </row>
    <row r="48" spans="1:9">
      <c r="A48" s="14"/>
      <c r="B48" s="14"/>
      <c r="C48" s="14"/>
      <c r="D48" s="14"/>
      <c r="E48" s="14"/>
      <c r="F48" s="15"/>
      <c r="G48" s="14"/>
      <c r="H48" s="14"/>
      <c r="I48" s="15"/>
    </row>
    <row r="49" spans="1:9">
      <c r="A49" s="14"/>
      <c r="B49" s="14"/>
      <c r="C49" s="14"/>
      <c r="D49" s="14"/>
      <c r="E49" s="14"/>
      <c r="F49" s="15"/>
      <c r="G49" s="14"/>
      <c r="H49" s="14"/>
      <c r="I49" s="15"/>
    </row>
    <row r="50" spans="1:9">
      <c r="A50" s="14"/>
      <c r="B50" s="14"/>
      <c r="C50" s="14"/>
      <c r="D50" s="14"/>
      <c r="E50" s="14"/>
      <c r="F50" s="15"/>
      <c r="G50" s="14"/>
      <c r="H50" s="14"/>
      <c r="I50" s="15"/>
    </row>
    <row r="51" spans="1:9">
      <c r="A51" s="14"/>
      <c r="B51" s="14"/>
      <c r="C51" s="14"/>
      <c r="D51" s="14"/>
      <c r="E51" s="14"/>
      <c r="F51" s="15"/>
      <c r="G51" s="14"/>
      <c r="H51" s="14"/>
      <c r="I51" s="15"/>
    </row>
    <row r="52" spans="1:9">
      <c r="A52" s="14"/>
      <c r="B52" s="14"/>
      <c r="C52" s="14"/>
      <c r="D52" s="14"/>
      <c r="E52" s="14"/>
      <c r="F52" s="15"/>
      <c r="G52" s="14"/>
      <c r="H52" s="14"/>
      <c r="I52" s="15"/>
    </row>
    <row r="53" spans="1:9">
      <c r="A53" s="14"/>
      <c r="B53" s="14"/>
      <c r="C53" s="14"/>
      <c r="D53" s="14"/>
      <c r="E53" s="14"/>
      <c r="F53" s="15"/>
      <c r="G53" s="14"/>
      <c r="H53" s="14"/>
      <c r="I53" s="15"/>
    </row>
    <row r="54" spans="1:9">
      <c r="A54" s="14"/>
      <c r="B54" s="14"/>
      <c r="C54" s="14"/>
      <c r="D54" s="14"/>
      <c r="E54" s="14"/>
      <c r="F54" s="15"/>
      <c r="G54" s="14"/>
      <c r="H54" s="14"/>
      <c r="I54" s="15"/>
    </row>
    <row r="55" spans="1:9">
      <c r="A55" s="14"/>
      <c r="B55" s="14"/>
      <c r="C55" s="14"/>
      <c r="D55" s="14"/>
      <c r="E55" s="14"/>
      <c r="F55" s="15"/>
      <c r="G55" s="14"/>
      <c r="H55" s="14"/>
      <c r="I55" s="15"/>
    </row>
    <row r="56" spans="1:9">
      <c r="A56" s="14"/>
      <c r="B56" s="14"/>
      <c r="C56" s="14"/>
      <c r="D56" s="14"/>
      <c r="E56" s="14"/>
      <c r="F56" s="15"/>
      <c r="G56" s="14"/>
      <c r="H56" s="14"/>
      <c r="I56" s="15"/>
    </row>
    <row r="57" spans="1:9">
      <c r="A57" s="14"/>
      <c r="B57" s="14"/>
      <c r="C57" s="14"/>
      <c r="D57" s="14"/>
      <c r="E57" s="14"/>
      <c r="F57" s="15"/>
      <c r="G57" s="14"/>
      <c r="H57" s="14"/>
      <c r="I57" s="15"/>
    </row>
    <row r="58" spans="1:9">
      <c r="A58" s="14"/>
      <c r="B58" s="14"/>
      <c r="C58" s="14"/>
      <c r="D58" s="14"/>
      <c r="E58" s="14"/>
      <c r="F58" s="15"/>
      <c r="G58" s="14"/>
      <c r="H58" s="14"/>
      <c r="I58" s="15"/>
    </row>
    <row r="59" spans="1:9">
      <c r="A59" s="14"/>
      <c r="B59" s="14"/>
      <c r="C59" s="14"/>
      <c r="D59" s="14"/>
      <c r="E59" s="14"/>
      <c r="F59" s="15"/>
      <c r="G59" s="14"/>
      <c r="H59" s="14"/>
      <c r="I59" s="15"/>
    </row>
    <row r="60" spans="1:9">
      <c r="A60" s="14"/>
      <c r="B60" s="14"/>
      <c r="C60" s="14"/>
      <c r="D60" s="14"/>
      <c r="E60" s="14"/>
      <c r="F60" s="15"/>
      <c r="G60" s="14"/>
      <c r="H60" s="14"/>
      <c r="I60" s="15"/>
    </row>
    <row r="61" spans="1:9">
      <c r="A61" s="14"/>
      <c r="B61" s="14"/>
      <c r="C61" s="14"/>
      <c r="D61" s="14"/>
      <c r="E61" s="14"/>
      <c r="F61" s="15"/>
      <c r="G61" s="14"/>
      <c r="H61" s="14"/>
      <c r="I61" s="15"/>
    </row>
    <row r="62" spans="1:9">
      <c r="A62" s="14"/>
      <c r="B62" s="14"/>
      <c r="C62" s="14"/>
      <c r="D62" s="14"/>
      <c r="E62" s="14"/>
      <c r="F62" s="15"/>
      <c r="G62" s="14"/>
      <c r="H62" s="14"/>
      <c r="I62" s="15"/>
    </row>
    <row r="63" spans="1:9">
      <c r="A63" s="14"/>
      <c r="B63" s="14"/>
      <c r="C63" s="14"/>
      <c r="D63" s="14"/>
      <c r="E63" s="14"/>
      <c r="F63" s="15"/>
      <c r="G63" s="14"/>
      <c r="H63" s="14"/>
      <c r="I63" s="15"/>
    </row>
    <row r="64" spans="1:9">
      <c r="A64" s="14"/>
      <c r="B64" s="14"/>
      <c r="C64" s="14"/>
      <c r="D64" s="14"/>
      <c r="E64" s="14"/>
      <c r="F64" s="15"/>
      <c r="G64" s="14"/>
      <c r="H64" s="14"/>
      <c r="I64" s="15"/>
    </row>
    <row r="65" spans="1:9">
      <c r="A65" s="14"/>
      <c r="B65" s="14"/>
      <c r="C65" s="14"/>
      <c r="D65" s="14"/>
      <c r="E65" s="14"/>
      <c r="F65" s="15"/>
      <c r="G65" s="14"/>
      <c r="H65" s="14"/>
      <c r="I65" s="15"/>
    </row>
    <row r="66" spans="1:9">
      <c r="A66" s="14"/>
      <c r="B66" s="14"/>
      <c r="C66" s="14"/>
      <c r="D66" s="14"/>
      <c r="E66" s="14"/>
      <c r="F66" s="15"/>
      <c r="G66" s="14"/>
      <c r="H66" s="14"/>
      <c r="I66" s="15"/>
    </row>
    <row r="67" spans="1:9">
      <c r="A67" s="14"/>
      <c r="B67" s="14"/>
      <c r="C67" s="14"/>
      <c r="D67" s="14"/>
      <c r="E67" s="14"/>
      <c r="F67" s="15"/>
      <c r="G67" s="14"/>
      <c r="H67" s="14"/>
      <c r="I67" s="15"/>
    </row>
    <row r="68" spans="1:9">
      <c r="A68" s="14"/>
      <c r="B68" s="14"/>
      <c r="C68" s="14"/>
      <c r="D68" s="14"/>
      <c r="E68" s="14"/>
      <c r="F68" s="15"/>
      <c r="G68" s="14"/>
      <c r="H68" s="14"/>
      <c r="I68" s="15"/>
    </row>
    <row r="69" spans="1:9">
      <c r="A69" s="14"/>
      <c r="B69" s="14"/>
      <c r="C69" s="14"/>
      <c r="D69" s="14"/>
      <c r="E69" s="14"/>
      <c r="F69" s="15"/>
      <c r="G69" s="14"/>
      <c r="H69" s="14"/>
      <c r="I69" s="15"/>
    </row>
    <row r="70" spans="1:9">
      <c r="A70" s="14"/>
      <c r="B70" s="14"/>
      <c r="C70" s="14"/>
      <c r="D70" s="14"/>
      <c r="E70" s="14"/>
      <c r="F70" s="15"/>
      <c r="G70" s="14"/>
      <c r="H70" s="14"/>
      <c r="I70" s="15"/>
    </row>
    <row r="71" spans="1:9">
      <c r="A71" s="14"/>
      <c r="B71" s="14"/>
      <c r="C71" s="14"/>
      <c r="D71" s="14"/>
      <c r="E71" s="14"/>
      <c r="F71" s="15"/>
      <c r="G71" s="14"/>
      <c r="H71" s="14"/>
      <c r="I71" s="15"/>
    </row>
    <row r="72" spans="1:9">
      <c r="A72" s="14"/>
      <c r="B72" s="14"/>
      <c r="C72" s="14"/>
      <c r="D72" s="14"/>
      <c r="E72" s="14"/>
      <c r="F72" s="15"/>
      <c r="G72" s="14"/>
      <c r="H72" s="14"/>
      <c r="I72" s="15"/>
    </row>
    <row r="73" spans="1:9">
      <c r="A73" s="14"/>
      <c r="B73" s="14"/>
      <c r="C73" s="14"/>
      <c r="D73" s="14"/>
      <c r="E73" s="14"/>
      <c r="F73" s="15"/>
      <c r="G73" s="14"/>
      <c r="H73" s="14"/>
      <c r="I73" s="15"/>
    </row>
    <row r="74" spans="1:9">
      <c r="A74" s="14"/>
      <c r="B74" s="14"/>
      <c r="C74" s="14"/>
      <c r="D74" s="14"/>
      <c r="E74" s="14"/>
      <c r="F74" s="15"/>
      <c r="G74" s="14"/>
      <c r="H74" s="14"/>
      <c r="I74" s="15"/>
    </row>
    <row r="75" spans="1:9">
      <c r="A75" s="14"/>
      <c r="B75" s="14"/>
      <c r="C75" s="14"/>
      <c r="D75" s="14"/>
      <c r="E75" s="14"/>
      <c r="F75" s="15"/>
      <c r="G75" s="14"/>
      <c r="H75" s="14"/>
      <c r="I75" s="15"/>
    </row>
    <row r="76" spans="1:9">
      <c r="A76" s="14"/>
      <c r="B76" s="14"/>
      <c r="C76" s="14"/>
      <c r="D76" s="14"/>
      <c r="E76" s="14"/>
      <c r="F76" s="15"/>
      <c r="G76" s="14"/>
      <c r="H76" s="14"/>
      <c r="I76" s="15"/>
    </row>
    <row r="77" spans="1:9">
      <c r="A77" s="14"/>
      <c r="B77" s="14"/>
      <c r="C77" s="14"/>
      <c r="D77" s="14"/>
      <c r="E77" s="14"/>
      <c r="F77" s="15"/>
      <c r="G77" s="14"/>
      <c r="H77" s="14"/>
      <c r="I77" s="15"/>
    </row>
    <row r="78" spans="1:9">
      <c r="A78" s="14"/>
      <c r="B78" s="14"/>
      <c r="C78" s="14"/>
      <c r="D78" s="14"/>
      <c r="E78" s="14"/>
      <c r="F78" s="15"/>
      <c r="G78" s="14"/>
      <c r="H78" s="14"/>
      <c r="I78" s="15"/>
    </row>
    <row r="79" spans="1:9">
      <c r="A79" s="14"/>
      <c r="B79" s="14"/>
      <c r="C79" s="14"/>
      <c r="D79" s="14"/>
      <c r="E79" s="14"/>
      <c r="F79" s="15"/>
      <c r="G79" s="14"/>
      <c r="H79" s="14"/>
      <c r="I79" s="15"/>
    </row>
    <row r="80" spans="1:9">
      <c r="A80" s="14"/>
      <c r="B80" s="14"/>
      <c r="C80" s="14"/>
      <c r="D80" s="14"/>
      <c r="E80" s="14"/>
      <c r="F80" s="15"/>
      <c r="G80" s="14"/>
      <c r="H80" s="14"/>
      <c r="I80" s="15"/>
    </row>
    <row r="81" spans="1:9">
      <c r="A81" s="14"/>
      <c r="B81" s="14"/>
      <c r="C81" s="14"/>
      <c r="D81" s="14"/>
      <c r="E81" s="14"/>
      <c r="F81" s="15"/>
      <c r="G81" s="14"/>
      <c r="H81" s="14"/>
      <c r="I81" s="15"/>
    </row>
    <row r="82" spans="1:9">
      <c r="A82" s="14"/>
      <c r="B82" s="14"/>
      <c r="C82" s="14"/>
      <c r="D82" s="14"/>
      <c r="E82" s="14"/>
      <c r="F82" s="15"/>
      <c r="G82" s="14"/>
      <c r="H82" s="14"/>
      <c r="I82" s="15"/>
    </row>
    <row r="83" spans="1:9">
      <c r="A83" s="14"/>
      <c r="B83" s="14"/>
      <c r="C83" s="14"/>
      <c r="D83" s="14"/>
      <c r="E83" s="14"/>
      <c r="F83" s="15"/>
      <c r="G83" s="14"/>
      <c r="H83" s="14"/>
      <c r="I83" s="15"/>
    </row>
    <row r="84" spans="1:9">
      <c r="A84" s="14"/>
      <c r="B84" s="14"/>
      <c r="C84" s="14"/>
      <c r="D84" s="14"/>
      <c r="E84" s="14"/>
      <c r="F84" s="15"/>
      <c r="G84" s="14"/>
      <c r="H84" s="14"/>
      <c r="I84" s="15"/>
    </row>
    <row r="85" spans="1:9">
      <c r="A85" s="14"/>
      <c r="B85" s="14"/>
      <c r="C85" s="14"/>
      <c r="D85" s="14"/>
      <c r="E85" s="14"/>
      <c r="F85" s="15"/>
      <c r="G85" s="14"/>
      <c r="H85" s="14"/>
      <c r="I85" s="15"/>
    </row>
    <row r="86" spans="1:9">
      <c r="A86" s="14"/>
      <c r="B86" s="14"/>
      <c r="C86" s="14"/>
      <c r="D86" s="14"/>
      <c r="E86" s="14"/>
      <c r="F86" s="15"/>
      <c r="G86" s="14"/>
      <c r="H86" s="14"/>
      <c r="I86" s="15"/>
    </row>
    <row r="87" spans="1:9">
      <c r="A87" s="14"/>
      <c r="B87" s="14"/>
      <c r="C87" s="14"/>
      <c r="D87" s="14"/>
      <c r="E87" s="14"/>
      <c r="F87" s="15"/>
      <c r="G87" s="14"/>
      <c r="H87" s="14"/>
      <c r="I87" s="15"/>
    </row>
    <row r="88" spans="1:9">
      <c r="A88" s="14"/>
      <c r="B88" s="14"/>
      <c r="C88" s="14"/>
      <c r="D88" s="14"/>
      <c r="E88" s="14"/>
      <c r="F88" s="15"/>
      <c r="G88" s="14"/>
      <c r="H88" s="14"/>
      <c r="I88" s="15"/>
    </row>
    <row r="89" spans="1:9">
      <c r="A89" s="14"/>
      <c r="B89" s="14"/>
      <c r="C89" s="14"/>
      <c r="D89" s="14"/>
      <c r="E89" s="14"/>
      <c r="F89" s="15"/>
      <c r="G89" s="14"/>
      <c r="H89" s="14"/>
      <c r="I89" s="15"/>
    </row>
    <row r="90" spans="1:9">
      <c r="A90" s="14"/>
      <c r="B90" s="14"/>
      <c r="C90" s="14"/>
      <c r="D90" s="14"/>
      <c r="E90" s="14"/>
      <c r="F90" s="15"/>
      <c r="G90" s="14"/>
      <c r="H90" s="14"/>
      <c r="I90" s="15"/>
    </row>
    <row r="91" spans="1:9">
      <c r="A91" s="14"/>
      <c r="B91" s="14"/>
      <c r="C91" s="14"/>
      <c r="D91" s="14"/>
      <c r="E91" s="14"/>
      <c r="F91" s="15"/>
      <c r="G91" s="14"/>
      <c r="H91" s="14"/>
      <c r="I91" s="15"/>
    </row>
    <row r="92" spans="1:9">
      <c r="A92" s="14"/>
      <c r="B92" s="14"/>
      <c r="C92" s="14"/>
      <c r="D92" s="14"/>
      <c r="E92" s="14"/>
      <c r="F92" s="15"/>
      <c r="G92" s="14"/>
      <c r="H92" s="14"/>
      <c r="I92" s="15"/>
    </row>
    <row r="93" spans="1:9">
      <c r="A93" s="14"/>
      <c r="B93" s="14"/>
      <c r="C93" s="14"/>
      <c r="D93" s="14"/>
      <c r="E93" s="14"/>
      <c r="F93" s="15"/>
      <c r="G93" s="14"/>
      <c r="H93" s="14"/>
      <c r="I93" s="15"/>
    </row>
    <row r="94" spans="1:9">
      <c r="A94" s="14"/>
      <c r="B94" s="14"/>
      <c r="C94" s="14"/>
      <c r="D94" s="14"/>
      <c r="E94" s="14"/>
      <c r="F94" s="15"/>
      <c r="G94" s="14"/>
      <c r="H94" s="14"/>
      <c r="I94" s="15"/>
    </row>
    <row r="95" spans="1:9">
      <c r="A95" s="14"/>
      <c r="B95" s="14"/>
      <c r="C95" s="14"/>
      <c r="D95" s="14"/>
      <c r="E95" s="14"/>
      <c r="F95" s="15"/>
      <c r="G95" s="14"/>
      <c r="H95" s="14"/>
      <c r="I95" s="15"/>
    </row>
    <row r="96" spans="1:9">
      <c r="A96" s="14"/>
      <c r="B96" s="14"/>
      <c r="C96" s="14"/>
      <c r="D96" s="14"/>
      <c r="E96" s="14"/>
      <c r="F96" s="15"/>
      <c r="G96" s="14"/>
      <c r="H96" s="14"/>
      <c r="I96" s="15"/>
    </row>
    <row r="97" spans="1:9">
      <c r="A97" s="14"/>
      <c r="B97" s="14"/>
      <c r="C97" s="14"/>
      <c r="D97" s="14"/>
      <c r="E97" s="14"/>
      <c r="F97" s="15"/>
      <c r="G97" s="14"/>
      <c r="H97" s="14"/>
      <c r="I97" s="15"/>
    </row>
    <row r="98" spans="1:9">
      <c r="A98" s="14"/>
      <c r="B98" s="14"/>
      <c r="C98" s="14"/>
      <c r="D98" s="14"/>
      <c r="E98" s="14"/>
      <c r="F98" s="15"/>
      <c r="G98" s="14"/>
      <c r="H98" s="14"/>
      <c r="I98" s="15"/>
    </row>
    <row r="99" spans="1:9">
      <c r="A99" s="14"/>
      <c r="B99" s="14"/>
      <c r="C99" s="14"/>
      <c r="D99" s="14"/>
      <c r="E99" s="14"/>
      <c r="F99" s="15"/>
      <c r="G99" s="14"/>
      <c r="H99" s="14"/>
      <c r="I99" s="15"/>
    </row>
    <row r="100" spans="1: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>
      <c r="A337" s="14"/>
      <c r="B337" s="14"/>
      <c r="C337" s="14"/>
      <c r="D337" s="14"/>
      <c r="E337" s="14"/>
      <c r="F337" s="15"/>
      <c r="G337" s="14"/>
      <c r="H337" s="14"/>
      <c r="I337" s="15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5 I4:I9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7"/>
  <sheetViews>
    <sheetView workbookViewId="0">
      <pane xSplit="2" ySplit="3" topLeftCell="C4" activePane="bottomRight" state="frozen"/>
      <selection pane="bottomRight" activeCell="C25" sqref="C25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MN8 KEF</v>
      </c>
      <c r="B1" s="76"/>
      <c r="C1" s="76"/>
      <c r="D1" s="77" t="s">
        <v>14</v>
      </c>
      <c r="E1" s="77"/>
      <c r="F1" s="77"/>
      <c r="G1" s="75" t="s">
        <v>15</v>
      </c>
      <c r="H1" s="75"/>
      <c r="I1" s="75"/>
    </row>
    <row r="2" spans="1:9" ht="19.5" customHeight="1">
      <c r="A2" s="78" t="s">
        <v>2</v>
      </c>
      <c r="B2" s="78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SUM(Jul!C4, Aug!C4, Sep!C4)</f>
        <v>0</v>
      </c>
      <c r="D4" s="45">
        <f>SUM(Jul!D4, Aug!D4, Sep!D4)</f>
        <v>0</v>
      </c>
      <c r="E4" s="45">
        <f>IF(AND(ISNUMBER(C4),ISNUMBER(D4)), C4-D4, "")</f>
        <v>0</v>
      </c>
      <c r="F4" s="58" t="str">
        <f>IFERROR(E4/D4, "")</f>
        <v/>
      </c>
      <c r="G4" s="47"/>
      <c r="H4" s="47">
        <f>SUM(Jul!H4, Aug!H4, Sep!H4)</f>
        <v>0</v>
      </c>
      <c r="I4" s="46" t="str">
        <f>IFERROR(H4/G4, "")</f>
        <v/>
      </c>
    </row>
    <row r="5" spans="1:9" ht="15.75">
      <c r="A5" s="67" t="str">
        <v>Orange A KB</v>
      </c>
      <c r="B5" s="64" t="str">
        <v>MA</v>
      </c>
      <c r="C5" s="59">
        <f>SUM(Jul!C5, Aug!C5, Sep!C5)</f>
        <v>0</v>
      </c>
      <c r="D5" s="51">
        <f>SUM(Jul!D5, Aug!D5, Sep!D5)</f>
        <v>0</v>
      </c>
      <c r="E5" s="51">
        <f t="shared" ref="E5:E15" si="0">IF(AND(ISNUMBER(C5),ISNUMBER(D5)), C5-D5, "")</f>
        <v>0</v>
      </c>
      <c r="F5" s="52" t="str">
        <f>IFERROR(E5/D5, "")</f>
        <v/>
      </c>
      <c r="G5" s="53"/>
      <c r="H5" s="53">
        <f>SUM(Jul!H5, Aug!H5, Sep!H5)</f>
        <v>0</v>
      </c>
      <c r="I5" s="52" t="str">
        <f>IFERROR(H5/G5, "")</f>
        <v/>
      </c>
    </row>
    <row r="6" spans="1:9" ht="15.75">
      <c r="A6" s="66" t="str">
        <v>Goshen A</v>
      </c>
      <c r="B6" s="62" t="str">
        <v>MA</v>
      </c>
      <c r="C6" s="57">
        <f>SUM(Jul!C6, Aug!C6, Sep!C6)</f>
        <v>0</v>
      </c>
      <c r="D6" s="45">
        <f>SUM(Jul!D6, Aug!D6, Sep!D6)</f>
        <v>0</v>
      </c>
      <c r="E6" s="45">
        <f t="shared" si="0"/>
        <v>0</v>
      </c>
      <c r="F6" s="58" t="str">
        <f t="shared" ref="F6:F15" si="1">IFERROR(E6/D6, "")</f>
        <v/>
      </c>
      <c r="G6" s="47"/>
      <c r="H6" s="47">
        <f>SUM(Jul!H6, Aug!H6, Sep!H6)</f>
        <v>0</v>
      </c>
      <c r="I6" s="46" t="str">
        <f t="shared" ref="I6:I15" si="2">IFERROR(H6/G6, "")</f>
        <v/>
      </c>
    </row>
    <row r="7" spans="1:9" ht="15.75">
      <c r="A7" s="67" t="str">
        <v>Phillipston A KB</v>
      </c>
      <c r="B7" s="64" t="str">
        <v>MA</v>
      </c>
      <c r="C7" s="59">
        <f>SUM(Jul!C7, Aug!C7, Sep!C7)</f>
        <v>0</v>
      </c>
      <c r="D7" s="51">
        <f>SUM(Jul!D7, Aug!D7, Sep!D7)</f>
        <v>0</v>
      </c>
      <c r="E7" s="51">
        <f t="shared" si="0"/>
        <v>0</v>
      </c>
      <c r="F7" s="52" t="str">
        <f t="shared" si="1"/>
        <v/>
      </c>
      <c r="G7" s="53"/>
      <c r="H7" s="53">
        <f>SUM(Jul!H7, Aug!H7, Sep!H7)</f>
        <v>0</v>
      </c>
      <c r="I7" s="52" t="str">
        <f t="shared" si="2"/>
        <v/>
      </c>
    </row>
    <row r="8" spans="1:9" ht="15.75">
      <c r="A8" s="66" t="str">
        <v>Uxbridge D</v>
      </c>
      <c r="B8" s="62" t="str">
        <v>MA</v>
      </c>
      <c r="C8" s="57">
        <f>SUM(Jul!C8, Aug!C8, Sep!C8)</f>
        <v>0</v>
      </c>
      <c r="D8" s="45">
        <f>SUM(Jul!D8, Aug!D8, Sep!D8)</f>
        <v>0</v>
      </c>
      <c r="E8" s="45">
        <f t="shared" si="0"/>
        <v>0</v>
      </c>
      <c r="F8" s="58" t="str">
        <f t="shared" si="1"/>
        <v/>
      </c>
      <c r="G8" s="47"/>
      <c r="H8" s="47">
        <f>SUM(Jul!H8, Aug!H8, Sep!H8)</f>
        <v>0</v>
      </c>
      <c r="I8" s="46" t="str">
        <f t="shared" si="2"/>
        <v/>
      </c>
    </row>
    <row r="9" spans="1:9" ht="15.75">
      <c r="A9" s="67" t="str">
        <v>West Bridgewater A&amp;B</v>
      </c>
      <c r="B9" s="64" t="str">
        <v>MA</v>
      </c>
      <c r="C9" s="59">
        <f>SUM(Jul!C9, Aug!C9, Sep!C9)</f>
        <v>0</v>
      </c>
      <c r="D9" s="51">
        <f>SUM(Jul!D9, Aug!D9, Sep!D9)</f>
        <v>0</v>
      </c>
      <c r="E9" s="51">
        <f t="shared" si="0"/>
        <v>0</v>
      </c>
      <c r="F9" s="52" t="str">
        <f t="shared" si="1"/>
        <v/>
      </c>
      <c r="G9" s="53"/>
      <c r="H9" s="53">
        <f>SUM(Jul!H9, Aug!H9, Sep!H9)</f>
        <v>0</v>
      </c>
      <c r="I9" s="52" t="str">
        <f t="shared" si="2"/>
        <v/>
      </c>
    </row>
    <row r="10" spans="1:9" ht="15.75">
      <c r="A10" s="66" t="str">
        <v>Sutton A</v>
      </c>
      <c r="B10" s="62" t="str">
        <v>MA</v>
      </c>
      <c r="C10" s="57">
        <f>SUM(Jul!C10, Aug!C10, Sep!C10)</f>
        <v>0</v>
      </c>
      <c r="D10" s="45">
        <f>SUM(Jul!D10, Aug!D10, Sep!D10)</f>
        <v>0</v>
      </c>
      <c r="E10" s="45">
        <f t="shared" si="0"/>
        <v>0</v>
      </c>
      <c r="F10" s="58" t="str">
        <f t="shared" si="1"/>
        <v/>
      </c>
      <c r="G10" s="47"/>
      <c r="H10" s="47">
        <f>SUM(Jul!H10, Aug!H10, Sep!H10)</f>
        <v>0</v>
      </c>
      <c r="I10" s="46" t="str">
        <f t="shared" si="2"/>
        <v/>
      </c>
    </row>
    <row r="11" spans="1:9" ht="15.75">
      <c r="A11" s="67" t="str">
        <v>North Adams A</v>
      </c>
      <c r="B11" s="64" t="str">
        <v>MA</v>
      </c>
      <c r="C11" s="59">
        <f>SUM(Jul!C11, Aug!C11, Sep!C11)</f>
        <v>0</v>
      </c>
      <c r="D11" s="51">
        <f>SUM(Jul!D11, Aug!D11, Sep!D11)</f>
        <v>0</v>
      </c>
      <c r="E11" s="51">
        <f t="shared" si="0"/>
        <v>0</v>
      </c>
      <c r="F11" s="52" t="str">
        <f t="shared" si="1"/>
        <v/>
      </c>
      <c r="G11" s="53"/>
      <c r="H11" s="53">
        <f>SUM(Jul!H11, Aug!H11, Sep!H11)</f>
        <v>0</v>
      </c>
      <c r="I11" s="52" t="str">
        <f t="shared" si="2"/>
        <v/>
      </c>
    </row>
    <row r="12" spans="1:9" ht="15.75">
      <c r="A12" s="66" t="str">
        <v>North Adams B</v>
      </c>
      <c r="B12" s="62" t="str">
        <v>MA</v>
      </c>
      <c r="C12" s="57">
        <f>SUM(Jul!C12, Aug!C12, Sep!C12)</f>
        <v>0</v>
      </c>
      <c r="D12" s="45">
        <f>SUM(Jul!D12, Aug!D12, Sep!D12)</f>
        <v>0</v>
      </c>
      <c r="E12" s="45">
        <f t="shared" si="0"/>
        <v>0</v>
      </c>
      <c r="F12" s="58" t="str">
        <f t="shared" si="1"/>
        <v/>
      </c>
      <c r="G12" s="47"/>
      <c r="H12" s="47">
        <f>SUM(Jul!H12, Aug!H12, Sep!H12)</f>
        <v>0</v>
      </c>
      <c r="I12" s="46" t="str">
        <f t="shared" si="2"/>
        <v/>
      </c>
    </row>
    <row r="13" spans="1:9" ht="15.75">
      <c r="A13" s="67" t="str">
        <v>Clarksburg A</v>
      </c>
      <c r="B13" s="64" t="str">
        <v>MA</v>
      </c>
      <c r="C13" s="59">
        <f>SUM(Jul!C13, Aug!C13, Sep!C13)</f>
        <v>0</v>
      </c>
      <c r="D13" s="51">
        <f>SUM(Jul!D13, Aug!D13, Sep!D13)</f>
        <v>0</v>
      </c>
      <c r="E13" s="51">
        <f t="shared" si="0"/>
        <v>0</v>
      </c>
      <c r="F13" s="52" t="str">
        <f t="shared" si="1"/>
        <v/>
      </c>
      <c r="G13" s="53"/>
      <c r="H13" s="53">
        <f>SUM(Jul!H13, Aug!H13, Sep!H13)</f>
        <v>0</v>
      </c>
      <c r="I13" s="52" t="str">
        <f t="shared" si="2"/>
        <v/>
      </c>
    </row>
    <row r="14" spans="1:9" ht="15.75">
      <c r="A14" s="66" t="str">
        <v>Swansea B</v>
      </c>
      <c r="B14" s="62" t="str">
        <v>MA</v>
      </c>
      <c r="C14" s="57">
        <f>SUM(Jul!C14, Aug!C14, Sep!C14)</f>
        <v>0</v>
      </c>
      <c r="D14" s="45">
        <f>SUM(Jul!D14, Aug!D14, Sep!D14)</f>
        <v>0</v>
      </c>
      <c r="E14" s="45">
        <f t="shared" si="0"/>
        <v>0</v>
      </c>
      <c r="F14" s="58" t="str">
        <f t="shared" si="1"/>
        <v/>
      </c>
      <c r="G14" s="47"/>
      <c r="H14" s="47">
        <f>SUM(Jul!H14, Aug!H14, Sep!H14)</f>
        <v>0</v>
      </c>
      <c r="I14" s="46" t="str">
        <f t="shared" si="2"/>
        <v/>
      </c>
    </row>
    <row r="15" spans="1:9" ht="15.75">
      <c r="A15" s="67" t="str">
        <v>Wareham 2</v>
      </c>
      <c r="B15" s="64" t="str">
        <v>MA</v>
      </c>
      <c r="C15" s="59">
        <f>SUM(Jul!C15, Aug!C15, Sep!C15)</f>
        <v>0</v>
      </c>
      <c r="D15" s="51">
        <f>SUM(Jul!D15, Aug!D15, Sep!D15)</f>
        <v>0</v>
      </c>
      <c r="E15" s="51">
        <f t="shared" si="0"/>
        <v>0</v>
      </c>
      <c r="F15" s="52" t="str">
        <f t="shared" si="1"/>
        <v/>
      </c>
      <c r="G15" s="53"/>
      <c r="H15" s="53">
        <f>SUM(Jul!H15, Aug!H15, Sep!H15)</f>
        <v>0</v>
      </c>
      <c r="I15" s="52" t="str">
        <f t="shared" si="2"/>
        <v/>
      </c>
    </row>
    <row r="16" spans="1:9" ht="15.75">
      <c r="A16" s="66" t="str">
        <v>Kingston 1 KB</v>
      </c>
      <c r="B16" s="62" t="str">
        <v>MA</v>
      </c>
      <c r="C16" s="57">
        <f>SUM(Jul!C16, Aug!C16, Sep!C16)</f>
        <v>0</v>
      </c>
      <c r="D16" s="45">
        <f>SUM(Jul!D16, Aug!D16, Sep!D16)</f>
        <v>0</v>
      </c>
      <c r="E16" s="45">
        <f t="shared" ref="E16:E19" si="3">IF(AND(ISNUMBER(C16),ISNUMBER(D16)), C16-D16, "")</f>
        <v>0</v>
      </c>
      <c r="F16" s="58" t="str">
        <f t="shared" ref="F16:F19" si="4">IFERROR(E16/D16, "")</f>
        <v/>
      </c>
      <c r="G16" s="47"/>
      <c r="H16" s="47">
        <f>SUM(Jul!H16, Aug!H16, Sep!H16)</f>
        <v>0</v>
      </c>
      <c r="I16" s="46" t="str">
        <f t="shared" ref="I16:I19" si="5">IFERROR(H16/G16, "")</f>
        <v/>
      </c>
    </row>
    <row r="17" spans="1:9" ht="15.75">
      <c r="A17" s="67" t="str">
        <v>Kingston 2 KB</v>
      </c>
      <c r="B17" s="64" t="str">
        <v>MA</v>
      </c>
      <c r="C17" s="59">
        <f>SUM(Jul!C17, Aug!C17, Sep!C17)</f>
        <v>0</v>
      </c>
      <c r="D17" s="51">
        <f>SUM(Jul!D17, Aug!D17, Sep!D17)</f>
        <v>0</v>
      </c>
      <c r="E17" s="51">
        <f t="shared" si="3"/>
        <v>0</v>
      </c>
      <c r="F17" s="52" t="str">
        <f t="shared" si="4"/>
        <v/>
      </c>
      <c r="G17" s="53"/>
      <c r="H17" s="53">
        <f>SUM(Jul!H17, Aug!H17, Sep!H17)</f>
        <v>0</v>
      </c>
      <c r="I17" s="52" t="str">
        <f t="shared" si="5"/>
        <v/>
      </c>
    </row>
    <row r="18" spans="1:9" ht="12.75" customHeight="1">
      <c r="A18" s="66" t="str">
        <v>Holliston B</v>
      </c>
      <c r="B18" s="61" t="str">
        <v>MA</v>
      </c>
      <c r="C18" s="57">
        <f>SUM(Jul!C18, Aug!C18, Sep!C18)</f>
        <v>0</v>
      </c>
      <c r="D18" s="45">
        <f>SUM(Jul!D18, Aug!D18, Sep!D18)</f>
        <v>0</v>
      </c>
      <c r="E18" s="45">
        <f t="shared" si="3"/>
        <v>0</v>
      </c>
      <c r="F18" s="58" t="str">
        <f t="shared" si="4"/>
        <v/>
      </c>
      <c r="G18" s="47"/>
      <c r="H18" s="47">
        <f>SUM(Jul!H18, Aug!H18, Sep!H18)</f>
        <v>0</v>
      </c>
      <c r="I18" s="46" t="str">
        <f t="shared" si="5"/>
        <v/>
      </c>
    </row>
    <row r="19" spans="1:9" ht="15.75">
      <c r="A19" s="67" t="str">
        <v>Fairhaven C</v>
      </c>
      <c r="B19" s="63" t="str">
        <v>MA</v>
      </c>
      <c r="C19" s="59">
        <f>SUM(Jul!C19, Aug!C19, Sep!C19)</f>
        <v>0</v>
      </c>
      <c r="D19" s="51">
        <f>SUM(Jul!D19, Aug!D19, Sep!D19)</f>
        <v>0</v>
      </c>
      <c r="E19" s="51">
        <f t="shared" si="3"/>
        <v>0</v>
      </c>
      <c r="F19" s="52" t="str">
        <f t="shared" si="4"/>
        <v/>
      </c>
      <c r="G19" s="53"/>
      <c r="H19" s="53">
        <f>SUM(Jul!H19, Aug!H19, Sep!H19)</f>
        <v>0</v>
      </c>
      <c r="I19" s="52" t="str">
        <f t="shared" si="5"/>
        <v/>
      </c>
    </row>
    <row r="20" spans="1:9" ht="15.75">
      <c r="A20" s="66" t="str">
        <v>Plympton A-2</v>
      </c>
      <c r="B20" s="61" t="str">
        <v>MA</v>
      </c>
      <c r="C20" s="57">
        <f>SUM(Jul!C20, Aug!C20, Sep!C20)</f>
        <v>0</v>
      </c>
      <c r="D20" s="45">
        <f>SUM(Jul!D20, Aug!D20, Sep!D20)</f>
        <v>0</v>
      </c>
      <c r="E20" s="45">
        <f t="shared" ref="E20" si="6">IF(AND(ISNUMBER(C20),ISNUMBER(D20)), C20-D20, "")</f>
        <v>0</v>
      </c>
      <c r="F20" s="58" t="str">
        <f t="shared" ref="F20" si="7">IFERROR(E20/D20, "")</f>
        <v/>
      </c>
      <c r="G20" s="47"/>
      <c r="H20" s="47">
        <f>SUM(Jul!H20, Aug!H20, Sep!H20)</f>
        <v>0</v>
      </c>
      <c r="I20" s="46" t="str">
        <f t="shared" ref="I20" si="8">IFERROR(H20/G20, "")</f>
        <v/>
      </c>
    </row>
    <row r="21" spans="1:9" ht="15.75">
      <c r="A21" s="10"/>
      <c r="B21" s="14"/>
      <c r="C21" s="14"/>
      <c r="D21" s="14"/>
      <c r="E21" s="14"/>
      <c r="F21" s="14"/>
      <c r="G21" s="14"/>
      <c r="H21" s="14"/>
      <c r="I21" s="14"/>
    </row>
    <row r="22" spans="1:9" ht="15.75">
      <c r="A22" s="10"/>
      <c r="B22" s="14"/>
      <c r="C22" s="14"/>
      <c r="D22" s="14"/>
      <c r="E22" s="14"/>
      <c r="F22" s="14"/>
      <c r="G22" s="14"/>
      <c r="H22" s="14"/>
      <c r="I22" s="14"/>
    </row>
    <row r="23" spans="1:9" ht="15.75">
      <c r="A23" s="10"/>
      <c r="B23" s="14"/>
      <c r="C23" s="14"/>
      <c r="D23" s="14"/>
      <c r="E23" s="14"/>
      <c r="F23" s="14"/>
      <c r="G23" s="14"/>
      <c r="H23" s="14"/>
      <c r="I23" s="14"/>
    </row>
    <row r="24" spans="1:9" ht="15.75">
      <c r="A24" s="10"/>
      <c r="B24" s="14"/>
      <c r="C24" s="14"/>
      <c r="D24" s="14"/>
      <c r="E24" s="14"/>
      <c r="F24" s="14"/>
      <c r="G24" s="14"/>
      <c r="H24" s="14"/>
      <c r="I24" s="14"/>
    </row>
    <row r="25" spans="1:9" ht="15.75">
      <c r="A25" s="10"/>
      <c r="B25" s="14"/>
      <c r="C25" s="14"/>
      <c r="D25" s="14"/>
      <c r="E25" s="14"/>
      <c r="F25" s="14"/>
      <c r="G25" s="14"/>
      <c r="H25" s="14"/>
      <c r="I25" s="14"/>
    </row>
    <row r="26" spans="1:9" ht="15.75">
      <c r="A26" s="10"/>
      <c r="B26" s="14"/>
      <c r="C26" s="14"/>
      <c r="D26" s="14"/>
      <c r="E26" s="14"/>
      <c r="F26" s="14"/>
      <c r="G26" s="14"/>
      <c r="H26" s="14"/>
      <c r="I26" s="14"/>
    </row>
    <row r="27" spans="1:9">
      <c r="A27" s="14"/>
      <c r="B27" s="14"/>
      <c r="C27" s="14"/>
      <c r="D27" s="14"/>
      <c r="E27" s="14"/>
      <c r="F27" s="14"/>
      <c r="G27" s="14"/>
      <c r="H27" s="14"/>
      <c r="I27" s="14"/>
    </row>
    <row r="28" spans="1:9">
      <c r="A28" s="14"/>
      <c r="B28" s="14"/>
      <c r="C28" s="14"/>
      <c r="D28" s="14"/>
      <c r="E28" s="14"/>
      <c r="F28" s="15"/>
      <c r="G28" s="14"/>
      <c r="H28" s="14"/>
      <c r="I28" s="15"/>
    </row>
    <row r="29" spans="1:9">
      <c r="A29" s="14"/>
      <c r="B29" s="14"/>
      <c r="C29" s="14"/>
      <c r="D29" s="14"/>
      <c r="E29" s="14"/>
      <c r="F29" s="15"/>
      <c r="G29" s="14"/>
      <c r="H29" s="14"/>
      <c r="I29" s="15"/>
    </row>
    <row r="30" spans="1:9">
      <c r="A30" s="14"/>
      <c r="B30" s="14"/>
      <c r="C30" s="14"/>
      <c r="D30" s="14"/>
      <c r="E30" s="14"/>
      <c r="F30" s="15"/>
      <c r="G30" s="14"/>
      <c r="H30" s="14"/>
      <c r="I30" s="15"/>
    </row>
    <row r="31" spans="1:9">
      <c r="A31" s="14"/>
      <c r="B31" s="14"/>
      <c r="C31" s="14"/>
      <c r="D31" s="14"/>
      <c r="E31" s="14"/>
      <c r="F31" s="15"/>
      <c r="G31" s="14"/>
      <c r="H31" s="14"/>
      <c r="I31" s="15"/>
    </row>
    <row r="32" spans="1:9">
      <c r="A32" s="14"/>
      <c r="B32" s="14"/>
      <c r="C32" s="14"/>
      <c r="D32" s="14"/>
      <c r="E32" s="14"/>
      <c r="F32" s="15"/>
      <c r="G32" s="14"/>
      <c r="H32" s="14"/>
      <c r="I32" s="15"/>
    </row>
    <row r="33" spans="1:9">
      <c r="A33" s="14"/>
      <c r="B33" s="14"/>
      <c r="C33" s="14"/>
      <c r="D33" s="14"/>
      <c r="E33" s="14"/>
      <c r="F33" s="15"/>
      <c r="G33" s="14"/>
      <c r="H33" s="14"/>
      <c r="I33" s="15"/>
    </row>
    <row r="34" spans="1:9">
      <c r="A34" s="14"/>
      <c r="B34" s="14"/>
      <c r="C34" s="14"/>
      <c r="D34" s="14"/>
      <c r="E34" s="14"/>
      <c r="F34" s="15"/>
      <c r="G34" s="14"/>
      <c r="H34" s="14"/>
      <c r="I34" s="15"/>
    </row>
    <row r="35" spans="1:9">
      <c r="A35" s="14"/>
      <c r="B35" s="14"/>
      <c r="C35" s="14"/>
      <c r="D35" s="14"/>
      <c r="E35" s="14"/>
      <c r="F35" s="15"/>
      <c r="G35" s="14"/>
      <c r="H35" s="14"/>
      <c r="I35" s="15"/>
    </row>
    <row r="36" spans="1:9">
      <c r="A36" s="14"/>
      <c r="B36" s="14"/>
      <c r="C36" s="14"/>
      <c r="D36" s="14"/>
      <c r="E36" s="14"/>
      <c r="F36" s="15"/>
      <c r="G36" s="14"/>
      <c r="H36" s="14"/>
      <c r="I36" s="15"/>
    </row>
    <row r="37" spans="1:9">
      <c r="A37" s="14"/>
      <c r="B37" s="14"/>
      <c r="C37" s="14"/>
      <c r="D37" s="14"/>
      <c r="E37" s="14"/>
      <c r="F37" s="15"/>
      <c r="G37" s="14"/>
      <c r="H37" s="14"/>
      <c r="I37" s="15"/>
    </row>
    <row r="38" spans="1:9">
      <c r="A38" s="14"/>
      <c r="B38" s="14"/>
      <c r="C38" s="14"/>
      <c r="D38" s="14"/>
      <c r="E38" s="14"/>
      <c r="F38" s="15"/>
      <c r="G38" s="14"/>
      <c r="H38" s="14"/>
      <c r="I38" s="15"/>
    </row>
    <row r="39" spans="1:9">
      <c r="A39" s="14"/>
      <c r="B39" s="14"/>
      <c r="C39" s="14"/>
      <c r="D39" s="14"/>
      <c r="E39" s="14"/>
      <c r="F39" s="15"/>
      <c r="G39" s="14"/>
      <c r="H39" s="14"/>
      <c r="I39" s="15"/>
    </row>
    <row r="40" spans="1:9">
      <c r="A40" s="14"/>
      <c r="B40" s="14"/>
      <c r="C40" s="14"/>
      <c r="D40" s="14"/>
      <c r="E40" s="14"/>
      <c r="F40" s="15"/>
      <c r="G40" s="14"/>
      <c r="H40" s="14"/>
      <c r="I40" s="15"/>
    </row>
    <row r="41" spans="1:9">
      <c r="A41" s="14"/>
      <c r="B41" s="14"/>
      <c r="C41" s="14"/>
      <c r="D41" s="14"/>
      <c r="E41" s="14"/>
      <c r="F41" s="15"/>
      <c r="G41" s="14"/>
      <c r="H41" s="14"/>
      <c r="I41" s="15"/>
    </row>
    <row r="42" spans="1:9">
      <c r="A42" s="14"/>
      <c r="B42" s="14"/>
      <c r="C42" s="14"/>
      <c r="D42" s="14"/>
      <c r="E42" s="14"/>
      <c r="F42" s="15"/>
      <c r="G42" s="14"/>
      <c r="H42" s="14"/>
      <c r="I42" s="15"/>
    </row>
    <row r="43" spans="1:9">
      <c r="A43" s="14"/>
      <c r="B43" s="14"/>
      <c r="C43" s="14"/>
      <c r="D43" s="14"/>
      <c r="E43" s="14"/>
      <c r="F43" s="15"/>
      <c r="G43" s="14"/>
      <c r="H43" s="14"/>
      <c r="I43" s="15"/>
    </row>
    <row r="44" spans="1:9">
      <c r="A44" s="14"/>
      <c r="B44" s="14"/>
      <c r="C44" s="14"/>
      <c r="D44" s="14"/>
      <c r="E44" s="14"/>
      <c r="F44" s="15"/>
      <c r="G44" s="14"/>
      <c r="H44" s="14"/>
      <c r="I44" s="15"/>
    </row>
    <row r="45" spans="1:9">
      <c r="A45" s="14"/>
      <c r="B45" s="14"/>
      <c r="C45" s="14"/>
      <c r="D45" s="14"/>
      <c r="E45" s="14"/>
      <c r="F45" s="15"/>
      <c r="G45" s="14"/>
      <c r="H45" s="14"/>
      <c r="I45" s="15"/>
    </row>
    <row r="46" spans="1:9">
      <c r="A46" s="14"/>
      <c r="B46" s="14"/>
      <c r="C46" s="14"/>
      <c r="D46" s="14"/>
      <c r="E46" s="14"/>
      <c r="F46" s="15"/>
      <c r="G46" s="14"/>
      <c r="H46" s="14"/>
      <c r="I46" s="15"/>
    </row>
    <row r="47" spans="1:9">
      <c r="A47" s="14"/>
      <c r="B47" s="14"/>
      <c r="C47" s="14"/>
      <c r="D47" s="14"/>
      <c r="E47" s="14"/>
      <c r="F47" s="15"/>
      <c r="G47" s="14"/>
      <c r="H47" s="14"/>
      <c r="I47" s="15"/>
    </row>
    <row r="48" spans="1:9">
      <c r="A48" s="14"/>
      <c r="B48" s="14"/>
      <c r="C48" s="14"/>
      <c r="D48" s="14"/>
      <c r="E48" s="14"/>
      <c r="F48" s="15"/>
      <c r="G48" s="14"/>
      <c r="H48" s="14"/>
      <c r="I48" s="15"/>
    </row>
    <row r="49" spans="1:9">
      <c r="A49" s="14"/>
      <c r="B49" s="14"/>
      <c r="C49" s="14"/>
      <c r="D49" s="14"/>
      <c r="E49" s="14"/>
      <c r="F49" s="15"/>
      <c r="G49" s="14"/>
      <c r="H49" s="14"/>
      <c r="I49" s="15"/>
    </row>
    <row r="50" spans="1:9">
      <c r="A50" s="14"/>
      <c r="B50" s="14"/>
      <c r="C50" s="14"/>
      <c r="D50" s="14"/>
      <c r="E50" s="14"/>
      <c r="F50" s="15"/>
      <c r="G50" s="14"/>
      <c r="H50" s="14"/>
      <c r="I50" s="15"/>
    </row>
    <row r="51" spans="1:9">
      <c r="A51" s="14"/>
      <c r="B51" s="14"/>
      <c r="C51" s="14"/>
      <c r="D51" s="14"/>
      <c r="E51" s="14"/>
      <c r="F51" s="15"/>
      <c r="G51" s="14"/>
      <c r="H51" s="14"/>
      <c r="I51" s="15"/>
    </row>
    <row r="52" spans="1:9">
      <c r="A52" s="14"/>
      <c r="B52" s="14"/>
      <c r="C52" s="14"/>
      <c r="D52" s="14"/>
      <c r="E52" s="14"/>
      <c r="F52" s="15"/>
      <c r="G52" s="14"/>
      <c r="H52" s="14"/>
      <c r="I52" s="15"/>
    </row>
    <row r="53" spans="1:9">
      <c r="A53" s="14"/>
      <c r="B53" s="14"/>
      <c r="C53" s="14"/>
      <c r="D53" s="14"/>
      <c r="E53" s="14"/>
      <c r="F53" s="15"/>
      <c r="G53" s="14"/>
      <c r="H53" s="14"/>
      <c r="I53" s="15"/>
    </row>
    <row r="54" spans="1:9">
      <c r="A54" s="14"/>
      <c r="B54" s="14"/>
      <c r="C54" s="14"/>
      <c r="D54" s="14"/>
      <c r="E54" s="14"/>
      <c r="F54" s="15"/>
      <c r="G54" s="14"/>
      <c r="H54" s="14"/>
      <c r="I54" s="15"/>
    </row>
    <row r="55" spans="1:9">
      <c r="A55" s="14"/>
      <c r="B55" s="14"/>
      <c r="C55" s="14"/>
      <c r="D55" s="14"/>
      <c r="E55" s="14"/>
      <c r="F55" s="15"/>
      <c r="G55" s="14"/>
      <c r="H55" s="14"/>
      <c r="I55" s="15"/>
    </row>
    <row r="56" spans="1:9">
      <c r="A56" s="14"/>
      <c r="B56" s="14"/>
      <c r="C56" s="14"/>
      <c r="D56" s="14"/>
      <c r="E56" s="14"/>
      <c r="F56" s="15"/>
      <c r="G56" s="14"/>
      <c r="H56" s="14"/>
      <c r="I56" s="15"/>
    </row>
    <row r="57" spans="1:9">
      <c r="A57" s="14"/>
      <c r="B57" s="14"/>
      <c r="C57" s="14"/>
      <c r="D57" s="14"/>
      <c r="E57" s="14"/>
      <c r="F57" s="15"/>
      <c r="G57" s="14"/>
      <c r="H57" s="14"/>
      <c r="I57" s="15"/>
    </row>
    <row r="58" spans="1:9">
      <c r="A58" s="14"/>
      <c r="B58" s="14"/>
      <c r="C58" s="14"/>
      <c r="D58" s="14"/>
      <c r="E58" s="14"/>
      <c r="F58" s="15"/>
      <c r="G58" s="14"/>
      <c r="H58" s="14"/>
      <c r="I58" s="15"/>
    </row>
    <row r="59" spans="1:9">
      <c r="A59" s="14"/>
      <c r="B59" s="14"/>
      <c r="C59" s="14"/>
      <c r="D59" s="14"/>
      <c r="E59" s="14"/>
      <c r="F59" s="15"/>
      <c r="G59" s="14"/>
      <c r="H59" s="14"/>
      <c r="I59" s="15"/>
    </row>
    <row r="60" spans="1:9">
      <c r="A60" s="14"/>
      <c r="B60" s="14"/>
      <c r="C60" s="14"/>
      <c r="D60" s="14"/>
      <c r="E60" s="14"/>
      <c r="F60" s="15"/>
      <c r="G60" s="14"/>
      <c r="H60" s="14"/>
      <c r="I60" s="15"/>
    </row>
    <row r="61" spans="1:9">
      <c r="A61" s="14"/>
      <c r="B61" s="14"/>
      <c r="C61" s="14"/>
      <c r="D61" s="14"/>
      <c r="E61" s="14"/>
      <c r="F61" s="15"/>
      <c r="G61" s="14"/>
      <c r="H61" s="14"/>
      <c r="I61" s="15"/>
    </row>
    <row r="62" spans="1:9">
      <c r="A62" s="14"/>
      <c r="B62" s="14"/>
      <c r="C62" s="14"/>
      <c r="D62" s="14"/>
      <c r="E62" s="14"/>
      <c r="F62" s="15"/>
      <c r="G62" s="14"/>
      <c r="H62" s="14"/>
      <c r="I62" s="15"/>
    </row>
    <row r="63" spans="1:9">
      <c r="A63" s="14"/>
      <c r="B63" s="14"/>
      <c r="C63" s="14"/>
      <c r="D63" s="14"/>
      <c r="E63" s="14"/>
      <c r="F63" s="15"/>
      <c r="G63" s="14"/>
      <c r="H63" s="14"/>
      <c r="I63" s="15"/>
    </row>
    <row r="64" spans="1:9">
      <c r="A64" s="14"/>
      <c r="B64" s="14"/>
      <c r="C64" s="14"/>
      <c r="D64" s="14"/>
      <c r="E64" s="14"/>
      <c r="F64" s="15"/>
      <c r="G64" s="14"/>
      <c r="H64" s="14"/>
      <c r="I64" s="15"/>
    </row>
    <row r="65" spans="1:9">
      <c r="A65" s="14"/>
      <c r="B65" s="14"/>
      <c r="C65" s="14"/>
      <c r="D65" s="14"/>
      <c r="E65" s="14"/>
      <c r="F65" s="15"/>
      <c r="G65" s="14"/>
      <c r="H65" s="14"/>
      <c r="I65" s="15"/>
    </row>
    <row r="66" spans="1:9">
      <c r="A66" s="14"/>
      <c r="B66" s="14"/>
      <c r="C66" s="14"/>
      <c r="D66" s="14"/>
      <c r="E66" s="14"/>
      <c r="F66" s="15"/>
      <c r="G66" s="14"/>
      <c r="H66" s="14"/>
      <c r="I66" s="15"/>
    </row>
    <row r="67" spans="1:9">
      <c r="A67" s="14"/>
      <c r="B67" s="14"/>
      <c r="C67" s="14"/>
      <c r="D67" s="14"/>
      <c r="E67" s="14"/>
      <c r="F67" s="15"/>
      <c r="G67" s="14"/>
      <c r="H67" s="14"/>
      <c r="I67" s="15"/>
    </row>
    <row r="68" spans="1:9">
      <c r="A68" s="14"/>
      <c r="B68" s="14"/>
      <c r="C68" s="14"/>
      <c r="D68" s="14"/>
      <c r="E68" s="14"/>
      <c r="F68" s="15"/>
      <c r="G68" s="14"/>
      <c r="H68" s="14"/>
      <c r="I68" s="15"/>
    </row>
    <row r="69" spans="1:9">
      <c r="A69" s="14"/>
      <c r="B69" s="14"/>
      <c r="C69" s="14"/>
      <c r="D69" s="14"/>
      <c r="E69" s="14"/>
      <c r="F69" s="15"/>
      <c r="G69" s="14"/>
      <c r="H69" s="14"/>
      <c r="I69" s="15"/>
    </row>
    <row r="70" spans="1:9">
      <c r="A70" s="14"/>
      <c r="B70" s="14"/>
      <c r="C70" s="14"/>
      <c r="D70" s="14"/>
      <c r="E70" s="14"/>
      <c r="F70" s="15"/>
      <c r="G70" s="14"/>
      <c r="H70" s="14"/>
      <c r="I70" s="15"/>
    </row>
    <row r="71" spans="1:9">
      <c r="A71" s="14"/>
      <c r="B71" s="14"/>
      <c r="C71" s="14"/>
      <c r="D71" s="14"/>
      <c r="E71" s="14"/>
      <c r="F71" s="15"/>
      <c r="G71" s="14"/>
      <c r="H71" s="14"/>
      <c r="I71" s="15"/>
    </row>
    <row r="72" spans="1:9">
      <c r="A72" s="14"/>
      <c r="B72" s="14"/>
      <c r="C72" s="14"/>
      <c r="D72" s="14"/>
      <c r="E72" s="14"/>
      <c r="F72" s="15"/>
      <c r="G72" s="14"/>
      <c r="H72" s="14"/>
      <c r="I72" s="15"/>
    </row>
    <row r="73" spans="1:9">
      <c r="A73" s="14"/>
      <c r="B73" s="14"/>
      <c r="C73" s="14"/>
      <c r="D73" s="14"/>
      <c r="E73" s="14"/>
      <c r="F73" s="15"/>
      <c r="G73" s="14"/>
      <c r="H73" s="14"/>
      <c r="I73" s="15"/>
    </row>
    <row r="74" spans="1:9">
      <c r="A74" s="14"/>
      <c r="B74" s="14"/>
      <c r="C74" s="14"/>
      <c r="D74" s="14"/>
      <c r="E74" s="14"/>
      <c r="F74" s="15"/>
      <c r="G74" s="14"/>
      <c r="H74" s="14"/>
      <c r="I74" s="15"/>
    </row>
    <row r="75" spans="1:9">
      <c r="A75" s="14"/>
      <c r="B75" s="14"/>
      <c r="C75" s="14"/>
      <c r="D75" s="14"/>
      <c r="E75" s="14"/>
      <c r="F75" s="15"/>
      <c r="G75" s="14"/>
      <c r="H75" s="14"/>
      <c r="I75" s="15"/>
    </row>
    <row r="76" spans="1:9">
      <c r="A76" s="14"/>
      <c r="B76" s="14"/>
      <c r="C76" s="14"/>
      <c r="D76" s="14"/>
      <c r="E76" s="14"/>
      <c r="F76" s="15"/>
      <c r="G76" s="14"/>
      <c r="H76" s="14"/>
      <c r="I76" s="15"/>
    </row>
    <row r="77" spans="1:9">
      <c r="A77" s="14"/>
      <c r="B77" s="14"/>
      <c r="C77" s="14"/>
      <c r="D77" s="14"/>
      <c r="E77" s="14"/>
      <c r="F77" s="15"/>
      <c r="G77" s="14"/>
      <c r="H77" s="14"/>
      <c r="I77" s="15"/>
    </row>
    <row r="78" spans="1:9">
      <c r="A78" s="14"/>
      <c r="B78" s="14"/>
      <c r="C78" s="14"/>
      <c r="D78" s="14"/>
      <c r="E78" s="14"/>
      <c r="F78" s="15"/>
      <c r="G78" s="14"/>
      <c r="H78" s="14"/>
      <c r="I78" s="15"/>
    </row>
    <row r="79" spans="1:9">
      <c r="A79" s="14"/>
      <c r="B79" s="14"/>
      <c r="C79" s="14"/>
      <c r="D79" s="14"/>
      <c r="E79" s="14"/>
      <c r="F79" s="15"/>
      <c r="G79" s="14"/>
      <c r="H79" s="14"/>
      <c r="I79" s="15"/>
    </row>
    <row r="80" spans="1:9">
      <c r="A80" s="14"/>
      <c r="B80" s="14"/>
      <c r="C80" s="14"/>
      <c r="D80" s="14"/>
      <c r="E80" s="14"/>
      <c r="F80" s="15"/>
      <c r="G80" s="14"/>
      <c r="H80" s="14"/>
      <c r="I80" s="15"/>
    </row>
    <row r="81" spans="1:9">
      <c r="A81" s="14"/>
      <c r="B81" s="14"/>
      <c r="C81" s="14"/>
      <c r="D81" s="14"/>
      <c r="E81" s="14"/>
      <c r="F81" s="15"/>
      <c r="G81" s="14"/>
      <c r="H81" s="14"/>
      <c r="I81" s="15"/>
    </row>
    <row r="82" spans="1:9">
      <c r="A82" s="14"/>
      <c r="B82" s="14"/>
      <c r="C82" s="14"/>
      <c r="D82" s="14"/>
      <c r="E82" s="14"/>
      <c r="F82" s="15"/>
      <c r="G82" s="14"/>
      <c r="H82" s="14"/>
      <c r="I82" s="15"/>
    </row>
    <row r="83" spans="1:9">
      <c r="A83" s="14"/>
      <c r="B83" s="14"/>
      <c r="C83" s="14"/>
      <c r="D83" s="14"/>
      <c r="E83" s="14"/>
      <c r="F83" s="15"/>
      <c r="G83" s="14"/>
      <c r="H83" s="14"/>
      <c r="I83" s="15"/>
    </row>
    <row r="84" spans="1:9">
      <c r="A84" s="14"/>
      <c r="B84" s="14"/>
      <c r="C84" s="14"/>
      <c r="D84" s="14"/>
      <c r="E84" s="14"/>
      <c r="F84" s="15"/>
      <c r="G84" s="14"/>
      <c r="H84" s="14"/>
      <c r="I84" s="15"/>
    </row>
    <row r="85" spans="1:9">
      <c r="A85" s="14"/>
      <c r="B85" s="14"/>
      <c r="C85" s="14"/>
      <c r="D85" s="14"/>
      <c r="E85" s="14"/>
      <c r="F85" s="15"/>
      <c r="G85" s="14"/>
      <c r="H85" s="14"/>
      <c r="I85" s="15"/>
    </row>
    <row r="86" spans="1:9">
      <c r="A86" s="14"/>
      <c r="B86" s="14"/>
      <c r="C86" s="14"/>
      <c r="D86" s="14"/>
      <c r="E86" s="14"/>
      <c r="F86" s="15"/>
      <c r="G86" s="14"/>
      <c r="H86" s="14"/>
      <c r="I86" s="15"/>
    </row>
    <row r="87" spans="1:9">
      <c r="A87" s="14"/>
      <c r="B87" s="14"/>
      <c r="C87" s="14"/>
      <c r="D87" s="14"/>
      <c r="E87" s="14"/>
      <c r="F87" s="15"/>
      <c r="G87" s="14"/>
      <c r="H87" s="14"/>
      <c r="I87" s="15"/>
    </row>
    <row r="88" spans="1:9">
      <c r="A88" s="14"/>
      <c r="B88" s="14"/>
      <c r="C88" s="14"/>
      <c r="D88" s="14"/>
      <c r="E88" s="14"/>
      <c r="F88" s="15"/>
      <c r="G88" s="14"/>
      <c r="H88" s="14"/>
      <c r="I88" s="15"/>
    </row>
    <row r="89" spans="1:9">
      <c r="A89" s="14"/>
      <c r="B89" s="14"/>
      <c r="C89" s="14"/>
      <c r="D89" s="14"/>
      <c r="E89" s="14"/>
      <c r="F89" s="15"/>
      <c r="G89" s="14"/>
      <c r="H89" s="14"/>
      <c r="I89" s="15"/>
    </row>
    <row r="90" spans="1:9">
      <c r="A90" s="14"/>
      <c r="B90" s="14"/>
      <c r="C90" s="14"/>
      <c r="D90" s="14"/>
      <c r="E90" s="14"/>
      <c r="F90" s="15"/>
      <c r="G90" s="14"/>
      <c r="H90" s="14"/>
      <c r="I90" s="15"/>
    </row>
    <row r="91" spans="1:9">
      <c r="A91" s="14"/>
      <c r="B91" s="14"/>
      <c r="C91" s="14"/>
      <c r="D91" s="14"/>
      <c r="E91" s="14"/>
      <c r="F91" s="15"/>
      <c r="G91" s="14"/>
      <c r="H91" s="14"/>
      <c r="I91" s="15"/>
    </row>
    <row r="92" spans="1:9">
      <c r="A92" s="14"/>
      <c r="B92" s="14"/>
      <c r="C92" s="14"/>
      <c r="D92" s="14"/>
      <c r="E92" s="14"/>
      <c r="F92" s="15"/>
      <c r="G92" s="14"/>
      <c r="H92" s="14"/>
      <c r="I92" s="15"/>
    </row>
    <row r="93" spans="1:9">
      <c r="A93" s="14"/>
      <c r="B93" s="14"/>
      <c r="C93" s="14"/>
      <c r="D93" s="14"/>
      <c r="E93" s="14"/>
      <c r="F93" s="15"/>
      <c r="G93" s="14"/>
      <c r="H93" s="14"/>
      <c r="I93" s="15"/>
    </row>
    <row r="94" spans="1:9">
      <c r="A94" s="14"/>
      <c r="B94" s="14"/>
      <c r="C94" s="14"/>
      <c r="D94" s="14"/>
      <c r="E94" s="14"/>
      <c r="F94" s="15"/>
      <c r="G94" s="14"/>
      <c r="H94" s="14"/>
      <c r="I94" s="15"/>
    </row>
    <row r="95" spans="1:9">
      <c r="A95" s="14"/>
      <c r="B95" s="14"/>
      <c r="C95" s="14"/>
      <c r="D95" s="14"/>
      <c r="E95" s="14"/>
      <c r="F95" s="15"/>
      <c r="G95" s="14"/>
      <c r="H95" s="14"/>
      <c r="I95" s="15"/>
    </row>
    <row r="96" spans="1:9">
      <c r="A96" s="14"/>
      <c r="B96" s="14"/>
      <c r="C96" s="14"/>
      <c r="D96" s="14"/>
      <c r="E96" s="14"/>
      <c r="F96" s="15"/>
      <c r="G96" s="14"/>
      <c r="H96" s="14"/>
      <c r="I96" s="15"/>
    </row>
    <row r="97" spans="1:9">
      <c r="A97" s="14"/>
      <c r="B97" s="14"/>
      <c r="C97" s="14"/>
      <c r="D97" s="14"/>
      <c r="E97" s="14"/>
      <c r="F97" s="15"/>
      <c r="G97" s="14"/>
      <c r="H97" s="14"/>
      <c r="I97" s="15"/>
    </row>
    <row r="98" spans="1:9">
      <c r="A98" s="14"/>
      <c r="B98" s="14"/>
      <c r="C98" s="14"/>
      <c r="D98" s="14"/>
      <c r="E98" s="14"/>
      <c r="F98" s="15"/>
      <c r="G98" s="14"/>
      <c r="H98" s="14"/>
      <c r="I98" s="15"/>
    </row>
    <row r="99" spans="1:9">
      <c r="A99" s="14"/>
      <c r="B99" s="14"/>
      <c r="C99" s="14"/>
      <c r="D99" s="14"/>
      <c r="E99" s="14"/>
      <c r="F99" s="15"/>
      <c r="G99" s="14"/>
      <c r="H99" s="14"/>
      <c r="I99" s="15"/>
    </row>
    <row r="100" spans="1: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>
      <c r="A337" s="14"/>
      <c r="B337" s="14"/>
      <c r="C337" s="14"/>
      <c r="D337" s="14"/>
      <c r="E337" s="14"/>
      <c r="F337" s="15"/>
      <c r="G337" s="14"/>
      <c r="H337" s="14"/>
      <c r="I337" s="15"/>
    </row>
  </sheetData>
  <mergeCells count="4">
    <mergeCell ref="G1:I1"/>
    <mergeCell ref="A1:C1"/>
    <mergeCell ref="D1:F1"/>
    <mergeCell ref="A2:B2"/>
  </mergeCells>
  <conditionalFormatting sqref="F2 I2 F4:F95 I4:I9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7"/>
  <sheetViews>
    <sheetView workbookViewId="0">
      <pane xSplit="2" ySplit="3" topLeftCell="C4" activePane="bottomRight" state="frozen"/>
      <selection pane="bottomRight" activeCell="E25" sqref="E25"/>
      <selection pane="bottomLeft" activeCell="A4" sqref="A4:I20"/>
      <selection pane="topRight" activeCell="A4" sqref="A4:I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MN8 KEF</v>
      </c>
      <c r="B1" s="76"/>
      <c r="C1" s="76"/>
      <c r="D1" s="77" t="s">
        <v>16</v>
      </c>
      <c r="E1" s="77"/>
      <c r="F1" s="77"/>
      <c r="G1" s="75" t="s">
        <v>17</v>
      </c>
      <c r="H1" s="75"/>
      <c r="I1" s="75"/>
    </row>
    <row r="2" spans="1:9" ht="19.5" customHeight="1">
      <c r="A2" s="78" t="s">
        <v>2</v>
      </c>
      <c r="B2" s="78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75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SUM(Oct!C4, Nov!C4, Dec!C4)</f>
        <v>0</v>
      </c>
      <c r="D4" s="45">
        <f>SUM(Oct!D4, Nov!D4, Dec!D4)</f>
        <v>0</v>
      </c>
      <c r="E4" s="45">
        <f>IF(AND(ISNUMBER(C4),ISNUMBER(D4)), C4-D4, "")</f>
        <v>0</v>
      </c>
      <c r="F4" s="58" t="str">
        <f>IFERROR(E4/D4, "")</f>
        <v/>
      </c>
      <c r="G4" s="47"/>
      <c r="H4" s="47">
        <f>SUM(Oct!H4, Nov!H4, Dec!H4)</f>
        <v>0</v>
      </c>
      <c r="I4" s="46" t="str">
        <f>IFERROR(H4/G4, "")</f>
        <v/>
      </c>
    </row>
    <row r="5" spans="1:9" ht="15.75">
      <c r="A5" s="67" t="str">
        <v>Orange A KB</v>
      </c>
      <c r="B5" s="64" t="str">
        <v>MA</v>
      </c>
      <c r="C5" s="59">
        <f>SUM(Oct!C5, Nov!C5, Dec!C5)</f>
        <v>0</v>
      </c>
      <c r="D5" s="51">
        <f>SUM(Oct!D5, Nov!D5, Dec!D5)</f>
        <v>0</v>
      </c>
      <c r="E5" s="51">
        <f t="shared" ref="E5:E15" si="0">IF(AND(ISNUMBER(C5),ISNUMBER(D5)), C5-D5, "")</f>
        <v>0</v>
      </c>
      <c r="F5" s="52" t="str">
        <f>IFERROR(E5/D5, "")</f>
        <v/>
      </c>
      <c r="G5" s="53"/>
      <c r="H5" s="53">
        <f>SUM(Oct!H5, Nov!H5, Dec!H5)</f>
        <v>0</v>
      </c>
      <c r="I5" s="52" t="str">
        <f>IFERROR(H5/G5, "")</f>
        <v/>
      </c>
    </row>
    <row r="6" spans="1:9" ht="15.75">
      <c r="A6" s="66" t="str">
        <v>Goshen A</v>
      </c>
      <c r="B6" s="62" t="str">
        <v>MA</v>
      </c>
      <c r="C6" s="57">
        <f>SUM(Oct!C6, Nov!C6, Dec!C6)</f>
        <v>0</v>
      </c>
      <c r="D6" s="45">
        <f>SUM(Oct!D6, Nov!D6, Dec!D6)</f>
        <v>0</v>
      </c>
      <c r="E6" s="45">
        <f t="shared" si="0"/>
        <v>0</v>
      </c>
      <c r="F6" s="58" t="str">
        <f t="shared" ref="F6:F15" si="1">IFERROR(E6/D6, "")</f>
        <v/>
      </c>
      <c r="G6" s="47"/>
      <c r="H6" s="47">
        <f>SUM(Oct!H6, Nov!H6, Dec!H6)</f>
        <v>0</v>
      </c>
      <c r="I6" s="46" t="str">
        <f t="shared" ref="I6:I15" si="2">IFERROR(H6/G6, "")</f>
        <v/>
      </c>
    </row>
    <row r="7" spans="1:9" ht="15.75">
      <c r="A7" s="67" t="str">
        <v>Phillipston A KB</v>
      </c>
      <c r="B7" s="64" t="str">
        <v>MA</v>
      </c>
      <c r="C7" s="59">
        <f>SUM(Oct!C7, Nov!C7, Dec!C7)</f>
        <v>0</v>
      </c>
      <c r="D7" s="51">
        <f>SUM(Oct!D7, Nov!D7, Dec!D7)</f>
        <v>0</v>
      </c>
      <c r="E7" s="51">
        <f t="shared" si="0"/>
        <v>0</v>
      </c>
      <c r="F7" s="52" t="str">
        <f t="shared" si="1"/>
        <v/>
      </c>
      <c r="G7" s="53"/>
      <c r="H7" s="53">
        <f>SUM(Oct!H7, Nov!H7, Dec!H7)</f>
        <v>0</v>
      </c>
      <c r="I7" s="52" t="str">
        <f t="shared" si="2"/>
        <v/>
      </c>
    </row>
    <row r="8" spans="1:9" ht="15.75">
      <c r="A8" s="66" t="str">
        <v>Uxbridge D</v>
      </c>
      <c r="B8" s="62" t="str">
        <v>MA</v>
      </c>
      <c r="C8" s="57">
        <f>SUM(Oct!C8, Nov!C8, Dec!C8)</f>
        <v>0</v>
      </c>
      <c r="D8" s="45">
        <f>SUM(Oct!D8, Nov!D8, Dec!D8)</f>
        <v>0</v>
      </c>
      <c r="E8" s="45">
        <f t="shared" si="0"/>
        <v>0</v>
      </c>
      <c r="F8" s="58" t="str">
        <f t="shared" si="1"/>
        <v/>
      </c>
      <c r="G8" s="47"/>
      <c r="H8" s="47">
        <f>SUM(Oct!H8, Nov!H8, Dec!H8)</f>
        <v>0</v>
      </c>
      <c r="I8" s="46" t="str">
        <f t="shared" si="2"/>
        <v/>
      </c>
    </row>
    <row r="9" spans="1:9" ht="15.75">
      <c r="A9" s="67" t="str">
        <v>West Bridgewater A&amp;B</v>
      </c>
      <c r="B9" s="64" t="str">
        <v>MA</v>
      </c>
      <c r="C9" s="59">
        <f>SUM(Oct!C9, Nov!C9, Dec!C9)</f>
        <v>0</v>
      </c>
      <c r="D9" s="51">
        <f>SUM(Oct!D9, Nov!D9, Dec!D9)</f>
        <v>0</v>
      </c>
      <c r="E9" s="51">
        <f t="shared" si="0"/>
        <v>0</v>
      </c>
      <c r="F9" s="52" t="str">
        <f t="shared" si="1"/>
        <v/>
      </c>
      <c r="G9" s="53"/>
      <c r="H9" s="53">
        <f>SUM(Oct!H9, Nov!H9, Dec!H9)</f>
        <v>0</v>
      </c>
      <c r="I9" s="52" t="str">
        <f t="shared" si="2"/>
        <v/>
      </c>
    </row>
    <row r="10" spans="1:9" ht="15.75">
      <c r="A10" s="66" t="str">
        <v>Sutton A</v>
      </c>
      <c r="B10" s="62" t="str">
        <v>MA</v>
      </c>
      <c r="C10" s="57">
        <f>SUM(Oct!C10, Nov!C10, Dec!C10)</f>
        <v>0</v>
      </c>
      <c r="D10" s="45">
        <f>SUM(Oct!D10, Nov!D10, Dec!D10)</f>
        <v>0</v>
      </c>
      <c r="E10" s="45">
        <f t="shared" si="0"/>
        <v>0</v>
      </c>
      <c r="F10" s="58" t="str">
        <f t="shared" si="1"/>
        <v/>
      </c>
      <c r="G10" s="47"/>
      <c r="H10" s="47">
        <f>SUM(Oct!H10, Nov!H10, Dec!H10)</f>
        <v>0</v>
      </c>
      <c r="I10" s="46" t="str">
        <f t="shared" si="2"/>
        <v/>
      </c>
    </row>
    <row r="11" spans="1:9" ht="15.75">
      <c r="A11" s="67" t="str">
        <v>North Adams A</v>
      </c>
      <c r="B11" s="64" t="str">
        <v>MA</v>
      </c>
      <c r="C11" s="59">
        <f>SUM(Oct!C11, Nov!C11, Dec!C11)</f>
        <v>0</v>
      </c>
      <c r="D11" s="51">
        <f>SUM(Oct!D11, Nov!D11, Dec!D11)</f>
        <v>0</v>
      </c>
      <c r="E11" s="51">
        <f t="shared" si="0"/>
        <v>0</v>
      </c>
      <c r="F11" s="52" t="str">
        <f t="shared" si="1"/>
        <v/>
      </c>
      <c r="G11" s="53"/>
      <c r="H11" s="53">
        <f>SUM(Oct!H11, Nov!H11, Dec!H11)</f>
        <v>0</v>
      </c>
      <c r="I11" s="52" t="str">
        <f t="shared" si="2"/>
        <v/>
      </c>
    </row>
    <row r="12" spans="1:9" ht="15.75">
      <c r="A12" s="66" t="str">
        <v>North Adams B</v>
      </c>
      <c r="B12" s="62" t="str">
        <v>MA</v>
      </c>
      <c r="C12" s="57">
        <f>SUM(Oct!C12, Nov!C12, Dec!C12)</f>
        <v>0</v>
      </c>
      <c r="D12" s="45">
        <f>SUM(Oct!D12, Nov!D12, Dec!D12)</f>
        <v>0</v>
      </c>
      <c r="E12" s="45">
        <f t="shared" si="0"/>
        <v>0</v>
      </c>
      <c r="F12" s="58" t="str">
        <f t="shared" si="1"/>
        <v/>
      </c>
      <c r="G12" s="47"/>
      <c r="H12" s="47">
        <f>SUM(Oct!H12, Nov!H12, Dec!H12)</f>
        <v>0</v>
      </c>
      <c r="I12" s="46" t="str">
        <f t="shared" si="2"/>
        <v/>
      </c>
    </row>
    <row r="13" spans="1:9" ht="15.75">
      <c r="A13" s="67" t="str">
        <v>Clarksburg A</v>
      </c>
      <c r="B13" s="64" t="str">
        <v>MA</v>
      </c>
      <c r="C13" s="59">
        <f>SUM(Oct!C13, Nov!C13, Dec!C13)</f>
        <v>0</v>
      </c>
      <c r="D13" s="51">
        <f>SUM(Oct!D13, Nov!D13, Dec!D13)</f>
        <v>0</v>
      </c>
      <c r="E13" s="51">
        <f t="shared" si="0"/>
        <v>0</v>
      </c>
      <c r="F13" s="52" t="str">
        <f t="shared" si="1"/>
        <v/>
      </c>
      <c r="G13" s="53"/>
      <c r="H13" s="53">
        <f>SUM(Oct!H13, Nov!H13, Dec!H13)</f>
        <v>0</v>
      </c>
      <c r="I13" s="52" t="str">
        <f t="shared" si="2"/>
        <v/>
      </c>
    </row>
    <row r="14" spans="1:9" ht="15.75">
      <c r="A14" s="66" t="str">
        <v>Swansea B</v>
      </c>
      <c r="B14" s="62" t="str">
        <v>MA</v>
      </c>
      <c r="C14" s="57">
        <f>SUM(Oct!C14, Nov!C14, Dec!C14)</f>
        <v>0</v>
      </c>
      <c r="D14" s="45">
        <f>SUM(Oct!D14, Nov!D14, Dec!D14)</f>
        <v>0</v>
      </c>
      <c r="E14" s="45">
        <f t="shared" si="0"/>
        <v>0</v>
      </c>
      <c r="F14" s="58" t="str">
        <f t="shared" si="1"/>
        <v/>
      </c>
      <c r="G14" s="47"/>
      <c r="H14" s="47">
        <f>SUM(Oct!H14, Nov!H14, Dec!H14)</f>
        <v>0</v>
      </c>
      <c r="I14" s="46" t="str">
        <f t="shared" si="2"/>
        <v/>
      </c>
    </row>
    <row r="15" spans="1:9" ht="15.75">
      <c r="A15" s="67" t="str">
        <v>Wareham 2</v>
      </c>
      <c r="B15" s="64" t="str">
        <v>MA</v>
      </c>
      <c r="C15" s="59">
        <f>SUM(Oct!C15, Nov!C15, Dec!C15)</f>
        <v>0</v>
      </c>
      <c r="D15" s="51">
        <f>SUM(Oct!D15, Nov!D15, Dec!D15)</f>
        <v>0</v>
      </c>
      <c r="E15" s="51">
        <f t="shared" si="0"/>
        <v>0</v>
      </c>
      <c r="F15" s="52" t="str">
        <f t="shared" si="1"/>
        <v/>
      </c>
      <c r="G15" s="53"/>
      <c r="H15" s="53">
        <f>SUM(Oct!H15, Nov!H15, Dec!H15)</f>
        <v>0</v>
      </c>
      <c r="I15" s="52" t="str">
        <f t="shared" si="2"/>
        <v/>
      </c>
    </row>
    <row r="16" spans="1:9" ht="15.75">
      <c r="A16" s="66" t="str">
        <v>Kingston 1 KB</v>
      </c>
      <c r="B16" s="62" t="str">
        <v>MA</v>
      </c>
      <c r="C16" s="57">
        <f>SUM(Oct!C16, Nov!C16, Dec!C16)</f>
        <v>0</v>
      </c>
      <c r="D16" s="45">
        <f>SUM(Oct!D16, Nov!D16, Dec!D16)</f>
        <v>0</v>
      </c>
      <c r="E16" s="45">
        <f t="shared" ref="E16:E18" si="3">IF(AND(ISNUMBER(C16),ISNUMBER(D16)), C16-D16, "")</f>
        <v>0</v>
      </c>
      <c r="F16" s="58" t="str">
        <f t="shared" ref="F16:F18" si="4">IFERROR(E16/D16, "")</f>
        <v/>
      </c>
      <c r="G16" s="47"/>
      <c r="H16" s="47">
        <f>SUM(Oct!H16, Nov!H16, Dec!H16)</f>
        <v>0</v>
      </c>
      <c r="I16" s="46" t="str">
        <f t="shared" ref="I16:I18" si="5">IFERROR(H16/G16, "")</f>
        <v/>
      </c>
    </row>
    <row r="17" spans="1:9" ht="15.75">
      <c r="A17" s="67" t="str">
        <v>Kingston 2 KB</v>
      </c>
      <c r="B17" s="64" t="str">
        <v>MA</v>
      </c>
      <c r="C17" s="59">
        <f>SUM(Oct!C17, Nov!C17, Dec!C17)</f>
        <v>0</v>
      </c>
      <c r="D17" s="51">
        <f>SUM(Oct!D17, Nov!D17, Dec!D17)</f>
        <v>0</v>
      </c>
      <c r="E17" s="51">
        <f t="shared" si="3"/>
        <v>0</v>
      </c>
      <c r="F17" s="52" t="str">
        <f t="shared" si="4"/>
        <v/>
      </c>
      <c r="G17" s="53"/>
      <c r="H17" s="53">
        <f>SUM(Oct!H17, Nov!H17, Dec!H17)</f>
        <v>0</v>
      </c>
      <c r="I17" s="52" t="str">
        <f t="shared" si="5"/>
        <v/>
      </c>
    </row>
    <row r="18" spans="1:9" ht="12.75" customHeight="1">
      <c r="A18" s="66" t="str">
        <v>Holliston B</v>
      </c>
      <c r="B18" s="62" t="str">
        <v>MA</v>
      </c>
      <c r="C18" s="59">
        <f>SUM(Oct!C18, Nov!C18, Dec!C18)</f>
        <v>0</v>
      </c>
      <c r="D18" s="51">
        <f>SUM(Oct!D18, Nov!D18, Dec!D18)</f>
        <v>0</v>
      </c>
      <c r="E18" s="51">
        <f t="shared" si="3"/>
        <v>0</v>
      </c>
      <c r="F18" s="52" t="str">
        <f t="shared" si="4"/>
        <v/>
      </c>
      <c r="G18" s="53"/>
      <c r="H18" s="53">
        <f>SUM(Oct!H18, Nov!H18, Dec!H18)</f>
        <v>0</v>
      </c>
      <c r="I18" s="52" t="str">
        <f t="shared" si="5"/>
        <v/>
      </c>
    </row>
    <row r="19" spans="1:9" ht="15.75">
      <c r="A19" s="67" t="str">
        <v>Fairhaven C</v>
      </c>
      <c r="B19" s="64" t="str">
        <v>MA</v>
      </c>
      <c r="C19" s="57">
        <f>SUM(Oct!C19, Nov!C19, Dec!C19)</f>
        <v>0</v>
      </c>
      <c r="D19" s="45">
        <f>SUM(Oct!D19, Nov!D19, Dec!D19)</f>
        <v>0</v>
      </c>
      <c r="E19" s="45">
        <f t="shared" ref="E19:E20" si="6">IF(AND(ISNUMBER(C19),ISNUMBER(D19)), C19-D19, "")</f>
        <v>0</v>
      </c>
      <c r="F19" s="58" t="str">
        <f t="shared" ref="F19:F20" si="7">IFERROR(E19/D19, "")</f>
        <v/>
      </c>
      <c r="G19" s="47"/>
      <c r="H19" s="47">
        <f>SUM(Oct!H19, Nov!H19, Dec!H19)</f>
        <v>0</v>
      </c>
      <c r="I19" s="46" t="str">
        <f t="shared" ref="I19:I20" si="8">IFERROR(H19/G19, "")</f>
        <v/>
      </c>
    </row>
    <row r="20" spans="1:9" ht="15.75">
      <c r="A20" s="66" t="str">
        <v>Plympton A-2</v>
      </c>
      <c r="B20" s="62" t="str">
        <v>MA</v>
      </c>
      <c r="C20" s="59">
        <f>SUM(Oct!C20, Nov!C20, Dec!C20)</f>
        <v>0</v>
      </c>
      <c r="D20" s="51">
        <f>SUM(Oct!D20, Nov!D20, Dec!D20)</f>
        <v>0</v>
      </c>
      <c r="E20" s="51">
        <f t="shared" si="6"/>
        <v>0</v>
      </c>
      <c r="F20" s="52" t="str">
        <f t="shared" si="7"/>
        <v/>
      </c>
      <c r="G20" s="53"/>
      <c r="H20" s="53">
        <f>SUM(Oct!H20, Nov!H20, Dec!H20)</f>
        <v>0</v>
      </c>
      <c r="I20" s="52" t="str">
        <f t="shared" si="8"/>
        <v/>
      </c>
    </row>
    <row r="21" spans="1:9" ht="15.75">
      <c r="A21" s="10"/>
      <c r="B21" s="9"/>
      <c r="C21" s="32"/>
      <c r="D21" s="11"/>
      <c r="E21" s="11"/>
      <c r="F21" s="12"/>
      <c r="G21" s="13"/>
      <c r="H21" s="13"/>
      <c r="I21" s="12"/>
    </row>
    <row r="22" spans="1:9" ht="15">
      <c r="A22" s="14"/>
      <c r="B22" s="9"/>
      <c r="C22" s="32"/>
      <c r="D22" s="11"/>
      <c r="E22" s="11"/>
      <c r="F22" s="12"/>
      <c r="G22" s="13"/>
      <c r="H22" s="13"/>
      <c r="I22" s="12"/>
    </row>
    <row r="23" spans="1:9" ht="15">
      <c r="A23" s="14"/>
      <c r="B23" s="9"/>
      <c r="C23" s="32"/>
      <c r="D23" s="11"/>
      <c r="E23" s="11"/>
      <c r="F23" s="12"/>
      <c r="G23" s="13"/>
      <c r="H23" s="13"/>
      <c r="I23" s="12"/>
    </row>
    <row r="24" spans="1:9" ht="15">
      <c r="A24" s="14"/>
      <c r="B24" s="9"/>
      <c r="C24" s="32"/>
      <c r="D24" s="11"/>
      <c r="E24" s="11"/>
      <c r="F24" s="12"/>
      <c r="G24" s="13"/>
      <c r="H24" s="13"/>
      <c r="I24" s="12"/>
    </row>
    <row r="25" spans="1:9" ht="15">
      <c r="A25" s="14"/>
      <c r="B25" s="9"/>
      <c r="C25" s="32"/>
      <c r="D25" s="11"/>
      <c r="E25" s="11"/>
      <c r="F25" s="12"/>
      <c r="G25" s="13"/>
      <c r="H25" s="13"/>
      <c r="I25" s="12"/>
    </row>
    <row r="26" spans="1:9">
      <c r="A26" s="14"/>
      <c r="B26" s="14"/>
      <c r="C26" s="14"/>
      <c r="D26" s="14"/>
      <c r="E26" s="14"/>
      <c r="F26" s="14"/>
      <c r="G26" s="14"/>
      <c r="H26" s="14"/>
      <c r="I26" s="14"/>
    </row>
    <row r="27" spans="1:9">
      <c r="A27" s="14"/>
      <c r="B27" s="14"/>
      <c r="C27" s="14"/>
      <c r="D27" s="14"/>
      <c r="E27" s="14"/>
      <c r="F27" s="14"/>
      <c r="G27" s="14"/>
      <c r="H27" s="14"/>
      <c r="I27" s="14"/>
    </row>
    <row r="28" spans="1:9">
      <c r="A28" s="14"/>
      <c r="B28" s="14"/>
      <c r="C28" s="14"/>
      <c r="D28" s="14"/>
      <c r="E28" s="14"/>
      <c r="F28" s="15"/>
      <c r="G28" s="14"/>
      <c r="H28" s="14"/>
      <c r="I28" s="15"/>
    </row>
    <row r="29" spans="1:9">
      <c r="A29" s="14"/>
      <c r="B29" s="14"/>
      <c r="C29" s="14"/>
      <c r="D29" s="14"/>
      <c r="E29" s="14"/>
      <c r="F29" s="15"/>
      <c r="G29" s="14"/>
      <c r="H29" s="14"/>
      <c r="I29" s="15"/>
    </row>
    <row r="30" spans="1:9">
      <c r="A30" s="14"/>
      <c r="B30" s="14"/>
      <c r="C30" s="14"/>
      <c r="D30" s="14"/>
      <c r="E30" s="14"/>
      <c r="F30" s="15"/>
      <c r="G30" s="14"/>
      <c r="H30" s="14"/>
      <c r="I30" s="15"/>
    </row>
    <row r="31" spans="1:9">
      <c r="A31" s="14"/>
      <c r="B31" s="14"/>
      <c r="C31" s="14"/>
      <c r="D31" s="14"/>
      <c r="E31" s="14"/>
      <c r="F31" s="15"/>
      <c r="G31" s="14"/>
      <c r="H31" s="14"/>
      <c r="I31" s="15"/>
    </row>
    <row r="32" spans="1:9">
      <c r="A32" s="14"/>
      <c r="B32" s="14"/>
      <c r="C32" s="14"/>
      <c r="D32" s="14"/>
      <c r="E32" s="14"/>
      <c r="F32" s="15"/>
      <c r="G32" s="14"/>
      <c r="H32" s="14"/>
      <c r="I32" s="15"/>
    </row>
    <row r="33" spans="1:9">
      <c r="A33" s="14"/>
      <c r="B33" s="14"/>
      <c r="C33" s="14"/>
      <c r="D33" s="14"/>
      <c r="E33" s="14"/>
      <c r="F33" s="15"/>
      <c r="G33" s="14"/>
      <c r="H33" s="14"/>
      <c r="I33" s="15"/>
    </row>
    <row r="34" spans="1:9">
      <c r="A34" s="14"/>
      <c r="B34" s="14"/>
      <c r="C34" s="14"/>
      <c r="D34" s="14"/>
      <c r="E34" s="14"/>
      <c r="F34" s="15"/>
      <c r="G34" s="14"/>
      <c r="H34" s="14"/>
      <c r="I34" s="15"/>
    </row>
    <row r="35" spans="1:9">
      <c r="A35" s="14"/>
      <c r="B35" s="14"/>
      <c r="C35" s="14"/>
      <c r="D35" s="14"/>
      <c r="E35" s="14"/>
      <c r="F35" s="15"/>
      <c r="G35" s="14"/>
      <c r="H35" s="14"/>
      <c r="I35" s="15"/>
    </row>
    <row r="36" spans="1:9">
      <c r="A36" s="14"/>
      <c r="B36" s="14"/>
      <c r="C36" s="14"/>
      <c r="D36" s="14"/>
      <c r="E36" s="14"/>
      <c r="F36" s="15"/>
      <c r="G36" s="14"/>
      <c r="H36" s="14"/>
      <c r="I36" s="15"/>
    </row>
    <row r="37" spans="1:9">
      <c r="A37" s="14"/>
      <c r="B37" s="14"/>
      <c r="C37" s="14"/>
      <c r="D37" s="14"/>
      <c r="E37" s="14"/>
      <c r="F37" s="15"/>
      <c r="G37" s="14"/>
      <c r="H37" s="14"/>
      <c r="I37" s="15"/>
    </row>
    <row r="38" spans="1:9">
      <c r="A38" s="14"/>
      <c r="B38" s="14"/>
      <c r="C38" s="14"/>
      <c r="D38" s="14"/>
      <c r="E38" s="14"/>
      <c r="F38" s="15"/>
      <c r="G38" s="14"/>
      <c r="H38" s="14"/>
      <c r="I38" s="15"/>
    </row>
    <row r="39" spans="1:9">
      <c r="A39" s="14"/>
      <c r="B39" s="14"/>
      <c r="C39" s="14"/>
      <c r="D39" s="14"/>
      <c r="E39" s="14"/>
      <c r="F39" s="15"/>
      <c r="G39" s="14"/>
      <c r="H39" s="14"/>
      <c r="I39" s="15"/>
    </row>
    <row r="40" spans="1:9">
      <c r="A40" s="14"/>
      <c r="B40" s="14"/>
      <c r="C40" s="14"/>
      <c r="D40" s="14"/>
      <c r="E40" s="14"/>
      <c r="F40" s="15"/>
      <c r="G40" s="14"/>
      <c r="H40" s="14"/>
      <c r="I40" s="15"/>
    </row>
    <row r="41" spans="1:9">
      <c r="A41" s="14"/>
      <c r="B41" s="14"/>
      <c r="C41" s="14"/>
      <c r="D41" s="14"/>
      <c r="E41" s="14"/>
      <c r="F41" s="15"/>
      <c r="G41" s="14"/>
      <c r="H41" s="14"/>
      <c r="I41" s="15"/>
    </row>
    <row r="42" spans="1:9">
      <c r="A42" s="14"/>
      <c r="B42" s="14"/>
      <c r="C42" s="14"/>
      <c r="D42" s="14"/>
      <c r="E42" s="14"/>
      <c r="F42" s="15"/>
      <c r="G42" s="14"/>
      <c r="H42" s="14"/>
      <c r="I42" s="15"/>
    </row>
    <row r="43" spans="1:9">
      <c r="A43" s="14"/>
      <c r="B43" s="14"/>
      <c r="C43" s="14"/>
      <c r="D43" s="14"/>
      <c r="E43" s="14"/>
      <c r="F43" s="15"/>
      <c r="G43" s="14"/>
      <c r="H43" s="14"/>
      <c r="I43" s="15"/>
    </row>
    <row r="44" spans="1:9">
      <c r="A44" s="14"/>
      <c r="B44" s="14"/>
      <c r="C44" s="14"/>
      <c r="D44" s="14"/>
      <c r="E44" s="14"/>
      <c r="F44" s="15"/>
      <c r="G44" s="14"/>
      <c r="H44" s="14"/>
      <c r="I44" s="15"/>
    </row>
    <row r="45" spans="1:9">
      <c r="A45" s="14"/>
      <c r="B45" s="14"/>
      <c r="C45" s="14"/>
      <c r="D45" s="14"/>
      <c r="E45" s="14"/>
      <c r="F45" s="15"/>
      <c r="G45" s="14"/>
      <c r="H45" s="14"/>
      <c r="I45" s="15"/>
    </row>
    <row r="46" spans="1:9">
      <c r="A46" s="14"/>
      <c r="B46" s="14"/>
      <c r="C46" s="14"/>
      <c r="D46" s="14"/>
      <c r="E46" s="14"/>
      <c r="F46" s="15"/>
      <c r="G46" s="14"/>
      <c r="H46" s="14"/>
      <c r="I46" s="15"/>
    </row>
    <row r="47" spans="1:9">
      <c r="A47" s="14"/>
      <c r="B47" s="14"/>
      <c r="C47" s="14"/>
      <c r="D47" s="14"/>
      <c r="E47" s="14"/>
      <c r="F47" s="15"/>
      <c r="G47" s="14"/>
      <c r="H47" s="14"/>
      <c r="I47" s="15"/>
    </row>
    <row r="48" spans="1:9">
      <c r="A48" s="14"/>
      <c r="B48" s="14"/>
      <c r="C48" s="14"/>
      <c r="D48" s="14"/>
      <c r="E48" s="14"/>
      <c r="F48" s="15"/>
      <c r="G48" s="14"/>
      <c r="H48" s="14"/>
      <c r="I48" s="15"/>
    </row>
    <row r="49" spans="1:9">
      <c r="A49" s="14"/>
      <c r="B49" s="14"/>
      <c r="C49" s="14"/>
      <c r="D49" s="14"/>
      <c r="E49" s="14"/>
      <c r="F49" s="15"/>
      <c r="G49" s="14"/>
      <c r="H49" s="14"/>
      <c r="I49" s="15"/>
    </row>
    <row r="50" spans="1:9">
      <c r="A50" s="14"/>
      <c r="B50" s="14"/>
      <c r="C50" s="14"/>
      <c r="D50" s="14"/>
      <c r="E50" s="14"/>
      <c r="F50" s="15"/>
      <c r="G50" s="14"/>
      <c r="H50" s="14"/>
      <c r="I50" s="15"/>
    </row>
    <row r="51" spans="1:9">
      <c r="A51" s="14"/>
      <c r="B51" s="14"/>
      <c r="C51" s="14"/>
      <c r="D51" s="14"/>
      <c r="E51" s="14"/>
      <c r="F51" s="15"/>
      <c r="G51" s="14"/>
      <c r="H51" s="14"/>
      <c r="I51" s="15"/>
    </row>
    <row r="52" spans="1:9">
      <c r="A52" s="14"/>
      <c r="B52" s="14"/>
      <c r="C52" s="14"/>
      <c r="D52" s="14"/>
      <c r="E52" s="14"/>
      <c r="F52" s="15"/>
      <c r="G52" s="14"/>
      <c r="H52" s="14"/>
      <c r="I52" s="15"/>
    </row>
    <row r="53" spans="1:9">
      <c r="A53" s="14"/>
      <c r="B53" s="14"/>
      <c r="C53" s="14"/>
      <c r="D53" s="14"/>
      <c r="E53" s="14"/>
      <c r="F53" s="15"/>
      <c r="G53" s="14"/>
      <c r="H53" s="14"/>
      <c r="I53" s="15"/>
    </row>
    <row r="54" spans="1:9">
      <c r="A54" s="14"/>
      <c r="B54" s="14"/>
      <c r="C54" s="14"/>
      <c r="D54" s="14"/>
      <c r="E54" s="14"/>
      <c r="F54" s="15"/>
      <c r="G54" s="14"/>
      <c r="H54" s="14"/>
      <c r="I54" s="15"/>
    </row>
    <row r="55" spans="1:9">
      <c r="A55" s="14"/>
      <c r="B55" s="14"/>
      <c r="C55" s="14"/>
      <c r="D55" s="14"/>
      <c r="E55" s="14"/>
      <c r="F55" s="15"/>
      <c r="G55" s="14"/>
      <c r="H55" s="14"/>
      <c r="I55" s="15"/>
    </row>
    <row r="56" spans="1:9">
      <c r="A56" s="14"/>
      <c r="B56" s="14"/>
      <c r="C56" s="14"/>
      <c r="D56" s="14"/>
      <c r="E56" s="14"/>
      <c r="F56" s="15"/>
      <c r="G56" s="14"/>
      <c r="H56" s="14"/>
      <c r="I56" s="15"/>
    </row>
    <row r="57" spans="1:9">
      <c r="A57" s="14"/>
      <c r="B57" s="14"/>
      <c r="C57" s="14"/>
      <c r="D57" s="14"/>
      <c r="E57" s="14"/>
      <c r="F57" s="15"/>
      <c r="G57" s="14"/>
      <c r="H57" s="14"/>
      <c r="I57" s="15"/>
    </row>
    <row r="58" spans="1:9">
      <c r="A58" s="14"/>
      <c r="B58" s="14"/>
      <c r="C58" s="14"/>
      <c r="D58" s="14"/>
      <c r="E58" s="14"/>
      <c r="F58" s="15"/>
      <c r="G58" s="14"/>
      <c r="H58" s="14"/>
      <c r="I58" s="15"/>
    </row>
    <row r="59" spans="1:9">
      <c r="A59" s="14"/>
      <c r="B59" s="14"/>
      <c r="C59" s="14"/>
      <c r="D59" s="14"/>
      <c r="E59" s="14"/>
      <c r="F59" s="15"/>
      <c r="G59" s="14"/>
      <c r="H59" s="14"/>
      <c r="I59" s="15"/>
    </row>
    <row r="60" spans="1:9">
      <c r="A60" s="14"/>
      <c r="B60" s="14"/>
      <c r="C60" s="14"/>
      <c r="D60" s="14"/>
      <c r="E60" s="14"/>
      <c r="F60" s="15"/>
      <c r="G60" s="14"/>
      <c r="H60" s="14"/>
      <c r="I60" s="15"/>
    </row>
    <row r="61" spans="1:9">
      <c r="A61" s="14"/>
      <c r="B61" s="14"/>
      <c r="C61" s="14"/>
      <c r="D61" s="14"/>
      <c r="E61" s="14"/>
      <c r="F61" s="15"/>
      <c r="G61" s="14"/>
      <c r="H61" s="14"/>
      <c r="I61" s="15"/>
    </row>
    <row r="62" spans="1:9">
      <c r="A62" s="14"/>
      <c r="B62" s="14"/>
      <c r="C62" s="14"/>
      <c r="D62" s="14"/>
      <c r="E62" s="14"/>
      <c r="F62" s="15"/>
      <c r="G62" s="14"/>
      <c r="H62" s="14"/>
      <c r="I62" s="15"/>
    </row>
    <row r="63" spans="1:9">
      <c r="A63" s="14"/>
      <c r="B63" s="14"/>
      <c r="C63" s="14"/>
      <c r="D63" s="14"/>
      <c r="E63" s="14"/>
      <c r="F63" s="15"/>
      <c r="G63" s="14"/>
      <c r="H63" s="14"/>
      <c r="I63" s="15"/>
    </row>
    <row r="64" spans="1:9">
      <c r="A64" s="14"/>
      <c r="B64" s="14"/>
      <c r="C64" s="14"/>
      <c r="D64" s="14"/>
      <c r="E64" s="14"/>
      <c r="F64" s="15"/>
      <c r="G64" s="14"/>
      <c r="H64" s="14"/>
      <c r="I64" s="15"/>
    </row>
    <row r="65" spans="1:9">
      <c r="A65" s="14"/>
      <c r="B65" s="14"/>
      <c r="C65" s="14"/>
      <c r="D65" s="14"/>
      <c r="E65" s="14"/>
      <c r="F65" s="15"/>
      <c r="G65" s="14"/>
      <c r="H65" s="14"/>
      <c r="I65" s="15"/>
    </row>
    <row r="66" spans="1:9">
      <c r="A66" s="14"/>
      <c r="B66" s="14"/>
      <c r="C66" s="14"/>
      <c r="D66" s="14"/>
      <c r="E66" s="14"/>
      <c r="F66" s="15"/>
      <c r="G66" s="14"/>
      <c r="H66" s="14"/>
      <c r="I66" s="15"/>
    </row>
    <row r="67" spans="1:9">
      <c r="A67" s="14"/>
      <c r="B67" s="14"/>
      <c r="C67" s="14"/>
      <c r="D67" s="14"/>
      <c r="E67" s="14"/>
      <c r="F67" s="15"/>
      <c r="G67" s="14"/>
      <c r="H67" s="14"/>
      <c r="I67" s="15"/>
    </row>
    <row r="68" spans="1:9">
      <c r="A68" s="14"/>
      <c r="B68" s="14"/>
      <c r="C68" s="14"/>
      <c r="D68" s="14"/>
      <c r="E68" s="14"/>
      <c r="F68" s="15"/>
      <c r="G68" s="14"/>
      <c r="H68" s="14"/>
      <c r="I68" s="15"/>
    </row>
    <row r="69" spans="1:9">
      <c r="A69" s="14"/>
      <c r="B69" s="14"/>
      <c r="C69" s="14"/>
      <c r="D69" s="14"/>
      <c r="E69" s="14"/>
      <c r="F69" s="15"/>
      <c r="G69" s="14"/>
      <c r="H69" s="14"/>
      <c r="I69" s="15"/>
    </row>
    <row r="70" spans="1:9">
      <c r="A70" s="14"/>
      <c r="B70" s="14"/>
      <c r="C70" s="14"/>
      <c r="D70" s="14"/>
      <c r="E70" s="14"/>
      <c r="F70" s="15"/>
      <c r="G70" s="14"/>
      <c r="H70" s="14"/>
      <c r="I70" s="15"/>
    </row>
    <row r="71" spans="1:9">
      <c r="A71" s="14"/>
      <c r="B71" s="14"/>
      <c r="C71" s="14"/>
      <c r="D71" s="14"/>
      <c r="E71" s="14"/>
      <c r="F71" s="15"/>
      <c r="G71" s="14"/>
      <c r="H71" s="14"/>
      <c r="I71" s="15"/>
    </row>
    <row r="72" spans="1:9">
      <c r="A72" s="14"/>
      <c r="B72" s="14"/>
      <c r="C72" s="14"/>
      <c r="D72" s="14"/>
      <c r="E72" s="14"/>
      <c r="F72" s="15"/>
      <c r="G72" s="14"/>
      <c r="H72" s="14"/>
      <c r="I72" s="15"/>
    </row>
    <row r="73" spans="1:9">
      <c r="A73" s="14"/>
      <c r="B73" s="14"/>
      <c r="C73" s="14"/>
      <c r="D73" s="14"/>
      <c r="E73" s="14"/>
      <c r="F73" s="15"/>
      <c r="G73" s="14"/>
      <c r="H73" s="14"/>
      <c r="I73" s="15"/>
    </row>
    <row r="74" spans="1:9">
      <c r="A74" s="14"/>
      <c r="B74" s="14"/>
      <c r="C74" s="14"/>
      <c r="D74" s="14"/>
      <c r="E74" s="14"/>
      <c r="F74" s="15"/>
      <c r="G74" s="14"/>
      <c r="H74" s="14"/>
      <c r="I74" s="15"/>
    </row>
    <row r="75" spans="1:9">
      <c r="A75" s="14"/>
      <c r="B75" s="14"/>
      <c r="C75" s="14"/>
      <c r="D75" s="14"/>
      <c r="E75" s="14"/>
      <c r="F75" s="15"/>
      <c r="G75" s="14"/>
      <c r="H75" s="14"/>
      <c r="I75" s="15"/>
    </row>
    <row r="76" spans="1:9">
      <c r="A76" s="14"/>
      <c r="B76" s="14"/>
      <c r="C76" s="14"/>
      <c r="D76" s="14"/>
      <c r="E76" s="14"/>
      <c r="F76" s="15"/>
      <c r="G76" s="14"/>
      <c r="H76" s="14"/>
      <c r="I76" s="15"/>
    </row>
    <row r="77" spans="1:9">
      <c r="A77" s="14"/>
      <c r="B77" s="14"/>
      <c r="C77" s="14"/>
      <c r="D77" s="14"/>
      <c r="E77" s="14"/>
      <c r="F77" s="15"/>
      <c r="G77" s="14"/>
      <c r="H77" s="14"/>
      <c r="I77" s="15"/>
    </row>
    <row r="78" spans="1:9">
      <c r="A78" s="14"/>
      <c r="B78" s="14"/>
      <c r="C78" s="14"/>
      <c r="D78" s="14"/>
      <c r="E78" s="14"/>
      <c r="F78" s="15"/>
      <c r="G78" s="14"/>
      <c r="H78" s="14"/>
      <c r="I78" s="15"/>
    </row>
    <row r="79" spans="1:9">
      <c r="A79" s="14"/>
      <c r="B79" s="14"/>
      <c r="C79" s="14"/>
      <c r="D79" s="14"/>
      <c r="E79" s="14"/>
      <c r="F79" s="15"/>
      <c r="G79" s="14"/>
      <c r="H79" s="14"/>
      <c r="I79" s="15"/>
    </row>
    <row r="80" spans="1:9">
      <c r="A80" s="14"/>
      <c r="B80" s="14"/>
      <c r="C80" s="14"/>
      <c r="D80" s="14"/>
      <c r="E80" s="14"/>
      <c r="F80" s="15"/>
      <c r="G80" s="14"/>
      <c r="H80" s="14"/>
      <c r="I80" s="15"/>
    </row>
    <row r="81" spans="1:9">
      <c r="A81" s="14"/>
      <c r="B81" s="14"/>
      <c r="C81" s="14"/>
      <c r="D81" s="14"/>
      <c r="E81" s="14"/>
      <c r="F81" s="15"/>
      <c r="G81" s="14"/>
      <c r="H81" s="14"/>
      <c r="I81" s="15"/>
    </row>
    <row r="82" spans="1:9">
      <c r="A82" s="14"/>
      <c r="B82" s="14"/>
      <c r="C82" s="14"/>
      <c r="D82" s="14"/>
      <c r="E82" s="14"/>
      <c r="F82" s="15"/>
      <c r="G82" s="14"/>
      <c r="H82" s="14"/>
      <c r="I82" s="15"/>
    </row>
    <row r="83" spans="1:9">
      <c r="A83" s="14"/>
      <c r="B83" s="14"/>
      <c r="C83" s="14"/>
      <c r="D83" s="14"/>
      <c r="E83" s="14"/>
      <c r="F83" s="15"/>
      <c r="G83" s="14"/>
      <c r="H83" s="14"/>
      <c r="I83" s="15"/>
    </row>
    <row r="84" spans="1:9">
      <c r="A84" s="14"/>
      <c r="B84" s="14"/>
      <c r="C84" s="14"/>
      <c r="D84" s="14"/>
      <c r="E84" s="14"/>
      <c r="F84" s="15"/>
      <c r="G84" s="14"/>
      <c r="H84" s="14"/>
      <c r="I84" s="15"/>
    </row>
    <row r="85" spans="1:9">
      <c r="A85" s="14"/>
      <c r="B85" s="14"/>
      <c r="C85" s="14"/>
      <c r="D85" s="14"/>
      <c r="E85" s="14"/>
      <c r="F85" s="15"/>
      <c r="G85" s="14"/>
      <c r="H85" s="14"/>
      <c r="I85" s="15"/>
    </row>
    <row r="86" spans="1:9">
      <c r="A86" s="14"/>
      <c r="B86" s="14"/>
      <c r="C86" s="14"/>
      <c r="D86" s="14"/>
      <c r="E86" s="14"/>
      <c r="F86" s="15"/>
      <c r="G86" s="14"/>
      <c r="H86" s="14"/>
      <c r="I86" s="15"/>
    </row>
    <row r="87" spans="1:9">
      <c r="A87" s="14"/>
      <c r="B87" s="14"/>
      <c r="C87" s="14"/>
      <c r="D87" s="14"/>
      <c r="E87" s="14"/>
      <c r="F87" s="15"/>
      <c r="G87" s="14"/>
      <c r="H87" s="14"/>
      <c r="I87" s="15"/>
    </row>
    <row r="88" spans="1:9">
      <c r="A88" s="14"/>
      <c r="B88" s="14"/>
      <c r="C88" s="14"/>
      <c r="D88" s="14"/>
      <c r="E88" s="14"/>
      <c r="F88" s="15"/>
      <c r="G88" s="14"/>
      <c r="H88" s="14"/>
      <c r="I88" s="15"/>
    </row>
    <row r="89" spans="1:9">
      <c r="A89" s="14"/>
      <c r="B89" s="14"/>
      <c r="C89" s="14"/>
      <c r="D89" s="14"/>
      <c r="E89" s="14"/>
      <c r="F89" s="15"/>
      <c r="G89" s="14"/>
      <c r="H89" s="14"/>
      <c r="I89" s="15"/>
    </row>
    <row r="90" spans="1:9">
      <c r="A90" s="14"/>
      <c r="B90" s="14"/>
      <c r="C90" s="14"/>
      <c r="D90" s="14"/>
      <c r="E90" s="14"/>
      <c r="F90" s="15"/>
      <c r="G90" s="14"/>
      <c r="H90" s="14"/>
      <c r="I90" s="15"/>
    </row>
    <row r="91" spans="1:9">
      <c r="A91" s="14"/>
      <c r="B91" s="14"/>
      <c r="C91" s="14"/>
      <c r="D91" s="14"/>
      <c r="E91" s="14"/>
      <c r="F91" s="15"/>
      <c r="G91" s="14"/>
      <c r="H91" s="14"/>
      <c r="I91" s="15"/>
    </row>
    <row r="92" spans="1:9">
      <c r="A92" s="14"/>
      <c r="B92" s="14"/>
      <c r="C92" s="14"/>
      <c r="D92" s="14"/>
      <c r="E92" s="14"/>
      <c r="F92" s="15"/>
      <c r="G92" s="14"/>
      <c r="H92" s="14"/>
      <c r="I92" s="15"/>
    </row>
    <row r="93" spans="1:9">
      <c r="A93" s="14"/>
      <c r="B93" s="14"/>
      <c r="C93" s="14"/>
      <c r="D93" s="14"/>
      <c r="E93" s="14"/>
      <c r="F93" s="15"/>
      <c r="G93" s="14"/>
      <c r="H93" s="14"/>
      <c r="I93" s="15"/>
    </row>
    <row r="94" spans="1:9">
      <c r="A94" s="14"/>
      <c r="B94" s="14"/>
      <c r="C94" s="14"/>
      <c r="D94" s="14"/>
      <c r="E94" s="14"/>
      <c r="F94" s="15"/>
      <c r="G94" s="14"/>
      <c r="H94" s="14"/>
      <c r="I94" s="15"/>
    </row>
    <row r="95" spans="1:9">
      <c r="A95" s="14"/>
      <c r="B95" s="14"/>
      <c r="C95" s="14"/>
      <c r="D95" s="14"/>
      <c r="E95" s="14"/>
      <c r="F95" s="15"/>
      <c r="G95" s="14"/>
      <c r="H95" s="14"/>
      <c r="I95" s="15"/>
    </row>
    <row r="96" spans="1:9">
      <c r="A96" s="14"/>
      <c r="B96" s="14"/>
      <c r="C96" s="14"/>
      <c r="D96" s="14"/>
      <c r="E96" s="14"/>
      <c r="F96" s="15"/>
      <c r="G96" s="14"/>
      <c r="H96" s="14"/>
      <c r="I96" s="15"/>
    </row>
    <row r="97" spans="1:9">
      <c r="A97" s="14"/>
      <c r="B97" s="14"/>
      <c r="C97" s="14"/>
      <c r="D97" s="14"/>
      <c r="E97" s="14"/>
      <c r="F97" s="15"/>
      <c r="G97" s="14"/>
      <c r="H97" s="14"/>
      <c r="I97" s="15"/>
    </row>
    <row r="98" spans="1:9">
      <c r="A98" s="14"/>
      <c r="B98" s="14"/>
      <c r="C98" s="14"/>
      <c r="D98" s="14"/>
      <c r="E98" s="14"/>
      <c r="F98" s="15"/>
      <c r="G98" s="14"/>
      <c r="H98" s="14"/>
      <c r="I98" s="15"/>
    </row>
    <row r="99" spans="1:9">
      <c r="A99" s="14"/>
      <c r="B99" s="14"/>
      <c r="C99" s="14"/>
      <c r="D99" s="14"/>
      <c r="E99" s="14"/>
      <c r="F99" s="15"/>
      <c r="G99" s="14"/>
      <c r="H99" s="14"/>
      <c r="I99" s="15"/>
    </row>
    <row r="100" spans="1: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>
      <c r="A337" s="14"/>
      <c r="B337" s="14"/>
      <c r="C337" s="14"/>
      <c r="D337" s="14"/>
      <c r="E337" s="14"/>
      <c r="F337" s="15"/>
      <c r="G337" s="14"/>
      <c r="H337" s="14"/>
      <c r="I337" s="15"/>
    </row>
  </sheetData>
  <mergeCells count="4">
    <mergeCell ref="G1:I1"/>
    <mergeCell ref="A1:C1"/>
    <mergeCell ref="D1:F1"/>
    <mergeCell ref="A2:B2"/>
  </mergeCells>
  <conditionalFormatting sqref="F2 I2 F4:F95 I4:I9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6"/>
  <sheetViews>
    <sheetView zoomScale="80" zoomScaleNormal="80" workbookViewId="0">
      <pane xSplit="2" ySplit="3" topLeftCell="C4" activePane="bottomRight" state="frozen"/>
      <selection pane="bottomRight" activeCell="M11" sqref="M11"/>
      <selection pane="bottomLeft" activeCell="A4" sqref="A4:I20"/>
      <selection pane="topRight" activeCell="A4" sqref="A4:I20"/>
    </sheetView>
  </sheetViews>
  <sheetFormatPr defaultRowHeight="14.2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MN8 KEF</v>
      </c>
      <c r="B1" s="76"/>
      <c r="C1" s="76"/>
      <c r="D1" s="77" t="s">
        <v>18</v>
      </c>
      <c r="E1" s="77"/>
      <c r="F1" s="77"/>
      <c r="G1" s="75" t="s">
        <v>19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SUM(C4:C94)</f>
        <v>779580.43176222313</v>
      </c>
      <c r="D2" s="5">
        <f>SUM(D4:D94)</f>
        <v>1198899.99</v>
      </c>
      <c r="E2" s="5">
        <f>C2-D2</f>
        <v>-419319.55823777686</v>
      </c>
      <c r="F2" s="6">
        <f>IFERROR(E2/D2, 0)</f>
        <v>-0.34975357555702113</v>
      </c>
      <c r="G2" s="5">
        <f>SUM(G4:G94)</f>
        <v>1598697.0599999998</v>
      </c>
      <c r="H2" s="7">
        <f>C2-G2</f>
        <v>-819116.62823777669</v>
      </c>
      <c r="I2" s="6">
        <f>IFERROR(H2/G2, 0)</f>
        <v>-0.51236513078830381</v>
      </c>
      <c r="J2" s="1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9" t="s">
        <v>3</v>
      </c>
      <c r="B3" s="19" t="s">
        <v>4</v>
      </c>
      <c r="C3" s="36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42" t="s">
        <v>20</v>
      </c>
      <c r="K3" s="42" t="s">
        <v>21</v>
      </c>
    </row>
    <row r="4" spans="1:11" ht="15.75">
      <c r="A4" s="43" t="str" cm="1">
        <f t="array" ref="A4:A20">Sites[Site]</f>
        <v>Williamsburg A</v>
      </c>
      <c r="B4" s="44" t="str" cm="1">
        <f t="array" ref="B4:B20">Sites[State]</f>
        <v>MA</v>
      </c>
      <c r="C4" s="45">
        <v>34976.740458011598</v>
      </c>
      <c r="D4" s="45">
        <v>63711.839999999997</v>
      </c>
      <c r="E4" s="45">
        <f>IF(AND(ISNUMBER(C4),ISNUMBER(D4)), C4-D4, "")</f>
        <v>-28735.099541988398</v>
      </c>
      <c r="F4" s="46">
        <f>IFERROR(E4/D4, "")</f>
        <v>-0.45101663273244658</v>
      </c>
      <c r="G4" s="47">
        <v>96254.79</v>
      </c>
      <c r="H4" s="47">
        <f>IF(AND(ISNUMBER(C4),ISNUMBER(G4)), C4-G4, "")</f>
        <v>-61278.049541988396</v>
      </c>
      <c r="I4" s="46">
        <f>IFERROR(H4/G4, "")</f>
        <v>-0.63662337782866074</v>
      </c>
      <c r="J4" s="60" t="s">
        <v>22</v>
      </c>
      <c r="K4" s="48" t="s">
        <v>22</v>
      </c>
    </row>
    <row r="5" spans="1:11" ht="30">
      <c r="A5" s="49" t="str">
        <v>Orange A KB</v>
      </c>
      <c r="B5" s="50" t="str">
        <v>MA</v>
      </c>
      <c r="C5" s="51">
        <v>36812.441304211497</v>
      </c>
      <c r="D5" s="51">
        <v>50249.95</v>
      </c>
      <c r="E5" s="51">
        <f t="shared" ref="E5:E15" si="0">IF(AND(ISNUMBER(C5),ISNUMBER(D5)), C5-D5, "")</f>
        <v>-13437.5086957885</v>
      </c>
      <c r="F5" s="52">
        <f t="shared" ref="F5:F20" si="1">IFERROR(E5/D5, "")</f>
        <v>-0.26741337445686014</v>
      </c>
      <c r="G5" s="53">
        <v>78902.03</v>
      </c>
      <c r="H5" s="53">
        <f t="shared" ref="H5:H6" si="2">IF(AND(ISNUMBER(C5),ISNUMBER(G5)), C5-G5, "")</f>
        <v>-42089.588695788501</v>
      </c>
      <c r="I5" s="52">
        <f t="shared" ref="I5:I6" si="3">IFERROR(H5/G5, "")</f>
        <v>-0.53344113827981998</v>
      </c>
      <c r="J5" s="71" t="s">
        <v>23</v>
      </c>
      <c r="K5" s="72" t="s">
        <v>24</v>
      </c>
    </row>
    <row r="6" spans="1:11" ht="45">
      <c r="A6" s="54" t="str">
        <v>Goshen A</v>
      </c>
      <c r="B6" s="44" t="str">
        <v>MA</v>
      </c>
      <c r="C6" s="45">
        <v>25506</v>
      </c>
      <c r="D6" s="45">
        <v>57487.3</v>
      </c>
      <c r="E6" s="45">
        <f t="shared" si="0"/>
        <v>-31981.300000000003</v>
      </c>
      <c r="F6" s="46">
        <f t="shared" si="1"/>
        <v>-0.55631939576219447</v>
      </c>
      <c r="G6" s="47">
        <v>45574.37</v>
      </c>
      <c r="H6" s="47">
        <f t="shared" si="2"/>
        <v>-20068.370000000003</v>
      </c>
      <c r="I6" s="46">
        <f t="shared" si="3"/>
        <v>-0.44034333332528791</v>
      </c>
      <c r="J6" s="69" t="s">
        <v>25</v>
      </c>
      <c r="K6" s="70" t="s">
        <v>26</v>
      </c>
    </row>
    <row r="7" spans="1:11" ht="15.75">
      <c r="A7" s="49" t="str">
        <v>Phillipston A KB</v>
      </c>
      <c r="B7" s="50" t="str">
        <v>MA</v>
      </c>
      <c r="C7" s="51">
        <v>28771</v>
      </c>
      <c r="D7" s="51">
        <v>81174.38</v>
      </c>
      <c r="E7" s="51">
        <f t="shared" si="0"/>
        <v>-52403.380000000005</v>
      </c>
      <c r="F7" s="52">
        <f t="shared" si="1"/>
        <v>-0.64556550970885151</v>
      </c>
      <c r="G7" s="53">
        <v>48828.99</v>
      </c>
      <c r="H7" s="53">
        <f t="shared" ref="H7:H15" si="4">IF(AND(ISNUMBER(C7),ISNUMBER(G7)), C7-G7, "")</f>
        <v>-20057.989999999998</v>
      </c>
      <c r="I7" s="52">
        <f t="shared" ref="I7:I15" si="5">IFERROR(H7/G7, "")</f>
        <v>-0.41078035814379937</v>
      </c>
      <c r="J7" s="71" t="s">
        <v>22</v>
      </c>
      <c r="K7" s="72" t="s">
        <v>22</v>
      </c>
    </row>
    <row r="8" spans="1:11" ht="15.75">
      <c r="A8" s="54" t="str">
        <v>Uxbridge D</v>
      </c>
      <c r="B8" s="44" t="str">
        <v>MA</v>
      </c>
      <c r="C8" s="45">
        <v>42944</v>
      </c>
      <c r="D8" s="45">
        <v>75174.5</v>
      </c>
      <c r="E8" s="45">
        <f t="shared" si="0"/>
        <v>-32230.5</v>
      </c>
      <c r="F8" s="46">
        <f t="shared" si="1"/>
        <v>-0.42874245921156773</v>
      </c>
      <c r="G8" s="47">
        <v>103260</v>
      </c>
      <c r="H8" s="47">
        <f t="shared" si="4"/>
        <v>-60316</v>
      </c>
      <c r="I8" s="46">
        <f t="shared" si="5"/>
        <v>-0.58411776099167156</v>
      </c>
      <c r="J8" s="69" t="s">
        <v>22</v>
      </c>
      <c r="K8" s="70" t="s">
        <v>22</v>
      </c>
    </row>
    <row r="9" spans="1:11" ht="15.75">
      <c r="A9" s="49" t="str">
        <v>West Bridgewater A&amp;B</v>
      </c>
      <c r="B9" s="50" t="str">
        <v>MA</v>
      </c>
      <c r="C9" s="51">
        <v>84322</v>
      </c>
      <c r="D9" s="51">
        <v>126671.7</v>
      </c>
      <c r="E9" s="51">
        <f t="shared" si="0"/>
        <v>-42349.7</v>
      </c>
      <c r="F9" s="52">
        <f t="shared" si="1"/>
        <v>-0.33432645176467984</v>
      </c>
      <c r="G9" s="53">
        <v>169067.9</v>
      </c>
      <c r="H9" s="53">
        <f t="shared" si="4"/>
        <v>-84745.9</v>
      </c>
      <c r="I9" s="52">
        <f t="shared" si="5"/>
        <v>-0.50125363833110836</v>
      </c>
      <c r="J9" s="71" t="s">
        <v>22</v>
      </c>
      <c r="K9" s="72" t="s">
        <v>22</v>
      </c>
    </row>
    <row r="10" spans="1:11" ht="15.75">
      <c r="A10" s="54" t="str">
        <v>Sutton A</v>
      </c>
      <c r="B10" s="44" t="str">
        <v>MA</v>
      </c>
      <c r="C10" s="45">
        <v>30226</v>
      </c>
      <c r="D10" s="45">
        <v>57946.25</v>
      </c>
      <c r="E10" s="45">
        <f t="shared" si="0"/>
        <v>-27720.25</v>
      </c>
      <c r="F10" s="46">
        <f t="shared" si="1"/>
        <v>-0.47837866988804278</v>
      </c>
      <c r="G10" s="47">
        <v>93432.82</v>
      </c>
      <c r="H10" s="47">
        <f t="shared" si="4"/>
        <v>-63206.820000000007</v>
      </c>
      <c r="I10" s="46">
        <f t="shared" si="5"/>
        <v>-0.67649483340008365</v>
      </c>
      <c r="J10" s="69" t="s">
        <v>22</v>
      </c>
      <c r="K10" s="70" t="s">
        <v>22</v>
      </c>
    </row>
    <row r="11" spans="1:11" ht="30">
      <c r="A11" s="49" t="str">
        <v>North Adams A</v>
      </c>
      <c r="B11" s="50" t="str">
        <v>MA</v>
      </c>
      <c r="C11" s="51">
        <v>33659</v>
      </c>
      <c r="D11" s="51">
        <v>55008.74</v>
      </c>
      <c r="E11" s="51">
        <f t="shared" si="0"/>
        <v>-21349.739999999998</v>
      </c>
      <c r="F11" s="52">
        <f t="shared" si="1"/>
        <v>-0.38811541584119175</v>
      </c>
      <c r="G11" s="53">
        <v>98462.86</v>
      </c>
      <c r="H11" s="53">
        <f t="shared" si="4"/>
        <v>-64803.86</v>
      </c>
      <c r="I11" s="52">
        <f t="shared" si="5"/>
        <v>-0.6581553694459007</v>
      </c>
      <c r="J11" s="71" t="s">
        <v>27</v>
      </c>
      <c r="K11" s="72" t="s">
        <v>28</v>
      </c>
    </row>
    <row r="12" spans="1:11" ht="15.75">
      <c r="A12" s="54" t="str">
        <v>North Adams B</v>
      </c>
      <c r="B12" s="44" t="str">
        <v>MA</v>
      </c>
      <c r="C12" s="45">
        <v>25714</v>
      </c>
      <c r="D12" s="45">
        <v>47004.33</v>
      </c>
      <c r="E12" s="45">
        <f t="shared" si="0"/>
        <v>-21290.33</v>
      </c>
      <c r="F12" s="46">
        <f t="shared" si="1"/>
        <v>-0.45294401600873796</v>
      </c>
      <c r="G12" s="47">
        <v>98462.86</v>
      </c>
      <c r="H12" s="47">
        <f t="shared" si="4"/>
        <v>-72748.86</v>
      </c>
      <c r="I12" s="46">
        <f t="shared" si="5"/>
        <v>-0.73884569268046851</v>
      </c>
      <c r="J12" s="69" t="s">
        <v>22</v>
      </c>
      <c r="K12" s="70" t="s">
        <v>22</v>
      </c>
    </row>
    <row r="13" spans="1:11" ht="15.75">
      <c r="A13" s="49" t="str">
        <v>Clarksburg A</v>
      </c>
      <c r="B13" s="50" t="str">
        <v>MA</v>
      </c>
      <c r="C13" s="51">
        <v>25169</v>
      </c>
      <c r="D13" s="51">
        <v>48116.73</v>
      </c>
      <c r="E13" s="51">
        <f t="shared" si="0"/>
        <v>-22947.730000000003</v>
      </c>
      <c r="F13" s="52">
        <f t="shared" si="1"/>
        <v>-0.47691790360650033</v>
      </c>
      <c r="G13" s="53">
        <v>98015.59</v>
      </c>
      <c r="H13" s="53">
        <f t="shared" si="4"/>
        <v>-72846.59</v>
      </c>
      <c r="I13" s="52">
        <f t="shared" si="5"/>
        <v>-0.74321431927308701</v>
      </c>
      <c r="J13" s="71" t="s">
        <v>22</v>
      </c>
      <c r="K13" s="72" t="s">
        <v>22</v>
      </c>
    </row>
    <row r="14" spans="1:11" ht="30">
      <c r="A14" s="54" t="str">
        <v>Swansea B</v>
      </c>
      <c r="B14" s="44" t="str">
        <v>MA</v>
      </c>
      <c r="C14" s="45">
        <v>54645</v>
      </c>
      <c r="D14" s="45">
        <v>81330.64</v>
      </c>
      <c r="E14" s="45">
        <f t="shared" si="0"/>
        <v>-26685.64</v>
      </c>
      <c r="F14" s="46">
        <f t="shared" si="1"/>
        <v>-0.32811299652873749</v>
      </c>
      <c r="G14" s="47">
        <v>50080.160000000003</v>
      </c>
      <c r="H14" s="47">
        <f t="shared" si="4"/>
        <v>4564.8399999999965</v>
      </c>
      <c r="I14" s="46">
        <f t="shared" si="5"/>
        <v>9.11506672502643E-2</v>
      </c>
      <c r="J14" s="69" t="s">
        <v>29</v>
      </c>
      <c r="K14" s="70" t="s">
        <v>30</v>
      </c>
    </row>
    <row r="15" spans="1:11" ht="15.75">
      <c r="A15" s="49" t="str">
        <v>Wareham 2</v>
      </c>
      <c r="B15" s="50" t="str">
        <v>MA</v>
      </c>
      <c r="C15" s="51">
        <v>59387.25</v>
      </c>
      <c r="D15" s="51">
        <v>65302.43</v>
      </c>
      <c r="E15" s="51">
        <f t="shared" si="0"/>
        <v>-5915.18</v>
      </c>
      <c r="F15" s="52">
        <f t="shared" si="1"/>
        <v>-9.0581315274178925E-2</v>
      </c>
      <c r="G15" s="53">
        <v>103231.1</v>
      </c>
      <c r="H15" s="53">
        <f t="shared" si="4"/>
        <v>-43843.850000000006</v>
      </c>
      <c r="I15" s="52">
        <f t="shared" si="5"/>
        <v>-0.42471551693239734</v>
      </c>
      <c r="J15" s="71" t="s">
        <v>22</v>
      </c>
      <c r="K15" s="72" t="s">
        <v>22</v>
      </c>
    </row>
    <row r="16" spans="1:11" ht="45">
      <c r="A16" s="54" t="str">
        <v>Kingston 1 KB</v>
      </c>
      <c r="B16" s="44" t="str">
        <v>MA</v>
      </c>
      <c r="C16" s="45">
        <v>46172</v>
      </c>
      <c r="D16" s="45">
        <v>64095.79</v>
      </c>
      <c r="E16" s="45">
        <f t="shared" ref="E16:E20" si="6">IF(AND(ISNUMBER(C16),ISNUMBER(D16)), C16-D16, "")</f>
        <v>-17923.79</v>
      </c>
      <c r="F16" s="46">
        <f t="shared" si="1"/>
        <v>-0.27964067530800385</v>
      </c>
      <c r="G16" s="47">
        <v>78554.16</v>
      </c>
      <c r="H16" s="47">
        <f t="shared" ref="H16:H17" si="7">IF(AND(ISNUMBER(C16),ISNUMBER(G16)), C16-G16, "")</f>
        <v>-32382.160000000003</v>
      </c>
      <c r="I16" s="46">
        <f t="shared" ref="I16:I17" si="8">IFERROR(H16/G16, "")</f>
        <v>-0.41222718185771451</v>
      </c>
      <c r="J16" s="69" t="s">
        <v>31</v>
      </c>
      <c r="K16" s="70" t="s">
        <v>32</v>
      </c>
    </row>
    <row r="17" spans="1:11" ht="45">
      <c r="A17" s="49" t="str">
        <v>Kingston 2 KB</v>
      </c>
      <c r="B17" s="55" t="str">
        <v>MA</v>
      </c>
      <c r="C17" s="51">
        <v>38326</v>
      </c>
      <c r="D17" s="51">
        <v>38638.25</v>
      </c>
      <c r="E17" s="51">
        <f t="shared" si="6"/>
        <v>-312.25</v>
      </c>
      <c r="F17" s="46">
        <f t="shared" si="1"/>
        <v>-8.0813701448693969E-3</v>
      </c>
      <c r="G17" s="53">
        <v>63052.82</v>
      </c>
      <c r="H17" s="53">
        <f t="shared" si="7"/>
        <v>-24726.82</v>
      </c>
      <c r="I17" s="46">
        <f t="shared" si="8"/>
        <v>-0.39216041407822838</v>
      </c>
      <c r="J17" s="71" t="s">
        <v>31</v>
      </c>
      <c r="K17" s="72" t="s">
        <v>33</v>
      </c>
    </row>
    <row r="18" spans="1:11" ht="15.75">
      <c r="A18" s="54" t="str">
        <v>Holliston B</v>
      </c>
      <c r="B18" s="56" t="str">
        <v>MA</v>
      </c>
      <c r="C18" s="45">
        <v>32229</v>
      </c>
      <c r="D18" s="45">
        <v>61034.62</v>
      </c>
      <c r="E18" s="45">
        <f t="shared" si="6"/>
        <v>-28805.620000000003</v>
      </c>
      <c r="F18" s="46">
        <f t="shared" si="1"/>
        <v>-0.47195542464260448</v>
      </c>
      <c r="G18" s="47">
        <v>98146.17</v>
      </c>
      <c r="H18" s="47">
        <f t="shared" ref="H18:H20" si="9">IF(AND(ISNUMBER(C18),ISNUMBER(G18)), C18-G18, "")</f>
        <v>-65917.17</v>
      </c>
      <c r="I18" s="46">
        <f t="shared" ref="I18:I20" si="10">IFERROR(H18/G18, "")</f>
        <v>-0.67162243824695345</v>
      </c>
      <c r="J18" s="69" t="s">
        <v>22</v>
      </c>
      <c r="K18" s="70" t="s">
        <v>22</v>
      </c>
    </row>
    <row r="19" spans="1:11" ht="60">
      <c r="A19" s="49" t="str">
        <v>Fairhaven C</v>
      </c>
      <c r="B19" s="55" t="str">
        <v>MA</v>
      </c>
      <c r="C19" s="51">
        <v>120080</v>
      </c>
      <c r="D19" s="51">
        <v>148303.4</v>
      </c>
      <c r="E19" s="51">
        <f t="shared" si="6"/>
        <v>-28223.399999999994</v>
      </c>
      <c r="F19" s="46">
        <f t="shared" si="1"/>
        <v>-0.19030851619045819</v>
      </c>
      <c r="G19" s="53">
        <v>176726.2</v>
      </c>
      <c r="H19" s="53">
        <f t="shared" si="9"/>
        <v>-56646.200000000012</v>
      </c>
      <c r="I19" s="46">
        <f t="shared" si="10"/>
        <v>-0.32053085507412032</v>
      </c>
      <c r="J19" s="71" t="s">
        <v>34</v>
      </c>
      <c r="K19" s="72" t="s">
        <v>35</v>
      </c>
    </row>
    <row r="20" spans="1:11" ht="30">
      <c r="A20" s="54" t="str">
        <v>Plympton A-2</v>
      </c>
      <c r="B20" s="56" t="str">
        <v>MA</v>
      </c>
      <c r="C20" s="45">
        <v>60641</v>
      </c>
      <c r="D20" s="45">
        <v>77649.14</v>
      </c>
      <c r="E20" s="45">
        <f t="shared" si="6"/>
        <v>-17008.14</v>
      </c>
      <c r="F20" s="46">
        <f t="shared" si="1"/>
        <v>-0.21903835638102365</v>
      </c>
      <c r="G20" s="47">
        <v>98644.24</v>
      </c>
      <c r="H20" s="47">
        <f t="shared" si="9"/>
        <v>-38003.240000000005</v>
      </c>
      <c r="I20" s="46">
        <f t="shared" si="10"/>
        <v>-0.38525554051610111</v>
      </c>
      <c r="J20" s="69" t="s">
        <v>36</v>
      </c>
      <c r="K20" s="70" t="s">
        <v>37</v>
      </c>
    </row>
    <row r="21" spans="1:11" ht="15">
      <c r="A21" s="14"/>
      <c r="B21" s="20"/>
      <c r="C21" s="30"/>
      <c r="D21" s="14"/>
      <c r="E21" s="14"/>
      <c r="F21" s="14"/>
      <c r="G21" s="14"/>
      <c r="H21" s="14"/>
      <c r="I21" s="14"/>
      <c r="J21" s="31"/>
      <c r="K21" s="14"/>
    </row>
    <row r="22" spans="1:11" ht="15">
      <c r="A22" s="14"/>
      <c r="B22" s="20"/>
      <c r="C22" s="14"/>
      <c r="D22" s="14"/>
      <c r="E22" s="14"/>
      <c r="F22" s="14"/>
      <c r="G22" s="14"/>
      <c r="H22" s="14"/>
      <c r="I22" s="14"/>
      <c r="J22" s="28"/>
      <c r="K22" s="14"/>
    </row>
    <row r="23" spans="1:11" ht="1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>
      <c r="A27" s="14"/>
      <c r="B27" s="20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</sheetData>
  <mergeCells count="4">
    <mergeCell ref="D1:F1"/>
    <mergeCell ref="A1:C1"/>
    <mergeCell ref="G1:I1"/>
    <mergeCell ref="A2:B2"/>
  </mergeCells>
  <conditionalFormatting sqref="F2 I2 I4:I94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4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7"/>
  <sheetViews>
    <sheetView zoomScale="90" zoomScaleNormal="90" workbookViewId="0">
      <pane xSplit="2" ySplit="3" topLeftCell="C4" activePane="bottomRight" state="frozen"/>
      <selection pane="bottomRight" activeCell="J5" sqref="J5"/>
      <selection pane="bottomLeft" activeCell="A4" sqref="A4:I20"/>
      <selection pane="topRight" activeCell="A4" sqref="A4:I20"/>
    </sheetView>
  </sheetViews>
  <sheetFormatPr defaultRowHeight="14.2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MN8 KEF</v>
      </c>
      <c r="B1" s="76"/>
      <c r="C1" s="76"/>
      <c r="D1" s="77" t="s">
        <v>38</v>
      </c>
      <c r="E1" s="77"/>
      <c r="F1" s="77"/>
      <c r="G1" s="75" t="s">
        <v>39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SUM(C4:C95)</f>
        <v>1996105.2104538491</v>
      </c>
      <c r="D2" s="5">
        <f>SUM(D4:D95)</f>
        <v>2188725.0799999996</v>
      </c>
      <c r="E2" s="5">
        <f>C2-D2</f>
        <v>-192619.86954615056</v>
      </c>
      <c r="F2" s="6">
        <f>IFERROR(E2/D2, 0)</f>
        <v>-8.8005511202051287E-2</v>
      </c>
      <c r="G2" s="5">
        <f>SUM(G4:G95)</f>
        <v>1959995.17</v>
      </c>
      <c r="H2" s="7">
        <f>C2-G2</f>
        <v>36110.040453849128</v>
      </c>
      <c r="I2" s="6">
        <f>IFERROR(H2/G2, 0)</f>
        <v>1.8423535428329207E-2</v>
      </c>
      <c r="J2" s="1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43" t="str" cm="1">
        <f t="array" ref="A4:A20">Sites[Site]</f>
        <v>Williamsburg A</v>
      </c>
      <c r="B4" s="44" t="str" cm="1">
        <f t="array" ref="B4:B20">Sites[State]</f>
        <v>MA</v>
      </c>
      <c r="C4" s="57">
        <v>129427.323282445</v>
      </c>
      <c r="D4" s="45">
        <v>137302.39999999999</v>
      </c>
      <c r="E4" s="45">
        <f>IF(AND(ISNUMBER(C4),ISNUMBER(D4)), C4-D4, "")</f>
        <v>-7875.076717554999</v>
      </c>
      <c r="F4" s="58">
        <f>IFERROR(E4/D4, "")</f>
        <v>-5.7355710588853505E-2</v>
      </c>
      <c r="G4" s="47">
        <v>113866</v>
      </c>
      <c r="H4" s="47">
        <f>IF(AND(ISNUMBER(C4),ISNUMBER(G4)), C4-G4, "")</f>
        <v>15561.323282444995</v>
      </c>
      <c r="I4" s="46">
        <f>IFERROR(H4/G4, "")</f>
        <v>0.13666347533455989</v>
      </c>
      <c r="J4" s="60"/>
      <c r="K4" s="48"/>
    </row>
    <row r="5" spans="1:11" ht="32.450000000000003" customHeight="1">
      <c r="A5" s="49" t="str">
        <v>Orange A KB</v>
      </c>
      <c r="B5" s="50" t="str">
        <v>MA</v>
      </c>
      <c r="C5" s="59">
        <v>103151.887171404</v>
      </c>
      <c r="D5" s="51">
        <v>104286.39999999999</v>
      </c>
      <c r="E5" s="51">
        <f t="shared" ref="E5:E15" si="0">IF(AND(ISNUMBER(C5),ISNUMBER(D5)), C5-D5, "")</f>
        <v>-1134.5128285959945</v>
      </c>
      <c r="F5" s="52">
        <f>IFERROR(E5/D5, "")</f>
        <v>-1.0878818605263914E-2</v>
      </c>
      <c r="G5" s="53">
        <v>95699.56</v>
      </c>
      <c r="H5" s="53">
        <f t="shared" ref="H5:H15" si="1">IF(AND(ISNUMBER(C5),ISNUMBER(G5)), C5-G5, "")</f>
        <v>7452.327171404002</v>
      </c>
      <c r="I5" s="52">
        <f t="shared" ref="I5:I15" si="2">IFERROR(H5/G5, "")</f>
        <v>7.7872115309662884E-2</v>
      </c>
      <c r="J5" s="71" t="s">
        <v>40</v>
      </c>
      <c r="K5" s="72" t="s">
        <v>41</v>
      </c>
    </row>
    <row r="6" spans="1:11" ht="30">
      <c r="A6" s="54" t="str">
        <v>Goshen A</v>
      </c>
      <c r="B6" s="44" t="str">
        <v>MA</v>
      </c>
      <c r="C6" s="57">
        <v>115740</v>
      </c>
      <c r="D6" s="45">
        <v>124956.1</v>
      </c>
      <c r="E6" s="45">
        <f t="shared" si="0"/>
        <v>-9216.1000000000058</v>
      </c>
      <c r="F6" s="58">
        <f t="shared" ref="F6:F15" si="3">IFERROR(E6/D6, "")</f>
        <v>-7.3754702651571274E-2</v>
      </c>
      <c r="G6" s="47">
        <v>59464.02</v>
      </c>
      <c r="H6" s="47">
        <f t="shared" si="1"/>
        <v>56275.98</v>
      </c>
      <c r="I6" s="46">
        <f t="shared" si="2"/>
        <v>0.94638707574765391</v>
      </c>
      <c r="J6" s="69" t="s">
        <v>42</v>
      </c>
      <c r="K6" s="70" t="s">
        <v>43</v>
      </c>
    </row>
    <row r="7" spans="1:11" ht="15.75">
      <c r="A7" s="49" t="str">
        <v>Phillipston A KB</v>
      </c>
      <c r="B7" s="50" t="str">
        <v>MA</v>
      </c>
      <c r="C7" s="59">
        <v>119297</v>
      </c>
      <c r="D7" s="51">
        <v>156008.79999999999</v>
      </c>
      <c r="E7" s="51">
        <f t="shared" si="0"/>
        <v>-36711.799999999988</v>
      </c>
      <c r="F7" s="52">
        <f t="shared" si="3"/>
        <v>-0.23531877688950875</v>
      </c>
      <c r="G7" s="53">
        <v>69074.69</v>
      </c>
      <c r="H7" s="53">
        <f t="shared" si="1"/>
        <v>50222.31</v>
      </c>
      <c r="I7" s="52">
        <f t="shared" si="2"/>
        <v>0.72707253554087603</v>
      </c>
      <c r="J7" s="71"/>
      <c r="K7" s="68"/>
    </row>
    <row r="8" spans="1:11" ht="15.75">
      <c r="A8" s="54" t="str">
        <v>Uxbridge D</v>
      </c>
      <c r="B8" s="44" t="str">
        <v>MA</v>
      </c>
      <c r="C8" s="57">
        <v>130995</v>
      </c>
      <c r="D8" s="45">
        <v>137973</v>
      </c>
      <c r="E8" s="45">
        <f t="shared" si="0"/>
        <v>-6978</v>
      </c>
      <c r="F8" s="58">
        <f t="shared" si="3"/>
        <v>-5.057511252201518E-2</v>
      </c>
      <c r="G8" s="47">
        <v>125233.8</v>
      </c>
      <c r="H8" s="47">
        <f t="shared" si="1"/>
        <v>5761.1999999999971</v>
      </c>
      <c r="I8" s="46">
        <f t="shared" si="2"/>
        <v>4.600355495081996E-2</v>
      </c>
      <c r="J8" s="69"/>
      <c r="K8" s="70"/>
    </row>
    <row r="9" spans="1:11" ht="15.75">
      <c r="A9" s="49" t="str">
        <v>West Bridgewater A&amp;B</v>
      </c>
      <c r="B9" s="50" t="str">
        <v>MA</v>
      </c>
      <c r="C9" s="59">
        <v>191715</v>
      </c>
      <c r="D9" s="51">
        <v>209729.7</v>
      </c>
      <c r="E9" s="51">
        <f t="shared" si="0"/>
        <v>-18014.700000000012</v>
      </c>
      <c r="F9" s="52">
        <f t="shared" si="3"/>
        <v>-8.5894844650042462E-2</v>
      </c>
      <c r="G9" s="53">
        <v>203452.79999999999</v>
      </c>
      <c r="H9" s="53">
        <f t="shared" si="1"/>
        <v>-11737.799999999988</v>
      </c>
      <c r="I9" s="52">
        <f t="shared" si="2"/>
        <v>-5.7692988250837483E-2</v>
      </c>
      <c r="J9" s="71"/>
      <c r="K9" s="68"/>
    </row>
    <row r="10" spans="1:11" ht="15.75">
      <c r="A10" s="54" t="str">
        <v>Sutton A</v>
      </c>
      <c r="B10" s="44" t="str">
        <v>MA</v>
      </c>
      <c r="C10" s="57">
        <v>95646</v>
      </c>
      <c r="D10" s="45">
        <v>114772</v>
      </c>
      <c r="E10" s="45">
        <f t="shared" si="0"/>
        <v>-19126</v>
      </c>
      <c r="F10" s="58">
        <f t="shared" si="3"/>
        <v>-0.166643432196006</v>
      </c>
      <c r="G10" s="47">
        <v>115682.6</v>
      </c>
      <c r="H10" s="47">
        <f t="shared" si="1"/>
        <v>-20036.600000000006</v>
      </c>
      <c r="I10" s="46">
        <f t="shared" si="2"/>
        <v>-0.17320323021785475</v>
      </c>
      <c r="J10" s="69"/>
      <c r="K10" s="70"/>
    </row>
    <row r="11" spans="1:11" ht="30">
      <c r="A11" s="49" t="str">
        <v>North Adams A</v>
      </c>
      <c r="B11" s="50" t="str">
        <v>MA</v>
      </c>
      <c r="C11" s="59">
        <v>112525</v>
      </c>
      <c r="D11" s="51">
        <v>120744.9</v>
      </c>
      <c r="E11" s="51">
        <f t="shared" si="0"/>
        <v>-8219.8999999999942</v>
      </c>
      <c r="F11" s="52">
        <f t="shared" si="3"/>
        <v>-6.8076581288319379E-2</v>
      </c>
      <c r="G11" s="53">
        <v>119388.7</v>
      </c>
      <c r="H11" s="53">
        <f t="shared" si="1"/>
        <v>-6863.6999999999971</v>
      </c>
      <c r="I11" s="52">
        <f t="shared" si="2"/>
        <v>-5.7490365503602911E-2</v>
      </c>
      <c r="J11" s="71" t="s">
        <v>44</v>
      </c>
      <c r="K11" s="68" t="s">
        <v>28</v>
      </c>
    </row>
    <row r="12" spans="1:11" ht="15.75">
      <c r="A12" s="54" t="str">
        <v>North Adams B</v>
      </c>
      <c r="B12" s="44" t="str">
        <v>MA</v>
      </c>
      <c r="C12" s="57">
        <v>107095</v>
      </c>
      <c r="D12" s="45">
        <v>104225.4</v>
      </c>
      <c r="E12" s="45">
        <f t="shared" si="0"/>
        <v>2869.6000000000058</v>
      </c>
      <c r="F12" s="58">
        <f t="shared" si="3"/>
        <v>2.7532635998518653E-2</v>
      </c>
      <c r="G12" s="47">
        <v>119388.7</v>
      </c>
      <c r="H12" s="47">
        <f t="shared" si="1"/>
        <v>-12293.699999999997</v>
      </c>
      <c r="I12" s="46">
        <f t="shared" si="2"/>
        <v>-0.10297205681944771</v>
      </c>
      <c r="J12" s="69"/>
      <c r="K12" s="70"/>
    </row>
    <row r="13" spans="1:11" ht="15.75">
      <c r="A13" s="49" t="str">
        <v>Clarksburg A</v>
      </c>
      <c r="B13" s="50" t="str">
        <v>MA</v>
      </c>
      <c r="C13" s="59">
        <v>116505</v>
      </c>
      <c r="D13" s="51">
        <v>117091.1</v>
      </c>
      <c r="E13" s="51">
        <f t="shared" si="0"/>
        <v>-586.10000000000582</v>
      </c>
      <c r="F13" s="52">
        <f t="shared" si="3"/>
        <v>-5.0055042612120459E-3</v>
      </c>
      <c r="G13" s="53">
        <v>118846.2</v>
      </c>
      <c r="H13" s="53">
        <f t="shared" si="1"/>
        <v>-2341.1999999999971</v>
      </c>
      <c r="I13" s="52">
        <f t="shared" si="2"/>
        <v>-1.969940982547189E-2</v>
      </c>
      <c r="J13" s="71"/>
      <c r="K13" s="68"/>
    </row>
    <row r="14" spans="1:11" ht="15.75">
      <c r="A14" s="54" t="str">
        <v>Swansea B</v>
      </c>
      <c r="B14" s="44" t="str">
        <v>MA</v>
      </c>
      <c r="C14" s="57">
        <v>117946</v>
      </c>
      <c r="D14" s="45">
        <v>130137.5</v>
      </c>
      <c r="E14" s="45">
        <f t="shared" si="0"/>
        <v>-12191.5</v>
      </c>
      <c r="F14" s="58">
        <f t="shared" si="3"/>
        <v>-9.3681682835462493E-2</v>
      </c>
      <c r="G14" s="47">
        <v>66792.55</v>
      </c>
      <c r="H14" s="47">
        <f t="shared" si="1"/>
        <v>51153.45</v>
      </c>
      <c r="I14" s="46">
        <f t="shared" si="2"/>
        <v>0.76585562311964428</v>
      </c>
      <c r="J14" s="69"/>
      <c r="K14" s="70"/>
    </row>
    <row r="15" spans="1:11" ht="34.5" customHeight="1">
      <c r="A15" s="49" t="str">
        <v>Wareham 2</v>
      </c>
      <c r="B15" s="50" t="str">
        <v>MA</v>
      </c>
      <c r="C15" s="59">
        <v>88759</v>
      </c>
      <c r="D15" s="51">
        <v>98078.5</v>
      </c>
      <c r="E15" s="51">
        <f t="shared" si="0"/>
        <v>-9319.5</v>
      </c>
      <c r="F15" s="52">
        <f t="shared" si="3"/>
        <v>-9.5020825155360242E-2</v>
      </c>
      <c r="G15" s="53">
        <v>123998.2</v>
      </c>
      <c r="H15" s="53">
        <f t="shared" si="1"/>
        <v>-35239.199999999997</v>
      </c>
      <c r="I15" s="52">
        <f t="shared" si="2"/>
        <v>-0.28419122213064379</v>
      </c>
      <c r="J15" s="71" t="s">
        <v>45</v>
      </c>
      <c r="K15" s="68" t="s">
        <v>46</v>
      </c>
    </row>
    <row r="16" spans="1:11" ht="63" customHeight="1">
      <c r="A16" s="54" t="str">
        <v>Kingston 1 KB</v>
      </c>
      <c r="B16" s="44" t="str">
        <v>MA</v>
      </c>
      <c r="C16" s="57">
        <v>90493</v>
      </c>
      <c r="D16" s="45">
        <v>102655.2</v>
      </c>
      <c r="E16" s="45">
        <f t="shared" ref="E16:E20" si="4">IF(AND(ISNUMBER(C16),ISNUMBER(D16)), C16-D16, "")</f>
        <v>-12162.199999999997</v>
      </c>
      <c r="F16" s="58">
        <f t="shared" ref="F16:F20" si="5">IFERROR(E16/D16, "")</f>
        <v>-0.11847621942190943</v>
      </c>
      <c r="G16" s="47">
        <v>97249.23</v>
      </c>
      <c r="H16" s="47">
        <f t="shared" ref="H16:H20" si="6">IF(AND(ISNUMBER(C16),ISNUMBER(G16)), C16-G16, "")</f>
        <v>-6756.2299999999959</v>
      </c>
      <c r="I16" s="46">
        <f t="shared" ref="I16:I20" si="7">IFERROR(H16/G16, "")</f>
        <v>-6.9473352128340715E-2</v>
      </c>
      <c r="J16" s="69" t="s">
        <v>47</v>
      </c>
      <c r="K16" s="70" t="s">
        <v>48</v>
      </c>
    </row>
    <row r="17" spans="1:11" ht="15.75">
      <c r="A17" s="49" t="str">
        <v>Kingston 2 KB</v>
      </c>
      <c r="B17" s="50" t="str">
        <v>MA</v>
      </c>
      <c r="C17" s="59">
        <v>76899</v>
      </c>
      <c r="D17" s="51">
        <v>66380.179999999993</v>
      </c>
      <c r="E17" s="51">
        <f t="shared" si="4"/>
        <v>10518.820000000007</v>
      </c>
      <c r="F17" s="52">
        <f t="shared" si="5"/>
        <v>0.15846326418518311</v>
      </c>
      <c r="G17" s="53">
        <v>78058.62</v>
      </c>
      <c r="H17" s="53">
        <f t="shared" si="6"/>
        <v>-1159.6199999999953</v>
      </c>
      <c r="I17" s="52">
        <f t="shared" si="7"/>
        <v>-1.4855758403107759E-2</v>
      </c>
      <c r="J17" s="71" t="s">
        <v>49</v>
      </c>
      <c r="K17" s="72" t="s">
        <v>50</v>
      </c>
    </row>
    <row r="18" spans="1:11" ht="12.75" customHeight="1">
      <c r="A18" s="43" t="str">
        <v>Holliston B</v>
      </c>
      <c r="B18" s="44" t="str">
        <v>MA</v>
      </c>
      <c r="C18" s="57">
        <v>111207</v>
      </c>
      <c r="D18" s="45">
        <v>124683.7</v>
      </c>
      <c r="E18" s="45">
        <f t="shared" si="4"/>
        <v>-13476.699999999997</v>
      </c>
      <c r="F18" s="52">
        <f t="shared" si="5"/>
        <v>-0.10808710360696705</v>
      </c>
      <c r="G18" s="47">
        <v>121518</v>
      </c>
      <c r="H18" s="47">
        <f t="shared" si="6"/>
        <v>-10311</v>
      </c>
      <c r="I18" s="46">
        <f t="shared" si="7"/>
        <v>-8.4851626919468723E-2</v>
      </c>
      <c r="J18" s="69"/>
      <c r="K18" s="70"/>
    </row>
    <row r="19" spans="1:11" ht="15.75">
      <c r="A19" s="49" t="str">
        <v>Fairhaven C</v>
      </c>
      <c r="B19" s="50" t="str">
        <v>MA</v>
      </c>
      <c r="C19" s="59">
        <v>187036</v>
      </c>
      <c r="D19" s="51">
        <v>219891.7</v>
      </c>
      <c r="E19" s="51">
        <f t="shared" si="4"/>
        <v>-32855.700000000012</v>
      </c>
      <c r="F19" s="52">
        <f t="shared" si="5"/>
        <v>-0.14941764514076708</v>
      </c>
      <c r="G19" s="53">
        <v>212087.3</v>
      </c>
      <c r="H19" s="53">
        <f t="shared" si="6"/>
        <v>-25051.299999999988</v>
      </c>
      <c r="I19" s="52">
        <f t="shared" si="7"/>
        <v>-0.11811786938680435</v>
      </c>
      <c r="J19" s="71" t="s">
        <v>51</v>
      </c>
      <c r="K19" s="72" t="s">
        <v>52</v>
      </c>
    </row>
    <row r="20" spans="1:11" ht="15.75">
      <c r="A20" s="54" t="str">
        <v>Plympton A-2</v>
      </c>
      <c r="B20" s="44" t="str">
        <v>MA</v>
      </c>
      <c r="C20" s="57">
        <v>101668</v>
      </c>
      <c r="D20" s="45">
        <v>119808.5</v>
      </c>
      <c r="E20" s="45">
        <f t="shared" si="4"/>
        <v>-18140.5</v>
      </c>
      <c r="F20" s="52">
        <f t="shared" si="5"/>
        <v>-0.15141246238789402</v>
      </c>
      <c r="G20" s="47">
        <v>120194.2</v>
      </c>
      <c r="H20" s="47">
        <f t="shared" si="6"/>
        <v>-18526.199999999997</v>
      </c>
      <c r="I20" s="52">
        <f t="shared" si="7"/>
        <v>-0.15413555728978601</v>
      </c>
      <c r="J20" s="69"/>
      <c r="K20" s="70"/>
    </row>
    <row r="21" spans="1:11" ht="1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7"/>
  <sheetViews>
    <sheetView tabSelected="1" workbookViewId="0">
      <pane xSplit="2" ySplit="3" topLeftCell="C4" activePane="bottomRight" state="frozen"/>
      <selection pane="bottomRight" activeCell="J13" sqref="J13"/>
      <selection pane="bottomLeft" activeCell="A4" sqref="A4:I20"/>
      <selection pane="topRight" activeCell="A4" sqref="A4:I20"/>
    </sheetView>
  </sheetViews>
  <sheetFormatPr defaultRowHeight="14.2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MN8 KEF</v>
      </c>
      <c r="B1" s="76"/>
      <c r="C1" s="76"/>
      <c r="D1" s="77" t="s">
        <v>53</v>
      </c>
      <c r="E1" s="77"/>
      <c r="F1" s="77"/>
      <c r="G1" s="75" t="s">
        <v>54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SUM(C4:C95)</f>
        <v>2286213.3977280268</v>
      </c>
      <c r="D2" s="5">
        <f>SUM(D4:D95)</f>
        <v>2355311.84</v>
      </c>
      <c r="E2" s="5">
        <f>C2-D2</f>
        <v>-69098.442271973006</v>
      </c>
      <c r="F2" s="6">
        <f>IFERROR(E2/D2, 0)</f>
        <v>-2.9337279717480218E-2</v>
      </c>
      <c r="G2" s="5">
        <f>SUM(G4:G95)</f>
        <v>2573917.2999999998</v>
      </c>
      <c r="H2" s="7">
        <f>C2-G2</f>
        <v>-287703.90227197297</v>
      </c>
      <c r="I2" s="6">
        <f>IFERROR(H2/G2, 0)</f>
        <v>-0.1117766690763425</v>
      </c>
      <c r="J2" s="1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135110.03053435101</v>
      </c>
      <c r="D4" s="45">
        <v>142317.5</v>
      </c>
      <c r="E4" s="45">
        <f>IF(AND(ISNUMBER(C4),ISNUMBER(D4)), C4-D4, "")</f>
        <v>-7207.4694656489883</v>
      </c>
      <c r="F4" s="58">
        <f>IFERROR(E4/D4, "")</f>
        <v>-5.0643592429947044E-2</v>
      </c>
      <c r="G4" s="47">
        <v>148092.70000000001</v>
      </c>
      <c r="H4" s="47">
        <f>IF(AND(ISNUMBER(C4),ISNUMBER(G4)), C4-G4, "")</f>
        <v>-12982.669465649</v>
      </c>
      <c r="I4" s="46">
        <f>IFERROR(H4/G4, "")</f>
        <v>-8.7665830021662103E-2</v>
      </c>
      <c r="J4" s="27"/>
      <c r="K4" s="27"/>
    </row>
    <row r="5" spans="1:11" ht="15.75">
      <c r="A5" s="55" t="str">
        <v>Orange A KB</v>
      </c>
      <c r="B5" s="50" t="str">
        <v>MA</v>
      </c>
      <c r="C5" s="59">
        <v>107315.3671936756</v>
      </c>
      <c r="D5" s="51">
        <v>104368.1</v>
      </c>
      <c r="E5" s="51">
        <f t="shared" ref="E5:E20" si="0">IF(AND(ISNUMBER(C5),ISNUMBER(D5)), C5-D5, "")</f>
        <v>2947.2671936755942</v>
      </c>
      <c r="F5" s="52">
        <f>IFERROR(E5/D5, "")</f>
        <v>2.8239157306452777E-2</v>
      </c>
      <c r="G5" s="53">
        <v>123550.3</v>
      </c>
      <c r="H5" s="53">
        <f t="shared" ref="H5:H20" si="1">IF(AND(ISNUMBER(C5),ISNUMBER(G5)), C5-G5, "")</f>
        <v>-16234.932806324403</v>
      </c>
      <c r="I5" s="52">
        <f t="shared" ref="I5:I20" si="2">IFERROR(H5/G5, "")</f>
        <v>-0.13140342683364106</v>
      </c>
      <c r="J5" s="28"/>
      <c r="K5" s="28"/>
    </row>
    <row r="6" spans="1:11" ht="30.75">
      <c r="A6" s="56" t="str">
        <v>Goshen A</v>
      </c>
      <c r="B6" s="44" t="str">
        <v>MA</v>
      </c>
      <c r="C6" s="57">
        <v>120599</v>
      </c>
      <c r="D6" s="45">
        <v>126112.1</v>
      </c>
      <c r="E6" s="45">
        <f t="shared" si="0"/>
        <v>-5513.1000000000058</v>
      </c>
      <c r="F6" s="58">
        <f t="shared" ref="F6:F20" si="3">IFERROR(E6/D6, "")</f>
        <v>-4.3715868659708348E-2</v>
      </c>
      <c r="G6" s="47">
        <v>86049.77</v>
      </c>
      <c r="H6" s="47">
        <f t="shared" si="1"/>
        <v>34549.229999999996</v>
      </c>
      <c r="I6" s="46">
        <f t="shared" si="2"/>
        <v>0.40150287444115185</v>
      </c>
      <c r="J6" s="27" t="s">
        <v>55</v>
      </c>
      <c r="K6" s="27" t="s">
        <v>56</v>
      </c>
    </row>
    <row r="7" spans="1:11" ht="16.5">
      <c r="A7" s="55" t="str">
        <v>Phillipston A KB</v>
      </c>
      <c r="B7" s="50" t="str">
        <v>MA</v>
      </c>
      <c r="C7" s="59">
        <v>134199</v>
      </c>
      <c r="D7" s="51">
        <v>158262</v>
      </c>
      <c r="E7" s="51">
        <f>IF(AND(ISNUMBER(C7),ISNUMBER(D7)), C7-D7, "")</f>
        <v>-24063</v>
      </c>
      <c r="F7" s="52">
        <f>IFERROR(E7/D7, "")</f>
        <v>-0.15204534253326762</v>
      </c>
      <c r="G7" s="53">
        <v>100406</v>
      </c>
      <c r="H7" s="53">
        <f t="shared" si="1"/>
        <v>33793</v>
      </c>
      <c r="I7" s="52">
        <f t="shared" si="2"/>
        <v>0.33656355197896543</v>
      </c>
      <c r="J7" s="28" t="s">
        <v>57</v>
      </c>
      <c r="K7" s="29" t="s">
        <v>58</v>
      </c>
    </row>
    <row r="8" spans="1:11" ht="15.75">
      <c r="A8" s="56" t="str">
        <v>Uxbridge D</v>
      </c>
      <c r="B8" s="44" t="str">
        <v>MA</v>
      </c>
      <c r="C8" s="57">
        <v>138288</v>
      </c>
      <c r="D8" s="45">
        <v>143309.9</v>
      </c>
      <c r="E8" s="45">
        <f>IF(AND(ISNUMBER(C8),ISNUMBER(D8)), C8-D8, "")</f>
        <v>-5021.8999999999942</v>
      </c>
      <c r="F8" s="58">
        <f>IFERROR(E8/D8, "")</f>
        <v>-3.5042240626781504E-2</v>
      </c>
      <c r="G8" s="47">
        <v>161683.6</v>
      </c>
      <c r="H8" s="47">
        <f t="shared" si="1"/>
        <v>-23395.600000000006</v>
      </c>
      <c r="I8" s="46">
        <f t="shared" si="2"/>
        <v>-0.14469989535116737</v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>
        <v>217285</v>
      </c>
      <c r="D9" s="51">
        <v>229620.8</v>
      </c>
      <c r="E9" s="51">
        <f t="shared" si="0"/>
        <v>-12335.799999999988</v>
      </c>
      <c r="F9" s="52">
        <f t="shared" si="3"/>
        <v>-5.3722485071038814E-2</v>
      </c>
      <c r="G9" s="53">
        <v>266918.5</v>
      </c>
      <c r="H9" s="53">
        <f t="shared" si="1"/>
        <v>-49633.5</v>
      </c>
      <c r="I9" s="52">
        <f t="shared" si="2"/>
        <v>-0.18595001845132503</v>
      </c>
      <c r="J9" s="28"/>
      <c r="K9" s="29"/>
    </row>
    <row r="10" spans="1:11" ht="15.75">
      <c r="A10" s="56" t="str">
        <v>Sutton A</v>
      </c>
      <c r="B10" s="44" t="str">
        <v>MA</v>
      </c>
      <c r="C10" s="57">
        <v>125601</v>
      </c>
      <c r="D10" s="45">
        <v>129677.7</v>
      </c>
      <c r="E10" s="45">
        <f t="shared" si="0"/>
        <v>-4076.6999999999971</v>
      </c>
      <c r="F10" s="58">
        <f t="shared" si="3"/>
        <v>-3.1437170770302045E-2</v>
      </c>
      <c r="G10" s="47">
        <v>152217.9</v>
      </c>
      <c r="H10" s="47">
        <f t="shared" si="1"/>
        <v>-26616.899999999994</v>
      </c>
      <c r="I10" s="46">
        <f t="shared" si="2"/>
        <v>-0.1748605124627261</v>
      </c>
      <c r="J10" s="27"/>
      <c r="K10" s="27"/>
    </row>
    <row r="11" spans="1:11" ht="30.75">
      <c r="A11" s="55" t="str">
        <v>North Adams A</v>
      </c>
      <c r="B11" s="50" t="str">
        <v>MA</v>
      </c>
      <c r="C11" s="59">
        <v>112601</v>
      </c>
      <c r="D11" s="51">
        <v>118763.1</v>
      </c>
      <c r="E11" s="51">
        <f t="shared" si="0"/>
        <v>-6162.1000000000058</v>
      </c>
      <c r="F11" s="52">
        <f t="shared" si="3"/>
        <v>-5.1885644615204604E-2</v>
      </c>
      <c r="G11" s="53">
        <v>145854.29999999999</v>
      </c>
      <c r="H11" s="53">
        <f t="shared" si="1"/>
        <v>-33253.299999999988</v>
      </c>
      <c r="I11" s="52">
        <f t="shared" si="2"/>
        <v>-0.22798985014497339</v>
      </c>
      <c r="J11" s="73" t="s">
        <v>59</v>
      </c>
      <c r="K11" s="74" t="s">
        <v>28</v>
      </c>
    </row>
    <row r="12" spans="1:11" ht="15.75">
      <c r="A12" s="56" t="str">
        <v>North Adams B</v>
      </c>
      <c r="B12" s="44" t="str">
        <v>MA</v>
      </c>
      <c r="C12" s="57">
        <v>108271</v>
      </c>
      <c r="D12" s="45">
        <v>103121.8</v>
      </c>
      <c r="E12" s="45">
        <f t="shared" si="0"/>
        <v>5149.1999999999971</v>
      </c>
      <c r="F12" s="58">
        <f t="shared" si="3"/>
        <v>4.9933185805523146E-2</v>
      </c>
      <c r="G12" s="47">
        <v>145854.29999999999</v>
      </c>
      <c r="H12" s="47">
        <f t="shared" si="1"/>
        <v>-37583.299999999988</v>
      </c>
      <c r="I12" s="46">
        <f t="shared" si="2"/>
        <v>-0.25767701055094017</v>
      </c>
      <c r="J12" s="27"/>
      <c r="K12" s="27"/>
    </row>
    <row r="13" spans="1:11" ht="15.75">
      <c r="A13" s="55" t="str">
        <v>Clarksburg A</v>
      </c>
      <c r="B13" s="50" t="str">
        <v>MA</v>
      </c>
      <c r="C13" s="59">
        <v>111902</v>
      </c>
      <c r="D13" s="51">
        <v>115432.6</v>
      </c>
      <c r="E13" s="51">
        <f t="shared" si="0"/>
        <v>-3530.6000000000058</v>
      </c>
      <c r="F13" s="52">
        <f t="shared" si="3"/>
        <v>-3.0585813712937296E-2</v>
      </c>
      <c r="G13" s="53">
        <v>145191.20000000001</v>
      </c>
      <c r="H13" s="53">
        <f t="shared" si="1"/>
        <v>-33289.200000000012</v>
      </c>
      <c r="I13" s="52">
        <f t="shared" si="2"/>
        <v>-0.2292783584680064</v>
      </c>
      <c r="J13" s="28"/>
      <c r="K13" s="29"/>
    </row>
    <row r="14" spans="1:11" ht="15.75">
      <c r="A14" s="56" t="str">
        <v>Swansea B</v>
      </c>
      <c r="B14" s="44" t="str">
        <v>MA</v>
      </c>
      <c r="C14" s="57">
        <v>146083</v>
      </c>
      <c r="D14" s="45">
        <v>149943.20000000001</v>
      </c>
      <c r="E14" s="45">
        <f t="shared" si="0"/>
        <v>-3860.2000000000116</v>
      </c>
      <c r="F14" s="58">
        <f t="shared" si="3"/>
        <v>-2.5744415218562838E-2</v>
      </c>
      <c r="G14" s="47">
        <v>102081.60000000001</v>
      </c>
      <c r="H14" s="47">
        <f t="shared" si="1"/>
        <v>44001.399999999994</v>
      </c>
      <c r="I14" s="46">
        <f t="shared" si="2"/>
        <v>0.43104144135671846</v>
      </c>
      <c r="J14" s="27"/>
      <c r="K14" s="27"/>
    </row>
    <row r="15" spans="1:11" ht="15.75">
      <c r="A15" s="55" t="str">
        <v>Wareham 2</v>
      </c>
      <c r="B15" s="50" t="str">
        <v>MA</v>
      </c>
      <c r="C15" s="59">
        <v>123608</v>
      </c>
      <c r="D15" s="51">
        <v>123630.8</v>
      </c>
      <c r="E15" s="51">
        <f t="shared" si="0"/>
        <v>-22.80000000000291</v>
      </c>
      <c r="F15" s="52">
        <f t="shared" si="3"/>
        <v>-1.8442006360876829E-4</v>
      </c>
      <c r="G15" s="53">
        <v>168325.4</v>
      </c>
      <c r="H15" s="53">
        <f t="shared" si="1"/>
        <v>-44717.399999999994</v>
      </c>
      <c r="I15" s="52">
        <f t="shared" si="2"/>
        <v>-0.26566044102672559</v>
      </c>
      <c r="J15" s="28"/>
      <c r="K15" s="29"/>
    </row>
    <row r="16" spans="1:11" ht="15.75">
      <c r="A16" s="56" t="str">
        <v>Kingston 1 KB</v>
      </c>
      <c r="B16" s="44" t="str">
        <v>MA</v>
      </c>
      <c r="C16" s="57">
        <v>109697</v>
      </c>
      <c r="D16" s="45">
        <v>113352.4</v>
      </c>
      <c r="E16" s="45">
        <f t="shared" si="0"/>
        <v>-3655.3999999999942</v>
      </c>
      <c r="F16" s="58">
        <f t="shared" si="3"/>
        <v>-3.2248104142479507E-2</v>
      </c>
      <c r="G16" s="47">
        <v>121507.6</v>
      </c>
      <c r="H16" s="47">
        <f t="shared" si="1"/>
        <v>-11810.600000000006</v>
      </c>
      <c r="I16" s="46">
        <f t="shared" si="2"/>
        <v>-9.7200504330593351E-2</v>
      </c>
      <c r="J16" s="27"/>
      <c r="K16" s="27"/>
    </row>
    <row r="17" spans="1:11" ht="15.75">
      <c r="A17" s="55" t="str">
        <v>Kingston 2 KB</v>
      </c>
      <c r="B17" s="50" t="str">
        <v>MA</v>
      </c>
      <c r="C17" s="59">
        <v>89967</v>
      </c>
      <c r="D17" s="51">
        <v>75090.14</v>
      </c>
      <c r="E17" s="51">
        <f t="shared" si="0"/>
        <v>14876.86</v>
      </c>
      <c r="F17" s="52">
        <f t="shared" si="3"/>
        <v>0.19812001948591387</v>
      </c>
      <c r="G17" s="53">
        <v>97530.33</v>
      </c>
      <c r="H17" s="53">
        <f t="shared" si="1"/>
        <v>-7563.3300000000017</v>
      </c>
      <c r="I17" s="52">
        <f t="shared" si="2"/>
        <v>-7.7548491838385067E-2</v>
      </c>
      <c r="J17" s="28"/>
      <c r="K17" s="29"/>
    </row>
    <row r="18" spans="1:11" ht="15.75">
      <c r="A18" s="65" t="str">
        <v>Holliston B</v>
      </c>
      <c r="B18" s="44" t="str">
        <v>MA</v>
      </c>
      <c r="C18" s="57">
        <v>138307</v>
      </c>
      <c r="D18" s="45">
        <v>138459.5</v>
      </c>
      <c r="E18" s="45">
        <f t="shared" si="0"/>
        <v>-152.5</v>
      </c>
      <c r="F18" s="58">
        <f t="shared" si="3"/>
        <v>-1.101405104019587E-3</v>
      </c>
      <c r="G18" s="47">
        <v>159875.6</v>
      </c>
      <c r="H18" s="47">
        <f t="shared" si="1"/>
        <v>-21568.600000000006</v>
      </c>
      <c r="I18" s="46">
        <f t="shared" si="2"/>
        <v>-0.13490864146874199</v>
      </c>
      <c r="J18" s="27"/>
      <c r="K18" s="27"/>
    </row>
    <row r="19" spans="1:11" ht="15.75">
      <c r="A19" s="55" t="str">
        <v>Fairhaven C</v>
      </c>
      <c r="B19" s="50" t="str">
        <v>MA</v>
      </c>
      <c r="C19" s="59">
        <v>235520</v>
      </c>
      <c r="D19" s="51">
        <v>250903.4</v>
      </c>
      <c r="E19" s="51">
        <f t="shared" si="0"/>
        <v>-15383.399999999994</v>
      </c>
      <c r="F19" s="52">
        <f t="shared" si="3"/>
        <v>-6.13120428021302E-2</v>
      </c>
      <c r="G19" s="53">
        <v>289415.40000000002</v>
      </c>
      <c r="H19" s="53">
        <f t="shared" si="1"/>
        <v>-53895.400000000023</v>
      </c>
      <c r="I19" s="52">
        <f t="shared" si="2"/>
        <v>-0.18622160396440554</v>
      </c>
      <c r="J19" s="28"/>
      <c r="K19" s="28"/>
    </row>
    <row r="20" spans="1:11" ht="15.75">
      <c r="A20" s="56" t="str">
        <v>Plympton A-2</v>
      </c>
      <c r="B20" s="44" t="str">
        <v>MA</v>
      </c>
      <c r="C20" s="57">
        <v>131860</v>
      </c>
      <c r="D20" s="45">
        <v>132946.79999999999</v>
      </c>
      <c r="E20" s="45">
        <f t="shared" si="0"/>
        <v>-1086.7999999999884</v>
      </c>
      <c r="F20" s="58">
        <f t="shared" si="3"/>
        <v>-8.174698450808808E-3</v>
      </c>
      <c r="G20" s="47">
        <v>159362.79999999999</v>
      </c>
      <c r="H20" s="47">
        <f t="shared" si="1"/>
        <v>-27502.799999999988</v>
      </c>
      <c r="I20" s="46">
        <f t="shared" si="2"/>
        <v>-0.17257979904971543</v>
      </c>
      <c r="J20" s="27"/>
      <c r="K20" s="27"/>
    </row>
    <row r="21" spans="1:11" ht="1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4.2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MN8 KEF</v>
      </c>
      <c r="B1" s="76"/>
      <c r="C1" s="76"/>
      <c r="D1" s="77" t="s">
        <v>60</v>
      </c>
      <c r="E1" s="77"/>
      <c r="F1" s="77"/>
      <c r="G1" s="75" t="s">
        <v>61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4.2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MN8 KEF</v>
      </c>
      <c r="B1" s="76"/>
      <c r="C1" s="76"/>
      <c r="D1" s="77" t="s">
        <v>62</v>
      </c>
      <c r="E1" s="77"/>
      <c r="F1" s="77"/>
      <c r="G1" s="75" t="s">
        <v>63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5.75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4.2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MN8 KEF</v>
      </c>
      <c r="B1" s="76"/>
      <c r="C1" s="76"/>
      <c r="D1" s="77" t="s">
        <v>64</v>
      </c>
      <c r="E1" s="77"/>
      <c r="F1" s="77"/>
      <c r="G1" s="75" t="s">
        <v>65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4.2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MN8 KEF</v>
      </c>
      <c r="B1" s="76"/>
      <c r="C1" s="76"/>
      <c r="D1" s="77" t="s">
        <v>66</v>
      </c>
      <c r="E1" s="77"/>
      <c r="F1" s="77"/>
      <c r="G1" s="75" t="s">
        <v>67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>
      <c r="C337" s="14"/>
      <c r="D337" s="14"/>
      <c r="E337" s="14"/>
      <c r="F337" s="15"/>
      <c r="G337" s="14"/>
      <c r="H337" s="14"/>
      <c r="I337" s="15"/>
      <c r="J337" s="14"/>
      <c r="K337" s="14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5 I4:I9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4.2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MN8 KEF</v>
      </c>
      <c r="B1" s="76"/>
      <c r="C1" s="76"/>
      <c r="D1" s="77" t="s">
        <v>68</v>
      </c>
      <c r="E1" s="77"/>
      <c r="F1" s="77"/>
      <c r="G1" s="75" t="s">
        <v>69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4.2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MN8 KEF</v>
      </c>
      <c r="B1" s="76"/>
      <c r="C1" s="76"/>
      <c r="D1" s="77" t="s">
        <v>70</v>
      </c>
      <c r="E1" s="77"/>
      <c r="F1" s="77"/>
      <c r="G1" s="75" t="s">
        <v>71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4.2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MN8 KEF</v>
      </c>
      <c r="B1" s="76"/>
      <c r="C1" s="76"/>
      <c r="D1" s="77" t="s">
        <v>72</v>
      </c>
      <c r="E1" s="77"/>
      <c r="F1" s="77"/>
      <c r="G1" s="75" t="s">
        <v>73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4.2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MN8 KEF</v>
      </c>
      <c r="B1" s="76"/>
      <c r="C1" s="76"/>
      <c r="D1" s="77" t="s">
        <v>74</v>
      </c>
      <c r="E1" s="77"/>
      <c r="F1" s="77"/>
      <c r="G1" s="75" t="s">
        <v>75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4.25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MN8 KEF</v>
      </c>
      <c r="B1" s="76"/>
      <c r="C1" s="76"/>
      <c r="D1" s="77" t="s">
        <v>76</v>
      </c>
      <c r="E1" s="77"/>
      <c r="F1" s="77"/>
      <c r="G1" s="75" t="s">
        <v>77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75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75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75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75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75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75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75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75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75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75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75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75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75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75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75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6"/>
  <sheetViews>
    <sheetView workbookViewId="0">
      <pane ySplit="3" topLeftCell="A4" activePane="bottomLeft" state="frozen"/>
      <selection pane="bottomLeft" activeCell="E35" sqref="E3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78</v>
      </c>
      <c r="B1" t="s">
        <v>79</v>
      </c>
    </row>
    <row r="3" spans="1:12">
      <c r="A3" t="s">
        <v>80</v>
      </c>
      <c r="B3" t="s">
        <v>3</v>
      </c>
      <c r="C3" t="s">
        <v>4</v>
      </c>
      <c r="D3" t="s">
        <v>81</v>
      </c>
      <c r="E3" s="2" t="s">
        <v>82</v>
      </c>
    </row>
    <row r="4" spans="1:12" ht="15">
      <c r="A4" s="35" t="s">
        <v>83</v>
      </c>
      <c r="B4" t="s">
        <v>84</v>
      </c>
      <c r="C4" s="34" t="s">
        <v>85</v>
      </c>
      <c r="D4" s="33" t="s">
        <v>86</v>
      </c>
      <c r="E4" t="s">
        <v>87</v>
      </c>
      <c r="G4" s="3"/>
    </row>
    <row r="5" spans="1:12" ht="15">
      <c r="A5" s="35" t="s">
        <v>88</v>
      </c>
      <c r="B5" t="s">
        <v>89</v>
      </c>
      <c r="C5" s="34" t="s">
        <v>85</v>
      </c>
      <c r="D5" s="33" t="s">
        <v>86</v>
      </c>
      <c r="E5" t="s">
        <v>87</v>
      </c>
      <c r="G5" s="3"/>
    </row>
    <row r="6" spans="1:12" ht="15">
      <c r="A6" s="35" t="s">
        <v>90</v>
      </c>
      <c r="B6" t="s">
        <v>91</v>
      </c>
      <c r="C6" s="34" t="s">
        <v>85</v>
      </c>
      <c r="D6" s="33" t="s">
        <v>86</v>
      </c>
      <c r="E6" t="s">
        <v>87</v>
      </c>
      <c r="G6" s="3"/>
    </row>
    <row r="7" spans="1:12" ht="12.75" customHeight="1">
      <c r="A7" s="35" t="s">
        <v>92</v>
      </c>
      <c r="B7" t="s">
        <v>93</v>
      </c>
      <c r="C7" s="34" t="s">
        <v>85</v>
      </c>
      <c r="D7" s="33" t="s">
        <v>86</v>
      </c>
      <c r="E7" t="s">
        <v>87</v>
      </c>
    </row>
    <row r="8" spans="1:12" ht="12.75" customHeight="1">
      <c r="A8" s="35" t="s">
        <v>94</v>
      </c>
      <c r="B8" t="s">
        <v>95</v>
      </c>
      <c r="C8" s="34" t="s">
        <v>85</v>
      </c>
      <c r="D8" s="33" t="s">
        <v>86</v>
      </c>
      <c r="E8" t="s">
        <v>87</v>
      </c>
    </row>
    <row r="9" spans="1:12" ht="12.75" customHeight="1">
      <c r="A9" s="35" t="s">
        <v>96</v>
      </c>
      <c r="B9" t="s">
        <v>97</v>
      </c>
      <c r="C9" s="34" t="s">
        <v>85</v>
      </c>
      <c r="D9" s="33" t="s">
        <v>86</v>
      </c>
      <c r="E9" t="s">
        <v>87</v>
      </c>
    </row>
    <row r="10" spans="1:12" ht="12.75" customHeight="1">
      <c r="A10" s="35" t="s">
        <v>98</v>
      </c>
      <c r="B10" t="s">
        <v>99</v>
      </c>
      <c r="C10" s="34" t="s">
        <v>85</v>
      </c>
      <c r="D10" s="33" t="s">
        <v>86</v>
      </c>
      <c r="E10" t="s">
        <v>87</v>
      </c>
      <c r="K10" s="30"/>
      <c r="L10" s="30"/>
    </row>
    <row r="11" spans="1:12" ht="12.75" customHeight="1">
      <c r="A11" s="35" t="s">
        <v>100</v>
      </c>
      <c r="B11" t="s">
        <v>101</v>
      </c>
      <c r="C11" s="34" t="s">
        <v>85</v>
      </c>
      <c r="D11" s="33" t="s">
        <v>86</v>
      </c>
      <c r="E11" t="s">
        <v>87</v>
      </c>
      <c r="K11" s="30"/>
      <c r="L11" s="30"/>
    </row>
    <row r="12" spans="1:12" ht="12.75" customHeight="1">
      <c r="A12" s="35" t="s">
        <v>102</v>
      </c>
      <c r="B12" t="s">
        <v>103</v>
      </c>
      <c r="C12" s="34" t="s">
        <v>85</v>
      </c>
      <c r="D12" s="33" t="s">
        <v>86</v>
      </c>
      <c r="E12" t="s">
        <v>87</v>
      </c>
      <c r="K12" s="30"/>
      <c r="L12" s="30"/>
    </row>
    <row r="13" spans="1:12" ht="12.75" customHeight="1">
      <c r="A13" s="35" t="s">
        <v>104</v>
      </c>
      <c r="B13" t="s">
        <v>105</v>
      </c>
      <c r="C13" s="34" t="s">
        <v>85</v>
      </c>
      <c r="D13" s="33" t="s">
        <v>86</v>
      </c>
      <c r="E13" t="s">
        <v>87</v>
      </c>
      <c r="K13" s="30"/>
      <c r="L13" s="30"/>
    </row>
    <row r="14" spans="1:12" ht="12.75" customHeight="1">
      <c r="A14" s="35" t="s">
        <v>106</v>
      </c>
      <c r="B14" t="s">
        <v>107</v>
      </c>
      <c r="C14" s="34" t="s">
        <v>85</v>
      </c>
      <c r="D14" s="33" t="s">
        <v>86</v>
      </c>
      <c r="E14" t="s">
        <v>87</v>
      </c>
      <c r="K14" s="30"/>
      <c r="L14" s="30"/>
    </row>
    <row r="15" spans="1:12" ht="12.75" customHeight="1">
      <c r="A15" s="35" t="s">
        <v>108</v>
      </c>
      <c r="B15" t="s">
        <v>109</v>
      </c>
      <c r="C15" s="34" t="s">
        <v>85</v>
      </c>
      <c r="D15" s="33" t="s">
        <v>86</v>
      </c>
      <c r="E15" t="s">
        <v>87</v>
      </c>
      <c r="K15" s="30"/>
      <c r="L15" s="30"/>
    </row>
    <row r="16" spans="1:12" ht="12.75" customHeight="1">
      <c r="A16" s="35" t="s">
        <v>110</v>
      </c>
      <c r="B16" t="s">
        <v>111</v>
      </c>
      <c r="C16" s="34" t="s">
        <v>85</v>
      </c>
      <c r="D16" s="33" t="s">
        <v>86</v>
      </c>
      <c r="E16" t="s">
        <v>87</v>
      </c>
      <c r="K16" s="30"/>
      <c r="L16" s="30"/>
    </row>
    <row r="17" spans="1:12" ht="12.75" customHeight="1">
      <c r="A17" s="35" t="s">
        <v>112</v>
      </c>
      <c r="B17" t="s">
        <v>113</v>
      </c>
      <c r="C17" s="34" t="s">
        <v>85</v>
      </c>
      <c r="D17" s="33" t="s">
        <v>86</v>
      </c>
      <c r="E17" t="s">
        <v>87</v>
      </c>
      <c r="K17" s="30"/>
      <c r="L17" s="30"/>
    </row>
    <row r="18" spans="1:12" ht="12.75" customHeight="1">
      <c r="A18" s="35" t="s">
        <v>114</v>
      </c>
      <c r="B18" t="s">
        <v>115</v>
      </c>
      <c r="C18" s="34" t="s">
        <v>85</v>
      </c>
      <c r="D18" s="33" t="s">
        <v>86</v>
      </c>
      <c r="E18" t="s">
        <v>87</v>
      </c>
      <c r="K18" s="30"/>
      <c r="L18" s="30"/>
    </row>
    <row r="19" spans="1:12" ht="12.75" customHeight="1">
      <c r="A19" s="35" t="s">
        <v>116</v>
      </c>
      <c r="B19" t="s">
        <v>117</v>
      </c>
      <c r="C19" s="34" t="s">
        <v>85</v>
      </c>
      <c r="D19" s="33" t="s">
        <v>86</v>
      </c>
      <c r="E19" t="s">
        <v>87</v>
      </c>
      <c r="K19" s="30"/>
      <c r="L19" s="30"/>
    </row>
    <row r="20" spans="1:12" ht="12.75" customHeight="1">
      <c r="A20" s="35" t="s">
        <v>118</v>
      </c>
      <c r="B20" t="s">
        <v>119</v>
      </c>
      <c r="C20" s="34" t="s">
        <v>85</v>
      </c>
      <c r="D20" s="33" t="s">
        <v>86</v>
      </c>
      <c r="E20" t="s">
        <v>87</v>
      </c>
      <c r="K20" s="30"/>
      <c r="L20" s="30"/>
    </row>
    <row r="21" spans="1:12" ht="12.75" customHeight="1">
      <c r="K21" s="30"/>
      <c r="L21" s="30"/>
    </row>
    <row r="22" spans="1:12" ht="12.75" customHeight="1">
      <c r="K22" s="30"/>
      <c r="L22" s="30"/>
    </row>
    <row r="23" spans="1:12" ht="12.75" customHeight="1">
      <c r="K23" s="30"/>
      <c r="L23" s="30"/>
    </row>
    <row r="24" spans="1:12" ht="12.75" customHeight="1">
      <c r="K24" s="30"/>
      <c r="L24" s="30"/>
    </row>
    <row r="25" spans="1:12" ht="12.75" customHeight="1">
      <c r="K25" s="30"/>
      <c r="L25" s="30"/>
    </row>
    <row r="26" spans="1:12" ht="12.75" customHeight="1">
      <c r="K26" s="30"/>
      <c r="L26" s="30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C0BCDC1E-6052-4E48-9BAF-94A40814E7C2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E3716282-BFD2-4ED2-BA47-BFA1123827F0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D3A7101F-9A85-4235-8B03-415370C100B2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8D732231-4216-4543-A665-18A2886B0EB7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Anusha Kurakula [Libsys]</cp:lastModifiedBy>
  <cp:revision/>
  <dcterms:created xsi:type="dcterms:W3CDTF">2021-01-01T16:39:53Z</dcterms:created>
  <dcterms:modified xsi:type="dcterms:W3CDTF">2024-04-18T06:58:57Z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