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esktop\Monthly reports\"/>
    </mc:Choice>
  </mc:AlternateContent>
  <xr:revisionPtr revIDLastSave="0" documentId="8_{534AAA56-1B2B-4499-89B8-DFE59D56F85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F8" i="2"/>
  <c r="F7" i="2"/>
  <c r="F6" i="2"/>
  <c r="F5" i="2"/>
  <c r="C5" i="2"/>
  <c r="C6" i="2"/>
  <c r="D6" i="2" s="1"/>
  <c r="E6" i="2" s="1"/>
  <c r="C7" i="2"/>
  <c r="C8" i="2"/>
  <c r="B8" i="2"/>
  <c r="B7" i="2"/>
  <c r="B6" i="2"/>
  <c r="B5" i="2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D9" i="1"/>
  <c r="E9" i="1" s="1"/>
  <c r="D8" i="1"/>
  <c r="E8" i="1" s="1"/>
  <c r="D7" i="1"/>
  <c r="E7" i="1" s="1"/>
  <c r="D6" i="1"/>
  <c r="E6" i="1" s="1"/>
  <c r="D5" i="1"/>
  <c r="E5" i="1" s="1"/>
  <c r="G5" i="2" l="1"/>
  <c r="H5" i="2" s="1"/>
  <c r="D5" i="2"/>
  <c r="E5" i="2" s="1"/>
  <c r="G8" i="2"/>
  <c r="H8" i="2" s="1"/>
  <c r="G7" i="2"/>
  <c r="H7" i="2" s="1"/>
  <c r="D7" i="2"/>
  <c r="E7" i="2" s="1"/>
  <c r="C9" i="2"/>
  <c r="F9" i="2"/>
  <c r="G6" i="2"/>
  <c r="H6" i="2" s="1"/>
  <c r="B9" i="2"/>
  <c r="D8" i="2"/>
  <c r="E8" i="2" s="1"/>
  <c r="G17" i="1"/>
  <c r="H17" i="1" s="1"/>
  <c r="D17" i="1"/>
  <c r="E17" i="1" s="1"/>
  <c r="D9" i="2" l="1"/>
  <c r="E9" i="2" s="1"/>
  <c r="G9" i="2"/>
  <c r="H9" i="2" s="1"/>
</calcChain>
</file>

<file path=xl/sharedStrings.xml><?xml version="1.0" encoding="utf-8"?>
<sst xmlns="http://schemas.openxmlformats.org/spreadsheetml/2006/main" count="47" uniqueCount="36">
  <si>
    <t>Coxsackie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</si>
  <si>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</si>
  <si>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</si>
  <si>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</si>
  <si>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</si>
  <si>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</si>
  <si>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</si>
  <si>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</si>
  <si>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</si>
  <si>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</si>
  <si>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</si>
  <si>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</si>
  <si>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</si>
  <si>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</si>
  <si>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</si>
  <si>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</si>
  <si>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</si>
  <si>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</si>
  <si>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</si>
  <si>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</si>
  <si>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</si>
  <si>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</si>
  <si>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</si>
  <si>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</si>
  <si>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</si>
  <si>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</si>
  <si>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</si>
  <si>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</si>
  <si>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</si>
  <si>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</si>
  <si>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</si>
  <si>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</si>
  <si>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 Site tripped offline on 01/04/2024 at 08:30 &amp; back online on 01/09/2024 at 09:45. 
2. Site tripped offline due to Utility outage on 1/18 at 1:15 AM and back online at 5:00 AM on the same day</t>
  </si>
  <si>
    <t>1. SR079936
2. SR080309</t>
  </si>
  <si>
    <t xml:space="preserve">1. Site was offline from 03/11 to 03/14  at 10:45. 
2. Site tripped offline at 15:40 on 03/25 &amp; back online on 03/26 at 09:45. </t>
  </si>
  <si>
    <t>1. SR081759
2.SR082726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</si>
</sst>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5" fillId="0" borderId="3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3" fontId="8" fillId="4" borderId="13" xfId="0" applyNumberFormat="1" applyFont="1" applyFill="1" applyBorder="1"/>
    <xf numFmtId="3" fontId="8" fillId="3" borderId="1" xfId="0" applyNumberFormat="1" applyFont="1" applyFill="1" applyBorder="1" applyAlignment="1">
      <alignment horizontal="right"/>
    </xf>
    <xf numFmtId="9" fontId="8" fillId="3" borderId="1" xfId="2" applyFont="1" applyFill="1" applyBorder="1" applyAlignment="1">
      <alignment horizontal="center"/>
    </xf>
    <xf numFmtId="3" fontId="8" fillId="6" borderId="13" xfId="0" applyNumberFormat="1" applyFont="1" applyFill="1" applyBorder="1"/>
    <xf numFmtId="3" fontId="8" fillId="5" borderId="1" xfId="1" applyNumberFormat="1" applyFont="1" applyFill="1" applyBorder="1"/>
    <xf numFmtId="9" fontId="8" fillId="5" borderId="1" xfId="2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9" fontId="8" fillId="3" borderId="3" xfId="2" applyFont="1" applyFill="1" applyBorder="1" applyAlignment="1">
      <alignment horizontal="center"/>
    </xf>
    <xf numFmtId="3" fontId="8" fillId="5" borderId="4" xfId="1" applyNumberFormat="1" applyFont="1" applyFill="1" applyBorder="1"/>
    <xf numFmtId="3" fontId="8" fillId="5" borderId="1" xfId="1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center"/>
    </xf>
    <xf numFmtId="3" fontId="7" fillId="2" borderId="3" xfId="0" applyNumberFormat="1" applyFont="1" applyFill="1" applyBorder="1" applyAlignment="1">
      <alignment horizontal="center"/>
    </xf>
    <xf numFmtId="9" fontId="7" fillId="2" borderId="3" xfId="2" applyFont="1" applyFill="1" applyBorder="1" applyAlignment="1">
      <alignment horizontal="center"/>
    </xf>
    <xf numFmtId="9" fontId="7" fillId="2" borderId="3" xfId="0" applyNumberFormat="1" applyFont="1" applyFill="1" applyBorder="1" applyAlignment="1">
      <alignment horizontal="center"/>
    </xf>
    <xf numFmtId="0" fontId="6" fillId="3" borderId="15" xfId="0" applyFont="1" applyFill="1" applyBorder="1" applyAlignment="1">
      <alignment horizontal="left" vertical="center" wrapText="1"/>
    </xf>
    <xf numFmtId="9" fontId="6" fillId="3" borderId="16" xfId="2" applyFont="1" applyFill="1" applyBorder="1" applyAlignment="1">
      <alignment horizontal="left" vertical="center" wrapText="1"/>
    </xf>
    <xf numFmtId="0" fontId="6" fillId="5" borderId="15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 wrapText="1"/>
    </xf>
    <xf numFmtId="9" fontId="6" fillId="5" borderId="16" xfId="2" applyFont="1" applyFill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3" borderId="22" xfId="0" applyFont="1" applyFill="1" applyBorder="1" applyAlignment="1">
      <alignment horizontal="left" vertical="center" wrapText="1"/>
    </xf>
    <xf numFmtId="9" fontId="4" fillId="3" borderId="23" xfId="2" applyFont="1" applyFill="1" applyBorder="1" applyAlignment="1">
      <alignment horizontal="left" vertical="center" wrapText="1"/>
    </xf>
    <xf numFmtId="0" fontId="4" fillId="5" borderId="22" xfId="0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left" vertical="center" wrapText="1"/>
    </xf>
    <xf numFmtId="9" fontId="4" fillId="5" borderId="23" xfId="2" applyFont="1" applyFill="1" applyBorder="1" applyAlignment="1">
      <alignment horizontal="left" vertical="center"/>
    </xf>
    <xf numFmtId="9" fontId="4" fillId="7" borderId="24" xfId="2" applyFont="1" applyFill="1" applyBorder="1" applyAlignment="1">
      <alignment horizontal="center" vertical="center"/>
    </xf>
    <xf numFmtId="9" fontId="4" fillId="7" borderId="25" xfId="2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9" fillId="8" borderId="20" xfId="0" applyFont="1" applyFill="1" applyBorder="1" applyAlignment="1">
      <alignment horizontal="left" vertical="top" wrapText="1"/>
    </xf>
    <xf numFmtId="0" fontId="9" fillId="7" borderId="2" xfId="0" applyFont="1" applyFill="1" applyBorder="1" applyAlignment="1">
      <alignment horizontal="left" vertical="top" wrapText="1"/>
    </xf>
    <xf numFmtId="9" fontId="10" fillId="7" borderId="1" xfId="2" applyFont="1" applyFill="1" applyBorder="1" applyAlignment="1">
      <alignment horizontal="left" vertical="top"/>
    </xf>
    <xf numFmtId="9" fontId="10" fillId="7" borderId="1" xfId="2" applyFont="1" applyFill="1" applyBorder="1" applyAlignment="1">
      <alignment horizontal="left" vertical="top" wrapText="1"/>
    </xf>
    <xf numFmtId="3" fontId="10" fillId="3" borderId="1" xfId="0" applyNumberFormat="1" applyFont="1" applyFill="1" applyBorder="1" applyAlignment="1">
      <alignment horizontal="right"/>
    </xf>
    <xf numFmtId="3" fontId="10" fillId="5" borderId="1" xfId="1" applyNumberFormat="1" applyFont="1" applyFill="1" applyBorder="1"/>
    <xf numFmtId="9" fontId="10" fillId="5" borderId="1" xfId="2" applyFont="1" applyFill="1" applyBorder="1" applyAlignment="1">
      <alignment horizontal="center"/>
    </xf>
    <xf numFmtId="9" fontId="10" fillId="3" borderId="3" xfId="2" applyFont="1" applyFill="1" applyBorder="1" applyAlignment="1">
      <alignment horizontal="center"/>
    </xf>
    <xf numFmtId="3" fontId="10" fillId="4" borderId="2" xfId="0" applyNumberFormat="1" applyFont="1" applyFill="1" applyBorder="1"/>
    <xf numFmtId="3" fontId="10" fillId="6" borderId="2" xfId="0" applyNumberFormat="1" applyFont="1" applyFill="1" applyBorder="1"/>
    <xf numFmtId="3" fontId="10" fillId="3" borderId="18" xfId="0" applyNumberFormat="1" applyFont="1" applyFill="1" applyBorder="1" applyAlignment="1">
      <alignment horizontal="right"/>
    </xf>
    <xf numFmtId="9" fontId="10" fillId="3" borderId="17" xfId="2" applyFont="1" applyFill="1" applyBorder="1" applyAlignment="1">
      <alignment horizontal="center"/>
    </xf>
    <xf numFmtId="3" fontId="10" fillId="5" borderId="19" xfId="1" applyNumberFormat="1" applyFont="1" applyFill="1" applyBorder="1"/>
    <xf numFmtId="3" fontId="10" fillId="5" borderId="18" xfId="1" applyNumberFormat="1" applyFont="1" applyFill="1" applyBorder="1"/>
    <xf numFmtId="9" fontId="10" fillId="5" borderId="18" xfId="2" applyFont="1" applyFill="1" applyBorder="1" applyAlignment="1">
      <alignment horizontal="center"/>
    </xf>
    <xf numFmtId="9" fontId="10" fillId="7" borderId="18" xfId="2" applyFont="1" applyFill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3" fontId="9" fillId="4" borderId="26" xfId="0" applyNumberFormat="1" applyFont="1" applyFill="1" applyBorder="1" applyAlignment="1">
      <alignment horizontal="right" vertical="center"/>
    </xf>
    <xf numFmtId="3" fontId="9" fillId="4" borderId="13" xfId="0" applyNumberFormat="1" applyFont="1" applyFill="1" applyBorder="1" applyAlignment="1">
      <alignment horizontal="right" vertical="center"/>
    </xf>
    <xf numFmtId="3" fontId="10" fillId="3" borderId="13" xfId="0" applyNumberFormat="1" applyFont="1" applyFill="1" applyBorder="1" applyAlignment="1">
      <alignment horizontal="right" vertical="center"/>
    </xf>
    <xf numFmtId="9" fontId="10" fillId="3" borderId="13" xfId="2" applyFont="1" applyFill="1" applyBorder="1" applyAlignment="1">
      <alignment horizontal="center" vertical="center"/>
    </xf>
    <xf numFmtId="3" fontId="9" fillId="6" borderId="13" xfId="0" applyNumberFormat="1" applyFont="1" applyFill="1" applyBorder="1" applyAlignment="1">
      <alignment horizontal="right" vertical="center"/>
    </xf>
    <xf numFmtId="3" fontId="10" fillId="5" borderId="13" xfId="1" applyNumberFormat="1" applyFont="1" applyFill="1" applyBorder="1" applyAlignment="1">
      <alignment horizontal="right" vertical="center"/>
    </xf>
    <xf numFmtId="9" fontId="10" fillId="5" borderId="4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9" fillId="4" borderId="20" xfId="0" applyNumberFormat="1" applyFont="1" applyFill="1" applyBorder="1" applyAlignment="1">
      <alignment horizontal="right" vertical="center"/>
    </xf>
    <xf numFmtId="3" fontId="9" fillId="4" borderId="2" xfId="0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9" fontId="10" fillId="3" borderId="2" xfId="2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horizontal="right" vertical="center"/>
    </xf>
    <xf numFmtId="3" fontId="10" fillId="5" borderId="2" xfId="1" applyNumberFormat="1" applyFont="1" applyFill="1" applyBorder="1" applyAlignment="1">
      <alignment horizontal="right" vertical="center"/>
    </xf>
    <xf numFmtId="3" fontId="10" fillId="3" borderId="1" xfId="0" applyNumberFormat="1" applyFont="1" applyFill="1" applyBorder="1" applyAlignment="1">
      <alignment horizontal="right" vertical="center"/>
    </xf>
    <xf numFmtId="9" fontId="10" fillId="3" borderId="1" xfId="2" applyFont="1" applyFill="1" applyBorder="1" applyAlignment="1">
      <alignment horizontal="center" vertical="center"/>
    </xf>
    <xf numFmtId="3" fontId="10" fillId="5" borderId="4" xfId="1" applyNumberFormat="1" applyFont="1" applyFill="1" applyBorder="1" applyAlignment="1">
      <alignment horizontal="right" vertical="center"/>
    </xf>
    <xf numFmtId="3" fontId="10" fillId="5" borderId="1" xfId="1" applyNumberFormat="1" applyFont="1" applyFill="1" applyBorder="1" applyAlignment="1">
      <alignment horizontal="right" vertical="center"/>
    </xf>
    <xf numFmtId="9" fontId="10" fillId="5" borderId="1" xfId="2" applyFont="1" applyFill="1" applyBorder="1" applyAlignment="1">
      <alignment horizontal="center" vertical="center"/>
    </xf>
    <xf numFmtId="9" fontId="10" fillId="3" borderId="3" xfId="2" applyFont="1" applyFill="1" applyBorder="1" applyAlignment="1">
      <alignment horizontal="center" vertical="center"/>
    </xf>
    <xf numFmtId="3" fontId="10" fillId="5" borderId="1" xfId="1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>
      <calculatedColumnFormula>IFERROR(G5/F5, 0)</calculatedColumnFormula>
    </tableColumn>
    <tableColumn id="9" xr3:uid="{91668AC9-A528-46F6-8BE5-EB036F59A18E}" name="Notes" dataDxfId="5"/>
    <tableColumn id="10" xr3:uid="{CD4FC54A-2343-4F00-AB7D-88E561824952}" name="Service Reques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workbookViewId="0">
      <selection activeCell="C23" sqref="C23"/>
    </sheetView>
  </sheetViews>
  <sheetFormatPr defaultRowHeight="15" x14ac:dyDescent="0.25"/>
  <cols>
    <col min="1" max="1" width="22" customWidth="1"/>
    <col min="2" max="2" width="11.42578125" customWidth="1"/>
    <col min="3" max="3" width="12.5703125" customWidth="1"/>
    <col min="4" max="4" width="15.140625" customWidth="1"/>
    <col min="5" max="5" width="13.85546875" customWidth="1"/>
    <col min="6" max="6" width="12.5703125" customWidth="1"/>
    <col min="7" max="7" width="17.140625" customWidth="1"/>
    <col min="8" max="8" width="16" customWidth="1"/>
  </cols>
  <sheetData>
    <row r="1" spans="1:8" ht="26.25" x14ac:dyDescent="0.25">
      <c r="A1" s="76" t="s">
        <v>0</v>
      </c>
      <c r="B1" s="76"/>
      <c r="C1" s="76"/>
      <c r="D1" s="76"/>
      <c r="E1" s="76"/>
      <c r="F1" s="76"/>
      <c r="G1" s="76"/>
      <c r="H1" s="76"/>
    </row>
    <row r="3" spans="1:8" ht="15.75" x14ac:dyDescent="0.25">
      <c r="A3" s="77" t="s">
        <v>1</v>
      </c>
      <c r="B3" s="78"/>
      <c r="C3" s="78"/>
      <c r="D3" s="78"/>
      <c r="E3" s="79"/>
      <c r="F3" s="80" t="s">
        <v>2</v>
      </c>
      <c r="G3" s="81"/>
      <c r="H3" s="82"/>
    </row>
    <row r="4" spans="1:8" x14ac:dyDescent="0.25">
      <c r="A4" s="8" t="s">
        <v>3</v>
      </c>
      <c r="B4" s="24" t="s">
        <v>4</v>
      </c>
      <c r="C4" s="24" t="s">
        <v>5</v>
      </c>
      <c r="D4" s="24" t="s">
        <v>6</v>
      </c>
      <c r="E4" s="25" t="s">
        <v>7</v>
      </c>
      <c r="F4" s="26" t="s">
        <v>8</v>
      </c>
      <c r="G4" s="27" t="s">
        <v>9</v>
      </c>
      <c r="H4" s="28" t="s">
        <v>10</v>
      </c>
    </row>
    <row r="5" spans="1:8" x14ac:dyDescent="0.25">
      <c r="A5" s="9" t="s">
        <v>11</v>
      </c>
      <c r="B5" s="10">
        <f>SUM(Monthly!B5:B7)</f>
        <v>1387740.4709999999</v>
      </c>
      <c r="C5" s="10">
        <f>SUM(Monthly!C5:C7)</f>
        <v>1609829.3559999999</v>
      </c>
      <c r="D5" s="11">
        <f>B5-C5</f>
        <v>-222088.88500000001</v>
      </c>
      <c r="E5" s="12">
        <f t="shared" ref="E5:E8" si="0">IFERROR(D5/C5, 0)</f>
        <v>-0.13795802901236198</v>
      </c>
      <c r="F5" s="13">
        <f>SUM(Monthly!F5:F7)</f>
        <v>1820406.8599999999</v>
      </c>
      <c r="G5" s="14">
        <f>B5-F5</f>
        <v>-432666.38899999997</v>
      </c>
      <c r="H5" s="15">
        <f t="shared" ref="H5:H8" si="1">IFERROR(G5/F5, 0)</f>
        <v>-0.23767565290321965</v>
      </c>
    </row>
    <row r="6" spans="1:8" x14ac:dyDescent="0.25">
      <c r="A6" s="16" t="s">
        <v>12</v>
      </c>
      <c r="B6" s="10">
        <f>SUM(Monthly!B8:B10)</f>
        <v>0</v>
      </c>
      <c r="C6" s="10">
        <f>SUM(Monthly!C8:C10)</f>
        <v>0</v>
      </c>
      <c r="D6" s="11">
        <f t="shared" ref="D6:D8" si="2">B6-C6</f>
        <v>0</v>
      </c>
      <c r="E6" s="17">
        <f t="shared" si="0"/>
        <v>0</v>
      </c>
      <c r="F6" s="18">
        <f>SUM(Monthly!F8:F10)</f>
        <v>0</v>
      </c>
      <c r="G6" s="14">
        <f t="shared" ref="G6:G8" si="3">B6-F6</f>
        <v>0</v>
      </c>
      <c r="H6" s="15">
        <f t="shared" si="1"/>
        <v>0</v>
      </c>
    </row>
    <row r="7" spans="1:8" x14ac:dyDescent="0.25">
      <c r="A7" s="16" t="s">
        <v>13</v>
      </c>
      <c r="B7" s="11">
        <f>SUM(Monthly!B11:B13)</f>
        <v>0</v>
      </c>
      <c r="C7" s="11">
        <f>SUM(Monthly!C11:C13)</f>
        <v>0</v>
      </c>
      <c r="D7" s="11">
        <f t="shared" si="2"/>
        <v>0</v>
      </c>
      <c r="E7" s="17">
        <f t="shared" si="0"/>
        <v>0</v>
      </c>
      <c r="F7" s="19">
        <f>SUM(Monthly!F11:F13)</f>
        <v>0</v>
      </c>
      <c r="G7" s="14">
        <f t="shared" si="3"/>
        <v>0</v>
      </c>
      <c r="H7" s="15">
        <f t="shared" si="1"/>
        <v>0</v>
      </c>
    </row>
    <row r="8" spans="1:8" x14ac:dyDescent="0.25">
      <c r="A8" s="16" t="s">
        <v>14</v>
      </c>
      <c r="B8" s="11">
        <f>SUM(Monthly!B14:B16)</f>
        <v>0</v>
      </c>
      <c r="C8" s="11">
        <f>SUM(Monthly!C14:C16)</f>
        <v>0</v>
      </c>
      <c r="D8" s="11">
        <f t="shared" si="2"/>
        <v>0</v>
      </c>
      <c r="E8" s="17">
        <f t="shared" si="0"/>
        <v>0</v>
      </c>
      <c r="F8" s="14">
        <f>SUM(Monthly!F14:F16)</f>
        <v>0</v>
      </c>
      <c r="G8" s="14">
        <f t="shared" si="3"/>
        <v>0</v>
      </c>
      <c r="H8" s="15">
        <f t="shared" si="1"/>
        <v>0</v>
      </c>
    </row>
    <row r="9" spans="1:8" x14ac:dyDescent="0.25">
      <c r="A9" s="20" t="s">
        <v>15</v>
      </c>
      <c r="B9" s="21">
        <f>SUM(B5:B8)</f>
        <v>1387740.4709999999</v>
      </c>
      <c r="C9" s="21">
        <f>SUM(C5:C8)</f>
        <v>1609829.3559999999</v>
      </c>
      <c r="D9" s="21">
        <f>B9-C9</f>
        <v>-222088.88500000001</v>
      </c>
      <c r="E9" s="22">
        <f>IFERROR(D9/C9, 0)</f>
        <v>-0.13795802901236198</v>
      </c>
      <c r="F9" s="21">
        <f>SUM(F5:F8)</f>
        <v>1820406.8599999999</v>
      </c>
      <c r="G9" s="21">
        <f>B9-F9</f>
        <v>-432666.38899999997</v>
      </c>
      <c r="H9" s="23">
        <f>IFERROR(G9/F9, 0)</f>
        <v>-0.23767565290321965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17"/>
  <sheetViews>
    <sheetView tabSelected="1" workbookViewId="0">
      <selection activeCell="H20" sqref="H20"/>
    </sheetView>
  </sheetViews>
  <sheetFormatPr defaultRowHeight="15" x14ac:dyDescent="0.25"/>
  <cols>
    <col min="1" max="1" width="10.42578125" customWidth="1"/>
    <col min="2" max="2" width="10.5703125" customWidth="1"/>
    <col min="3" max="3" width="11" bestFit="1" customWidth="1"/>
    <col min="4" max="4" width="15" customWidth="1"/>
    <col min="5" max="5" width="13.140625" customWidth="1"/>
    <col min="6" max="6" width="12.5703125" customWidth="1"/>
    <col min="7" max="7" width="17.140625" customWidth="1"/>
    <col min="8" max="8" width="15.140625" customWidth="1"/>
    <col min="9" max="9" width="118.85546875" customWidth="1"/>
    <col min="10" max="10" width="18.85546875" customWidth="1"/>
  </cols>
  <sheetData>
    <row r="1" spans="1:11" ht="26.25" x14ac:dyDescent="0.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</row>
    <row r="3" spans="1:11" ht="15.75" x14ac:dyDescent="0.25">
      <c r="A3" s="77" t="s">
        <v>1</v>
      </c>
      <c r="B3" s="78"/>
      <c r="C3" s="78"/>
      <c r="D3" s="78"/>
      <c r="E3" s="79"/>
      <c r="F3" s="80" t="s">
        <v>2</v>
      </c>
      <c r="G3" s="81"/>
      <c r="H3" s="82"/>
      <c r="I3" s="83" t="s">
        <v>16</v>
      </c>
      <c r="J3" s="84"/>
    </row>
    <row r="4" spans="1:11" x14ac:dyDescent="0.25">
      <c r="A4" s="29" t="s">
        <v>17</v>
      </c>
      <c r="B4" s="30" t="s">
        <v>4</v>
      </c>
      <c r="C4" s="30" t="s">
        <v>5</v>
      </c>
      <c r="D4" s="30" t="s">
        <v>6</v>
      </c>
      <c r="E4" s="31" t="s">
        <v>7</v>
      </c>
      <c r="F4" s="32" t="s">
        <v>8</v>
      </c>
      <c r="G4" s="33" t="s">
        <v>9</v>
      </c>
      <c r="H4" s="34" t="s">
        <v>10</v>
      </c>
      <c r="I4" s="35" t="s">
        <v>16</v>
      </c>
      <c r="J4" s="36" t="s">
        <v>18</v>
      </c>
    </row>
    <row r="5" spans="1:11" ht="30" x14ac:dyDescent="0.25">
      <c r="A5" s="54" t="s">
        <v>19</v>
      </c>
      <c r="B5" s="55">
        <v>218416</v>
      </c>
      <c r="C5" s="56">
        <v>252236.7</v>
      </c>
      <c r="D5" s="57">
        <f>B5-C5</f>
        <v>-33820.700000000012</v>
      </c>
      <c r="E5" s="58">
        <f t="shared" ref="E5:E16" si="0">IFERROR(D5/C5, 0)</f>
        <v>-0.13408318456433979</v>
      </c>
      <c r="F5" s="59">
        <v>463970.5</v>
      </c>
      <c r="G5" s="60">
        <f>B5-F5</f>
        <v>-245554.5</v>
      </c>
      <c r="H5" s="61">
        <f t="shared" ref="H5:H16" si="1">IFERROR(G5/F5, 0)</f>
        <v>-0.52924593266166708</v>
      </c>
      <c r="I5" s="41" t="s">
        <v>32</v>
      </c>
      <c r="J5" s="41" t="s">
        <v>33</v>
      </c>
    </row>
    <row r="6" spans="1:11" x14ac:dyDescent="0.25">
      <c r="A6" s="62" t="s">
        <v>20</v>
      </c>
      <c r="B6" s="63">
        <v>615269.95700000005</v>
      </c>
      <c r="C6" s="64">
        <v>719590.41599999997</v>
      </c>
      <c r="D6" s="65">
        <f t="shared" ref="D6:D10" si="2">B6-C6</f>
        <v>-104320.45899999992</v>
      </c>
      <c r="E6" s="66">
        <f t="shared" si="0"/>
        <v>-0.14497199612508446</v>
      </c>
      <c r="F6" s="67">
        <v>588255</v>
      </c>
      <c r="G6" s="68">
        <f t="shared" ref="G6:G16" si="3">B6-F6</f>
        <v>27014.957000000053</v>
      </c>
      <c r="H6" s="61">
        <f t="shared" si="1"/>
        <v>4.5923888449737021E-2</v>
      </c>
      <c r="I6" s="40"/>
      <c r="J6" s="40"/>
      <c r="K6" s="37"/>
    </row>
    <row r="7" spans="1:11" ht="30" x14ac:dyDescent="0.25">
      <c r="A7" s="62" t="s">
        <v>21</v>
      </c>
      <c r="B7" s="63">
        <v>554054.51399999997</v>
      </c>
      <c r="C7" s="64">
        <v>638002.24</v>
      </c>
      <c r="D7" s="65">
        <f t="shared" si="2"/>
        <v>-83947.726000000024</v>
      </c>
      <c r="E7" s="66">
        <f t="shared" si="0"/>
        <v>-0.13157904586667285</v>
      </c>
      <c r="F7" s="67">
        <v>768181.36</v>
      </c>
      <c r="G7" s="68">
        <f t="shared" si="3"/>
        <v>-214126.84600000002</v>
      </c>
      <c r="H7" s="61">
        <f t="shared" si="1"/>
        <v>-0.27874517288469486</v>
      </c>
      <c r="I7" s="85" t="s">
        <v>34</v>
      </c>
      <c r="J7" s="85" t="s">
        <v>35</v>
      </c>
      <c r="K7" s="37"/>
    </row>
    <row r="8" spans="1:11" x14ac:dyDescent="0.25">
      <c r="A8" s="62" t="s">
        <v>22</v>
      </c>
      <c r="B8" s="63"/>
      <c r="C8" s="64"/>
      <c r="D8" s="65">
        <f t="shared" si="2"/>
        <v>0</v>
      </c>
      <c r="E8" s="66">
        <f t="shared" si="0"/>
        <v>0</v>
      </c>
      <c r="F8" s="67"/>
      <c r="G8" s="68">
        <f t="shared" si="3"/>
        <v>0</v>
      </c>
      <c r="H8" s="61">
        <f t="shared" si="1"/>
        <v>0</v>
      </c>
      <c r="I8" s="38"/>
      <c r="J8" s="39"/>
      <c r="K8" s="37"/>
    </row>
    <row r="9" spans="1:11" x14ac:dyDescent="0.25">
      <c r="A9" s="62" t="s">
        <v>23</v>
      </c>
      <c r="B9" s="63"/>
      <c r="C9" s="64"/>
      <c r="D9" s="65">
        <f t="shared" si="2"/>
        <v>0</v>
      </c>
      <c r="E9" s="66">
        <f t="shared" si="0"/>
        <v>0</v>
      </c>
      <c r="F9" s="67"/>
      <c r="G9" s="68">
        <f t="shared" si="3"/>
        <v>0</v>
      </c>
      <c r="H9" s="61">
        <f t="shared" si="1"/>
        <v>0</v>
      </c>
      <c r="I9" s="41"/>
      <c r="J9" s="41"/>
      <c r="K9" s="37"/>
    </row>
    <row r="10" spans="1:11" x14ac:dyDescent="0.25">
      <c r="A10" s="62" t="s">
        <v>24</v>
      </c>
      <c r="B10" s="63"/>
      <c r="C10" s="64"/>
      <c r="D10" s="65">
        <f t="shared" si="2"/>
        <v>0</v>
      </c>
      <c r="E10" s="66">
        <f t="shared" si="0"/>
        <v>0</v>
      </c>
      <c r="F10" s="67"/>
      <c r="G10" s="68">
        <f t="shared" si="3"/>
        <v>0</v>
      </c>
      <c r="H10" s="61">
        <f t="shared" si="1"/>
        <v>0</v>
      </c>
      <c r="I10" s="41"/>
      <c r="J10" s="41"/>
      <c r="K10" s="37"/>
    </row>
    <row r="11" spans="1:11" x14ac:dyDescent="0.25">
      <c r="A11" s="62" t="s">
        <v>25</v>
      </c>
      <c r="B11" s="69"/>
      <c r="C11" s="69"/>
      <c r="D11" s="69">
        <f t="shared" ref="D11:D16" si="4">B11-C11</f>
        <v>0</v>
      </c>
      <c r="E11" s="70">
        <f t="shared" si="0"/>
        <v>0</v>
      </c>
      <c r="F11" s="71"/>
      <c r="G11" s="72">
        <f t="shared" si="3"/>
        <v>0</v>
      </c>
      <c r="H11" s="73">
        <f t="shared" si="1"/>
        <v>0</v>
      </c>
      <c r="I11" s="40"/>
      <c r="J11" s="40"/>
    </row>
    <row r="12" spans="1:11" x14ac:dyDescent="0.25">
      <c r="A12" s="62" t="s">
        <v>26</v>
      </c>
      <c r="B12" s="69"/>
      <c r="C12" s="69"/>
      <c r="D12" s="69">
        <f t="shared" si="4"/>
        <v>0</v>
      </c>
      <c r="E12" s="74">
        <f t="shared" si="0"/>
        <v>0</v>
      </c>
      <c r="F12" s="72"/>
      <c r="G12" s="72">
        <f t="shared" si="3"/>
        <v>0</v>
      </c>
      <c r="H12" s="73">
        <f t="shared" si="1"/>
        <v>0</v>
      </c>
      <c r="I12" s="41"/>
      <c r="J12" s="41"/>
    </row>
    <row r="13" spans="1:11" x14ac:dyDescent="0.25">
      <c r="A13" s="62" t="s">
        <v>27</v>
      </c>
      <c r="B13" s="69"/>
      <c r="C13" s="69"/>
      <c r="D13" s="69">
        <f t="shared" si="4"/>
        <v>0</v>
      </c>
      <c r="E13" s="74">
        <f t="shared" si="0"/>
        <v>0</v>
      </c>
      <c r="F13" s="75"/>
      <c r="G13" s="75">
        <f t="shared" si="3"/>
        <v>0</v>
      </c>
      <c r="H13" s="73">
        <f t="shared" si="1"/>
        <v>0</v>
      </c>
      <c r="I13" s="40"/>
      <c r="J13" s="40"/>
    </row>
    <row r="14" spans="1:11" x14ac:dyDescent="0.25">
      <c r="A14" s="62" t="s">
        <v>28</v>
      </c>
      <c r="B14" s="69"/>
      <c r="C14" s="69"/>
      <c r="D14" s="69">
        <f t="shared" si="4"/>
        <v>0</v>
      </c>
      <c r="E14" s="74">
        <f t="shared" si="0"/>
        <v>0</v>
      </c>
      <c r="F14" s="75"/>
      <c r="G14" s="75">
        <f t="shared" si="3"/>
        <v>0</v>
      </c>
      <c r="H14" s="73">
        <f t="shared" si="1"/>
        <v>0</v>
      </c>
      <c r="I14" s="41"/>
      <c r="J14" s="40"/>
    </row>
    <row r="15" spans="1:11" x14ac:dyDescent="0.25">
      <c r="A15" s="1" t="s">
        <v>29</v>
      </c>
      <c r="B15" s="46"/>
      <c r="C15" s="46"/>
      <c r="D15" s="42">
        <f t="shared" si="4"/>
        <v>0</v>
      </c>
      <c r="E15" s="45">
        <f t="shared" si="0"/>
        <v>0</v>
      </c>
      <c r="F15" s="47"/>
      <c r="G15" s="43">
        <f t="shared" si="3"/>
        <v>0</v>
      </c>
      <c r="H15" s="44">
        <f t="shared" si="1"/>
        <v>0</v>
      </c>
      <c r="I15" s="40"/>
      <c r="J15" s="40"/>
    </row>
    <row r="16" spans="1:11" x14ac:dyDescent="0.25">
      <c r="A16" s="2" t="s">
        <v>30</v>
      </c>
      <c r="B16" s="48"/>
      <c r="C16" s="48"/>
      <c r="D16" s="48">
        <f t="shared" si="4"/>
        <v>0</v>
      </c>
      <c r="E16" s="49">
        <f t="shared" si="0"/>
        <v>0</v>
      </c>
      <c r="F16" s="50"/>
      <c r="G16" s="51">
        <f t="shared" si="3"/>
        <v>0</v>
      </c>
      <c r="H16" s="52">
        <f t="shared" si="1"/>
        <v>0</v>
      </c>
      <c r="I16" s="53"/>
      <c r="J16" s="53"/>
    </row>
    <row r="17" spans="1:10" x14ac:dyDescent="0.25">
      <c r="A17" s="3" t="s">
        <v>31</v>
      </c>
      <c r="B17" s="4">
        <f>SUM(B5:B16)</f>
        <v>1387740.4709999999</v>
      </c>
      <c r="C17" s="4">
        <f t="shared" ref="C17:F17" si="5">SUM(C5:C16)</f>
        <v>1609829.3559999999</v>
      </c>
      <c r="D17" s="4">
        <f>B17-C17</f>
        <v>-222088.88500000001</v>
      </c>
      <c r="E17" s="5">
        <f>IFERROR(D17/C17, 0)</f>
        <v>-0.13795802901236198</v>
      </c>
      <c r="F17" s="4">
        <f t="shared" si="5"/>
        <v>1820406.8599999999</v>
      </c>
      <c r="G17" s="4">
        <f>B17-F17</f>
        <v>-432666.38899999997</v>
      </c>
      <c r="H17" s="6">
        <f>IFERROR(G17/F17, 0)</f>
        <v>-0.23767565290321965</v>
      </c>
      <c r="I17" s="7"/>
      <c r="J17" s="7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8ABFDD-12AD-4B02-8E97-9F9E30A4E4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8A7339-4BA8-48E1-9706-A998B307CD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Solar Team 2</cp:lastModifiedBy>
  <cp:revision/>
  <dcterms:created xsi:type="dcterms:W3CDTF">2023-06-15T21:59:03Z</dcterms:created>
  <dcterms:modified xsi:type="dcterms:W3CDTF">2024-04-05T07:07:39Z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