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0" documentId="13_ncr:1_{9A821076-91F1-4FAE-932D-E099DE641F47}" xr6:coauthVersionLast="47" xr6:coauthVersionMax="47" xr10:uidLastSave="{00000000-0000-0000-0000-000000000000}"/>
  <bookViews>
    <workbookView xWindow="-93" yWindow="-93" windowWidth="19386" windowHeight="1146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E4" i="3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H4" i="3"/>
  <c r="I4" i="3" s="1"/>
  <c r="E5" i="3"/>
  <c r="F5" i="3" s="1"/>
  <c r="H5" i="3"/>
  <c r="I5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C4" i="29"/>
  <c r="D4" i="18"/>
  <c r="C4" i="18"/>
  <c r="D2" i="30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H2" i="27" s="1"/>
  <c r="I2" i="27" s="1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I4" i="4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F4" i="72"/>
  <c r="A1" i="72" a="1"/>
  <c r="A1" i="72" s="1"/>
  <c r="J2" i="4" l="1"/>
  <c r="H2" i="21"/>
  <c r="I2" i="21" s="1"/>
  <c r="J2" i="21"/>
  <c r="H2" i="20"/>
  <c r="I2" i="20" s="1"/>
  <c r="D2" i="18"/>
  <c r="E4" i="18"/>
  <c r="F4" i="18" s="1"/>
  <c r="J2" i="20"/>
  <c r="H2" i="19"/>
  <c r="I2" i="19" s="1"/>
  <c r="J2" i="19"/>
  <c r="D2" i="29"/>
  <c r="J2" i="26"/>
  <c r="J2" i="27"/>
  <c r="E2" i="28"/>
  <c r="F2" i="28" s="1"/>
  <c r="J2" i="28"/>
  <c r="J2" i="31"/>
  <c r="J2" i="33"/>
  <c r="D4" i="34"/>
  <c r="D2" i="34" s="1"/>
  <c r="J2" i="32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<sst xmlns="http://schemas.openxmlformats.org/spreadsheetml/2006/main" count="238" uniqueCount="51">
  <si>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</si>
  <si>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</si>
  <si>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</si>
  <si>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</si>
  <si>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</si>
  <si>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</si>
  <si>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</si>
  <si>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</si>
  <si>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</si>
  <si>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</si>
  <si>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</si>
  <si>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</si>
  <si>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</si>
  <si>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</si>
  <si>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</si>
  <si>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</si>
  <si>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</si>
  <si>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</si>
  <si>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</si>
  <si>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</si>
  <si>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</si>
  <si>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</si>
  <si>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</si>
  <si>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</si>
  <si>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</si>
  <si>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</si>
  <si>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</si>
  <si>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</si>
  <si>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</si>
  <si>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</si>
  <si>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</si>
  <si>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</si>
  <si>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</si>
  <si>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</si>
  <si>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</si>
  <si>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</si>
  <si>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</si>
  <si>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</si>
  <si>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</si>
  <si>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</si>
  <si>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</si>
  <si>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</si>
  <si>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</si>
  <si>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</si>
  <si>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</si>
  <si>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MAC Phase II</t>
  </si>
  <si>
    <t>Site DAS Name</t>
  </si>
  <si>
    <t>Update</t>
  </si>
  <si>
    <t>DAS</t>
  </si>
  <si>
    <t>MAC - Phase 2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</si>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</sst>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23" fillId="0" borderId="12" xfId="0" applyFont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outline="0">
        <right style="thin">
          <color rgb="FF000000"/>
        </right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workbookViewId="0">
      <pane ySplit="2" topLeftCell="A3" activePane="bottomLeft" state="frozen"/>
      <selection pane="bottomLeft" activeCell="A26" sqref="A2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6">
        <f>SUM(C4:C89)</f>
        <v>186219</v>
      </c>
      <c r="D2" s="6">
        <f>SUM(D4:D89)</f>
        <v>218647.715</v>
      </c>
      <c r="E2" s="6">
        <f>C2-D2</f>
        <v>-32428.714999999997</v>
      </c>
      <c r="F2" s="7">
        <f>IFERROR(E2/D2, 0)</f>
        <v>-0.1483149046400965</v>
      </c>
      <c r="G2" s="6">
        <f>SUM(G4:G89)</f>
        <v>259441.318</v>
      </c>
      <c r="H2" s="8">
        <f>C2-G2</f>
        <v>-73222.317999999999</v>
      </c>
      <c r="I2" s="7">
        <f>IFERROR(H2/G2, 0)</f>
        <v>-0.2822307509245694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SUM('1st Qtr'!C4, '2nd Qtr'!C4, '3rd Qtr'!C4, '4th Qtr'!C4)</f>
        <v>186219</v>
      </c>
      <c r="D4" s="14">
        <f>SUM('1st Qtr'!D4, '2nd Qtr'!D4, '3rd Qtr'!D4, '4th Qtr'!D4)</f>
        <v>218647.715</v>
      </c>
      <c r="E4" s="14">
        <f>IF(AND(ISNUMBER(C4),ISNUMBER(D4)), C4-D4, "")</f>
        <v>-32428.714999999997</v>
      </c>
      <c r="F4" s="15">
        <f>IFERROR(E4/D4, 0)</f>
        <v>-0.1483149046400965</v>
      </c>
      <c r="G4" s="16">
        <f>SUM('1st Qtr'!G4,'2nd Qtr'!G4,'3rd Qtr'!G4,'4th Qtr'!G4)</f>
        <v>259441.318</v>
      </c>
      <c r="H4" s="16">
        <f>SUM('1st Qtr'!H4, '2nd Qtr'!H4, '3rd Qtr'!H4, '4th Qtr'!H4)</f>
        <v>-61467.790999999997</v>
      </c>
      <c r="I4" s="17">
        <f>IFERROR(H4/G4, 0)</f>
        <v>-0.23692367689868118</v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pane="bottomLeft" sqref="A1:C1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6">
        <f>SUM(C4:C89)</f>
        <v>186219</v>
      </c>
      <c r="D2" s="6">
        <f>SUM(D4:D89)</f>
        <v>218647.715</v>
      </c>
      <c r="E2" s="6">
        <f>C2-D2</f>
        <v>-32428.714999999997</v>
      </c>
      <c r="F2" s="7">
        <f>IFERROR(E2/D2, 0)</f>
        <v>-0.1483149046400965</v>
      </c>
      <c r="G2" s="6">
        <f>SUM(G4:G89)</f>
        <v>259441.318</v>
      </c>
      <c r="H2" s="8">
        <f>C2-G2</f>
        <v>-73222.317999999999</v>
      </c>
      <c r="I2" s="7">
        <f>IFERROR(H2/G2, 0)</f>
        <v>-0.2822307509245694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SUM(Jan!C4, Feb!C4, Mar!C4)</f>
        <v>186219</v>
      </c>
      <c r="D4" s="14">
        <f>SUM(Jan!D4, Feb!D4, Mar!D4)</f>
        <v>218647.715</v>
      </c>
      <c r="E4" s="14">
        <f>IF(AND(ISNUMBER(C4),ISNUMBER(D4)), C4-D4, "")</f>
        <v>-32428.714999999997</v>
      </c>
      <c r="F4" s="15">
        <f>IFERROR(E4/D4, 0)</f>
        <v>-0.1483149046400965</v>
      </c>
      <c r="G4" s="16">
        <f>SUM(Jan!G4, Feb!G4, Mar!G4)</f>
        <v>259441.318</v>
      </c>
      <c r="H4" s="16">
        <f>SUM(Jan!H4, Feb!H4, Mar!H4)</f>
        <v>-61467.790999999997</v>
      </c>
      <c r="I4" s="17">
        <f>IFERROR(H4/G4, 0)</f>
        <v>-0.23692367689868118</v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II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2</v>
      </c>
      <c r="B4" s="10" t="str" cm="1">
        <f t="array" ref="B4">Sites[State]</f>
        <v>MN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14" sqref="G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SUM(C4:C89)</f>
        <v>32705</v>
      </c>
      <c r="D2" s="6">
        <f>SUM(D4:D89)</f>
        <v>38564.798000000003</v>
      </c>
      <c r="E2" s="6">
        <f>C2-D2</f>
        <v>-5859.7980000000025</v>
      </c>
      <c r="F2" s="7">
        <f>IFERROR(E2/D2, 0)</f>
        <v>-0.1519468091081406</v>
      </c>
      <c r="G2" s="6">
        <f>SUM(G4:G89)</f>
        <v>71547.255000000005</v>
      </c>
      <c r="H2" s="8">
        <f>C2-G2</f>
        <v>-38842.255000000005</v>
      </c>
      <c r="I2" s="7">
        <f>IFERROR(H2/G2, 0)</f>
        <v>-0.54288952105849486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>
        <v>32705</v>
      </c>
      <c r="D4" s="14">
        <v>38564.798000000003</v>
      </c>
      <c r="E4" s="14">
        <f>IF(AND(ISNUMBER(C4),ISNUMBER(D4)), C4-D4, "")</f>
        <v>-5859.7980000000025</v>
      </c>
      <c r="F4" s="15">
        <f>IFERROR(E4/D4, 0)</f>
        <v>-0.1519468091081406</v>
      </c>
      <c r="G4" s="16">
        <v>71547.255000000005</v>
      </c>
      <c r="H4" s="16">
        <f>IF(AND(ISNUMBER(C4),ISNUMBER(G4)), C4-G4, "")</f>
        <v>-38842.255000000005</v>
      </c>
      <c r="I4" s="17">
        <f>IFERROR(H4/G4, 0)</f>
        <v>-0.54288952105849486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22</v>
      </c>
      <c r="E1" s="46"/>
      <c r="F1" s="46"/>
      <c r="G1" s="44" t="s">
        <v>23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61184</v>
      </c>
      <c r="D2" s="6">
        <f>SUM(D4:D90)</f>
        <v>80052.623999999996</v>
      </c>
      <c r="E2" s="6">
        <f>C2-D2</f>
        <v>-18868.623999999996</v>
      </c>
      <c r="F2" s="7">
        <f>IFERROR(E2/D2, 0)</f>
        <v>-0.23570275472793992</v>
      </c>
      <c r="G2" s="6">
        <f>SUM(G4:G90)</f>
        <v>83809.535999999993</v>
      </c>
      <c r="H2" s="8">
        <f>C2-G2</f>
        <v>-22625.535999999993</v>
      </c>
      <c r="I2" s="7">
        <f>IFERROR(H2/G2, 0)</f>
        <v>-0.2699637425507283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>
        <v>61184</v>
      </c>
      <c r="D4" s="14">
        <v>80052.623999999996</v>
      </c>
      <c r="E4" s="14">
        <f>IF(AND(ISNUMBER(C4),ISNUMBER(D4)), C4-D4, "")</f>
        <v>-18868.623999999996</v>
      </c>
      <c r="F4" s="15">
        <f>IFERROR(E4/D4, "")</f>
        <v>-0.23570275472793992</v>
      </c>
      <c r="G4" s="16">
        <v>83809.535999999993</v>
      </c>
      <c r="H4" s="16">
        <f>IF(AND(ISNUMBER(C4),ISNUMBER(G4)), C4-G4, "")</f>
        <v>-22625.535999999993</v>
      </c>
      <c r="I4" s="17">
        <f>IFERROR(H4/G4, "")</f>
        <v>-0.2699637425507283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abSelected="1" workbookViewId="0">
      <pane ySplit="2" topLeftCell="A3" activePane="bottomLeft" state="frozen"/>
      <selection pane="bottomLeft" activeCell="H17" sqref="H17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24</v>
      </c>
      <c r="E1" s="46"/>
      <c r="F1" s="46"/>
      <c r="G1" s="44" t="s">
        <v>25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92330</v>
      </c>
      <c r="D2" s="6">
        <f>SUM(D4:D90)</f>
        <v>100030.29300000001</v>
      </c>
      <c r="E2" s="6">
        <f>C2-D2</f>
        <v>-7700.2930000000051</v>
      </c>
      <c r="F2" s="7">
        <f>IFERROR(E2/D2, 0)</f>
        <v>-7.6979610566571113E-2</v>
      </c>
      <c r="G2" s="6">
        <f>SUM(G4:G90)</f>
        <v>104084.527</v>
      </c>
      <c r="H2" s="8">
        <f>C2-G2</f>
        <v>-11754.527000000002</v>
      </c>
      <c r="I2" s="7">
        <f>IFERROR(H2/G2, 0)</f>
        <v>-0.11293251109264302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>
        <v>92330</v>
      </c>
      <c r="D4" s="14">
        <v>100030.29300000001</v>
      </c>
      <c r="E4" s="14">
        <f>IF(AND(ISNUMBER(C4),ISNUMBER(D4)), C4-D4, "")</f>
        <v>-7700.2930000000051</v>
      </c>
      <c r="F4" s="15">
        <f>IFERROR(E4/D4, "")</f>
        <v>-7.6979610566571113E-2</v>
      </c>
      <c r="G4" s="16">
        <v>104084.527</v>
      </c>
      <c r="H4" s="16"/>
      <c r="I4" s="17">
        <f>IFERROR(H4/G4, "")</f>
        <v>0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26</v>
      </c>
      <c r="E1" s="46"/>
      <c r="F1" s="46"/>
      <c r="G1" s="44" t="s">
        <v>27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28</v>
      </c>
      <c r="E1" s="46"/>
      <c r="F1" s="46"/>
      <c r="G1" s="44" t="s">
        <v>29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30</v>
      </c>
      <c r="E1" s="46"/>
      <c r="F1" s="46"/>
      <c r="G1" s="44" t="s">
        <v>31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32</v>
      </c>
      <c r="E1" s="46"/>
      <c r="F1" s="46"/>
      <c r="G1" s="44" t="s">
        <v>33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34</v>
      </c>
      <c r="E1" s="46"/>
      <c r="F1" s="46"/>
      <c r="G1" s="44" t="s">
        <v>35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36</v>
      </c>
      <c r="E1" s="46"/>
      <c r="F1" s="46"/>
      <c r="G1" s="44" t="s">
        <v>37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38</v>
      </c>
      <c r="E1" s="46"/>
      <c r="F1" s="46"/>
      <c r="G1" s="44" t="s">
        <v>39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40</v>
      </c>
      <c r="E1" s="46"/>
      <c r="F1" s="46"/>
      <c r="G1" s="44" t="s">
        <v>41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II</v>
      </c>
      <c r="B1" s="45"/>
      <c r="C1" s="45"/>
      <c r="D1" s="46" t="s">
        <v>42</v>
      </c>
      <c r="E1" s="46"/>
      <c r="F1" s="46"/>
      <c r="G1" s="44" t="s">
        <v>43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2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18" sqref="B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s="36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s="36" t="s">
        <v>45</v>
      </c>
      <c r="B4" s="43" t="s">
        <v>49</v>
      </c>
      <c r="C4" s="4" t="s">
        <v>50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C0BCDC1E-6052-4E48-9BAF-94A40814E7C2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Kurakula [Libsys]</cp:lastModifiedBy>
  <cp:revision/>
  <dcterms:created xsi:type="dcterms:W3CDTF">2021-01-01T16:39:53Z</dcterms:created>
  <dcterms:modified xsi:type="dcterms:W3CDTF">2024-04-18T07:08:23Z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