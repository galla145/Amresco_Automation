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esktop\New folder\"/>
    </mc:Choice>
  </mc:AlternateContent>
  <xr:revisionPtr revIDLastSave="15" documentId="13_ncr:1_{9E343F85-4DDE-440C-BBDA-F14F17A3E8B6}" xr6:coauthVersionLast="47" xr6:coauthVersionMax="47" xr10:uidLastSave="{B66C87C9-DD6A-4C3A-9C81-1127EF4453E2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2" l="1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G4" i="34" s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I5" i="33"/>
  <c r="H5" i="33"/>
  <c r="E5" i="33"/>
  <c r="F5" i="33" s="1"/>
  <c r="I4" i="33"/>
  <c r="H4" i="33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E5" i="30"/>
  <c r="F5" i="30" s="1"/>
  <c r="D2" i="29"/>
  <c r="E5" i="29"/>
  <c r="F5" i="29" s="1"/>
  <c r="D4" i="34"/>
  <c r="D2" i="34" s="1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<sst xmlns="http://schemas.openxmlformats.org/spreadsheetml/2006/main" count="245" uniqueCount="56">
  <si>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</si>
  <si>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</si>
  <si>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</si>
  <si>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</si>
  <si>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</si>
  <si>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</si>
  <si>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</si>
  <si>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</si>
  <si>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</si>
  <si>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</si>
  <si>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</si>
  <si>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</si>
  <si>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</si>
  <si>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</si>
  <si>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</si>
  <si>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</si>
  <si>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</si>
  <si>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</si>
  <si>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</si>
  <si>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</si>
  <si>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</si>
  <si>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</si>
  <si>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</si>
  <si>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</si>
  <si>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</si>
  <si>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</si>
  <si>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</si>
  <si>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</si>
  <si>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</si>
  <si>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</si>
  <si>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</si>
  <si>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</si>
  <si>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</si>
  <si>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</si>
  <si>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</si>
  <si>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</si>
  <si>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</si>
  <si>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</si>
  <si>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</si>
  <si>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</si>
  <si>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</si>
  <si>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</si>
  <si>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</si>
  <si>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</si>
  <si>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</si>
  <si>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</si>
  <si>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</si>
  <si>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</si>
  <si>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</si>
  <si>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</si>
  <si>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</si>
  <si>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</si>
  <si>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A</t>
  </si>
  <si>
    <t>PowerTrack</t>
  </si>
  <si>
    <t>8 Sycamore Way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</si>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</sst>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2" fillId="0" borderId="0" xfId="43" applyFont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SUM(C4:C69)</f>
        <v>42161.2</v>
      </c>
      <c r="D2" s="5">
        <f>SUM(D4:D69)</f>
        <v>0</v>
      </c>
      <c r="E2" s="5">
        <f>C2-D2</f>
        <v>42161.2</v>
      </c>
      <c r="F2" s="6">
        <f>IFERROR(E2/D2, 0)</f>
        <v>0</v>
      </c>
      <c r="G2" s="5">
        <f>SUM(G4:G69)</f>
        <v>28761.561000000002</v>
      </c>
      <c r="H2" s="7">
        <f>C2-G2</f>
        <v>13399.638999999996</v>
      </c>
      <c r="I2" s="6">
        <f>IFERROR(H2/G2, 0)</f>
        <v>0.46588705668652669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15 Baldwin Dr</v>
      </c>
      <c r="B4" s="9" t="str" cm="1">
        <f t="array" ref="B4:B5">Sites[State]</f>
        <v>CT</v>
      </c>
      <c r="C4" s="24">
        <f>SUM('1st Qtr'!C4, '2nd Qtr'!C4, '3rd Qtr'!C4, '4th Qtr'!C4)</f>
        <v>15773</v>
      </c>
      <c r="D4" s="13">
        <f>SUM('1st Qtr'!D4, '2nd Qtr'!D4, '3rd Qtr'!D4, '4th Qtr'!D4)</f>
        <v>0</v>
      </c>
      <c r="E4" s="13">
        <f>IF(AND(ISNUMBER(C4),ISNUMBER(D4)), C4-D4, "")</f>
        <v>15773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15773</v>
      </c>
      <c r="I4" s="16" t="str">
        <f>IFERROR(H4/G4, "")</f>
        <v/>
      </c>
    </row>
    <row r="5" spans="1:9" ht="15.6">
      <c r="A5" s="17" t="str">
        <v>8 Sycamore Way</v>
      </c>
      <c r="B5" s="10" t="str">
        <v>CT</v>
      </c>
      <c r="C5" s="11">
        <f>SUM(Jan!C5, Feb!C5, Mar!C5)</f>
        <v>26388.2</v>
      </c>
      <c r="D5" s="18">
        <f>SUM(Jan!D5, Feb!D5, Mar!D5)</f>
        <v>0</v>
      </c>
      <c r="E5" s="18">
        <f t="shared" ref="E5" si="0">IF(AND(ISNUMBER(C5),ISNUMBER(D5)), C5-D5, "")</f>
        <v>26388.2</v>
      </c>
      <c r="F5" s="19" t="str">
        <f>IFERROR(E5/D5, "")</f>
        <v/>
      </c>
      <c r="G5" s="20">
        <f>SUM('1st Qtr'!G5, '2nd Qtr'!G5, '3rd Qtr'!G5, '4th Qtr'!G5)</f>
        <v>28761.561000000002</v>
      </c>
      <c r="H5" s="20">
        <f>SUM(Jan!H5, Feb!H5, Mar!H5)</f>
        <v>-2373.3609999999999</v>
      </c>
      <c r="I5" s="19">
        <f>IFERROR(H5/G5, "")</f>
        <v>-8.2518504471993007E-2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SUM(C4:C69)</f>
        <v>42161.2</v>
      </c>
      <c r="D2" s="5">
        <f>SUM(D4:D69)</f>
        <v>0</v>
      </c>
      <c r="E2" s="5">
        <f>C2-D2</f>
        <v>42161.2</v>
      </c>
      <c r="F2" s="6">
        <f>IFERROR(E2/D2, 0)</f>
        <v>0</v>
      </c>
      <c r="G2" s="5">
        <f>SUM(G4:G69)</f>
        <v>28761.561000000002</v>
      </c>
      <c r="H2" s="7">
        <f>C2-G2</f>
        <v>13399.638999999996</v>
      </c>
      <c r="I2" s="6">
        <f>IFERROR(H2/G2, 0)</f>
        <v>0.46588705668652669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SUM(Jan!C4, Feb!C4, Mar!C4)</f>
        <v>15773</v>
      </c>
      <c r="D4" s="13">
        <f>SUM(Jan!D4, Feb!D4, Mar!D4)</f>
        <v>0</v>
      </c>
      <c r="E4" s="13">
        <f>IF(AND(ISNUMBER(C4),ISNUMBER(D4)), C4-D4, "")</f>
        <v>15773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15773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SUM(Jan!C5, Feb!C5, Mar!C5)</f>
        <v>26388.2</v>
      </c>
      <c r="D5" s="18">
        <f>SUM(Jan!D5, Feb!D5, Mar!D5)</f>
        <v>0</v>
      </c>
      <c r="E5" s="18">
        <f t="shared" ref="E5" si="0">IF(AND(ISNUMBER(C5),ISNUMBER(D5)), C5-D5, "")</f>
        <v>26388.2</v>
      </c>
      <c r="F5" s="19" t="str">
        <f>IFERROR(E5/D5, "")</f>
        <v/>
      </c>
      <c r="G5" s="20">
        <f>SUM(Jan!G5, Feb!G5, Mar!G5)</f>
        <v>28761.561000000002</v>
      </c>
      <c r="H5" s="20">
        <f>SUM(Jan!H5, Feb!H5, Mar!H5)</f>
        <v>-2373.3609999999999</v>
      </c>
      <c r="I5" s="19">
        <f>IFERROR(H5/G5, "")</f>
        <v>-8.2518504471993007E-2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SUM(Apr!C5, May!C5, Jun!C5)</f>
        <v>0</v>
      </c>
      <c r="D5" s="18">
        <f>SUM(Apr!D5, May!D5, Jun!D5)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15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American Polyfilm, Inc.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K5" sqref="K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SUM(C4:C68)</f>
        <v>6829</v>
      </c>
      <c r="D2" s="5">
        <f>SUM(D4:D68)</f>
        <v>0</v>
      </c>
      <c r="E2" s="5">
        <f>C2-D2</f>
        <v>6829</v>
      </c>
      <c r="F2" s="6">
        <f>IFERROR(E2/D2, 0)</f>
        <v>0</v>
      </c>
      <c r="G2" s="5">
        <f>SUM(G4:G68)</f>
        <v>7721</v>
      </c>
      <c r="H2" s="7">
        <f>C2-G2</f>
        <v>-892</v>
      </c>
      <c r="I2" s="6">
        <f>IFERROR(H2/G2, 0)</f>
        <v>-0.11552907654448906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13">
        <v>2566</v>
      </c>
      <c r="D4" s="13">
        <v>0</v>
      </c>
      <c r="E4" s="13">
        <f>IF(AND(ISNUMBER(C4),ISNUMBER(D4)), C4-D4, "")</f>
        <v>2566</v>
      </c>
      <c r="F4" s="43" t="str">
        <f>IFERROR(E4/D4, "")</f>
        <v/>
      </c>
      <c r="G4" s="15">
        <v>0</v>
      </c>
      <c r="H4" s="15">
        <f>IF(AND(ISNUMBER(C4),ISNUMBER(G4)), C4-G4, "")</f>
        <v>2566</v>
      </c>
      <c r="I4" s="16" t="str">
        <f>IFERROR(H4/G4, "")</f>
        <v/>
      </c>
      <c r="J4" s="40"/>
      <c r="K4" s="40"/>
    </row>
    <row r="5" spans="1:11" ht="15.75">
      <c r="A5" s="50" t="str">
        <v>8 Sycamore Way</v>
      </c>
      <c r="B5" s="30" t="str">
        <v>CT</v>
      </c>
      <c r="C5" s="18">
        <v>4263</v>
      </c>
      <c r="D5" s="18">
        <v>0</v>
      </c>
      <c r="E5" s="18">
        <f t="shared" ref="E5" si="0">IF(AND(ISNUMBER(C5),ISNUMBER(D5)), C5-D5, "")</f>
        <v>4263</v>
      </c>
      <c r="F5" s="22" t="str">
        <f t="shared" ref="F5" si="1">IFERROR(E5/D5, "")</f>
        <v/>
      </c>
      <c r="G5" s="20">
        <v>7721</v>
      </c>
      <c r="H5" s="20">
        <f t="shared" ref="H5" si="2">IF(AND(ISNUMBER(C5),ISNUMBER(G5)), C5-G5, "")</f>
        <v>-3458</v>
      </c>
      <c r="I5" s="19">
        <f t="shared" ref="I5" si="3">IFERROR(H5/G5, "")</f>
        <v>-0.44786944696282865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5:F68">
    <cfRule type="cellIs" dxfId="27" priority="4" stopIfTrue="1" operator="lessThanOrEqual">
      <formula>-0.1</formula>
    </cfRule>
    <cfRule type="expression" dxfId="26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22</v>
      </c>
      <c r="E1" s="54"/>
      <c r="F1" s="54"/>
      <c r="G1" s="52" t="s">
        <v>23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12786.2</v>
      </c>
      <c r="D2" s="5">
        <f>SUM(D4:D69)</f>
        <v>0</v>
      </c>
      <c r="E2" s="5">
        <f>C2-D2</f>
        <v>12786.2</v>
      </c>
      <c r="F2" s="6">
        <f>IFERROR(E2/D2, 0)</f>
        <v>0</v>
      </c>
      <c r="G2" s="5">
        <f>SUM(G4:G69)</f>
        <v>9234.19</v>
      </c>
      <c r="H2" s="7">
        <f>C2-G2</f>
        <v>3552.01</v>
      </c>
      <c r="I2" s="6">
        <f>IFERROR(H2/G2, 0)</f>
        <v>0.38465853529113003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24">
        <v>4931</v>
      </c>
      <c r="D4" s="13">
        <v>0</v>
      </c>
      <c r="E4" s="13">
        <f>IF(AND(ISNUMBER(C4),ISNUMBER(D4)), C4-D4, "")</f>
        <v>4931</v>
      </c>
      <c r="F4" s="14" t="str">
        <f>IFERROR(E4/D4, "")</f>
        <v/>
      </c>
      <c r="G4" s="15">
        <v>0</v>
      </c>
      <c r="H4" s="15">
        <f>IF(AND(ISNUMBER(C4),ISNUMBER(G4)), C4-G4, "")</f>
        <v>4931</v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1">
        <v>7855.2</v>
      </c>
      <c r="D5" s="18">
        <v>0</v>
      </c>
      <c r="E5" s="18">
        <f t="shared" ref="E5" si="0">IF(AND(ISNUMBER(C5),ISNUMBER(D5)), C5-D5, "")</f>
        <v>7855.2</v>
      </c>
      <c r="F5" s="19" t="str">
        <f>IFERROR(E5/D5, "")</f>
        <v/>
      </c>
      <c r="G5" s="20">
        <v>9234.19</v>
      </c>
      <c r="H5" s="20">
        <f t="shared" ref="H5" si="1">IF(AND(ISNUMBER(C5),ISNUMBER(G5)), C5-G5, "")</f>
        <v>-1378.9900000000007</v>
      </c>
      <c r="I5" s="19">
        <f t="shared" ref="I5" si="2">IFERROR(H5/G5, "")</f>
        <v>-0.14933524218150163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tabSelected="1" workbookViewId="0">
      <pane xSplit="2" ySplit="3" topLeftCell="C4" activePane="bottomRight" state="frozen"/>
      <selection pane="bottomRight" activeCell="I10" sqref="I10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24</v>
      </c>
      <c r="E1" s="54"/>
      <c r="F1" s="54"/>
      <c r="G1" s="52" t="s">
        <v>25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22546</v>
      </c>
      <c r="D2" s="5">
        <f>SUM(D4:D69)</f>
        <v>0</v>
      </c>
      <c r="E2" s="5">
        <f>C2-D2</f>
        <v>22546</v>
      </c>
      <c r="F2" s="6">
        <f>IFERROR(E2/D2, 0)</f>
        <v>0</v>
      </c>
      <c r="G2" s="5">
        <f>SUM(G4:G69)</f>
        <v>11806.370999999999</v>
      </c>
      <c r="H2" s="7">
        <f>C2-G2</f>
        <v>10739.629000000001</v>
      </c>
      <c r="I2" s="6">
        <f>IFERROR(H2/G2, 0)</f>
        <v>0.90964691860013558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75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8276</v>
      </c>
      <c r="D4" s="13">
        <v>0</v>
      </c>
      <c r="E4" s="13">
        <f>IF(AND(ISNUMBER(C4),ISNUMBER(D4)), C4-D4, "")</f>
        <v>8276</v>
      </c>
      <c r="F4" s="14" t="str">
        <f>IFERROR(E4/D4, "")</f>
        <v/>
      </c>
      <c r="G4" s="15">
        <v>0</v>
      </c>
      <c r="H4" s="15">
        <f>IF(AND(ISNUMBER(C4),ISNUMBER(G4)), C4-G4, "")</f>
        <v>8276</v>
      </c>
      <c r="I4" s="16" t="str">
        <f>IFERROR(H4/G4, "")</f>
        <v/>
      </c>
      <c r="J4" s="40"/>
      <c r="K4" s="40"/>
    </row>
    <row r="5" spans="1:11" ht="15.75">
      <c r="A5" s="29" t="str">
        <v>8 Sycamore Way</v>
      </c>
      <c r="B5" s="30" t="str">
        <v>CT</v>
      </c>
      <c r="C5" s="11">
        <v>14270</v>
      </c>
      <c r="D5" s="18">
        <v>0</v>
      </c>
      <c r="E5" s="18">
        <f t="shared" ref="E5" si="0">IF(AND(ISNUMBER(C5),ISNUMBER(D5)), C5-D5, "")</f>
        <v>14270</v>
      </c>
      <c r="F5" s="19" t="str">
        <f>IFERROR(E5/D5, "")</f>
        <v/>
      </c>
      <c r="G5" s="20">
        <v>11806.370999999999</v>
      </c>
      <c r="H5" s="20">
        <f t="shared" ref="H5" si="1">IF(AND(ISNUMBER(C5),ISNUMBER(G5)), C5-G5, "")</f>
        <v>2463.6290000000008</v>
      </c>
      <c r="I5" s="19">
        <f t="shared" ref="I5" si="2">IFERROR(H5/G5, "")</f>
        <v>0.20866945482231594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26</v>
      </c>
      <c r="E1" s="54"/>
      <c r="F1" s="54"/>
      <c r="G1" s="52" t="s">
        <v>27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28</v>
      </c>
      <c r="E1" s="54"/>
      <c r="F1" s="54"/>
      <c r="G1" s="52" t="s">
        <v>29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30</v>
      </c>
      <c r="E1" s="54"/>
      <c r="F1" s="54"/>
      <c r="G1" s="52" t="s">
        <v>31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32</v>
      </c>
      <c r="E1" s="54"/>
      <c r="F1" s="54"/>
      <c r="G1" s="52" t="s">
        <v>33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C4" activePane="bottomRight" state="frozen"/>
      <selection pane="bottomRight" activeCell="A15" sqref="A15"/>
      <selection pane="bottomLeft" activeCell="A15" sqref="A15"/>
      <selection pane="topRight" activeCell="A15" sqref="A15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American Polyfilm, Inc.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/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" t="s">
        <v>49</v>
      </c>
      <c r="B4" s="3" t="s">
        <v>50</v>
      </c>
      <c r="C4" s="51" t="s">
        <v>51</v>
      </c>
      <c r="D4" s="2" t="s">
        <v>52</v>
      </c>
      <c r="E4" t="s">
        <v>53</v>
      </c>
      <c r="G4" s="3"/>
    </row>
    <row r="5" spans="1:12" ht="14.45">
      <c r="A5" s="3" t="s">
        <v>54</v>
      </c>
      <c r="B5" s="3" t="s">
        <v>54</v>
      </c>
      <c r="C5" s="51" t="s">
        <v>51</v>
      </c>
      <c r="D5" s="2" t="s">
        <v>55</v>
      </c>
      <c r="E5" t="s">
        <v>53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3AEAA9D8-2182-46BA-A58E-96C72DDA1C54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2024-05-01T07:11:02Z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