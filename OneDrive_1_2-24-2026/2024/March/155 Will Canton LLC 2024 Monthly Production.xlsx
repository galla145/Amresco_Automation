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30" documentId="13_ncr:1_{E055DD24-2325-45FB-9662-429E1B6D4754}" xr6:coauthVersionLast="47" xr6:coauthVersionMax="47" xr10:uidLastSave="{FFCDCCBC-1F1F-4039-8933-7A8A9A5B800A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<sst xmlns="http://schemas.openxmlformats.org/spreadsheetml/2006/main" count="242" uniqueCount="56">
  <si>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</si>
  <si>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</si>
  <si>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</si>
  <si>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</si>
  <si>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</si>
  <si>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</si>
  <si>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</si>
  <si>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</si>
  <si>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</si>
  <si>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</si>
  <si>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</si>
  <si>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</si>
  <si>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</si>
  <si>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</si>
  <si>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</si>
  <si>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</si>
  <si>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</si>
  <si>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</si>
  <si>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</si>
  <si>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</si>
  <si>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</si>
  <si>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</si>
  <si>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</si>
  <si>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</si>
  <si>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</si>
  <si>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</si>
  <si>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left unit is offline from 03/28.</t>
  </si>
  <si>
    <t>1. SR083210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</si>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</sst>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5">
        <f>SUM(C4:C78)</f>
        <v>25506.5625</v>
      </c>
      <c r="D2" s="5">
        <f>SUM(D4:D78)</f>
        <v>0</v>
      </c>
      <c r="E2" s="5">
        <f>C2-D2</f>
        <v>25506.5625</v>
      </c>
      <c r="F2" s="6">
        <f>IFERROR(E2/D2, 0)</f>
        <v>0</v>
      </c>
      <c r="G2" s="5">
        <f>SUM(G4:G78)</f>
        <v>27777</v>
      </c>
      <c r="H2" s="7">
        <f>C2-G2</f>
        <v>-2270.4375</v>
      </c>
      <c r="I2" s="6">
        <f>IFERROR(H2/G2, 0)</f>
        <v>-8.1738038665082627E-2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25506.5625</v>
      </c>
      <c r="D4" s="12">
        <f>SUM('1st Qtr'!D4, '2nd Qtr'!D4, '3rd Qtr'!D4, '4th Qtr'!D4)</f>
        <v>0</v>
      </c>
      <c r="E4" s="12">
        <f>IF(AND(ISNUMBER(C4),ISNUMBER(D4)), C4-D4, "")</f>
        <v>25506.5625</v>
      </c>
      <c r="F4" s="13" t="str">
        <f>IFERROR(E4/D4, "")</f>
        <v/>
      </c>
      <c r="G4" s="14">
        <f>SUM('1st Qtr'!G4, '2nd Qtr'!G4, '3rd Qtr'!G4, '4th Qtr'!G4)</f>
        <v>27777</v>
      </c>
      <c r="H4" s="14">
        <f>SUM('1st Qtr'!H4, '2nd Qtr'!H4, '3rd Qtr'!H4, '4th Qtr'!H4)</f>
        <v>-2270.4375</v>
      </c>
      <c r="I4" s="15">
        <f>IFERROR(H4/G4, "")</f>
        <v>-8.1738038665082627E-2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5">
        <f>SUM(C4:C78)</f>
        <v>25506.5625</v>
      </c>
      <c r="D2" s="5">
        <f>SUM(D4:D78)</f>
        <v>0</v>
      </c>
      <c r="E2" s="5">
        <f>C2-D2</f>
        <v>25506.5625</v>
      </c>
      <c r="F2" s="6">
        <f>IFERROR(E2/D2, 0)</f>
        <v>0</v>
      </c>
      <c r="G2" s="5">
        <f>SUM(G4:G78)</f>
        <v>27777</v>
      </c>
      <c r="H2" s="7">
        <f>C2-G2</f>
        <v>-2270.4375</v>
      </c>
      <c r="I2" s="6">
        <f>IFERROR(H2/G2, 0)</f>
        <v>-8.1738038665082627E-2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25506.5625</v>
      </c>
      <c r="D4" s="12">
        <f>SUM(Jan!D4, Feb!D4, Mar!D4)</f>
        <v>0</v>
      </c>
      <c r="E4" s="12">
        <f>IF(AND(ISNUMBER(C4),ISNUMBER(D4)), C4-D4, "")</f>
        <v>25506.5625</v>
      </c>
      <c r="F4" s="13" t="str">
        <f>IFERROR(E4/D4, "")</f>
        <v/>
      </c>
      <c r="G4" s="14">
        <f>SUM(Jan!G4, Feb!G4, Mar!G4)</f>
        <v>27777</v>
      </c>
      <c r="H4" s="14">
        <f>SUM(Jan!H4, Feb!H4, Mar!H4)</f>
        <v>-2270.4375</v>
      </c>
      <c r="I4" s="15">
        <f>IFERROR(H4/G4, "")</f>
        <v>-8.1738038665082627E-2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13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Will Canton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workbookViewId="0">
      <pane xSplit="2" ySplit="3" topLeftCell="D4" activePane="bottomRight" state="frozen"/>
      <selection pane="bottomRight" activeCell="I8" sqref="I8"/>
      <selection pane="bottomLeft" activeCell="C8" sqref="C8"/>
      <selection pane="topRight" activeCell="C8" sqref="C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SUM(C4:C77)</f>
        <v>3384.4375</v>
      </c>
      <c r="D2" s="5">
        <f>SUM(D4:D77)</f>
        <v>0</v>
      </c>
      <c r="E2" s="5">
        <f>C2-D2</f>
        <v>3384.4375</v>
      </c>
      <c r="F2" s="6">
        <f>IFERROR(E2/D2, 0)</f>
        <v>0</v>
      </c>
      <c r="G2" s="5">
        <f>SUM(G4:G77)</f>
        <v>7169</v>
      </c>
      <c r="H2" s="7">
        <f>C2-G2</f>
        <v>-3784.5625</v>
      </c>
      <c r="I2" s="6">
        <f>IFERROR(H2/G2, 0)</f>
        <v>-0.527906611800809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12">
        <v>3384.4375</v>
      </c>
      <c r="D4" s="12">
        <v>0</v>
      </c>
      <c r="E4" s="12">
        <f>IF(AND(ISNUMBER(C4),ISNUMBER(D4)), C4-D4, "")</f>
        <v>3384.4375</v>
      </c>
      <c r="F4" s="40" t="str">
        <f>IFERROR(E4/D4, "")</f>
        <v/>
      </c>
      <c r="G4" s="14">
        <v>7169</v>
      </c>
      <c r="H4" s="14">
        <f>IF(AND(ISNUMBER(C4),ISNUMBER(G4)), C4-G4, "")</f>
        <v>-3784.5625</v>
      </c>
      <c r="I4" s="15">
        <f>IFERROR(H4/G4, "")</f>
        <v>-0.527906611800809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 I4:I77 F5:F7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workbookViewId="0">
      <pane xSplit="2" ySplit="3" topLeftCell="C4" activePane="bottomRight" state="frozen"/>
      <selection pane="bottomRight" activeCell="F12" sqref="F12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22</v>
      </c>
      <c r="E1" s="49"/>
      <c r="F1" s="49"/>
      <c r="G1" s="47" t="s">
        <v>23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9822.375</v>
      </c>
      <c r="D2" s="5">
        <f>SUM(D4:D78)</f>
        <v>0</v>
      </c>
      <c r="E2" s="5">
        <f>C2-D2</f>
        <v>9822.375</v>
      </c>
      <c r="F2" s="6">
        <f>IFERROR(E2/D2, 0)</f>
        <v>0</v>
      </c>
      <c r="G2" s="5">
        <f>SUM(G4:G78)</f>
        <v>8738</v>
      </c>
      <c r="H2" s="7">
        <f>C2-G2</f>
        <v>1084.375</v>
      </c>
      <c r="I2" s="6">
        <f>IFERROR(H2/G2, 0)</f>
        <v>0.12409876401922637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Canton - Will Canton</v>
      </c>
      <c r="B4" s="27" t="str" cm="1">
        <f t="array" ref="B4">Sites[State]</f>
        <v>MA</v>
      </c>
      <c r="C4" s="23">
        <v>9822.375</v>
      </c>
      <c r="D4" s="12">
        <v>0</v>
      </c>
      <c r="E4" s="12">
        <f>IF(AND(ISNUMBER(C4),ISNUMBER(D4)), C4-D4, "")</f>
        <v>9822.375</v>
      </c>
      <c r="F4" s="13" t="str">
        <f>IFERROR(E4/D4, "")</f>
        <v/>
      </c>
      <c r="G4" s="14">
        <v>8738</v>
      </c>
      <c r="H4" s="14">
        <f>IF(AND(ISNUMBER(C4),ISNUMBER(G4)), C4-G4, "")</f>
        <v>1084.375</v>
      </c>
      <c r="I4" s="15">
        <f>IFERROR(H4/G4, "")</f>
        <v>0.12409876401922637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tabSelected="1" workbookViewId="0">
      <pane xSplit="2" ySplit="3" topLeftCell="C4" activePane="bottomRight" state="frozen"/>
      <selection pane="bottomRight" activeCell="A9" sqref="A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12299.75</v>
      </c>
      <c r="D2" s="5">
        <f>SUM(D4:D78)</f>
        <v>0</v>
      </c>
      <c r="E2" s="5">
        <f>C2-D2</f>
        <v>12299.75</v>
      </c>
      <c r="F2" s="6">
        <f>IFERROR(E2/D2, 0)</f>
        <v>0</v>
      </c>
      <c r="G2" s="5">
        <f>SUM(G4:G78)</f>
        <v>11870</v>
      </c>
      <c r="H2" s="7">
        <f>C2-G2</f>
        <v>429.75</v>
      </c>
      <c r="I2" s="6">
        <f>IFERROR(H2/G2, 0)</f>
        <v>3.6204717775905643E-2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12299.75</v>
      </c>
      <c r="D4" s="12">
        <v>0</v>
      </c>
      <c r="E4" s="12">
        <f>IF(AND(ISNUMBER(C4),ISNUMBER(D4)), C4-D4, "")</f>
        <v>12299.75</v>
      </c>
      <c r="F4" s="13" t="str">
        <f>IFERROR(E4/D4, "")</f>
        <v/>
      </c>
      <c r="G4" s="14">
        <v>11870</v>
      </c>
      <c r="H4" s="14">
        <f>IF(AND(ISNUMBER(C4),ISNUMBER(G4)), C4-G4, "")</f>
        <v>429.75</v>
      </c>
      <c r="I4" s="15">
        <f>IFERROR(H4/G4, "")</f>
        <v>3.6204717775905643E-2</v>
      </c>
      <c r="J4" s="37" t="s">
        <v>26</v>
      </c>
      <c r="K4" s="37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32</v>
      </c>
      <c r="E1" s="49"/>
      <c r="F1" s="49"/>
      <c r="G1" s="47" t="s">
        <v>33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34</v>
      </c>
      <c r="E1" s="49"/>
      <c r="F1" s="49"/>
      <c r="G1" s="47" t="s">
        <v>35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36</v>
      </c>
      <c r="E1" s="49"/>
      <c r="F1" s="49"/>
      <c r="G1" s="47" t="s">
        <v>37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38</v>
      </c>
      <c r="E1" s="49"/>
      <c r="F1" s="49"/>
      <c r="G1" s="47" t="s">
        <v>39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40</v>
      </c>
      <c r="E1" s="49"/>
      <c r="F1" s="49"/>
      <c r="G1" s="47" t="s">
        <v>41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42</v>
      </c>
      <c r="E1" s="49"/>
      <c r="F1" s="49"/>
      <c r="G1" s="47" t="s">
        <v>43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0"/>
  <sheetViews>
    <sheetView workbookViewId="0">
      <pane xSplit="2" ySplit="3" topLeftCell="C4" activePane="bottomRight" state="frozen"/>
      <selection pane="bottomRight" activeCell="F19" sqref="F19"/>
      <selection pane="bottomLeft" activeCell="F19" sqref="F19"/>
      <selection pane="topRight" activeCell="F19" sqref="F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Will Canton</v>
      </c>
      <c r="B1" s="48"/>
      <c r="C1" s="48"/>
      <c r="D1" s="49" t="s">
        <v>44</v>
      </c>
      <c r="E1" s="49"/>
      <c r="F1" s="49"/>
      <c r="G1" s="47" t="s">
        <v>45</v>
      </c>
      <c r="H1" s="47"/>
      <c r="I1" s="47"/>
      <c r="J1" s="4"/>
      <c r="K1" s="4"/>
    </row>
    <row r="2" spans="1:11" ht="19.5" customHeight="1">
      <c r="A2" s="50" t="s">
        <v>2</v>
      </c>
      <c r="B2" s="50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51</v>
      </c>
      <c r="B4" t="s">
        <v>52</v>
      </c>
      <c r="C4" s="43" t="s">
        <v>53</v>
      </c>
      <c r="D4" s="42" t="s">
        <v>54</v>
      </c>
      <c r="E4" t="s">
        <v>55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9"/>
      <c r="L10" s="39"/>
    </row>
    <row r="11" spans="1:12" ht="12.75" customHeight="1">
      <c r="A11" s="45"/>
      <c r="C11" s="43"/>
      <c r="D11" s="42"/>
      <c r="K11" s="39"/>
      <c r="L11" s="39"/>
    </row>
    <row r="12" spans="1:12" ht="12.75" customHeight="1">
      <c r="A12" s="45"/>
      <c r="C12" s="43"/>
      <c r="D12" s="42"/>
      <c r="K12" s="39"/>
      <c r="L12" s="39"/>
    </row>
    <row r="13" spans="1:12" ht="12.75" customHeight="1">
      <c r="A13" s="45"/>
      <c r="C13" s="43"/>
      <c r="D13" s="42"/>
      <c r="K13" s="39"/>
      <c r="L13" s="39"/>
    </row>
    <row r="14" spans="1:12" ht="12.75" customHeight="1">
      <c r="A14" s="45"/>
      <c r="C14" s="43"/>
      <c r="D14" s="42"/>
      <c r="K14" s="39"/>
      <c r="L14" s="39"/>
    </row>
    <row r="15" spans="1:12" ht="12.75" customHeight="1">
      <c r="A15" s="45"/>
      <c r="C15" s="43"/>
      <c r="D15" s="42"/>
      <c r="K15" s="39"/>
      <c r="L15" s="39"/>
    </row>
    <row r="16" spans="1:12" ht="12.75" customHeight="1">
      <c r="A16" s="45"/>
      <c r="C16" s="43"/>
      <c r="D16" s="42"/>
      <c r="K16" s="39"/>
      <c r="L16" s="39"/>
    </row>
    <row r="17" spans="1:12" ht="12.75" customHeight="1">
      <c r="A17" s="45"/>
      <c r="C17" s="43"/>
      <c r="D17" s="42"/>
      <c r="K17" s="39"/>
      <c r="L17" s="39"/>
    </row>
    <row r="18" spans="1:12" ht="12.75" customHeight="1">
      <c r="A18" s="45"/>
      <c r="C18" s="43"/>
      <c r="D18" s="42"/>
      <c r="K18" s="39"/>
      <c r="L18" s="39"/>
    </row>
    <row r="19" spans="1:12" ht="12.75" customHeight="1">
      <c r="A19" s="45"/>
      <c r="C19" s="43"/>
      <c r="D19" s="42"/>
      <c r="K19" s="39"/>
      <c r="L19" s="39"/>
    </row>
    <row r="20" spans="1:12" ht="12.75" customHeight="1">
      <c r="A20" s="45"/>
      <c r="C20" s="43"/>
      <c r="D20" s="42"/>
      <c r="K20" s="39"/>
      <c r="L20" s="39"/>
    </row>
    <row r="21" spans="1:12" ht="12.75" customHeight="1">
      <c r="A21" s="45"/>
      <c r="C21" s="43"/>
      <c r="D21" s="42"/>
      <c r="K21" s="39"/>
      <c r="L21" s="39"/>
    </row>
    <row r="22" spans="1:12" ht="12.75" customHeight="1">
      <c r="A22" s="45"/>
      <c r="C22" s="43"/>
      <c r="D22" s="42"/>
      <c r="K22" s="39"/>
      <c r="L22" s="39"/>
    </row>
    <row r="23" spans="1:12" ht="12.75" customHeight="1">
      <c r="A23" s="45"/>
      <c r="C23" s="43"/>
      <c r="D23" s="42"/>
      <c r="K23" s="39"/>
      <c r="L23" s="39"/>
    </row>
    <row r="24" spans="1:12" ht="12.75" customHeight="1">
      <c r="A24" s="45"/>
      <c r="C24" s="43"/>
      <c r="D24" s="42"/>
      <c r="K24" s="39"/>
      <c r="L24" s="39"/>
    </row>
    <row r="25" spans="1:12" ht="12.75" customHeight="1">
      <c r="A25" s="45"/>
      <c r="C25" s="43"/>
      <c r="D25" s="42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2024-04-18T09:05:21Z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