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Reports\"/>
    </mc:Choice>
  </mc:AlternateContent>
  <xr:revisionPtr revIDLastSave="42" documentId="13_ncr:1_{A6DDA32A-8A18-4FEE-8462-47B5BB7D29FA}" xr6:coauthVersionLast="47" xr6:coauthVersionMax="47" xr10:uidLastSave="{0CAE961C-848A-4948-BE64-A9A495801208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E6" i="29"/>
  <c r="F6" i="29" s="1"/>
  <c r="H6" i="30"/>
  <c r="I6" i="30" s="1"/>
  <c r="D4" i="34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E4" i="34" s="1"/>
  <c r="F4" i="34" s="1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<sst xmlns="http://schemas.openxmlformats.org/spreadsheetml/2006/main" count="258" uniqueCount="65">
  <si>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</si>
  <si>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</si>
  <si>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</si>
  <si>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</si>
  <si>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</si>
  <si>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</si>
  <si>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</si>
  <si>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</si>
  <si>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</si>
  <si>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</si>
  <si>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</si>
  <si>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</si>
  <si>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</si>
  <si>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</si>
  <si>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</si>
  <si>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</si>
  <si>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</si>
  <si>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</si>
  <si>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</si>
  <si>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</si>
  <si>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</si>
  <si>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</si>
  <si>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from 09/13/2023</t>
  </si>
  <si>
    <t>1. SR076020</t>
  </si>
  <si>
    <t>February Actual v. Expected</t>
  </si>
  <si>
    <t>February Actual v. Forecasted</t>
  </si>
  <si>
    <t>1. Inverter 1 is offline from 09/13/2023</t>
  </si>
  <si>
    <t>1. SR076020, SR074671</t>
  </si>
  <si>
    <t>March Actual v. Expected</t>
  </si>
  <si>
    <t>March Actual v. Forecasted</t>
  </si>
  <si>
    <t xml:space="preserve">1. Inverter 1 tripped offline on 03/09 and back online on 03/12 </t>
  </si>
  <si>
    <t>1. SR081724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</si>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</sst>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9" fontId="1" fillId="38" borderId="12" xfId="2" applyFont="1" applyFill="1" applyBorder="1" applyAlignment="1">
      <alignment horizontal="left" vertical="top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B14" sqref="B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SUM(C4:C100)</f>
        <v>47309.029996337777</v>
      </c>
      <c r="D2" s="5">
        <f>SUM(D4:D100)</f>
        <v>0</v>
      </c>
      <c r="E2" s="5">
        <f>C2-D2</f>
        <v>47309.029996337777</v>
      </c>
      <c r="F2" s="6">
        <f>IFERROR(E2/D2, 0)</f>
        <v>0</v>
      </c>
      <c r="G2" s="5">
        <f>SUM(G4:G100)</f>
        <v>39533.952000000005</v>
      </c>
      <c r="H2" s="7">
        <f>C2-G2</f>
        <v>7775.0779963377718</v>
      </c>
      <c r="I2" s="6">
        <f>IFERROR(H2/G2, 0)</f>
        <v>0.1966683724495282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16857.690000000002</v>
      </c>
      <c r="D4" s="13">
        <f>SUM('1st Qtr'!D4, '2nd Qtr'!D4, '3rd Qtr'!D4, '4th Qtr'!D4)</f>
        <v>0</v>
      </c>
      <c r="E4" s="13">
        <f>IF(AND(ISNUMBER(C4),ISNUMBER(D4)), C4-D4, "")</f>
        <v>16857.690000000002</v>
      </c>
      <c r="F4" s="14" t="str">
        <f>IFERROR(E4/D4, "")</f>
        <v/>
      </c>
      <c r="G4" s="15">
        <f>SUM('1st Qtr'!G4, '2nd Qtr'!G4, '3rd Qtr'!G4, '4th Qtr'!G4)</f>
        <v>25911.952000000001</v>
      </c>
      <c r="H4" s="15">
        <f>SUM('1st Qtr'!H4, '2nd Qtr'!H4, '3rd Qtr'!H4, '4th Qtr'!H4)</f>
        <v>-9054.2620000000006</v>
      </c>
      <c r="I4" s="16">
        <f>IFERROR(H4/G4, "")</f>
        <v>-0.34942415762425</v>
      </c>
    </row>
    <row r="5" spans="1:9" ht="15.6">
      <c r="A5" s="1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15" si="0">IF(AND(ISNUMBER(C5),ISNUMBER(D5)), C5-D5, "")</f>
        <v>16892.285003661989</v>
      </c>
      <c r="F5" s="19" t="str">
        <f>IFERROR(E5/D5, "")</f>
        <v/>
      </c>
      <c r="G5" s="20">
        <f>SUM('1st Qtr'!G5, '2nd Qtr'!G5, '3rd Qtr'!G5, '4th Qtr'!G5)</f>
        <v>13622</v>
      </c>
      <c r="H5" s="20">
        <f>SUM(Jan!H5, Feb!H5, Mar!H5)</f>
        <v>3270.2850036619898</v>
      </c>
      <c r="I5" s="19">
        <f>IFERROR(H5/G5, "")</f>
        <v>0.24007377798135293</v>
      </c>
    </row>
    <row r="6" spans="1:9" ht="15.6">
      <c r="A6" s="12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:F15" si="1">IFERROR(E6/D6, "")</f>
        <v/>
      </c>
      <c r="G6" s="15">
        <f>SUM('1st Qtr'!G6, '2nd Qtr'!G6, '3rd Qtr'!G6, '4th Qtr'!G6)</f>
        <v>0</v>
      </c>
      <c r="H6" s="15">
        <f>SUM(Jan!H6, Feb!H6, Mar!H6)</f>
        <v>13559.054992675781</v>
      </c>
      <c r="I6" s="16" t="str">
        <f t="shared" ref="I6:I15" si="2">IFERROR(H6/G6, "")</f>
        <v/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9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I26:I100 F26:F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SUM(C4:C73)</f>
        <v>47309.029996337777</v>
      </c>
      <c r="D2" s="5">
        <f>SUM(D4:D73)</f>
        <v>0</v>
      </c>
      <c r="E2" s="5">
        <f>C2-D2</f>
        <v>47309.029996337777</v>
      </c>
      <c r="F2" s="6">
        <f>IFERROR(E2/D2, 0)</f>
        <v>0</v>
      </c>
      <c r="G2" s="5">
        <f>SUM(G4:G73)</f>
        <v>39533.952000000005</v>
      </c>
      <c r="H2" s="7">
        <f>C2-G2</f>
        <v>7775.0779963377718</v>
      </c>
      <c r="I2" s="6">
        <f>IFERROR(H2/G2, 0)</f>
        <v>0.1966683724495282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16857.690000000002</v>
      </c>
      <c r="D4" s="13">
        <f>SUM(Jan!D4, Feb!D4, Mar!D4)</f>
        <v>0</v>
      </c>
      <c r="E4" s="13">
        <f>IF(AND(ISNUMBER(C4),ISNUMBER(D4)), C4-D4, "")</f>
        <v>16857.690000000002</v>
      </c>
      <c r="F4" s="14" t="str">
        <f>IFERROR(E4/D4, "")</f>
        <v/>
      </c>
      <c r="G4" s="15">
        <f>SUM(Jan!G4, Feb!G4, Mar!G4)</f>
        <v>25911.952000000001</v>
      </c>
      <c r="H4" s="15">
        <f>SUM(Jan!H4, Feb!H4, Mar!H4)</f>
        <v>-9054.2620000000006</v>
      </c>
      <c r="I4" s="16">
        <f>IFERROR(H4/G4, "")</f>
        <v>-0.34942415762425</v>
      </c>
    </row>
    <row r="5" spans="1:9" ht="15.6">
      <c r="A5" s="4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SUM(Jan!G5, Feb!G5, Mar!G5)</f>
        <v>13622</v>
      </c>
      <c r="H5" s="20">
        <f>SUM(Jan!H5, Feb!H5, Mar!H5)</f>
        <v>3270.2850036619898</v>
      </c>
      <c r="I5" s="19">
        <f>IFERROR(H5/G5, "")</f>
        <v>0.24007377798135293</v>
      </c>
    </row>
    <row r="6" spans="1:9" ht="15.6">
      <c r="A6" s="46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SUM(Jan!G6, Feb!G6, Mar!G6)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I4:I73 F4:F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SUM(Apr!H6, May!H6, Jun!H6)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I4:I73 F4:F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SUM(Jul!H6, Aug!H6, Sep!H6)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I4:I73 F4:F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SUM(Oct!H6, Nov!H6, Dec!H6)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I4:I73 F4:F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4"/>
  <sheetViews>
    <sheetView workbookViewId="0">
      <pane xSplit="2" ySplit="3" topLeftCell="I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SUM(C4:C72)</f>
        <v>7806.0299963377702</v>
      </c>
      <c r="D2" s="5">
        <f>SUM(D4:D72)</f>
        <v>0</v>
      </c>
      <c r="E2" s="5">
        <f>C2-D2</f>
        <v>7806.0299963377702</v>
      </c>
      <c r="F2" s="6">
        <f>IFERROR(E2/D2, 0)</f>
        <v>0</v>
      </c>
      <c r="G2" s="5">
        <f>SUM(G4:G72)</f>
        <v>9581.9520000000011</v>
      </c>
      <c r="H2" s="7">
        <f>C2-G2</f>
        <v>-1775.922003662231</v>
      </c>
      <c r="I2" s="6">
        <f>IFERROR(H2/G2, 0)</f>
        <v>-0.18534031517400951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3149.69</v>
      </c>
      <c r="D4" s="13">
        <v>0</v>
      </c>
      <c r="E4" s="13">
        <f>IF(AND(ISNUMBER(C4),ISNUMBER(D4)), C4-D4, "")</f>
        <v>3149.69</v>
      </c>
      <c r="F4" s="13" t="str">
        <f>IFERROR(E4/D4, "")</f>
        <v/>
      </c>
      <c r="G4" s="15">
        <v>6283.9520000000002</v>
      </c>
      <c r="H4" s="15">
        <f>IF(AND(ISNUMBER(C4),ISNUMBER(G4)), C4-G4, "")</f>
        <v>-3134.2620000000002</v>
      </c>
      <c r="I4" s="16">
        <f>IFERROR(H4/G4, "")</f>
        <v>-0.49877242856088017</v>
      </c>
      <c r="J4" s="51" t="s">
        <v>22</v>
      </c>
      <c r="K4" s="51" t="s">
        <v>23</v>
      </c>
    </row>
    <row r="5" spans="1:11" ht="15.6">
      <c r="A5" s="49" t="str">
        <v>Milford - Rings End</v>
      </c>
      <c r="B5" s="31" t="str">
        <v>CT</v>
      </c>
      <c r="C5" s="18">
        <v>2701.2850036619898</v>
      </c>
      <c r="D5" s="18">
        <v>0</v>
      </c>
      <c r="E5" s="18">
        <f t="shared" ref="E5:E6" si="0">IF(AND(ISNUMBER(C5),ISNUMBER(D5)), C5-D5, "")</f>
        <v>2701.2850036619898</v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-596.71499633801022</v>
      </c>
      <c r="I5" s="19">
        <f t="shared" ref="I5:I6" si="3">IFERROR(H5/G5, "")</f>
        <v>-0.18093238215221658</v>
      </c>
      <c r="J5" s="42"/>
      <c r="K5" s="42"/>
    </row>
    <row r="6" spans="1:11" ht="15.6">
      <c r="A6" s="50" t="str">
        <v>New Milford - Rings End</v>
      </c>
      <c r="B6" s="29" t="str">
        <v>CT</v>
      </c>
      <c r="C6" s="13">
        <v>1955.0549926757801</v>
      </c>
      <c r="D6" s="13">
        <v>0</v>
      </c>
      <c r="E6" s="13">
        <f t="shared" si="0"/>
        <v>1955.0549926757801</v>
      </c>
      <c r="F6" s="44" t="str">
        <f t="shared" si="1"/>
        <v/>
      </c>
      <c r="G6" s="15">
        <v>0</v>
      </c>
      <c r="H6" s="15">
        <f t="shared" si="2"/>
        <v>1955.0549926757801</v>
      </c>
      <c r="I6" s="16" t="str">
        <f t="shared" si="3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workbookViewId="0">
      <pane xSplit="2" ySplit="3" topLeftCell="C4" activePane="bottomRight" state="frozen"/>
      <selection pane="bottomRight" activeCell="J20" sqref="J2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13636</v>
      </c>
      <c r="D2" s="5">
        <f>SUM(D4:D73)</f>
        <v>0</v>
      </c>
      <c r="E2" s="5">
        <f>C2-D2</f>
        <v>13636</v>
      </c>
      <c r="F2" s="6">
        <f>IFERROR(E2/D2, 0)</f>
        <v>0</v>
      </c>
      <c r="G2" s="5">
        <f>SUM(G4:G73)</f>
        <v>12156</v>
      </c>
      <c r="H2" s="7">
        <f>C2-G2</f>
        <v>1480</v>
      </c>
      <c r="I2" s="6">
        <f>IFERROR(H2/G2, 0)</f>
        <v>0.1217505758473182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30.7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5190</v>
      </c>
      <c r="D4" s="13">
        <v>0</v>
      </c>
      <c r="E4" s="13">
        <f>IF(AND(ISNUMBER(C4),ISNUMBER(D4)), C4-D4, "")</f>
        <v>5190</v>
      </c>
      <c r="F4" s="14" t="str">
        <f>IFERROR(E4/D4, "")</f>
        <v/>
      </c>
      <c r="G4" s="15">
        <v>7951</v>
      </c>
      <c r="H4" s="15">
        <f>IF(AND(ISNUMBER(C4),ISNUMBER(G4)), C4-G4, "")</f>
        <v>-2761</v>
      </c>
      <c r="I4" s="16">
        <f>IFERROR(H4/G4, "")</f>
        <v>-0.34725191799773614</v>
      </c>
      <c r="J4" s="41" t="s">
        <v>26</v>
      </c>
      <c r="K4" s="41" t="s">
        <v>27</v>
      </c>
    </row>
    <row r="5" spans="1:11" ht="15.6">
      <c r="A5" s="49" t="str">
        <v>Milford - Rings End</v>
      </c>
      <c r="B5" s="31" t="str">
        <v>CT</v>
      </c>
      <c r="C5" s="11">
        <v>4570</v>
      </c>
      <c r="D5" s="18">
        <v>0</v>
      </c>
      <c r="E5" s="18">
        <f t="shared" ref="E5:E6" si="0">IF(AND(ISNUMBER(C5),ISNUMBER(D5)), C5-D5, "")</f>
        <v>4570</v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365</v>
      </c>
      <c r="I5" s="19">
        <f t="shared" ref="I5:I6" si="2">IFERROR(H5/G5, "")</f>
        <v>8.680142687277051E-2</v>
      </c>
      <c r="J5" s="42"/>
      <c r="K5" s="42"/>
    </row>
    <row r="6" spans="1:11" ht="15.6">
      <c r="A6" s="50" t="str">
        <v>New Milford - Rings End</v>
      </c>
      <c r="B6" s="29" t="str">
        <v>CT</v>
      </c>
      <c r="C6" s="24">
        <v>3876</v>
      </c>
      <c r="D6" s="13">
        <v>0</v>
      </c>
      <c r="E6" s="13">
        <f t="shared" si="0"/>
        <v>3876</v>
      </c>
      <c r="F6" s="14" t="str">
        <f t="shared" ref="F6" si="3">IFERROR(E6/D6, "")</f>
        <v/>
      </c>
      <c r="G6" s="15">
        <v>0</v>
      </c>
      <c r="H6" s="15">
        <f t="shared" si="1"/>
        <v>3876</v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4:I73 F4:F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5"/>
  <sheetViews>
    <sheetView tabSelected="1" workbookViewId="0">
      <pane xSplit="2" ySplit="3" topLeftCell="C4" activePane="bottomRight" state="frozen"/>
      <selection pane="bottomRight" activeCell="K14" sqref="K1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25867</v>
      </c>
      <c r="D2" s="5">
        <f>SUM(D4:D73)</f>
        <v>0</v>
      </c>
      <c r="E2" s="5">
        <f>C2-D2</f>
        <v>25867</v>
      </c>
      <c r="F2" s="6">
        <f>IFERROR(E2/D2, 0)</f>
        <v>0</v>
      </c>
      <c r="G2" s="5">
        <f>SUM(G4:G73)</f>
        <v>17796</v>
      </c>
      <c r="H2" s="7">
        <f>C2-G2</f>
        <v>8071</v>
      </c>
      <c r="I2" s="6">
        <f>IFERROR(H2/G2, 0)</f>
        <v>0.45352888289503257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8518</v>
      </c>
      <c r="D4" s="13">
        <v>0</v>
      </c>
      <c r="E4" s="13">
        <f>IF(AND(ISNUMBER(C4),ISNUMBER(D4)), C4-D4, "")</f>
        <v>8518</v>
      </c>
      <c r="F4" s="14" t="str">
        <f>IFERROR(E4/D4, "")</f>
        <v/>
      </c>
      <c r="G4" s="15">
        <v>11677</v>
      </c>
      <c r="H4" s="15">
        <f>IF(AND(ISNUMBER(C4),ISNUMBER(G4)), C4-G4, "")</f>
        <v>-3159</v>
      </c>
      <c r="I4" s="16">
        <f>IFERROR(H4/G4, "")</f>
        <v>-0.27053181467842768</v>
      </c>
      <c r="J4" s="41" t="s">
        <v>26</v>
      </c>
      <c r="K4" s="41" t="s">
        <v>23</v>
      </c>
    </row>
    <row r="5" spans="1:11" ht="15.75">
      <c r="A5" s="30" t="str">
        <v>Milford - Rings End</v>
      </c>
      <c r="B5" s="31" t="str">
        <v>CT</v>
      </c>
      <c r="C5" s="11">
        <v>9621</v>
      </c>
      <c r="D5" s="18">
        <v>0</v>
      </c>
      <c r="E5" s="18">
        <f t="shared" ref="E5:E6" si="0">IF(AND(ISNUMBER(C5),ISNUMBER(D5)), C5-D5, "")</f>
        <v>9621</v>
      </c>
      <c r="F5" s="19" t="str">
        <f>IFERROR(E5/D5, "")</f>
        <v/>
      </c>
      <c r="G5" s="20">
        <v>6119</v>
      </c>
      <c r="H5" s="20">
        <f t="shared" ref="H5:H6" si="1">IF(AND(ISNUMBER(C5),ISNUMBER(G5)), C5-G5, "")</f>
        <v>3502</v>
      </c>
      <c r="I5" s="19">
        <f t="shared" ref="I5:I6" si="2">IFERROR(H5/G5, "")</f>
        <v>0.57231573786566436</v>
      </c>
      <c r="J5" s="42" t="s">
        <v>30</v>
      </c>
      <c r="K5" s="42" t="s">
        <v>31</v>
      </c>
    </row>
    <row r="6" spans="1:11" ht="15.6">
      <c r="A6" s="28" t="str">
        <v>New Milford - Rings End</v>
      </c>
      <c r="B6" s="29" t="str">
        <v>CT</v>
      </c>
      <c r="C6" s="24">
        <v>7728</v>
      </c>
      <c r="D6" s="13">
        <v>0</v>
      </c>
      <c r="E6" s="13">
        <f t="shared" si="0"/>
        <v>7728</v>
      </c>
      <c r="F6" s="14" t="str">
        <f t="shared" ref="F6" si="3">IFERROR(E6/D6, "")</f>
        <v/>
      </c>
      <c r="G6" s="15">
        <v>0</v>
      </c>
      <c r="H6" s="15">
        <f t="shared" si="1"/>
        <v>7728</v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6 I4:I6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6 I4:I6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6 I4:I6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6 I4:I6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I7:I73 F7:F73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6 I4:I6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6 I4:I6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6 I4:I6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6 I4:I6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6 I4:I6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I7:I73 F7:F73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6 I4:I6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5">
      <c r="A4" s="53" t="s">
        <v>55</v>
      </c>
      <c r="B4" s="53" t="s">
        <v>56</v>
      </c>
      <c r="C4" s="2" t="s">
        <v>57</v>
      </c>
      <c r="D4" s="45" t="s">
        <v>58</v>
      </c>
      <c r="E4" s="52" t="s">
        <v>59</v>
      </c>
      <c r="G4" s="3"/>
    </row>
    <row r="5" spans="1:12" ht="15">
      <c r="A5" s="53" t="s">
        <v>60</v>
      </c>
      <c r="B5" s="53" t="s">
        <v>61</v>
      </c>
      <c r="C5" s="2" t="s">
        <v>57</v>
      </c>
      <c r="D5" s="45" t="s">
        <v>58</v>
      </c>
      <c r="E5" s="53" t="s">
        <v>59</v>
      </c>
      <c r="G5" s="3"/>
    </row>
    <row r="6" spans="1:12" ht="15">
      <c r="A6" s="53" t="s">
        <v>62</v>
      </c>
      <c r="B6" s="53" t="s">
        <v>63</v>
      </c>
      <c r="C6" s="2" t="s">
        <v>57</v>
      </c>
      <c r="D6" s="45" t="s">
        <v>64</v>
      </c>
      <c r="E6" s="52" t="s">
        <v>59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