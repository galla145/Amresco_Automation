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BC3CF940-6194-433E-A4B5-551721483DBE}" xr6:coauthVersionLast="47" xr6:coauthVersionMax="47" xr10:uidLastSave="{00000000-0000-0000-0000-000000000000}"/>
  <bookViews>
    <workbookView xWindow="-93" yWindow="-93" windowWidth="19386" windowHeight="1146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8" l="1"/>
  <c r="D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G4" i="34" s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E5" i="30" s="1"/>
  <c r="F5" i="30" s="1"/>
  <c r="D4" i="30"/>
  <c r="D2" i="30" s="1"/>
  <c r="C4" i="30"/>
  <c r="D6" i="29"/>
  <c r="C6" i="29"/>
  <c r="D5" i="29"/>
  <c r="C5" i="29"/>
  <c r="E5" i="29" s="1"/>
  <c r="F5" i="29" s="1"/>
  <c r="D4" i="29"/>
  <c r="C4" i="29"/>
  <c r="D6" i="18"/>
  <c r="C6" i="18"/>
  <c r="D5" i="18"/>
  <c r="D2" i="18" s="1"/>
  <c r="C5" i="18"/>
  <c r="E4" i="18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J2" i="31" s="1"/>
  <c r="A1" i="31" a="1"/>
  <c r="A1" i="31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F5" i="27"/>
  <c r="E5" i="27"/>
  <c r="H4" i="27"/>
  <c r="I4" i="27" s="1"/>
  <c r="E4" i="27"/>
  <c r="F4" i="27" s="1"/>
  <c r="G2" i="27"/>
  <c r="D2" i="27"/>
  <c r="C2" i="27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H6" i="72"/>
  <c r="I6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G2" i="34" l="1"/>
  <c r="H2" i="27"/>
  <c r="I2" i="27" s="1"/>
  <c r="E6" i="18"/>
  <c r="F6" i="18" s="1"/>
  <c r="E4" i="30"/>
  <c r="F4" i="30" s="1"/>
  <c r="D2" i="29"/>
  <c r="H2" i="33"/>
  <c r="I2" i="33" s="1"/>
  <c r="H2" i="20"/>
  <c r="I2" i="20" s="1"/>
  <c r="H2" i="19"/>
  <c r="I2" i="19" s="1"/>
  <c r="E5" i="18"/>
  <c r="F5" i="18" s="1"/>
  <c r="E6" i="29"/>
  <c r="F6" i="29" s="1"/>
  <c r="H6" i="30"/>
  <c r="I6" i="30" s="1"/>
  <c r="J2" i="33"/>
  <c r="H2" i="28"/>
  <c r="I2" i="28" s="1"/>
  <c r="J2" i="20"/>
  <c r="J2" i="19"/>
  <c r="H2" i="21"/>
  <c r="I2" i="21" s="1"/>
  <c r="H2" i="26"/>
  <c r="I2" i="26" s="1"/>
  <c r="H6" i="29"/>
  <c r="I6" i="29" s="1"/>
  <c r="E2" i="28"/>
  <c r="F2" i="28" s="1"/>
  <c r="D4" i="34"/>
  <c r="D2" i="34" s="1"/>
  <c r="J2" i="26"/>
  <c r="J2" i="27"/>
  <c r="J2" i="28"/>
  <c r="H2" i="4"/>
  <c r="I2" i="4" s="1"/>
  <c r="H2" i="31"/>
  <c r="I2" i="31" s="1"/>
  <c r="J2" i="4"/>
  <c r="J2" i="32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C4" i="34"/>
  <c r="H5" i="18"/>
  <c r="I5" i="18" s="1"/>
  <c r="H6" i="34"/>
  <c r="I6" i="34" s="1"/>
  <c r="H5" i="34"/>
  <c r="I5" i="34" s="1"/>
  <c r="C2" i="29"/>
  <c r="E2" i="29" s="1"/>
  <c r="F2" i="29" s="1"/>
  <c r="C2" i="30"/>
  <c r="E4" i="29"/>
  <c r="F4" i="29" s="1"/>
  <c r="C2" i="18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<sst xmlns="http://schemas.openxmlformats.org/spreadsheetml/2006/main" count="244" uniqueCount="56">
  <si>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</si>
  <si>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</si>
  <si>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</si>
  <si>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</si>
  <si>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</si>
  <si>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</si>
  <si>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</si>
  <si>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</si>
  <si>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</si>
  <si>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</si>
  <si>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</si>
  <si>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</si>
  <si>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</si>
  <si>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</si>
  <si>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</si>
  <si>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</si>
  <si>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</si>
  <si>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</si>
  <si>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</si>
  <si>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</si>
  <si>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</si>
  <si>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</si>
  <si>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</si>
  <si>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</si>
  <si>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</si>
  <si>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</si>
  <si>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</si>
  <si>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</si>
  <si>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</si>
  <si>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</si>
  <si>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</si>
  <si>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</si>
  <si>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</si>
  <si>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</si>
  <si>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</si>
  <si>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</si>
  <si>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</si>
  <si>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</si>
  <si>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</si>
  <si>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</si>
  <si>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</si>
  <si>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</si>
  <si>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</si>
  <si>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</si>
  <si>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</si>
  <si>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New Mexico Tech</t>
  </si>
  <si>
    <t>Site DAS Name</t>
  </si>
  <si>
    <t>Update</t>
  </si>
  <si>
    <t>DAS</t>
  </si>
  <si>
    <t>New Mexico Tech- EMRTC (PLCS)</t>
  </si>
  <si>
    <t>NM: New Mexico Tech - EMRTC</t>
  </si>
  <si>
    <t>NM</t>
  </si>
  <si>
    <t>New Mexico Tech- Facilities Management (PLCS)</t>
  </si>
  <si>
    <t>NM: New Mexico Tech - Fac. Mgt.</t>
  </si>
  <si>
    <t>New Mexico Tech- Macey Center</t>
  </si>
  <si>
    <t>NM: New Mexico Tech - Macey 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</si>
</sst>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4"/>
  <sheetViews>
    <sheetView workbookViewId="0">
      <pane ySplit="2" topLeftCell="A3" activePane="bottomLeft" state="frozen"/>
      <selection pane="bottomLeft" activeCell="C25" sqref="C25"/>
      <selection activeCell="C15" sqref="C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New Mexico Tech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SUM(C4:C82)</f>
        <v>247014.57266895671</v>
      </c>
      <c r="D2" s="6">
        <f>SUM(D4:D82)</f>
        <v>193387.02</v>
      </c>
      <c r="E2" s="6">
        <f>C2-D2</f>
        <v>53627.55266895672</v>
      </c>
      <c r="F2" s="7">
        <f>IFERROR(E2/D2, 0)</f>
        <v>0.27730688786122626</v>
      </c>
      <c r="G2" s="6">
        <f>SUM(G4:G82)</f>
        <v>261474.38099999999</v>
      </c>
      <c r="H2" s="8">
        <f>C2-G2</f>
        <v>-14459.808331043285</v>
      </c>
      <c r="I2" s="7">
        <f>IFERROR(H2/G2, 0)</f>
        <v>-5.5301051964411325E-2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NM: New Mexico Tech - EMRTC</v>
      </c>
      <c r="B4" s="10" t="str" cm="1">
        <f t="array" ref="B4:B6">Sites[State]</f>
        <v>NM</v>
      </c>
      <c r="C4" s="26">
        <f>SUM('1st Qtr'!C4, '2nd Qtr'!C4, '3rd Qtr'!C4, '4th Qtr'!C4)</f>
        <v>102272.7976689567</v>
      </c>
      <c r="D4" s="14">
        <f>SUM('1st Qtr'!D4, '2nd Qtr'!D4, '3rd Qtr'!D4, '4th Qtr'!D4)</f>
        <v>94779.55</v>
      </c>
      <c r="E4" s="14">
        <f>IF(AND(ISNUMBER(C4),ISNUMBER(D4)), C4-D4, "")</f>
        <v>7493.2476689566975</v>
      </c>
      <c r="F4" s="15">
        <f>IFERROR(E4/D4, "")</f>
        <v>7.9059751486018848E-2</v>
      </c>
      <c r="G4" s="16">
        <f>SUM('1st Qtr'!G4,'2nd Qtr'!G4,'3rd Qtr'!G4,'4th Qtr'!G4)</f>
        <v>111633.58</v>
      </c>
      <c r="H4" s="16">
        <f>SUM('1st Qtr'!H4, '2nd Qtr'!H4, '3rd Qtr'!H4, '4th Qtr'!H4)</f>
        <v>-9360.7823310433014</v>
      </c>
      <c r="I4" s="17">
        <f>IFERROR(H4/G4, "")</f>
        <v>-8.3852746915787355E-2</v>
      </c>
    </row>
    <row r="5" spans="1:9" ht="15.75">
      <c r="A5" s="19" t="str">
        <v>NM: New Mexico Tech - Fac. Mgt.</v>
      </c>
      <c r="B5" s="11" t="str">
        <v>NM</v>
      </c>
      <c r="C5" s="12">
        <f>SUM(Jan!C5, Feb!C5, Mar!C5)</f>
        <v>24346.90000000002</v>
      </c>
      <c r="D5" s="20">
        <f>SUM(Jan!D5, Feb!D5, Mar!D5)</f>
        <v>22351.760000000002</v>
      </c>
      <c r="E5" s="20">
        <f t="shared" ref="E5:E6" si="0">IF(AND(ISNUMBER(C5),ISNUMBER(D5)), C5-D5, "")</f>
        <v>1995.1400000000176</v>
      </c>
      <c r="F5" s="21">
        <f>IFERROR(E5/D5, "")</f>
        <v>8.9260979895991077E-2</v>
      </c>
      <c r="G5" s="22">
        <f>SUM('1st Qtr'!G5,'2nd Qtr'!G5,'3rd Qtr'!G5,'4th Qtr'!G5)</f>
        <v>26920.800999999999</v>
      </c>
      <c r="H5" s="22">
        <f>SUM(Jan!H5, Feb!H5, Mar!H5)</f>
        <v>-2573.9009999999807</v>
      </c>
      <c r="I5" s="21">
        <f>IFERROR(H5/G5, "")</f>
        <v>-9.5610119476013389E-2</v>
      </c>
    </row>
    <row r="6" spans="1:9" ht="15.75">
      <c r="A6" s="13" t="str">
        <v>NM: New Mexico Tech - Macey Ctr</v>
      </c>
      <c r="B6" s="10" t="str">
        <v>NM</v>
      </c>
      <c r="C6" s="26">
        <f>SUM(Jan!C6, Feb!C6, Mar!C6)</f>
        <v>120394.875</v>
      </c>
      <c r="D6" s="14">
        <f>SUM(Jan!D6, Feb!D6, Mar!D6)</f>
        <v>76255.709999999992</v>
      </c>
      <c r="E6" s="14">
        <f t="shared" si="0"/>
        <v>44139.165000000008</v>
      </c>
      <c r="F6" s="15">
        <f t="shared" ref="F6" si="1">IFERROR(E6/D6, "")</f>
        <v>0.57883094918400224</v>
      </c>
      <c r="G6" s="16">
        <f>SUM('1st Qtr'!G6,'2nd Qtr'!G6,'3rd Qtr'!G6,'4th Qtr'!G6)</f>
        <v>122920</v>
      </c>
      <c r="H6" s="16">
        <f>SUM(Jan!H6, Feb!H6, Mar!H6)</f>
        <v>-2525.125</v>
      </c>
      <c r="I6" s="17">
        <f t="shared" ref="I6" si="2">IFERROR(H6/G6, "")</f>
        <v>-2.0542832736739344E-2</v>
      </c>
    </row>
    <row r="7" spans="1:9" ht="12.95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2.9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2.9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2.9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2.9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2.9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2.9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2 I4:I8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4"/>
  <sheetViews>
    <sheetView workbookViewId="0">
      <pane ySplit="2" topLeftCell="A3" activePane="bottomLeft" state="frozen"/>
      <selection pane="bottomLeft" activeCell="A10" sqref="A10"/>
      <selection activeCell="C15" sqref="C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New Mexico Tech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SUM(C4:C82)</f>
        <v>247014.57266895671</v>
      </c>
      <c r="D2" s="6">
        <f>SUM(D4:D82)</f>
        <v>193387.02</v>
      </c>
      <c r="E2" s="6">
        <f>C2-D2</f>
        <v>53627.55266895672</v>
      </c>
      <c r="F2" s="7">
        <f>IFERROR(E2/D2, 0)</f>
        <v>0.27730688786122626</v>
      </c>
      <c r="G2" s="6">
        <f>SUM(G4:G82)</f>
        <v>261474.38099999999</v>
      </c>
      <c r="H2" s="8">
        <f>C2-G2</f>
        <v>-14459.808331043285</v>
      </c>
      <c r="I2" s="7">
        <f>IFERROR(H2/G2, 0)</f>
        <v>-5.5301051964411325E-2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NM: New Mexico Tech - EMRTC</v>
      </c>
      <c r="B4" s="10" t="str" cm="1">
        <f t="array" ref="B4:B6">Sites[State]</f>
        <v>NM</v>
      </c>
      <c r="C4" s="26">
        <f>SUM(Jan!C4, Feb!C4, Mar!C4)</f>
        <v>102272.7976689567</v>
      </c>
      <c r="D4" s="14">
        <f>SUM(Jan!D4, Feb!D4, Mar!D4)</f>
        <v>94779.55</v>
      </c>
      <c r="E4" s="14">
        <f>IF(AND(ISNUMBER(C4),ISNUMBER(D4)), C4-D4, "")</f>
        <v>7493.2476689566975</v>
      </c>
      <c r="F4" s="15">
        <f>IFERROR(E4/D4, "")</f>
        <v>7.9059751486018848E-2</v>
      </c>
      <c r="G4" s="16">
        <f>SUM(Jan!G4, Feb!G4, Mar!G4)</f>
        <v>111633.58</v>
      </c>
      <c r="H4" s="16">
        <f>SUM(Jan!H4, Feb!H4, Mar!H4)</f>
        <v>-9360.7823310433014</v>
      </c>
      <c r="I4" s="17">
        <f>IFERROR(H4/G4, "")</f>
        <v>-8.3852746915787355E-2</v>
      </c>
    </row>
    <row r="5" spans="1:9" ht="15.75">
      <c r="A5" s="19" t="str">
        <v>NM: New Mexico Tech - Fac. Mgt.</v>
      </c>
      <c r="B5" s="11" t="str">
        <v>NM</v>
      </c>
      <c r="C5" s="12">
        <f>SUM(Jan!C5, Feb!C5, Mar!C5)</f>
        <v>24346.90000000002</v>
      </c>
      <c r="D5" s="20">
        <f>SUM(Jan!D5, Feb!D5, Mar!D5)</f>
        <v>22351.760000000002</v>
      </c>
      <c r="E5" s="20">
        <f t="shared" ref="E5:E6" si="0">IF(AND(ISNUMBER(C5),ISNUMBER(D5)), C5-D5, "")</f>
        <v>1995.1400000000176</v>
      </c>
      <c r="F5" s="21">
        <f>IFERROR(E5/D5, "")</f>
        <v>8.9260979895991077E-2</v>
      </c>
      <c r="G5" s="22">
        <f>SUM(Jan!G5, Feb!G5, Mar!G5)</f>
        <v>26920.800999999999</v>
      </c>
      <c r="H5" s="22">
        <f>SUM(Jan!H5, Feb!H5, Mar!H5)</f>
        <v>-2573.9009999999807</v>
      </c>
      <c r="I5" s="21">
        <f>IFERROR(H5/G5, "")</f>
        <v>-9.5610119476013389E-2</v>
      </c>
    </row>
    <row r="6" spans="1:9" ht="15.75">
      <c r="A6" s="13" t="str">
        <v>NM: New Mexico Tech - Macey Ctr</v>
      </c>
      <c r="B6" s="10" t="str">
        <v>NM</v>
      </c>
      <c r="C6" s="26">
        <f>SUM(Jan!C6, Feb!C6, Mar!C6)</f>
        <v>120394.875</v>
      </c>
      <c r="D6" s="14">
        <f>SUM(Jan!D6, Feb!D6, Mar!D6)</f>
        <v>76255.709999999992</v>
      </c>
      <c r="E6" s="14">
        <f t="shared" si="0"/>
        <v>44139.165000000008</v>
      </c>
      <c r="F6" s="15">
        <f t="shared" ref="F6" si="1">IFERROR(E6/D6, "")</f>
        <v>0.57883094918400224</v>
      </c>
      <c r="G6" s="16">
        <f>SUM(Jan!G6, Feb!G6, Mar!G6)</f>
        <v>122920</v>
      </c>
      <c r="H6" s="16">
        <f>SUM(Jan!H6, Feb!H6, Mar!H6)</f>
        <v>-2525.125</v>
      </c>
      <c r="I6" s="17">
        <f t="shared" ref="I6" si="2">IFERROR(H6/G6, "")</f>
        <v>-2.0542832736739344E-2</v>
      </c>
    </row>
    <row r="7" spans="1:9" ht="12.95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2.9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2.9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2.9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2.9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2.9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2.9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2 I4:I8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4"/>
  <sheetViews>
    <sheetView workbookViewId="0">
      <pane ySplit="2" topLeftCell="A3" activePane="bottomLeft" state="frozen"/>
      <selection pane="bottomLeft" activeCell="C4" sqref="C4"/>
      <selection activeCell="C15" sqref="C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New Mexico Tech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NM: New Mexico Tech - EMRTC</v>
      </c>
      <c r="B4" s="10" t="str" cm="1">
        <f t="array" ref="B4:B6">Sites[State]</f>
        <v>NM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 t="str">
        <v>NM: New Mexico Tech - Fac. Mgt.</v>
      </c>
      <c r="B5" s="11" t="str">
        <v>NM</v>
      </c>
      <c r="C5" s="12">
        <f>SUM(Apr!C5, May!C5, Jun!C5)</f>
        <v>0</v>
      </c>
      <c r="D5" s="20">
        <f>SUM(Apr!D5, May!D5, Jun!D5)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5.75">
      <c r="A6" s="13" t="str">
        <v>NM: New Mexico Tech - Macey Ctr</v>
      </c>
      <c r="B6" s="10" t="str">
        <v>NM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SUM(Apr!H6, May!H6, Jun!H6)</f>
        <v>0</v>
      </c>
      <c r="I6" s="17" t="str">
        <f t="shared" ref="I6" si="2">IFERROR(H6/G6, "")</f>
        <v/>
      </c>
    </row>
    <row r="7" spans="1:9" ht="12.95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2.9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2.9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2.9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2.9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2.9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2.9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2 I4:I8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4"/>
  <sheetViews>
    <sheetView workbookViewId="0">
      <pane ySplit="2" topLeftCell="A3" activePane="bottomLeft" state="frozen"/>
      <selection pane="bottomLeft" activeCell="C15" sqref="C15"/>
      <selection activeCell="C15" sqref="C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New Mexico Tech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NM: New Mexico Tech - EMRTC</v>
      </c>
      <c r="B4" s="10" t="str" cm="1">
        <f t="array" ref="B4:B6">Sites[State]</f>
        <v>NM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75">
      <c r="A5" s="19" t="str">
        <v>NM: New Mexico Tech - Fac. Mgt.</v>
      </c>
      <c r="B5" s="11" t="str">
        <v>NM</v>
      </c>
      <c r="C5" s="12">
        <f>SUM(Jul!C5, Aug!C5, Sep!C5)</f>
        <v>0</v>
      </c>
      <c r="D5" s="20">
        <f>SUM(Jul!D5, Aug!D5, Sep!D5)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75">
      <c r="A6" s="13" t="str">
        <v>NM: New Mexico Tech - Macey Ctr</v>
      </c>
      <c r="B6" s="10" t="str">
        <v>NM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SUM(Jul!H6, Aug!H6, Sep!H6)</f>
        <v>0</v>
      </c>
      <c r="I6" s="17" t="str">
        <f t="shared" ref="I6" si="2">IFERROR(H6/G6, "")</f>
        <v/>
      </c>
    </row>
    <row r="7" spans="1:9" ht="12.95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2.9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2.9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2.9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2.9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2.9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2.9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</sheetData>
  <mergeCells count="4">
    <mergeCell ref="G1:I1"/>
    <mergeCell ref="A1:C1"/>
    <mergeCell ref="D1:F1"/>
    <mergeCell ref="A2:B2"/>
  </mergeCells>
  <conditionalFormatting sqref="F2 I2 F4:F82 I4:I8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4"/>
  <sheetViews>
    <sheetView workbookViewId="0">
      <pane ySplit="2" topLeftCell="A3" activePane="bottomLeft" state="frozen"/>
      <selection pane="bottomLeft" activeCell="C15" sqref="C15"/>
      <selection activeCell="C15" sqref="C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New Mexico Tech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NM: New Mexico Tech - EMRTC</v>
      </c>
      <c r="B4" s="10" t="str" cm="1">
        <f t="array" ref="B4:B6">Sites[State]</f>
        <v>NM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NM: New Mexico Tech - Fac. Mgt.</v>
      </c>
      <c r="B5" s="11" t="str">
        <v>NM</v>
      </c>
      <c r="C5" s="12">
        <f>SUM(Oct!C5, Nov!C5, Dec!C5)</f>
        <v>0</v>
      </c>
      <c r="D5" s="20">
        <f>SUM(Oct!D5, Nov!D5, Dec!D5)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75">
      <c r="A6" s="13" t="str">
        <v>NM: New Mexico Tech - Macey Ctr</v>
      </c>
      <c r="B6" s="10" t="str">
        <v>NM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SUM(Oct!H6, Nov!H6, Dec!H6)</f>
        <v>0</v>
      </c>
      <c r="I6" s="17" t="str">
        <f t="shared" ref="I6" si="2">IFERROR(H6/G6, "")</f>
        <v/>
      </c>
    </row>
    <row r="7" spans="1:9" ht="12.95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2.9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2.9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2.9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2.9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2.9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2.9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</sheetData>
  <mergeCells count="4">
    <mergeCell ref="G1:I1"/>
    <mergeCell ref="A1:C1"/>
    <mergeCell ref="D1:F1"/>
    <mergeCell ref="A2:B2"/>
  </mergeCells>
  <conditionalFormatting sqref="F2 I2 F4:F82 I4:I8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3"/>
  <sheetViews>
    <sheetView workbookViewId="0">
      <pane ySplit="3" topLeftCell="A4" activePane="bottomLeft" state="frozen"/>
      <selection pane="bottomLeft" activeCell="D30" sqref="D30"/>
      <selection activeCell="C15" sqref="C15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Mexico Tech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SUM(C4:C81)</f>
        <v>65797.572668956724</v>
      </c>
      <c r="D2" s="6">
        <f>SUM(D4:D81)</f>
        <v>49994.02</v>
      </c>
      <c r="E2" s="6">
        <f>C2-D2</f>
        <v>15803.552668956727</v>
      </c>
      <c r="F2" s="7">
        <f>IFERROR(E2/D2, 0)</f>
        <v>0.3161088599987904</v>
      </c>
      <c r="G2" s="6">
        <f>SUM(G4:G81)</f>
        <v>75209.380999999994</v>
      </c>
      <c r="H2" s="8">
        <f>C2-G2</f>
        <v>-9411.8083310432703</v>
      </c>
      <c r="I2" s="7">
        <f>IFERROR(H2/G2, 0)</f>
        <v>-0.12514141462011596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NM: New Mexico Tech - EMRTC</v>
      </c>
      <c r="B4" s="31" t="str" cm="1">
        <f t="array" ref="B4:B6">Sites[State]</f>
        <v>NM</v>
      </c>
      <c r="C4" s="26">
        <v>27950.7976689567</v>
      </c>
      <c r="D4" s="14">
        <v>24588.55</v>
      </c>
      <c r="E4" s="14">
        <f>IF(AND(ISNUMBER(C4),ISNUMBER(D4)), C4-D4, "")</f>
        <v>3362.2476689567011</v>
      </c>
      <c r="F4" s="15">
        <f>IFERROR(E4/D4, "")</f>
        <v>0.13674037993117533</v>
      </c>
      <c r="G4" s="16">
        <v>32331.58</v>
      </c>
      <c r="H4" s="16">
        <f>IF(AND(ISNUMBER(C4),ISNUMBER(G4)), C4-G4, "")</f>
        <v>-4380.7823310433014</v>
      </c>
      <c r="I4" s="17">
        <f>IFERROR(H4/G4, "")</f>
        <v>-0.1354954608170495</v>
      </c>
      <c r="J4" s="18"/>
      <c r="K4" s="18"/>
    </row>
    <row r="5" spans="1:11" ht="15.75">
      <c r="A5" s="32" t="str">
        <v>NM: New Mexico Tech - Fac. Mgt.</v>
      </c>
      <c r="B5" s="33" t="str">
        <v>NM</v>
      </c>
      <c r="C5" s="12">
        <v>6683.9000000000196</v>
      </c>
      <c r="D5" s="20">
        <v>5698.76</v>
      </c>
      <c r="E5" s="20">
        <f t="shared" ref="E5:E6" si="0">IF(AND(ISNUMBER(C5),ISNUMBER(D5)), C5-D5, "")</f>
        <v>985.14000000001943</v>
      </c>
      <c r="F5" s="21">
        <f>IFERROR(E5/D5, "")</f>
        <v>0.1728691855772167</v>
      </c>
      <c r="G5" s="22">
        <v>7739.8010000000004</v>
      </c>
      <c r="H5" s="22">
        <f t="shared" ref="H5:H6" si="1">IF(AND(ISNUMBER(C5),ISNUMBER(G5)), C5-G5, "")</f>
        <v>-1055.9009999999807</v>
      </c>
      <c r="I5" s="21">
        <f t="shared" ref="I5:I6" si="2">IFERROR(H5/G5, "")</f>
        <v>-0.13642482539279507</v>
      </c>
      <c r="J5" s="11"/>
      <c r="K5" s="19"/>
    </row>
    <row r="6" spans="1:11" ht="15.75">
      <c r="A6" s="30" t="str">
        <v>NM: New Mexico Tech - Macey Ctr</v>
      </c>
      <c r="B6" s="31" t="str">
        <v>NM</v>
      </c>
      <c r="C6" s="26">
        <v>31162.875</v>
      </c>
      <c r="D6" s="14">
        <v>19706.71</v>
      </c>
      <c r="E6" s="14">
        <f t="shared" si="0"/>
        <v>11456.165000000001</v>
      </c>
      <c r="F6" s="15">
        <f t="shared" ref="F6" si="3">IFERROR(E6/D6, "")</f>
        <v>0.58133321087081513</v>
      </c>
      <c r="G6" s="16">
        <v>35138</v>
      </c>
      <c r="H6" s="16">
        <f t="shared" si="1"/>
        <v>-3975.125</v>
      </c>
      <c r="I6" s="17">
        <f t="shared" si="2"/>
        <v>-0.11312894871648928</v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5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</sheetData>
  <mergeCells count="4">
    <mergeCell ref="D1:F1"/>
    <mergeCell ref="A1:C1"/>
    <mergeCell ref="G1:I1"/>
    <mergeCell ref="A2:B2"/>
  </mergeCells>
  <conditionalFormatting sqref="F2 I2 F4:F81 I4:I81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4"/>
  <sheetViews>
    <sheetView workbookViewId="0">
      <pane ySplit="2" topLeftCell="A3" activePane="bottomLeft" state="frozen"/>
      <selection pane="bottomLeft" activeCell="F10" sqref="F10"/>
      <selection activeCell="C15" sqref="C15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Mexico Tech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SUM(C4:C82)</f>
        <v>82300</v>
      </c>
      <c r="D2" s="6">
        <f>SUM(D4:D82)</f>
        <v>64132</v>
      </c>
      <c r="E2" s="6">
        <f>C2-D2</f>
        <v>18168</v>
      </c>
      <c r="F2" s="7">
        <f>IFERROR(E2/D2, 0)</f>
        <v>0.2832907129046342</v>
      </c>
      <c r="G2" s="6">
        <f>SUM(G4:G82)</f>
        <v>81846</v>
      </c>
      <c r="H2" s="8">
        <f>C2-G2</f>
        <v>454</v>
      </c>
      <c r="I2" s="7">
        <f>IFERROR(H2/G2, 0)</f>
        <v>5.5470029079002026E-3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NM: New Mexico Tech - EMRTC</v>
      </c>
      <c r="B4" s="31" t="str" cm="1">
        <f t="array" ref="B4:B6">Sites[State]</f>
        <v>NM</v>
      </c>
      <c r="C4" s="26">
        <v>34441</v>
      </c>
      <c r="D4" s="14">
        <v>31551</v>
      </c>
      <c r="E4" s="14">
        <f>IF(AND(ISNUMBER(C4),ISNUMBER(D4)), C4-D4, "")</f>
        <v>2890</v>
      </c>
      <c r="F4" s="15">
        <f>IFERROR(E4/D4, "")</f>
        <v>9.1597730658299265E-2</v>
      </c>
      <c r="G4" s="16">
        <v>34925</v>
      </c>
      <c r="H4" s="16">
        <f>IF(AND(ISNUMBER(C4),ISNUMBER(G4)), C4-G4, "")</f>
        <v>-484</v>
      </c>
      <c r="I4" s="17">
        <f>IFERROR(H4/G4, "")</f>
        <v>-1.3858267716535434E-2</v>
      </c>
      <c r="J4" s="18"/>
      <c r="K4" s="18"/>
    </row>
    <row r="5" spans="1:11" ht="15.75">
      <c r="A5" s="32" t="str">
        <v>NM: New Mexico Tech - Fac. Mgt.</v>
      </c>
      <c r="B5" s="33" t="str">
        <v>NM</v>
      </c>
      <c r="C5" s="12">
        <v>8185</v>
      </c>
      <c r="D5" s="20">
        <v>7363</v>
      </c>
      <c r="E5" s="20">
        <f t="shared" ref="E5:E6" si="0">IF(AND(ISNUMBER(C5),ISNUMBER(D5)), C5-D5, "")</f>
        <v>822</v>
      </c>
      <c r="F5" s="21">
        <f>IFERROR(E5/D5, "")</f>
        <v>0.1116392774684232</v>
      </c>
      <c r="G5" s="22">
        <v>8440</v>
      </c>
      <c r="H5" s="22">
        <f t="shared" ref="H5:H6" si="1">IF(AND(ISNUMBER(C5),ISNUMBER(G5)), C5-G5, "")</f>
        <v>-255</v>
      </c>
      <c r="I5" s="21">
        <f t="shared" ref="I5:I6" si="2">IFERROR(H5/G5, "")</f>
        <v>-3.0213270142180094E-2</v>
      </c>
      <c r="J5" s="11"/>
      <c r="K5" s="19"/>
    </row>
    <row r="6" spans="1:11" ht="15.75">
      <c r="A6" s="30" t="str">
        <v>NM: New Mexico Tech - Macey Ctr</v>
      </c>
      <c r="B6" s="31" t="str">
        <v>NM</v>
      </c>
      <c r="C6" s="26">
        <v>39674</v>
      </c>
      <c r="D6" s="14">
        <v>25218</v>
      </c>
      <c r="E6" s="14">
        <f t="shared" si="0"/>
        <v>14456</v>
      </c>
      <c r="F6" s="15">
        <f t="shared" ref="F6" si="3">IFERROR(E6/D6, "")</f>
        <v>0.57324133555396939</v>
      </c>
      <c r="G6" s="16">
        <v>38481</v>
      </c>
      <c r="H6" s="16">
        <f t="shared" si="1"/>
        <v>1193</v>
      </c>
      <c r="I6" s="17">
        <f t="shared" si="2"/>
        <v>3.1002312829708167E-2</v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1">
      <c r="C324" s="23"/>
      <c r="D324" s="23"/>
      <c r="E324" s="23"/>
      <c r="F324" s="24"/>
      <c r="G324" s="23"/>
      <c r="H324" s="23"/>
      <c r="I324" s="24"/>
      <c r="J324" s="23"/>
      <c r="K324" s="23"/>
    </row>
  </sheetData>
  <mergeCells count="4">
    <mergeCell ref="G1:I1"/>
    <mergeCell ref="A1:C1"/>
    <mergeCell ref="D1:F1"/>
    <mergeCell ref="A2:B2"/>
  </mergeCells>
  <conditionalFormatting sqref="F2 I2 F4:F82 I4:I8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4"/>
  <sheetViews>
    <sheetView tabSelected="1" workbookViewId="0">
      <pane ySplit="2" topLeftCell="A3" activePane="bottomLeft" state="frozen"/>
      <selection pane="bottomLeft" activeCell="D21" sqref="D21"/>
      <selection activeCell="C15" sqref="C15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Mexico Tech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SUM(C4:C82)</f>
        <v>98917</v>
      </c>
      <c r="D2" s="6">
        <f>SUM(D4:D82)</f>
        <v>79261</v>
      </c>
      <c r="E2" s="6">
        <f>C2-D2</f>
        <v>19656</v>
      </c>
      <c r="F2" s="7">
        <f>IFERROR(E2/D2, 0)</f>
        <v>0.24799081515499427</v>
      </c>
      <c r="G2" s="6">
        <f>SUM(G4:G82)</f>
        <v>104419</v>
      </c>
      <c r="H2" s="8">
        <f>C2-G2</f>
        <v>-5502</v>
      </c>
      <c r="I2" s="7">
        <f>IFERROR(H2/G2, 0)</f>
        <v>-5.2691559965140446E-2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NM: New Mexico Tech - EMRTC</v>
      </c>
      <c r="B4" s="31" t="str" cm="1">
        <f t="array" ref="B4:B6">Sites[State]</f>
        <v>NM</v>
      </c>
      <c r="C4" s="26">
        <v>39881</v>
      </c>
      <c r="D4" s="14">
        <v>38640</v>
      </c>
      <c r="E4" s="14">
        <f>IF(AND(ISNUMBER(C4),ISNUMBER(D4)), C4-D4, "")</f>
        <v>1241</v>
      </c>
      <c r="F4" s="15">
        <f>IFERROR(E4/D4, "")</f>
        <v>3.2116977225672881E-2</v>
      </c>
      <c r="G4" s="16">
        <v>44377</v>
      </c>
      <c r="H4" s="16">
        <f>IF(AND(ISNUMBER(C4),ISNUMBER(G4)), C4-G4, "")</f>
        <v>-4496</v>
      </c>
      <c r="I4" s="17">
        <f>IFERROR(H4/G4, "")</f>
        <v>-0.10131374360592199</v>
      </c>
      <c r="J4" s="18"/>
      <c r="K4" s="18"/>
    </row>
    <row r="5" spans="1:11" ht="15.75">
      <c r="A5" s="32" t="str">
        <v>NM: New Mexico Tech - Fac. Mgt.</v>
      </c>
      <c r="B5" s="33" t="str">
        <v>NM</v>
      </c>
      <c r="C5" s="12">
        <v>9478</v>
      </c>
      <c r="D5" s="20">
        <v>9290</v>
      </c>
      <c r="E5" s="20">
        <f t="shared" ref="E5:E6" si="0">IF(AND(ISNUMBER(C5),ISNUMBER(D5)), C5-D5, "")</f>
        <v>188</v>
      </c>
      <c r="F5" s="21">
        <f>IFERROR(E5/D5, "")</f>
        <v>2.0236813778256188E-2</v>
      </c>
      <c r="G5" s="22">
        <v>10741</v>
      </c>
      <c r="H5" s="22">
        <f t="shared" ref="H5:H6" si="1">IF(AND(ISNUMBER(C5),ISNUMBER(G5)), C5-G5, "")</f>
        <v>-1263</v>
      </c>
      <c r="I5" s="21">
        <f t="shared" ref="I5:I6" si="2">IFERROR(H5/G5, "")</f>
        <v>-0.11758681686993762</v>
      </c>
      <c r="J5" s="11"/>
      <c r="K5" s="19"/>
    </row>
    <row r="6" spans="1:11" ht="15.75">
      <c r="A6" s="30" t="str">
        <v>NM: New Mexico Tech - Macey Ctr</v>
      </c>
      <c r="B6" s="31" t="str">
        <v>NM</v>
      </c>
      <c r="C6" s="26">
        <v>49558</v>
      </c>
      <c r="D6" s="14">
        <v>31331</v>
      </c>
      <c r="E6" s="14">
        <f t="shared" si="0"/>
        <v>18227</v>
      </c>
      <c r="F6" s="15">
        <f t="shared" ref="F6" si="3">IFERROR(E6/D6, "")</f>
        <v>0.58175608821933544</v>
      </c>
      <c r="G6" s="16">
        <v>49301</v>
      </c>
      <c r="H6" s="16">
        <f t="shared" si="1"/>
        <v>257</v>
      </c>
      <c r="I6" s="17">
        <f t="shared" si="2"/>
        <v>5.212876006571875E-3</v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1">
      <c r="C324" s="23"/>
      <c r="D324" s="23"/>
      <c r="E324" s="23"/>
      <c r="F324" s="24"/>
      <c r="G324" s="23"/>
      <c r="H324" s="23"/>
      <c r="I324" s="24"/>
      <c r="J324" s="23"/>
      <c r="K324" s="23"/>
    </row>
  </sheetData>
  <mergeCells count="4">
    <mergeCell ref="G1:I1"/>
    <mergeCell ref="A1:C1"/>
    <mergeCell ref="D1:F1"/>
    <mergeCell ref="A2:B2"/>
  </mergeCells>
  <conditionalFormatting sqref="F2 I2 F4:F82 I4:I82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4"/>
  <sheetViews>
    <sheetView workbookViewId="0">
      <pane ySplit="2" topLeftCell="A3" activePane="bottomLeft" state="frozen"/>
      <selection pane="bottomLeft" activeCell="C15" sqref="C15"/>
      <selection activeCell="C15" sqref="C15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Mexico Tech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NM: New Mexico Tech - EMRTC</v>
      </c>
      <c r="B4" s="31" t="str" cm="1">
        <f t="array" ref="B4:B6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NM: New Mexico Tech - Fac. Mgt.</v>
      </c>
      <c r="B5" s="33" t="str">
        <v>NM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NM: New Mexico Tech - Macey Ctr</v>
      </c>
      <c r="B6" s="31" t="str">
        <v>NM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1">
      <c r="C324" s="23"/>
      <c r="D324" s="23"/>
      <c r="E324" s="23"/>
      <c r="F324" s="24"/>
      <c r="G324" s="23"/>
      <c r="H324" s="23"/>
      <c r="I324" s="24"/>
      <c r="J324" s="23"/>
      <c r="K324" s="23"/>
    </row>
  </sheetData>
  <mergeCells count="4">
    <mergeCell ref="G1:I1"/>
    <mergeCell ref="A1:C1"/>
    <mergeCell ref="D1:F1"/>
    <mergeCell ref="A2:B2"/>
  </mergeCells>
  <conditionalFormatting sqref="F2 I2 F4:F82 I4:I82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4"/>
  <sheetViews>
    <sheetView workbookViewId="0">
      <pane ySplit="2" topLeftCell="A3" activePane="bottomLeft" state="frozen"/>
      <selection pane="bottomLeft" activeCell="C15" sqref="C15"/>
      <selection activeCell="C15" sqref="C15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Mexico Tech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NM: New Mexico Tech - EMRTC</v>
      </c>
      <c r="B4" s="31" t="str" cm="1">
        <f t="array" ref="B4:B6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NM: New Mexico Tech - Fac. Mgt.</v>
      </c>
      <c r="B5" s="33" t="str">
        <v>NM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NM: New Mexico Tech - Macey Ctr</v>
      </c>
      <c r="B6" s="31" t="str">
        <v>NM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1">
      <c r="C324" s="23"/>
      <c r="D324" s="23"/>
      <c r="E324" s="23"/>
      <c r="F324" s="24"/>
      <c r="G324" s="23"/>
      <c r="H324" s="23"/>
      <c r="I324" s="24"/>
      <c r="J324" s="23"/>
      <c r="K324" s="23"/>
    </row>
  </sheetData>
  <mergeCells count="4">
    <mergeCell ref="G1:I1"/>
    <mergeCell ref="A1:C1"/>
    <mergeCell ref="D1:F1"/>
    <mergeCell ref="A2:B2"/>
  </mergeCells>
  <conditionalFormatting sqref="F2 I2 F4:F82 I4:I82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4"/>
  <sheetViews>
    <sheetView workbookViewId="0">
      <pane ySplit="2" topLeftCell="A3" activePane="bottomLeft" state="frozen"/>
      <selection pane="bottomLeft" activeCell="C15" sqref="C15"/>
      <selection activeCell="C15" sqref="C15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Mexico Tech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NM: New Mexico Tech - EMRTC</v>
      </c>
      <c r="B4" s="31" t="str" cm="1">
        <f t="array" ref="B4:B6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NM: New Mexico Tech - Fac. Mgt.</v>
      </c>
      <c r="B5" s="33" t="str">
        <v>NM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NM: New Mexico Tech - Macey Ctr</v>
      </c>
      <c r="B6" s="31" t="str">
        <v>NM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1">
      <c r="C324" s="23"/>
      <c r="D324" s="23"/>
      <c r="E324" s="23"/>
      <c r="F324" s="24"/>
      <c r="G324" s="23"/>
      <c r="H324" s="23"/>
      <c r="I324" s="24"/>
      <c r="J324" s="23"/>
      <c r="K324" s="23"/>
    </row>
  </sheetData>
  <mergeCells count="4">
    <mergeCell ref="G1:I1"/>
    <mergeCell ref="A1:C1"/>
    <mergeCell ref="D1:F1"/>
    <mergeCell ref="A2:B2"/>
  </mergeCells>
  <conditionalFormatting sqref="F2 I2 F4:F82 I4:I82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4"/>
  <sheetViews>
    <sheetView workbookViewId="0">
      <pane ySplit="2" topLeftCell="A3" activePane="bottomLeft" state="frozen"/>
      <selection pane="bottomLeft" activeCell="C15" sqref="C15"/>
      <selection activeCell="C15" sqref="C15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Mexico Tech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NM: New Mexico Tech - EMRTC</v>
      </c>
      <c r="B4" s="31" t="str" cm="1">
        <f t="array" ref="B4:B6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NM: New Mexico Tech - Fac. Mgt.</v>
      </c>
      <c r="B5" s="33" t="str">
        <v>NM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NM: New Mexico Tech - Macey Ctr</v>
      </c>
      <c r="B6" s="31" t="str">
        <v>NM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1">
      <c r="C324" s="23"/>
      <c r="D324" s="23"/>
      <c r="E324" s="23"/>
      <c r="F324" s="24"/>
      <c r="G324" s="23"/>
      <c r="H324" s="23"/>
      <c r="I324" s="24"/>
      <c r="J324" s="23"/>
      <c r="K324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2 I4:I82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4"/>
  <sheetViews>
    <sheetView workbookViewId="0">
      <pane ySplit="2" topLeftCell="A3" activePane="bottomLeft" state="frozen"/>
      <selection pane="bottomLeft" activeCell="C15" sqref="C15"/>
      <selection activeCell="C15" sqref="C15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Mexico Tech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NM: New Mexico Tech - EMRTC</v>
      </c>
      <c r="B4" s="31" t="str" cm="1">
        <f t="array" ref="B4:B6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NM: New Mexico Tech - Fac. Mgt.</v>
      </c>
      <c r="B5" s="33" t="str">
        <v>NM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NM: New Mexico Tech - Macey Ctr</v>
      </c>
      <c r="B6" s="31" t="str">
        <v>NM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1">
      <c r="C324" s="23"/>
      <c r="D324" s="23"/>
      <c r="E324" s="23"/>
      <c r="F324" s="24"/>
      <c r="G324" s="23"/>
      <c r="H324" s="23"/>
      <c r="I324" s="24"/>
      <c r="J324" s="23"/>
      <c r="K324" s="23"/>
    </row>
  </sheetData>
  <mergeCells count="4">
    <mergeCell ref="G1:I1"/>
    <mergeCell ref="A1:C1"/>
    <mergeCell ref="D1:F1"/>
    <mergeCell ref="A2:B2"/>
  </mergeCells>
  <conditionalFormatting sqref="F2 I2 F4:F82 I4:I82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4"/>
  <sheetViews>
    <sheetView workbookViewId="0">
      <pane ySplit="2" topLeftCell="A3" activePane="bottomLeft" state="frozen"/>
      <selection pane="bottomLeft" activeCell="C15" sqref="C15"/>
      <selection activeCell="C15" sqref="C15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Mexico Tech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NM: New Mexico Tech - EMRTC</v>
      </c>
      <c r="B4" s="31" t="str" cm="1">
        <f t="array" ref="B4:B6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NM: New Mexico Tech - Fac. Mgt.</v>
      </c>
      <c r="B5" s="33" t="str">
        <v>NM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NM: New Mexico Tech - Macey Ctr</v>
      </c>
      <c r="B6" s="31" t="str">
        <v>NM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1">
      <c r="C324" s="23"/>
      <c r="D324" s="23"/>
      <c r="E324" s="23"/>
      <c r="F324" s="24"/>
      <c r="G324" s="23"/>
      <c r="H324" s="23"/>
      <c r="I324" s="24"/>
      <c r="J324" s="23"/>
      <c r="K324" s="23"/>
    </row>
  </sheetData>
  <mergeCells count="4">
    <mergeCell ref="G1:I1"/>
    <mergeCell ref="A1:C1"/>
    <mergeCell ref="D1:F1"/>
    <mergeCell ref="A2:B2"/>
  </mergeCells>
  <conditionalFormatting sqref="F2 I2 F4:F82 I4:I82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4"/>
  <sheetViews>
    <sheetView workbookViewId="0">
      <pane ySplit="2" topLeftCell="A3" activePane="bottomLeft" state="frozen"/>
      <selection pane="bottomLeft" activeCell="C15" sqref="C15"/>
      <selection activeCell="C15" sqref="C15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Mexico Tech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NM: New Mexico Tech - EMRTC</v>
      </c>
      <c r="B4" s="31" t="str" cm="1">
        <f t="array" ref="B4:B6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NM: New Mexico Tech - Fac. Mgt.</v>
      </c>
      <c r="B5" s="33" t="str">
        <v>NM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NM: New Mexico Tech - Macey Ctr</v>
      </c>
      <c r="B6" s="31" t="str">
        <v>NM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1">
      <c r="C324" s="23"/>
      <c r="D324" s="23"/>
      <c r="E324" s="23"/>
      <c r="F324" s="24"/>
      <c r="G324" s="23"/>
      <c r="H324" s="23"/>
      <c r="I324" s="24"/>
      <c r="J324" s="23"/>
      <c r="K324" s="23"/>
    </row>
  </sheetData>
  <mergeCells count="4">
    <mergeCell ref="G1:I1"/>
    <mergeCell ref="A1:C1"/>
    <mergeCell ref="D1:F1"/>
    <mergeCell ref="A2:B2"/>
  </mergeCells>
  <conditionalFormatting sqref="F2 I2 F4:F82 I4:I82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4"/>
  <sheetViews>
    <sheetView workbookViewId="0">
      <pane ySplit="2" topLeftCell="A3" activePane="bottomLeft" state="frozen"/>
      <selection pane="bottomLeft" activeCell="C15" sqref="C15"/>
      <selection activeCell="C15" sqref="C15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Mexico Tech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NM: New Mexico Tech - EMRTC</v>
      </c>
      <c r="B4" s="31" t="str" cm="1">
        <f t="array" ref="B4:B6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NM: New Mexico Tech - Fac. Mgt.</v>
      </c>
      <c r="B5" s="33" t="str">
        <v>NM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NM: New Mexico Tech - Macey Ctr</v>
      </c>
      <c r="B6" s="31" t="str">
        <v>NM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1">
      <c r="C324" s="23"/>
      <c r="D324" s="23"/>
      <c r="E324" s="23"/>
      <c r="F324" s="24"/>
      <c r="G324" s="23"/>
      <c r="H324" s="23"/>
      <c r="I324" s="24"/>
      <c r="J324" s="23"/>
      <c r="K324" s="23"/>
    </row>
  </sheetData>
  <mergeCells count="4">
    <mergeCell ref="G1:I1"/>
    <mergeCell ref="A1:C1"/>
    <mergeCell ref="D1:F1"/>
    <mergeCell ref="A2:B2"/>
  </mergeCells>
  <conditionalFormatting sqref="F2 I2 F4:F82 I4:I82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4"/>
  <sheetViews>
    <sheetView workbookViewId="0">
      <pane ySplit="2" topLeftCell="A3" activePane="bottomLeft" state="frozen"/>
      <selection pane="bottomLeft" activeCell="C15" sqref="C15"/>
      <selection activeCell="C15" sqref="C15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Mexico Tech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SUM(C4:C82)</f>
        <v>0</v>
      </c>
      <c r="D2" s="6">
        <f>SUM(D4:D82)</f>
        <v>0</v>
      </c>
      <c r="E2" s="6">
        <f>C2-D2</f>
        <v>0</v>
      </c>
      <c r="F2" s="7">
        <f>IFERROR(E2/D2, 0)</f>
        <v>0</v>
      </c>
      <c r="G2" s="6">
        <f>SUM(G4:G82)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NM: New Mexico Tech - EMRTC</v>
      </c>
      <c r="B4" s="31" t="str" cm="1">
        <f t="array" ref="B4:B6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NM: New Mexico Tech - Fac. Mgt.</v>
      </c>
      <c r="B5" s="33" t="str">
        <v>NM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NM: New Mexico Tech - Macey Ctr</v>
      </c>
      <c r="B6" s="31" t="str">
        <v>NM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1">
      <c r="C324" s="23"/>
      <c r="D324" s="23"/>
      <c r="E324" s="23"/>
      <c r="F324" s="24"/>
      <c r="G324" s="23"/>
      <c r="H324" s="23"/>
      <c r="I324" s="24"/>
      <c r="J324" s="23"/>
      <c r="K324" s="23"/>
    </row>
  </sheetData>
  <mergeCells count="4">
    <mergeCell ref="G1:I1"/>
    <mergeCell ref="A1:C1"/>
    <mergeCell ref="D1:F1"/>
    <mergeCell ref="A2:B2"/>
  </mergeCells>
  <conditionalFormatting sqref="F2 I2 F4:F82 I4:I82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workbookViewId="0">
      <pane ySplit="3" topLeftCell="A4" activePane="bottomLeft" state="frozen"/>
      <selection pane="bottomLeft" activeCell="A5" sqref="A5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50</v>
      </c>
      <c r="C4" s="4" t="s">
        <v>51</v>
      </c>
      <c r="G4" s="3"/>
    </row>
    <row r="5" spans="1:7" ht="14.45">
      <c r="A5" t="s">
        <v>52</v>
      </c>
      <c r="B5" t="s">
        <v>53</v>
      </c>
      <c r="C5" s="4" t="s">
        <v>51</v>
      </c>
      <c r="G5" s="3"/>
    </row>
    <row r="6" spans="1:7" ht="14.45">
      <c r="A6" t="s">
        <v>54</v>
      </c>
      <c r="B6" t="s">
        <v>55</v>
      </c>
      <c r="C6" s="4" t="s">
        <v>51</v>
      </c>
      <c r="G6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Kurakula [AGS]</cp:lastModifiedBy>
  <cp:revision/>
  <dcterms:created xsi:type="dcterms:W3CDTF">2021-01-01T16:39:53Z</dcterms:created>
  <dcterms:modified xsi:type="dcterms:W3CDTF">2024-04-08T08:15:29Z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