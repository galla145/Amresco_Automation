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F7F2BEE8-6802-4B33-B687-DA052B7CD3BD}" xr6:coauthVersionLast="47" xr6:coauthVersionMax="47" xr10:uidLastSave="{00000000-0000-0000-0000-000000000000}"/>
  <bookViews>
    <workbookView xWindow="-28920" yWindow="7725" windowWidth="29040" windowHeight="15720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<sst xmlns="http://schemas.openxmlformats.org/spreadsheetml/2006/main" count="244" uniqueCount="57">
  <si>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</si>
  <si>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</si>
  <si>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</si>
  <si>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</si>
  <si>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</si>
  <si>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</si>
  <si>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</si>
  <si>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</si>
  <si>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</si>
  <si>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</si>
  <si>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</si>
  <si>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</si>
  <si>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</si>
  <si>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</si>
  <si>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</si>
  <si>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</si>
  <si>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</si>
  <si>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</si>
  <si>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</si>
  <si>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</si>
  <si>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</si>
  <si>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</si>
  <si>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01/10 and reenerzied on 01/11 at 8:00 AM</t>
  </si>
  <si>
    <t>1. SR080119</t>
  </si>
  <si>
    <t>February Actual v. Expected</t>
  </si>
  <si>
    <t>February Actual v. Forecasted</t>
  </si>
  <si>
    <t>March Actual v. Expected</t>
  </si>
  <si>
    <t>March Actual v. Forecasted</t>
  </si>
  <si>
    <t>1. Inverter 1 derating 175 kW compared to its peers from 3/29 and still it is offline</t>
  </si>
  <si>
    <t>1. SR082921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</si>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</sst>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561870</v>
      </c>
      <c r="D2" s="5">
        <f>SUM(D4:D79)</f>
        <v>0</v>
      </c>
      <c r="E2" s="5">
        <f>C2-D2</f>
        <v>561870</v>
      </c>
      <c r="F2" s="6">
        <f>IFERROR(E2/D2, 0)</f>
        <v>0</v>
      </c>
      <c r="G2" s="5">
        <f>SUM(G4:G79)</f>
        <v>0</v>
      </c>
      <c r="H2" s="7">
        <f>C2-G2</f>
        <v>561870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561870</v>
      </c>
      <c r="D4" s="12">
        <f>SUM('1st Qtr'!D4, '2nd Qtr'!D4, '3rd Qtr'!D4, '4th Qtr'!D4)</f>
        <v>0</v>
      </c>
      <c r="E4" s="12">
        <f>IF(AND(ISNUMBER(C4),ISNUMBER(D4)), C4-D4, "")</f>
        <v>561870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561870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561870</v>
      </c>
      <c r="D2" s="5">
        <f>SUM(D4:D79)</f>
        <v>0</v>
      </c>
      <c r="E2" s="5">
        <f>C2-D2</f>
        <v>561870</v>
      </c>
      <c r="F2" s="6">
        <f>IFERROR(E2/D2, 0)</f>
        <v>0</v>
      </c>
      <c r="G2" s="5">
        <f>SUM(G4:G79)</f>
        <v>0</v>
      </c>
      <c r="H2" s="7">
        <f>C2-G2</f>
        <v>561870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561870</v>
      </c>
      <c r="D4" s="12">
        <f>SUM(Jan!D4, Feb!D4, Mar!D4)</f>
        <v>0</v>
      </c>
      <c r="E4" s="12">
        <f>IF(AND(ISNUMBER(C4),ISNUMBER(D4)), C4-D4, "")</f>
        <v>561870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561870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K16" sqref="K16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65254</v>
      </c>
      <c r="D2" s="5">
        <f>SUM(D4:D78)</f>
        <v>0</v>
      </c>
      <c r="E2" s="5">
        <f>C2-D2</f>
        <v>65254</v>
      </c>
      <c r="F2" s="6">
        <f>IFERROR(E2/D2, 0)</f>
        <v>0</v>
      </c>
      <c r="G2" s="5">
        <f>SUM(G4:G78)</f>
        <v>0</v>
      </c>
      <c r="H2" s="7">
        <f>C2-G2</f>
        <v>65254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MA: Palmer - 105 North Street</v>
      </c>
      <c r="B4" s="27" t="str" cm="1">
        <f t="array" ref="B4">Sites[State]</f>
        <v>MA</v>
      </c>
      <c r="C4" s="50">
        <v>65254</v>
      </c>
      <c r="D4" s="51">
        <v>0</v>
      </c>
      <c r="E4" s="12">
        <f>IF(AND(ISNUMBER(C4),ISNUMBER(D4)), C4-D4, "")</f>
        <v>65254</v>
      </c>
      <c r="F4" s="40" t="str">
        <f>IFERROR(E4/D4, "")</f>
        <v/>
      </c>
      <c r="G4" s="53">
        <v>0</v>
      </c>
      <c r="H4" s="14">
        <f>IF(AND(ISNUMBER(C4),ISNUMBER(G4)), C4-G4, "")</f>
        <v>65254</v>
      </c>
      <c r="I4" s="15" t="str">
        <f>IFERROR(H4/G4, "")</f>
        <v/>
      </c>
      <c r="J4" s="47" t="s">
        <v>22</v>
      </c>
      <c r="K4" s="47" t="s">
        <v>23</v>
      </c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238221</v>
      </c>
      <c r="D2" s="5">
        <f>SUM(D4:D79)</f>
        <v>0</v>
      </c>
      <c r="E2" s="5">
        <f>C2-D2</f>
        <v>238221</v>
      </c>
      <c r="F2" s="6">
        <f>IFERROR(E2/D2, 0)</f>
        <v>0</v>
      </c>
      <c r="G2" s="5">
        <f>SUM(G4:G79)</f>
        <v>0</v>
      </c>
      <c r="H2" s="7">
        <f>C2-G2</f>
        <v>238221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MA: Palmer - 105 North Street</v>
      </c>
      <c r="B4" s="27" t="str" cm="1">
        <f t="array" ref="B4">Sites[State]</f>
        <v>MA</v>
      </c>
      <c r="C4" s="23">
        <v>238221</v>
      </c>
      <c r="D4" s="12">
        <v>0</v>
      </c>
      <c r="E4" s="12">
        <f>IF(AND(ISNUMBER(C4),ISNUMBER(D4)), C4-D4, "")</f>
        <v>238221</v>
      </c>
      <c r="F4" s="13" t="str">
        <f>IFERROR(E4/D4, "")</f>
        <v/>
      </c>
      <c r="G4" s="14">
        <v>0</v>
      </c>
      <c r="H4" s="14">
        <f>IF(AND(ISNUMBER(C4),ISNUMBER(G4)), C4-G4, "")</f>
        <v>238221</v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30" sqref="J3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258395</v>
      </c>
      <c r="D2" s="5">
        <f>SUM(D4:D79)</f>
        <v>0</v>
      </c>
      <c r="E2" s="5">
        <f>C2-D2</f>
        <v>258395</v>
      </c>
      <c r="F2" s="6">
        <f>IFERROR(E2/D2, 0)</f>
        <v>0</v>
      </c>
      <c r="G2" s="5">
        <f>SUM(G4:G79)</f>
        <v>0</v>
      </c>
      <c r="H2" s="7">
        <f>C2-G2</f>
        <v>258395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258395</v>
      </c>
      <c r="D4" s="12">
        <v>0</v>
      </c>
      <c r="E4" s="12">
        <f>IF(AND(ISNUMBER(C4),ISNUMBER(D4)), C4-D4, "")</f>
        <v>258395</v>
      </c>
      <c r="F4" s="13" t="str">
        <f>IFERROR(E4/D4, "")</f>
        <v/>
      </c>
      <c r="G4" s="14">
        <v>0</v>
      </c>
      <c r="H4" s="14">
        <f>IF(AND(ISNUMBER(C4),ISNUMBER(G4)), C4-G4, "")</f>
        <v>258395</v>
      </c>
      <c r="I4" s="15" t="str">
        <f>IFERROR(H4/G4, "")</f>
        <v/>
      </c>
      <c r="J4" s="36" t="s">
        <v>28</v>
      </c>
      <c r="K4" s="36" t="s">
        <v>29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2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2024-07-11T11:01:16Z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