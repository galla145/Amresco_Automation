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7" documentId="13_ncr:1_{3AE54CD1-65BA-4A63-B6DB-3CB287E7A350}" xr6:coauthVersionLast="47" xr6:coauthVersionMax="47" xr10:uidLastSave="{5491ADBD-807F-43A3-89F2-3DDAC6AA6D6B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I10" i="4" s="1"/>
  <c r="H11" i="4"/>
  <c r="I11" i="4" s="1"/>
  <c r="C5" i="34"/>
  <c r="C12" i="34"/>
  <c r="C16" i="30"/>
  <c r="E16" i="30" s="1"/>
  <c r="F16" i="30" s="1"/>
  <c r="D16" i="30"/>
  <c r="C16" i="29"/>
  <c r="D16" i="29"/>
  <c r="E16" i="29" s="1"/>
  <c r="F16" i="29" s="1"/>
  <c r="C16" i="18"/>
  <c r="E16" i="18" s="1"/>
  <c r="F16" i="18" s="1"/>
  <c r="D16" i="18"/>
  <c r="C16" i="1"/>
  <c r="C16" i="34" s="1"/>
  <c r="D16" i="1"/>
  <c r="D16" i="34" s="1"/>
  <c r="G16" i="1"/>
  <c r="G16" i="34" s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D5" i="29"/>
  <c r="C5" i="29"/>
  <c r="E5" i="29" s="1"/>
  <c r="F5" i="29" s="1"/>
  <c r="D4" i="29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5" i="34" s="1"/>
  <c r="C14" i="1"/>
  <c r="C14" i="34" s="1"/>
  <c r="C13" i="1"/>
  <c r="C13" i="34" s="1"/>
  <c r="C12" i="1"/>
  <c r="C11" i="1"/>
  <c r="C11" i="34" s="1"/>
  <c r="C10" i="1"/>
  <c r="C10" i="34" s="1"/>
  <c r="C9" i="1"/>
  <c r="C9" i="34" s="1"/>
  <c r="C8" i="1"/>
  <c r="C8" i="34" s="1"/>
  <c r="C7" i="1"/>
  <c r="C7" i="34" s="1"/>
  <c r="C6" i="1"/>
  <c r="C6" i="34" s="1"/>
  <c r="C5" i="1"/>
  <c r="C4" i="1"/>
  <c r="D6" i="1"/>
  <c r="D6" i="34" s="1"/>
  <c r="D7" i="1"/>
  <c r="D7" i="34" s="1"/>
  <c r="D8" i="1"/>
  <c r="D8" i="34" s="1"/>
  <c r="D9" i="1"/>
  <c r="D9" i="34" s="1"/>
  <c r="D10" i="1"/>
  <c r="D10" i="34" s="1"/>
  <c r="D11" i="1"/>
  <c r="D11" i="34" s="1"/>
  <c r="D12" i="1"/>
  <c r="D12" i="34" s="1"/>
  <c r="D13" i="1"/>
  <c r="D13" i="34" s="1"/>
  <c r="D14" i="1"/>
  <c r="D14" i="34" s="1"/>
  <c r="D15" i="1"/>
  <c r="D15" i="34" s="1"/>
  <c r="D5" i="1"/>
  <c r="D5" i="34" s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2" i="29" l="1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34"/>
  <c r="F16" i="34" s="1"/>
  <c r="E16" i="1"/>
  <c r="F16" i="1" s="1"/>
  <c r="H16" i="34"/>
  <c r="I16" i="34" s="1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<sst xmlns="http://schemas.openxmlformats.org/spreadsheetml/2006/main" count="364" uniqueCount="128">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</sst>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MN8 Bond</v>
      </c>
      <c r="B1" s="90"/>
      <c r="C1" s="90"/>
      <c r="D1" s="91" t="s">
        <v>0</v>
      </c>
      <c r="E1" s="91"/>
      <c r="F1" s="91"/>
      <c r="G1" s="89" t="s">
        <v>1</v>
      </c>
      <c r="H1" s="89"/>
      <c r="I1" s="89"/>
    </row>
    <row r="2" spans="1:9" ht="19.5" customHeight="1">
      <c r="A2" s="92" t="s">
        <v>2</v>
      </c>
      <c r="B2" s="92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816220.84079602</v>
      </c>
      <c r="D4" s="56">
        <f>SUM('1st Qtr'!D4, '2nd Qtr'!D4, '3rd Qtr'!D4, '4th Qtr'!D4)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SUM('1st Qtr'!G4, '2nd Qtr'!G4, '3rd Qtr'!G4, '4th Qtr'!G4)</f>
        <v>946539</v>
      </c>
      <c r="H4" s="58">
        <f>SUM('1st Qtr'!H4, '2nd Qtr'!H4, '3rd Qtr'!H4, '4th Qtr'!H4)</f>
        <v>-130318.15920398</v>
      </c>
      <c r="I4" s="57">
        <f>IFERROR(H4/G4, "")</f>
        <v>-0.13767859454706038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271481.99953658786</v>
      </c>
      <c r="D5" s="62">
        <f>SUM('1st Qtr'!D5, '2nd Qtr'!D5, '3rd Qtr'!D5, '4th Qtr'!D5)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SUM('1st Qtr'!G5, '2nd Qtr'!G5, '3rd Qtr'!G5, '4th Qtr'!G5)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250961</v>
      </c>
      <c r="D6" s="56">
        <f>SUM('1st Qtr'!D6, '2nd Qtr'!D6, '3rd Qtr'!D6, '4th Qtr'!D6)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SUM('1st Qtr'!G6, '2nd Qtr'!G6, '3rd Qtr'!G6, '4th Qtr'!G6)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297435</v>
      </c>
      <c r="D7" s="62">
        <f>SUM('1st Qtr'!D7, '2nd Qtr'!D7, '3rd Qtr'!D7, '4th Qtr'!D7)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SUM('1st Qtr'!G7, '2nd Qtr'!G7, '3rd Qtr'!G7, '4th Qtr'!G7)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320252.11</v>
      </c>
      <c r="D8" s="56">
        <f>SUM('1st Qtr'!D8, '2nd Qtr'!D8, '3rd Qtr'!D8, '4th Qtr'!D8)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SUM('1st Qtr'!G8, '2nd Qtr'!G8, '3rd Qtr'!G8, '4th Qtr'!G8)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632578.12</v>
      </c>
      <c r="D9" s="62">
        <f>SUM('1st Qtr'!D9, '2nd Qtr'!D9, '3rd Qtr'!D9, '4th Qtr'!D9)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SUM('1st Qtr'!G9, '2nd Qtr'!G9, '3rd Qtr'!G9, '4th Qtr'!G9)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627309.63640000112</v>
      </c>
      <c r="D10" s="56">
        <f>SUM('1st Qtr'!D10, '2nd Qtr'!D10, '3rd Qtr'!D10, '4th Qtr'!D10)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SUM('1st Qtr'!G10, '2nd Qtr'!G10, '3rd Qtr'!G10, '4th Qtr'!G10)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562261.39</v>
      </c>
      <c r="D11" s="62">
        <f>SUM('1st Qtr'!D11, '2nd Qtr'!D11, '3rd Qtr'!D11, '4th Qtr'!D11)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SUM('1st Qtr'!G11, '2nd Qtr'!G11, '3rd Qtr'!G11, '4th Qtr'!G11)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545632.42999999993</v>
      </c>
      <c r="D12" s="56">
        <f>SUM('1st Qtr'!D12, '2nd Qtr'!D12, '3rd Qtr'!D12, '4th Qtr'!D12)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SUM('1st Qtr'!G12, '2nd Qtr'!G12, '3rd Qtr'!G12, '4th Qtr'!G12)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164251.25</v>
      </c>
      <c r="D13" s="62">
        <f>SUM('1st Qtr'!D13, '2nd Qtr'!D13, '3rd Qtr'!D13, '4th Qtr'!D13)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SUM('1st Qtr'!G13, '2nd Qtr'!G13, '3rd Qtr'!G13, '4th Qtr'!G13)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298612.12000000011</v>
      </c>
      <c r="D14" s="56">
        <f>SUM('1st Qtr'!D14, '2nd Qtr'!D14, '3rd Qtr'!D14, '4th Qtr'!D14)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SUM('1st Qtr'!G14, '2nd Qtr'!G14, '3rd Qtr'!G14, '4th Qtr'!G14)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300820.40000000002</v>
      </c>
      <c r="D15" s="62">
        <f>SUM('1st Qtr'!D15, '2nd Qtr'!D15, '3rd Qtr'!D15, '4th Qtr'!D15)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SUM('1st Qtr'!G15, '2nd Qtr'!G15, '3rd Qtr'!G15, '4th Qtr'!G15)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121949.89850000001</v>
      </c>
      <c r="D16" s="56">
        <f>SUM('1st Qtr'!D16, '2nd Qtr'!D16, '3rd Qtr'!D16, '4th Qtr'!D16)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SUM('1st Qtr'!G16, '2nd Qtr'!G16, '3rd Qtr'!G16, '4th Qtr'!G16)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4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MN8 Bond</v>
      </c>
      <c r="B1" s="90"/>
      <c r="C1" s="90"/>
      <c r="D1" s="91" t="s">
        <v>10</v>
      </c>
      <c r="E1" s="91"/>
      <c r="F1" s="91"/>
      <c r="G1" s="89" t="s">
        <v>11</v>
      </c>
      <c r="H1" s="89"/>
      <c r="I1" s="89"/>
    </row>
    <row r="2" spans="1:9" ht="19.5" customHeight="1">
      <c r="A2" s="92" t="s">
        <v>2</v>
      </c>
      <c r="B2" s="92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4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D5" sqref="D5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MN8 Bond</v>
      </c>
      <c r="B1" s="90"/>
      <c r="C1" s="90"/>
      <c r="D1" s="91" t="s">
        <v>12</v>
      </c>
      <c r="E1" s="91"/>
      <c r="F1" s="91"/>
      <c r="G1" s="89" t="s">
        <v>13</v>
      </c>
      <c r="H1" s="89"/>
      <c r="I1" s="89"/>
    </row>
    <row r="2" spans="1:9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0</v>
      </c>
      <c r="D4" s="56">
        <f>SUM(Apr!D4, May!D4, Jun!D4)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SUM(Apr!H4, May!H4, Jun!H4)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SUM(Apr!C5, May!C5, Jun!C5)</f>
        <v>0</v>
      </c>
      <c r="D5" s="62">
        <f>SUM(Apr!D5, May!D5, Jun!D5)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SUM(Apr!H5, May!H5, Jun!H5)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SUM(Apr!C6, May!C6, Jun!C6)</f>
        <v>0</v>
      </c>
      <c r="D6" s="56">
        <f>SUM(Apr!D6, May!D6, Jun!D6)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SUM(Apr!H6, May!H6, Jun!H6)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SUM(Apr!C7, May!C7, Jun!C7)</f>
        <v>0</v>
      </c>
      <c r="D7" s="62">
        <f>SUM(Apr!D7, May!D7, Jun!D7)</f>
        <v>0</v>
      </c>
      <c r="E7" s="62">
        <f t="shared" si="0"/>
        <v>0</v>
      </c>
      <c r="F7" s="63" t="str">
        <f t="shared" si="1"/>
        <v/>
      </c>
      <c r="G7" s="64"/>
      <c r="H7" s="64">
        <f>SUM(Apr!H7, May!H7, Jun!H7)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SUM(Apr!C8, May!C8, Jun!C8)</f>
        <v>0</v>
      </c>
      <c r="D8" s="56">
        <f>SUM(Apr!D8, May!D8, Jun!D8)</f>
        <v>0</v>
      </c>
      <c r="E8" s="56">
        <f t="shared" si="0"/>
        <v>0</v>
      </c>
      <c r="F8" s="69" t="str">
        <f t="shared" si="1"/>
        <v/>
      </c>
      <c r="G8" s="58"/>
      <c r="H8" s="58">
        <f>SUM(Apr!H8, May!H8, Jun!H8)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SUM(Apr!C9, May!C9, Jun!C9)</f>
        <v>0</v>
      </c>
      <c r="D9" s="62">
        <f>SUM(Apr!D9, May!D9, Jun!D9)</f>
        <v>0</v>
      </c>
      <c r="E9" s="62">
        <f t="shared" si="0"/>
        <v>0</v>
      </c>
      <c r="F9" s="63" t="str">
        <f t="shared" si="1"/>
        <v/>
      </c>
      <c r="G9" s="64"/>
      <c r="H9" s="64">
        <f>SUM(Apr!H9, May!H9, Jun!H9)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0</v>
      </c>
      <c r="D10" s="56">
        <f>SUM(Apr!D10, May!D10, Jun!D10)</f>
        <v>0</v>
      </c>
      <c r="E10" s="56">
        <f t="shared" si="0"/>
        <v>0</v>
      </c>
      <c r="F10" s="69" t="str">
        <f t="shared" si="1"/>
        <v/>
      </c>
      <c r="G10" s="58"/>
      <c r="H10" s="58">
        <f>SUM(Apr!H10, May!H10, Jun!H10)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0</v>
      </c>
      <c r="D11" s="62">
        <f>SUM(Apr!D11, May!D11, Jun!D11)</f>
        <v>0</v>
      </c>
      <c r="E11" s="62">
        <f t="shared" si="0"/>
        <v>0</v>
      </c>
      <c r="F11" s="63" t="str">
        <f t="shared" si="1"/>
        <v/>
      </c>
      <c r="G11" s="64"/>
      <c r="H11" s="64">
        <f>SUM(Apr!H11, May!H11, Jun!H11)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0</v>
      </c>
      <c r="D12" s="56">
        <f>SUM(Apr!D12, May!D12, Jun!D12)</f>
        <v>0</v>
      </c>
      <c r="E12" s="56">
        <f t="shared" si="0"/>
        <v>0</v>
      </c>
      <c r="F12" s="69" t="str">
        <f t="shared" si="1"/>
        <v/>
      </c>
      <c r="G12" s="58"/>
      <c r="H12" s="58">
        <f>SUM(Apr!H12, May!H12, Jun!H12)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0</v>
      </c>
      <c r="D13" s="62">
        <f>SUM(Apr!D13, May!D13, Jun!D13)</f>
        <v>0</v>
      </c>
      <c r="E13" s="62">
        <f t="shared" si="0"/>
        <v>0</v>
      </c>
      <c r="F13" s="63" t="str">
        <f t="shared" si="1"/>
        <v/>
      </c>
      <c r="G13" s="64"/>
      <c r="H13" s="64">
        <f>SUM(Apr!H13, May!H13, Jun!H13)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0</v>
      </c>
      <c r="D14" s="56">
        <f>SUM(Apr!D14, May!D14, Jun!D14)</f>
        <v>0</v>
      </c>
      <c r="E14" s="56">
        <f t="shared" si="0"/>
        <v>0</v>
      </c>
      <c r="F14" s="69" t="str">
        <f t="shared" si="1"/>
        <v/>
      </c>
      <c r="G14" s="58"/>
      <c r="H14" s="58">
        <f>SUM(Apr!H14, May!H14, Jun!H14)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0</v>
      </c>
      <c r="D15" s="62">
        <f>SUM(Apr!D15, May!D15, Jun!D15)</f>
        <v>0</v>
      </c>
      <c r="E15" s="62">
        <f t="shared" si="0"/>
        <v>0</v>
      </c>
      <c r="F15" s="63" t="str">
        <f t="shared" si="1"/>
        <v/>
      </c>
      <c r="G15" s="64"/>
      <c r="H15" s="64">
        <f>SUM(Apr!H15, May!H15, Jun!H15)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0</v>
      </c>
      <c r="D16" s="56">
        <f>SUM(Apr!D16, May!D16, Jun!D16)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SUM(Apr!H16, May!H16, Jun!H16)</f>
        <v>0</v>
      </c>
      <c r="I16" s="57" t="str">
        <f t="shared" ref="I16" si="5">IFERROR(H16/G16, "")</f>
        <v/>
      </c>
    </row>
    <row r="17" spans="1:9" ht="12.9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MN8 Bond</v>
      </c>
      <c r="B1" s="90"/>
      <c r="C1" s="90"/>
      <c r="D1" s="91" t="s">
        <v>14</v>
      </c>
      <c r="E1" s="91"/>
      <c r="F1" s="91"/>
      <c r="G1" s="89" t="s">
        <v>15</v>
      </c>
      <c r="H1" s="89"/>
      <c r="I1" s="89"/>
    </row>
    <row r="2" spans="1:9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0</v>
      </c>
      <c r="D4" s="56">
        <f>SUM(Jul!D4, Aug!D4, Sep!D4)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SUM(Jul!H4, Aug!H4, Sep!H4)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SUM(Jul!C5, Aug!C5, Sep!C5)</f>
        <v>0</v>
      </c>
      <c r="D5" s="62">
        <f>SUM(Jul!D5, Aug!D5, Sep!D5)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SUM(Jul!H5, Aug!H5, Sep!H5)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SUM(Jul!C6, Aug!C6, Sep!C6)</f>
        <v>0</v>
      </c>
      <c r="D6" s="56">
        <f>SUM(Jul!D6, Aug!D6, Sep!D6)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SUM(Jul!H6, Aug!H6, Sep!H6)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SUM(Jul!C7, Aug!C7, Sep!C7)</f>
        <v>0</v>
      </c>
      <c r="D7" s="62">
        <f>SUM(Jul!D7, Aug!D7, Sep!D7)</f>
        <v>0</v>
      </c>
      <c r="E7" s="62">
        <f t="shared" si="0"/>
        <v>0</v>
      </c>
      <c r="F7" s="63" t="str">
        <f t="shared" si="1"/>
        <v/>
      </c>
      <c r="G7" s="64"/>
      <c r="H7" s="64">
        <f>SUM(Jul!H7, Aug!H7, Sep!H7)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SUM(Jul!C8, Aug!C8, Sep!C8)</f>
        <v>0</v>
      </c>
      <c r="D8" s="56">
        <f>SUM(Jul!D8, Aug!D8, Sep!D8)</f>
        <v>0</v>
      </c>
      <c r="E8" s="56">
        <f t="shared" si="0"/>
        <v>0</v>
      </c>
      <c r="F8" s="69" t="str">
        <f t="shared" si="1"/>
        <v/>
      </c>
      <c r="G8" s="58"/>
      <c r="H8" s="58">
        <f>SUM(Jul!H8, Aug!H8, Sep!H8)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SUM(Jul!C9, Aug!C9, Sep!C9)</f>
        <v>0</v>
      </c>
      <c r="D9" s="62">
        <f>SUM(Jul!D9, Aug!D9, Sep!D9)</f>
        <v>0</v>
      </c>
      <c r="E9" s="62">
        <f t="shared" si="0"/>
        <v>0</v>
      </c>
      <c r="F9" s="63" t="str">
        <f t="shared" si="1"/>
        <v/>
      </c>
      <c r="G9" s="64"/>
      <c r="H9" s="64">
        <f>SUM(Jul!H9, Aug!H9, Sep!H9)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0</v>
      </c>
      <c r="D10" s="56">
        <f>SUM(Jul!D10, Aug!D10, Sep!D10)</f>
        <v>0</v>
      </c>
      <c r="E10" s="56">
        <f t="shared" si="0"/>
        <v>0</v>
      </c>
      <c r="F10" s="69" t="str">
        <f t="shared" si="1"/>
        <v/>
      </c>
      <c r="G10" s="58"/>
      <c r="H10" s="58">
        <f>SUM(Jul!H10, Aug!H10, Sep!H10)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0</v>
      </c>
      <c r="D11" s="62">
        <f>SUM(Jul!D11, Aug!D11, Sep!D11)</f>
        <v>0</v>
      </c>
      <c r="E11" s="62">
        <f t="shared" si="0"/>
        <v>0</v>
      </c>
      <c r="F11" s="63" t="str">
        <f t="shared" si="1"/>
        <v/>
      </c>
      <c r="G11" s="64"/>
      <c r="H11" s="64">
        <f>SUM(Jul!H11, Aug!H11, Sep!H11)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0</v>
      </c>
      <c r="D12" s="56">
        <f>SUM(Jul!D12, Aug!D12, Sep!D12)</f>
        <v>0</v>
      </c>
      <c r="E12" s="56">
        <f t="shared" si="0"/>
        <v>0</v>
      </c>
      <c r="F12" s="69" t="str">
        <f t="shared" si="1"/>
        <v/>
      </c>
      <c r="G12" s="58"/>
      <c r="H12" s="58">
        <f>SUM(Jul!H12, Aug!H12, Sep!H12)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0</v>
      </c>
      <c r="D13" s="62">
        <f>SUM(Jul!D13, Aug!D13, Sep!D13)</f>
        <v>0</v>
      </c>
      <c r="E13" s="62">
        <f t="shared" si="0"/>
        <v>0</v>
      </c>
      <c r="F13" s="63" t="str">
        <f t="shared" si="1"/>
        <v/>
      </c>
      <c r="G13" s="64"/>
      <c r="H13" s="64">
        <f>SUM(Jul!H13, Aug!H13, Sep!H13)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0</v>
      </c>
      <c r="D14" s="56">
        <f>SUM(Jul!D14, Aug!D14, Sep!D14)</f>
        <v>0</v>
      </c>
      <c r="E14" s="56">
        <f t="shared" si="0"/>
        <v>0</v>
      </c>
      <c r="F14" s="69" t="str">
        <f t="shared" si="1"/>
        <v/>
      </c>
      <c r="G14" s="58"/>
      <c r="H14" s="58">
        <f>SUM(Jul!H14, Aug!H14, Sep!H14)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0</v>
      </c>
      <c r="D15" s="62">
        <f>SUM(Jul!D15, Aug!D15, Sep!D15)</f>
        <v>0</v>
      </c>
      <c r="E15" s="62">
        <f t="shared" si="0"/>
        <v>0</v>
      </c>
      <c r="F15" s="63" t="str">
        <f t="shared" si="1"/>
        <v/>
      </c>
      <c r="G15" s="64"/>
      <c r="H15" s="64">
        <f>SUM(Jul!H15, Aug!H15, Sep!H15)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0</v>
      </c>
      <c r="D16" s="56">
        <f>SUM(Jul!D16, Aug!D16, Sep!D16)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SUM(Jul!H16, Aug!H16, Sep!H16)</f>
        <v>0</v>
      </c>
      <c r="I16" s="57" t="str">
        <f t="shared" ref="I16" si="5">IFERROR(H16/G16, "")</f>
        <v/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0" t="str" cm="1">
        <f t="array" ref="A1">portfolio</f>
        <v>MN8 Bond</v>
      </c>
      <c r="B1" s="90"/>
      <c r="C1" s="90"/>
      <c r="D1" s="91" t="s">
        <v>16</v>
      </c>
      <c r="E1" s="91"/>
      <c r="F1" s="91"/>
      <c r="G1" s="89" t="s">
        <v>17</v>
      </c>
      <c r="H1" s="89"/>
      <c r="I1" s="89"/>
    </row>
    <row r="2" spans="1:9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4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4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4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4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C4" activePane="bottomRight" state="frozen"/>
      <selection pane="bottomRight" activeCell="A10" sqref="A10:XFD10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4">
      <c r="A1" s="90" t="str" cm="1">
        <f t="array" ref="A1">portfolio</f>
        <v>MN8 Bond</v>
      </c>
      <c r="B1" s="90"/>
      <c r="C1" s="90"/>
      <c r="D1" s="91" t="s">
        <v>18</v>
      </c>
      <c r="E1" s="91"/>
      <c r="F1" s="91"/>
      <c r="G1" s="89" t="s">
        <v>19</v>
      </c>
      <c r="H1" s="89"/>
      <c r="I1" s="89"/>
      <c r="J1" s="4"/>
      <c r="K1" s="4"/>
    </row>
    <row r="2" spans="1:11" ht="15.4">
      <c r="A2" s="92" t="s">
        <v>2</v>
      </c>
      <c r="B2" s="92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4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7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7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4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C6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35</v>
      </c>
      <c r="E1" s="91"/>
      <c r="F1" s="91"/>
      <c r="G1" s="89" t="s">
        <v>36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.75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7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7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7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tabSelected="1" workbookViewId="0">
      <pane xSplit="2" ySplit="3" topLeftCell="G4" activePane="bottomRight" state="frozen"/>
      <selection pane="bottomRight" activeCell="J10" sqref="J10:K10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53</v>
      </c>
      <c r="E1" s="91"/>
      <c r="F1" s="91"/>
      <c r="G1" s="89" t="s">
        <v>54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6.1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7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7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30.7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100.3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.4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7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7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7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31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76</v>
      </c>
      <c r="E1" s="91"/>
      <c r="F1" s="91"/>
      <c r="G1" s="89" t="s">
        <v>77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78</v>
      </c>
      <c r="E1" s="91"/>
      <c r="F1" s="91"/>
      <c r="G1" s="89" t="s">
        <v>79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80</v>
      </c>
      <c r="E1" s="91"/>
      <c r="F1" s="91"/>
      <c r="G1" s="89" t="s">
        <v>81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82</v>
      </c>
      <c r="E1" s="91"/>
      <c r="F1" s="91"/>
      <c r="G1" s="89" t="s">
        <v>83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84</v>
      </c>
      <c r="E1" s="91"/>
      <c r="F1" s="91"/>
      <c r="G1" s="89" t="s">
        <v>85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86</v>
      </c>
      <c r="E1" s="91"/>
      <c r="F1" s="91"/>
      <c r="G1" s="89" t="s">
        <v>87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88</v>
      </c>
      <c r="E1" s="91"/>
      <c r="F1" s="91"/>
      <c r="G1" s="89" t="s">
        <v>89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90</v>
      </c>
      <c r="E1" s="91"/>
      <c r="F1" s="91"/>
      <c r="G1" s="89" t="s">
        <v>91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MN8 Bond</v>
      </c>
      <c r="B1" s="90"/>
      <c r="C1" s="90"/>
      <c r="D1" s="91" t="s">
        <v>92</v>
      </c>
      <c r="E1" s="91"/>
      <c r="F1" s="91"/>
      <c r="G1" s="89" t="s">
        <v>93</v>
      </c>
      <c r="H1" s="89"/>
      <c r="I1" s="89"/>
      <c r="J1" s="4"/>
      <c r="K1" s="4"/>
    </row>
    <row r="2" spans="1:11" ht="19.5" customHeight="1">
      <c r="A2" s="92" t="s">
        <v>2</v>
      </c>
      <c r="B2" s="9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E25" sqref="E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94</v>
      </c>
      <c r="B1" t="s">
        <v>95</v>
      </c>
    </row>
    <row r="3" spans="1:12">
      <c r="A3" t="s">
        <v>96</v>
      </c>
      <c r="B3" t="s">
        <v>3</v>
      </c>
      <c r="C3" t="s">
        <v>4</v>
      </c>
      <c r="D3" t="s">
        <v>97</v>
      </c>
      <c r="E3" s="2" t="s">
        <v>98</v>
      </c>
    </row>
    <row r="4" spans="1:12" ht="14.45">
      <c r="A4" s="46" t="s">
        <v>99</v>
      </c>
      <c r="B4" t="s">
        <v>100</v>
      </c>
      <c r="C4" s="45" t="s">
        <v>101</v>
      </c>
      <c r="D4" s="44" t="s">
        <v>102</v>
      </c>
      <c r="E4" t="s">
        <v>103</v>
      </c>
      <c r="G4" s="3"/>
    </row>
    <row r="5" spans="1:12" ht="14.45">
      <c r="A5" s="46" t="s">
        <v>104</v>
      </c>
      <c r="B5" t="s">
        <v>105</v>
      </c>
      <c r="C5" s="45" t="s">
        <v>101</v>
      </c>
      <c r="D5" s="44" t="s">
        <v>102</v>
      </c>
      <c r="E5" t="s">
        <v>103</v>
      </c>
      <c r="G5" s="3"/>
    </row>
    <row r="6" spans="1:12" ht="14.45">
      <c r="A6" s="46" t="s">
        <v>106</v>
      </c>
      <c r="B6" t="s">
        <v>107</v>
      </c>
      <c r="C6" s="45" t="s">
        <v>101</v>
      </c>
      <c r="D6" s="44" t="s">
        <v>102</v>
      </c>
      <c r="E6" t="s">
        <v>103</v>
      </c>
      <c r="G6" s="3"/>
    </row>
    <row r="7" spans="1:12" ht="12.75" customHeight="1">
      <c r="A7" s="46" t="s">
        <v>108</v>
      </c>
      <c r="B7" t="s">
        <v>109</v>
      </c>
      <c r="C7" s="45" t="s">
        <v>101</v>
      </c>
      <c r="D7" s="44" t="s">
        <v>102</v>
      </c>
      <c r="E7" t="s">
        <v>103</v>
      </c>
    </row>
    <row r="8" spans="1:12" ht="12.75" customHeight="1">
      <c r="A8" s="46" t="s">
        <v>110</v>
      </c>
      <c r="B8" t="s">
        <v>111</v>
      </c>
      <c r="C8" s="45" t="s">
        <v>101</v>
      </c>
      <c r="D8" s="44" t="s">
        <v>102</v>
      </c>
      <c r="E8" t="s">
        <v>103</v>
      </c>
    </row>
    <row r="9" spans="1:12" ht="12.75" customHeight="1">
      <c r="A9" s="46" t="s">
        <v>112</v>
      </c>
      <c r="B9" t="s">
        <v>113</v>
      </c>
      <c r="C9" s="45" t="s">
        <v>101</v>
      </c>
      <c r="D9" s="44" t="s">
        <v>102</v>
      </c>
      <c r="E9" t="s">
        <v>103</v>
      </c>
    </row>
    <row r="10" spans="1:12" ht="12.75" customHeight="1">
      <c r="A10" s="46" t="s">
        <v>114</v>
      </c>
      <c r="B10" t="s">
        <v>115</v>
      </c>
      <c r="C10" s="45" t="s">
        <v>101</v>
      </c>
      <c r="D10" s="44" t="s">
        <v>102</v>
      </c>
      <c r="E10" t="s">
        <v>103</v>
      </c>
      <c r="K10" s="41"/>
      <c r="L10" s="41"/>
    </row>
    <row r="11" spans="1:12" ht="12.75" customHeight="1">
      <c r="A11" s="46" t="s">
        <v>116</v>
      </c>
      <c r="B11" t="s">
        <v>117</v>
      </c>
      <c r="C11" s="45" t="s">
        <v>101</v>
      </c>
      <c r="D11" s="44" t="s">
        <v>102</v>
      </c>
      <c r="E11" t="s">
        <v>103</v>
      </c>
      <c r="K11" s="41"/>
      <c r="L11" s="41"/>
    </row>
    <row r="12" spans="1:12" ht="12.75" customHeight="1">
      <c r="A12" s="46" t="s">
        <v>118</v>
      </c>
      <c r="B12" t="s">
        <v>119</v>
      </c>
      <c r="C12" s="45" t="s">
        <v>101</v>
      </c>
      <c r="D12" s="44" t="s">
        <v>102</v>
      </c>
      <c r="E12" t="s">
        <v>103</v>
      </c>
      <c r="K12" s="41"/>
      <c r="L12" s="41"/>
    </row>
    <row r="13" spans="1:12" ht="12.75" customHeight="1">
      <c r="A13" s="46" t="s">
        <v>120</v>
      </c>
      <c r="B13" t="s">
        <v>121</v>
      </c>
      <c r="C13" s="45" t="s">
        <v>101</v>
      </c>
      <c r="D13" s="44" t="s">
        <v>102</v>
      </c>
      <c r="E13" t="s">
        <v>103</v>
      </c>
      <c r="K13" s="41"/>
      <c r="L13" s="41"/>
    </row>
    <row r="14" spans="1:12" ht="12.75" customHeight="1">
      <c r="A14" s="46" t="s">
        <v>122</v>
      </c>
      <c r="B14" t="s">
        <v>123</v>
      </c>
      <c r="C14" s="45" t="s">
        <v>101</v>
      </c>
      <c r="D14" s="44" t="s">
        <v>102</v>
      </c>
      <c r="E14" t="s">
        <v>103</v>
      </c>
      <c r="K14" s="41"/>
      <c r="L14" s="41"/>
    </row>
    <row r="15" spans="1:12" ht="12.75" customHeight="1">
      <c r="A15" s="46" t="s">
        <v>124</v>
      </c>
      <c r="B15" t="s">
        <v>125</v>
      </c>
      <c r="C15" s="45" t="s">
        <v>101</v>
      </c>
      <c r="D15" s="44" t="s">
        <v>102</v>
      </c>
      <c r="E15" t="s">
        <v>103</v>
      </c>
      <c r="K15" s="41"/>
      <c r="L15" s="41"/>
    </row>
    <row r="16" spans="1:12" ht="12.75" customHeight="1">
      <c r="A16" s="46" t="s">
        <v>126</v>
      </c>
      <c r="B16" t="s">
        <v>127</v>
      </c>
      <c r="C16" s="45" t="s">
        <v>101</v>
      </c>
      <c r="D16" s="44" t="s">
        <v>102</v>
      </c>
      <c r="E16" t="s">
        <v>103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[Libsys]</cp:lastModifiedBy>
  <cp:revision/>
  <dcterms:created xsi:type="dcterms:W3CDTF">2021-01-01T16:39:53Z</dcterms:created>
  <dcterms:modified xsi:type="dcterms:W3CDTF">2024-04-18T06:57:40Z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