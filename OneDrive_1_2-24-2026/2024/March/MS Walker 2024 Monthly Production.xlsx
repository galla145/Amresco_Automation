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New Format\"/>
    </mc:Choice>
  </mc:AlternateContent>
  <xr:revisionPtr revIDLastSave="11" documentId="13_ncr:1_{F538C9AA-1220-4320-A079-3BD654738AC3}" xr6:coauthVersionLast="47" xr6:coauthVersionMax="47" xr10:uidLastSave="{3775852B-017E-43B4-A626-AEA6E9933A73}"/>
  <bookViews>
    <workbookView xWindow="-28920" yWindow="7725" windowWidth="29040" windowHeight="15720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J2" i="4" l="1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<sst xmlns="http://schemas.openxmlformats.org/spreadsheetml/2006/main" count="239" uniqueCount="52">
  <si>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</si>
  <si>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</si>
  <si>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</si>
  <si>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</si>
  <si>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</si>
  <si>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</si>
  <si>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</si>
  <si>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</si>
  <si>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</si>
  <si>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</si>
  <si>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</si>
  <si>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</si>
  <si>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</si>
  <si>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</si>
  <si>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</si>
  <si>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</si>
  <si>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</si>
  <si>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</si>
  <si>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</si>
  <si>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</si>
  <si>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</si>
  <si>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</si>
  <si>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</si>
  <si>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</si>
  <si>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</si>
  <si>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</si>
  <si>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</si>
  <si>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</si>
  <si>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</si>
  <si>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</si>
  <si>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</si>
  <si>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</si>
  <si>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</si>
  <si>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</si>
  <si>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</si>
  <si>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</si>
  <si>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</si>
  <si>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</si>
  <si>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</si>
  <si>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</si>
  <si>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</si>
  <si>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</si>
  <si>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</si>
  <si>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</si>
  <si>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</si>
  <si>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MS Walker</t>
  </si>
  <si>
    <t>Site DAS Name</t>
  </si>
  <si>
    <t>Update</t>
  </si>
  <si>
    <t>DAS</t>
  </si>
  <si>
    <t>MA: MS Walker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</si>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</sst>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E16" sqref="E16:E17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71907</v>
      </c>
      <c r="D2" s="6">
        <f>SUM(D4:D60)</f>
        <v>0</v>
      </c>
      <c r="E2" s="6">
        <f>C2-D2</f>
        <v>71907</v>
      </c>
      <c r="F2" s="7">
        <f>IFERROR(E2/D2, 0)</f>
        <v>0</v>
      </c>
      <c r="G2" s="6">
        <f>SUM(G4:G60)</f>
        <v>0</v>
      </c>
      <c r="H2" s="8">
        <f>C2-G2</f>
        <v>71907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SUM('1st Qtr'!C4, '2nd Qtr'!C4, '3rd Qtr'!C4, '4th Qtr'!C4)</f>
        <v>71907</v>
      </c>
      <c r="D4" s="14">
        <f>SUM('1st Qtr'!D4, '2nd Qtr'!D4, '3rd Qtr'!D4, '4th Qtr'!D4)</f>
        <v>0</v>
      </c>
      <c r="E4" s="14">
        <f>IF(AND(ISNUMBER(C4),ISNUMBER(D4)), C4-D4, "")</f>
        <v>71907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71907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C34" sqref="C34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71907</v>
      </c>
      <c r="D2" s="6">
        <f>SUM(D4:D68)</f>
        <v>0</v>
      </c>
      <c r="E2" s="6">
        <f>C2-D2</f>
        <v>71907</v>
      </c>
      <c r="F2" s="7">
        <f>IFERROR(E2/D2, 0)</f>
        <v>0</v>
      </c>
      <c r="G2" s="6">
        <f>SUM(G4:G68)</f>
        <v>0</v>
      </c>
      <c r="H2" s="8">
        <f>C2-G2</f>
        <v>71907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SUM(Jan!C4, Feb!C4, Mar!C4)</f>
        <v>71907</v>
      </c>
      <c r="D4" s="14">
        <f>SUM(Jan!D4, Feb!D4, Mar!D4)</f>
        <v>0</v>
      </c>
      <c r="E4" s="14">
        <f>IF(AND(ISNUMBER(C4),ISNUMBER(D4)), C4-D4, "")</f>
        <v>71907</v>
      </c>
      <c r="F4" s="15" t="str">
        <f>IFERROR(E4/D4, "")</f>
        <v/>
      </c>
      <c r="G4" s="16">
        <f>SUM(Jan!G4, Feb!G4, Mar!G4)</f>
        <v>0</v>
      </c>
      <c r="H4" s="16">
        <f>SUM(Jan!H4, Feb!H4, Mar!H4)</f>
        <v>71907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F28" sqref="F28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tabSelected="1" workbookViewId="0">
      <pane ySplit="3" topLeftCell="A4" activePane="bottomLeft" state="frozen"/>
      <selection pane="bottomLeft" activeCell="G8" sqref="G8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9427</v>
      </c>
      <c r="D2" s="6">
        <f>SUM(D4:D89)</f>
        <v>0</v>
      </c>
      <c r="E2" s="6">
        <f>C2-D2</f>
        <v>9427</v>
      </c>
      <c r="F2" s="7">
        <f>IFERROR(E2/D2, 0)</f>
        <v>0</v>
      </c>
      <c r="G2" s="6">
        <f>SUM(G4:G89)</f>
        <v>0</v>
      </c>
      <c r="H2" s="8">
        <f>C2-G2</f>
        <v>9427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>
        <v>9427</v>
      </c>
      <c r="D4" s="14">
        <v>0</v>
      </c>
      <c r="E4" s="14">
        <f>IF(AND(ISNUMBER(C4),ISNUMBER(D4)), C4-D4, "")</f>
        <v>9427</v>
      </c>
      <c r="F4" s="15" t="str">
        <f>IFERROR(E4/D4, "")</f>
        <v/>
      </c>
      <c r="G4" s="16">
        <v>0</v>
      </c>
      <c r="H4" s="16">
        <f>IF(AND(ISNUMBER(C4),ISNUMBER(G4)), C4-G4, "")</f>
        <v>9427</v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C5" sqref="C5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27709</v>
      </c>
      <c r="D2" s="6">
        <f>SUM(D4:D85)</f>
        <v>0</v>
      </c>
      <c r="E2" s="6">
        <f>C2-D2</f>
        <v>27709</v>
      </c>
      <c r="F2" s="7">
        <f>IFERROR(E2/D2, 0)</f>
        <v>0</v>
      </c>
      <c r="G2" s="6">
        <f>SUM(G4:G85)</f>
        <v>0</v>
      </c>
      <c r="H2" s="8">
        <f>C2-G2</f>
        <v>27709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>
        <v>27709</v>
      </c>
      <c r="D4" s="14">
        <v>0</v>
      </c>
      <c r="E4" s="14">
        <f>IF(AND(ISNUMBER(C4),ISNUMBER(D4)), C4-D4, "")</f>
        <v>27709</v>
      </c>
      <c r="F4" s="15" t="str">
        <f>IFERROR(E4/D4, "")</f>
        <v/>
      </c>
      <c r="G4" s="16">
        <v>0</v>
      </c>
      <c r="H4" s="16">
        <f>IF(AND(ISNUMBER(C4),ISNUMBER(G4)), C4-G4, "")</f>
        <v>27709</v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F9" sqref="F9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34771</v>
      </c>
      <c r="D2" s="6">
        <f>SUM(D4:D90)</f>
        <v>0</v>
      </c>
      <c r="E2" s="6">
        <f>C2-D2</f>
        <v>34771</v>
      </c>
      <c r="F2" s="7">
        <f>IFERROR(E2/D2, 0)</f>
        <v>0</v>
      </c>
      <c r="G2" s="6">
        <f>SUM(G4:G90)</f>
        <v>0</v>
      </c>
      <c r="H2" s="8">
        <f>C2-G2</f>
        <v>34771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>
        <v>34771</v>
      </c>
      <c r="D4" s="14">
        <v>0</v>
      </c>
      <c r="E4" s="14">
        <f>IF(AND(ISNUMBER(C4),ISNUMBER(D4)), C4-D4, "")</f>
        <v>34771</v>
      </c>
      <c r="F4" s="15" t="str">
        <f>IFERROR(E4/D4, "")</f>
        <v/>
      </c>
      <c r="G4" s="16">
        <v>0</v>
      </c>
      <c r="H4" s="16">
        <f>IF(AND(ISNUMBER(C4),ISNUMBER(G4)), C4-G4, "")</f>
        <v>34771</v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F28" sqref="F28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6" sqref="E16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25">
      <c r="A4" t="s">
        <v>45</v>
      </c>
      <c r="B4" t="s">
        <v>49</v>
      </c>
      <c r="C4" s="4" t="s">
        <v>50</v>
      </c>
      <c r="E4" t="s">
        <v>51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2024-04-15T21:01:35Z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