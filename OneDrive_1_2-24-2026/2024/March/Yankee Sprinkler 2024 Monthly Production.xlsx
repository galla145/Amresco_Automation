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5" documentId="13_ncr:1_{B67FFFA2-4D45-46FA-910D-8EA1940F134F}" xr6:coauthVersionLast="47" xr6:coauthVersionMax="47" xr10:uidLastSave="{964B6FF4-2713-48EE-A01C-0FE5B06E482F}"/>
  <bookViews>
    <workbookView xWindow="-120" yWindow="-120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4" l="1"/>
  <c r="F5" i="34"/>
  <c r="F4" i="34"/>
  <c r="G4" i="34"/>
  <c r="H4" i="34"/>
  <c r="C4" i="34"/>
  <c r="D4" i="34"/>
  <c r="E4" i="4"/>
  <c r="E4" i="72"/>
  <c r="F4" i="72" s="1"/>
  <c r="E5" i="72"/>
  <c r="F5" i="72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D2" i="18"/>
  <c r="E5" i="30"/>
  <c r="F5" i="30" s="1"/>
  <c r="E4" i="18"/>
  <c r="F4" i="18" s="1"/>
  <c r="D2" i="34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<sst xmlns="http://schemas.openxmlformats.org/spreadsheetml/2006/main" count="247" uniqueCount="58">
  <si>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</si>
  <si>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</si>
  <si>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</si>
  <si>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</si>
  <si>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</si>
  <si>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</si>
  <si>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</si>
  <si>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</si>
  <si>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</si>
  <si>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</si>
  <si>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</si>
  <si>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</si>
  <si>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</si>
  <si>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</si>
  <si>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</si>
  <si>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</si>
  <si>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</si>
  <si>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</si>
  <si>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</si>
  <si>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</si>
  <si>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</si>
  <si>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</si>
  <si>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</si>
  <si>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</si>
  <si>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</si>
  <si>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 xml:space="preserve">1. Inverter 2 tripped offline on 02/03 at 16:00 &amp; back online on 02/06 at 14:25. </t>
  </si>
  <si>
    <t>1. SR080701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</si>
  <si>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</si>
  <si>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</si>
  <si>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</si>
  <si>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</si>
  <si>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</si>
  <si>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</si>
  <si>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</si>
  <si>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</si>
  <si>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</si>
  <si>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</si>
  <si>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</si>
  <si>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</si>
  <si>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</si>
  <si>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</si>
  <si>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</si>
  <si>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</si>
  <si>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</si>
  <si>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</si>
  <si>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</si>
  <si>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</si>
  <si>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</si>
  <si>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</si>
  <si>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</si>
  <si>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</si>
  <si>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</si>
  <si>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Yankee Sprinkler Phase 1</t>
  </si>
  <si>
    <t>Yankee Phase 1</t>
  </si>
  <si>
    <t>MA</t>
  </si>
  <si>
    <t>PowerTrack</t>
  </si>
  <si>
    <t>Yankee Sprinkler Phase 2</t>
  </si>
  <si>
    <t>Yankee 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</si>
</sst>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I4" sqref="I4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ALIGNED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SUM(C4:C77)</f>
        <v>41603.64</v>
      </c>
      <c r="D2" s="5">
        <f>SUM(D4:D77)</f>
        <v>0</v>
      </c>
      <c r="E2" s="5">
        <f>C2-D2</f>
        <v>41603.64</v>
      </c>
      <c r="F2" s="6">
        <f>IFERROR(E2/D2, 0)</f>
        <v>0</v>
      </c>
      <c r="G2" s="5">
        <f>SUM(G4:G77)</f>
        <v>40231.33</v>
      </c>
      <c r="H2" s="7">
        <f>C2-G2</f>
        <v>1372.3099999999977</v>
      </c>
      <c r="I2" s="6">
        <f>IFERROR(H2/G2, 0)</f>
        <v>3.4110480563282336E-2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3" t="str" cm="1">
        <f t="array" ref="A4:A5">Sites[Site]</f>
        <v>Yankee Phase 1</v>
      </c>
      <c r="B4" s="30" t="str" cm="1">
        <f t="array" ref="B4:B5">Sites[State]</f>
        <v>MA</v>
      </c>
      <c r="C4" s="23">
        <f>SUM('1st Qtr'!C4, '2nd Qtr'!C4, '3rd Qtr'!C4, '4th Qtr'!C4)</f>
        <v>27704.84</v>
      </c>
      <c r="D4" s="12">
        <f>SUM('1st Qtr'!D4, '2nd Qtr'!D4, '3rd Qtr'!D4, '4th Qtr'!D4)</f>
        <v>0</v>
      </c>
      <c r="E4" s="12">
        <f>IF(AND(ISNUMBER(C4),ISNUMBER(D4)), C4-D4, "")</f>
        <v>27704.84</v>
      </c>
      <c r="F4" s="13" t="str">
        <f>IFERROR(E4/D4, "")</f>
        <v/>
      </c>
      <c r="G4" s="14">
        <f>SUM('1st Qtr'!G4, '2nd Qtr'!G4, '3rd Qtr'!G4, '4th Qtr'!G4)</f>
        <v>40231.33</v>
      </c>
      <c r="H4" s="14">
        <f>SUM('1st Qtr'!H4, '2nd Qtr'!H4, '3rd Qtr'!H4, '4th Qtr'!H4)</f>
        <v>-12526.49</v>
      </c>
      <c r="I4" s="15">
        <f>IFERROR(H4/G4, "")</f>
        <v>-0.31136156821064576</v>
      </c>
    </row>
    <row r="5" spans="1:9" ht="15.75">
      <c r="A5" s="28" t="str">
        <v>Yankee Phase 2</v>
      </c>
      <c r="B5" s="28" t="str">
        <v>MA</v>
      </c>
      <c r="C5" s="11">
        <f>SUM(Jan!C5, Feb!C5, Mar!C5)</f>
        <v>13898.8</v>
      </c>
      <c r="D5" s="17">
        <f>SUM(Jan!D5, Feb!D5, Mar!D5)</f>
        <v>0</v>
      </c>
      <c r="E5" s="17">
        <f t="shared" ref="E5" si="0">IF(AND(ISNUMBER(C5),ISNUMBER(D5)), C5-D5, "")</f>
        <v>13898.8</v>
      </c>
      <c r="F5" s="18" t="str">
        <f>IFERROR(E5/D5, "")</f>
        <v/>
      </c>
      <c r="G5" s="19">
        <f>SUM('1st Qtr'!G5, '2nd Qtr'!G5, '3rd Qtr'!G5, '4th Qtr'!G5)</f>
        <v>0</v>
      </c>
      <c r="H5" s="19">
        <f>SUM(Jan!H5, Feb!H5, Mar!H5)</f>
        <v>13898.8</v>
      </c>
      <c r="I5" s="18" t="str">
        <f>IFERROR(H5/G5, "")</f>
        <v/>
      </c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ALIGNED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SUM(C4:C77)</f>
        <v>41603.64</v>
      </c>
      <c r="D2" s="5">
        <f>SUM(D4:D77)</f>
        <v>0</v>
      </c>
      <c r="E2" s="5">
        <f>C2-D2</f>
        <v>41603.64</v>
      </c>
      <c r="F2" s="6">
        <f>IFERROR(E2/D2, 0)</f>
        <v>0</v>
      </c>
      <c r="G2" s="5">
        <f>SUM(G4:G77)</f>
        <v>40231.33</v>
      </c>
      <c r="H2" s="7">
        <f>C2-G2</f>
        <v>1372.3099999999977</v>
      </c>
      <c r="I2" s="6">
        <f>IFERROR(H2/G2, 0)</f>
        <v>3.4110480563282336E-2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SUM(Jan!C4, Feb!C4, Mar!C4)</f>
        <v>27704.84</v>
      </c>
      <c r="D4" s="12">
        <f>SUM(Jan!D4, Feb!D4, Mar!D4)</f>
        <v>0</v>
      </c>
      <c r="E4" s="12">
        <f>IF(AND(ISNUMBER(C4),ISNUMBER(D4)), C4-D4, "")</f>
        <v>27704.84</v>
      </c>
      <c r="F4" s="13" t="str">
        <f>IFERROR(E4/D4, "")</f>
        <v/>
      </c>
      <c r="G4" s="14">
        <f>SUM(Jan!G4, Feb!G4, Mar!G4)</f>
        <v>40231.33</v>
      </c>
      <c r="H4" s="14">
        <f>SUM(Jan!H4, Feb!H4, Mar!H4)</f>
        <v>-12526.49</v>
      </c>
      <c r="I4" s="15">
        <f>IFERROR(H4/G4, "")</f>
        <v>-0.31136156821064576</v>
      </c>
    </row>
    <row r="5" spans="1:9" ht="15.75">
      <c r="A5" s="16" t="str">
        <v>Yankee Phase 2</v>
      </c>
      <c r="B5" s="10" t="str">
        <v>MA</v>
      </c>
      <c r="C5" s="11">
        <f>SUM(Jan!C5, Feb!C5, Mar!C5)</f>
        <v>13898.8</v>
      </c>
      <c r="D5" s="17">
        <f>SUM(Jan!D5, Feb!D5, Mar!D5)</f>
        <v>0</v>
      </c>
      <c r="E5" s="17">
        <f t="shared" ref="E5" si="0">IF(AND(ISNUMBER(C5),ISNUMBER(D5)), C5-D5, "")</f>
        <v>13898.8</v>
      </c>
      <c r="F5" s="18" t="str">
        <f>IFERROR(E5/D5, "")</f>
        <v/>
      </c>
      <c r="G5" s="19">
        <f>SUM(Jan!G5, Feb!G5, Mar!G5)</f>
        <v>0</v>
      </c>
      <c r="H5" s="19">
        <f>SUM(Jan!H5, Feb!H5, Mar!H5)</f>
        <v>13898.8</v>
      </c>
      <c r="I5" s="18" t="str">
        <f>IFERROR(H5/G5, "")</f>
        <v/>
      </c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ALIGNED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5.75">
      <c r="A5" s="16" t="str">
        <v>Yankee Phase 2</v>
      </c>
      <c r="B5" s="10" t="str">
        <v>MA</v>
      </c>
      <c r="C5" s="11">
        <f>SUM(Apr!C5, May!C5, Jun!C5)</f>
        <v>0</v>
      </c>
      <c r="D5" s="17">
        <f>SUM(Apr!D5, May!D5, Jun!D5)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SUM(Apr!H5, May!H5, Jun!H5)</f>
        <v>0</v>
      </c>
      <c r="I5" s="18" t="str">
        <f>IFERROR(H5/G5, "")</f>
        <v/>
      </c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ALIGNED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>
      <c r="A5" s="16" t="str">
        <v>Yankee Phase 2</v>
      </c>
      <c r="B5" s="10" t="str">
        <v>MA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ALIGNED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>
      <c r="A5" s="16" t="str">
        <v>Yankee Phase 2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">
      <c r="A6" s="20"/>
      <c r="B6" s="10"/>
      <c r="C6" s="42"/>
      <c r="D6" s="17"/>
      <c r="E6" s="17"/>
      <c r="F6" s="18"/>
      <c r="G6" s="19"/>
      <c r="H6" s="19"/>
      <c r="I6" s="18"/>
    </row>
    <row r="7" spans="1:9" ht="15">
      <c r="A7" s="20"/>
      <c r="B7" s="10"/>
      <c r="C7" s="42"/>
      <c r="D7" s="17"/>
      <c r="E7" s="17"/>
      <c r="F7" s="18"/>
      <c r="G7" s="19"/>
      <c r="H7" s="19"/>
      <c r="I7" s="18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G4" activePane="bottomRight" state="frozen"/>
      <selection pane="bottomRight" activeCell="I4" sqref="I4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ALIGNED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SUM(C4:C76)</f>
        <v>5686.9</v>
      </c>
      <c r="D2" s="5">
        <f>SUM(D4:D76)</f>
        <v>0</v>
      </c>
      <c r="E2" s="5">
        <f>C2-D2</f>
        <v>5686.9</v>
      </c>
      <c r="F2" s="6">
        <f>IFERROR(E2/D2, 0)</f>
        <v>0</v>
      </c>
      <c r="G2" s="5">
        <f>SUM(G4:G76)</f>
        <v>9297.5300000000007</v>
      </c>
      <c r="H2" s="7">
        <f>C2-G2</f>
        <v>-3610.630000000001</v>
      </c>
      <c r="I2" s="6">
        <f>IFERROR(H2/G2, 0)</f>
        <v>-0.38834292548666161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43" t="str" cm="1">
        <f t="array" ref="A4:A5">Sites[Site]</f>
        <v>Yankee Phase 1</v>
      </c>
      <c r="B4" s="27" t="str" cm="1">
        <f t="array" ref="B4:B5">Sites[State]</f>
        <v>MA</v>
      </c>
      <c r="C4" s="23">
        <v>3764</v>
      </c>
      <c r="D4" s="12">
        <v>0</v>
      </c>
      <c r="E4" s="12">
        <f>IF(AND(ISNUMBER(C4),ISNUMBER(D4)), C4-D4, "")</f>
        <v>3764</v>
      </c>
      <c r="F4" s="12" t="str">
        <f>IFERROR(E4/D4, "")</f>
        <v/>
      </c>
      <c r="G4" s="14">
        <v>9297.5300000000007</v>
      </c>
      <c r="H4" s="14">
        <f>IF(AND(ISNUMBER(C4),ISNUMBER(G4)), C4-G4, "")</f>
        <v>-5533.5300000000007</v>
      </c>
      <c r="I4" s="15">
        <f>IFERROR(H4/G4, "")</f>
        <v>-0.59516129552687658</v>
      </c>
      <c r="J4" s="39" t="s">
        <v>22</v>
      </c>
      <c r="K4" s="39" t="s">
        <v>22</v>
      </c>
    </row>
    <row r="5" spans="1:11" ht="15.75">
      <c r="A5" s="28" t="str">
        <v>Yankee Phase 2</v>
      </c>
      <c r="B5" s="29" t="str">
        <v>MA</v>
      </c>
      <c r="C5" s="11">
        <v>1922.9</v>
      </c>
      <c r="D5" s="17">
        <v>0</v>
      </c>
      <c r="E5" s="17">
        <f t="shared" ref="E5" si="0">IF(AND(ISNUMBER(C5),ISNUMBER(D5)), C5-D5, "")</f>
        <v>1922.9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1922.9</v>
      </c>
      <c r="I5" s="18" t="str">
        <f t="shared" ref="I5" si="3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L9" sqref="L9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ALIGNED</v>
      </c>
      <c r="B1" s="46"/>
      <c r="C1" s="46"/>
      <c r="D1" s="47" t="s">
        <v>23</v>
      </c>
      <c r="E1" s="47"/>
      <c r="F1" s="47"/>
      <c r="G1" s="45" t="s">
        <v>24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SUM(C4:C77)</f>
        <v>12645.24</v>
      </c>
      <c r="D2" s="5">
        <f>SUM(D4:D77)</f>
        <v>0</v>
      </c>
      <c r="E2" s="5">
        <f>C2-D2</f>
        <v>12645.24</v>
      </c>
      <c r="F2" s="6">
        <f>IFERROR(E2/D2, 0)</f>
        <v>0</v>
      </c>
      <c r="G2" s="5">
        <f>SUM(G4:G77)</f>
        <v>12570</v>
      </c>
      <c r="H2" s="7">
        <f>C2-G2</f>
        <v>75.239999999999782</v>
      </c>
      <c r="I2" s="6">
        <f>IFERROR(H2/G2, 0)</f>
        <v>5.9856801909307705E-3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43" t="str" cm="1">
        <f t="array" ref="A4:A5">Sites[Site]</f>
        <v>Yankee Phase 1</v>
      </c>
      <c r="B4" s="27" t="str" cm="1">
        <f t="array" ref="B4:B5">Sites[State]</f>
        <v>MA</v>
      </c>
      <c r="C4" s="23">
        <v>8538.14</v>
      </c>
      <c r="D4" s="12">
        <v>0</v>
      </c>
      <c r="E4" s="12">
        <f>IF(AND(ISNUMBER(C4),ISNUMBER(D4)), C4-D4, "")</f>
        <v>8538.14</v>
      </c>
      <c r="F4" s="12" t="str">
        <f>IFERROR(E4/D4, "")</f>
        <v/>
      </c>
      <c r="G4" s="14">
        <v>12570</v>
      </c>
      <c r="H4" s="14">
        <f>IF(AND(ISNUMBER(C4),ISNUMBER(G4)), C4-G4, "")</f>
        <v>-4031.8600000000006</v>
      </c>
      <c r="I4" s="15">
        <f>IFERROR(H4/G4, "")</f>
        <v>-0.32075258552108199</v>
      </c>
      <c r="J4" s="39"/>
      <c r="K4" s="39"/>
    </row>
    <row r="5" spans="1:11" ht="15.75">
      <c r="A5" s="28" t="str">
        <v>Yankee Phase 2</v>
      </c>
      <c r="B5" s="29" t="str">
        <v>MA</v>
      </c>
      <c r="C5" s="11">
        <v>4107.1000000000004</v>
      </c>
      <c r="D5" s="17">
        <v>0</v>
      </c>
      <c r="E5" s="17">
        <f t="shared" ref="E5" si="0">IF(AND(ISNUMBER(C5),ISNUMBER(D5)), C5-D5, "")</f>
        <v>4107.1000000000004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4107.1000000000004</v>
      </c>
      <c r="I5" s="18" t="str">
        <f t="shared" ref="I5" si="3">IFERROR(H5/G5, "")</f>
        <v/>
      </c>
      <c r="J5" s="40" t="s">
        <v>25</v>
      </c>
      <c r="K5" s="40" t="s">
        <v>26</v>
      </c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J5" sqref="J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ALIGNED</v>
      </c>
      <c r="B1" s="46"/>
      <c r="C1" s="46"/>
      <c r="D1" s="47" t="s">
        <v>27</v>
      </c>
      <c r="E1" s="47"/>
      <c r="F1" s="47"/>
      <c r="G1" s="45" t="s">
        <v>28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SUM(C4:C77)</f>
        <v>23271.5</v>
      </c>
      <c r="D2" s="5">
        <f>SUM(D4:D77)</f>
        <v>0</v>
      </c>
      <c r="E2" s="5">
        <f>C2-D2</f>
        <v>23271.5</v>
      </c>
      <c r="F2" s="6">
        <f>IFERROR(E2/D2, 0)</f>
        <v>0</v>
      </c>
      <c r="G2" s="5">
        <f>SUM(G4:G77)</f>
        <v>18363.8</v>
      </c>
      <c r="H2" s="7">
        <f>C2-G2</f>
        <v>4907.7000000000007</v>
      </c>
      <c r="I2" s="6">
        <f>IFERROR(H2/G2, 0)</f>
        <v>0.26724860867576433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15402.7</v>
      </c>
      <c r="D4" s="12">
        <v>0</v>
      </c>
      <c r="E4" s="12">
        <f t="shared" ref="E4:E5" si="0">IF(AND(ISNUMBER(C4),ISNUMBER(D4)), C4-D4, "")</f>
        <v>15402.7</v>
      </c>
      <c r="F4" s="12" t="str">
        <f>IFERROR(E4/D4, "")</f>
        <v/>
      </c>
      <c r="G4" s="14">
        <v>18363.8</v>
      </c>
      <c r="H4" s="14">
        <f>IF(AND(ISNUMBER(C4),ISNUMBER(G4)), C4-G4, "")</f>
        <v>-2961.0999999999985</v>
      </c>
      <c r="I4" s="15">
        <f>IFERROR(H4/G4, "")</f>
        <v>-0.16124658295124095</v>
      </c>
      <c r="J4" s="39"/>
      <c r="K4" s="39"/>
    </row>
    <row r="5" spans="1:11" ht="15.75">
      <c r="A5" s="28" t="str">
        <v>Yankee Phase 2</v>
      </c>
      <c r="B5" s="29" t="str">
        <v>MA</v>
      </c>
      <c r="C5" s="11">
        <v>7868.8</v>
      </c>
      <c r="D5" s="17">
        <v>0</v>
      </c>
      <c r="E5" s="17">
        <f t="shared" si="0"/>
        <v>7868.8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7868.8</v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I4:I77">
    <cfRule type="cellIs" dxfId="22" priority="1" stopIfTrue="1" operator="lessThanOrEqual">
      <formula>-0.1</formula>
    </cfRule>
    <cfRule type="expression" dxfId="21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ALIGNED</v>
      </c>
      <c r="B1" s="46"/>
      <c r="C1" s="46"/>
      <c r="D1" s="47" t="s">
        <v>29</v>
      </c>
      <c r="E1" s="47"/>
      <c r="F1" s="47"/>
      <c r="G1" s="45" t="s">
        <v>30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ALIGNED</v>
      </c>
      <c r="B1" s="46"/>
      <c r="C1" s="46"/>
      <c r="D1" s="47" t="s">
        <v>31</v>
      </c>
      <c r="E1" s="47"/>
      <c r="F1" s="47"/>
      <c r="G1" s="45" t="s">
        <v>32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ALIGNED</v>
      </c>
      <c r="B1" s="46"/>
      <c r="C1" s="46"/>
      <c r="D1" s="47" t="s">
        <v>33</v>
      </c>
      <c r="E1" s="47"/>
      <c r="F1" s="47"/>
      <c r="G1" s="45" t="s">
        <v>34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ALIGNED</v>
      </c>
      <c r="B1" s="46"/>
      <c r="C1" s="46"/>
      <c r="D1" s="47" t="s">
        <v>35</v>
      </c>
      <c r="E1" s="47"/>
      <c r="F1" s="47"/>
      <c r="G1" s="45" t="s">
        <v>36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ALIGNED</v>
      </c>
      <c r="B1" s="46"/>
      <c r="C1" s="46"/>
      <c r="D1" s="47" t="s">
        <v>37</v>
      </c>
      <c r="E1" s="47"/>
      <c r="F1" s="47"/>
      <c r="G1" s="45" t="s">
        <v>38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ALIGNED</v>
      </c>
      <c r="B1" s="46"/>
      <c r="C1" s="46"/>
      <c r="D1" s="47" t="s">
        <v>39</v>
      </c>
      <c r="E1" s="47"/>
      <c r="F1" s="47"/>
      <c r="G1" s="45" t="s">
        <v>40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ALIGNED</v>
      </c>
      <c r="B1" s="46"/>
      <c r="C1" s="46"/>
      <c r="D1" s="47" t="s">
        <v>41</v>
      </c>
      <c r="E1" s="47"/>
      <c r="F1" s="47"/>
      <c r="G1" s="45" t="s">
        <v>42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ALIGNED</v>
      </c>
      <c r="B1" s="46"/>
      <c r="C1" s="46"/>
      <c r="D1" s="47" t="s">
        <v>43</v>
      </c>
      <c r="E1" s="47"/>
      <c r="F1" s="47"/>
      <c r="G1" s="45" t="s">
        <v>44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25" sqref="J25"/>
      <selection pane="bottomLeft" activeCell="H30" sqref="H30"/>
      <selection pane="topRight" activeCell="H30" sqref="H3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ALIGNED</v>
      </c>
      <c r="B1" s="46"/>
      <c r="C1" s="46"/>
      <c r="D1" s="47" t="s">
        <v>45</v>
      </c>
      <c r="E1" s="47"/>
      <c r="F1" s="47"/>
      <c r="G1" s="45" t="s">
        <v>46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B12" sqref="B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5">
      <c r="A4" t="s">
        <v>52</v>
      </c>
      <c r="B4" t="s">
        <v>53</v>
      </c>
      <c r="C4" t="s">
        <v>54</v>
      </c>
      <c r="E4" t="s">
        <v>55</v>
      </c>
      <c r="G4" s="3"/>
    </row>
    <row r="5" spans="1:12" ht="15">
      <c r="A5" t="s">
        <v>56</v>
      </c>
      <c r="B5" t="s">
        <v>57</v>
      </c>
      <c r="C5" t="s">
        <v>54</v>
      </c>
      <c r="E5" t="s">
        <v>55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2024-04-15T21:52:26Z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