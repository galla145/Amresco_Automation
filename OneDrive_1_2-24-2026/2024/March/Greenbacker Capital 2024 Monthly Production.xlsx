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data\"/>
    </mc:Choice>
  </mc:AlternateContent>
  <xr:revisionPtr revIDLastSave="134" documentId="13_ncr:1_{3B69D4ED-E3F2-49A8-9E82-D563D0B0958B}" xr6:coauthVersionLast="47" xr6:coauthVersionMax="47" xr10:uidLastSave="{6B420CB3-C6B8-4541-95E2-C87AE382FBFE}"/>
  <bookViews>
    <workbookView xWindow="-93" yWindow="-93" windowWidth="19386" windowHeight="1146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4" l="1"/>
  <c r="D27" i="34"/>
  <c r="D28" i="34"/>
  <c r="D29" i="34"/>
  <c r="D30" i="34"/>
  <c r="D31" i="34"/>
  <c r="D32" i="34"/>
  <c r="D33" i="34"/>
  <c r="C33" i="34"/>
  <c r="E33" i="34" s="1"/>
  <c r="F33" i="34" s="1"/>
  <c r="C26" i="34"/>
  <c r="E26" i="34" s="1"/>
  <c r="F26" i="34" s="1"/>
  <c r="C27" i="34"/>
  <c r="E27" i="34" s="1"/>
  <c r="F27" i="34" s="1"/>
  <c r="C28" i="34"/>
  <c r="E28" i="34" s="1"/>
  <c r="F28" i="34" s="1"/>
  <c r="C29" i="34"/>
  <c r="C30" i="34"/>
  <c r="C31" i="34"/>
  <c r="E31" i="34" s="1"/>
  <c r="F31" i="34" s="1"/>
  <c r="C32" i="34"/>
  <c r="E32" i="34" s="1"/>
  <c r="F32" i="34" s="1"/>
  <c r="I26" i="18"/>
  <c r="I27" i="18"/>
  <c r="I28" i="18"/>
  <c r="I29" i="18"/>
  <c r="I30" i="18"/>
  <c r="I31" i="18"/>
  <c r="I32" i="18"/>
  <c r="I33" i="18"/>
  <c r="H26" i="18"/>
  <c r="H27" i="18"/>
  <c r="H28" i="18"/>
  <c r="H29" i="18"/>
  <c r="H30" i="18"/>
  <c r="H31" i="18"/>
  <c r="H32" i="18"/>
  <c r="H33" i="18"/>
  <c r="E26" i="18"/>
  <c r="F26" i="18" s="1"/>
  <c r="E27" i="18"/>
  <c r="F27" i="18" s="1"/>
  <c r="E28" i="18"/>
  <c r="F28" i="18" s="1"/>
  <c r="E29" i="18"/>
  <c r="F29" i="18" s="1"/>
  <c r="E30" i="18"/>
  <c r="F30" i="18" s="1"/>
  <c r="E31" i="18"/>
  <c r="F31" i="18" s="1"/>
  <c r="E32" i="18"/>
  <c r="F32" i="18" s="1"/>
  <c r="E33" i="18"/>
  <c r="F33" i="18" s="1"/>
  <c r="D26" i="18"/>
  <c r="D27" i="18"/>
  <c r="D28" i="18"/>
  <c r="D29" i="18"/>
  <c r="D30" i="18"/>
  <c r="D31" i="18"/>
  <c r="D32" i="18"/>
  <c r="D33" i="18"/>
  <c r="C26" i="18"/>
  <c r="C27" i="18"/>
  <c r="C28" i="18"/>
  <c r="C29" i="18"/>
  <c r="C30" i="18"/>
  <c r="C31" i="18"/>
  <c r="C32" i="18"/>
  <c r="C33" i="18"/>
  <c r="D33" i="1"/>
  <c r="G26" i="1"/>
  <c r="G26" i="34" s="1"/>
  <c r="G27" i="1"/>
  <c r="G27" i="34" s="1"/>
  <c r="G28" i="1"/>
  <c r="G28" i="34" s="1"/>
  <c r="G29" i="1"/>
  <c r="G29" i="34" s="1"/>
  <c r="G30" i="1"/>
  <c r="G30" i="34" s="1"/>
  <c r="G31" i="1"/>
  <c r="G31" i="34" s="1"/>
  <c r="G32" i="1"/>
  <c r="G32" i="34" s="1"/>
  <c r="G33" i="1"/>
  <c r="G33" i="34" s="1"/>
  <c r="C26" i="1"/>
  <c r="C27" i="1"/>
  <c r="C28" i="1"/>
  <c r="C29" i="1"/>
  <c r="C30" i="1"/>
  <c r="C31" i="1"/>
  <c r="C32" i="1"/>
  <c r="C33" i="1"/>
  <c r="E33" i="1" s="1"/>
  <c r="F33" i="1" s="1"/>
  <c r="D26" i="1"/>
  <c r="D27" i="1"/>
  <c r="D28" i="1"/>
  <c r="D29" i="1"/>
  <c r="E29" i="1" s="1"/>
  <c r="F29" i="1" s="1"/>
  <c r="D30" i="1"/>
  <c r="E30" i="1" s="1"/>
  <c r="F30" i="1" s="1"/>
  <c r="D31" i="1"/>
  <c r="D32" i="1"/>
  <c r="D25" i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H17" i="3"/>
  <c r="E32" i="1" l="1"/>
  <c r="F32" i="1" s="1"/>
  <c r="E31" i="1"/>
  <c r="F31" i="1" s="1"/>
  <c r="E26" i="1"/>
  <c r="F26" i="1" s="1"/>
  <c r="E30" i="34"/>
  <c r="F30" i="34" s="1"/>
  <c r="E29" i="34"/>
  <c r="F29" i="34" s="1"/>
  <c r="E28" i="1"/>
  <c r="F28" i="1" s="1"/>
  <c r="E27" i="1"/>
  <c r="F27" i="1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I8" i="20" l="1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16" i="3"/>
  <c r="I17" i="3"/>
  <c r="I23" i="3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H32" i="4"/>
  <c r="I32" i="4" s="1"/>
  <c r="H33" i="4"/>
  <c r="I33" i="4" s="1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18" i="3"/>
  <c r="I18" i="3" s="1"/>
  <c r="H19" i="3"/>
  <c r="I19" i="3" s="1"/>
  <c r="H20" i="3"/>
  <c r="I20" i="3" s="1"/>
  <c r="H21" i="3"/>
  <c r="I21" i="3" s="1"/>
  <c r="H22" i="3"/>
  <c r="I22" i="3" s="1"/>
  <c r="H23" i="3"/>
  <c r="H24" i="3"/>
  <c r="I24" i="3" s="1"/>
  <c r="H25" i="3"/>
  <c r="I25" i="3" s="1"/>
  <c r="H26" i="3"/>
  <c r="I26" i="3" s="1"/>
  <c r="H27" i="3"/>
  <c r="H28" i="3"/>
  <c r="H29" i="3"/>
  <c r="H30" i="3"/>
  <c r="H31" i="3"/>
  <c r="I31" i="3" s="1"/>
  <c r="H32" i="3"/>
  <c r="I32" i="3" s="1"/>
  <c r="H33" i="3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21" i="3"/>
  <c r="F25" i="3"/>
  <c r="F26" i="3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E22" i="3"/>
  <c r="F22" i="3" s="1"/>
  <c r="E23" i="3"/>
  <c r="F23" i="3" s="1"/>
  <c r="E24" i="3"/>
  <c r="F24" i="3" s="1"/>
  <c r="E25" i="3"/>
  <c r="E26" i="3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29" i="72"/>
  <c r="E30" i="72"/>
  <c r="F30" i="72" s="1"/>
  <c r="E31" i="72"/>
  <c r="F31" i="72" s="1"/>
  <c r="E32" i="72"/>
  <c r="E33" i="72"/>
  <c r="F33" i="72" s="1"/>
  <c r="H32" i="72"/>
  <c r="I32" i="72" s="1"/>
  <c r="H33" i="72"/>
  <c r="I33" i="72" s="1"/>
  <c r="I26" i="72"/>
  <c r="I27" i="72"/>
  <c r="H26" i="72"/>
  <c r="H27" i="72"/>
  <c r="H28" i="72"/>
  <c r="I28" i="72" s="1"/>
  <c r="H29" i="72"/>
  <c r="I29" i="72" s="1"/>
  <c r="H30" i="72"/>
  <c r="I30" i="72" s="1"/>
  <c r="H31" i="72"/>
  <c r="I31" i="72" s="1"/>
  <c r="F25" i="72"/>
  <c r="F26" i="72"/>
  <c r="F27" i="72"/>
  <c r="F28" i="72"/>
  <c r="F29" i="72"/>
  <c r="F32" i="72"/>
  <c r="E13" i="72"/>
  <c r="F13" i="72"/>
  <c r="H13" i="72"/>
  <c r="I13" i="72"/>
  <c r="E26" i="72"/>
  <c r="E27" i="72"/>
  <c r="E28" i="72"/>
  <c r="H31" i="34" l="1"/>
  <c r="I31" i="34" s="1"/>
  <c r="H31" i="1"/>
  <c r="I31" i="1" s="1"/>
  <c r="I31" i="4"/>
  <c r="H32" i="34"/>
  <c r="I32" i="34" s="1"/>
  <c r="H32" i="1"/>
  <c r="I32" i="1" s="1"/>
  <c r="H26" i="1"/>
  <c r="I26" i="1" s="1"/>
  <c r="H26" i="34"/>
  <c r="I26" i="34" s="1"/>
  <c r="H30" i="34"/>
  <c r="I30" i="34" s="1"/>
  <c r="H30" i="1"/>
  <c r="I30" i="1" s="1"/>
  <c r="I30" i="3"/>
  <c r="H29" i="34"/>
  <c r="I29" i="34" s="1"/>
  <c r="H29" i="1"/>
  <c r="I29" i="1" s="1"/>
  <c r="I29" i="3"/>
  <c r="H28" i="34"/>
  <c r="I28" i="34" s="1"/>
  <c r="H28" i="1"/>
  <c r="I28" i="1" s="1"/>
  <c r="I28" i="3"/>
  <c r="H33" i="34"/>
  <c r="I33" i="34" s="1"/>
  <c r="H33" i="1"/>
  <c r="I33" i="1" s="1"/>
  <c r="I33" i="3"/>
  <c r="H27" i="34"/>
  <c r="I27" i="34" s="1"/>
  <c r="H27" i="1"/>
  <c r="I27" i="1" s="1"/>
  <c r="I27" i="3"/>
  <c r="C18" i="29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E17" i="18" s="1"/>
  <c r="F17" i="18" s="1"/>
  <c r="D17" i="18"/>
  <c r="H17" i="18"/>
  <c r="I17" i="18"/>
  <c r="C18" i="18"/>
  <c r="D18" i="18"/>
  <c r="H18" i="18"/>
  <c r="I18" i="18" s="1"/>
  <c r="C19" i="18"/>
  <c r="D19" i="18"/>
  <c r="H19" i="18"/>
  <c r="I19" i="18" s="1"/>
  <c r="C20" i="18"/>
  <c r="E20" i="18" s="1"/>
  <c r="F20" i="18" s="1"/>
  <c r="D20" i="18"/>
  <c r="H20" i="18"/>
  <c r="I20" i="18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E24" i="34" l="1"/>
  <c r="E21" i="34"/>
  <c r="E23" i="34"/>
  <c r="F23" i="34" s="1"/>
  <c r="E20" i="34"/>
  <c r="E19" i="34"/>
  <c r="F19" i="34" s="1"/>
  <c r="E25" i="34"/>
  <c r="F25" i="34" s="1"/>
  <c r="E22" i="34"/>
  <c r="F22" i="34" s="1"/>
  <c r="E23" i="29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E18" i="34"/>
  <c r="F18" i="34" s="1"/>
  <c r="F21" i="34"/>
  <c r="F20" i="34"/>
  <c r="F24" i="34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25" i="1"/>
  <c r="G25" i="1"/>
  <c r="G25" i="34" s="1"/>
  <c r="C25" i="30"/>
  <c r="E25" i="30" s="1"/>
  <c r="F25" i="30" s="1"/>
  <c r="D25" i="30"/>
  <c r="H25" i="30"/>
  <c r="I25" i="30" s="1"/>
  <c r="C18" i="30"/>
  <c r="D18" i="30"/>
  <c r="H18" i="30"/>
  <c r="I18" i="30" s="1"/>
  <c r="C19" i="30"/>
  <c r="E19" i="30" s="1"/>
  <c r="F19" i="30" s="1"/>
  <c r="D19" i="30"/>
  <c r="H19" i="30"/>
  <c r="I19" i="30" s="1"/>
  <c r="C20" i="30"/>
  <c r="D20" i="30"/>
  <c r="E20" i="30" s="1"/>
  <c r="F20" i="30" s="1"/>
  <c r="H20" i="30"/>
  <c r="I20" i="30" s="1"/>
  <c r="C21" i="30"/>
  <c r="E21" i="30" s="1"/>
  <c r="F21" i="30" s="1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E25" i="72"/>
  <c r="H18" i="72"/>
  <c r="H18" i="1" s="1"/>
  <c r="H19" i="72"/>
  <c r="H19" i="1" s="1"/>
  <c r="H20" i="72"/>
  <c r="H20" i="1" s="1"/>
  <c r="H21" i="72"/>
  <c r="H22" i="72"/>
  <c r="H22" i="1" s="1"/>
  <c r="H23" i="72"/>
  <c r="H24" i="72"/>
  <c r="H25" i="72"/>
  <c r="C16" i="30"/>
  <c r="D16" i="30"/>
  <c r="E16" i="30"/>
  <c r="F16" i="30"/>
  <c r="H16" i="30"/>
  <c r="I16" i="30" s="1"/>
  <c r="C17" i="30"/>
  <c r="D17" i="30"/>
  <c r="E17" i="30"/>
  <c r="F17" i="30"/>
  <c r="H17" i="30"/>
  <c r="I17" i="30"/>
  <c r="C16" i="29"/>
  <c r="D16" i="29"/>
  <c r="E16" i="29"/>
  <c r="F16" i="29"/>
  <c r="H16" i="29"/>
  <c r="I16" i="29"/>
  <c r="C17" i="29"/>
  <c r="D17" i="29"/>
  <c r="E17" i="29"/>
  <c r="F17" i="29" s="1"/>
  <c r="H17" i="29"/>
  <c r="I17" i="29" s="1"/>
  <c r="C16" i="18"/>
  <c r="D16" i="18"/>
  <c r="E16" i="18"/>
  <c r="F16" i="18"/>
  <c r="H16" i="18"/>
  <c r="I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E16" i="72"/>
  <c r="F16" i="72" s="1"/>
  <c r="H16" i="72"/>
  <c r="H16" i="1" s="1"/>
  <c r="I16" i="1" s="1"/>
  <c r="E17" i="72"/>
  <c r="F17" i="72" s="1"/>
  <c r="H17" i="72"/>
  <c r="H17" i="1" s="1"/>
  <c r="I17" i="1" s="1"/>
  <c r="E15" i="72"/>
  <c r="F15" i="72" s="1"/>
  <c r="E14" i="72"/>
  <c r="F14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E10" i="33"/>
  <c r="F10" i="33" s="1"/>
  <c r="E9" i="33"/>
  <c r="F9" i="33" s="1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E10" i="32"/>
  <c r="F10" i="32" s="1"/>
  <c r="F9" i="32"/>
  <c r="E9" i="32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10" i="31"/>
  <c r="F10" i="31" s="1"/>
  <c r="E9" i="31"/>
  <c r="F9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E10" i="28"/>
  <c r="F10" i="28" s="1"/>
  <c r="E9" i="28"/>
  <c r="F9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3" i="29"/>
  <c r="I13" i="29" s="1"/>
  <c r="H10" i="29"/>
  <c r="I10" i="29" s="1"/>
  <c r="E10" i="27"/>
  <c r="F10" i="27" s="1"/>
  <c r="E9" i="27"/>
  <c r="F9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9"/>
  <c r="I15" i="29" s="1"/>
  <c r="H12" i="29"/>
  <c r="I12" i="29" s="1"/>
  <c r="E10" i="26"/>
  <c r="F10" i="26" s="1"/>
  <c r="H9" i="29"/>
  <c r="I9" i="29" s="1"/>
  <c r="E9" i="26"/>
  <c r="F9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E10" i="19"/>
  <c r="F10" i="19" s="1"/>
  <c r="E9" i="19"/>
  <c r="F9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E10" i="20"/>
  <c r="F10" i="20" s="1"/>
  <c r="E9" i="20"/>
  <c r="F9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E10" i="21"/>
  <c r="F10" i="21" s="1"/>
  <c r="E9" i="21"/>
  <c r="F9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E10" i="4"/>
  <c r="F10" i="4" s="1"/>
  <c r="E9" i="4"/>
  <c r="F9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4" i="1" l="1"/>
  <c r="F24" i="1" s="1"/>
  <c r="E23" i="1"/>
  <c r="F23" i="1" s="1"/>
  <c r="E21" i="1"/>
  <c r="F21" i="1" s="1"/>
  <c r="I25" i="72"/>
  <c r="H25" i="34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5" i="1"/>
  <c r="I25" i="1" s="1"/>
  <c r="H23" i="1"/>
  <c r="I23" i="1" s="1"/>
  <c r="H21" i="1"/>
  <c r="I19" i="72"/>
  <c r="H19" i="34"/>
  <c r="I19" i="34" s="1"/>
  <c r="I25" i="34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1" i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<sst xmlns="http://schemas.openxmlformats.org/spreadsheetml/2006/main" count="429" uniqueCount="143">
  <si>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</si>
  <si>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</si>
  <si>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</si>
  <si>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</si>
  <si>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</si>
  <si>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</si>
  <si>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</si>
  <si>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</si>
  <si>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</si>
  <si>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</si>
  <si>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</si>
  <si>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</si>
  <si>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</si>
  <si>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</si>
  <si>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</si>
  <si>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</si>
  <si>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</si>
  <si>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</si>
  <si>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</si>
  <si>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</si>
  <si>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</si>
  <si>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</si>
  <si>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Inverter 8 was offline on 01/15/24 7 and back online on 01/17/2024. </t>
  </si>
  <si>
    <t>1.SR080248</t>
  </si>
  <si>
    <t xml:space="preserve">1. Inverter 4 tripped offline on 01/12/2024 at 08:30 &amp; back online on 01/17/2024 at 14:30. </t>
  </si>
  <si>
    <t>1.SR080166</t>
  </si>
  <si>
    <t>1.Site tripped offline on 01/13/2024 at 03:30 &amp; back on 01/16/2024 mid day.</t>
  </si>
  <si>
    <t>1. SR080182</t>
  </si>
  <si>
    <t xml:space="preserve">1.  Inverter 1 was tripped offline on 01/02/2024 at 8:45 &amp; back online on 01/03/2024 at 11:30. 
2. Site was offline tripped offline on 01/21/2024 at 11:45 &amp; back online on 01/22/2024 at 10:30. </t>
  </si>
  <si>
    <t>1. SR079865
2. SR080375</t>
  </si>
  <si>
    <t>1. Site was tripped offline on 01/07 at 18:15 and back online on 01/08 at 12:00</t>
  </si>
  <si>
    <t>1. SR080033</t>
  </si>
  <si>
    <t xml:space="preserve">1. Inverter 17 tripped offline on 01/23/2024 at 12:00 &amp; back online at 16:30. </t>
  </si>
  <si>
    <t>1. SR079023</t>
  </si>
  <si>
    <t xml:space="preserve">1.Inverters 14 and 18 tripped offline on 01/23/2024 at 13:45 &amp; back online on 01/24/2024. </t>
  </si>
  <si>
    <t>1. SR080417</t>
  </si>
  <si>
    <t xml:space="preserve">1. Inverter 7 tripped offline at 12/05/2023 at 13:00 &amp; back online at 01/24 at 12:15. 
2.  Inverters 2, 5, and 24 tripped offline on 01/23/2024 &amp; back online  on 01/24/2024. </t>
  </si>
  <si>
    <t>1.SR078798
2. SR080419</t>
  </si>
  <si>
    <t>February Actual v. Expected</t>
  </si>
  <si>
    <t>February Actual v. Forecasted</t>
  </si>
  <si>
    <t>1. Inverter 8 is offline on 02/16 and back online on 02/17</t>
  </si>
  <si>
    <t>1. SR080248</t>
  </si>
  <si>
    <t>1.Site tripped offline on 02/15 at 21:30 and back online at 02/16 at 10:30AM</t>
  </si>
  <si>
    <t>1. CB 1.1 is offline for whole month.</t>
  </si>
  <si>
    <t>1. SR079865</t>
  </si>
  <si>
    <t>1. Except inverter 13 all other inverters tripped offline on 02/16/2024 at 09:00AM and later back online on 02/16/2024 at 14:00.</t>
  </si>
  <si>
    <t>1. SR081055</t>
  </si>
  <si>
    <t>March Actual v. Expected</t>
  </si>
  <si>
    <t>March Actual v. Forecasted</t>
  </si>
  <si>
    <t>1. Inverter 3 is derating about 20kW during peak hours on 03/01 and later the inverter was powercycled by technician.</t>
  </si>
  <si>
    <t>1. 	SR081496</t>
  </si>
  <si>
    <t xml:space="preserve">1. Inverter 13 derated on 03/21 &amp; resolved next day. </t>
  </si>
  <si>
    <t>1.SR082332</t>
  </si>
  <si>
    <t xml:space="preserve">1. Inverter 3 tripped offline on 03/08 at 18:00 &amp; back online 03/11 at 15:30. </t>
  </si>
  <si>
    <t>1. SR081715</t>
  </si>
  <si>
    <t xml:space="preserve"> </t>
  </si>
  <si>
    <t>1.  Site tripped offline on 03/31 at 9:30am and back online on 04/01 at 11:00am</t>
  </si>
  <si>
    <t>1. SR082943</t>
  </si>
  <si>
    <t>1. Site is offline at 8:00am on 03/20 and back online at 15:00 on 03/20.</t>
  </si>
  <si>
    <t>1. SR082234</t>
  </si>
  <si>
    <t>1. Inverter 12 was offline on 03/31</t>
  </si>
  <si>
    <t>1. SR082945</t>
  </si>
  <si>
    <t>1. Site was offline on 03/11 between 11:15 to 15:30</t>
  </si>
  <si>
    <t>1. SR081753</t>
  </si>
  <si>
    <t>1. Inverter 5 is offline on 03/23 dur ground fault</t>
  </si>
  <si>
    <t>1. SR082598</t>
  </si>
  <si>
    <t xml:space="preserve">1. Inverter 27 was offline due to arc fault on 03/03 and 03/31 </t>
  </si>
  <si>
    <t>1. SR082924</t>
  </si>
  <si>
    <t xml:space="preserve">1. Inverters 1 to 6 are derating during 09:00am to 12:00pm on 03/10, 03/11, 03/18 &amp; 03/21.  </t>
  </si>
  <si>
    <t>1. SR082017</t>
  </si>
  <si>
    <t>1. Inverters 07 to 12 are derating during 09:00am to 12:00pm on 03/10, 03/11, 03/18 &amp; 03/21</t>
  </si>
  <si>
    <t>1. SR082020</t>
  </si>
  <si>
    <t>1. Inverter 5 is derating during sunny days throughout the month 
2. Inverter 3 right unit, Inverter 2 left unit has multiple tripping events thorughtout the month
3. Inverter 2 left unit tripped offline on 03/16 and back online 03/21</t>
  </si>
  <si>
    <t>1. SR081196
2. SR081401
3. SR082342</t>
  </si>
  <si>
    <t xml:space="preserve">1. Site was offline on 03/10 between 14:00 to 15:00 
2. Technician took inverters 6, 7 and 11 offline about 1 hour on 03/13 
3. Inverter 11 tripped offline on 03/29 at 10:55 and back online at 17:00
4. Inverters 9, 10 and 11 7 were offline during peak hours on 03/29, 03/30 and 03/31 </t>
  </si>
  <si>
    <t>1. SR081730
2. PM7645
3. SR082897
4. SR082904</t>
  </si>
  <si>
    <t>1. Inverters 11 &amp; 16 are offline on 03/14 between 09:30 to 14:15</t>
  </si>
  <si>
    <t>1. SR081897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</si>
  <si>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</si>
  <si>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</si>
  <si>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</si>
  <si>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</si>
  <si>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</si>
  <si>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</si>
  <si>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</si>
  <si>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</si>
  <si>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</si>
  <si>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</si>
  <si>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</si>
  <si>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</si>
  <si>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</si>
  <si>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</si>
  <si>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</si>
  <si>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</si>
  <si>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</si>
  <si>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</si>
  <si>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</si>
  <si>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Greenbacker</t>
  </si>
  <si>
    <t>Site DAS Name</t>
  </si>
  <si>
    <t>Update</t>
  </si>
  <si>
    <t>DAS</t>
  </si>
  <si>
    <t>10 Walpole Park South</t>
  </si>
  <si>
    <t>MA</t>
  </si>
  <si>
    <t>AEF</t>
  </si>
  <si>
    <t>PowerTrack</t>
  </si>
  <si>
    <t>15 Walpole Park South</t>
  </si>
  <si>
    <t>19 Walpole Park South</t>
  </si>
  <si>
    <t>23 Walpole Park South</t>
  </si>
  <si>
    <t>24 Walpole Park South</t>
  </si>
  <si>
    <t>25 Walpole Park South</t>
  </si>
  <si>
    <t>3 Walpole Park South</t>
  </si>
  <si>
    <t>4 Walpole Park South</t>
  </si>
  <si>
    <t>Brockton</t>
  </si>
  <si>
    <t>Canton</t>
  </si>
  <si>
    <t>AE</t>
  </si>
  <si>
    <t>Chelsea</t>
  </si>
  <si>
    <t>Hamilton MA Landfill</t>
  </si>
  <si>
    <t>Hamilton Landfill</t>
  </si>
  <si>
    <t>InAccess</t>
  </si>
  <si>
    <t>Holliston</t>
  </si>
  <si>
    <t>MA: Natick HS - Carports</t>
  </si>
  <si>
    <t>Natick HS - Carports</t>
  </si>
  <si>
    <t>Norton</t>
  </si>
  <si>
    <t>Palmer - Boston Rd.</t>
  </si>
  <si>
    <t>Shirley Bartkus</t>
  </si>
  <si>
    <t>Stoughton</t>
  </si>
  <si>
    <t>MA: Wellfleet Landfill</t>
  </si>
  <si>
    <t>Wellfleet Landfill</t>
  </si>
  <si>
    <t>Wilmington Garage &amp; Building 7</t>
  </si>
  <si>
    <t>Woburn</t>
  </si>
  <si>
    <t>Friendship Solar 1</t>
  </si>
  <si>
    <t>MD</t>
  </si>
  <si>
    <t>Friendship Solar 2</t>
  </si>
  <si>
    <t>101 Carnegie Center</t>
  </si>
  <si>
    <t>NJ</t>
  </si>
  <si>
    <t>302 Carnegie Center</t>
  </si>
  <si>
    <t>510 Carnegie Center</t>
  </si>
  <si>
    <t>701 Carnegie Center</t>
  </si>
  <si>
    <t>Hudson County Correction</t>
  </si>
  <si>
    <t>ER Bison Solar</t>
  </si>
  <si>
    <t>PA</t>
  </si>
  <si>
    <t>Danville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</si>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</sst>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50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80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9" fontId="31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8" fillId="40" borderId="0" xfId="0" applyFont="1" applyFill="1" applyAlignment="1">
      <alignment horizontal="left" vertical="center"/>
    </xf>
    <xf numFmtId="0" fontId="23" fillId="0" borderId="0" xfId="43" applyFont="1"/>
    <xf numFmtId="9" fontId="31" fillId="46" borderId="0" xfId="2" applyFont="1" applyFill="1" applyAlignment="1">
      <alignment horizontal="right" vertical="center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3" fontId="1" fillId="49" borderId="0" xfId="0" applyNumberFormat="1" applyFont="1" applyFill="1"/>
    <xf numFmtId="0" fontId="25" fillId="42" borderId="11" xfId="0" applyFont="1" applyFill="1" applyBorder="1" applyAlignment="1">
      <alignment horizontal="center" vertical="center"/>
    </xf>
    <xf numFmtId="3" fontId="1" fillId="4" borderId="0" xfId="1" applyNumberFormat="1" applyFont="1" applyFill="1" applyBorder="1"/>
    <xf numFmtId="3" fontId="1" fillId="46" borderId="0" xfId="1" applyNumberFormat="1" applyFont="1" applyFill="1" applyBorder="1"/>
    <xf numFmtId="3" fontId="1" fillId="48" borderId="0" xfId="0" applyNumberFormat="1" applyFont="1" applyFill="1"/>
    <xf numFmtId="0" fontId="36" fillId="38" borderId="0" xfId="0" applyFont="1" applyFill="1" applyAlignment="1">
      <alignment horizontal="left" vertical="top" wrapText="1"/>
    </xf>
    <xf numFmtId="3" fontId="31" fillId="0" borderId="0" xfId="0" applyNumberFormat="1" applyFont="1" applyAlignment="1">
      <alignment horizontal="center" vertical="center"/>
    </xf>
    <xf numFmtId="3" fontId="31" fillId="3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1" fillId="46" borderId="0" xfId="0" applyNumberFormat="1" applyFont="1" applyFill="1" applyAlignment="1">
      <alignment horizontal="center" vertical="center"/>
    </xf>
    <xf numFmtId="3" fontId="1" fillId="49" borderId="0" xfId="0" applyNumberFormat="1" applyFont="1" applyFill="1" applyAlignment="1">
      <alignment horizontal="center" vertical="center"/>
    </xf>
    <xf numFmtId="0" fontId="1" fillId="49" borderId="0" xfId="0" applyFont="1" applyFill="1" applyAlignment="1">
      <alignment horizontal="center" vertical="center"/>
    </xf>
    <xf numFmtId="3" fontId="1" fillId="47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28" fillId="0" borderId="0" xfId="0" applyNumberFormat="1" applyFont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37" fillId="0" borderId="0" xfId="0" applyNumberFormat="1" applyFont="1" applyAlignment="1">
      <alignment horizontal="left"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3" totalsRowShown="0">
  <autoFilter ref="A3:E33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/>
    <tableColumn id="4" xr3:uid="{E086A54F-BF3D-477F-A0D7-706863BF0C38}" name="DA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D31" sqref="D31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Greenbacker</v>
      </c>
      <c r="B1" s="77"/>
      <c r="C1" s="77"/>
      <c r="D1" s="78" t="s">
        <v>0</v>
      </c>
      <c r="E1" s="78"/>
      <c r="F1" s="78"/>
      <c r="G1" s="76" t="s">
        <v>1</v>
      </c>
      <c r="H1" s="76"/>
      <c r="I1" s="76"/>
    </row>
    <row r="2" spans="1:9" ht="19.5" customHeight="1">
      <c r="A2" s="79" t="s">
        <v>2</v>
      </c>
      <c r="B2" s="79"/>
      <c r="C2" s="5">
        <f>SUM(C4:C100)</f>
        <v>8106439.3749142215</v>
      </c>
      <c r="D2" s="5">
        <f>SUM(D4:D100)</f>
        <v>7655316.2039999999</v>
      </c>
      <c r="E2" s="5">
        <f>C2-D2</f>
        <v>451123.17091422155</v>
      </c>
      <c r="F2" s="6">
        <f>IFERROR(E2/D2, 0)</f>
        <v>5.8929397413852606E-2</v>
      </c>
      <c r="G2" s="5">
        <f>SUM(G4:G100)</f>
        <v>6542628.0720000006</v>
      </c>
      <c r="H2" s="7">
        <f>C2-G2</f>
        <v>1563811.3029142208</v>
      </c>
      <c r="I2" s="6">
        <f>IFERROR(H2/G2, 0)</f>
        <v>0.23901882939162444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3">Sites[Site]</f>
        <v>10 Walpole Park South</v>
      </c>
      <c r="B4" s="9" t="str" cm="1">
        <f t="array" ref="B4:B33">Sites[State]</f>
        <v>MA</v>
      </c>
      <c r="C4" s="24">
        <f>SUM('1st Qtr'!C4, '2nd Qtr'!C4, '3rd Qtr'!C4, '4th Qtr'!C4)</f>
        <v>27279.1875</v>
      </c>
      <c r="D4" s="13">
        <f>SUM('1st Qtr'!D4, '2nd Qtr'!D4, '3rd Qtr'!D4, '4th Qtr'!D4)</f>
        <v>29350.804</v>
      </c>
      <c r="E4" s="13">
        <f>IF(AND(ISNUMBER(C4),ISNUMBER(D4)), C4-D4, "")</f>
        <v>-2071.6165000000001</v>
      </c>
      <c r="F4" s="14">
        <f>IFERROR(E4/D4, "")</f>
        <v>-7.0581252220552462E-2</v>
      </c>
      <c r="G4" s="15">
        <f>SUM('1st Qtr'!G4, '2nd Qtr'!G4, '3rd Qtr'!G4, '4th Qtr'!G4)</f>
        <v>31050.152000000002</v>
      </c>
      <c r="H4" s="15">
        <f>SUM('1st Qtr'!H4, '2nd Qtr'!H4, '3rd Qtr'!H4, '4th Qtr'!H4)</f>
        <v>-3770.9644999999991</v>
      </c>
      <c r="I4" s="16">
        <f>IFERROR(H4/G4, "")</f>
        <v>-0.121447537519301</v>
      </c>
    </row>
    <row r="5" spans="1:9" ht="15.75">
      <c r="A5" s="17" t="str">
        <v>15 Walpole Park South</v>
      </c>
      <c r="B5" s="10" t="str">
        <v>MA</v>
      </c>
      <c r="C5" s="11">
        <f>SUM(Jan!C5, Feb!C5, Mar!C5)</f>
        <v>100657.5</v>
      </c>
      <c r="D5" s="18">
        <f>SUM(Jan!D5, Feb!D5, Mar!D5)</f>
        <v>112350.87</v>
      </c>
      <c r="E5" s="18">
        <f t="shared" ref="E5:E15" si="0">IF(AND(ISNUMBER(C5),ISNUMBER(D5)), C5-D5, "")</f>
        <v>-11693.369999999995</v>
      </c>
      <c r="F5" s="19">
        <f>IFERROR(E5/D5, "")</f>
        <v>-0.10407903383391687</v>
      </c>
      <c r="G5" s="20">
        <f>SUM('1st Qtr'!G5, '2nd Qtr'!G5, '3rd Qtr'!G5, '4th Qtr'!G5)</f>
        <v>105870.23000000001</v>
      </c>
      <c r="H5" s="20">
        <f>SUM(Jan!H5, Feb!H5, Mar!H5)</f>
        <v>-5212.7299999999996</v>
      </c>
      <c r="I5" s="19">
        <f>IFERROR(H5/G5, "")</f>
        <v>-4.9236976249130648E-2</v>
      </c>
    </row>
    <row r="6" spans="1:9" ht="15.75">
      <c r="A6" s="12" t="str">
        <v>19 Walpole Park South</v>
      </c>
      <c r="B6" s="9" t="str">
        <v>MA</v>
      </c>
      <c r="C6" s="24">
        <f>SUM(Jan!C6, Feb!C6, Mar!C6)</f>
        <v>60231</v>
      </c>
      <c r="D6" s="13">
        <f>SUM(Jan!D6, Feb!D6, Mar!D6)</f>
        <v>67805.210000000006</v>
      </c>
      <c r="E6" s="13">
        <f t="shared" si="0"/>
        <v>-7574.2100000000064</v>
      </c>
      <c r="F6" s="14">
        <f t="shared" ref="F6:F15" si="1">IFERROR(E6/D6, "")</f>
        <v>-0.11170542794572874</v>
      </c>
      <c r="G6" s="15">
        <f>SUM('1st Qtr'!G6, '2nd Qtr'!G6, '3rd Qtr'!G6, '4th Qtr'!G6)</f>
        <v>68109.16</v>
      </c>
      <c r="H6" s="15">
        <f>SUM(Jan!H6, Feb!H6, Mar!H6)</f>
        <v>-7878.1599999999962</v>
      </c>
      <c r="I6" s="16">
        <f t="shared" ref="I6:I15" si="2">IFERROR(H6/G6, "")</f>
        <v>-0.11566961037252546</v>
      </c>
    </row>
    <row r="7" spans="1:9" ht="15.75">
      <c r="A7" s="17" t="str">
        <v>23 Walpole Park South</v>
      </c>
      <c r="B7" s="10" t="str">
        <v>MA</v>
      </c>
      <c r="C7" s="11">
        <f>SUM(Jan!C7, Feb!C7, Mar!C7)</f>
        <v>84985.75</v>
      </c>
      <c r="D7" s="18">
        <f>SUM(Jan!D7, Feb!D7, Mar!D7)</f>
        <v>85604.47</v>
      </c>
      <c r="E7" s="18">
        <f t="shared" si="0"/>
        <v>-618.72000000000116</v>
      </c>
      <c r="F7" s="19">
        <f t="shared" si="1"/>
        <v>-7.2276599574765329E-3</v>
      </c>
      <c r="G7" s="20">
        <f>SUM('1st Qtr'!G7, '2nd Qtr'!G7, '3rd Qtr'!G7, '4th Qtr'!G7)</f>
        <v>88577.15</v>
      </c>
      <c r="H7" s="20">
        <f>SUM(Jan!H7, Feb!H7, Mar!H7)</f>
        <v>-3591.4000000000015</v>
      </c>
      <c r="I7" s="19">
        <f t="shared" si="2"/>
        <v>-4.0545445411147248E-2</v>
      </c>
    </row>
    <row r="8" spans="1:9" ht="15.75">
      <c r="A8" s="12" t="str">
        <v>24 Walpole Park South</v>
      </c>
      <c r="B8" s="9" t="str">
        <v>MA</v>
      </c>
      <c r="C8" s="24">
        <f>SUM(Jan!C8, Feb!C8, Mar!C8)</f>
        <v>123727</v>
      </c>
      <c r="D8" s="13">
        <f>SUM(Jan!D8, Feb!D8, Mar!D8)</f>
        <v>108020.73999999999</v>
      </c>
      <c r="E8" s="13">
        <f t="shared" si="0"/>
        <v>15706.260000000009</v>
      </c>
      <c r="F8" s="14">
        <f t="shared" si="1"/>
        <v>0.14540041106920773</v>
      </c>
      <c r="G8" s="15">
        <f>SUM('1st Qtr'!G8, '2nd Qtr'!G8, '3rd Qtr'!G8, '4th Qtr'!G8)</f>
        <v>136334.19</v>
      </c>
      <c r="H8" s="15">
        <f>SUM(Jan!H8, Feb!H8, Mar!H8)</f>
        <v>-12607.190000000006</v>
      </c>
      <c r="I8" s="16">
        <f t="shared" si="2"/>
        <v>-9.247269522047262E-2</v>
      </c>
    </row>
    <row r="9" spans="1:9" ht="15.75">
      <c r="A9" s="17" t="str">
        <v>25 Walpole Park South</v>
      </c>
      <c r="B9" s="10" t="str">
        <v>MA</v>
      </c>
      <c r="C9" s="11">
        <f>SUM(Jan!C9, Feb!C9, Mar!C9)</f>
        <v>125019.5</v>
      </c>
      <c r="D9" s="18">
        <f>SUM(Jan!D9, Feb!D9, Mar!D9)</f>
        <v>133559.04999999999</v>
      </c>
      <c r="E9" s="18">
        <f t="shared" si="0"/>
        <v>-8539.5499999999884</v>
      </c>
      <c r="F9" s="19">
        <f t="shared" si="1"/>
        <v>-6.3938385305975065E-2</v>
      </c>
      <c r="G9" s="20">
        <f>SUM('1st Qtr'!G9, '2nd Qtr'!G9, '3rd Qtr'!G9, '4th Qtr'!G9)</f>
        <v>138727.98000000001</v>
      </c>
      <c r="H9" s="20">
        <f>SUM(Jan!H9, Feb!H9, Mar!H9)</f>
        <v>-13708.480000000003</v>
      </c>
      <c r="I9" s="19">
        <f t="shared" si="2"/>
        <v>-9.881553814882911E-2</v>
      </c>
    </row>
    <row r="10" spans="1:9" ht="15.75">
      <c r="A10" s="12" t="str">
        <v>3 Walpole Park South</v>
      </c>
      <c r="B10" s="9" t="str">
        <v>MA</v>
      </c>
      <c r="C10" s="24">
        <f>SUM(Jan!C10, Feb!C10, Mar!C10)</f>
        <v>150714.70249999966</v>
      </c>
      <c r="D10" s="13">
        <f>SUM(Jan!D10, Feb!D10, Mar!D10)</f>
        <v>172746.2</v>
      </c>
      <c r="E10" s="13">
        <f t="shared" si="0"/>
        <v>-22031.497500000347</v>
      </c>
      <c r="F10" s="14">
        <f t="shared" si="1"/>
        <v>-0.12753679965174541</v>
      </c>
      <c r="G10" s="15">
        <f>SUM('1st Qtr'!G10, '2nd Qtr'!G10, '3rd Qtr'!G10, '4th Qtr'!G10)</f>
        <v>162772.93</v>
      </c>
      <c r="H10" s="15">
        <f>SUM(Jan!H10, Feb!H10, Mar!H10)</f>
        <v>-12058.227500000336</v>
      </c>
      <c r="I10" s="16">
        <f t="shared" si="2"/>
        <v>-7.4080054343190455E-2</v>
      </c>
    </row>
    <row r="11" spans="1:9" ht="15.75">
      <c r="A11" s="17" t="str">
        <v>4 Walpole Park South</v>
      </c>
      <c r="B11" s="10" t="str">
        <v>MA</v>
      </c>
      <c r="C11" s="11">
        <f>SUM(Jan!C11, Feb!C11, Mar!C11)</f>
        <v>87160.25</v>
      </c>
      <c r="D11" s="18">
        <f>SUM(Jan!D11, Feb!D11, Mar!D11)</f>
        <v>96935.57</v>
      </c>
      <c r="E11" s="18">
        <f t="shared" si="0"/>
        <v>-9775.320000000007</v>
      </c>
      <c r="F11" s="19">
        <f t="shared" si="1"/>
        <v>-0.10084347778632763</v>
      </c>
      <c r="G11" s="20">
        <f>SUM('1st Qtr'!G11, '2nd Qtr'!G11, '3rd Qtr'!G11, '4th Qtr'!G11)</f>
        <v>92807.95</v>
      </c>
      <c r="H11" s="20">
        <f>SUM(Jan!H11, Feb!H11, Mar!H11)</f>
        <v>-5647.6999999999971</v>
      </c>
      <c r="I11" s="19">
        <f t="shared" si="2"/>
        <v>-6.0853622992426804E-2</v>
      </c>
    </row>
    <row r="12" spans="1:9" ht="15.75">
      <c r="A12" s="12" t="str">
        <v>Brockton</v>
      </c>
      <c r="B12" s="9" t="str">
        <v>MA</v>
      </c>
      <c r="C12" s="24">
        <f>SUM(Jan!C12, Feb!C12, Mar!C12)</f>
        <v>141995.5</v>
      </c>
      <c r="D12" s="13">
        <f>SUM(Jan!D12, Feb!D12, Mar!D12)</f>
        <v>140784.93</v>
      </c>
      <c r="E12" s="13">
        <f t="shared" si="0"/>
        <v>1210.570000000007</v>
      </c>
      <c r="F12" s="14">
        <f t="shared" si="1"/>
        <v>8.5987186270576471E-3</v>
      </c>
      <c r="G12" s="15">
        <f>SUM('1st Qtr'!G12, '2nd Qtr'!G12, '3rd Qtr'!G12, '4th Qtr'!G12)</f>
        <v>154378.74</v>
      </c>
      <c r="H12" s="15">
        <f>SUM(Jan!H12, Feb!H12, Mar!H12)</f>
        <v>-12383.239999999998</v>
      </c>
      <c r="I12" s="16">
        <f t="shared" si="2"/>
        <v>-8.021337653099124E-2</v>
      </c>
    </row>
    <row r="13" spans="1:9" ht="15.75">
      <c r="A13" s="17" t="str">
        <v>Canton</v>
      </c>
      <c r="B13" s="10" t="str">
        <v>MA</v>
      </c>
      <c r="C13" s="11">
        <f>SUM(Jan!C13, Feb!C13, Mar!C13)</f>
        <v>139223.51122448966</v>
      </c>
      <c r="D13" s="18">
        <f>SUM(Jan!D13, Feb!D13, Mar!D13)</f>
        <v>149863.22999999998</v>
      </c>
      <c r="E13" s="18">
        <f t="shared" si="0"/>
        <v>-10639.718775510322</v>
      </c>
      <c r="F13" s="19">
        <f t="shared" si="1"/>
        <v>-7.0996192832026406E-2</v>
      </c>
      <c r="G13" s="20">
        <f>SUM('1st Qtr'!G13, '2nd Qtr'!G13, '3rd Qtr'!G13, '4th Qtr'!G13)</f>
        <v>148265.58000000002</v>
      </c>
      <c r="H13" s="20">
        <f>SUM(Jan!H13, Feb!H13, Mar!H13)</f>
        <v>-9042.0687755103354</v>
      </c>
      <c r="I13" s="19">
        <f t="shared" si="2"/>
        <v>-6.0985623065787316E-2</v>
      </c>
    </row>
    <row r="14" spans="1:9" ht="15.75">
      <c r="A14" s="12" t="str">
        <v>Chelsea</v>
      </c>
      <c r="B14" s="9" t="str">
        <v>MA</v>
      </c>
      <c r="C14" s="24">
        <f>SUM(Jan!C14, Feb!C14, Mar!C14)</f>
        <v>258959</v>
      </c>
      <c r="D14" s="13">
        <f>SUM(Jan!D14, Feb!D14, Mar!D14)</f>
        <v>265501.42</v>
      </c>
      <c r="E14" s="13">
        <f t="shared" si="0"/>
        <v>-6542.4199999999837</v>
      </c>
      <c r="F14" s="14">
        <f t="shared" si="1"/>
        <v>-2.4641751445246447E-2</v>
      </c>
      <c r="G14" s="15">
        <f>SUM('1st Qtr'!G14, '2nd Qtr'!G14, '3rd Qtr'!G14, '4th Qtr'!G14)</f>
        <v>248557.13</v>
      </c>
      <c r="H14" s="15">
        <f>SUM(Jan!H14, Feb!H14, Mar!H14)</f>
        <v>10401.869999999988</v>
      </c>
      <c r="I14" s="16">
        <f t="shared" si="2"/>
        <v>4.1849010728438919E-2</v>
      </c>
    </row>
    <row r="15" spans="1:9" ht="15.75">
      <c r="A15" s="17" t="str">
        <v>Hamilton Landfill</v>
      </c>
      <c r="B15" s="10" t="str">
        <v>MA</v>
      </c>
      <c r="C15" s="11">
        <f>SUM(Jan!C15, Feb!C15, Mar!C15)</f>
        <v>206487.26648176264</v>
      </c>
      <c r="D15" s="18">
        <f>SUM(Jan!D15, Feb!D15, Mar!D15)</f>
        <v>252276</v>
      </c>
      <c r="E15" s="18">
        <f t="shared" si="0"/>
        <v>-45788.733518237364</v>
      </c>
      <c r="F15" s="19">
        <f t="shared" si="1"/>
        <v>-0.18150253499436081</v>
      </c>
      <c r="G15" s="20">
        <f>SUM('1st Qtr'!G15, '2nd Qtr'!G15, '3rd Qtr'!G15, '4th Qtr'!G15)</f>
        <v>0</v>
      </c>
      <c r="H15" s="20">
        <f>SUM(Jan!H15, Feb!H15, Mar!H15)</f>
        <v>206487.26648176264</v>
      </c>
      <c r="I15" s="19" t="str">
        <f t="shared" si="2"/>
        <v/>
      </c>
    </row>
    <row r="16" spans="1:9" ht="15.75">
      <c r="A16" s="12" t="str">
        <v>Holliston</v>
      </c>
      <c r="B16" s="9" t="str">
        <v>MA</v>
      </c>
      <c r="C16" s="24">
        <f>SUM(Jan!C16, Feb!C16, Mar!C16)</f>
        <v>335953</v>
      </c>
      <c r="D16" s="13">
        <f>SUM(Jan!D16, Feb!D16, Mar!D16)</f>
        <v>354261.62</v>
      </c>
      <c r="E16" s="13">
        <f t="shared" ref="E16:E19" si="3">IF(AND(ISNUMBER(C16),ISNUMBER(D16)), C16-D16, "")</f>
        <v>-18308.619999999995</v>
      </c>
      <c r="F16" s="14">
        <f t="shared" ref="F16:F19" si="4">IFERROR(E16/D16, "")</f>
        <v>-5.1681071181236049E-2</v>
      </c>
      <c r="G16" s="15">
        <f>SUM('1st Qtr'!G16, '2nd Qtr'!G16, '3rd Qtr'!G16, '4th Qtr'!G16)</f>
        <v>393997.22</v>
      </c>
      <c r="H16" s="15">
        <f>SUM(Jan!H16, Feb!H16, Mar!H16)</f>
        <v>-58044.220000000016</v>
      </c>
      <c r="I16" s="16">
        <f t="shared" ref="I16:I19" si="5">IFERROR(H16/G16, "")</f>
        <v>-0.14732139480578066</v>
      </c>
    </row>
    <row r="17" spans="1:9" ht="15.75">
      <c r="A17" s="17" t="str">
        <v>Natick HS - Carports</v>
      </c>
      <c r="B17" s="10" t="str">
        <v>MA</v>
      </c>
      <c r="C17" s="11">
        <f>SUM(Jan!C17, Feb!C17, Mar!C17)</f>
        <v>114826</v>
      </c>
      <c r="D17" s="18">
        <f>SUM(Jan!D17, Feb!D17, Mar!D17)</f>
        <v>150902.6</v>
      </c>
      <c r="E17" s="18">
        <f t="shared" si="3"/>
        <v>-36076.600000000006</v>
      </c>
      <c r="F17" s="19">
        <f t="shared" si="4"/>
        <v>-0.23907209020918133</v>
      </c>
      <c r="G17" s="20">
        <f>SUM('1st Qtr'!G17, '2nd Qtr'!G17, '3rd Qtr'!G17, '4th Qtr'!G17)</f>
        <v>0</v>
      </c>
      <c r="H17" s="20">
        <f>SUM(Jan!H17, Feb!H17, Mar!H17)</f>
        <v>114826</v>
      </c>
      <c r="I17" s="19" t="str">
        <f t="shared" si="5"/>
        <v/>
      </c>
    </row>
    <row r="18" spans="1:9" ht="12.75" customHeight="1">
      <c r="A18" s="12" t="str">
        <v>Norton</v>
      </c>
      <c r="B18" s="9" t="str">
        <v>MA</v>
      </c>
      <c r="C18" s="24">
        <f>SUM(Jan!C18, Feb!C18, Mar!C18)</f>
        <v>665258</v>
      </c>
      <c r="D18" s="13">
        <f>SUM(Jan!D18, Feb!D18, Mar!D18)</f>
        <v>744061.3</v>
      </c>
      <c r="E18" s="13">
        <f t="shared" si="3"/>
        <v>-78803.300000000047</v>
      </c>
      <c r="F18" s="14">
        <f t="shared" si="4"/>
        <v>-0.10590968781738822</v>
      </c>
      <c r="G18" s="15">
        <f>SUM('1st Qtr'!G18, '2nd Qtr'!G18, '3rd Qtr'!G18, '4th Qtr'!G18)</f>
        <v>787612.1</v>
      </c>
      <c r="H18" s="15">
        <f>SUM(Jan!H18, Feb!H18, Mar!H18)</f>
        <v>-122354.09999999998</v>
      </c>
      <c r="I18" s="16">
        <f t="shared" si="5"/>
        <v>-0.15534817202529008</v>
      </c>
    </row>
    <row r="19" spans="1:9" ht="15.75">
      <c r="A19" s="17" t="str">
        <v>Palmer - Boston Rd.</v>
      </c>
      <c r="B19" s="10" t="str">
        <v>MA</v>
      </c>
      <c r="C19" s="11">
        <f>SUM(Jan!C19, Feb!C19, Mar!C19)</f>
        <v>140541.54750000031</v>
      </c>
      <c r="D19" s="18">
        <f>SUM(Jan!D19, Feb!D19, Mar!D19)</f>
        <v>158020.53</v>
      </c>
      <c r="E19" s="18">
        <f t="shared" si="3"/>
        <v>-17478.982499999693</v>
      </c>
      <c r="F19" s="19">
        <f t="shared" si="4"/>
        <v>-0.11061209894688806</v>
      </c>
      <c r="G19" s="20">
        <f>SUM('1st Qtr'!G19, '2nd Qtr'!G19, '3rd Qtr'!G19, '4th Qtr'!G19)</f>
        <v>177011</v>
      </c>
      <c r="H19" s="20">
        <f>SUM(Jan!H19, Feb!H19, Mar!H19)</f>
        <v>-36469.452499999701</v>
      </c>
      <c r="I19" s="19">
        <f t="shared" si="5"/>
        <v>-0.20602930043895409</v>
      </c>
    </row>
    <row r="20" spans="1:9" ht="15.75">
      <c r="A20" s="12" t="str">
        <v>Shirley Bartkus</v>
      </c>
      <c r="B20" s="9" t="str">
        <v>MA</v>
      </c>
      <c r="C20" s="24">
        <f>SUM(Jan!C20, Feb!C20, Mar!C20)</f>
        <v>100304.5</v>
      </c>
      <c r="D20" s="13">
        <f>SUM(Jan!D20, Feb!D20, Mar!D20)</f>
        <v>128316.91</v>
      </c>
      <c r="E20" s="13">
        <f t="shared" ref="E20:E33" si="6">IF(AND(ISNUMBER(C20),ISNUMBER(D20)), C20-D20, "")</f>
        <v>-28012.410000000003</v>
      </c>
      <c r="F20" s="14">
        <f t="shared" ref="F20:F33" si="7">IFERROR(E20/D20, "")</f>
        <v>-0.21830645703672261</v>
      </c>
      <c r="G20" s="15">
        <f>SUM('1st Qtr'!G20, '2nd Qtr'!G20, '3rd Qtr'!G20, '4th Qtr'!G20)</f>
        <v>240628</v>
      </c>
      <c r="H20" s="15">
        <f>SUM(Jan!H20, Feb!H20, Mar!H20)</f>
        <v>-140323.5</v>
      </c>
      <c r="I20" s="16">
        <f t="shared" ref="I20:I33" si="8">IFERROR(H20/G20, "")</f>
        <v>-0.58315532689462568</v>
      </c>
    </row>
    <row r="21" spans="1:9" ht="15.75">
      <c r="A21" s="17" t="str">
        <v>Stoughton</v>
      </c>
      <c r="B21" s="10" t="str">
        <v>MA</v>
      </c>
      <c r="C21" s="11">
        <f>SUM(Jan!C21, Feb!C21, Mar!C21)</f>
        <v>162214.0129310349</v>
      </c>
      <c r="D21" s="18">
        <f>SUM(Jan!D21, Feb!D21, Mar!D21)</f>
        <v>120628.10999999999</v>
      </c>
      <c r="E21" s="18">
        <f t="shared" si="6"/>
        <v>41585.902931034914</v>
      </c>
      <c r="F21" s="19">
        <f t="shared" si="7"/>
        <v>0.34474471108794558</v>
      </c>
      <c r="G21" s="20">
        <f>SUM('1st Qtr'!G21, '2nd Qtr'!G21, '3rd Qtr'!G21, '4th Qtr'!G21)</f>
        <v>163750.41</v>
      </c>
      <c r="H21" s="20">
        <f>SUM(Jan!H21, Feb!H21, Mar!H21)</f>
        <v>-1536.3970689651032</v>
      </c>
      <c r="I21" s="19">
        <f t="shared" si="8"/>
        <v>-9.3825540282012308E-3</v>
      </c>
    </row>
    <row r="22" spans="1:9" ht="15.75">
      <c r="A22" s="12" t="str">
        <v>Wellfleet Landfill</v>
      </c>
      <c r="B22" s="9" t="str">
        <v>MA</v>
      </c>
      <c r="C22" s="24">
        <f>SUM(Jan!C22, Feb!C22, Mar!C22)</f>
        <v>197584</v>
      </c>
      <c r="D22" s="13">
        <f>SUM(Jan!D22, Feb!D22, Mar!D22)</f>
        <v>216979</v>
      </c>
      <c r="E22" s="13">
        <f t="shared" si="6"/>
        <v>-19395</v>
      </c>
      <c r="F22" s="14">
        <f t="shared" si="7"/>
        <v>-8.938653049373442E-2</v>
      </c>
      <c r="G22" s="15">
        <f>SUM('1st Qtr'!G22, '2nd Qtr'!G22, '3rd Qtr'!G22, '4th Qtr'!G22)</f>
        <v>0</v>
      </c>
      <c r="H22" s="15">
        <f>SUM(Jan!H22, Feb!H22, Mar!H22)</f>
        <v>197584</v>
      </c>
      <c r="I22" s="16" t="str">
        <f t="shared" si="8"/>
        <v/>
      </c>
    </row>
    <row r="23" spans="1:9" ht="15.75">
      <c r="A23" s="17" t="str">
        <v>Wilmington Garage &amp; Building 7</v>
      </c>
      <c r="B23" s="10" t="str">
        <v>MA</v>
      </c>
      <c r="C23" s="11">
        <f>SUM(Jan!C23, Feb!C23, Mar!C23)</f>
        <v>236826.23999999999</v>
      </c>
      <c r="D23" s="18">
        <f>SUM(Jan!D23, Feb!D23, Mar!D23)</f>
        <v>265956.24</v>
      </c>
      <c r="E23" s="18">
        <f t="shared" si="6"/>
        <v>-29130</v>
      </c>
      <c r="F23" s="19">
        <f t="shared" si="7"/>
        <v>-0.10952929700013807</v>
      </c>
      <c r="G23" s="20">
        <f>SUM('1st Qtr'!G23, '2nd Qtr'!G23, '3rd Qtr'!G23, '4th Qtr'!G23)</f>
        <v>245303.76</v>
      </c>
      <c r="H23" s="20">
        <f>SUM(Jan!H23, Feb!H23, Mar!H23)</f>
        <v>-8477.520000000015</v>
      </c>
      <c r="I23" s="19">
        <f t="shared" si="8"/>
        <v>-3.4559274590817583E-2</v>
      </c>
    </row>
    <row r="24" spans="1:9" ht="15.75">
      <c r="A24" s="12" t="str">
        <v>Woburn</v>
      </c>
      <c r="B24" s="9" t="str">
        <v>MA</v>
      </c>
      <c r="C24" s="24">
        <f>SUM(Jan!C24, Feb!C24, Mar!C24)</f>
        <v>364419.10756972153</v>
      </c>
      <c r="D24" s="13">
        <f>SUM(Jan!D24, Feb!D24, Mar!D24)</f>
        <v>441019.47</v>
      </c>
      <c r="E24" s="13">
        <f t="shared" si="6"/>
        <v>-76600.362430278445</v>
      </c>
      <c r="F24" s="14">
        <f t="shared" si="7"/>
        <v>-0.17368929863862576</v>
      </c>
      <c r="G24" s="15">
        <f>SUM('1st Qtr'!G24, '2nd Qtr'!G24, '3rd Qtr'!G24, '4th Qtr'!G24)</f>
        <v>347015.71</v>
      </c>
      <c r="H24" s="15">
        <f>SUM(Jan!H24, Feb!H24, Mar!H24)</f>
        <v>17403.397569721506</v>
      </c>
      <c r="I24" s="16">
        <f t="shared" si="8"/>
        <v>5.0151612933378449E-2</v>
      </c>
    </row>
    <row r="25" spans="1:9" ht="15.75">
      <c r="A25" s="17" t="str">
        <v>Friendship Solar 1</v>
      </c>
      <c r="B25" s="10" t="str">
        <v>MD</v>
      </c>
      <c r="C25" s="11">
        <f>SUM(Jan!C25, Feb!C25, Mar!C25)</f>
        <v>881961</v>
      </c>
      <c r="D25" s="18">
        <f>SUM(Jan!D25, Feb!D25, Mar!D25)</f>
        <v>927597.79999999993</v>
      </c>
      <c r="E25" s="18">
        <f t="shared" si="6"/>
        <v>-45636.79999999993</v>
      </c>
      <c r="F25" s="19">
        <f t="shared" si="7"/>
        <v>-4.9198909268650629E-2</v>
      </c>
      <c r="G25" s="20">
        <f>SUM('1st Qtr'!G25, '2nd Qtr'!G25, '3rd Qtr'!G25, '4th Qtr'!G25)</f>
        <v>1003756.9</v>
      </c>
      <c r="H25" s="20">
        <f>SUM(Jan!H25, Feb!H25, Mar!H25)</f>
        <v>-121795.90000000002</v>
      </c>
      <c r="I25" s="19">
        <f t="shared" si="8"/>
        <v>-0.12134003761269289</v>
      </c>
    </row>
    <row r="26" spans="1:9" ht="15.75">
      <c r="A26" s="12" t="str">
        <v>Friendship Solar 2</v>
      </c>
      <c r="B26" s="9" t="str">
        <v>MD</v>
      </c>
      <c r="C26" s="24">
        <f>SUM(Jan!C26, Feb!C26, Mar!C26)</f>
        <v>883022</v>
      </c>
      <c r="D26" s="13">
        <f>SUM(Jan!D26, Feb!D26, Mar!D26)</f>
        <v>944636.9</v>
      </c>
      <c r="E26" s="13">
        <f t="shared" si="6"/>
        <v>-61614.900000000023</v>
      </c>
      <c r="F26" s="14">
        <f t="shared" si="7"/>
        <v>-6.522601435535709E-2</v>
      </c>
      <c r="G26" s="15">
        <f>SUM('1st Qtr'!G26, '2nd Qtr'!G26, '3rd Qtr'!G26, '4th Qtr'!G26)</f>
        <v>1006610.5</v>
      </c>
      <c r="H26" s="15">
        <f>SUM(Jan!H26, Feb!H26, Mar!H26)</f>
        <v>-123588.5</v>
      </c>
      <c r="I26" s="16">
        <f t="shared" si="8"/>
        <v>-0.12277688341220362</v>
      </c>
    </row>
    <row r="27" spans="1:9" ht="15.75">
      <c r="A27" s="17" t="str">
        <v>101 Carnegie Center</v>
      </c>
      <c r="B27" s="10" t="str">
        <v>NJ</v>
      </c>
      <c r="C27" s="11">
        <f>SUM(Jan!C27, Feb!C27, Mar!C27)</f>
        <v>308138</v>
      </c>
      <c r="D27" s="18">
        <f>SUM(Jan!D27, Feb!D27, Mar!D27)</f>
        <v>379211.6</v>
      </c>
      <c r="E27" s="18">
        <f t="shared" si="6"/>
        <v>-71073.599999999977</v>
      </c>
      <c r="F27" s="19">
        <f t="shared" si="7"/>
        <v>-0.18742464629246569</v>
      </c>
      <c r="G27" s="20">
        <f>SUM('1st Qtr'!G27, '2nd Qtr'!G27, '3rd Qtr'!G27, '4th Qtr'!G27)</f>
        <v>0</v>
      </c>
      <c r="H27" s="20">
        <f>SUM(Jan!H27, Feb!H27, Mar!H27)</f>
        <v>308138</v>
      </c>
      <c r="I27" s="19" t="str">
        <f t="shared" si="8"/>
        <v/>
      </c>
    </row>
    <row r="28" spans="1:9" ht="15.75">
      <c r="A28" s="12" t="str">
        <v>302 Carnegie Center</v>
      </c>
      <c r="B28" s="9" t="str">
        <v>NJ</v>
      </c>
      <c r="C28" s="24">
        <f>SUM(Jan!C28, Feb!C28, Mar!C28)</f>
        <v>134830.6</v>
      </c>
      <c r="D28" s="13">
        <f>SUM(Jan!D28, Feb!D28, Mar!D28)</f>
        <v>158870.5</v>
      </c>
      <c r="E28" s="13">
        <f t="shared" si="6"/>
        <v>-24039.899999999994</v>
      </c>
      <c r="F28" s="14">
        <f t="shared" si="7"/>
        <v>-0.15131758255938008</v>
      </c>
      <c r="G28" s="15">
        <f>SUM('1st Qtr'!G28, '2nd Qtr'!G28, '3rd Qtr'!G28, '4th Qtr'!G28)</f>
        <v>0</v>
      </c>
      <c r="H28" s="15">
        <f>SUM(Jan!H28, Feb!H28, Mar!H28)</f>
        <v>134830.6</v>
      </c>
      <c r="I28" s="16" t="str">
        <f t="shared" si="8"/>
        <v/>
      </c>
    </row>
    <row r="29" spans="1:9" ht="15.75">
      <c r="A29" s="17" t="str">
        <v>510 Carnegie Center</v>
      </c>
      <c r="B29" s="10" t="str">
        <v>NJ</v>
      </c>
      <c r="C29" s="11">
        <f>SUM(Jan!C29, Feb!C29, Mar!C29)</f>
        <v>330124</v>
      </c>
      <c r="D29" s="18">
        <f>SUM(Jan!D29, Feb!D29, Mar!D29)</f>
        <v>410128</v>
      </c>
      <c r="E29" s="18">
        <f t="shared" si="6"/>
        <v>-80004</v>
      </c>
      <c r="F29" s="19">
        <f t="shared" si="7"/>
        <v>-0.19507080716264191</v>
      </c>
      <c r="G29" s="20">
        <f>SUM('1st Qtr'!G29, '2nd Qtr'!G29, '3rd Qtr'!G29, '4th Qtr'!G29)</f>
        <v>0</v>
      </c>
      <c r="H29" s="20">
        <f>SUM(Jan!H29, Feb!H29, Mar!H29)</f>
        <v>330124</v>
      </c>
      <c r="I29" s="19" t="str">
        <f t="shared" si="8"/>
        <v/>
      </c>
    </row>
    <row r="30" spans="1:9" ht="15.75">
      <c r="A30" s="12" t="str">
        <v>701 Carnegie Center</v>
      </c>
      <c r="B30" s="9" t="str">
        <v>NJ</v>
      </c>
      <c r="C30" s="24">
        <f>SUM(Jan!C30, Feb!C30, Mar!C30)</f>
        <v>259333</v>
      </c>
      <c r="D30" s="13">
        <f>SUM(Jan!D30, Feb!D30, Mar!D30)</f>
        <v>325235</v>
      </c>
      <c r="E30" s="13">
        <f t="shared" si="6"/>
        <v>-65902</v>
      </c>
      <c r="F30" s="14">
        <f t="shared" si="7"/>
        <v>-0.20262886835672667</v>
      </c>
      <c r="G30" s="15">
        <f>SUM('1st Qtr'!G30, '2nd Qtr'!G30, '3rd Qtr'!G30, '4th Qtr'!G30)</f>
        <v>0</v>
      </c>
      <c r="H30" s="15">
        <f>SUM(Jan!H30, Feb!H30, Mar!H30)</f>
        <v>259333</v>
      </c>
      <c r="I30" s="16" t="str">
        <f t="shared" si="8"/>
        <v/>
      </c>
    </row>
    <row r="31" spans="1:9" ht="15.75">
      <c r="A31" s="17" t="str">
        <v>Hudson County Correction</v>
      </c>
      <c r="B31" s="10" t="str">
        <v>NJ</v>
      </c>
      <c r="C31" s="11">
        <f>SUM(Jan!C31, Feb!C31, Mar!C31)</f>
        <v>336527.19920721248</v>
      </c>
      <c r="D31" s="18">
        <f>SUM(Jan!D31, Feb!D31, Mar!D31)</f>
        <v>314692.13</v>
      </c>
      <c r="E31" s="18">
        <f t="shared" si="6"/>
        <v>21835.06920721248</v>
      </c>
      <c r="F31" s="19">
        <f t="shared" si="7"/>
        <v>6.9385494982707324E-2</v>
      </c>
      <c r="G31" s="20">
        <f>SUM('1st Qtr'!G31, '2nd Qtr'!G31, '3rd Qtr'!G31, '4th Qtr'!G31)</f>
        <v>366551.28</v>
      </c>
      <c r="H31" s="20">
        <f>SUM(Jan!H31, Feb!H31, Mar!H31)</f>
        <v>-30024.080792787514</v>
      </c>
      <c r="I31" s="19">
        <f t="shared" si="8"/>
        <v>-8.1909632924450609E-2</v>
      </c>
    </row>
    <row r="32" spans="1:9" ht="15.75">
      <c r="A32" s="12" t="str">
        <v>ER Bison Solar</v>
      </c>
      <c r="B32" s="9" t="str">
        <v>PA</v>
      </c>
      <c r="C32" s="24">
        <f>SUM(Jan!C32, Feb!C32, Mar!C32)</f>
        <v>406302</v>
      </c>
      <c r="D32" s="13">
        <f>SUM(Jan!D32, Feb!D32, Mar!D32)</f>
        <v>0</v>
      </c>
      <c r="E32" s="13">
        <f t="shared" si="6"/>
        <v>406302</v>
      </c>
      <c r="F32" s="14" t="str">
        <f t="shared" si="7"/>
        <v/>
      </c>
      <c r="G32" s="15">
        <f>SUM('1st Qtr'!G32, '2nd Qtr'!G32, '3rd Qtr'!G32, '4th Qtr'!G32)</f>
        <v>434940</v>
      </c>
      <c r="H32" s="15">
        <f>SUM(Jan!H32, Feb!H32, Mar!H32)</f>
        <v>-28638</v>
      </c>
      <c r="I32" s="16">
        <f t="shared" si="8"/>
        <v>-6.5843564629604084E-2</v>
      </c>
    </row>
    <row r="33" spans="1:9" ht="15.75">
      <c r="A33" s="17" t="str">
        <v>Danville</v>
      </c>
      <c r="B33" s="10" t="str">
        <v>IL</v>
      </c>
      <c r="C33" s="11">
        <f>SUM(Jan!C33, Feb!C33, Mar!C33)</f>
        <v>741835</v>
      </c>
      <c r="D33" s="18">
        <f>SUM(Jan!D33, Feb!D33, Mar!D33)</f>
        <v>0</v>
      </c>
      <c r="E33" s="18">
        <f t="shared" si="6"/>
        <v>741835</v>
      </c>
      <c r="F33" s="19" t="str">
        <f t="shared" si="7"/>
        <v/>
      </c>
      <c r="G33" s="20">
        <f>SUM('1st Qtr'!G33, '2nd Qtr'!G33, '3rd Qtr'!G33, '4th Qtr'!G33)</f>
        <v>0</v>
      </c>
      <c r="H33" s="20">
        <f>SUM(Jan!H33, Feb!H33, Mar!H33)</f>
        <v>741835</v>
      </c>
      <c r="I33" s="19" t="str">
        <f t="shared" si="8"/>
        <v/>
      </c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18" activePane="bottomRight" state="frozen"/>
      <selection pane="bottomRight" activeCell="C33" sqref="C33"/>
      <selection pane="bottomLeft" activeCell="K22" sqref="K22"/>
      <selection pane="topRight" activeCell="K22" sqref="K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Greenbacker</v>
      </c>
      <c r="B1" s="77"/>
      <c r="C1" s="77"/>
      <c r="D1" s="78" t="s">
        <v>10</v>
      </c>
      <c r="E1" s="78"/>
      <c r="F1" s="78"/>
      <c r="G1" s="76" t="s">
        <v>11</v>
      </c>
      <c r="H1" s="76"/>
      <c r="I1" s="76"/>
    </row>
    <row r="2" spans="1:9" ht="19.5" customHeight="1">
      <c r="A2" s="79" t="s">
        <v>2</v>
      </c>
      <c r="B2" s="79"/>
      <c r="C2" s="5">
        <f>SUM(C4:C100)</f>
        <v>8106439.3749142215</v>
      </c>
      <c r="D2" s="5">
        <f>SUM(D4:D100)</f>
        <v>7655316.2039999999</v>
      </c>
      <c r="E2" s="5">
        <f>C2-D2</f>
        <v>451123.17091422155</v>
      </c>
      <c r="F2" s="6">
        <f>IFERROR(E2/D2, 0)</f>
        <v>5.8929397413852606E-2</v>
      </c>
      <c r="G2" s="5">
        <f>SUM(G4:G100)</f>
        <v>6542628.0720000006</v>
      </c>
      <c r="H2" s="7">
        <f>C2-G2</f>
        <v>1563811.3029142208</v>
      </c>
      <c r="I2" s="6">
        <f>IFERROR(H2/G2, 0)</f>
        <v>0.23901882939162444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SUM(Jan!C4, Feb!C4, Mar!C4)</f>
        <v>27279.1875</v>
      </c>
      <c r="D4" s="13">
        <f>SUM(Jan!D4, Feb!D4, Mar!D4)</f>
        <v>29350.804</v>
      </c>
      <c r="E4" s="13">
        <f>IF(AND(ISNUMBER(C4),ISNUMBER(D4)), C4-D4, "")</f>
        <v>-2071.6165000000001</v>
      </c>
      <c r="F4" s="14">
        <f>IFERROR(E4/D4, "")</f>
        <v>-7.0581252220552462E-2</v>
      </c>
      <c r="G4" s="15">
        <f>SUM(Jan!G4, Feb!G4, Mar!G4)</f>
        <v>31050.152000000002</v>
      </c>
      <c r="H4" s="15">
        <f>SUM(Jan!H4, Feb!H4, Mar!H4)</f>
        <v>-3770.9644999999991</v>
      </c>
      <c r="I4" s="16">
        <f>IFERROR(H4/G4, "")</f>
        <v>-0.121447537519301</v>
      </c>
    </row>
    <row r="5" spans="1:9" ht="15.75">
      <c r="A5" s="48" t="str">
        <v>15 Walpole Park South</v>
      </c>
      <c r="B5" s="10" t="str">
        <v>MA</v>
      </c>
      <c r="C5" s="11">
        <f>SUM(Jan!C5, Feb!C5, Mar!C5)</f>
        <v>100657.5</v>
      </c>
      <c r="D5" s="18">
        <f>SUM(Jan!D5, Feb!D5, Mar!D5)</f>
        <v>112350.87</v>
      </c>
      <c r="E5" s="18">
        <f t="shared" ref="E5:E15" si="0">IF(AND(ISNUMBER(C5),ISNUMBER(D5)), C5-D5, "")</f>
        <v>-11693.369999999995</v>
      </c>
      <c r="F5" s="19">
        <f>IFERROR(E5/D5, "")</f>
        <v>-0.10407903383391687</v>
      </c>
      <c r="G5" s="20">
        <f>SUM(Jan!G5, Feb!G5, Mar!G5)</f>
        <v>105870.23000000001</v>
      </c>
      <c r="H5" s="20">
        <f>SUM(Jan!H5, Feb!H5, Mar!H5)</f>
        <v>-5212.7299999999996</v>
      </c>
      <c r="I5" s="19">
        <f>IFERROR(H5/G5, "")</f>
        <v>-4.9236976249130648E-2</v>
      </c>
    </row>
    <row r="6" spans="1:9" ht="15.75">
      <c r="A6" s="47" t="str">
        <v>19 Walpole Park South</v>
      </c>
      <c r="B6" s="9" t="str">
        <v>MA</v>
      </c>
      <c r="C6" s="24">
        <f>SUM(Jan!C6, Feb!C6, Mar!C6)</f>
        <v>60231</v>
      </c>
      <c r="D6" s="13">
        <f>SUM(Jan!D6, Feb!D6, Mar!D6)</f>
        <v>67805.210000000006</v>
      </c>
      <c r="E6" s="13">
        <f t="shared" si="0"/>
        <v>-7574.2100000000064</v>
      </c>
      <c r="F6" s="14">
        <f t="shared" ref="F6:F15" si="1">IFERROR(E6/D6, "")</f>
        <v>-0.11170542794572874</v>
      </c>
      <c r="G6" s="15">
        <f>SUM(Jan!G6, Feb!G6, Mar!G6)</f>
        <v>68109.16</v>
      </c>
      <c r="H6" s="15">
        <f>SUM(Jan!H6, Feb!H6, Mar!H6)</f>
        <v>-7878.1599999999962</v>
      </c>
      <c r="I6" s="16">
        <f t="shared" ref="I6:I15" si="2">IFERROR(H6/G6, "")</f>
        <v>-0.11566961037252546</v>
      </c>
    </row>
    <row r="7" spans="1:9" ht="15.75">
      <c r="A7" s="48" t="str">
        <v>23 Walpole Park South</v>
      </c>
      <c r="B7" s="10" t="str">
        <v>MA</v>
      </c>
      <c r="C7" s="11">
        <f>SUM(Jan!C7, Feb!C7, Mar!C7)</f>
        <v>84985.75</v>
      </c>
      <c r="D7" s="18">
        <f>SUM(Jan!D7, Feb!D7, Mar!D7)</f>
        <v>85604.47</v>
      </c>
      <c r="E7" s="18">
        <f t="shared" si="0"/>
        <v>-618.72000000000116</v>
      </c>
      <c r="F7" s="19">
        <f t="shared" si="1"/>
        <v>-7.2276599574765329E-3</v>
      </c>
      <c r="G7" s="20">
        <f>SUM(Jan!G7, Feb!G7, Mar!G7)</f>
        <v>88577.15</v>
      </c>
      <c r="H7" s="20">
        <f>SUM(Jan!H7, Feb!H7, Mar!H7)</f>
        <v>-3591.4000000000015</v>
      </c>
      <c r="I7" s="19">
        <f t="shared" si="2"/>
        <v>-4.0545445411147248E-2</v>
      </c>
    </row>
    <row r="8" spans="1:9" ht="15.75">
      <c r="A8" s="47" t="str">
        <v>24 Walpole Park South</v>
      </c>
      <c r="B8" s="9" t="str">
        <v>MA</v>
      </c>
      <c r="C8" s="24">
        <f>SUM(Jan!C8, Feb!C8, Mar!C8)</f>
        <v>123727</v>
      </c>
      <c r="D8" s="13">
        <f>SUM(Jan!D8, Feb!D8, Mar!D8)</f>
        <v>108020.73999999999</v>
      </c>
      <c r="E8" s="13">
        <f t="shared" si="0"/>
        <v>15706.260000000009</v>
      </c>
      <c r="F8" s="14">
        <f t="shared" si="1"/>
        <v>0.14540041106920773</v>
      </c>
      <c r="G8" s="15">
        <f>SUM(Jan!G8, Feb!G8, Mar!G8)</f>
        <v>136334.19</v>
      </c>
      <c r="H8" s="15">
        <f>SUM(Jan!H8, Feb!H8, Mar!H8)</f>
        <v>-12607.190000000006</v>
      </c>
      <c r="I8" s="16">
        <f t="shared" si="2"/>
        <v>-9.247269522047262E-2</v>
      </c>
    </row>
    <row r="9" spans="1:9" ht="15.75">
      <c r="A9" s="48" t="str">
        <v>25 Walpole Park South</v>
      </c>
      <c r="B9" s="10" t="str">
        <v>MA</v>
      </c>
      <c r="C9" s="11">
        <f>SUM(Jan!C9, Feb!C9, Mar!C9)</f>
        <v>125019.5</v>
      </c>
      <c r="D9" s="18">
        <f>SUM(Jan!D9, Feb!D9, Mar!D9)</f>
        <v>133559.04999999999</v>
      </c>
      <c r="E9" s="18">
        <f t="shared" si="0"/>
        <v>-8539.5499999999884</v>
      </c>
      <c r="F9" s="19">
        <f t="shared" si="1"/>
        <v>-6.3938385305975065E-2</v>
      </c>
      <c r="G9" s="20">
        <f>SUM(Jan!G9, Feb!G9, Mar!G9)</f>
        <v>138727.98000000001</v>
      </c>
      <c r="H9" s="20">
        <f>SUM(Jan!H9, Feb!H9, Mar!H9)</f>
        <v>-13708.480000000003</v>
      </c>
      <c r="I9" s="19">
        <f t="shared" si="2"/>
        <v>-9.881553814882911E-2</v>
      </c>
    </row>
    <row r="10" spans="1:9" ht="15.75">
      <c r="A10" s="47" t="str">
        <v>3 Walpole Park South</v>
      </c>
      <c r="B10" s="9" t="str">
        <v>MA</v>
      </c>
      <c r="C10" s="24">
        <f>SUM(Jan!C10, Feb!C10, Mar!C10)</f>
        <v>150714.70249999966</v>
      </c>
      <c r="D10" s="13">
        <f>SUM(Jan!D10, Feb!D10, Mar!D10)</f>
        <v>172746.2</v>
      </c>
      <c r="E10" s="13">
        <f t="shared" si="0"/>
        <v>-22031.497500000347</v>
      </c>
      <c r="F10" s="14">
        <f t="shared" si="1"/>
        <v>-0.12753679965174541</v>
      </c>
      <c r="G10" s="15">
        <f>SUM(Jan!G10, Feb!G10, Mar!G10)</f>
        <v>162772.93</v>
      </c>
      <c r="H10" s="15">
        <f>SUM(Jan!H10, Feb!H10, Mar!H10)</f>
        <v>-12058.227500000336</v>
      </c>
      <c r="I10" s="16">
        <f t="shared" si="2"/>
        <v>-7.4080054343190455E-2</v>
      </c>
    </row>
    <row r="11" spans="1:9" ht="15.75">
      <c r="A11" s="48" t="str">
        <v>4 Walpole Park South</v>
      </c>
      <c r="B11" s="10" t="str">
        <v>MA</v>
      </c>
      <c r="C11" s="11">
        <f>SUM(Jan!C11, Feb!C11, Mar!C11)</f>
        <v>87160.25</v>
      </c>
      <c r="D11" s="18">
        <f>SUM(Jan!D11, Feb!D11, Mar!D11)</f>
        <v>96935.57</v>
      </c>
      <c r="E11" s="18">
        <f t="shared" si="0"/>
        <v>-9775.320000000007</v>
      </c>
      <c r="F11" s="19">
        <f t="shared" si="1"/>
        <v>-0.10084347778632763</v>
      </c>
      <c r="G11" s="20">
        <f>SUM(Jan!G11, Feb!G11, Mar!G11)</f>
        <v>92807.95</v>
      </c>
      <c r="H11" s="20">
        <f>SUM(Jan!H11, Feb!H11, Mar!H11)</f>
        <v>-5647.6999999999971</v>
      </c>
      <c r="I11" s="19">
        <f t="shared" si="2"/>
        <v>-6.0853622992426804E-2</v>
      </c>
    </row>
    <row r="12" spans="1:9" ht="15.75">
      <c r="A12" s="47" t="str">
        <v>Brockton</v>
      </c>
      <c r="B12" s="9" t="str">
        <v>MA</v>
      </c>
      <c r="C12" s="24">
        <f>SUM(Jan!C12, Feb!C12, Mar!C12)</f>
        <v>141995.5</v>
      </c>
      <c r="D12" s="13">
        <f>SUM(Jan!D12, Feb!D12, Mar!D12)</f>
        <v>140784.93</v>
      </c>
      <c r="E12" s="13">
        <f t="shared" si="0"/>
        <v>1210.570000000007</v>
      </c>
      <c r="F12" s="14">
        <f t="shared" si="1"/>
        <v>8.5987186270576471E-3</v>
      </c>
      <c r="G12" s="15">
        <f>SUM(Jan!G12, Feb!G12, Mar!G12)</f>
        <v>154378.74</v>
      </c>
      <c r="H12" s="15">
        <f>SUM(Jan!H12, Feb!H12, Mar!H12)</f>
        <v>-12383.239999999998</v>
      </c>
      <c r="I12" s="16">
        <f t="shared" si="2"/>
        <v>-8.021337653099124E-2</v>
      </c>
    </row>
    <row r="13" spans="1:9" ht="15.75">
      <c r="A13" s="48" t="str">
        <v>Canton</v>
      </c>
      <c r="B13" s="10" t="str">
        <v>MA</v>
      </c>
      <c r="C13" s="11">
        <f>SUM(Jan!C13, Feb!C13, Mar!C13)</f>
        <v>139223.51122448966</v>
      </c>
      <c r="D13" s="18">
        <f>SUM(Jan!D13, Feb!D13, Mar!D13)</f>
        <v>149863.22999999998</v>
      </c>
      <c r="E13" s="18">
        <f t="shared" si="0"/>
        <v>-10639.718775510322</v>
      </c>
      <c r="F13" s="19">
        <f t="shared" si="1"/>
        <v>-7.0996192832026406E-2</v>
      </c>
      <c r="G13" s="20">
        <f>SUM(Jan!G13, Feb!G13, Mar!G13)</f>
        <v>148265.58000000002</v>
      </c>
      <c r="H13" s="20">
        <f>SUM(Jan!H13, Feb!H13, Mar!H13)</f>
        <v>-9042.0687755103354</v>
      </c>
      <c r="I13" s="19">
        <f t="shared" si="2"/>
        <v>-6.0985623065787316E-2</v>
      </c>
    </row>
    <row r="14" spans="1:9" ht="15.75">
      <c r="A14" s="47" t="str">
        <v>Chelsea</v>
      </c>
      <c r="B14" s="9" t="str">
        <v>MA</v>
      </c>
      <c r="C14" s="24">
        <f>SUM(Jan!C14, Feb!C14, Mar!C14)</f>
        <v>258959</v>
      </c>
      <c r="D14" s="13">
        <f>SUM(Jan!D14, Feb!D14, Mar!D14)</f>
        <v>265501.42</v>
      </c>
      <c r="E14" s="13">
        <f t="shared" si="0"/>
        <v>-6542.4199999999837</v>
      </c>
      <c r="F14" s="14">
        <f t="shared" si="1"/>
        <v>-2.4641751445246447E-2</v>
      </c>
      <c r="G14" s="15">
        <f>SUM(Jan!G14, Feb!G14, Mar!G14)</f>
        <v>248557.13</v>
      </c>
      <c r="H14" s="15">
        <f>SUM(Jan!H14, Feb!H14, Mar!H14)</f>
        <v>10401.869999999988</v>
      </c>
      <c r="I14" s="16">
        <f t="shared" si="2"/>
        <v>4.1849010728438919E-2</v>
      </c>
    </row>
    <row r="15" spans="1:9" ht="15.75">
      <c r="A15" s="48" t="str">
        <v>Hamilton Landfill</v>
      </c>
      <c r="B15" s="10" t="str">
        <v>MA</v>
      </c>
      <c r="C15" s="11">
        <f>SUM(Jan!C15, Feb!C15, Mar!C15)</f>
        <v>206487.26648176264</v>
      </c>
      <c r="D15" s="18">
        <f>SUM(Jan!D15, Feb!D15, Mar!D15)</f>
        <v>252276</v>
      </c>
      <c r="E15" s="18">
        <f t="shared" si="0"/>
        <v>-45788.733518237364</v>
      </c>
      <c r="F15" s="19">
        <f t="shared" si="1"/>
        <v>-0.18150253499436081</v>
      </c>
      <c r="G15" s="20">
        <f>SUM(Jan!G15, Feb!G15, Mar!G15)</f>
        <v>0</v>
      </c>
      <c r="H15" s="20">
        <f>SUM(Jan!H15, Feb!H15, Mar!H15)</f>
        <v>206487.26648176264</v>
      </c>
      <c r="I15" s="19" t="str">
        <f t="shared" si="2"/>
        <v/>
      </c>
    </row>
    <row r="16" spans="1:9" ht="15.75">
      <c r="A16" s="47" t="str">
        <v>Holliston</v>
      </c>
      <c r="B16" s="9" t="str">
        <v>MA</v>
      </c>
      <c r="C16" s="24">
        <f>SUM(Jan!C16, Feb!C16, Mar!C16)</f>
        <v>335953</v>
      </c>
      <c r="D16" s="13">
        <f>SUM(Jan!D16, Feb!D16, Mar!D16)</f>
        <v>354261.62</v>
      </c>
      <c r="E16" s="13">
        <f t="shared" ref="E16:E18" si="3">IF(AND(ISNUMBER(C16),ISNUMBER(D16)), C16-D16, "")</f>
        <v>-18308.619999999995</v>
      </c>
      <c r="F16" s="14">
        <f t="shared" ref="F16:F18" si="4">IFERROR(E16/D16, "")</f>
        <v>-5.1681071181236049E-2</v>
      </c>
      <c r="G16" s="15">
        <f>SUM(Jan!G16, Feb!G16, Mar!G16)</f>
        <v>393997.22</v>
      </c>
      <c r="H16" s="15">
        <f>SUM(Jan!H16, Feb!H16, Mar!H16)</f>
        <v>-58044.220000000016</v>
      </c>
      <c r="I16" s="16">
        <f t="shared" ref="I16:I18" si="5">IFERROR(H16/G16, "")</f>
        <v>-0.14732139480578066</v>
      </c>
    </row>
    <row r="17" spans="1:9" ht="15.75">
      <c r="A17" s="48" t="str">
        <v>Natick HS - Carports</v>
      </c>
      <c r="B17" s="10" t="str">
        <v>MA</v>
      </c>
      <c r="C17" s="11">
        <f>SUM(Jan!C17, Feb!C17, Mar!C17)</f>
        <v>114826</v>
      </c>
      <c r="D17" s="18">
        <f>SUM(Jan!D17, Feb!D17, Mar!D17)</f>
        <v>150902.6</v>
      </c>
      <c r="E17" s="18">
        <f t="shared" si="3"/>
        <v>-36076.600000000006</v>
      </c>
      <c r="F17" s="19">
        <f t="shared" si="4"/>
        <v>-0.23907209020918133</v>
      </c>
      <c r="G17" s="20">
        <f>SUM(Jan!G17, Feb!G17, Mar!G17)</f>
        <v>0</v>
      </c>
      <c r="H17" s="20">
        <f>SUM(Jan!H17, Feb!H17, Mar!H17)</f>
        <v>114826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SUM(Jan!C18, Feb!C18, Mar!C18)</f>
        <v>665258</v>
      </c>
      <c r="D18" s="13">
        <f>SUM(Jan!D18, Feb!D18, Mar!D18)</f>
        <v>744061.3</v>
      </c>
      <c r="E18" s="13">
        <f t="shared" si="3"/>
        <v>-78803.300000000047</v>
      </c>
      <c r="F18" s="14">
        <f t="shared" si="4"/>
        <v>-0.10590968781738822</v>
      </c>
      <c r="G18" s="15">
        <f>SUM(Jan!G18, Feb!G18, Mar!G18)</f>
        <v>787612.1</v>
      </c>
      <c r="H18" s="15">
        <f>SUM(Jan!H18, Feb!H18, Mar!H18)</f>
        <v>-122354.09999999998</v>
      </c>
      <c r="I18" s="16">
        <f t="shared" si="5"/>
        <v>-0.15534817202529008</v>
      </c>
    </row>
    <row r="19" spans="1:9" ht="15.75">
      <c r="A19" s="48" t="str">
        <v>Palmer - Boston Rd.</v>
      </c>
      <c r="B19" s="10" t="str">
        <v>MA</v>
      </c>
      <c r="C19" s="11">
        <f>SUM(Jan!C19, Feb!C19, Mar!C19)</f>
        <v>140541.54750000031</v>
      </c>
      <c r="D19" s="18">
        <f>SUM(Jan!D19, Feb!D19, Mar!D19)</f>
        <v>158020.53</v>
      </c>
      <c r="E19" s="18">
        <f t="shared" ref="E19:E33" si="6">IF(AND(ISNUMBER(C19),ISNUMBER(D19)), C19-D19, "")</f>
        <v>-17478.982499999693</v>
      </c>
      <c r="F19" s="19">
        <f t="shared" ref="F19:F33" si="7">IFERROR(E19/D19, "")</f>
        <v>-0.11061209894688806</v>
      </c>
      <c r="G19" s="20">
        <f>SUM(Jan!G19, Feb!G19, Mar!G19)</f>
        <v>177011</v>
      </c>
      <c r="H19" s="20">
        <f>SUM(Jan!H19, Feb!H19, Mar!H19)</f>
        <v>-36469.452499999701</v>
      </c>
      <c r="I19" s="19">
        <f t="shared" ref="I19:I33" si="8">IFERROR(H19/G19, "")</f>
        <v>-0.20602930043895409</v>
      </c>
    </row>
    <row r="20" spans="1:9" ht="15.75">
      <c r="A20" s="47" t="str">
        <v>Shirley Bartkus</v>
      </c>
      <c r="B20" s="9" t="str">
        <v>MA</v>
      </c>
      <c r="C20" s="24">
        <f>SUM(Jan!C20, Feb!C20, Mar!C20)</f>
        <v>100304.5</v>
      </c>
      <c r="D20" s="13">
        <f>SUM(Jan!D20, Feb!D20, Mar!D20)</f>
        <v>128316.91</v>
      </c>
      <c r="E20" s="13">
        <f t="shared" si="6"/>
        <v>-28012.410000000003</v>
      </c>
      <c r="F20" s="14">
        <f t="shared" si="7"/>
        <v>-0.21830645703672261</v>
      </c>
      <c r="G20" s="15">
        <f>SUM(Jan!G20, Feb!G20, Mar!G20)</f>
        <v>240628</v>
      </c>
      <c r="H20" s="15">
        <f>SUM(Jan!H20, Feb!H20, Mar!H20)</f>
        <v>-140323.5</v>
      </c>
      <c r="I20" s="16">
        <f t="shared" si="8"/>
        <v>-0.58315532689462568</v>
      </c>
    </row>
    <row r="21" spans="1:9" ht="15.75">
      <c r="A21" s="48" t="str">
        <v>Stoughton</v>
      </c>
      <c r="B21" s="10" t="str">
        <v>MA</v>
      </c>
      <c r="C21" s="11">
        <f>SUM(Jan!C21, Feb!C21, Mar!C21)</f>
        <v>162214.0129310349</v>
      </c>
      <c r="D21" s="18">
        <f>SUM(Jan!D21, Feb!D21, Mar!D21)</f>
        <v>120628.10999999999</v>
      </c>
      <c r="E21" s="18">
        <f t="shared" si="6"/>
        <v>41585.902931034914</v>
      </c>
      <c r="F21" s="19">
        <f t="shared" si="7"/>
        <v>0.34474471108794558</v>
      </c>
      <c r="G21" s="20">
        <f>SUM(Jan!G21, Feb!G21, Mar!G21)</f>
        <v>163750.41</v>
      </c>
      <c r="H21" s="20">
        <f>SUM(Jan!H21, Feb!H21, Mar!H21)</f>
        <v>-1536.3970689651032</v>
      </c>
      <c r="I21" s="19">
        <f t="shared" si="8"/>
        <v>-9.3825540282012308E-3</v>
      </c>
    </row>
    <row r="22" spans="1:9" ht="15.75">
      <c r="A22" s="47" t="str">
        <v>Wellfleet Landfill</v>
      </c>
      <c r="B22" s="9" t="str">
        <v>MA</v>
      </c>
      <c r="C22" s="24">
        <f>SUM(Jan!C22, Feb!C22, Mar!C22)</f>
        <v>197584</v>
      </c>
      <c r="D22" s="13">
        <f>SUM(Jan!D22, Feb!D22, Mar!D22)</f>
        <v>216979</v>
      </c>
      <c r="E22" s="13">
        <f t="shared" si="6"/>
        <v>-19395</v>
      </c>
      <c r="F22" s="14">
        <f t="shared" si="7"/>
        <v>-8.938653049373442E-2</v>
      </c>
      <c r="G22" s="15">
        <f>SUM(Jan!G22, Feb!G22, Mar!G22)</f>
        <v>0</v>
      </c>
      <c r="H22" s="15">
        <f>SUM(Jan!H22, Feb!H22, Mar!H22)</f>
        <v>197584</v>
      </c>
      <c r="I22" s="16" t="str">
        <f t="shared" si="8"/>
        <v/>
      </c>
    </row>
    <row r="23" spans="1:9" ht="15.75">
      <c r="A23" s="48" t="str">
        <v>Wilmington Garage &amp; Building 7</v>
      </c>
      <c r="B23" s="10" t="str">
        <v>MA</v>
      </c>
      <c r="C23" s="11">
        <f>SUM(Jan!C23, Feb!C23, Mar!C23)</f>
        <v>236826.23999999999</v>
      </c>
      <c r="D23" s="18">
        <f>SUM(Jan!D23, Feb!D23, Mar!D23)</f>
        <v>265956.24</v>
      </c>
      <c r="E23" s="18">
        <f t="shared" si="6"/>
        <v>-29130</v>
      </c>
      <c r="F23" s="19">
        <f t="shared" si="7"/>
        <v>-0.10952929700013807</v>
      </c>
      <c r="G23" s="20">
        <f>SUM(Jan!G23, Feb!G23, Mar!G23)</f>
        <v>245303.76</v>
      </c>
      <c r="H23" s="20">
        <f>SUM(Jan!H23, Feb!H23, Mar!H23)</f>
        <v>-8477.520000000015</v>
      </c>
      <c r="I23" s="19">
        <f t="shared" si="8"/>
        <v>-3.4559274590817583E-2</v>
      </c>
    </row>
    <row r="24" spans="1:9" ht="15.75">
      <c r="A24" s="47" t="str">
        <v>Woburn</v>
      </c>
      <c r="B24" s="9" t="str">
        <v>MA</v>
      </c>
      <c r="C24" s="24">
        <f>SUM(Jan!C24, Feb!C24, Mar!C24)</f>
        <v>364419.10756972153</v>
      </c>
      <c r="D24" s="13">
        <f>SUM(Jan!D24, Feb!D24, Mar!D24)</f>
        <v>441019.47</v>
      </c>
      <c r="E24" s="13">
        <f t="shared" si="6"/>
        <v>-76600.362430278445</v>
      </c>
      <c r="F24" s="14">
        <f t="shared" si="7"/>
        <v>-0.17368929863862576</v>
      </c>
      <c r="G24" s="15">
        <f>SUM(Jan!G24, Feb!G24, Mar!G24)</f>
        <v>347015.71</v>
      </c>
      <c r="H24" s="15">
        <f>SUM(Jan!H24, Feb!H24, Mar!H24)</f>
        <v>17403.397569721506</v>
      </c>
      <c r="I24" s="16">
        <f t="shared" si="8"/>
        <v>5.0151612933378449E-2</v>
      </c>
    </row>
    <row r="25" spans="1:9" ht="15.75">
      <c r="A25" s="48" t="str">
        <v>Friendship Solar 1</v>
      </c>
      <c r="B25" s="10" t="str">
        <v>MD</v>
      </c>
      <c r="C25" s="11">
        <f>SUM(Jan!C25, Feb!C25, Mar!C25)</f>
        <v>881961</v>
      </c>
      <c r="D25" s="18">
        <f>SUM(Jan!D25, Feb!D25, Mar!D25)</f>
        <v>927597.79999999993</v>
      </c>
      <c r="E25" s="18">
        <f t="shared" si="6"/>
        <v>-45636.79999999993</v>
      </c>
      <c r="F25" s="19">
        <f t="shared" si="7"/>
        <v>-4.9198909268650629E-2</v>
      </c>
      <c r="G25" s="20">
        <f>SUM(Jan!G25, Feb!G25, Mar!G25)</f>
        <v>1003756.9</v>
      </c>
      <c r="H25" s="20">
        <f>SUM(Jan!H25, Feb!H25, Mar!H25)</f>
        <v>-121795.90000000002</v>
      </c>
      <c r="I25" s="19">
        <f t="shared" si="8"/>
        <v>-0.12134003761269289</v>
      </c>
    </row>
    <row r="26" spans="1:9" ht="15.75">
      <c r="A26" s="47" t="str">
        <v>Friendship Solar 2</v>
      </c>
      <c r="B26" s="9" t="str">
        <v>MD</v>
      </c>
      <c r="C26" s="24">
        <f>SUM(Jan!C26, Feb!C26, Mar!C26)</f>
        <v>883022</v>
      </c>
      <c r="D26" s="13">
        <f>SUM(Jan!D26, Feb!D26, Mar!D26)</f>
        <v>944636.9</v>
      </c>
      <c r="E26" s="13">
        <f t="shared" si="6"/>
        <v>-61614.900000000023</v>
      </c>
      <c r="F26" s="14">
        <f t="shared" si="7"/>
        <v>-6.522601435535709E-2</v>
      </c>
      <c r="G26" s="15">
        <f>SUM(Jan!G26, Feb!G26, Mar!G26)</f>
        <v>1006610.5</v>
      </c>
      <c r="H26" s="15">
        <f>SUM(Jan!H26, Feb!H26, Mar!H26)</f>
        <v>-123588.5</v>
      </c>
      <c r="I26" s="16">
        <f t="shared" si="8"/>
        <v>-0.12277688341220362</v>
      </c>
    </row>
    <row r="27" spans="1:9" ht="15.75">
      <c r="A27" s="48" t="str">
        <v>101 Carnegie Center</v>
      </c>
      <c r="B27" s="10" t="str">
        <v>NJ</v>
      </c>
      <c r="C27" s="11">
        <f>SUM(Jan!C27, Feb!C27, Mar!C27)</f>
        <v>308138</v>
      </c>
      <c r="D27" s="18">
        <f>SUM(Jan!D27, Feb!D27, Mar!D27)</f>
        <v>379211.6</v>
      </c>
      <c r="E27" s="18">
        <f t="shared" si="6"/>
        <v>-71073.599999999977</v>
      </c>
      <c r="F27" s="19">
        <f t="shared" si="7"/>
        <v>-0.18742464629246569</v>
      </c>
      <c r="G27" s="20">
        <f>SUM(Jan!G27, Feb!G27, Mar!G27)</f>
        <v>0</v>
      </c>
      <c r="H27" s="20">
        <f>SUM(Jan!H27, Feb!H27, Mar!H27)</f>
        <v>308138</v>
      </c>
      <c r="I27" s="19" t="str">
        <f t="shared" si="8"/>
        <v/>
      </c>
    </row>
    <row r="28" spans="1:9" ht="15.75">
      <c r="A28" s="47" t="str">
        <v>302 Carnegie Center</v>
      </c>
      <c r="B28" s="9" t="str">
        <v>NJ</v>
      </c>
      <c r="C28" s="24">
        <f>SUM(Jan!C28, Feb!C28, Mar!C28)</f>
        <v>134830.6</v>
      </c>
      <c r="D28" s="13">
        <f>SUM(Jan!D28, Feb!D28, Mar!D28)</f>
        <v>158870.5</v>
      </c>
      <c r="E28" s="13">
        <f t="shared" si="6"/>
        <v>-24039.899999999994</v>
      </c>
      <c r="F28" s="14">
        <f t="shared" si="7"/>
        <v>-0.15131758255938008</v>
      </c>
      <c r="G28" s="15">
        <f>SUM(Jan!G28, Feb!G28, Mar!G28)</f>
        <v>0</v>
      </c>
      <c r="H28" s="15">
        <f>SUM(Jan!H28, Feb!H28, Mar!H28)</f>
        <v>134830.6</v>
      </c>
      <c r="I28" s="16" t="str">
        <f t="shared" si="8"/>
        <v/>
      </c>
    </row>
    <row r="29" spans="1:9" ht="15.75">
      <c r="A29" s="48" t="str">
        <v>510 Carnegie Center</v>
      </c>
      <c r="B29" s="10" t="str">
        <v>NJ</v>
      </c>
      <c r="C29" s="11">
        <f>SUM(Jan!C29, Feb!C29, Mar!C29)</f>
        <v>330124</v>
      </c>
      <c r="D29" s="18">
        <f>SUM(Jan!D29, Feb!D29, Mar!D29)</f>
        <v>410128</v>
      </c>
      <c r="E29" s="18">
        <f t="shared" si="6"/>
        <v>-80004</v>
      </c>
      <c r="F29" s="19">
        <f t="shared" si="7"/>
        <v>-0.19507080716264191</v>
      </c>
      <c r="G29" s="20">
        <f>SUM(Jan!G29, Feb!G29, Mar!G29)</f>
        <v>0</v>
      </c>
      <c r="H29" s="20">
        <f>SUM(Jan!H29, Feb!H29, Mar!H29)</f>
        <v>330124</v>
      </c>
      <c r="I29" s="19" t="str">
        <f t="shared" si="8"/>
        <v/>
      </c>
    </row>
    <row r="30" spans="1:9" ht="15.75">
      <c r="A30" s="47" t="str">
        <v>701 Carnegie Center</v>
      </c>
      <c r="B30" s="9" t="str">
        <v>NJ</v>
      </c>
      <c r="C30" s="24">
        <f>SUM(Jan!C30, Feb!C30, Mar!C30)</f>
        <v>259333</v>
      </c>
      <c r="D30" s="13">
        <f>SUM(Jan!D30, Feb!D30, Mar!D30)</f>
        <v>325235</v>
      </c>
      <c r="E30" s="13">
        <f t="shared" si="6"/>
        <v>-65902</v>
      </c>
      <c r="F30" s="14">
        <f t="shared" si="7"/>
        <v>-0.20262886835672667</v>
      </c>
      <c r="G30" s="15">
        <f>SUM(Jan!G30, Feb!G30, Mar!G30)</f>
        <v>0</v>
      </c>
      <c r="H30" s="15">
        <f>SUM(Jan!H30, Feb!H30, Mar!H30)</f>
        <v>259333</v>
      </c>
      <c r="I30" s="16" t="str">
        <f t="shared" si="8"/>
        <v/>
      </c>
    </row>
    <row r="31" spans="1:9" ht="15.75">
      <c r="A31" s="48" t="str">
        <v>Hudson County Correction</v>
      </c>
      <c r="B31" s="10" t="str">
        <v>NJ</v>
      </c>
      <c r="C31" s="11">
        <f>SUM(Jan!C31, Feb!C31, Mar!C31)</f>
        <v>336527.19920721248</v>
      </c>
      <c r="D31" s="18">
        <f>SUM(Jan!D31, Feb!D31, Mar!D31)</f>
        <v>314692.13</v>
      </c>
      <c r="E31" s="18">
        <f t="shared" si="6"/>
        <v>21835.06920721248</v>
      </c>
      <c r="F31" s="19">
        <f t="shared" si="7"/>
        <v>6.9385494982707324E-2</v>
      </c>
      <c r="G31" s="20">
        <f>SUM(Jan!G31, Feb!G31, Mar!G31)</f>
        <v>366551.28</v>
      </c>
      <c r="H31" s="20">
        <f>SUM(Jan!H31, Feb!H31, Mar!H31)</f>
        <v>-30024.080792787514</v>
      </c>
      <c r="I31" s="19">
        <f t="shared" si="8"/>
        <v>-8.1909632924450609E-2</v>
      </c>
    </row>
    <row r="32" spans="1:9" ht="15.75">
      <c r="A32" s="47" t="str">
        <v>ER Bison Solar</v>
      </c>
      <c r="B32" s="9" t="str">
        <v>PA</v>
      </c>
      <c r="C32" s="24">
        <f>SUM(Jan!C32, Feb!C32, Mar!C32)</f>
        <v>406302</v>
      </c>
      <c r="D32" s="13">
        <f>SUM(Jan!D32, Feb!D32, Mar!D32)</f>
        <v>0</v>
      </c>
      <c r="E32" s="13">
        <f t="shared" si="6"/>
        <v>406302</v>
      </c>
      <c r="F32" s="14" t="str">
        <f t="shared" si="7"/>
        <v/>
      </c>
      <c r="G32" s="15">
        <f>SUM(Jan!G32, Feb!G32, Mar!G32)</f>
        <v>434940</v>
      </c>
      <c r="H32" s="15">
        <f>SUM(Jan!H32, Feb!H32, Mar!H32)</f>
        <v>-28638</v>
      </c>
      <c r="I32" s="16">
        <f t="shared" si="8"/>
        <v>-6.5843564629604084E-2</v>
      </c>
    </row>
    <row r="33" spans="1:9" ht="15.75">
      <c r="A33" s="48" t="str">
        <v>Danville</v>
      </c>
      <c r="B33" s="10" t="str">
        <v>IL</v>
      </c>
      <c r="C33" s="11">
        <f>SUM(Jan!C33, Feb!C33, Mar!C33)</f>
        <v>741835</v>
      </c>
      <c r="D33" s="21">
        <f>SUM(Jan!D33, Feb!D33, Mar!D33)</f>
        <v>0</v>
      </c>
      <c r="E33" s="18">
        <f t="shared" si="6"/>
        <v>741835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741835</v>
      </c>
      <c r="I33" s="19" t="str">
        <f t="shared" si="8"/>
        <v/>
      </c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17" activePane="bottomRight" state="frozen"/>
      <selection pane="bottomRight" activeCell="E38" sqref="E38"/>
      <selection pane="bottomLeft" activeCell="K22" sqref="K22"/>
      <selection pane="topRight" activeCell="K22" sqref="K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Greenbacker</v>
      </c>
      <c r="B1" s="77"/>
      <c r="C1" s="77"/>
      <c r="D1" s="78" t="s">
        <v>12</v>
      </c>
      <c r="E1" s="78"/>
      <c r="F1" s="78"/>
      <c r="G1" s="76" t="s">
        <v>13</v>
      </c>
      <c r="H1" s="76"/>
      <c r="I1" s="76"/>
    </row>
    <row r="2" spans="1:9" ht="19.5" customHeight="1">
      <c r="A2" s="79" t="s">
        <v>2</v>
      </c>
      <c r="B2" s="7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48" t="str">
        <v>15 Walpole Park South</v>
      </c>
      <c r="B5" s="10" t="str">
        <v>MA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75">
      <c r="A6" s="47" t="str">
        <v>19 Walpole Park South</v>
      </c>
      <c r="B6" s="9" t="str">
        <v>MA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75">
      <c r="A7" s="48" t="str">
        <v>23 Walpole Park South</v>
      </c>
      <c r="B7" s="10" t="str">
        <v>MA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75">
      <c r="A8" s="47" t="str">
        <v>24 Walpole Park South</v>
      </c>
      <c r="B8" s="9" t="str">
        <v>MA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75">
      <c r="A9" s="48" t="str">
        <v>25 Walpole Park South</v>
      </c>
      <c r="B9" s="10" t="str">
        <v>MA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75">
      <c r="A10" s="47" t="str">
        <v>3 Walpole Park South</v>
      </c>
      <c r="B10" s="9" t="str">
        <v>MA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75">
      <c r="A11" s="48" t="str">
        <v>4 Walpole Park South</v>
      </c>
      <c r="B11" s="10" t="str">
        <v>MA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75">
      <c r="A12" s="47" t="str">
        <v>Brockton</v>
      </c>
      <c r="B12" s="9" t="str">
        <v>MA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75">
      <c r="A13" s="48" t="str">
        <v>Canton</v>
      </c>
      <c r="B13" s="10" t="str">
        <v>MA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75">
      <c r="A14" s="47" t="str">
        <v>Chelsea</v>
      </c>
      <c r="B14" s="9" t="str">
        <v>MA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75">
      <c r="A15" s="48" t="str">
        <v>Hamilton Landfill</v>
      </c>
      <c r="B15" s="10" t="str">
        <v>MA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75">
      <c r="A16" s="47" t="str">
        <v>Holliston</v>
      </c>
      <c r="B16" s="9" t="str">
        <v>MA</v>
      </c>
      <c r="C16" s="24">
        <f>SUM(Apr!C16, May!C16, Jun!C16)</f>
        <v>0</v>
      </c>
      <c r="D16" s="13">
        <f>SUM(Apr!D16, May!D16, Jun!D16)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SUM(Apr!H16, May!H16, Jun!H16)</f>
        <v>0</v>
      </c>
      <c r="I16" s="16" t="str">
        <f t="shared" ref="I16:I18" si="5">IFERROR(H16/G16, "")</f>
        <v/>
      </c>
    </row>
    <row r="17" spans="1:9" ht="15.75">
      <c r="A17" s="48" t="str">
        <v>Natick HS - Carports</v>
      </c>
      <c r="B17" s="10" t="str">
        <v>MA</v>
      </c>
      <c r="C17" s="11">
        <f>SUM(Apr!C17, May!C17, Jun!C17)</f>
        <v>0</v>
      </c>
      <c r="D17" s="18">
        <f>SUM(Apr!D17, May!D17, Jun!D17)</f>
        <v>0</v>
      </c>
      <c r="E17" s="18">
        <f t="shared" si="3"/>
        <v>0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75">
      <c r="A19" s="48" t="str">
        <v>Palmer - Boston Rd.</v>
      </c>
      <c r="B19" s="10" t="str">
        <v>MA</v>
      </c>
      <c r="C19" s="11">
        <f>SUM(Apr!C19, May!C19, Jun!C19)</f>
        <v>0</v>
      </c>
      <c r="D19" s="18">
        <f>SUM(Apr!D19, May!D19, Jun!D19)</f>
        <v>0</v>
      </c>
      <c r="E19" s="18">
        <f t="shared" ref="E19:E33" si="6">IF(AND(ISNUMBER(C19),ISNUMBER(D19)), C19-D19, "")</f>
        <v>0</v>
      </c>
      <c r="F19" s="19" t="str">
        <f t="shared" ref="F19:F33" si="7">IFERROR(E19/D19, "")</f>
        <v/>
      </c>
      <c r="G19" s="20"/>
      <c r="H19" s="20">
        <f>SUM(Apr!H19, May!H19, Jun!H19)</f>
        <v>0</v>
      </c>
      <c r="I19" s="19" t="str">
        <f t="shared" ref="I19:I33" si="8">IFERROR(H19/G19, "")</f>
        <v/>
      </c>
    </row>
    <row r="20" spans="1:9" ht="15.75">
      <c r="A20" s="47" t="str">
        <v>Shirley Bartkus</v>
      </c>
      <c r="B20" s="9" t="str">
        <v>MA</v>
      </c>
      <c r="C20" s="24">
        <f>SUM(Apr!C20, May!C20, Jun!C20)</f>
        <v>0</v>
      </c>
      <c r="D20" s="13">
        <f>SUM(Apr!D20, May!D20, Jun!D20)</f>
        <v>0</v>
      </c>
      <c r="E20" s="13">
        <f t="shared" si="6"/>
        <v>0</v>
      </c>
      <c r="F20" s="14" t="str">
        <f t="shared" si="7"/>
        <v/>
      </c>
      <c r="G20" s="15"/>
      <c r="H20" s="15">
        <f>SUM(Apr!H20, May!H20, Jun!H20)</f>
        <v>0</v>
      </c>
      <c r="I20" s="16" t="str">
        <f t="shared" si="8"/>
        <v/>
      </c>
    </row>
    <row r="21" spans="1:9" ht="15.75">
      <c r="A21" s="48" t="str">
        <v>Stoughton</v>
      </c>
      <c r="B21" s="10" t="str">
        <v>MA</v>
      </c>
      <c r="C21" s="11">
        <f>SUM(Apr!C21, May!C21, Jun!C21)</f>
        <v>0</v>
      </c>
      <c r="D21" s="18">
        <f>SUM(Apr!D21, May!D21, Jun!D21)</f>
        <v>0</v>
      </c>
      <c r="E21" s="18">
        <f t="shared" si="6"/>
        <v>0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75">
      <c r="A22" s="47" t="str">
        <v>Wellfleet Landfill</v>
      </c>
      <c r="B22" s="9" t="str">
        <v>MA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75">
      <c r="A23" s="48" t="str">
        <v>Wilmington Garage &amp; Building 7</v>
      </c>
      <c r="B23" s="10" t="str">
        <v>MA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75">
      <c r="A24" s="47" t="str">
        <v>Woburn</v>
      </c>
      <c r="B24" s="9" t="str">
        <v>MA</v>
      </c>
      <c r="C24" s="24">
        <f>SUM(Apr!C24, May!C24, Jun!C24)</f>
        <v>0</v>
      </c>
      <c r="D24" s="13">
        <f>SUM(Apr!D24, May!D24, Jun!D24)</f>
        <v>0</v>
      </c>
      <c r="E24" s="13">
        <f t="shared" si="6"/>
        <v>0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75">
      <c r="A25" s="48" t="str">
        <v>Friendship Solar 1</v>
      </c>
      <c r="B25" s="10" t="str">
        <v>MD</v>
      </c>
      <c r="C25" s="11">
        <f>SUM(Apr!C25, May!C25, Jun!C25)</f>
        <v>0</v>
      </c>
      <c r="D25" s="18">
        <f>SUM(Apr!D25, May!D25, Jun!D25)</f>
        <v>0</v>
      </c>
      <c r="E25" s="18">
        <f t="shared" si="6"/>
        <v>0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75">
      <c r="A26" s="47" t="str">
        <v>Friendship Solar 2</v>
      </c>
      <c r="B26" s="9" t="str">
        <v>MD</v>
      </c>
      <c r="C26" s="24">
        <f>SUM(Apr!C26, May!C26, Jun!C26)</f>
        <v>0</v>
      </c>
      <c r="D26" s="13">
        <f>SUM(Apr!D26, May!D26, Jun!D26)</f>
        <v>0</v>
      </c>
      <c r="E26" s="13">
        <f t="shared" si="6"/>
        <v>0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75">
      <c r="A27" s="48" t="str">
        <v>101 Carnegie Center</v>
      </c>
      <c r="B27" s="10" t="str">
        <v>NJ</v>
      </c>
      <c r="C27" s="11">
        <f>SUM(Apr!C27, May!C27, Jun!C27)</f>
        <v>0</v>
      </c>
      <c r="D27" s="18">
        <f>SUM(Apr!D27, May!D27, Jun!D27)</f>
        <v>0</v>
      </c>
      <c r="E27" s="18">
        <f t="shared" si="6"/>
        <v>0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75">
      <c r="A28" s="47" t="str">
        <v>302 Carnegie Center</v>
      </c>
      <c r="B28" s="9" t="str">
        <v>NJ</v>
      </c>
      <c r="C28" s="24">
        <f>SUM(Apr!C28, May!C28, Jun!C28)</f>
        <v>0</v>
      </c>
      <c r="D28" s="13">
        <f>SUM(Apr!D28, May!D28, Jun!D28)</f>
        <v>0</v>
      </c>
      <c r="E28" s="13">
        <f t="shared" si="6"/>
        <v>0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5.75">
      <c r="A29" s="48" t="str">
        <v>510 Carnegie Center</v>
      </c>
      <c r="B29" s="10" t="str">
        <v>NJ</v>
      </c>
      <c r="C29" s="11">
        <f>SUM(Apr!C29, May!C29, Jun!C29)</f>
        <v>0</v>
      </c>
      <c r="D29" s="18">
        <f>SUM(Apr!D29, May!D29, Jun!D29)</f>
        <v>0</v>
      </c>
      <c r="E29" s="18">
        <f t="shared" si="6"/>
        <v>0</v>
      </c>
      <c r="F29" s="19" t="str">
        <f t="shared" si="7"/>
        <v/>
      </c>
      <c r="G29" s="20"/>
      <c r="H29" s="20">
        <f>SUM(Apr!H29, May!H29, Jun!H29)</f>
        <v>0</v>
      </c>
      <c r="I29" s="19" t="str">
        <f t="shared" si="8"/>
        <v/>
      </c>
    </row>
    <row r="30" spans="1:9" ht="15.75">
      <c r="A30" s="47" t="str">
        <v>701 Carnegie Center</v>
      </c>
      <c r="B30" s="9" t="str">
        <v>NJ</v>
      </c>
      <c r="C30" s="24">
        <f>SUM(Apr!C30, May!C30, Jun!C30)</f>
        <v>0</v>
      </c>
      <c r="D30" s="13">
        <f>SUM(Apr!D30, May!D30, Jun!D30)</f>
        <v>0</v>
      </c>
      <c r="E30" s="13">
        <f t="shared" si="6"/>
        <v>0</v>
      </c>
      <c r="F30" s="14" t="str">
        <f t="shared" si="7"/>
        <v/>
      </c>
      <c r="G30" s="15"/>
      <c r="H30" s="15">
        <f>SUM(Apr!H30, May!H30, Jun!H30)</f>
        <v>0</v>
      </c>
      <c r="I30" s="16" t="str">
        <f t="shared" si="8"/>
        <v/>
      </c>
    </row>
    <row r="31" spans="1:9" ht="15.75">
      <c r="A31" s="48" t="str">
        <v>Hudson County Correction</v>
      </c>
      <c r="B31" s="10" t="str">
        <v>NJ</v>
      </c>
      <c r="C31" s="11">
        <f>SUM(Apr!C31, May!C31, Jun!C31)</f>
        <v>0</v>
      </c>
      <c r="D31" s="18">
        <f>SUM(Apr!D31, May!D31, Jun!D31)</f>
        <v>0</v>
      </c>
      <c r="E31" s="18">
        <f t="shared" si="6"/>
        <v>0</v>
      </c>
      <c r="F31" s="19" t="str">
        <f t="shared" si="7"/>
        <v/>
      </c>
      <c r="G31" s="20"/>
      <c r="H31" s="20">
        <f>SUM(Apr!H31, May!H31, Jun!H31)</f>
        <v>0</v>
      </c>
      <c r="I31" s="19" t="str">
        <f t="shared" si="8"/>
        <v/>
      </c>
    </row>
    <row r="32" spans="1:9" ht="15.75">
      <c r="A32" s="47" t="str">
        <v>ER Bison Solar</v>
      </c>
      <c r="B32" s="9" t="str">
        <v>PA</v>
      </c>
      <c r="C32" s="24">
        <f>SUM(Apr!C32, May!C32, Jun!C32)</f>
        <v>0</v>
      </c>
      <c r="D32" s="13">
        <f>SUM(Apr!D32, May!D32, Jun!D32)</f>
        <v>0</v>
      </c>
      <c r="E32" s="13">
        <f t="shared" si="6"/>
        <v>0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75">
      <c r="A33" s="48" t="str">
        <v>Danville</v>
      </c>
      <c r="B33" s="10" t="str">
        <v>IL</v>
      </c>
      <c r="C33" s="11">
        <f>SUM(Apr!C33, May!C33, Jun!C33)</f>
        <v>0</v>
      </c>
      <c r="D33" s="18">
        <f>SUM(Apr!D33, May!D33, Jun!D33)</f>
        <v>0</v>
      </c>
      <c r="E33" s="18">
        <f t="shared" si="6"/>
        <v>0</v>
      </c>
      <c r="F33" s="19" t="str">
        <f t="shared" si="7"/>
        <v/>
      </c>
      <c r="G33" s="20"/>
      <c r="H33" s="20">
        <f>SUM(Apr!H33, May!H33, Jun!H33)</f>
        <v>0</v>
      </c>
      <c r="I33" s="19" t="str">
        <f t="shared" si="8"/>
        <v/>
      </c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8" activePane="bottomRight" state="frozen"/>
      <selection pane="bottomRight" activeCell="K22" sqref="K22"/>
      <selection pane="bottomLeft" activeCell="K22" sqref="K22"/>
      <selection pane="topRight" activeCell="K22" sqref="K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Greenbacker</v>
      </c>
      <c r="B1" s="77"/>
      <c r="C1" s="77"/>
      <c r="D1" s="78" t="s">
        <v>14</v>
      </c>
      <c r="E1" s="78"/>
      <c r="F1" s="78"/>
      <c r="G1" s="76" t="s">
        <v>15</v>
      </c>
      <c r="H1" s="76"/>
      <c r="I1" s="76"/>
    </row>
    <row r="2" spans="1:9" ht="19.5" customHeight="1">
      <c r="A2" s="79" t="s">
        <v>2</v>
      </c>
      <c r="B2" s="7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48" t="str">
        <v>15 Walpole Park South</v>
      </c>
      <c r="B5" s="10" t="str">
        <v>MA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47" t="str">
        <v>19 Walpole Park South</v>
      </c>
      <c r="B6" s="9" t="str">
        <v>MA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48" t="str">
        <v>23 Walpole Park South</v>
      </c>
      <c r="B7" s="10" t="str">
        <v>MA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47" t="str">
        <v>24 Walpole Park South</v>
      </c>
      <c r="B8" s="9" t="str">
        <v>MA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48" t="str">
        <v>25 Walpole Park South</v>
      </c>
      <c r="B9" s="10" t="str">
        <v>MA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>
      <c r="A10" s="47" t="str">
        <v>3 Walpole Park South</v>
      </c>
      <c r="B10" s="9" t="str">
        <v>MA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48" t="str">
        <v>4 Walpole Park South</v>
      </c>
      <c r="B11" s="10" t="str">
        <v>MA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75">
      <c r="A12" s="47" t="str">
        <v>Brockton</v>
      </c>
      <c r="B12" s="9" t="str">
        <v>MA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48" t="str">
        <v>Canton</v>
      </c>
      <c r="B13" s="10" t="str">
        <v>MA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>
      <c r="A14" s="47" t="str">
        <v>Chelsea</v>
      </c>
      <c r="B14" s="9" t="str">
        <v>MA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75">
      <c r="A15" s="48" t="str">
        <v>Hamilton Landfill</v>
      </c>
      <c r="B15" s="10" t="str">
        <v>MA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75">
      <c r="A16" s="47" t="str">
        <v>Holliston</v>
      </c>
      <c r="B16" s="9" t="str">
        <v>MA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75">
      <c r="A17" s="48" t="str">
        <v>Natick HS - Carports</v>
      </c>
      <c r="B17" s="10" t="str">
        <v>MA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75">
      <c r="A19" s="48" t="str">
        <v>Palmer - Boston Rd.</v>
      </c>
      <c r="B19" s="10" t="str">
        <v>MA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75">
      <c r="A20" s="47" t="str">
        <v>Shirley Bartkus</v>
      </c>
      <c r="B20" s="9" t="str">
        <v>MA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/>
      <c r="H20" s="15">
        <f>SUM(Jul!H20, Aug!H20, Sep!H20)</f>
        <v>0</v>
      </c>
      <c r="I20" s="16" t="str">
        <f t="shared" ref="I20:I25" si="8">IFERROR(H20/G20, "")</f>
        <v/>
      </c>
    </row>
    <row r="21" spans="1:9" ht="15.75">
      <c r="A21" s="48" t="str">
        <v>Stoughton</v>
      </c>
      <c r="B21" s="10" t="str">
        <v>MA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75">
      <c r="A22" s="47" t="str">
        <v>Wellfleet Landfill</v>
      </c>
      <c r="B22" s="9" t="str">
        <v>MA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75">
      <c r="A23" s="48" t="str">
        <v>Wilmington Garage &amp; Building 7</v>
      </c>
      <c r="B23" s="10" t="str">
        <v>MA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75">
      <c r="A24" s="47" t="str">
        <v>Woburn</v>
      </c>
      <c r="B24" s="9" t="str">
        <v>MA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75">
      <c r="A25" s="48" t="str">
        <v>Friendship Solar 1</v>
      </c>
      <c r="B25" s="10" t="str">
        <v>MD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75">
      <c r="A26" s="47" t="str">
        <v>Friendship Solar 2</v>
      </c>
      <c r="B26" s="9" t="str">
        <v>MD</v>
      </c>
      <c r="C26" s="24"/>
      <c r="D26" s="13"/>
      <c r="E26" s="13"/>
      <c r="F26" s="14"/>
      <c r="G26" s="15"/>
      <c r="H26" s="15"/>
      <c r="I26" s="16"/>
    </row>
    <row r="27" spans="1:9" ht="15.75">
      <c r="A27" s="48" t="str">
        <v>101 Carnegie Center</v>
      </c>
      <c r="B27" s="10" t="str">
        <v>NJ</v>
      </c>
      <c r="C27" s="11"/>
      <c r="D27" s="18"/>
      <c r="E27" s="18"/>
      <c r="F27" s="19"/>
      <c r="G27" s="20"/>
      <c r="H27" s="20"/>
      <c r="I27" s="19"/>
    </row>
    <row r="28" spans="1:9" ht="15.75">
      <c r="A28" s="47" t="str">
        <v>302 Carnegie Center</v>
      </c>
      <c r="B28" s="9" t="str">
        <v>NJ</v>
      </c>
      <c r="C28" s="24"/>
      <c r="D28" s="13"/>
      <c r="E28" s="13"/>
      <c r="F28" s="14"/>
      <c r="G28" s="15"/>
      <c r="H28" s="15"/>
      <c r="I28" s="16"/>
    </row>
    <row r="29" spans="1:9" ht="15.75">
      <c r="A29" s="48" t="str">
        <v>510 Carnegie Center</v>
      </c>
      <c r="B29" s="10" t="str">
        <v>NJ</v>
      </c>
      <c r="C29" s="11"/>
      <c r="D29" s="18"/>
      <c r="E29" s="18"/>
      <c r="F29" s="19"/>
      <c r="G29" s="20"/>
      <c r="H29" s="20"/>
      <c r="I29" s="19"/>
    </row>
    <row r="30" spans="1:9" ht="15.75">
      <c r="A30" s="47" t="str">
        <v>701 Carnegie Center</v>
      </c>
      <c r="B30" s="9" t="str">
        <v>NJ</v>
      </c>
      <c r="C30" s="24"/>
      <c r="D30" s="13"/>
      <c r="E30" s="13"/>
      <c r="F30" s="14"/>
      <c r="G30" s="15"/>
      <c r="H30" s="15"/>
      <c r="I30" s="16"/>
    </row>
    <row r="31" spans="1:9" ht="15.75">
      <c r="A31" s="48" t="str">
        <v>Hudson County Correction</v>
      </c>
      <c r="B31" s="10" t="str">
        <v>NJ</v>
      </c>
      <c r="C31" s="11"/>
      <c r="D31" s="18"/>
      <c r="E31" s="18"/>
      <c r="F31" s="19"/>
      <c r="G31" s="20"/>
      <c r="H31" s="20"/>
      <c r="I31" s="19"/>
    </row>
    <row r="32" spans="1:9" ht="15.75">
      <c r="A32" s="47" t="str">
        <v>ER Bison Solar</v>
      </c>
      <c r="B32" s="9" t="str">
        <v>PA</v>
      </c>
      <c r="C32" s="24"/>
      <c r="D32" s="13"/>
      <c r="E32" s="13"/>
      <c r="F32" s="14"/>
      <c r="G32" s="15"/>
      <c r="H32" s="15"/>
      <c r="I32" s="16"/>
    </row>
    <row r="33" spans="1:9" ht="15.75">
      <c r="A33" s="48" t="str">
        <v>Danville</v>
      </c>
      <c r="B33" s="10" t="str">
        <v>IL</v>
      </c>
      <c r="C33" s="11"/>
      <c r="D33" s="18"/>
      <c r="E33" s="18"/>
      <c r="F33" s="19"/>
      <c r="G33" s="20"/>
      <c r="H33" s="20"/>
      <c r="I33" s="19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K21" activePane="bottomRight" state="frozen"/>
      <selection pane="bottomRight" activeCell="K22" sqref="K22"/>
      <selection pane="bottomLeft" activeCell="K22" sqref="K22"/>
      <selection pane="topRight" activeCell="K22" sqref="K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Greenbacker</v>
      </c>
      <c r="B1" s="77"/>
      <c r="C1" s="77"/>
      <c r="D1" s="78" t="s">
        <v>16</v>
      </c>
      <c r="E1" s="78"/>
      <c r="F1" s="78"/>
      <c r="G1" s="76" t="s">
        <v>17</v>
      </c>
      <c r="H1" s="76"/>
      <c r="I1" s="76"/>
    </row>
    <row r="2" spans="1:9" ht="19.5" customHeight="1">
      <c r="A2" s="79" t="s">
        <v>2</v>
      </c>
      <c r="B2" s="7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48" t="str">
        <v>15 Walpole Park South</v>
      </c>
      <c r="B5" s="10" t="str">
        <v>MA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47" t="str">
        <v>19 Walpole Park South</v>
      </c>
      <c r="B6" s="9" t="str">
        <v>MA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48" t="str">
        <v>23 Walpole Park South</v>
      </c>
      <c r="B7" s="10" t="str">
        <v>MA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47" t="str">
        <v>24 Walpole Park South</v>
      </c>
      <c r="B8" s="9" t="str">
        <v>MA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48" t="str">
        <v>25 Walpole Park South</v>
      </c>
      <c r="B9" s="10" t="str">
        <v>MA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47" t="str">
        <v>3 Walpole Park South</v>
      </c>
      <c r="B10" s="9" t="str">
        <v>MA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48" t="str">
        <v>4 Walpole Park South</v>
      </c>
      <c r="B11" s="10" t="str">
        <v>MA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47" t="str">
        <v>Brockton</v>
      </c>
      <c r="B12" s="9" t="str">
        <v>MA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48" t="str">
        <v>Canton</v>
      </c>
      <c r="B13" s="10" t="str">
        <v>MA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47" t="str">
        <v>Chelsea</v>
      </c>
      <c r="B14" s="9" t="str">
        <v>MA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48" t="str">
        <v>Hamilton Landfill</v>
      </c>
      <c r="B15" s="10" t="str">
        <v>MA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47" t="str">
        <v>Holliston</v>
      </c>
      <c r="B16" s="9" t="str">
        <v>MA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75">
      <c r="A17" s="48" t="str">
        <v>Natick HS - Carports</v>
      </c>
      <c r="B17" s="10" t="str">
        <v>MA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SUM(Oct!C18, Nov!C18, Dec!C18)</f>
        <v>0</v>
      </c>
      <c r="D18" s="13">
        <f>SUM(Oct!D18, Nov!D18, Dec!D18)</f>
        <v>0</v>
      </c>
      <c r="E18" s="13">
        <f t="shared" si="3"/>
        <v>0</v>
      </c>
      <c r="F18" s="14" t="str">
        <f t="shared" si="4"/>
        <v/>
      </c>
      <c r="G18" s="15"/>
      <c r="H18" s="15">
        <f>SUM(Oct!H18, Nov!H18, Dec!H18)</f>
        <v>0</v>
      </c>
      <c r="I18" s="16" t="str">
        <f t="shared" si="5"/>
        <v/>
      </c>
    </row>
    <row r="19" spans="1:9" ht="15.75">
      <c r="A19" s="48" t="str">
        <v>Palmer - Boston Rd.</v>
      </c>
      <c r="B19" s="10" t="str">
        <v>MA</v>
      </c>
      <c r="C19" s="11">
        <f>SUM(Oct!C19, Nov!C19, Dec!C19)</f>
        <v>0</v>
      </c>
      <c r="D19" s="18">
        <f>SUM(Oct!D19, Nov!D19, Dec!D19)</f>
        <v>0</v>
      </c>
      <c r="E19" s="18">
        <f t="shared" ref="E19:E25" si="6">IF(AND(ISNUMBER(C19),ISNUMBER(D19)), C19-D19, "")</f>
        <v>0</v>
      </c>
      <c r="F19" s="19" t="str">
        <f t="shared" ref="F19:F25" si="7">IFERROR(E19/D19, "")</f>
        <v/>
      </c>
      <c r="G19" s="20"/>
      <c r="H19" s="20">
        <f>SUM(Oct!H19, Nov!H19, Dec!H19)</f>
        <v>0</v>
      </c>
      <c r="I19" s="19" t="str">
        <f t="shared" ref="I19:I25" si="8">IFERROR(H19/G19, "")</f>
        <v/>
      </c>
    </row>
    <row r="20" spans="1:9" ht="15.75">
      <c r="A20" s="47" t="str">
        <v>Shirley Bartkus</v>
      </c>
      <c r="B20" s="9" t="str">
        <v>MA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75">
      <c r="A21" s="48" t="str">
        <v>Stoughton</v>
      </c>
      <c r="B21" s="10" t="str">
        <v>MA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>
      <c r="A22" s="47" t="str">
        <v>Wellfleet Landfill</v>
      </c>
      <c r="B22" s="9" t="str">
        <v>MA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>
      <c r="A23" s="48" t="str">
        <v>Wilmington Garage &amp; Building 7</v>
      </c>
      <c r="B23" s="10" t="str">
        <v>MA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47" t="str">
        <v>Woburn</v>
      </c>
      <c r="B24" s="9" t="str">
        <v>MA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75">
      <c r="A25" s="48" t="str">
        <v>Friendship Solar 1</v>
      </c>
      <c r="B25" s="10" t="str">
        <v>MD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47" t="str">
        <v>Friendship Solar 2</v>
      </c>
      <c r="B26" s="9" t="str">
        <v>MD</v>
      </c>
      <c r="C26" s="24"/>
      <c r="D26" s="13"/>
      <c r="E26" s="13"/>
      <c r="F26" s="14"/>
      <c r="G26" s="15"/>
      <c r="H26" s="15"/>
      <c r="I26" s="16"/>
    </row>
    <row r="27" spans="1:9" ht="15.75">
      <c r="A27" s="48" t="str">
        <v>101 Carnegie Center</v>
      </c>
      <c r="B27" s="10" t="str">
        <v>NJ</v>
      </c>
      <c r="C27" s="11"/>
      <c r="D27" s="18"/>
      <c r="E27" s="18"/>
      <c r="F27" s="19"/>
      <c r="G27" s="20"/>
      <c r="H27" s="20"/>
      <c r="I27" s="19"/>
    </row>
    <row r="28" spans="1:9" ht="15.75">
      <c r="A28" s="47" t="str">
        <v>302 Carnegie Center</v>
      </c>
      <c r="B28" s="9" t="str">
        <v>NJ</v>
      </c>
      <c r="C28" s="24"/>
      <c r="D28" s="13"/>
      <c r="E28" s="13"/>
      <c r="F28" s="14"/>
      <c r="G28" s="15"/>
      <c r="H28" s="15"/>
      <c r="I28" s="16"/>
    </row>
    <row r="29" spans="1:9" ht="15.75">
      <c r="A29" s="48" t="str">
        <v>510 Carnegie Center</v>
      </c>
      <c r="B29" s="10" t="str">
        <v>NJ</v>
      </c>
      <c r="C29" s="11"/>
      <c r="D29" s="18"/>
      <c r="E29" s="18"/>
      <c r="F29" s="19"/>
      <c r="G29" s="20"/>
      <c r="H29" s="20"/>
      <c r="I29" s="19"/>
    </row>
    <row r="30" spans="1:9" ht="15.75">
      <c r="A30" s="47" t="str">
        <v>701 Carnegie Center</v>
      </c>
      <c r="B30" s="9" t="str">
        <v>NJ</v>
      </c>
      <c r="C30" s="24"/>
      <c r="D30" s="13"/>
      <c r="E30" s="13"/>
      <c r="F30" s="14"/>
      <c r="G30" s="15"/>
      <c r="H30" s="15"/>
      <c r="I30" s="16"/>
    </row>
    <row r="31" spans="1:9" ht="15.75">
      <c r="A31" s="48" t="str">
        <v>Hudson County Correction</v>
      </c>
      <c r="B31" s="10" t="str">
        <v>NJ</v>
      </c>
      <c r="C31" s="11"/>
      <c r="D31" s="18"/>
      <c r="E31" s="18"/>
      <c r="F31" s="19"/>
      <c r="G31" s="20"/>
      <c r="H31" s="20"/>
      <c r="I31" s="19"/>
    </row>
    <row r="32" spans="1:9" ht="15.75">
      <c r="A32" s="47" t="str">
        <v>ER Bison Solar</v>
      </c>
      <c r="B32" s="9" t="str">
        <v>PA</v>
      </c>
      <c r="C32" s="24"/>
      <c r="D32" s="13"/>
      <c r="E32" s="13"/>
      <c r="F32" s="14"/>
      <c r="G32" s="15"/>
      <c r="H32" s="15"/>
      <c r="I32" s="16"/>
    </row>
    <row r="33" spans="1:9" ht="15.75">
      <c r="A33" s="48" t="str">
        <v>Danville</v>
      </c>
      <c r="B33" s="10" t="str">
        <v>IL</v>
      </c>
      <c r="C33" s="11"/>
      <c r="D33" s="18"/>
      <c r="E33" s="18"/>
      <c r="F33" s="19"/>
      <c r="G33" s="20"/>
      <c r="H33" s="20"/>
      <c r="I33" s="19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zoomScale="85" zoomScaleNormal="85" workbookViewId="0">
      <pane xSplit="2" ySplit="3" topLeftCell="C4" activePane="bottomRight" state="frozen"/>
      <selection pane="bottomRight" activeCell="D31" sqref="D31"/>
      <selection pane="bottomLeft" activeCell="C4" sqref="C4"/>
      <selection pane="topRight" activeCell="C4" sqref="C4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style="46" customWidth="1"/>
    <col min="4" max="4" width="13.28515625" style="46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Greenbacker</v>
      </c>
      <c r="B1" s="77"/>
      <c r="C1" s="77"/>
      <c r="D1" s="78" t="s">
        <v>18</v>
      </c>
      <c r="E1" s="78"/>
      <c r="F1" s="78"/>
      <c r="G1" s="76" t="s">
        <v>19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SUM(C4:C99)</f>
        <v>1255667.4659057546</v>
      </c>
      <c r="D2" s="5">
        <f>SUM(D4:D99)</f>
        <v>1584905.264</v>
      </c>
      <c r="E2" s="5">
        <f>C2-D2</f>
        <v>-329237.79809424537</v>
      </c>
      <c r="F2" s="6">
        <f>IFERROR(E2/D2, 0)</f>
        <v>-0.20773342456022367</v>
      </c>
      <c r="G2" s="5">
        <f>SUM(G4:G99)</f>
        <v>1501477.3230000001</v>
      </c>
      <c r="H2" s="7">
        <f>C2-G2</f>
        <v>-245809.8570942455</v>
      </c>
      <c r="I2" s="6">
        <f>IFERROR(H2/G2, 0)</f>
        <v>-0.16371200105980255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54" t="s">
        <v>5</v>
      </c>
      <c r="D3" s="55" t="s">
        <v>6</v>
      </c>
      <c r="E3" s="35" t="s">
        <v>7</v>
      </c>
      <c r="F3" s="36" t="s">
        <v>8</v>
      </c>
      <c r="G3" s="5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9" t="str" cm="1">
        <f t="array" ref="A4:A33">Sites[Site]</f>
        <v>10 Walpole Park South</v>
      </c>
      <c r="B4" s="29" t="str" cm="1">
        <f t="array" ref="B4:B33">Sites[State]</f>
        <v>MA</v>
      </c>
      <c r="C4" s="64">
        <v>3478.8125</v>
      </c>
      <c r="D4" s="64">
        <v>6181.5739999999996</v>
      </c>
      <c r="E4" s="13">
        <f>IF(AND(ISNUMBER(C4),ISNUMBER(D4)), C4-D4, "")</f>
        <v>-2702.7614999999996</v>
      </c>
      <c r="F4" s="45">
        <f>IFERROR(E4/D4, "")</f>
        <v>-0.43722868965088824</v>
      </c>
      <c r="G4" s="58">
        <v>6823.2529999999997</v>
      </c>
      <c r="H4" s="15">
        <f>IF(AND(ISNUMBER(C4),ISNUMBER(G4)), C4-G4, "")</f>
        <v>-3344.4404999999997</v>
      </c>
      <c r="I4" s="16">
        <f>IFERROR(H4/G4, "")</f>
        <v>-0.49015337698895234</v>
      </c>
      <c r="J4" s="40"/>
      <c r="K4" s="40"/>
    </row>
    <row r="5" spans="1:11" ht="15.75">
      <c r="A5" s="50" t="str">
        <v>15 Walpole Park South</v>
      </c>
      <c r="B5" s="31" t="str">
        <v>MA</v>
      </c>
      <c r="C5" s="65">
        <v>12517</v>
      </c>
      <c r="D5" s="65">
        <v>22722.47</v>
      </c>
      <c r="E5" s="18">
        <f t="shared" ref="E5:E15" si="0">IF(AND(ISNUMBER(C5),ISNUMBER(D5)), C5-D5, "")</f>
        <v>-10205.470000000001</v>
      </c>
      <c r="F5" s="53">
        <f t="shared" ref="F5:F33" si="1">IFERROR(E5/D5, "")</f>
        <v>-0.44913559133316056</v>
      </c>
      <c r="G5" s="59">
        <v>21603.71</v>
      </c>
      <c r="H5" s="20">
        <f t="shared" ref="H5:H6" si="2">IF(AND(ISNUMBER(C5),ISNUMBER(G5)), C5-G5, "")</f>
        <v>-9086.7099999999991</v>
      </c>
      <c r="I5" s="19">
        <f t="shared" ref="I5:I6" si="3">IFERROR(H5/G5, "")</f>
        <v>-0.42060877506687505</v>
      </c>
      <c r="J5" s="41"/>
      <c r="K5" s="41"/>
    </row>
    <row r="6" spans="1:11" ht="15.75">
      <c r="A6" s="51" t="str">
        <v>19 Walpole Park South</v>
      </c>
      <c r="B6" s="29" t="str">
        <v>MA</v>
      </c>
      <c r="C6" s="64">
        <v>7105.375</v>
      </c>
      <c r="D6" s="64">
        <v>13704.15</v>
      </c>
      <c r="E6" s="13">
        <f t="shared" si="0"/>
        <v>-6598.7749999999996</v>
      </c>
      <c r="F6" s="45">
        <f t="shared" si="1"/>
        <v>-0.48151654790702086</v>
      </c>
      <c r="G6" s="58">
        <v>14450.27</v>
      </c>
      <c r="H6" s="15">
        <f t="shared" si="2"/>
        <v>-7344.8950000000004</v>
      </c>
      <c r="I6" s="16">
        <f t="shared" si="3"/>
        <v>-0.50828773441603514</v>
      </c>
      <c r="J6" s="40"/>
      <c r="K6" s="40"/>
    </row>
    <row r="7" spans="1:11" ht="15.75">
      <c r="A7" s="50" t="str">
        <v>23 Walpole Park South</v>
      </c>
      <c r="B7" s="31" t="str">
        <v>MA</v>
      </c>
      <c r="C7" s="66">
        <v>10190.25</v>
      </c>
      <c r="D7" s="67">
        <v>16832.77</v>
      </c>
      <c r="E7" s="18">
        <f t="shared" si="0"/>
        <v>-6642.52</v>
      </c>
      <c r="F7" s="53">
        <f t="shared" si="1"/>
        <v>-0.39461835455483563</v>
      </c>
      <c r="G7" s="56">
        <v>18563.55</v>
      </c>
      <c r="H7" s="20">
        <f t="shared" ref="H7:H15" si="4">IF(AND(ISNUMBER(C7),ISNUMBER(G7)), C7-G7, "")</f>
        <v>-8373.2999999999993</v>
      </c>
      <c r="I7" s="19">
        <f t="shared" ref="I7:I15" si="5">IFERROR(H7/G7, "")</f>
        <v>-0.4510613541052223</v>
      </c>
      <c r="J7" s="41"/>
      <c r="K7" s="41"/>
    </row>
    <row r="8" spans="1:11" ht="15.75">
      <c r="A8" s="51" t="str">
        <v>24 Walpole Park South</v>
      </c>
      <c r="B8" s="29" t="str">
        <v>MA</v>
      </c>
      <c r="C8" s="68">
        <v>15037</v>
      </c>
      <c r="D8" s="68">
        <v>14267.73</v>
      </c>
      <c r="E8" s="13">
        <f t="shared" si="0"/>
        <v>769.27000000000044</v>
      </c>
      <c r="F8" s="45">
        <f t="shared" si="1"/>
        <v>5.3916775829091275E-2</v>
      </c>
      <c r="G8" s="60">
        <v>28642.02</v>
      </c>
      <c r="H8" s="15">
        <f t="shared" si="4"/>
        <v>-13605.02</v>
      </c>
      <c r="I8" s="16">
        <f t="shared" si="5"/>
        <v>-0.47500211228118688</v>
      </c>
      <c r="J8" s="40" t="s">
        <v>22</v>
      </c>
      <c r="K8" s="40" t="s">
        <v>23</v>
      </c>
    </row>
    <row r="9" spans="1:11" ht="15.75">
      <c r="A9" s="50" t="str">
        <v>25 Walpole Park South</v>
      </c>
      <c r="B9" s="31" t="str">
        <v>MA</v>
      </c>
      <c r="C9" s="62">
        <v>15224.5</v>
      </c>
      <c r="D9" s="62">
        <v>26799</v>
      </c>
      <c r="E9" s="18">
        <f t="shared" si="0"/>
        <v>-11574.5</v>
      </c>
      <c r="F9" s="53">
        <f t="shared" si="1"/>
        <v>-0.43190044404641964</v>
      </c>
      <c r="G9" s="20">
        <v>29130.79</v>
      </c>
      <c r="H9" s="20">
        <f t="shared" si="4"/>
        <v>-13906.29</v>
      </c>
      <c r="I9" s="19">
        <f t="shared" si="5"/>
        <v>-0.47737428336135068</v>
      </c>
      <c r="J9" s="41"/>
      <c r="K9" s="41"/>
    </row>
    <row r="10" spans="1:11" ht="15.75">
      <c r="A10" s="51" t="str">
        <v>3 Walpole Park South</v>
      </c>
      <c r="B10" s="29" t="str">
        <v>MA</v>
      </c>
      <c r="C10" s="63">
        <v>19881.5</v>
      </c>
      <c r="D10" s="63">
        <v>35122.519999999997</v>
      </c>
      <c r="E10" s="13">
        <f t="shared" si="0"/>
        <v>-15241.019999999997</v>
      </c>
      <c r="F10" s="45">
        <f t="shared" si="1"/>
        <v>-0.43393868093747257</v>
      </c>
      <c r="G10" s="15">
        <v>34800.550000000003</v>
      </c>
      <c r="H10" s="15">
        <f t="shared" si="4"/>
        <v>-14919.050000000003</v>
      </c>
      <c r="I10" s="16">
        <f t="shared" si="5"/>
        <v>-0.42870155787767728</v>
      </c>
      <c r="J10" s="40"/>
      <c r="K10" s="40"/>
    </row>
    <row r="11" spans="1:11" ht="15.75">
      <c r="A11" s="50" t="str">
        <v>4 Walpole Park South</v>
      </c>
      <c r="B11" s="31" t="str">
        <v>MA</v>
      </c>
      <c r="C11" s="62">
        <v>10678.25</v>
      </c>
      <c r="D11" s="62">
        <v>19843.16</v>
      </c>
      <c r="E11" s="18">
        <f t="shared" si="0"/>
        <v>-9164.91</v>
      </c>
      <c r="F11" s="53">
        <f t="shared" si="1"/>
        <v>-0.46186746465784684</v>
      </c>
      <c r="G11" s="20">
        <v>19687.72</v>
      </c>
      <c r="H11" s="20">
        <f t="shared" si="4"/>
        <v>-9009.4700000000012</v>
      </c>
      <c r="I11" s="19">
        <f t="shared" si="5"/>
        <v>-0.45761875930783252</v>
      </c>
      <c r="J11" s="41"/>
      <c r="K11" s="41"/>
    </row>
    <row r="12" spans="1:11" ht="15.75">
      <c r="A12" s="51" t="str">
        <v>Brockton</v>
      </c>
      <c r="B12" s="29" t="str">
        <v>MA</v>
      </c>
      <c r="C12" s="63">
        <v>21358</v>
      </c>
      <c r="D12" s="63">
        <v>29225.200000000001</v>
      </c>
      <c r="E12" s="13">
        <f t="shared" si="0"/>
        <v>-7867.2000000000007</v>
      </c>
      <c r="F12" s="45">
        <f t="shared" si="1"/>
        <v>-0.26919234085652111</v>
      </c>
      <c r="G12" s="15">
        <v>35891.120000000003</v>
      </c>
      <c r="H12" s="15">
        <f t="shared" si="4"/>
        <v>-14533.120000000003</v>
      </c>
      <c r="I12" s="16">
        <f t="shared" si="5"/>
        <v>-0.40492244321157994</v>
      </c>
      <c r="J12" s="40"/>
      <c r="K12" s="40"/>
    </row>
    <row r="13" spans="1:11" ht="28.7">
      <c r="A13" s="50" t="str">
        <v>Canton</v>
      </c>
      <c r="B13" s="31" t="str">
        <v>MA</v>
      </c>
      <c r="C13" s="62">
        <v>17412.249999999502</v>
      </c>
      <c r="D13" s="62">
        <v>31213.29</v>
      </c>
      <c r="E13" s="18">
        <f t="shared" si="0"/>
        <v>-13801.040000000499</v>
      </c>
      <c r="F13" s="53">
        <f t="shared" si="1"/>
        <v>-0.44215268560284732</v>
      </c>
      <c r="G13" s="20">
        <v>30904.81</v>
      </c>
      <c r="H13" s="20">
        <f t="shared" si="4"/>
        <v>-13492.5600000005</v>
      </c>
      <c r="I13" s="19">
        <f t="shared" si="5"/>
        <v>-0.43658446694868852</v>
      </c>
      <c r="J13" s="41" t="s">
        <v>24</v>
      </c>
      <c r="K13" s="41" t="s">
        <v>25</v>
      </c>
    </row>
    <row r="14" spans="1:11" ht="15.75">
      <c r="A14" s="51" t="str">
        <v>Chelsea</v>
      </c>
      <c r="B14" s="29" t="str">
        <v>MA</v>
      </c>
      <c r="C14" s="63">
        <v>38716</v>
      </c>
      <c r="D14" s="63">
        <v>54336.05</v>
      </c>
      <c r="E14" s="13">
        <f t="shared" si="0"/>
        <v>-15620.050000000003</v>
      </c>
      <c r="F14" s="45">
        <f t="shared" si="1"/>
        <v>-0.28747120926162284</v>
      </c>
      <c r="G14" s="15">
        <v>55003.46</v>
      </c>
      <c r="H14" s="15">
        <f t="shared" si="4"/>
        <v>-16287.46</v>
      </c>
      <c r="I14" s="16">
        <f t="shared" si="5"/>
        <v>-0.2961170079118659</v>
      </c>
      <c r="J14" s="40"/>
      <c r="K14" s="40"/>
    </row>
    <row r="15" spans="1:11" ht="15.75">
      <c r="A15" s="50" t="str">
        <v>Hamilton Landfill</v>
      </c>
      <c r="B15" s="31" t="str">
        <v>MA</v>
      </c>
      <c r="C15" s="62">
        <v>30221</v>
      </c>
      <c r="D15" s="62">
        <v>58716</v>
      </c>
      <c r="E15" s="18">
        <f t="shared" si="0"/>
        <v>-28495</v>
      </c>
      <c r="F15" s="53">
        <f t="shared" si="1"/>
        <v>-0.48530213229784047</v>
      </c>
      <c r="G15" s="20">
        <v>0</v>
      </c>
      <c r="H15" s="20">
        <f t="shared" si="4"/>
        <v>30221</v>
      </c>
      <c r="I15" s="41" t="str">
        <f t="shared" si="5"/>
        <v/>
      </c>
      <c r="J15" s="41"/>
      <c r="K15" s="41"/>
    </row>
    <row r="16" spans="1:11" ht="15.75">
      <c r="A16" s="51" t="str">
        <v>Holliston</v>
      </c>
      <c r="B16" s="29" t="str">
        <v>MA</v>
      </c>
      <c r="C16" s="63">
        <v>37423.500000000902</v>
      </c>
      <c r="D16" s="63">
        <v>60597.82</v>
      </c>
      <c r="E16" s="13">
        <f t="shared" ref="E16:E33" si="6">IF(AND(ISNUMBER(C16),ISNUMBER(D16)), C16-D16, "")</f>
        <v>-23174.319999999097</v>
      </c>
      <c r="F16" s="45">
        <f t="shared" si="1"/>
        <v>-0.38242827877304986</v>
      </c>
      <c r="G16" s="15">
        <v>84734.92</v>
      </c>
      <c r="H16" s="15">
        <f t="shared" ref="H16:H17" si="7">IF(AND(ISNUMBER(C16),ISNUMBER(G16)), C16-G16, "")</f>
        <v>-47311.419999999096</v>
      </c>
      <c r="I16" s="16">
        <f t="shared" ref="I16:I17" si="8">IFERROR(H16/G16, "")</f>
        <v>-0.5583461930453123</v>
      </c>
      <c r="J16" s="40" t="s">
        <v>26</v>
      </c>
      <c r="K16" s="40" t="s">
        <v>27</v>
      </c>
    </row>
    <row r="17" spans="1:11" ht="15.75">
      <c r="A17" s="50" t="str">
        <v>Natick HS - Carports</v>
      </c>
      <c r="B17" s="30" t="str">
        <v>MA</v>
      </c>
      <c r="C17" s="62">
        <v>13924</v>
      </c>
      <c r="D17" s="62">
        <v>29010</v>
      </c>
      <c r="E17" s="18">
        <f t="shared" si="6"/>
        <v>-15086</v>
      </c>
      <c r="F17" s="53">
        <f t="shared" si="1"/>
        <v>-0.5200275766976904</v>
      </c>
      <c r="G17" s="20">
        <v>0</v>
      </c>
      <c r="H17" s="20">
        <f t="shared" si="7"/>
        <v>13924</v>
      </c>
      <c r="I17" s="41" t="str">
        <f t="shared" si="8"/>
        <v/>
      </c>
      <c r="J17" s="41"/>
      <c r="K17" s="41"/>
    </row>
    <row r="18" spans="1:11" ht="57.4">
      <c r="A18" s="51" t="str">
        <v>Norton</v>
      </c>
      <c r="B18" s="28" t="str">
        <v>MA</v>
      </c>
      <c r="C18" s="68">
        <v>93336</v>
      </c>
      <c r="D18" s="68">
        <v>144118.9</v>
      </c>
      <c r="E18" s="13">
        <f t="shared" si="6"/>
        <v>-50782.899999999994</v>
      </c>
      <c r="F18" s="45">
        <f t="shared" si="1"/>
        <v>-0.35236807941220755</v>
      </c>
      <c r="G18" s="15">
        <v>162736.5</v>
      </c>
      <c r="H18" s="15">
        <f t="shared" ref="H18:H33" si="9">IF(AND(ISNUMBER(C18),ISNUMBER(G18)), C18-G18, "")</f>
        <v>-69400.5</v>
      </c>
      <c r="I18" s="16">
        <f t="shared" ref="I18:I33" si="10">IFERROR(H18/G18, "")</f>
        <v>-0.42645933764091032</v>
      </c>
      <c r="J18" s="40" t="s">
        <v>28</v>
      </c>
      <c r="K18" s="40" t="s">
        <v>29</v>
      </c>
    </row>
    <row r="19" spans="1:11" ht="15.75">
      <c r="A19" s="50" t="str">
        <v>Palmer - Boston Rd.</v>
      </c>
      <c r="B19" s="30" t="str">
        <v>MA</v>
      </c>
      <c r="C19" s="62">
        <v>18016.047500000299</v>
      </c>
      <c r="D19" s="62">
        <v>31872.06</v>
      </c>
      <c r="E19" s="18">
        <f t="shared" si="6"/>
        <v>-13856.012499999702</v>
      </c>
      <c r="F19" s="53">
        <f t="shared" si="1"/>
        <v>-0.43473852960868242</v>
      </c>
      <c r="G19" s="20">
        <v>45090</v>
      </c>
      <c r="H19" s="20">
        <f t="shared" si="9"/>
        <v>-27073.952499999701</v>
      </c>
      <c r="I19" s="16">
        <f t="shared" si="10"/>
        <v>-0.60044250388111997</v>
      </c>
      <c r="J19" s="41"/>
      <c r="K19" s="41"/>
    </row>
    <row r="20" spans="1:11" ht="15.75">
      <c r="A20" s="51" t="str">
        <v>Shirley Bartkus</v>
      </c>
      <c r="B20" s="28" t="str">
        <v>MA</v>
      </c>
      <c r="C20" s="63">
        <v>24169.871179624501</v>
      </c>
      <c r="D20" s="63">
        <v>47290.29</v>
      </c>
      <c r="E20" s="13">
        <f t="shared" si="6"/>
        <v>-23120.4188203755</v>
      </c>
      <c r="F20" s="45">
        <f t="shared" si="1"/>
        <v>-0.48890414544667626</v>
      </c>
      <c r="G20" s="15">
        <v>65151</v>
      </c>
      <c r="H20" s="15">
        <f t="shared" si="9"/>
        <v>-40981.128820375496</v>
      </c>
      <c r="I20" s="16">
        <f t="shared" si="10"/>
        <v>-0.62901764854531006</v>
      </c>
      <c r="J20" s="40"/>
      <c r="K20" s="40"/>
    </row>
    <row r="21" spans="1:11" ht="15.75">
      <c r="A21" s="50" t="str">
        <v>Stoughton</v>
      </c>
      <c r="B21" s="30" t="str">
        <v>MA</v>
      </c>
      <c r="C21" s="62">
        <v>22398.5</v>
      </c>
      <c r="D21" s="62">
        <v>29378.29</v>
      </c>
      <c r="E21" s="18">
        <f t="shared" si="6"/>
        <v>-6979.7900000000009</v>
      </c>
      <c r="F21" s="53">
        <f t="shared" si="1"/>
        <v>-0.23758326301496788</v>
      </c>
      <c r="G21" s="20">
        <v>35608.120000000003</v>
      </c>
      <c r="H21" s="20">
        <f t="shared" si="9"/>
        <v>-13209.620000000003</v>
      </c>
      <c r="I21" s="16">
        <f t="shared" si="10"/>
        <v>-0.37097212658236384</v>
      </c>
      <c r="J21" s="41"/>
      <c r="K21" s="41"/>
    </row>
    <row r="22" spans="1:11" ht="15.75">
      <c r="A22" s="51" t="str">
        <v>Wellfleet Landfill</v>
      </c>
      <c r="B22" s="28" t="str">
        <v>MA</v>
      </c>
      <c r="C22" s="63">
        <v>40023</v>
      </c>
      <c r="D22" s="63">
        <v>57476</v>
      </c>
      <c r="E22" s="13">
        <f t="shared" si="6"/>
        <v>-17453</v>
      </c>
      <c r="F22" s="45">
        <f t="shared" si="1"/>
        <v>-0.30365717864847935</v>
      </c>
      <c r="G22" s="15">
        <v>0</v>
      </c>
      <c r="H22" s="15">
        <f t="shared" si="9"/>
        <v>40023</v>
      </c>
      <c r="I22" s="16" t="str">
        <f t="shared" si="10"/>
        <v/>
      </c>
      <c r="J22" s="40" t="s">
        <v>30</v>
      </c>
      <c r="K22" s="40" t="s">
        <v>31</v>
      </c>
    </row>
    <row r="23" spans="1:11" ht="15.75">
      <c r="A23" s="50" t="str">
        <v>Wilmington Garage &amp; Building 7</v>
      </c>
      <c r="B23" s="30" t="str">
        <v>MA</v>
      </c>
      <c r="C23" s="62">
        <v>28124.62</v>
      </c>
      <c r="D23" s="62">
        <v>53740.59</v>
      </c>
      <c r="E23" s="18">
        <f t="shared" si="6"/>
        <v>-25615.969999999998</v>
      </c>
      <c r="F23" s="53">
        <f t="shared" si="1"/>
        <v>-0.47665963473791412</v>
      </c>
      <c r="G23" s="20">
        <v>51473.440000000002</v>
      </c>
      <c r="H23" s="20">
        <f t="shared" si="9"/>
        <v>-23348.820000000003</v>
      </c>
      <c r="I23" s="16">
        <f t="shared" si="10"/>
        <v>-0.45360908460751803</v>
      </c>
      <c r="J23" s="41"/>
      <c r="K23" s="41"/>
    </row>
    <row r="24" spans="1:11" ht="15.75">
      <c r="A24" s="51" t="str">
        <v>Woburn</v>
      </c>
      <c r="B24" s="28" t="str">
        <v>MA</v>
      </c>
      <c r="C24" s="63">
        <v>47752.5</v>
      </c>
      <c r="D24" s="63">
        <v>99772.07</v>
      </c>
      <c r="E24" s="13">
        <f t="shared" si="6"/>
        <v>-52019.570000000007</v>
      </c>
      <c r="F24" s="45">
        <f t="shared" si="1"/>
        <v>-0.52138409075806491</v>
      </c>
      <c r="G24" s="15">
        <v>69636.91</v>
      </c>
      <c r="H24" s="15">
        <f t="shared" si="9"/>
        <v>-21884.410000000003</v>
      </c>
      <c r="I24" s="16">
        <f t="shared" si="10"/>
        <v>-0.31426451862956012</v>
      </c>
      <c r="J24" s="40" t="s">
        <v>32</v>
      </c>
      <c r="K24" s="40" t="s">
        <v>33</v>
      </c>
    </row>
    <row r="25" spans="1:11" ht="15.75">
      <c r="A25" s="50" t="str">
        <v>Friendship Solar 1</v>
      </c>
      <c r="B25" s="30" t="str">
        <v>MD</v>
      </c>
      <c r="C25" s="62">
        <v>185310</v>
      </c>
      <c r="D25" s="62">
        <v>198138.4</v>
      </c>
      <c r="E25" s="18">
        <f t="shared" si="6"/>
        <v>-12828.399999999994</v>
      </c>
      <c r="F25" s="53">
        <f t="shared" si="1"/>
        <v>-6.4744643138331559E-2</v>
      </c>
      <c r="G25" s="44">
        <v>253076.2</v>
      </c>
      <c r="H25" s="20">
        <f t="shared" si="9"/>
        <v>-67766.200000000012</v>
      </c>
      <c r="I25" s="16">
        <f t="shared" si="10"/>
        <v>-0.26776994438829099</v>
      </c>
      <c r="J25" s="41"/>
      <c r="K25" s="41"/>
    </row>
    <row r="26" spans="1:11" ht="15.75">
      <c r="A26" s="51" t="str">
        <v>Friendship Solar 2</v>
      </c>
      <c r="B26" s="28" t="str">
        <v>MD</v>
      </c>
      <c r="C26" s="63">
        <v>183527</v>
      </c>
      <c r="D26" s="63">
        <v>204402.5</v>
      </c>
      <c r="E26" s="13">
        <f t="shared" si="6"/>
        <v>-20875.5</v>
      </c>
      <c r="F26" s="45">
        <f t="shared" si="1"/>
        <v>-0.10212937708687517</v>
      </c>
      <c r="G26" s="15">
        <v>250422.2</v>
      </c>
      <c r="H26" s="15">
        <f t="shared" si="9"/>
        <v>-66895.200000000012</v>
      </c>
      <c r="I26" s="16">
        <f t="shared" si="10"/>
        <v>-0.26712967141092125</v>
      </c>
      <c r="J26" s="40"/>
      <c r="K26" s="40"/>
    </row>
    <row r="27" spans="1:11" ht="28.7">
      <c r="A27" s="50" t="str">
        <v>101 Carnegie Center</v>
      </c>
      <c r="B27" s="30" t="str">
        <v>NJ</v>
      </c>
      <c r="C27" s="62">
        <v>42576</v>
      </c>
      <c r="D27" s="62">
        <v>72136</v>
      </c>
      <c r="E27" s="18">
        <f t="shared" si="6"/>
        <v>-29560</v>
      </c>
      <c r="F27" s="53">
        <f t="shared" si="1"/>
        <v>-0.40978152378839972</v>
      </c>
      <c r="G27" s="20">
        <v>0</v>
      </c>
      <c r="H27" s="20">
        <f t="shared" si="9"/>
        <v>42576</v>
      </c>
      <c r="I27" s="41" t="str">
        <f t="shared" si="10"/>
        <v/>
      </c>
      <c r="J27" s="61" t="s">
        <v>34</v>
      </c>
      <c r="K27" s="61" t="s">
        <v>35</v>
      </c>
    </row>
    <row r="28" spans="1:11" ht="15.75">
      <c r="A28" s="51" t="str">
        <v>302 Carnegie Center</v>
      </c>
      <c r="B28" s="28" t="str">
        <v>NJ</v>
      </c>
      <c r="C28" s="63">
        <v>18853</v>
      </c>
      <c r="D28" s="63">
        <v>28852</v>
      </c>
      <c r="E28" s="13">
        <f t="shared" si="6"/>
        <v>-9999</v>
      </c>
      <c r="F28" s="45">
        <f t="shared" si="1"/>
        <v>-0.34656176348260087</v>
      </c>
      <c r="G28" s="15">
        <v>0</v>
      </c>
      <c r="H28" s="15">
        <f t="shared" si="9"/>
        <v>18853</v>
      </c>
      <c r="I28" s="16" t="str">
        <f t="shared" si="10"/>
        <v/>
      </c>
      <c r="J28" s="40"/>
      <c r="K28" s="40"/>
    </row>
    <row r="29" spans="1:11" ht="45" customHeight="1">
      <c r="A29" s="50" t="str">
        <v>510 Carnegie Center</v>
      </c>
      <c r="B29" s="30" t="str">
        <v>NJ</v>
      </c>
      <c r="C29" s="62">
        <v>40883</v>
      </c>
      <c r="D29" s="62">
        <v>79791</v>
      </c>
      <c r="E29" s="18">
        <f t="shared" si="6"/>
        <v>-38908</v>
      </c>
      <c r="F29" s="53">
        <f t="shared" si="1"/>
        <v>-0.48762391748442807</v>
      </c>
      <c r="G29" s="20">
        <v>0</v>
      </c>
      <c r="H29" s="20">
        <f t="shared" si="9"/>
        <v>40883</v>
      </c>
      <c r="I29" s="41" t="str">
        <f t="shared" si="10"/>
        <v/>
      </c>
      <c r="J29" s="41" t="s">
        <v>36</v>
      </c>
      <c r="K29" s="41" t="s">
        <v>37</v>
      </c>
    </row>
    <row r="30" spans="1:11" ht="15.75">
      <c r="A30" s="51" t="str">
        <v>701 Carnegie Center</v>
      </c>
      <c r="B30" s="28" t="str">
        <v>NJ</v>
      </c>
      <c r="C30" s="63">
        <v>36140</v>
      </c>
      <c r="D30" s="63">
        <v>59926</v>
      </c>
      <c r="E30" s="13">
        <f t="shared" si="6"/>
        <v>-23786</v>
      </c>
      <c r="F30" s="45">
        <f t="shared" si="1"/>
        <v>-0.39692287154156791</v>
      </c>
      <c r="G30" s="15">
        <v>0</v>
      </c>
      <c r="H30" s="15">
        <f t="shared" si="9"/>
        <v>36140</v>
      </c>
      <c r="I30" s="16" t="str">
        <f t="shared" si="10"/>
        <v/>
      </c>
      <c r="J30" s="40"/>
      <c r="K30" s="40"/>
    </row>
    <row r="31" spans="1:11" ht="15.75">
      <c r="A31" s="50" t="str">
        <v>Hudson County Correction</v>
      </c>
      <c r="B31" s="30" t="str">
        <v>NJ</v>
      </c>
      <c r="C31" s="62">
        <v>52029.489726129497</v>
      </c>
      <c r="D31" s="62">
        <v>59439.43</v>
      </c>
      <c r="E31" s="18">
        <f t="shared" si="6"/>
        <v>-7409.940273870503</v>
      </c>
      <c r="F31" s="53">
        <f t="shared" si="1"/>
        <v>-0.12466371689416442</v>
      </c>
      <c r="G31" s="20">
        <v>87395.78</v>
      </c>
      <c r="H31" s="20">
        <f t="shared" si="9"/>
        <v>-35366.290273870502</v>
      </c>
      <c r="I31" s="16">
        <f t="shared" si="10"/>
        <v>-0.40466816903368219</v>
      </c>
      <c r="J31" s="41"/>
      <c r="K31" s="41"/>
    </row>
    <row r="32" spans="1:11" ht="15.75">
      <c r="A32" s="51" t="str">
        <v>ER Bison Solar</v>
      </c>
      <c r="B32" s="28" t="str">
        <v>PA</v>
      </c>
      <c r="C32" s="63">
        <v>50310</v>
      </c>
      <c r="D32" s="63">
        <v>0</v>
      </c>
      <c r="E32" s="13">
        <f t="shared" si="6"/>
        <v>50310</v>
      </c>
      <c r="F32" s="45" t="str">
        <f t="shared" si="1"/>
        <v/>
      </c>
      <c r="G32" s="60">
        <v>100651</v>
      </c>
      <c r="H32" s="15">
        <f t="shared" si="9"/>
        <v>-50341</v>
      </c>
      <c r="I32" s="16">
        <f t="shared" si="10"/>
        <v>-0.50015399747642841</v>
      </c>
      <c r="J32" s="40"/>
      <c r="K32" s="40"/>
    </row>
    <row r="33" spans="1:11" ht="15.75">
      <c r="A33" s="50" t="str">
        <v>Danville</v>
      </c>
      <c r="B33" s="30" t="str">
        <v>IL</v>
      </c>
      <c r="C33" s="62">
        <v>119051</v>
      </c>
      <c r="D33" s="62">
        <v>0</v>
      </c>
      <c r="E33" s="18">
        <f t="shared" si="6"/>
        <v>119051</v>
      </c>
      <c r="F33" s="53" t="str">
        <f t="shared" si="1"/>
        <v/>
      </c>
      <c r="G33" s="20">
        <v>0</v>
      </c>
      <c r="H33" s="20">
        <f t="shared" si="9"/>
        <v>119051</v>
      </c>
      <c r="I33" s="41" t="str">
        <f t="shared" si="10"/>
        <v/>
      </c>
      <c r="J33" s="41"/>
      <c r="K33" s="41"/>
    </row>
    <row r="34" spans="1:11" ht="14.45">
      <c r="A34" s="21"/>
      <c r="B34" s="33"/>
      <c r="C34" s="69"/>
      <c r="D34" s="69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69"/>
      <c r="D35" s="69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69"/>
      <c r="D36" s="69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69"/>
      <c r="D37" s="69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69"/>
      <c r="D38" s="69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69"/>
      <c r="D39" s="69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69"/>
      <c r="D40" s="69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69"/>
      <c r="D41" s="69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69"/>
      <c r="D42" s="69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69"/>
      <c r="D43" s="69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69"/>
      <c r="D44" s="69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69"/>
      <c r="D45" s="69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69"/>
      <c r="D46" s="69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69"/>
      <c r="D47" s="69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69"/>
      <c r="D48" s="69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69"/>
      <c r="D49" s="69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69"/>
      <c r="D50" s="69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69"/>
      <c r="D51" s="69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69"/>
      <c r="D52" s="69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69"/>
      <c r="D53" s="69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69"/>
      <c r="D54" s="69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69"/>
      <c r="D55" s="69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69"/>
      <c r="D56" s="69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69"/>
      <c r="D57" s="69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69"/>
      <c r="D58" s="69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69"/>
      <c r="D59" s="69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69"/>
      <c r="D60" s="69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69"/>
      <c r="D61" s="69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69"/>
      <c r="D62" s="69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69"/>
      <c r="D63" s="69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69"/>
      <c r="D64" s="69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69"/>
      <c r="D65" s="69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69"/>
      <c r="D66" s="69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69"/>
      <c r="D67" s="69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69"/>
      <c r="D68" s="69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69"/>
      <c r="D69" s="69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69"/>
      <c r="D70" s="69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69"/>
      <c r="D71" s="69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69"/>
      <c r="D72" s="69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69"/>
      <c r="D73" s="69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69"/>
      <c r="D74" s="69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69"/>
      <c r="D75" s="69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69"/>
      <c r="D76" s="69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69"/>
      <c r="D77" s="69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69"/>
      <c r="D78" s="69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69"/>
      <c r="D79" s="69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69"/>
      <c r="D80" s="69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69"/>
      <c r="D81" s="69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69"/>
      <c r="D82" s="69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69"/>
      <c r="D83" s="69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69"/>
      <c r="D84" s="69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69"/>
      <c r="D85" s="69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69"/>
      <c r="D86" s="69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69"/>
      <c r="D87" s="69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69"/>
      <c r="D88" s="69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69"/>
      <c r="D89" s="69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69"/>
      <c r="D90" s="69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69"/>
      <c r="D91" s="69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69"/>
      <c r="D92" s="69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69"/>
      <c r="D93" s="69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69"/>
      <c r="D94" s="69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69"/>
      <c r="D95" s="69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69"/>
      <c r="D96" s="69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69"/>
      <c r="D97" s="69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69"/>
      <c r="D98" s="69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69"/>
      <c r="D99" s="69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69"/>
      <c r="D100" s="69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69"/>
      <c r="D101" s="69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69"/>
      <c r="D102" s="69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69"/>
      <c r="D103" s="69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69"/>
      <c r="D104" s="69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69"/>
      <c r="D105" s="69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69"/>
      <c r="D106" s="69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69"/>
      <c r="D107" s="69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69"/>
      <c r="D108" s="69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69"/>
      <c r="D109" s="69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69"/>
      <c r="D110" s="69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69"/>
      <c r="D111" s="69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69"/>
      <c r="D112" s="69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69"/>
      <c r="D113" s="69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69"/>
      <c r="D114" s="69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69"/>
      <c r="D115" s="69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69"/>
      <c r="D116" s="69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69"/>
      <c r="D117" s="69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69"/>
      <c r="D118" s="69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69"/>
      <c r="D119" s="69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69"/>
      <c r="D120" s="69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69"/>
      <c r="D121" s="69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69"/>
      <c r="D122" s="69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69"/>
      <c r="D123" s="69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69"/>
      <c r="D124" s="69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69"/>
      <c r="D125" s="69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69"/>
      <c r="D126" s="69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69"/>
      <c r="D127" s="69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69"/>
      <c r="D128" s="69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69"/>
      <c r="D129" s="69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69"/>
      <c r="D130" s="69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69"/>
      <c r="D131" s="69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69"/>
      <c r="D132" s="69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69"/>
      <c r="D133" s="69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69"/>
      <c r="D134" s="69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69"/>
      <c r="D135" s="69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69"/>
      <c r="D136" s="69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69"/>
      <c r="D137" s="69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69"/>
      <c r="D138" s="69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69"/>
      <c r="D139" s="69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69"/>
      <c r="D140" s="69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69"/>
      <c r="D141" s="69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69"/>
      <c r="D142" s="69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69"/>
      <c r="D143" s="69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69"/>
      <c r="D144" s="69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69"/>
      <c r="D145" s="69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69"/>
      <c r="D146" s="69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69"/>
      <c r="D147" s="69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69"/>
      <c r="D148" s="69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69"/>
      <c r="D149" s="69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69"/>
      <c r="D150" s="69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69"/>
      <c r="D151" s="69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69"/>
      <c r="D152" s="69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69"/>
      <c r="D153" s="69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69"/>
      <c r="D154" s="69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69"/>
      <c r="D155" s="69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69"/>
      <c r="D156" s="69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69"/>
      <c r="D157" s="69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69"/>
      <c r="D158" s="69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69"/>
      <c r="D159" s="69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69"/>
      <c r="D160" s="69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69"/>
      <c r="D161" s="69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69"/>
      <c r="D162" s="69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69"/>
      <c r="D163" s="69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69"/>
      <c r="D164" s="69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69"/>
      <c r="D165" s="69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69"/>
      <c r="D166" s="69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69"/>
      <c r="D167" s="69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69"/>
      <c r="D168" s="69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69"/>
      <c r="D169" s="69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69"/>
      <c r="D170" s="69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69"/>
      <c r="D171" s="69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69"/>
      <c r="D172" s="69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69"/>
      <c r="D173" s="69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69"/>
      <c r="D174" s="69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69"/>
      <c r="D175" s="69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69"/>
      <c r="D176" s="69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69"/>
      <c r="D177" s="69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69"/>
      <c r="D178" s="69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69"/>
      <c r="D179" s="69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69"/>
      <c r="D180" s="69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69"/>
      <c r="D181" s="69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69"/>
      <c r="D182" s="69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69"/>
      <c r="D183" s="69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69"/>
      <c r="D184" s="69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69"/>
      <c r="D185" s="69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69"/>
      <c r="D186" s="69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69"/>
      <c r="D187" s="69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69"/>
      <c r="D188" s="69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69"/>
      <c r="D189" s="69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69"/>
      <c r="D190" s="69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69"/>
      <c r="D191" s="69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69"/>
      <c r="D192" s="69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69"/>
      <c r="D193" s="69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69"/>
      <c r="D194" s="69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69"/>
      <c r="D195" s="69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69"/>
      <c r="D196" s="69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69"/>
      <c r="D197" s="69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69"/>
      <c r="D198" s="69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69"/>
      <c r="D199" s="69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69"/>
      <c r="D200" s="69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69"/>
      <c r="D201" s="69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69"/>
      <c r="D202" s="69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69"/>
      <c r="D203" s="69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69"/>
      <c r="D204" s="69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69"/>
      <c r="D205" s="69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69"/>
      <c r="D206" s="69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69"/>
      <c r="D207" s="69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69"/>
      <c r="D208" s="69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69"/>
      <c r="D209" s="69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69"/>
      <c r="D210" s="69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69"/>
      <c r="D211" s="69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69"/>
      <c r="D212" s="69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69"/>
      <c r="D213" s="69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69"/>
      <c r="D214" s="69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69"/>
      <c r="D215" s="69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69"/>
      <c r="D216" s="69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69"/>
      <c r="D217" s="69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69"/>
      <c r="D218" s="69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69"/>
      <c r="D219" s="69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69"/>
      <c r="D220" s="69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69"/>
      <c r="D221" s="69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69"/>
      <c r="D222" s="69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69"/>
      <c r="D223" s="69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69"/>
      <c r="D224" s="69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69"/>
      <c r="D225" s="69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69"/>
      <c r="D226" s="69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69"/>
      <c r="D227" s="69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69"/>
      <c r="D228" s="69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69"/>
      <c r="D229" s="69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69"/>
      <c r="D230" s="69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69"/>
      <c r="D231" s="69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69"/>
      <c r="D232" s="69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69"/>
      <c r="D233" s="69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69"/>
      <c r="D234" s="69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69"/>
      <c r="D235" s="69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69"/>
      <c r="D236" s="69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69"/>
      <c r="D237" s="69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69"/>
      <c r="D238" s="69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69"/>
      <c r="D239" s="69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69"/>
      <c r="D240" s="69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69"/>
      <c r="D241" s="69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69"/>
      <c r="D242" s="69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69"/>
      <c r="D243" s="69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69"/>
      <c r="D244" s="69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69"/>
      <c r="D245" s="69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69"/>
      <c r="D246" s="69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69"/>
      <c r="D247" s="69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69"/>
      <c r="D248" s="69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69"/>
      <c r="D249" s="69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69"/>
      <c r="D250" s="69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69"/>
      <c r="D251" s="69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69"/>
      <c r="D252" s="69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69"/>
      <c r="D253" s="69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69"/>
      <c r="D254" s="69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69"/>
      <c r="D255" s="69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69"/>
      <c r="D256" s="69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69"/>
      <c r="D257" s="69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69"/>
      <c r="D258" s="69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69"/>
      <c r="D259" s="69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69"/>
      <c r="D260" s="69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69"/>
      <c r="D261" s="69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69"/>
      <c r="D262" s="69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69"/>
      <c r="D263" s="69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69"/>
      <c r="D264" s="69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69"/>
      <c r="D265" s="69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69"/>
      <c r="D266" s="69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69"/>
      <c r="D267" s="69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69"/>
      <c r="D268" s="69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69"/>
      <c r="D269" s="69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69"/>
      <c r="D270" s="69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69"/>
      <c r="D271" s="69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69"/>
      <c r="D272" s="69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69"/>
      <c r="D273" s="69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69"/>
      <c r="D274" s="69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69"/>
      <c r="D275" s="69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69"/>
      <c r="D276" s="69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69"/>
      <c r="D277" s="69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69"/>
      <c r="D278" s="69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69"/>
      <c r="D279" s="69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69"/>
      <c r="D280" s="69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69"/>
      <c r="D281" s="69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69"/>
      <c r="D282" s="69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69"/>
      <c r="D283" s="69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69"/>
      <c r="D284" s="69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69"/>
      <c r="D285" s="69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69"/>
      <c r="D286" s="69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69"/>
      <c r="D287" s="69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69"/>
      <c r="D288" s="69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69"/>
      <c r="D289" s="69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69"/>
      <c r="D290" s="69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69"/>
      <c r="D291" s="69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69"/>
      <c r="D292" s="69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69"/>
      <c r="D293" s="69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69"/>
      <c r="D294" s="69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69"/>
      <c r="D295" s="69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69"/>
      <c r="D296" s="69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69"/>
      <c r="D297" s="69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69"/>
      <c r="D298" s="69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69"/>
      <c r="D299" s="69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69"/>
      <c r="D300" s="69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69"/>
      <c r="D301" s="69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69"/>
      <c r="D302" s="69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69"/>
      <c r="D303" s="69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69"/>
      <c r="D304" s="69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69"/>
      <c r="D305" s="69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69"/>
      <c r="D306" s="69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69"/>
      <c r="D307" s="69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69"/>
      <c r="D308" s="69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69"/>
      <c r="D309" s="69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69"/>
      <c r="D310" s="69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69"/>
      <c r="D311" s="69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69"/>
      <c r="D312" s="69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69"/>
      <c r="D313" s="69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69"/>
      <c r="D314" s="69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69"/>
      <c r="D315" s="69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69"/>
      <c r="D316" s="69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69"/>
      <c r="D317" s="69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69"/>
      <c r="D318" s="69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69"/>
      <c r="D319" s="69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69"/>
      <c r="D320" s="69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69"/>
      <c r="D321" s="69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69"/>
      <c r="D322" s="69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69"/>
      <c r="D323" s="69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69"/>
      <c r="D324" s="69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69"/>
      <c r="D325" s="69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69"/>
      <c r="D326" s="69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69"/>
      <c r="D327" s="69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69"/>
      <c r="D328" s="69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69"/>
      <c r="D329" s="69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69"/>
      <c r="D330" s="69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69"/>
      <c r="D331" s="69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69"/>
      <c r="D332" s="69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69"/>
      <c r="D333" s="69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69"/>
      <c r="D334" s="69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69"/>
      <c r="D335" s="69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69"/>
      <c r="D336" s="69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69"/>
      <c r="D337" s="69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69"/>
      <c r="D338" s="69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69"/>
      <c r="D339" s="69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69"/>
      <c r="D340" s="69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69"/>
      <c r="D341" s="69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14 I16 I18:I26 I28 I30:I32 I34:I99">
    <cfRule type="cellIs" dxfId="47" priority="4" stopIfTrue="1" operator="lessThanOrEqual">
      <formula>-0.1</formula>
    </cfRule>
    <cfRule type="expression" dxfId="46" priority="5">
      <formula>AND(ISNUMBER(F2), F2&gt;=0.1)</formula>
    </cfRule>
  </conditionalFormatting>
  <conditionalFormatting sqref="F34:F99">
    <cfRule type="cellIs" dxfId="45" priority="1" stopIfTrue="1" operator="lessThanOrEqual">
      <formula>-0.1</formula>
    </cfRule>
    <cfRule type="expression" dxfId="44" priority="2">
      <formula>AND(ISNUMBER(F34), F34&gt;=0.1)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15" activePane="bottomRight" state="frozen"/>
      <selection pane="bottomRight" activeCell="G32" sqref="G32"/>
      <selection pane="bottomLeft" activeCell="C4" sqref="C4"/>
      <selection pane="topRight" activeCell="C4" sqref="C4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Greenbacker</v>
      </c>
      <c r="B1" s="77"/>
      <c r="C1" s="77"/>
      <c r="D1" s="78" t="s">
        <v>38</v>
      </c>
      <c r="E1" s="78"/>
      <c r="F1" s="78"/>
      <c r="G1" s="76" t="s">
        <v>39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SUM(C4:C100)</f>
        <v>2964055.2715234826</v>
      </c>
      <c r="D2" s="5">
        <f>SUM(D4:D100)</f>
        <v>2754884.14</v>
      </c>
      <c r="E2" s="5">
        <f>C2-D2</f>
        <v>209171.1315234825</v>
      </c>
      <c r="F2" s="6">
        <f>IFERROR(E2/D2, 0)</f>
        <v>7.5927378754840305E-2</v>
      </c>
      <c r="G2" s="5">
        <f>SUM(G4:G100)</f>
        <v>2036870.179</v>
      </c>
      <c r="H2" s="7">
        <f>C2-G2</f>
        <v>927185.09252348263</v>
      </c>
      <c r="I2" s="6">
        <f>IFERROR(H2/G2, 0)</f>
        <v>0.45520087734736414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9" t="str" cm="1">
        <f t="array" ref="A4:A33">Sites[Site]</f>
        <v>10 Walpole Park South</v>
      </c>
      <c r="B4" s="29" t="str" cm="1">
        <f t="array" ref="B4:B33">Sites[State]</f>
        <v>MA</v>
      </c>
      <c r="C4" s="24">
        <v>10004.8125</v>
      </c>
      <c r="D4" s="13">
        <v>10663.78</v>
      </c>
      <c r="E4" s="13">
        <f t="shared" ref="E4:E33" si="0">IF(AND(ISNUMBER(C4),ISNUMBER(D4)), C4-D4, "")</f>
        <v>-658.96750000000065</v>
      </c>
      <c r="F4" s="14">
        <f t="shared" ref="F4:F13" si="1">IFERROR(E4/D4, "")</f>
        <v>-6.1794926376950818E-2</v>
      </c>
      <c r="G4" s="15">
        <v>9487.9089999999997</v>
      </c>
      <c r="H4" s="15">
        <f t="shared" ref="H4:H17" si="2">IF(AND(ISNUMBER(C4),ISNUMBER(G4)), C4-G4, "")</f>
        <v>516.90350000000035</v>
      </c>
      <c r="I4" s="16">
        <f t="shared" ref="I4:I15" si="3">IFERROR(H4/G4, "")</f>
        <v>5.4480233737486346E-2</v>
      </c>
      <c r="J4" s="40"/>
      <c r="K4" s="40"/>
    </row>
    <row r="5" spans="1:11" ht="15.75">
      <c r="A5" s="50" t="str">
        <v>15 Walpole Park South</v>
      </c>
      <c r="B5" s="31" t="str">
        <v>MA</v>
      </c>
      <c r="C5" s="11">
        <v>37374.75</v>
      </c>
      <c r="D5" s="18">
        <v>41176.83</v>
      </c>
      <c r="E5" s="18">
        <f t="shared" si="0"/>
        <v>-3802.0800000000017</v>
      </c>
      <c r="F5" s="19">
        <f t="shared" si="1"/>
        <v>-9.2335422615096932E-2</v>
      </c>
      <c r="G5" s="20">
        <v>32724.01</v>
      </c>
      <c r="H5" s="20">
        <f t="shared" si="2"/>
        <v>4650.7400000000016</v>
      </c>
      <c r="I5" s="19">
        <f t="shared" si="3"/>
        <v>0.14212011303015742</v>
      </c>
      <c r="J5" s="41"/>
      <c r="K5" s="41"/>
    </row>
    <row r="6" spans="1:11" ht="15.75">
      <c r="A6" s="51" t="str">
        <v>19 Walpole Park South</v>
      </c>
      <c r="B6" s="29" t="str">
        <v>MA</v>
      </c>
      <c r="C6" s="24">
        <v>21676.170624999799</v>
      </c>
      <c r="D6" s="13">
        <v>24933.68</v>
      </c>
      <c r="E6" s="13">
        <f t="shared" si="0"/>
        <v>-3257.5093750002015</v>
      </c>
      <c r="F6" s="14">
        <f t="shared" si="1"/>
        <v>-0.13064695524287637</v>
      </c>
      <c r="G6" s="15">
        <v>20845.28</v>
      </c>
      <c r="H6" s="15">
        <f t="shared" si="2"/>
        <v>830.89062499979991</v>
      </c>
      <c r="I6" s="16">
        <f t="shared" si="3"/>
        <v>3.9859892743095794E-2</v>
      </c>
      <c r="J6" s="40"/>
      <c r="K6" s="40"/>
    </row>
    <row r="7" spans="1:11" ht="15.75">
      <c r="A7" s="50" t="str">
        <v>23 Walpole Park South</v>
      </c>
      <c r="B7" s="31" t="str">
        <v>MA</v>
      </c>
      <c r="C7" s="11">
        <v>31445.5</v>
      </c>
      <c r="D7" s="18">
        <v>31659.040000000001</v>
      </c>
      <c r="E7" s="18">
        <f t="shared" si="0"/>
        <v>-213.54000000000087</v>
      </c>
      <c r="F7" s="19">
        <f t="shared" si="1"/>
        <v>-6.7449928993425215E-3</v>
      </c>
      <c r="G7" s="20">
        <v>26978.49</v>
      </c>
      <c r="H7" s="20">
        <f t="shared" si="2"/>
        <v>4467.0099999999984</v>
      </c>
      <c r="I7" s="19">
        <f t="shared" si="3"/>
        <v>0.16557672427181797</v>
      </c>
      <c r="J7" s="41"/>
      <c r="K7" s="42"/>
    </row>
    <row r="8" spans="1:11" ht="15.75">
      <c r="A8" s="51" t="str">
        <v>24 Walpole Park South</v>
      </c>
      <c r="B8" s="29" t="str">
        <v>MA</v>
      </c>
      <c r="C8" s="24">
        <v>44947</v>
      </c>
      <c r="D8" s="13">
        <v>41665.050000000003</v>
      </c>
      <c r="E8" s="13">
        <f t="shared" si="0"/>
        <v>3281.9499999999971</v>
      </c>
      <c r="F8" s="14">
        <f t="shared" si="1"/>
        <v>7.8769856270423211E-2</v>
      </c>
      <c r="G8" s="15">
        <v>41430.21</v>
      </c>
      <c r="H8" s="15">
        <f t="shared" si="2"/>
        <v>3516.7900000000009</v>
      </c>
      <c r="I8" s="16">
        <f t="shared" si="3"/>
        <v>8.4884677147424578E-2</v>
      </c>
      <c r="J8" s="40" t="s">
        <v>40</v>
      </c>
      <c r="K8" s="40" t="s">
        <v>41</v>
      </c>
    </row>
    <row r="9" spans="1:11" ht="15.75">
      <c r="A9" s="50" t="str">
        <v>25 Walpole Park South</v>
      </c>
      <c r="B9" s="31" t="str">
        <v>MA</v>
      </c>
      <c r="C9" s="11">
        <v>45891</v>
      </c>
      <c r="D9" s="18">
        <v>48624.34</v>
      </c>
      <c r="E9" s="18">
        <f t="shared" si="0"/>
        <v>-2733.3399999999965</v>
      </c>
      <c r="F9" s="19">
        <f t="shared" si="1"/>
        <v>-5.6213410814419211E-2</v>
      </c>
      <c r="G9" s="20">
        <v>42368.25</v>
      </c>
      <c r="H9" s="20">
        <f t="shared" si="2"/>
        <v>3522.75</v>
      </c>
      <c r="I9" s="19">
        <f t="shared" si="3"/>
        <v>8.3145987856472717E-2</v>
      </c>
      <c r="J9" s="41"/>
      <c r="K9" s="42"/>
    </row>
    <row r="10" spans="1:11" ht="15.75">
      <c r="A10" s="51" t="str">
        <v>3 Walpole Park South</v>
      </c>
      <c r="B10" s="29" t="str">
        <v>MA</v>
      </c>
      <c r="C10" s="24">
        <v>52732</v>
      </c>
      <c r="D10" s="13">
        <v>63086.7</v>
      </c>
      <c r="E10" s="13">
        <f t="shared" si="0"/>
        <v>-10354.699999999997</v>
      </c>
      <c r="F10" s="14">
        <f t="shared" si="1"/>
        <v>-0.16413443721101273</v>
      </c>
      <c r="G10" s="15">
        <v>49247.23</v>
      </c>
      <c r="H10" s="15">
        <f t="shared" si="2"/>
        <v>3484.7699999999968</v>
      </c>
      <c r="I10" s="16">
        <f t="shared" si="3"/>
        <v>7.0760731111171052E-2</v>
      </c>
      <c r="J10" s="40"/>
      <c r="K10" s="40"/>
    </row>
    <row r="11" spans="1:11" ht="15.75">
      <c r="A11" s="50" t="str">
        <v>4 Walpole Park South</v>
      </c>
      <c r="B11" s="31" t="str">
        <v>MA</v>
      </c>
      <c r="C11" s="11">
        <v>32263.5</v>
      </c>
      <c r="D11" s="18">
        <v>35638.160000000003</v>
      </c>
      <c r="E11" s="18">
        <f t="shared" si="0"/>
        <v>-3374.6600000000035</v>
      </c>
      <c r="F11" s="19">
        <f t="shared" si="1"/>
        <v>-9.4692318570880285E-2</v>
      </c>
      <c r="G11" s="20">
        <v>28453.96</v>
      </c>
      <c r="H11" s="20">
        <f t="shared" si="2"/>
        <v>3809.5400000000009</v>
      </c>
      <c r="I11" s="19">
        <f t="shared" si="3"/>
        <v>0.13388435212532812</v>
      </c>
      <c r="J11" s="41"/>
      <c r="K11" s="42"/>
    </row>
    <row r="12" spans="1:11" ht="15.75">
      <c r="A12" s="51" t="str">
        <v>Brockton</v>
      </c>
      <c r="B12" s="29" t="str">
        <v>MA</v>
      </c>
      <c r="C12" s="24">
        <v>50932.5</v>
      </c>
      <c r="D12" s="13">
        <v>50100.46</v>
      </c>
      <c r="E12" s="13">
        <f t="shared" si="0"/>
        <v>832.04000000000087</v>
      </c>
      <c r="F12" s="14">
        <f t="shared" si="1"/>
        <v>1.6607432346928568E-2</v>
      </c>
      <c r="G12" s="15">
        <v>45403.86</v>
      </c>
      <c r="H12" s="15">
        <f t="shared" si="2"/>
        <v>5528.6399999999994</v>
      </c>
      <c r="I12" s="16">
        <f t="shared" si="3"/>
        <v>0.12176585867368984</v>
      </c>
      <c r="J12" s="40"/>
      <c r="K12" s="40"/>
    </row>
    <row r="13" spans="1:11" ht="15.75">
      <c r="A13" s="50" t="str">
        <v>Canton</v>
      </c>
      <c r="B13" s="31" t="str">
        <v>MA</v>
      </c>
      <c r="C13" s="11">
        <v>54122.750000000502</v>
      </c>
      <c r="D13" s="18">
        <v>55077.24</v>
      </c>
      <c r="E13" s="18">
        <f t="shared" si="0"/>
        <v>-954.48999999949592</v>
      </c>
      <c r="F13" s="19">
        <f t="shared" si="1"/>
        <v>-1.7330025978053658E-2</v>
      </c>
      <c r="G13" s="20">
        <v>48151.77</v>
      </c>
      <c r="H13" s="20">
        <f t="shared" si="2"/>
        <v>5970.9800000005052</v>
      </c>
      <c r="I13" s="19">
        <f t="shared" si="3"/>
        <v>0.12400333362616796</v>
      </c>
      <c r="J13" s="41" t="s">
        <v>42</v>
      </c>
      <c r="K13" s="42"/>
    </row>
    <row r="14" spans="1:11" ht="15.75">
      <c r="A14" s="51" t="str">
        <v>Chelsea</v>
      </c>
      <c r="B14" s="29" t="str">
        <v>MA</v>
      </c>
      <c r="C14" s="24">
        <v>100779.5</v>
      </c>
      <c r="D14" s="13">
        <v>97636.57</v>
      </c>
      <c r="E14" s="13">
        <f t="shared" si="0"/>
        <v>3142.929999999993</v>
      </c>
      <c r="F14" s="14">
        <f t="shared" ref="F14:F33" si="4">IFERROR(E14/D14, "")</f>
        <v>3.2190090249995397E-2</v>
      </c>
      <c r="G14" s="15">
        <v>77108.570000000007</v>
      </c>
      <c r="H14" s="15">
        <f t="shared" si="2"/>
        <v>23670.929999999993</v>
      </c>
      <c r="I14" s="16">
        <f t="shared" si="3"/>
        <v>0.30698183094304549</v>
      </c>
      <c r="J14" s="40"/>
      <c r="K14" s="40"/>
    </row>
    <row r="15" spans="1:11" ht="15.75">
      <c r="A15" s="50" t="str">
        <v>Hamilton Landfill</v>
      </c>
      <c r="B15" s="31" t="str">
        <v>MA</v>
      </c>
      <c r="C15" s="11">
        <v>81955.266481762621</v>
      </c>
      <c r="D15" s="18">
        <v>92578</v>
      </c>
      <c r="E15" s="18">
        <f t="shared" si="0"/>
        <v>-10622.733518237379</v>
      </c>
      <c r="F15" s="19">
        <f t="shared" si="4"/>
        <v>-0.11474360558920456</v>
      </c>
      <c r="G15" s="20">
        <v>0</v>
      </c>
      <c r="H15" s="20">
        <f t="shared" si="2"/>
        <v>81955.266481762621</v>
      </c>
      <c r="I15" s="19" t="str">
        <f t="shared" si="3"/>
        <v/>
      </c>
      <c r="J15" s="41"/>
      <c r="K15" s="42"/>
    </row>
    <row r="16" spans="1:11" ht="15.75">
      <c r="A16" s="51" t="str">
        <v>Holliston</v>
      </c>
      <c r="B16" s="29" t="str">
        <v>MA</v>
      </c>
      <c r="C16" s="24">
        <v>129951.5</v>
      </c>
      <c r="D16" s="13">
        <v>123734.8</v>
      </c>
      <c r="E16" s="13">
        <f t="shared" si="0"/>
        <v>6216.6999999999971</v>
      </c>
      <c r="F16" s="14">
        <f t="shared" si="4"/>
        <v>5.0242130750605303E-2</v>
      </c>
      <c r="G16" s="15">
        <v>123168</v>
      </c>
      <c r="H16" s="15">
        <f t="shared" si="2"/>
        <v>6783.5</v>
      </c>
      <c r="I16" s="16">
        <f t="shared" ref="I16:I33" si="5">IFERROR(H16/G16, "")</f>
        <v>5.5075181865419591E-2</v>
      </c>
      <c r="J16" s="40"/>
      <c r="K16" s="40"/>
    </row>
    <row r="17" spans="1:11" ht="15.75">
      <c r="A17" s="50" t="str">
        <v>Natick HS - Carports</v>
      </c>
      <c r="B17" s="31" t="str">
        <v>MA</v>
      </c>
      <c r="C17" s="11">
        <v>41947</v>
      </c>
      <c r="D17" s="18">
        <v>54546.6</v>
      </c>
      <c r="E17" s="18">
        <f t="shared" si="0"/>
        <v>-12599.599999999999</v>
      </c>
      <c r="F17" s="19">
        <f t="shared" si="4"/>
        <v>-0.23098781592253229</v>
      </c>
      <c r="G17" s="20">
        <v>0</v>
      </c>
      <c r="H17" s="20">
        <f t="shared" si="2"/>
        <v>41947</v>
      </c>
      <c r="I17" s="19" t="str">
        <f t="shared" si="5"/>
        <v/>
      </c>
      <c r="J17" s="41"/>
      <c r="K17" s="42"/>
    </row>
    <row r="18" spans="1:11" ht="12.75" customHeight="1">
      <c r="A18" s="49" t="str">
        <v>Norton</v>
      </c>
      <c r="B18" s="29" t="str">
        <v>MA</v>
      </c>
      <c r="C18" s="24">
        <v>208382</v>
      </c>
      <c r="D18" s="13">
        <v>259599.2</v>
      </c>
      <c r="E18" s="13">
        <f t="shared" si="0"/>
        <v>-51217.200000000012</v>
      </c>
      <c r="F18" s="14">
        <f t="shared" si="4"/>
        <v>-0.19729336608125145</v>
      </c>
      <c r="G18" s="15">
        <v>233294</v>
      </c>
      <c r="H18" s="15">
        <f t="shared" ref="H18:H33" si="6">IF(AND(ISNUMBER(C18),ISNUMBER(G18)), C18-G18, "")</f>
        <v>-24912</v>
      </c>
      <c r="I18" s="16">
        <f t="shared" si="5"/>
        <v>-0.10678371496909479</v>
      </c>
      <c r="J18" s="40" t="s">
        <v>43</v>
      </c>
      <c r="K18" s="40" t="s">
        <v>44</v>
      </c>
    </row>
    <row r="19" spans="1:11" ht="15.75">
      <c r="A19" s="50" t="str">
        <v>Palmer - Boston Rd.</v>
      </c>
      <c r="B19" s="31" t="str">
        <v>MA</v>
      </c>
      <c r="C19" s="11">
        <v>58605.5</v>
      </c>
      <c r="D19" s="18">
        <v>62468.959999999999</v>
      </c>
      <c r="E19" s="18">
        <f t="shared" si="0"/>
        <v>-3863.4599999999991</v>
      </c>
      <c r="F19" s="19">
        <f t="shared" si="4"/>
        <v>-6.18460752348046E-2</v>
      </c>
      <c r="G19" s="20">
        <v>62743</v>
      </c>
      <c r="H19" s="20">
        <f t="shared" si="6"/>
        <v>-4137.5</v>
      </c>
      <c r="I19" s="19">
        <f t="shared" si="5"/>
        <v>-6.5943611239500821E-2</v>
      </c>
      <c r="J19" s="41"/>
      <c r="K19" s="41"/>
    </row>
    <row r="20" spans="1:11" ht="15.75">
      <c r="A20" s="51" t="str">
        <v>Shirley Bartkus</v>
      </c>
      <c r="B20" s="29" t="str">
        <v>MA</v>
      </c>
      <c r="C20" s="24">
        <v>27056.128820375499</v>
      </c>
      <c r="D20" s="13">
        <v>36741.230000000003</v>
      </c>
      <c r="E20" s="13">
        <f t="shared" si="0"/>
        <v>-9685.1011796245039</v>
      </c>
      <c r="F20" s="14">
        <f t="shared" si="4"/>
        <v>-0.26360307424722862</v>
      </c>
      <c r="G20" s="15">
        <v>77292</v>
      </c>
      <c r="H20" s="15">
        <f t="shared" si="6"/>
        <v>-50235.871179624504</v>
      </c>
      <c r="I20" s="16">
        <f t="shared" si="5"/>
        <v>-0.64994916912001899</v>
      </c>
      <c r="J20" s="40"/>
      <c r="K20" s="40"/>
    </row>
    <row r="21" spans="1:11" ht="28.7">
      <c r="A21" s="50" t="str">
        <v>Stoughton</v>
      </c>
      <c r="B21" s="31" t="str">
        <v>MA</v>
      </c>
      <c r="C21" s="11">
        <v>58669.5</v>
      </c>
      <c r="D21" s="18">
        <v>44175.05</v>
      </c>
      <c r="E21" s="18">
        <f t="shared" si="0"/>
        <v>14494.449999999997</v>
      </c>
      <c r="F21" s="19">
        <f t="shared" si="4"/>
        <v>0.32811394667351812</v>
      </c>
      <c r="G21" s="20">
        <v>49499.519999999997</v>
      </c>
      <c r="H21" s="20">
        <f t="shared" si="6"/>
        <v>9169.9800000000032</v>
      </c>
      <c r="I21" s="19">
        <f t="shared" si="5"/>
        <v>0.18525391761374663</v>
      </c>
      <c r="J21" s="71" t="s">
        <v>45</v>
      </c>
      <c r="K21" s="70" t="s">
        <v>46</v>
      </c>
    </row>
    <row r="22" spans="1:11" ht="15.75">
      <c r="A22" s="51" t="str">
        <v>Wellfleet Landfill</v>
      </c>
      <c r="B22" s="29" t="str">
        <v>MA</v>
      </c>
      <c r="C22" s="24">
        <v>65995</v>
      </c>
      <c r="D22" s="13">
        <v>82038</v>
      </c>
      <c r="E22" s="13">
        <f t="shared" si="0"/>
        <v>-16043</v>
      </c>
      <c r="F22" s="14">
        <f t="shared" si="4"/>
        <v>-0.1955557180818645</v>
      </c>
      <c r="G22" s="15">
        <v>0</v>
      </c>
      <c r="H22" s="15">
        <f t="shared" si="6"/>
        <v>65995</v>
      </c>
      <c r="I22" s="16" t="str">
        <f t="shared" si="5"/>
        <v/>
      </c>
      <c r="J22" s="40"/>
      <c r="K22" s="40"/>
    </row>
    <row r="23" spans="1:11" ht="15.75">
      <c r="A23" s="50" t="str">
        <v>Wilmington Garage &amp; Building 7</v>
      </c>
      <c r="B23" s="31" t="str">
        <v>MA</v>
      </c>
      <c r="C23" s="11">
        <v>92593.62</v>
      </c>
      <c r="D23" s="18">
        <v>97217.95</v>
      </c>
      <c r="E23" s="18">
        <f t="shared" si="0"/>
        <v>-4624.3300000000017</v>
      </c>
      <c r="F23" s="19">
        <f t="shared" si="4"/>
        <v>-4.7566627356367852E-2</v>
      </c>
      <c r="G23" s="20">
        <v>78728.72</v>
      </c>
      <c r="H23" s="20">
        <f t="shared" si="6"/>
        <v>13864.899999999994</v>
      </c>
      <c r="I23" s="19">
        <f t="shared" si="5"/>
        <v>0.1761098110067075</v>
      </c>
      <c r="J23" s="41"/>
      <c r="K23" s="42"/>
    </row>
    <row r="24" spans="1:11" ht="15.75">
      <c r="A24" s="51" t="str">
        <v>Woburn</v>
      </c>
      <c r="B24" s="29" t="str">
        <v>MA</v>
      </c>
      <c r="C24" s="24">
        <v>146359</v>
      </c>
      <c r="D24" s="13">
        <v>163940.79999999999</v>
      </c>
      <c r="E24" s="13">
        <f t="shared" si="0"/>
        <v>-17581.799999999988</v>
      </c>
      <c r="F24" s="14">
        <f t="shared" si="4"/>
        <v>-0.10724481032177463</v>
      </c>
      <c r="G24" s="15">
        <v>112139.6</v>
      </c>
      <c r="H24" s="15">
        <f t="shared" si="6"/>
        <v>34219.399999999994</v>
      </c>
      <c r="I24" s="16">
        <f t="shared" si="5"/>
        <v>0.30515000945250376</v>
      </c>
      <c r="J24" s="40"/>
      <c r="K24" s="40"/>
    </row>
    <row r="25" spans="1:11" ht="15.75">
      <c r="A25" s="50" t="str">
        <v>Friendship Solar 1</v>
      </c>
      <c r="B25" s="31" t="str">
        <v>MD</v>
      </c>
      <c r="C25" s="11">
        <v>322297</v>
      </c>
      <c r="D25" s="18">
        <v>332843.8</v>
      </c>
      <c r="E25" s="18">
        <f t="shared" si="0"/>
        <v>-10546.799999999988</v>
      </c>
      <c r="F25" s="19">
        <f t="shared" si="4"/>
        <v>-3.1686935433377424E-2</v>
      </c>
      <c r="G25" s="20">
        <v>310998.2</v>
      </c>
      <c r="H25" s="20">
        <f t="shared" si="6"/>
        <v>11298.799999999988</v>
      </c>
      <c r="I25" s="19">
        <f t="shared" si="5"/>
        <v>3.63307568982714E-2</v>
      </c>
      <c r="J25" s="41"/>
      <c r="K25" s="42"/>
    </row>
    <row r="26" spans="1:11" ht="15.75">
      <c r="A26" s="51" t="str">
        <v>Friendship Solar 2</v>
      </c>
      <c r="B26" s="29" t="str">
        <v>MD</v>
      </c>
      <c r="C26" s="24">
        <v>322955</v>
      </c>
      <c r="D26" s="13">
        <v>339690.4</v>
      </c>
      <c r="E26" s="13">
        <f t="shared" si="0"/>
        <v>-16735.400000000023</v>
      </c>
      <c r="F26" s="14">
        <f t="shared" si="4"/>
        <v>-4.9266626316198582E-2</v>
      </c>
      <c r="G26" s="15">
        <v>322799.2</v>
      </c>
      <c r="H26" s="15">
        <f t="shared" si="6"/>
        <v>155.79999999998836</v>
      </c>
      <c r="I26" s="16">
        <f t="shared" si="5"/>
        <v>4.8265299294418437E-4</v>
      </c>
      <c r="J26" s="40"/>
      <c r="K26" s="40"/>
    </row>
    <row r="27" spans="1:11" ht="15.75">
      <c r="A27" s="50" t="str">
        <v>101 Carnegie Center</v>
      </c>
      <c r="B27" s="31" t="str">
        <v>NJ</v>
      </c>
      <c r="C27" s="11">
        <v>107727</v>
      </c>
      <c r="D27" s="18">
        <v>136195.6</v>
      </c>
      <c r="E27" s="18">
        <f t="shared" si="0"/>
        <v>-28468.600000000006</v>
      </c>
      <c r="F27" s="19">
        <f t="shared" si="4"/>
        <v>-0.20902731072075753</v>
      </c>
      <c r="G27" s="20">
        <v>0</v>
      </c>
      <c r="H27" s="20">
        <f t="shared" si="6"/>
        <v>107727</v>
      </c>
      <c r="I27" s="19" t="str">
        <f t="shared" si="5"/>
        <v/>
      </c>
      <c r="J27" s="41"/>
      <c r="K27" s="42"/>
    </row>
    <row r="28" spans="1:11" ht="15.75">
      <c r="A28" s="51" t="str">
        <v>302 Carnegie Center</v>
      </c>
      <c r="B28" s="29" t="str">
        <v>NJ</v>
      </c>
      <c r="C28" s="24">
        <v>47965.599999999999</v>
      </c>
      <c r="D28" s="13">
        <v>57063.5</v>
      </c>
      <c r="E28" s="13">
        <f t="shared" si="0"/>
        <v>-9097.9000000000015</v>
      </c>
      <c r="F28" s="14">
        <f t="shared" si="4"/>
        <v>-0.15943466489086722</v>
      </c>
      <c r="G28" s="15">
        <v>0</v>
      </c>
      <c r="H28" s="15">
        <f t="shared" si="6"/>
        <v>47965.599999999999</v>
      </c>
      <c r="I28" s="16" t="str">
        <f t="shared" si="5"/>
        <v/>
      </c>
      <c r="J28" s="40"/>
      <c r="K28" s="40"/>
    </row>
    <row r="29" spans="1:11" ht="15.75">
      <c r="A29" s="50" t="str">
        <v>510 Carnegie Center</v>
      </c>
      <c r="B29" s="31" t="str">
        <v>NJ</v>
      </c>
      <c r="C29" s="11">
        <v>119003</v>
      </c>
      <c r="D29" s="18">
        <v>146361</v>
      </c>
      <c r="E29" s="18">
        <f t="shared" si="0"/>
        <v>-27358</v>
      </c>
      <c r="F29" s="19">
        <f t="shared" si="4"/>
        <v>-0.18692137932919289</v>
      </c>
      <c r="G29" s="20">
        <v>0</v>
      </c>
      <c r="H29" s="20">
        <f t="shared" si="6"/>
        <v>119003</v>
      </c>
      <c r="I29" s="19" t="str">
        <f t="shared" si="5"/>
        <v/>
      </c>
      <c r="J29" s="41"/>
      <c r="K29" s="42"/>
    </row>
    <row r="30" spans="1:11" ht="15.75">
      <c r="A30" s="51" t="str">
        <v>701 Carnegie Center</v>
      </c>
      <c r="B30" s="29" t="str">
        <v>NJ</v>
      </c>
      <c r="C30" s="24">
        <v>90283</v>
      </c>
      <c r="D30" s="13">
        <v>115418</v>
      </c>
      <c r="E30" s="13">
        <f t="shared" si="0"/>
        <v>-25135</v>
      </c>
      <c r="F30" s="14">
        <f t="shared" si="4"/>
        <v>-0.21777365748843336</v>
      </c>
      <c r="G30" s="15">
        <v>0</v>
      </c>
      <c r="H30" s="15">
        <f t="shared" si="6"/>
        <v>90283</v>
      </c>
      <c r="I30" s="16" t="str">
        <f t="shared" si="5"/>
        <v/>
      </c>
      <c r="J30" s="40"/>
      <c r="K30" s="40"/>
    </row>
    <row r="31" spans="1:11" ht="15.75">
      <c r="A31" s="50" t="str">
        <v>Hudson County Correction</v>
      </c>
      <c r="B31" s="31" t="str">
        <v>NJ</v>
      </c>
      <c r="C31" s="11">
        <v>110854.67309634401</v>
      </c>
      <c r="D31" s="18">
        <v>110009.4</v>
      </c>
      <c r="E31" s="18">
        <f t="shared" si="0"/>
        <v>845.27309634401172</v>
      </c>
      <c r="F31" s="19">
        <f t="shared" si="4"/>
        <v>7.6836442735258234E-3</v>
      </c>
      <c r="G31" s="20">
        <v>105210.4</v>
      </c>
      <c r="H31" s="20">
        <f t="shared" si="6"/>
        <v>5644.2730963440117</v>
      </c>
      <c r="I31" s="19">
        <f t="shared" si="5"/>
        <v>5.364748253351391E-2</v>
      </c>
      <c r="J31" s="41"/>
      <c r="K31" s="42"/>
    </row>
    <row r="32" spans="1:11" ht="15.75">
      <c r="A32" s="51" t="str">
        <v>ER Bison Solar</v>
      </c>
      <c r="B32" s="29" t="str">
        <v>PA</v>
      </c>
      <c r="C32" s="24">
        <v>162625</v>
      </c>
      <c r="D32" s="13">
        <v>0</v>
      </c>
      <c r="E32" s="13">
        <f t="shared" si="0"/>
        <v>162625</v>
      </c>
      <c r="F32" s="14" t="str">
        <f t="shared" si="4"/>
        <v/>
      </c>
      <c r="G32" s="15">
        <v>138798</v>
      </c>
      <c r="H32" s="15">
        <f t="shared" si="6"/>
        <v>23827</v>
      </c>
      <c r="I32" s="16">
        <f t="shared" si="5"/>
        <v>0.17166673871381433</v>
      </c>
      <c r="J32" s="40"/>
      <c r="K32" s="40"/>
    </row>
    <row r="33" spans="1:11" ht="15.75">
      <c r="A33" s="50" t="str">
        <v>Danville</v>
      </c>
      <c r="B33" s="31" t="str">
        <v>IL</v>
      </c>
      <c r="C33" s="11">
        <v>286661</v>
      </c>
      <c r="D33" s="18">
        <v>0</v>
      </c>
      <c r="E33" s="18">
        <f t="shared" si="0"/>
        <v>286661</v>
      </c>
      <c r="F33" s="19" t="str">
        <f t="shared" si="4"/>
        <v/>
      </c>
      <c r="G33" s="20">
        <v>0</v>
      </c>
      <c r="H33" s="20">
        <f t="shared" si="6"/>
        <v>286661</v>
      </c>
      <c r="I33" s="19" t="str">
        <f t="shared" si="5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3" priority="1" stopIfTrue="1" operator="lessThanOrEqual">
      <formula>-0.1</formula>
    </cfRule>
    <cfRule type="expression" dxfId="4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3"/>
  <sheetViews>
    <sheetView workbookViewId="0">
      <pane xSplit="2" ySplit="3" topLeftCell="E20" activePane="bottomRight" state="frozen"/>
      <selection pane="bottomRight" activeCell="O29" sqref="O29"/>
      <selection pane="bottomLeft" activeCell="G30" sqref="G30"/>
      <selection pane="topRight" activeCell="G30" sqref="G30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Greenbacker</v>
      </c>
      <c r="B1" s="77"/>
      <c r="C1" s="77"/>
      <c r="D1" s="78" t="s">
        <v>47</v>
      </c>
      <c r="E1" s="78"/>
      <c r="F1" s="78"/>
      <c r="G1" s="76" t="s">
        <v>48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SUM(C4:C100)</f>
        <v>3886716.637484984</v>
      </c>
      <c r="D2" s="5">
        <f>SUM(D4:D100)</f>
        <v>3315526.8</v>
      </c>
      <c r="E2" s="5">
        <f>C2-D2</f>
        <v>571189.83748498419</v>
      </c>
      <c r="F2" s="6">
        <f>IFERROR(E2/D2, 0)</f>
        <v>0.17227724942081127</v>
      </c>
      <c r="G2" s="5">
        <f>SUM(G4:G100)</f>
        <v>3004280.5700000003</v>
      </c>
      <c r="H2" s="7">
        <f>C2-G2</f>
        <v>882436.06748498371</v>
      </c>
      <c r="I2" s="6">
        <f>IFERROR(H2/G2, 0)</f>
        <v>0.29372625056952772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13795.5625</v>
      </c>
      <c r="D4" s="13">
        <v>12505.45</v>
      </c>
      <c r="E4" s="13">
        <f>IF(AND(ISNUMBER(C4),ISNUMBER(D4)), C4-D4, "")</f>
        <v>1290.1124999999993</v>
      </c>
      <c r="F4" s="14">
        <f>IFERROR(E4/D4, "")</f>
        <v>0.10316402048706758</v>
      </c>
      <c r="G4" s="15">
        <v>14738.99</v>
      </c>
      <c r="H4" s="15">
        <f>IF(AND(ISNUMBER(C4),ISNUMBER(G4)), C4-G4, "")</f>
        <v>-943.42749999999978</v>
      </c>
      <c r="I4" s="16">
        <f>IFERROR(H4/G4, "")</f>
        <v>-6.4008965336159379E-2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50765.75</v>
      </c>
      <c r="D5" s="18">
        <v>48451.57</v>
      </c>
      <c r="E5" s="18">
        <f t="shared" ref="E5:E33" si="0">IF(AND(ISNUMBER(C5),ISNUMBER(D5)), C5-D5, "")</f>
        <v>2314.1800000000003</v>
      </c>
      <c r="F5" s="19">
        <f>IFERROR(E5/D5, "")</f>
        <v>4.7762745355826454E-2</v>
      </c>
      <c r="G5" s="20">
        <v>51542.51</v>
      </c>
      <c r="H5" s="20">
        <f t="shared" ref="H5:H33" si="1">IF(AND(ISNUMBER(C5),ISNUMBER(G5)), C5-G5, "")</f>
        <v>-776.76000000000204</v>
      </c>
      <c r="I5" s="19">
        <f t="shared" ref="I5:I33" si="2">IFERROR(H5/G5, "")</f>
        <v>-1.5070278882421559E-2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31449.454375000205</v>
      </c>
      <c r="D6" s="13">
        <v>29167.38</v>
      </c>
      <c r="E6" s="13">
        <f t="shared" si="0"/>
        <v>2282.0743750002039</v>
      </c>
      <c r="F6" s="14">
        <f t="shared" ref="F6:F33" si="3">IFERROR(E6/D6, "")</f>
        <v>7.8240636457583904E-2</v>
      </c>
      <c r="G6" s="15">
        <v>32813.61</v>
      </c>
      <c r="H6" s="15">
        <f t="shared" si="1"/>
        <v>-1364.1556249997957</v>
      </c>
      <c r="I6" s="16">
        <f t="shared" si="2"/>
        <v>-4.157286031618574E-2</v>
      </c>
      <c r="J6" s="40"/>
      <c r="K6" s="40"/>
    </row>
    <row r="7" spans="1:11" ht="30.75">
      <c r="A7" s="30" t="str">
        <v>23 Walpole Park South</v>
      </c>
      <c r="B7" s="31" t="str">
        <v>MA</v>
      </c>
      <c r="C7" s="11">
        <v>43350</v>
      </c>
      <c r="D7" s="18">
        <v>37112.660000000003</v>
      </c>
      <c r="E7" s="18">
        <f t="shared" si="0"/>
        <v>6237.3399999999965</v>
      </c>
      <c r="F7" s="19">
        <f t="shared" si="3"/>
        <v>0.16806502147784599</v>
      </c>
      <c r="G7" s="20">
        <v>43035.11</v>
      </c>
      <c r="H7" s="20">
        <f t="shared" si="1"/>
        <v>314.88999999999942</v>
      </c>
      <c r="I7" s="19">
        <f t="shared" si="2"/>
        <v>7.3170488003864616E-3</v>
      </c>
      <c r="J7" s="72" t="s">
        <v>49</v>
      </c>
      <c r="K7" s="73" t="s">
        <v>50</v>
      </c>
    </row>
    <row r="8" spans="1:11" ht="15.75">
      <c r="A8" s="28" t="str">
        <v>24 Walpole Park South</v>
      </c>
      <c r="B8" s="29" t="str">
        <v>MA</v>
      </c>
      <c r="C8" s="24">
        <v>63743</v>
      </c>
      <c r="D8" s="13">
        <v>52087.96</v>
      </c>
      <c r="E8" s="13">
        <f t="shared" si="0"/>
        <v>11655.04</v>
      </c>
      <c r="F8" s="14">
        <f t="shared" si="3"/>
        <v>0.22375689122783846</v>
      </c>
      <c r="G8" s="15">
        <v>66261.960000000006</v>
      </c>
      <c r="H8" s="15">
        <f t="shared" si="1"/>
        <v>-2518.9600000000064</v>
      </c>
      <c r="I8" s="16">
        <f t="shared" si="2"/>
        <v>-3.8015174920874757E-2</v>
      </c>
      <c r="J8" s="40"/>
      <c r="K8" s="40"/>
    </row>
    <row r="9" spans="1:11" ht="15.75">
      <c r="A9" s="30" t="str">
        <v>25 Walpole Park South</v>
      </c>
      <c r="B9" s="31" t="str">
        <v>MA</v>
      </c>
      <c r="C9" s="11">
        <v>63904</v>
      </c>
      <c r="D9" s="18">
        <v>58135.71</v>
      </c>
      <c r="E9" s="18">
        <f t="shared" si="0"/>
        <v>5768.2900000000009</v>
      </c>
      <c r="F9" s="19">
        <f t="shared" si="3"/>
        <v>9.9221115558750392E-2</v>
      </c>
      <c r="G9" s="20">
        <v>67228.94</v>
      </c>
      <c r="H9" s="20">
        <f t="shared" si="1"/>
        <v>-3324.9400000000023</v>
      </c>
      <c r="I9" s="19">
        <f t="shared" si="2"/>
        <v>-4.9456974927761799E-2</v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>
        <v>78101.202499999665</v>
      </c>
      <c r="D10" s="13">
        <v>74536.98</v>
      </c>
      <c r="E10" s="13">
        <f t="shared" si="0"/>
        <v>3564.2224999996688</v>
      </c>
      <c r="F10" s="14">
        <f t="shared" si="3"/>
        <v>4.7818176963967E-2</v>
      </c>
      <c r="G10" s="15">
        <v>78725.149999999994</v>
      </c>
      <c r="H10" s="15">
        <f t="shared" si="1"/>
        <v>-623.94750000032946</v>
      </c>
      <c r="I10" s="16">
        <f t="shared" si="2"/>
        <v>-7.9256438380915055E-3</v>
      </c>
      <c r="J10" s="40" t="s">
        <v>51</v>
      </c>
      <c r="K10" s="40" t="s">
        <v>52</v>
      </c>
    </row>
    <row r="11" spans="1:11" ht="15.75">
      <c r="A11" s="30" t="str">
        <v>4 Walpole Park South</v>
      </c>
      <c r="B11" s="31" t="str">
        <v>MA</v>
      </c>
      <c r="C11" s="11">
        <v>44218.5</v>
      </c>
      <c r="D11" s="18">
        <v>41454.25</v>
      </c>
      <c r="E11" s="18">
        <f t="shared" si="0"/>
        <v>2764.25</v>
      </c>
      <c r="F11" s="19">
        <f t="shared" si="3"/>
        <v>6.6681944553332886E-2</v>
      </c>
      <c r="G11" s="20">
        <v>44666.27</v>
      </c>
      <c r="H11" s="20">
        <f t="shared" si="1"/>
        <v>-447.7699999999968</v>
      </c>
      <c r="I11" s="19">
        <f t="shared" si="2"/>
        <v>-1.0024790518661997E-2</v>
      </c>
      <c r="J11" s="41"/>
      <c r="K11" s="42"/>
    </row>
    <row r="12" spans="1:11" ht="15.75">
      <c r="A12" s="28" t="str">
        <v>Brockton</v>
      </c>
      <c r="B12" s="29" t="str">
        <v>MA</v>
      </c>
      <c r="C12" s="24">
        <v>69705</v>
      </c>
      <c r="D12" s="13">
        <v>61459.27</v>
      </c>
      <c r="E12" s="13">
        <f t="shared" si="0"/>
        <v>8245.7300000000032</v>
      </c>
      <c r="F12" s="14">
        <f t="shared" si="3"/>
        <v>0.13416576539226716</v>
      </c>
      <c r="G12" s="15">
        <v>73083.759999999995</v>
      </c>
      <c r="H12" s="15">
        <f t="shared" si="1"/>
        <v>-3378.7599999999948</v>
      </c>
      <c r="I12" s="16">
        <f t="shared" si="2"/>
        <v>-4.6231337851254439E-2</v>
      </c>
      <c r="J12" s="40"/>
      <c r="K12" s="40"/>
    </row>
    <row r="13" spans="1:11" ht="15.75">
      <c r="A13" s="30" t="str">
        <v>Canton</v>
      </c>
      <c r="B13" s="31" t="str">
        <v>MA</v>
      </c>
      <c r="C13" s="11">
        <v>67688.511224489659</v>
      </c>
      <c r="D13" s="18">
        <v>63572.7</v>
      </c>
      <c r="E13" s="18">
        <f t="shared" si="0"/>
        <v>4115.811224489662</v>
      </c>
      <c r="F13" s="19">
        <f t="shared" si="3"/>
        <v>6.4741803077258978E-2</v>
      </c>
      <c r="G13" s="20">
        <v>69209</v>
      </c>
      <c r="H13" s="20">
        <f t="shared" si="1"/>
        <v>-1520.4887755103409</v>
      </c>
      <c r="I13" s="19">
        <f t="shared" si="2"/>
        <v>-2.1969523840979367E-2</v>
      </c>
      <c r="J13" s="41" t="s">
        <v>53</v>
      </c>
      <c r="K13" s="41" t="s">
        <v>54</v>
      </c>
    </row>
    <row r="14" spans="1:11" ht="15.75">
      <c r="A14" s="28" t="str">
        <v>Chelsea</v>
      </c>
      <c r="B14" s="29" t="str">
        <v>MA</v>
      </c>
      <c r="C14" s="24">
        <v>119463.5</v>
      </c>
      <c r="D14" s="13">
        <v>113528.8</v>
      </c>
      <c r="E14" s="13">
        <f>IF(AND(ISNUMBER(C14),ISNUMBER(D14)), C14-D14, "")</f>
        <v>5934.6999999999971</v>
      </c>
      <c r="F14" s="14">
        <f>IFERROR(E14/D14, "")</f>
        <v>5.2274841273756062E-2</v>
      </c>
      <c r="G14" s="15">
        <v>116445.1</v>
      </c>
      <c r="H14" s="15">
        <f>IF(AND(ISNUMBER(C14),ISNUMBER(G14)), C14-G14, "")</f>
        <v>3018.3999999999942</v>
      </c>
      <c r="I14" s="16">
        <f>IFERROR(H14/G14, "")</f>
        <v>2.5921228115223346E-2</v>
      </c>
      <c r="J14" s="40"/>
      <c r="K14" s="40"/>
    </row>
    <row r="15" spans="1:11" ht="15.75">
      <c r="A15" s="30" t="str">
        <v>Hamilton Landfill</v>
      </c>
      <c r="B15" s="31" t="str">
        <v>MA</v>
      </c>
      <c r="C15" s="11">
        <v>94311</v>
      </c>
      <c r="D15" s="18">
        <v>100982</v>
      </c>
      <c r="E15" s="18">
        <f t="shared" si="0"/>
        <v>-6671</v>
      </c>
      <c r="F15" s="19">
        <f t="shared" si="3"/>
        <v>-6.606127824760849E-2</v>
      </c>
      <c r="G15" s="20">
        <v>0</v>
      </c>
      <c r="H15" s="20">
        <f t="shared" si="1"/>
        <v>94311</v>
      </c>
      <c r="I15" s="19" t="str">
        <f t="shared" si="2"/>
        <v/>
      </c>
      <c r="J15" s="41" t="s">
        <v>55</v>
      </c>
      <c r="K15" s="42"/>
    </row>
    <row r="16" spans="1:11" ht="15.75">
      <c r="A16" s="28" t="str">
        <v>Holliston</v>
      </c>
      <c r="B16" s="29" t="str">
        <v>MA</v>
      </c>
      <c r="C16" s="24">
        <v>168577.99999999907</v>
      </c>
      <c r="D16" s="13">
        <v>169929</v>
      </c>
      <c r="E16" s="13">
        <f t="shared" si="0"/>
        <v>-1351.0000000009313</v>
      </c>
      <c r="F16" s="14">
        <f t="shared" si="3"/>
        <v>-7.9503792760560656E-3</v>
      </c>
      <c r="G16" s="15">
        <v>186094.3</v>
      </c>
      <c r="H16" s="15">
        <f t="shared" si="1"/>
        <v>-17516.30000000092</v>
      </c>
      <c r="I16" s="16">
        <f t="shared" si="2"/>
        <v>-9.4125935077006229E-2</v>
      </c>
      <c r="J16" s="75" t="s">
        <v>56</v>
      </c>
      <c r="K16" s="75" t="s">
        <v>57</v>
      </c>
    </row>
    <row r="17" spans="1:11" ht="15.75">
      <c r="A17" s="30" t="str">
        <v>Natick HS - Carports</v>
      </c>
      <c r="B17" s="31" t="str">
        <v>MA</v>
      </c>
      <c r="C17" s="11">
        <v>58955</v>
      </c>
      <c r="D17" s="18">
        <v>67346</v>
      </c>
      <c r="E17" s="18">
        <f t="shared" si="0"/>
        <v>-8391</v>
      </c>
      <c r="F17" s="19">
        <f t="shared" si="3"/>
        <v>-0.1245953731476257</v>
      </c>
      <c r="G17" s="20">
        <v>0</v>
      </c>
      <c r="H17" s="20">
        <f t="shared" si="1"/>
        <v>58955</v>
      </c>
      <c r="I17" s="19" t="str">
        <f t="shared" si="2"/>
        <v/>
      </c>
      <c r="J17" s="41"/>
      <c r="K17" s="42"/>
    </row>
    <row r="18" spans="1:11" ht="15.75">
      <c r="A18" s="32" t="str">
        <v>Norton</v>
      </c>
      <c r="B18" s="29" t="str">
        <v>MA</v>
      </c>
      <c r="C18" s="24">
        <v>363540</v>
      </c>
      <c r="D18" s="13">
        <v>340343.2</v>
      </c>
      <c r="E18" s="13">
        <f t="shared" si="0"/>
        <v>23196.799999999988</v>
      </c>
      <c r="F18" s="14">
        <f t="shared" si="3"/>
        <v>6.8157083790714751E-2</v>
      </c>
      <c r="G18" s="15">
        <v>391581.6</v>
      </c>
      <c r="H18" s="15">
        <f t="shared" si="1"/>
        <v>-28041.599999999977</v>
      </c>
      <c r="I18" s="16">
        <f t="shared" si="2"/>
        <v>-7.1611127795585844E-2</v>
      </c>
      <c r="J18" s="40" t="s">
        <v>58</v>
      </c>
      <c r="K18" s="40" t="s">
        <v>59</v>
      </c>
    </row>
    <row r="19" spans="1:11" ht="15.75">
      <c r="A19" s="30" t="str">
        <v>Palmer - Boston Rd.</v>
      </c>
      <c r="B19" s="31" t="str">
        <v>MA</v>
      </c>
      <c r="C19" s="11">
        <v>63920</v>
      </c>
      <c r="D19" s="18">
        <v>63679.51</v>
      </c>
      <c r="E19" s="18">
        <f t="shared" si="0"/>
        <v>240.48999999999796</v>
      </c>
      <c r="F19" s="19">
        <f t="shared" si="3"/>
        <v>3.7765680043706047E-3</v>
      </c>
      <c r="G19" s="20">
        <v>69178</v>
      </c>
      <c r="H19" s="20">
        <f t="shared" si="1"/>
        <v>-5258</v>
      </c>
      <c r="I19" s="19">
        <f t="shared" si="2"/>
        <v>-7.600682297840354E-2</v>
      </c>
      <c r="J19" s="41"/>
      <c r="K19" s="41"/>
    </row>
    <row r="20" spans="1:11" ht="15.75">
      <c r="A20" s="28" t="str">
        <v>Shirley Bartkus</v>
      </c>
      <c r="B20" s="29" t="str">
        <v>MA</v>
      </c>
      <c r="C20" s="24">
        <v>49078.5</v>
      </c>
      <c r="D20" s="13">
        <v>44285.39</v>
      </c>
      <c r="E20" s="13">
        <f t="shared" si="0"/>
        <v>4793.1100000000006</v>
      </c>
      <c r="F20" s="14">
        <f t="shared" si="3"/>
        <v>0.10823230866884091</v>
      </c>
      <c r="G20" s="15">
        <v>98185</v>
      </c>
      <c r="H20" s="15">
        <f t="shared" si="1"/>
        <v>-49106.5</v>
      </c>
      <c r="I20" s="16">
        <f t="shared" si="2"/>
        <v>-0.50014258797168609</v>
      </c>
      <c r="J20" s="40" t="s">
        <v>60</v>
      </c>
      <c r="K20" s="40" t="s">
        <v>61</v>
      </c>
    </row>
    <row r="21" spans="1:11" ht="15.75">
      <c r="A21" s="30" t="str">
        <v>Stoughton</v>
      </c>
      <c r="B21" s="31" t="str">
        <v>MA</v>
      </c>
      <c r="C21" s="11">
        <v>81146.0129310349</v>
      </c>
      <c r="D21" s="18">
        <v>47074.77</v>
      </c>
      <c r="E21" s="18">
        <f t="shared" si="0"/>
        <v>34071.242931034903</v>
      </c>
      <c r="F21" s="19">
        <f t="shared" si="3"/>
        <v>0.72376865422889813</v>
      </c>
      <c r="G21" s="20">
        <v>78642.77</v>
      </c>
      <c r="H21" s="20">
        <f t="shared" si="1"/>
        <v>2503.2429310348962</v>
      </c>
      <c r="I21" s="19">
        <f t="shared" si="2"/>
        <v>3.1830553921675137E-2</v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>
        <v>91566</v>
      </c>
      <c r="D22" s="13">
        <v>77465</v>
      </c>
      <c r="E22" s="13">
        <f t="shared" si="0"/>
        <v>14101</v>
      </c>
      <c r="F22" s="14">
        <f t="shared" si="3"/>
        <v>0.18203059446201511</v>
      </c>
      <c r="G22" s="15">
        <v>0</v>
      </c>
      <c r="H22" s="15">
        <f t="shared" si="1"/>
        <v>91566</v>
      </c>
      <c r="I22" s="16" t="str">
        <f t="shared" si="2"/>
        <v/>
      </c>
      <c r="J22" s="40" t="s">
        <v>62</v>
      </c>
      <c r="K22" s="40" t="s">
        <v>63</v>
      </c>
    </row>
    <row r="23" spans="1:11" ht="15.75">
      <c r="A23" s="30" t="str">
        <v>Wilmington Garage &amp; Building 7</v>
      </c>
      <c r="B23" s="31" t="str">
        <v>MA</v>
      </c>
      <c r="C23" s="11">
        <v>116108</v>
      </c>
      <c r="D23" s="18">
        <v>114997.7</v>
      </c>
      <c r="E23" s="18">
        <f t="shared" si="0"/>
        <v>1110.3000000000029</v>
      </c>
      <c r="F23" s="19">
        <f t="shared" si="3"/>
        <v>9.6549757082098411E-3</v>
      </c>
      <c r="G23" s="20">
        <v>115101.6</v>
      </c>
      <c r="H23" s="20">
        <f t="shared" si="1"/>
        <v>1006.3999999999942</v>
      </c>
      <c r="I23" s="19">
        <f t="shared" si="2"/>
        <v>8.7435795853402047E-3</v>
      </c>
      <c r="J23" s="41" t="s">
        <v>64</v>
      </c>
      <c r="K23" s="41" t="s">
        <v>65</v>
      </c>
    </row>
    <row r="24" spans="1:11" ht="15.75">
      <c r="A24" s="28" t="str">
        <v>Woburn</v>
      </c>
      <c r="B24" s="29" t="str">
        <v>MA</v>
      </c>
      <c r="C24" s="24">
        <v>170307.60756972153</v>
      </c>
      <c r="D24" s="13">
        <v>177306.6</v>
      </c>
      <c r="E24" s="13">
        <f t="shared" si="0"/>
        <v>-6998.9924302784784</v>
      </c>
      <c r="F24" s="14">
        <f t="shared" si="3"/>
        <v>-3.9473953199026308E-2</v>
      </c>
      <c r="G24" s="15">
        <v>165239.20000000001</v>
      </c>
      <c r="H24" s="15">
        <f t="shared" si="1"/>
        <v>5068.4075697215158</v>
      </c>
      <c r="I24" s="16">
        <f t="shared" si="2"/>
        <v>3.0673154855031467E-2</v>
      </c>
      <c r="J24" s="40" t="s">
        <v>66</v>
      </c>
      <c r="K24" s="40" t="s">
        <v>67</v>
      </c>
    </row>
    <row r="25" spans="1:11" ht="30.75">
      <c r="A25" s="30" t="str">
        <v>Friendship Solar 1</v>
      </c>
      <c r="B25" s="31" t="str">
        <v>MD</v>
      </c>
      <c r="C25" s="11">
        <v>374354</v>
      </c>
      <c r="D25" s="18">
        <v>396615.6</v>
      </c>
      <c r="E25" s="18">
        <f t="shared" si="0"/>
        <v>-22261.599999999977</v>
      </c>
      <c r="F25" s="19">
        <f t="shared" si="3"/>
        <v>-5.6128906679414468E-2</v>
      </c>
      <c r="G25" s="20">
        <v>439682.5</v>
      </c>
      <c r="H25" s="20">
        <f t="shared" si="1"/>
        <v>-65328.5</v>
      </c>
      <c r="I25" s="19">
        <f t="shared" si="2"/>
        <v>-0.14858107839179407</v>
      </c>
      <c r="J25" s="41" t="s">
        <v>68</v>
      </c>
      <c r="K25" s="72" t="s">
        <v>69</v>
      </c>
    </row>
    <row r="26" spans="1:11" ht="30.75">
      <c r="A26" s="28" t="str">
        <v>Friendship Solar 2</v>
      </c>
      <c r="B26" s="29" t="str">
        <v>MD</v>
      </c>
      <c r="C26" s="24">
        <v>376540</v>
      </c>
      <c r="D26" s="13">
        <v>400544</v>
      </c>
      <c r="E26" s="13">
        <f t="shared" si="0"/>
        <v>-24004</v>
      </c>
      <c r="F26" s="14">
        <f t="shared" si="3"/>
        <v>-5.9928497243748505E-2</v>
      </c>
      <c r="G26" s="15">
        <v>433389.1</v>
      </c>
      <c r="H26" s="15">
        <f t="shared" si="1"/>
        <v>-56849.099999999977</v>
      </c>
      <c r="I26" s="16">
        <f t="shared" si="2"/>
        <v>-0.13117334976814132</v>
      </c>
      <c r="J26" s="40" t="s">
        <v>70</v>
      </c>
      <c r="K26" s="40" t="s">
        <v>71</v>
      </c>
    </row>
    <row r="27" spans="1:11" ht="15.75">
      <c r="A27" s="30" t="str">
        <v>101 Carnegie Center</v>
      </c>
      <c r="B27" s="31" t="str">
        <v>NJ</v>
      </c>
      <c r="C27" s="11">
        <v>157835</v>
      </c>
      <c r="D27" s="18">
        <v>170880</v>
      </c>
      <c r="E27" s="18">
        <f t="shared" si="0"/>
        <v>-13045</v>
      </c>
      <c r="F27" s="19">
        <f t="shared" si="3"/>
        <v>-7.6340121722846446E-2</v>
      </c>
      <c r="G27" s="20">
        <v>0</v>
      </c>
      <c r="H27" s="20">
        <f t="shared" si="1"/>
        <v>157835</v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>
        <v>68012</v>
      </c>
      <c r="D28" s="13">
        <v>72955</v>
      </c>
      <c r="E28" s="13">
        <f t="shared" si="0"/>
        <v>-4943</v>
      </c>
      <c r="F28" s="14">
        <f t="shared" si="3"/>
        <v>-6.7754094990062366E-2</v>
      </c>
      <c r="G28" s="15">
        <v>0</v>
      </c>
      <c r="H28" s="15">
        <f t="shared" si="1"/>
        <v>68012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170238</v>
      </c>
      <c r="D29" s="18">
        <v>183976</v>
      </c>
      <c r="E29" s="18">
        <f t="shared" si="0"/>
        <v>-13738</v>
      </c>
      <c r="F29" s="19">
        <f t="shared" si="3"/>
        <v>-7.4672783406531287E-2</v>
      </c>
      <c r="G29" s="20">
        <v>0</v>
      </c>
      <c r="H29" s="20">
        <f t="shared" si="1"/>
        <v>170238</v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>
        <v>132910</v>
      </c>
      <c r="D30" s="13">
        <v>149891</v>
      </c>
      <c r="E30" s="13">
        <f t="shared" si="0"/>
        <v>-16981</v>
      </c>
      <c r="F30" s="14">
        <f t="shared" si="3"/>
        <v>-0.11328898999939957</v>
      </c>
      <c r="G30" s="15">
        <v>0</v>
      </c>
      <c r="H30" s="15">
        <f t="shared" si="1"/>
        <v>132910</v>
      </c>
      <c r="I30" s="16" t="str">
        <f t="shared" si="2"/>
        <v/>
      </c>
      <c r="J30" s="40"/>
      <c r="K30" s="40"/>
    </row>
    <row r="31" spans="1:11" ht="60.75">
      <c r="A31" s="30" t="str">
        <v>Hudson County Correction</v>
      </c>
      <c r="B31" s="31" t="str">
        <v>NJ</v>
      </c>
      <c r="C31" s="11">
        <v>173643.03638473898</v>
      </c>
      <c r="D31" s="18">
        <v>145243.29999999999</v>
      </c>
      <c r="E31" s="18">
        <f t="shared" si="0"/>
        <v>28399.736384738993</v>
      </c>
      <c r="F31" s="19">
        <f t="shared" si="3"/>
        <v>0.19553216144730254</v>
      </c>
      <c r="G31" s="20">
        <v>173945.1</v>
      </c>
      <c r="H31" s="20">
        <f t="shared" si="1"/>
        <v>-302.0636152610241</v>
      </c>
      <c r="I31" s="19">
        <f t="shared" si="2"/>
        <v>-1.7365456989649269E-3</v>
      </c>
      <c r="J31" s="41" t="s">
        <v>72</v>
      </c>
      <c r="K31" s="74" t="s">
        <v>73</v>
      </c>
    </row>
    <row r="32" spans="1:11" ht="76.5">
      <c r="A32" s="28" t="str">
        <v>ER Bison Solar</v>
      </c>
      <c r="B32" s="29" t="str">
        <v>PA</v>
      </c>
      <c r="C32" s="24">
        <v>193367</v>
      </c>
      <c r="D32" s="13">
        <v>0</v>
      </c>
      <c r="E32" s="13">
        <f t="shared" si="0"/>
        <v>193367</v>
      </c>
      <c r="F32" s="14" t="str">
        <f t="shared" si="3"/>
        <v/>
      </c>
      <c r="G32" s="15">
        <v>195491</v>
      </c>
      <c r="H32" s="15">
        <f t="shared" si="1"/>
        <v>-2124</v>
      </c>
      <c r="I32" s="16">
        <f t="shared" si="2"/>
        <v>-1.0864950304617604E-2</v>
      </c>
      <c r="J32" s="40" t="s">
        <v>74</v>
      </c>
      <c r="K32" s="40" t="s">
        <v>75</v>
      </c>
    </row>
    <row r="33" spans="1:11" ht="16.5">
      <c r="A33" s="30" t="str">
        <v>Danville</v>
      </c>
      <c r="B33" s="31" t="str">
        <v>IL</v>
      </c>
      <c r="C33" s="11">
        <v>336123</v>
      </c>
      <c r="D33" s="18">
        <v>0</v>
      </c>
      <c r="E33" s="18">
        <f t="shared" si="0"/>
        <v>336123</v>
      </c>
      <c r="F33" s="19" t="str">
        <f t="shared" si="3"/>
        <v/>
      </c>
      <c r="G33" s="20">
        <v>0</v>
      </c>
      <c r="H33" s="20">
        <f t="shared" si="1"/>
        <v>336123</v>
      </c>
      <c r="I33" s="19" t="str">
        <f t="shared" si="2"/>
        <v/>
      </c>
      <c r="J33" s="41" t="s">
        <v>76</v>
      </c>
      <c r="K33" s="42" t="s">
        <v>77</v>
      </c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25"/>
  </sheetData>
  <mergeCells count="4">
    <mergeCell ref="G1:I1"/>
    <mergeCell ref="A1:C1"/>
    <mergeCell ref="D1:F1"/>
    <mergeCell ref="A2:B2"/>
  </mergeCells>
  <conditionalFormatting sqref="F2 I2 F4:F100 I4:I100">
    <cfRule type="cellIs" dxfId="41" priority="3" stopIfTrue="1" operator="lessThanOrEqual">
      <formula>-0.1</formula>
    </cfRule>
    <cfRule type="expression" dxfId="4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tabSelected="1" workbookViewId="0">
      <pane xSplit="2" ySplit="3" topLeftCell="H4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Greenbacker</v>
      </c>
      <c r="B1" s="77"/>
      <c r="C1" s="77"/>
      <c r="D1" s="78" t="s">
        <v>78</v>
      </c>
      <c r="E1" s="78"/>
      <c r="F1" s="78"/>
      <c r="G1" s="76" t="s">
        <v>79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75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75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75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75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75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5.75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75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75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75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75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75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75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9" priority="3" stopIfTrue="1" operator="lessThanOrEqual">
      <formula>-0.1</formula>
    </cfRule>
    <cfRule type="expression" dxfId="38" priority="4">
      <formula>AND(ISNUMBER(F2), F2&gt;=0.1)</formula>
    </cfRule>
  </conditionalFormatting>
  <conditionalFormatting sqref="F4:F100 I4:I100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D31" activePane="bottomRight" state="frozen"/>
      <selection pane="bottomRight" activeCell="E31" sqref="E31"/>
      <selection pane="bottomLeft" activeCell="G30" sqref="G30"/>
      <selection pane="topRight" activeCell="G30" sqref="G30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Greenbacker</v>
      </c>
      <c r="B1" s="77"/>
      <c r="C1" s="77"/>
      <c r="D1" s="78" t="s">
        <v>80</v>
      </c>
      <c r="E1" s="78"/>
      <c r="F1" s="78"/>
      <c r="G1" s="76" t="s">
        <v>81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75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75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75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75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75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75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75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75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75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75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75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5" priority="3" stopIfTrue="1" operator="lessThanOrEqual">
      <formula>-0.1</formula>
    </cfRule>
    <cfRule type="expression" dxfId="34" priority="4">
      <formula>AND(ISNUMBER(F2), F2&gt;=0.1)</formula>
    </cfRule>
  </conditionalFormatting>
  <conditionalFormatting sqref="F4:F100 I4:I10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17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Greenbacker</v>
      </c>
      <c r="B1" s="77"/>
      <c r="C1" s="77"/>
      <c r="D1" s="78" t="s">
        <v>82</v>
      </c>
      <c r="E1" s="78"/>
      <c r="F1" s="78"/>
      <c r="G1" s="76" t="s">
        <v>83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75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75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75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75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75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75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75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75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75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75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75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100 I4:I10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9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Greenbacker</v>
      </c>
      <c r="B1" s="77"/>
      <c r="C1" s="77"/>
      <c r="D1" s="78" t="s">
        <v>84</v>
      </c>
      <c r="E1" s="78"/>
      <c r="F1" s="78"/>
      <c r="G1" s="76" t="s">
        <v>85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75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75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75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75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75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75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75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75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75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75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75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7" priority="3" stopIfTrue="1" operator="lessThanOrEqual">
      <formula>-0.1</formula>
    </cfRule>
    <cfRule type="expression" dxfId="26" priority="4">
      <formula>AND(ISNUMBER(F2), F2&gt;=0.1)</formula>
    </cfRule>
  </conditionalFormatting>
  <conditionalFormatting sqref="F4:F100 I4:I10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11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Greenbacker</v>
      </c>
      <c r="B1" s="77"/>
      <c r="C1" s="77"/>
      <c r="D1" s="78" t="s">
        <v>86</v>
      </c>
      <c r="E1" s="78"/>
      <c r="F1" s="78"/>
      <c r="G1" s="76" t="s">
        <v>87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75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75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75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75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75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75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75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75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75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75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75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0 I4:I10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9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Greenbacker</v>
      </c>
      <c r="B1" s="77"/>
      <c r="C1" s="77"/>
      <c r="D1" s="78" t="s">
        <v>88</v>
      </c>
      <c r="E1" s="78"/>
      <c r="F1" s="78"/>
      <c r="G1" s="76" t="s">
        <v>89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75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75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75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75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75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75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75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75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75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75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75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0 I4:I10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11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Greenbacker</v>
      </c>
      <c r="B1" s="77"/>
      <c r="C1" s="77"/>
      <c r="D1" s="78" t="s">
        <v>90</v>
      </c>
      <c r="E1" s="78"/>
      <c r="F1" s="78"/>
      <c r="G1" s="76" t="s">
        <v>91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75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75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75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75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75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75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75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75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75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75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75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0 I4:I100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11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Greenbacker</v>
      </c>
      <c r="B1" s="77"/>
      <c r="C1" s="77"/>
      <c r="D1" s="78" t="s">
        <v>92</v>
      </c>
      <c r="E1" s="78"/>
      <c r="F1" s="78"/>
      <c r="G1" s="76" t="s">
        <v>93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75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75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75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75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75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75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75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75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75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75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75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0 I4:I10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G29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Greenbacker</v>
      </c>
      <c r="B1" s="77"/>
      <c r="C1" s="77"/>
      <c r="D1" s="78" t="s">
        <v>94</v>
      </c>
      <c r="E1" s="78"/>
      <c r="F1" s="78"/>
      <c r="G1" s="76" t="s">
        <v>95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75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75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75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75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75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75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75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75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75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75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75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0 I4:I100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3"/>
  <sheetViews>
    <sheetView workbookViewId="0">
      <pane ySplit="3" topLeftCell="A11" activePane="bottomLeft" state="frozen"/>
      <selection pane="bottomLeft" activeCell="C37" sqref="C3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96</v>
      </c>
      <c r="B1" t="s">
        <v>97</v>
      </c>
    </row>
    <row r="3" spans="1:12">
      <c r="A3" t="s">
        <v>98</v>
      </c>
      <c r="B3" t="s">
        <v>3</v>
      </c>
      <c r="C3" t="s">
        <v>4</v>
      </c>
      <c r="D3" t="s">
        <v>99</v>
      </c>
      <c r="E3" s="2" t="s">
        <v>100</v>
      </c>
    </row>
    <row r="4" spans="1:12" ht="14.45">
      <c r="A4" s="3" t="s">
        <v>101</v>
      </c>
      <c r="B4" t="s">
        <v>101</v>
      </c>
      <c r="C4" s="52" t="s">
        <v>102</v>
      </c>
      <c r="D4" t="s">
        <v>103</v>
      </c>
      <c r="E4" s="52" t="s">
        <v>104</v>
      </c>
      <c r="G4" s="3"/>
    </row>
    <row r="5" spans="1:12" ht="14.45">
      <c r="A5" s="3" t="s">
        <v>105</v>
      </c>
      <c r="B5" t="s">
        <v>105</v>
      </c>
      <c r="C5" s="52" t="s">
        <v>102</v>
      </c>
      <c r="D5" t="s">
        <v>103</v>
      </c>
      <c r="E5" s="52" t="s">
        <v>104</v>
      </c>
      <c r="G5" s="3"/>
    </row>
    <row r="6" spans="1:12" ht="14.45">
      <c r="A6" s="3" t="s">
        <v>106</v>
      </c>
      <c r="B6" t="s">
        <v>106</v>
      </c>
      <c r="C6" s="52" t="s">
        <v>102</v>
      </c>
      <c r="D6" t="s">
        <v>103</v>
      </c>
      <c r="E6" s="52" t="s">
        <v>104</v>
      </c>
      <c r="G6" s="3"/>
    </row>
    <row r="7" spans="1:12" ht="12.75" customHeight="1">
      <c r="A7" s="3" t="s">
        <v>107</v>
      </c>
      <c r="B7" t="s">
        <v>107</v>
      </c>
      <c r="C7" s="52" t="s">
        <v>102</v>
      </c>
      <c r="D7" t="s">
        <v>103</v>
      </c>
      <c r="E7" s="52" t="s">
        <v>104</v>
      </c>
    </row>
    <row r="8" spans="1:12" ht="12.75" customHeight="1">
      <c r="A8" s="3" t="s">
        <v>108</v>
      </c>
      <c r="B8" t="s">
        <v>108</v>
      </c>
      <c r="C8" s="52" t="s">
        <v>102</v>
      </c>
      <c r="D8" t="s">
        <v>103</v>
      </c>
      <c r="E8" s="52" t="s">
        <v>104</v>
      </c>
    </row>
    <row r="9" spans="1:12" ht="12.75" customHeight="1">
      <c r="A9" s="3" t="s">
        <v>109</v>
      </c>
      <c r="B9" t="s">
        <v>109</v>
      </c>
      <c r="C9" s="52" t="s">
        <v>102</v>
      </c>
      <c r="D9" t="s">
        <v>103</v>
      </c>
      <c r="E9" s="52" t="s">
        <v>104</v>
      </c>
    </row>
    <row r="10" spans="1:12" ht="12.75" customHeight="1">
      <c r="A10" s="3" t="s">
        <v>110</v>
      </c>
      <c r="B10" t="s">
        <v>110</v>
      </c>
      <c r="C10" s="52" t="s">
        <v>102</v>
      </c>
      <c r="D10" t="s">
        <v>103</v>
      </c>
      <c r="E10" s="52" t="s">
        <v>104</v>
      </c>
      <c r="K10" s="43"/>
      <c r="L10" s="43"/>
    </row>
    <row r="11" spans="1:12" ht="12.75" customHeight="1">
      <c r="A11" s="3" t="s">
        <v>111</v>
      </c>
      <c r="B11" t="s">
        <v>111</v>
      </c>
      <c r="C11" s="52" t="s">
        <v>102</v>
      </c>
      <c r="D11" t="s">
        <v>103</v>
      </c>
      <c r="E11" s="52" t="s">
        <v>104</v>
      </c>
      <c r="K11" s="43"/>
      <c r="L11" s="43"/>
    </row>
    <row r="12" spans="1:12" ht="12.75" customHeight="1">
      <c r="A12" s="3" t="s">
        <v>112</v>
      </c>
      <c r="B12" t="s">
        <v>112</v>
      </c>
      <c r="C12" s="52" t="s">
        <v>102</v>
      </c>
      <c r="D12" t="s">
        <v>103</v>
      </c>
      <c r="E12" s="52" t="s">
        <v>104</v>
      </c>
      <c r="K12" s="43"/>
      <c r="L12" s="43"/>
    </row>
    <row r="13" spans="1:12" ht="12.75" customHeight="1">
      <c r="A13" s="3" t="s">
        <v>113</v>
      </c>
      <c r="B13" t="s">
        <v>113</v>
      </c>
      <c r="C13" s="52" t="s">
        <v>102</v>
      </c>
      <c r="D13" t="s">
        <v>114</v>
      </c>
      <c r="E13" s="52" t="s">
        <v>104</v>
      </c>
      <c r="K13" s="43"/>
      <c r="L13" s="43"/>
    </row>
    <row r="14" spans="1:12" ht="12.75" customHeight="1">
      <c r="A14" s="3" t="s">
        <v>115</v>
      </c>
      <c r="B14" t="s">
        <v>115</v>
      </c>
      <c r="C14" s="52" t="s">
        <v>102</v>
      </c>
      <c r="D14" t="s">
        <v>103</v>
      </c>
      <c r="E14" s="52" t="s">
        <v>104</v>
      </c>
      <c r="K14" s="43"/>
      <c r="L14" s="43"/>
    </row>
    <row r="15" spans="1:12" ht="12.75" customHeight="1">
      <c r="A15" s="52" t="s">
        <v>116</v>
      </c>
      <c r="B15" t="s">
        <v>117</v>
      </c>
      <c r="C15" t="s">
        <v>102</v>
      </c>
      <c r="E15" t="s">
        <v>118</v>
      </c>
      <c r="K15" s="43"/>
      <c r="L15" s="43"/>
    </row>
    <row r="16" spans="1:12" ht="12.75" customHeight="1">
      <c r="A16" s="3" t="s">
        <v>119</v>
      </c>
      <c r="B16" t="s">
        <v>119</v>
      </c>
      <c r="C16" s="52" t="s">
        <v>102</v>
      </c>
      <c r="D16" t="s">
        <v>103</v>
      </c>
      <c r="E16" s="52" t="s">
        <v>104</v>
      </c>
      <c r="K16" s="43"/>
      <c r="L16" s="43"/>
    </row>
    <row r="17" spans="1:12" ht="12.75" customHeight="1">
      <c r="A17" s="52" t="s">
        <v>120</v>
      </c>
      <c r="B17" t="s">
        <v>121</v>
      </c>
      <c r="C17" t="s">
        <v>102</v>
      </c>
      <c r="E17" t="s">
        <v>118</v>
      </c>
      <c r="K17" s="43"/>
      <c r="L17" s="43"/>
    </row>
    <row r="18" spans="1:12" ht="12.75" customHeight="1">
      <c r="A18" s="3" t="s">
        <v>122</v>
      </c>
      <c r="B18" t="s">
        <v>122</v>
      </c>
      <c r="C18" s="52" t="s">
        <v>102</v>
      </c>
      <c r="D18" t="s">
        <v>103</v>
      </c>
      <c r="E18" s="52" t="s">
        <v>104</v>
      </c>
      <c r="K18" s="43"/>
      <c r="L18" s="43"/>
    </row>
    <row r="19" spans="1:12" ht="12.75" customHeight="1">
      <c r="A19" s="3" t="s">
        <v>123</v>
      </c>
      <c r="B19" t="s">
        <v>123</v>
      </c>
      <c r="C19" s="52" t="s">
        <v>102</v>
      </c>
      <c r="D19" t="s">
        <v>103</v>
      </c>
      <c r="E19" s="52" t="s">
        <v>104</v>
      </c>
      <c r="K19" s="43"/>
      <c r="L19" s="43"/>
    </row>
    <row r="20" spans="1:12" ht="12.75" customHeight="1">
      <c r="A20" s="3" t="s">
        <v>124</v>
      </c>
      <c r="B20" t="s">
        <v>124</v>
      </c>
      <c r="C20" s="52" t="s">
        <v>102</v>
      </c>
      <c r="D20" t="s">
        <v>103</v>
      </c>
      <c r="E20" s="52" t="s">
        <v>104</v>
      </c>
      <c r="K20" s="43"/>
      <c r="L20" s="43"/>
    </row>
    <row r="21" spans="1:12" ht="12.75" customHeight="1">
      <c r="A21" s="3" t="s">
        <v>125</v>
      </c>
      <c r="B21" t="s">
        <v>125</v>
      </c>
      <c r="C21" s="52" t="s">
        <v>102</v>
      </c>
      <c r="D21" t="s">
        <v>103</v>
      </c>
      <c r="E21" s="52" t="s">
        <v>104</v>
      </c>
      <c r="K21" s="43"/>
      <c r="L21" s="43"/>
    </row>
    <row r="22" spans="1:12" ht="12.75" customHeight="1">
      <c r="A22" s="52" t="s">
        <v>126</v>
      </c>
      <c r="B22" t="s">
        <v>127</v>
      </c>
      <c r="C22" t="s">
        <v>102</v>
      </c>
      <c r="E22" t="s">
        <v>118</v>
      </c>
      <c r="K22" s="43"/>
      <c r="L22" s="43"/>
    </row>
    <row r="23" spans="1:12" ht="12.75" customHeight="1">
      <c r="A23" s="3" t="s">
        <v>128</v>
      </c>
      <c r="B23" t="s">
        <v>128</v>
      </c>
      <c r="C23" s="52" t="s">
        <v>102</v>
      </c>
      <c r="D23" t="s">
        <v>103</v>
      </c>
      <c r="E23" s="52" t="s">
        <v>104</v>
      </c>
      <c r="K23" s="43"/>
      <c r="L23" s="43"/>
    </row>
    <row r="24" spans="1:12" ht="12.75" customHeight="1">
      <c r="A24" s="3" t="s">
        <v>129</v>
      </c>
      <c r="B24" t="s">
        <v>129</v>
      </c>
      <c r="C24" s="52" t="s">
        <v>102</v>
      </c>
      <c r="D24" t="s">
        <v>103</v>
      </c>
      <c r="E24" s="52" t="s">
        <v>104</v>
      </c>
      <c r="K24" s="43"/>
      <c r="L24" s="43"/>
    </row>
    <row r="25" spans="1:12" ht="12.75" customHeight="1">
      <c r="A25" s="3" t="s">
        <v>130</v>
      </c>
      <c r="B25" t="s">
        <v>130</v>
      </c>
      <c r="C25" s="52" t="s">
        <v>131</v>
      </c>
      <c r="D25" t="s">
        <v>103</v>
      </c>
      <c r="E25" s="52" t="s">
        <v>104</v>
      </c>
      <c r="K25" s="43"/>
      <c r="L25" s="43"/>
    </row>
    <row r="26" spans="1:12" ht="12.75" customHeight="1">
      <c r="A26" s="3" t="s">
        <v>132</v>
      </c>
      <c r="B26" t="s">
        <v>132</v>
      </c>
      <c r="C26" s="52" t="s">
        <v>131</v>
      </c>
      <c r="D26" t="s">
        <v>103</v>
      </c>
      <c r="E26" s="52" t="s">
        <v>104</v>
      </c>
      <c r="K26" s="43"/>
      <c r="L26" s="43"/>
    </row>
    <row r="27" spans="1:12" ht="12.75" customHeight="1">
      <c r="A27" s="52" t="s">
        <v>133</v>
      </c>
      <c r="B27" t="s">
        <v>133</v>
      </c>
      <c r="C27" t="s">
        <v>134</v>
      </c>
      <c r="E27" t="s">
        <v>118</v>
      </c>
      <c r="K27" s="43"/>
      <c r="L27" s="43"/>
    </row>
    <row r="28" spans="1:12" ht="12.75" customHeight="1">
      <c r="A28" s="52" t="s">
        <v>135</v>
      </c>
      <c r="B28" t="s">
        <v>135</v>
      </c>
      <c r="C28" t="s">
        <v>134</v>
      </c>
      <c r="E28" t="s">
        <v>118</v>
      </c>
      <c r="K28" s="43"/>
      <c r="L28" s="43"/>
    </row>
    <row r="29" spans="1:12" ht="12.75" customHeight="1">
      <c r="A29" s="52" t="s">
        <v>136</v>
      </c>
      <c r="B29" t="s">
        <v>136</v>
      </c>
      <c r="C29" t="s">
        <v>134</v>
      </c>
      <c r="E29" t="s">
        <v>118</v>
      </c>
      <c r="K29" s="43"/>
      <c r="L29" s="43"/>
    </row>
    <row r="30" spans="1:12" ht="12.75" customHeight="1">
      <c r="A30" s="52" t="s">
        <v>137</v>
      </c>
      <c r="B30" t="s">
        <v>137</v>
      </c>
      <c r="C30" t="s">
        <v>134</v>
      </c>
      <c r="E30" t="s">
        <v>118</v>
      </c>
      <c r="K30" s="43"/>
      <c r="L30" s="43"/>
    </row>
    <row r="31" spans="1:12" ht="12.75" customHeight="1">
      <c r="A31" s="3" t="s">
        <v>138</v>
      </c>
      <c r="B31" t="s">
        <v>138</v>
      </c>
      <c r="C31" s="52" t="s">
        <v>134</v>
      </c>
      <c r="D31" t="s">
        <v>103</v>
      </c>
      <c r="E31" s="52" t="s">
        <v>104</v>
      </c>
      <c r="K31" s="43"/>
      <c r="L31" s="43"/>
    </row>
    <row r="32" spans="1:12" ht="12.75" customHeight="1">
      <c r="A32" s="3" t="s">
        <v>139</v>
      </c>
      <c r="B32" t="s">
        <v>139</v>
      </c>
      <c r="C32" s="52" t="s">
        <v>140</v>
      </c>
      <c r="D32" t="s">
        <v>103</v>
      </c>
      <c r="E32" s="52" t="s">
        <v>104</v>
      </c>
    </row>
    <row r="33" spans="1:5" ht="12.75" customHeight="1">
      <c r="A33" s="52" t="s">
        <v>141</v>
      </c>
      <c r="B33" s="52" t="s">
        <v>141</v>
      </c>
      <c r="C33" s="52" t="s">
        <v>142</v>
      </c>
      <c r="E33" t="s">
        <v>118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2024-07-11T04:36:34Z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