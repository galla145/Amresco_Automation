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OneDrive - Libsys IT Services Private Limited\Documents\Monthly report files\Mar-24\East\"/>
    </mc:Choice>
  </mc:AlternateContent>
  <xr:revisionPtr revIDLastSave="0" documentId="13_ncr:1_{E678C8E1-5AA0-4EBC-80E7-4CB61FB92491}" xr6:coauthVersionLast="47" xr6:coauthVersionMax="47" xr10:uidLastSave="{00000000-0000-0000-0000-000000000000}"/>
  <bookViews>
    <workbookView xWindow="-93" yWindow="-93" windowWidth="19386" windowHeight="1146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72" l="1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G2" i="34"/>
  <c r="A1" i="34" a="1"/>
  <c r="A1" i="34" s="1"/>
  <c r="D4" i="30"/>
  <c r="D2" i="30" s="1"/>
  <c r="C4" i="30"/>
  <c r="D4" i="29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29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<sst xmlns="http://schemas.openxmlformats.org/spreadsheetml/2006/main" count="239" uniqueCount="53">
  <si>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</si>
  <si>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</si>
  <si>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</si>
  <si>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</si>
  <si>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</si>
  <si>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</si>
  <si>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</si>
  <si>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</si>
  <si>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</si>
  <si>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</si>
  <si>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</si>
  <si>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</si>
  <si>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</si>
  <si>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</si>
  <si>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</si>
  <si>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</si>
  <si>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</si>
  <si>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</si>
  <si>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</si>
  <si>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</si>
  <si>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</si>
  <si>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</si>
  <si>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</si>
  <si>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</si>
  <si>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</si>
  <si>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</si>
  <si>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</si>
  <si>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</si>
  <si>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</si>
  <si>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</si>
  <si>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</si>
  <si>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</si>
  <si>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</si>
  <si>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</si>
  <si>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</si>
  <si>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</si>
  <si>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</si>
  <si>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</si>
  <si>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</si>
  <si>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</si>
  <si>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</si>
  <si>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</si>
  <si>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</si>
  <si>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</si>
  <si>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</si>
  <si>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Hutchinson</t>
  </si>
  <si>
    <t>Site DAS Name</t>
  </si>
  <si>
    <t>Update</t>
  </si>
  <si>
    <t>DAS</t>
  </si>
  <si>
    <t>City of Hutchinson Landfill</t>
  </si>
  <si>
    <t>MN: Hutchinson Landfill</t>
  </si>
  <si>
    <t>MN</t>
  </si>
  <si>
    <t>eGauge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</si>
</sst>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3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2" fillId="0" borderId="0" xfId="0" applyFont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9"/>
  <sheetViews>
    <sheetView workbookViewId="0">
      <pane xSplit="2" ySplit="3" topLeftCell="C4" activePane="bottomRight" state="frozen"/>
      <selection pane="bottomRight" activeCell="A12" sqref="A12"/>
      <selection pane="bottomLeft" activeCell="A12" sqref="A12"/>
      <selection pane="topRight" activeCell="A12" sqref="A1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6" t="str" cm="1">
        <f t="array" ref="A1">portfolio</f>
        <v>Hutchinson</v>
      </c>
      <c r="B1" s="36"/>
      <c r="C1" s="36"/>
      <c r="D1" s="37" t="s">
        <v>0</v>
      </c>
      <c r="E1" s="37"/>
      <c r="F1" s="37"/>
      <c r="G1" s="35" t="s">
        <v>1</v>
      </c>
      <c r="H1" s="35"/>
      <c r="I1" s="35"/>
    </row>
    <row r="2" spans="1:9" ht="19.5" customHeight="1">
      <c r="A2" s="38" t="s">
        <v>2</v>
      </c>
      <c r="B2" s="38"/>
      <c r="C2" s="6">
        <f>SUM(C4:C87)</f>
        <v>55743</v>
      </c>
      <c r="D2" s="6">
        <f>SUM(D4:D87)</f>
        <v>0</v>
      </c>
      <c r="E2" s="6">
        <f>C2-D2</f>
        <v>55743</v>
      </c>
      <c r="F2" s="7">
        <f>IFERROR(E2/D2, 0)</f>
        <v>0</v>
      </c>
      <c r="G2" s="6">
        <f>SUM(G4:G87)</f>
        <v>0</v>
      </c>
      <c r="H2" s="8">
        <f>C2-G2</f>
        <v>55743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75">
      <c r="A4" s="11" t="str" cm="1">
        <f t="array" ref="A4">Sites[Site]</f>
        <v>MN: Hutchinson Landfill</v>
      </c>
      <c r="B4" s="10" t="str" cm="1">
        <f t="array" ref="B4">Sites[State]</f>
        <v>MN</v>
      </c>
      <c r="C4" s="19">
        <f>SUM('1st Qtr'!C4, '2nd Qtr'!C4, '3rd Qtr'!C4, '4th Qtr'!C4)</f>
        <v>55743</v>
      </c>
      <c r="D4" s="12">
        <f>SUM('1st Qtr'!D4, '2nd Qtr'!D4, '3rd Qtr'!D4, '4th Qtr'!D4)</f>
        <v>0</v>
      </c>
      <c r="E4" s="12">
        <f>IF(AND(ISNUMBER(C4),ISNUMBER(D4)), C4-D4, "")</f>
        <v>55743</v>
      </c>
      <c r="F4" s="13" t="str">
        <f>IFERROR(E4/D4, "")</f>
        <v/>
      </c>
      <c r="G4" s="14"/>
      <c r="H4" s="14">
        <f>SUM('1st Qtr'!H4, '2nd Qtr'!H4, '3rd Qtr'!H4, '4th Qtr'!H4)</f>
        <v>55743</v>
      </c>
      <c r="I4" s="15" t="str">
        <f>IFERROR(H4/G4, "")</f>
        <v/>
      </c>
    </row>
    <row r="5" spans="1:9" ht="12.75" customHeight="1">
      <c r="A5" s="16"/>
      <c r="B5" s="16"/>
      <c r="C5" s="16"/>
      <c r="D5" s="16"/>
      <c r="E5" s="16"/>
      <c r="F5" s="16"/>
      <c r="G5" s="16"/>
      <c r="H5" s="16"/>
      <c r="I5" s="16"/>
    </row>
    <row r="6" spans="1:9" ht="12.95">
      <c r="A6" s="16"/>
      <c r="B6" s="16"/>
      <c r="C6" s="16"/>
      <c r="D6" s="16"/>
      <c r="E6" s="16"/>
      <c r="F6" s="16"/>
      <c r="G6" s="16"/>
      <c r="H6" s="16"/>
      <c r="I6" s="16"/>
    </row>
    <row r="7" spans="1:9" ht="12.95">
      <c r="A7" s="16"/>
      <c r="B7" s="16"/>
      <c r="C7" s="16"/>
      <c r="D7" s="16"/>
      <c r="E7" s="16"/>
      <c r="F7" s="16"/>
      <c r="G7" s="16"/>
      <c r="H7" s="16"/>
      <c r="I7" s="16"/>
    </row>
    <row r="8" spans="1:9" ht="12.95">
      <c r="A8" s="16"/>
      <c r="B8" s="16"/>
      <c r="C8" s="16"/>
      <c r="D8" s="16"/>
      <c r="E8" s="16"/>
      <c r="F8" s="16"/>
      <c r="G8" s="16"/>
      <c r="H8" s="16"/>
      <c r="I8" s="16"/>
    </row>
    <row r="9" spans="1:9" ht="12.95">
      <c r="A9" s="16"/>
      <c r="B9" s="16"/>
      <c r="C9" s="16"/>
      <c r="D9" s="16"/>
      <c r="E9" s="16"/>
      <c r="F9" s="16"/>
      <c r="G9" s="16"/>
      <c r="H9" s="16"/>
      <c r="I9" s="16"/>
    </row>
    <row r="10" spans="1:9" ht="12.95">
      <c r="A10" s="16"/>
      <c r="B10" s="16"/>
      <c r="C10" s="16"/>
      <c r="D10" s="16"/>
      <c r="E10" s="16"/>
      <c r="F10" s="16"/>
      <c r="G10" s="16"/>
      <c r="H10" s="16"/>
      <c r="I10" s="16"/>
    </row>
    <row r="11" spans="1:9" ht="12.95">
      <c r="A11" s="16"/>
      <c r="B11" s="16"/>
      <c r="C11" s="16"/>
      <c r="D11" s="16"/>
      <c r="E11" s="16"/>
      <c r="F11" s="16"/>
      <c r="G11" s="16"/>
      <c r="H11" s="16"/>
      <c r="I11" s="16"/>
    </row>
    <row r="12" spans="1:9" ht="12.95">
      <c r="A12" s="16"/>
      <c r="B12" s="16"/>
      <c r="C12" s="16"/>
      <c r="D12" s="16"/>
      <c r="E12" s="16"/>
      <c r="F12" s="16"/>
      <c r="G12" s="16"/>
      <c r="H12" s="16"/>
      <c r="I12" s="16"/>
    </row>
    <row r="13" spans="1:9" ht="12.95">
      <c r="A13" s="16"/>
      <c r="B13" s="16"/>
      <c r="C13" s="16"/>
      <c r="D13" s="16"/>
      <c r="E13" s="16"/>
      <c r="F13" s="16"/>
      <c r="G13" s="16"/>
      <c r="H13" s="16"/>
      <c r="I13" s="16"/>
    </row>
    <row r="14" spans="1:9" ht="12.95">
      <c r="A14" s="16"/>
      <c r="B14" s="16"/>
      <c r="C14" s="16"/>
      <c r="D14" s="16"/>
      <c r="E14" s="16"/>
      <c r="F14" s="16"/>
      <c r="G14" s="16"/>
      <c r="H14" s="16"/>
      <c r="I14" s="16"/>
    </row>
    <row r="15" spans="1:9" ht="12.95">
      <c r="A15" s="16"/>
      <c r="B15" s="16"/>
      <c r="C15" s="16"/>
      <c r="D15" s="16"/>
      <c r="E15" s="16"/>
      <c r="F15" s="16"/>
      <c r="G15" s="16"/>
      <c r="H15" s="16"/>
      <c r="I15" s="16"/>
    </row>
    <row r="16" spans="1:9" ht="12.95">
      <c r="A16" s="16"/>
      <c r="B16" s="16"/>
      <c r="C16" s="16"/>
      <c r="D16" s="16"/>
      <c r="E16" s="16"/>
      <c r="F16" s="16"/>
      <c r="G16" s="16"/>
      <c r="H16" s="16"/>
      <c r="I16" s="16"/>
    </row>
    <row r="17" spans="1:9" ht="12.95">
      <c r="A17" s="16"/>
      <c r="B17" s="16"/>
      <c r="C17" s="16"/>
      <c r="D17" s="16"/>
      <c r="E17" s="16"/>
      <c r="F17" s="16"/>
      <c r="G17" s="16"/>
      <c r="H17" s="16"/>
      <c r="I17" s="16"/>
    </row>
    <row r="18" spans="1:9" ht="12.95">
      <c r="A18" s="16"/>
      <c r="B18" s="16"/>
      <c r="C18" s="16"/>
      <c r="D18" s="16"/>
      <c r="E18" s="16"/>
      <c r="F18" s="16"/>
      <c r="G18" s="16"/>
      <c r="H18" s="16"/>
      <c r="I18" s="16"/>
    </row>
    <row r="19" spans="1:9" ht="12.95">
      <c r="A19" s="16"/>
      <c r="B19" s="16"/>
      <c r="C19" s="16"/>
      <c r="D19" s="16"/>
      <c r="E19" s="16"/>
      <c r="F19" s="16"/>
      <c r="G19" s="16"/>
      <c r="H19" s="16"/>
      <c r="I19" s="16"/>
    </row>
    <row r="20" spans="1:9" ht="12.95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2.95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2.95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2.95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2.95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2.95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2.95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2.95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2.95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2.95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2.95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2.95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2.95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2.95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2.95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2.95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2.95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2.95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2.95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2.95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2.95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2.95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2.95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2.95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2.95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2.95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2.95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2.95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2.95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2.95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2.95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2.95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2.95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2.95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2.95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2.95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2.95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2.95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2.95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2.95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2.95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2.95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2.95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2.95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2.95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2.95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2.95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2.95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2.95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2.95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2.95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2.95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2.95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2.95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2.95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2.95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2.95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2.95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2.95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2.95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2.95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2.95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2.95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2.95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2.95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2.95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2.95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2.95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2.95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2.95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2.95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2.95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2.95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2.95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2.95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2.95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2.95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2.95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2.95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2.95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2.95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2.95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2.95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2.95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2.95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2.95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2.95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2.95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2.95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2.95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2.95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2.95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2.95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2.95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2.95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2.95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2.95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2.95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2.95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2.95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2.95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2.95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2.95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2.95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2.95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2.95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2.95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2.95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2.95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2.95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2.95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2.95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2.95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2.95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2.95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2.95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2.95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2.95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2.95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2.95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2.95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2.95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2.95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2.95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2.95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2.95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2.95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2.95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2.95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2.95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2.95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2.95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2.95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2.95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2.95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2.95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2.95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2.95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2.95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2.95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2.95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2.95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2.95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2.95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2.95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2.95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2.95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2.95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2.95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2.95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2.95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2.95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2.95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2.95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2.95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2.95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2.95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2.95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2.95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2.95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2.95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2.95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2.95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2.95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2.95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2.95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2.95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2.95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2.95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2.95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2.95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2.95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2.95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2.95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2.95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2.95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2.95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2.95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2.95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2.95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2.95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2.95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2.95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2.95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2.95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2.95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2.95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2.95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2.95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2.95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2.95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2.95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2.95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2.95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2.95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2.95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2.95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2.95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2.95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2.95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2.95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2.95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2.95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2.95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2.95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2.95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2.95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2.95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2.95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2.95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2.95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2.95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2.95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2.95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2.95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2.95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2.95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2.95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2.95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2.95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2.95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2.95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2.95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2.95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2.95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2.95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2.95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2.95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2.95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2.95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2.95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2.95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2.95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2.95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2.95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2.95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2.95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2.95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2.95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2.95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2.95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2.95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2.95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2.95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2.95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2.95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2.95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2.95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2.95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2.95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2.95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2.95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2.95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2.95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2.95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2.95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2.95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2.95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2.95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2.95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2.95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2.95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2.95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2.95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2.95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2.95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2.95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2.95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2.95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2.95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2.95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2.95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2.95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2.95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2.95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2.95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2.95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2.95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2.95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2.95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2.95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2.95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2.95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2.95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2.95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2.95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2.95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2.95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2.95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2.95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2.95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2.95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2.95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2.95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2.95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2.95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2.95">
      <c r="A316" s="16"/>
      <c r="B316" s="16"/>
      <c r="C316" s="16"/>
      <c r="D316" s="16"/>
      <c r="E316" s="16"/>
      <c r="F316" s="17"/>
      <c r="G316" s="16"/>
      <c r="H316" s="16"/>
      <c r="I316" s="17"/>
    </row>
    <row r="317" spans="1:9" ht="12.95">
      <c r="A317" s="16"/>
      <c r="B317" s="16"/>
      <c r="C317" s="16"/>
      <c r="D317" s="16"/>
      <c r="E317" s="16"/>
      <c r="F317" s="17"/>
      <c r="G317" s="16"/>
      <c r="H317" s="16"/>
      <c r="I317" s="17"/>
    </row>
    <row r="318" spans="1:9" ht="12.95">
      <c r="A318" s="16"/>
      <c r="B318" s="16"/>
      <c r="C318" s="16"/>
      <c r="D318" s="16"/>
      <c r="E318" s="16"/>
      <c r="F318" s="17"/>
      <c r="G318" s="16"/>
      <c r="H318" s="16"/>
      <c r="I318" s="17"/>
    </row>
    <row r="319" spans="1:9" ht="12.95">
      <c r="A319" s="16"/>
      <c r="B319" s="16"/>
      <c r="C319" s="16"/>
      <c r="D319" s="16"/>
      <c r="E319" s="16"/>
      <c r="F319" s="17"/>
      <c r="G319" s="16"/>
      <c r="H319" s="16"/>
      <c r="I319" s="17"/>
    </row>
    <row r="320" spans="1:9" ht="12.95">
      <c r="A320" s="16"/>
      <c r="B320" s="16"/>
      <c r="C320" s="16"/>
      <c r="D320" s="16"/>
      <c r="E320" s="16"/>
      <c r="F320" s="17"/>
      <c r="G320" s="16"/>
      <c r="H320" s="16"/>
      <c r="I320" s="17"/>
    </row>
    <row r="321" spans="1:9" ht="12.95">
      <c r="A321" s="16"/>
      <c r="B321" s="16"/>
      <c r="C321" s="16"/>
      <c r="D321" s="16"/>
      <c r="E321" s="16"/>
      <c r="F321" s="17"/>
      <c r="G321" s="16"/>
      <c r="H321" s="16"/>
      <c r="I321" s="17"/>
    </row>
    <row r="322" spans="1:9" ht="12.95">
      <c r="A322" s="16"/>
      <c r="B322" s="16"/>
      <c r="C322" s="16"/>
      <c r="D322" s="16"/>
      <c r="E322" s="16"/>
      <c r="F322" s="17"/>
      <c r="G322" s="16"/>
      <c r="H322" s="16"/>
      <c r="I322" s="17"/>
    </row>
    <row r="323" spans="1:9" ht="12.95">
      <c r="A323" s="16"/>
      <c r="B323" s="16"/>
      <c r="C323" s="16"/>
      <c r="D323" s="16"/>
      <c r="E323" s="16"/>
      <c r="F323" s="17"/>
      <c r="G323" s="16"/>
      <c r="H323" s="16"/>
      <c r="I323" s="17"/>
    </row>
    <row r="324" spans="1:9" ht="12.95">
      <c r="A324" s="16"/>
      <c r="B324" s="16"/>
      <c r="C324" s="16"/>
      <c r="D324" s="16"/>
      <c r="E324" s="16"/>
      <c r="F324" s="17"/>
      <c r="G324" s="16"/>
      <c r="H324" s="16"/>
      <c r="I324" s="17"/>
    </row>
    <row r="325" spans="1:9" ht="12.95">
      <c r="A325" s="16"/>
      <c r="B325" s="16"/>
      <c r="C325" s="16"/>
      <c r="D325" s="16"/>
      <c r="E325" s="16"/>
      <c r="F325" s="17"/>
      <c r="G325" s="16"/>
      <c r="H325" s="16"/>
      <c r="I325" s="17"/>
    </row>
    <row r="326" spans="1:9" ht="12.95">
      <c r="A326" s="16"/>
      <c r="B326" s="16"/>
      <c r="C326" s="16"/>
      <c r="D326" s="16"/>
      <c r="E326" s="16"/>
      <c r="F326" s="17"/>
      <c r="G326" s="16"/>
      <c r="H326" s="16"/>
      <c r="I326" s="17"/>
    </row>
    <row r="327" spans="1:9" ht="12.95">
      <c r="A327" s="16"/>
      <c r="B327" s="16"/>
      <c r="C327" s="16"/>
      <c r="D327" s="16"/>
      <c r="E327" s="16"/>
      <c r="F327" s="17"/>
      <c r="G327" s="16"/>
      <c r="H327" s="16"/>
      <c r="I327" s="17"/>
    </row>
    <row r="328" spans="1:9" ht="12.95">
      <c r="A328" s="16"/>
      <c r="B328" s="16"/>
      <c r="C328" s="16"/>
      <c r="D328" s="16"/>
      <c r="E328" s="16"/>
      <c r="F328" s="17"/>
      <c r="G328" s="16"/>
      <c r="H328" s="16"/>
      <c r="I328" s="17"/>
    </row>
    <row r="329" spans="1:9" ht="12.95">
      <c r="A329" s="16"/>
      <c r="B329" s="16"/>
      <c r="C329" s="16"/>
      <c r="D329" s="16"/>
      <c r="E329" s="16"/>
      <c r="F329" s="17"/>
      <c r="G329" s="16"/>
      <c r="H329" s="16"/>
      <c r="I329" s="17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7 I4:I87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9"/>
  <sheetViews>
    <sheetView workbookViewId="0">
      <pane xSplit="2" ySplit="3" topLeftCell="C4" activePane="bottomRight" state="frozen"/>
      <selection pane="bottomRight" activeCell="A12" sqref="A12"/>
      <selection pane="bottomLeft" activeCell="A12" sqref="A12"/>
      <selection pane="topRight" activeCell="A12" sqref="A1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6" t="str" cm="1">
        <f t="array" ref="A1">portfolio</f>
        <v>Hutchinson</v>
      </c>
      <c r="B1" s="36"/>
      <c r="C1" s="36"/>
      <c r="D1" s="37" t="s">
        <v>10</v>
      </c>
      <c r="E1" s="37"/>
      <c r="F1" s="37"/>
      <c r="G1" s="35" t="s">
        <v>11</v>
      </c>
      <c r="H1" s="35"/>
      <c r="I1" s="35"/>
    </row>
    <row r="2" spans="1:9" ht="19.5" customHeight="1">
      <c r="A2" s="38" t="s">
        <v>2</v>
      </c>
      <c r="B2" s="38"/>
      <c r="C2" s="6">
        <f>SUM(C4:C87)</f>
        <v>55743</v>
      </c>
      <c r="D2" s="6">
        <f>SUM(D4:D87)</f>
        <v>0</v>
      </c>
      <c r="E2" s="6">
        <f>C2-D2</f>
        <v>55743</v>
      </c>
      <c r="F2" s="7">
        <f>IFERROR(E2/D2, 0)</f>
        <v>0</v>
      </c>
      <c r="G2" s="6">
        <f>SUM(G4:G87)</f>
        <v>0</v>
      </c>
      <c r="H2" s="8">
        <f>C2-G2</f>
        <v>55743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75">
      <c r="A4" s="11" t="str" cm="1">
        <f t="array" ref="A4">Sites[Site]</f>
        <v>MN: Hutchinson Landfill</v>
      </c>
      <c r="B4" s="10" t="str" cm="1">
        <f t="array" ref="B4">Sites[State]</f>
        <v>MN</v>
      </c>
      <c r="C4" s="19">
        <f>SUM(Jan!C4, Feb!C4, Mar!C4)</f>
        <v>55743</v>
      </c>
      <c r="D4" s="12">
        <f>SUM(Jan!D4, Feb!D4, Mar!D4)</f>
        <v>0</v>
      </c>
      <c r="E4" s="12">
        <f>IF(AND(ISNUMBER(C4),ISNUMBER(D4)), C4-D4, "")</f>
        <v>55743</v>
      </c>
      <c r="F4" s="13" t="str">
        <f>IFERROR(E4/D4, "")</f>
        <v/>
      </c>
      <c r="G4" s="14">
        <f>SUM(Jan!G4, Feb!G4, Mar!G4)</f>
        <v>0</v>
      </c>
      <c r="H4" s="14">
        <f>SUM(Jan!H4, Feb!H4, Mar!H4)</f>
        <v>55743</v>
      </c>
      <c r="I4" s="15" t="str">
        <f>IFERROR(H4/G4, "")</f>
        <v/>
      </c>
    </row>
    <row r="5" spans="1:9" ht="12.75" customHeight="1">
      <c r="A5" s="16"/>
      <c r="B5" s="16"/>
      <c r="C5" s="16"/>
      <c r="D5" s="16"/>
      <c r="E5" s="16"/>
      <c r="F5" s="16"/>
      <c r="G5" s="16"/>
      <c r="H5" s="16"/>
      <c r="I5" s="16"/>
    </row>
    <row r="6" spans="1:9" ht="12.95">
      <c r="A6" s="16"/>
      <c r="B6" s="16"/>
      <c r="C6" s="16"/>
      <c r="D6" s="16"/>
      <c r="E6" s="16"/>
      <c r="F6" s="16"/>
      <c r="G6" s="16"/>
      <c r="H6" s="16"/>
      <c r="I6" s="16"/>
    </row>
    <row r="7" spans="1:9" ht="12.95">
      <c r="A7" s="16"/>
      <c r="B7" s="16"/>
      <c r="C7" s="16"/>
      <c r="D7" s="16"/>
      <c r="E7" s="16"/>
      <c r="F7" s="16"/>
      <c r="G7" s="16"/>
      <c r="H7" s="16"/>
      <c r="I7" s="16"/>
    </row>
    <row r="8" spans="1:9" ht="12.95">
      <c r="A8" s="16"/>
      <c r="B8" s="16"/>
      <c r="C8" s="16"/>
      <c r="D8" s="16"/>
      <c r="E8" s="16"/>
      <c r="F8" s="16"/>
      <c r="G8" s="16"/>
      <c r="H8" s="16"/>
      <c r="I8" s="16"/>
    </row>
    <row r="9" spans="1:9" ht="12.95">
      <c r="A9" s="16"/>
      <c r="B9" s="16"/>
      <c r="C9" s="16"/>
      <c r="D9" s="16"/>
      <c r="E9" s="16"/>
      <c r="F9" s="16"/>
      <c r="G9" s="16"/>
      <c r="H9" s="16"/>
      <c r="I9" s="16"/>
    </row>
    <row r="10" spans="1:9" ht="12.95">
      <c r="A10" s="16"/>
      <c r="B10" s="16"/>
      <c r="C10" s="16"/>
      <c r="D10" s="16"/>
      <c r="E10" s="16"/>
      <c r="F10" s="16"/>
      <c r="G10" s="16"/>
      <c r="H10" s="16"/>
      <c r="I10" s="16"/>
    </row>
    <row r="11" spans="1:9" ht="12.95">
      <c r="A11" s="16"/>
      <c r="B11" s="16"/>
      <c r="C11" s="16"/>
      <c r="D11" s="16"/>
      <c r="E11" s="16"/>
      <c r="F11" s="16"/>
      <c r="G11" s="16"/>
      <c r="H11" s="16"/>
      <c r="I11" s="16"/>
    </row>
    <row r="12" spans="1:9" ht="12.95">
      <c r="A12" s="16"/>
      <c r="B12" s="16"/>
      <c r="C12" s="16"/>
      <c r="D12" s="16"/>
      <c r="E12" s="16"/>
      <c r="F12" s="16"/>
      <c r="G12" s="16"/>
      <c r="H12" s="16"/>
      <c r="I12" s="16"/>
    </row>
    <row r="13" spans="1:9" ht="12.95">
      <c r="A13" s="16"/>
      <c r="B13" s="16"/>
      <c r="C13" s="16"/>
      <c r="D13" s="16"/>
      <c r="E13" s="16"/>
      <c r="F13" s="16"/>
      <c r="G13" s="16"/>
      <c r="H13" s="16"/>
      <c r="I13" s="16"/>
    </row>
    <row r="14" spans="1:9" ht="12.95">
      <c r="A14" s="16"/>
      <c r="B14" s="16"/>
      <c r="C14" s="16"/>
      <c r="D14" s="16"/>
      <c r="E14" s="16"/>
      <c r="F14" s="16"/>
      <c r="G14" s="16"/>
      <c r="H14" s="16"/>
      <c r="I14" s="16"/>
    </row>
    <row r="15" spans="1:9" ht="12.95">
      <c r="A15" s="16"/>
      <c r="B15" s="16"/>
      <c r="C15" s="16"/>
      <c r="D15" s="16"/>
      <c r="E15" s="16"/>
      <c r="F15" s="16"/>
      <c r="G15" s="16"/>
      <c r="H15" s="16"/>
      <c r="I15" s="16"/>
    </row>
    <row r="16" spans="1:9" ht="12.95">
      <c r="A16" s="16"/>
      <c r="B16" s="16"/>
      <c r="C16" s="16"/>
      <c r="D16" s="16"/>
      <c r="E16" s="16"/>
      <c r="F16" s="16"/>
      <c r="G16" s="16"/>
      <c r="H16" s="16"/>
      <c r="I16" s="16"/>
    </row>
    <row r="17" spans="1:9" ht="12.95">
      <c r="A17" s="16"/>
      <c r="B17" s="16"/>
      <c r="C17" s="16"/>
      <c r="D17" s="16"/>
      <c r="E17" s="16"/>
      <c r="F17" s="16"/>
      <c r="G17" s="16"/>
      <c r="H17" s="16"/>
      <c r="I17" s="16"/>
    </row>
    <row r="18" spans="1:9" ht="12.95">
      <c r="A18" s="16"/>
      <c r="B18" s="16"/>
      <c r="C18" s="16"/>
      <c r="D18" s="16"/>
      <c r="E18" s="16"/>
      <c r="F18" s="16"/>
      <c r="G18" s="16"/>
      <c r="H18" s="16"/>
      <c r="I18" s="16"/>
    </row>
    <row r="19" spans="1:9" ht="12.95">
      <c r="A19" s="16"/>
      <c r="B19" s="16"/>
      <c r="C19" s="16"/>
      <c r="D19" s="16"/>
      <c r="E19" s="16"/>
      <c r="F19" s="16"/>
      <c r="G19" s="16"/>
      <c r="H19" s="16"/>
      <c r="I19" s="16"/>
    </row>
    <row r="20" spans="1:9" ht="12.95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2.95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2.95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2.95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2.95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2.95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2.95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2.95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2.95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2.95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2.95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2.95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2.95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2.95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2.95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2.95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2.95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2.95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2.95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2.95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2.95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2.95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2.95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2.95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2.95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2.95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2.95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2.95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2.95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2.95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2.95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2.95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2.95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2.95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2.95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2.95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2.95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2.95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2.95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2.95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2.95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2.95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2.95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2.95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2.95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2.95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2.95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2.95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2.95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2.95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2.95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2.95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2.95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2.95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2.95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2.95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2.95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2.95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2.95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2.95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2.95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2.95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2.95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2.95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2.95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2.95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2.95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2.95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2.95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2.95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2.95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2.95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2.95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2.95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2.95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2.95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2.95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2.95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2.95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2.95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2.95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2.95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2.95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2.95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2.95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2.95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2.95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2.95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2.95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2.95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2.95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2.95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2.95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2.95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2.95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2.95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2.95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2.95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2.95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2.95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2.95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2.95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2.95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2.95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2.95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2.95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2.95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2.95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2.95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2.95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2.95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2.95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2.95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2.95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2.95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2.95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2.95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2.95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2.95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2.95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2.95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2.95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2.95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2.95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2.95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2.95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2.95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2.95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2.95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2.95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2.95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2.95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2.95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2.95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2.95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2.95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2.95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2.95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2.95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2.95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2.95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2.95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2.95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2.95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2.95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2.95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2.95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2.95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2.95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2.95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2.95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2.95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2.95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2.95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2.95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2.95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2.95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2.95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2.95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2.95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2.95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2.95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2.95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2.95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2.95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2.95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2.95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2.95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2.95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2.95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2.95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2.95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2.95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2.95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2.95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2.95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2.95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2.95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2.95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2.95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2.95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2.95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2.95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2.95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2.95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2.95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2.95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2.95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2.95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2.95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2.95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2.95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2.95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2.95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2.95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2.95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2.95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2.95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2.95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2.95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2.95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2.95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2.95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2.95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2.95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2.95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2.95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2.95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2.95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2.95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2.95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2.95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2.95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2.95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2.95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2.95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2.95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2.95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2.95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2.95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2.95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2.95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2.95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2.95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2.95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2.95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2.95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2.95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2.95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2.95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2.95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2.95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2.95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2.95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2.95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2.95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2.95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2.95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2.95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2.95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2.95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2.95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2.95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2.95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2.95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2.95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2.95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2.95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2.95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2.95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2.95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2.95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2.95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2.95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2.95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2.95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2.95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2.95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2.95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2.95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2.95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2.95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2.95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2.95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2.95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2.95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2.95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2.95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2.95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2.95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2.95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2.95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2.95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2.95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2.95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2.95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2.95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2.95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2.95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2.95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2.95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2.95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2.95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2.95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2.95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2.95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2.95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2.95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2.95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2.95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2.95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2.95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2.95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2.95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2.95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2.95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2.95">
      <c r="A316" s="16"/>
      <c r="B316" s="16"/>
      <c r="C316" s="16"/>
      <c r="D316" s="16"/>
      <c r="E316" s="16"/>
      <c r="F316" s="17"/>
      <c r="G316" s="16"/>
      <c r="H316" s="16"/>
      <c r="I316" s="17"/>
    </row>
    <row r="317" spans="1:9" ht="12.95">
      <c r="A317" s="16"/>
      <c r="B317" s="16"/>
      <c r="C317" s="16"/>
      <c r="D317" s="16"/>
      <c r="E317" s="16"/>
      <c r="F317" s="17"/>
      <c r="G317" s="16"/>
      <c r="H317" s="16"/>
      <c r="I317" s="17"/>
    </row>
    <row r="318" spans="1:9" ht="12.95">
      <c r="A318" s="16"/>
      <c r="B318" s="16"/>
      <c r="C318" s="16"/>
      <c r="D318" s="16"/>
      <c r="E318" s="16"/>
      <c r="F318" s="17"/>
      <c r="G318" s="16"/>
      <c r="H318" s="16"/>
      <c r="I318" s="17"/>
    </row>
    <row r="319" spans="1:9" ht="12.95">
      <c r="A319" s="16"/>
      <c r="B319" s="16"/>
      <c r="C319" s="16"/>
      <c r="D319" s="16"/>
      <c r="E319" s="16"/>
      <c r="F319" s="17"/>
      <c r="G319" s="16"/>
      <c r="H319" s="16"/>
      <c r="I319" s="17"/>
    </row>
    <row r="320" spans="1:9" ht="12.95">
      <c r="A320" s="16"/>
      <c r="B320" s="16"/>
      <c r="C320" s="16"/>
      <c r="D320" s="16"/>
      <c r="E320" s="16"/>
      <c r="F320" s="17"/>
      <c r="G320" s="16"/>
      <c r="H320" s="16"/>
      <c r="I320" s="17"/>
    </row>
    <row r="321" spans="1:9" ht="12.95">
      <c r="A321" s="16"/>
      <c r="B321" s="16"/>
      <c r="C321" s="16"/>
      <c r="D321" s="16"/>
      <c r="E321" s="16"/>
      <c r="F321" s="17"/>
      <c r="G321" s="16"/>
      <c r="H321" s="16"/>
      <c r="I321" s="17"/>
    </row>
    <row r="322" spans="1:9" ht="12.95">
      <c r="A322" s="16"/>
      <c r="B322" s="16"/>
      <c r="C322" s="16"/>
      <c r="D322" s="16"/>
      <c r="E322" s="16"/>
      <c r="F322" s="17"/>
      <c r="G322" s="16"/>
      <c r="H322" s="16"/>
      <c r="I322" s="17"/>
    </row>
    <row r="323" spans="1:9" ht="12.95">
      <c r="A323" s="16"/>
      <c r="B323" s="16"/>
      <c r="C323" s="16"/>
      <c r="D323" s="16"/>
      <c r="E323" s="16"/>
      <c r="F323" s="17"/>
      <c r="G323" s="16"/>
      <c r="H323" s="16"/>
      <c r="I323" s="17"/>
    </row>
    <row r="324" spans="1:9" ht="12.95">
      <c r="A324" s="16"/>
      <c r="B324" s="16"/>
      <c r="C324" s="16"/>
      <c r="D324" s="16"/>
      <c r="E324" s="16"/>
      <c r="F324" s="17"/>
      <c r="G324" s="16"/>
      <c r="H324" s="16"/>
      <c r="I324" s="17"/>
    </row>
    <row r="325" spans="1:9" ht="12.95">
      <c r="A325" s="16"/>
      <c r="B325" s="16"/>
      <c r="C325" s="16"/>
      <c r="D325" s="16"/>
      <c r="E325" s="16"/>
      <c r="F325" s="17"/>
      <c r="G325" s="16"/>
      <c r="H325" s="16"/>
      <c r="I325" s="17"/>
    </row>
    <row r="326" spans="1:9" ht="12.95">
      <c r="A326" s="16"/>
      <c r="B326" s="16"/>
      <c r="C326" s="16"/>
      <c r="D326" s="16"/>
      <c r="E326" s="16"/>
      <c r="F326" s="17"/>
      <c r="G326" s="16"/>
      <c r="H326" s="16"/>
      <c r="I326" s="17"/>
    </row>
    <row r="327" spans="1:9" ht="12.95">
      <c r="A327" s="16"/>
      <c r="B327" s="16"/>
      <c r="C327" s="16"/>
      <c r="D327" s="16"/>
      <c r="E327" s="16"/>
      <c r="F327" s="17"/>
      <c r="G327" s="16"/>
      <c r="H327" s="16"/>
      <c r="I327" s="17"/>
    </row>
    <row r="328" spans="1:9" ht="12.95">
      <c r="A328" s="16"/>
      <c r="B328" s="16"/>
      <c r="C328" s="16"/>
      <c r="D328" s="16"/>
      <c r="E328" s="16"/>
      <c r="F328" s="17"/>
      <c r="G328" s="16"/>
      <c r="H328" s="16"/>
      <c r="I328" s="17"/>
    </row>
    <row r="329" spans="1:9" ht="12.95">
      <c r="A329" s="16"/>
      <c r="B329" s="16"/>
      <c r="C329" s="16"/>
      <c r="D329" s="16"/>
      <c r="E329" s="16"/>
      <c r="F329" s="17"/>
      <c r="G329" s="16"/>
      <c r="H329" s="16"/>
      <c r="I329" s="17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7 I4:I87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9"/>
  <sheetViews>
    <sheetView workbookViewId="0">
      <pane xSplit="2" ySplit="3" topLeftCell="C4" activePane="bottomRight" state="frozen"/>
      <selection pane="bottomRight" activeCell="A12" sqref="A12"/>
      <selection pane="bottomLeft" activeCell="A12" sqref="A12"/>
      <selection pane="topRight" activeCell="A12" sqref="A1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6" t="str" cm="1">
        <f t="array" ref="A1">portfolio</f>
        <v>Hutchinson</v>
      </c>
      <c r="B1" s="36"/>
      <c r="C1" s="36"/>
      <c r="D1" s="37" t="s">
        <v>12</v>
      </c>
      <c r="E1" s="37"/>
      <c r="F1" s="37"/>
      <c r="G1" s="35" t="s">
        <v>13</v>
      </c>
      <c r="H1" s="35"/>
      <c r="I1" s="35"/>
    </row>
    <row r="2" spans="1:9" ht="19.5" customHeight="1">
      <c r="A2" s="38" t="s">
        <v>2</v>
      </c>
      <c r="B2" s="38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75">
      <c r="A4" s="11" t="str" cm="1">
        <f t="array" ref="A4">Sites[Site]</f>
        <v>MN: Hutchinson Landfill</v>
      </c>
      <c r="B4" s="10" t="str" cm="1">
        <f t="array" ref="B4">Sites[State]</f>
        <v>MN</v>
      </c>
      <c r="C4" s="19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SUM(Apr!H4, May!H4, Jun!H4)</f>
        <v>0</v>
      </c>
      <c r="I4" s="15" t="str">
        <f>IFERROR(H4/G4, "")</f>
        <v/>
      </c>
    </row>
    <row r="5" spans="1:9" ht="12.75" customHeight="1">
      <c r="A5" s="16"/>
      <c r="B5" s="16"/>
      <c r="C5" s="16"/>
      <c r="D5" s="16"/>
      <c r="E5" s="16"/>
      <c r="F5" s="16"/>
      <c r="G5" s="16"/>
      <c r="H5" s="16"/>
      <c r="I5" s="16"/>
    </row>
    <row r="6" spans="1:9" ht="12.95">
      <c r="A6" s="16"/>
      <c r="B6" s="16"/>
      <c r="C6" s="16"/>
      <c r="D6" s="16"/>
      <c r="E6" s="16"/>
      <c r="F6" s="16"/>
      <c r="G6" s="16"/>
      <c r="H6" s="16"/>
      <c r="I6" s="16"/>
    </row>
    <row r="7" spans="1:9" ht="12.95">
      <c r="A7" s="16"/>
      <c r="B7" s="16"/>
      <c r="C7" s="16"/>
      <c r="D7" s="16"/>
      <c r="E7" s="16"/>
      <c r="F7" s="16"/>
      <c r="G7" s="16"/>
      <c r="H7" s="16"/>
      <c r="I7" s="16"/>
    </row>
    <row r="8" spans="1:9" ht="12.95">
      <c r="A8" s="16"/>
      <c r="B8" s="16"/>
      <c r="C8" s="16"/>
      <c r="D8" s="16"/>
      <c r="E8" s="16"/>
      <c r="F8" s="16"/>
      <c r="G8" s="16"/>
      <c r="H8" s="16"/>
      <c r="I8" s="16"/>
    </row>
    <row r="9" spans="1:9" ht="12.95">
      <c r="A9" s="16"/>
      <c r="B9" s="16"/>
      <c r="C9" s="16"/>
      <c r="D9" s="16"/>
      <c r="E9" s="16"/>
      <c r="F9" s="16"/>
      <c r="G9" s="16"/>
      <c r="H9" s="16"/>
      <c r="I9" s="16"/>
    </row>
    <row r="10" spans="1:9" ht="12.95">
      <c r="A10" s="16"/>
      <c r="B10" s="16"/>
      <c r="C10" s="16"/>
      <c r="D10" s="16"/>
      <c r="E10" s="16"/>
      <c r="F10" s="16"/>
      <c r="G10" s="16"/>
      <c r="H10" s="16"/>
      <c r="I10" s="16"/>
    </row>
    <row r="11" spans="1:9" ht="12.95">
      <c r="A11" s="16"/>
      <c r="B11" s="16"/>
      <c r="C11" s="16"/>
      <c r="D11" s="16"/>
      <c r="E11" s="16"/>
      <c r="F11" s="16"/>
      <c r="G11" s="16"/>
      <c r="H11" s="16"/>
      <c r="I11" s="16"/>
    </row>
    <row r="12" spans="1:9" ht="12.95">
      <c r="A12" s="16"/>
      <c r="B12" s="16"/>
      <c r="C12" s="16"/>
      <c r="D12" s="16"/>
      <c r="E12" s="16"/>
      <c r="F12" s="16"/>
      <c r="G12" s="16"/>
      <c r="H12" s="16"/>
      <c r="I12" s="16"/>
    </row>
    <row r="13" spans="1:9" ht="12.95">
      <c r="A13" s="16"/>
      <c r="B13" s="16"/>
      <c r="C13" s="16"/>
      <c r="D13" s="16"/>
      <c r="E13" s="16"/>
      <c r="F13" s="16"/>
      <c r="G13" s="16"/>
      <c r="H13" s="16"/>
      <c r="I13" s="16"/>
    </row>
    <row r="14" spans="1:9" ht="12.95">
      <c r="A14" s="16"/>
      <c r="B14" s="16"/>
      <c r="C14" s="16"/>
      <c r="D14" s="16"/>
      <c r="E14" s="16"/>
      <c r="F14" s="16"/>
      <c r="G14" s="16"/>
      <c r="H14" s="16"/>
      <c r="I14" s="16"/>
    </row>
    <row r="15" spans="1:9" ht="12.95">
      <c r="A15" s="16"/>
      <c r="B15" s="16"/>
      <c r="C15" s="16"/>
      <c r="D15" s="16"/>
      <c r="E15" s="16"/>
      <c r="F15" s="16"/>
      <c r="G15" s="16"/>
      <c r="H15" s="16"/>
      <c r="I15" s="16"/>
    </row>
    <row r="16" spans="1:9" ht="12.95">
      <c r="A16" s="16"/>
      <c r="B16" s="16"/>
      <c r="C16" s="16"/>
      <c r="D16" s="16"/>
      <c r="E16" s="16"/>
      <c r="F16" s="16"/>
      <c r="G16" s="16"/>
      <c r="H16" s="16"/>
      <c r="I16" s="16"/>
    </row>
    <row r="17" spans="1:9" ht="12.95">
      <c r="A17" s="16"/>
      <c r="B17" s="16"/>
      <c r="C17" s="16"/>
      <c r="D17" s="16"/>
      <c r="E17" s="16"/>
      <c r="F17" s="16"/>
      <c r="G17" s="16"/>
      <c r="H17" s="16"/>
      <c r="I17" s="16"/>
    </row>
    <row r="18" spans="1:9" ht="12.95">
      <c r="A18" s="16"/>
      <c r="B18" s="16"/>
      <c r="C18" s="16"/>
      <c r="D18" s="16"/>
      <c r="E18" s="16"/>
      <c r="F18" s="16"/>
      <c r="G18" s="16"/>
      <c r="H18" s="16"/>
      <c r="I18" s="16"/>
    </row>
    <row r="19" spans="1:9" ht="12.95">
      <c r="A19" s="16"/>
      <c r="B19" s="16"/>
      <c r="C19" s="16"/>
      <c r="D19" s="16"/>
      <c r="E19" s="16"/>
      <c r="F19" s="16"/>
      <c r="G19" s="16"/>
      <c r="H19" s="16"/>
      <c r="I19" s="16"/>
    </row>
    <row r="20" spans="1:9" ht="12.95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2.95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2.95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2.95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2.95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2.95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2.95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2.95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2.95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2.95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2.95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2.95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2.95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2.95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2.95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2.95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2.95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2.95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2.95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2.95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2.95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2.95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2.95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2.95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2.95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2.95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2.95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2.95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2.95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2.95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2.95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2.95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2.95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2.95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2.95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2.95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2.95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2.95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2.95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2.95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2.95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2.95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2.95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2.95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2.95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2.95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2.95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2.95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2.95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2.95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2.95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2.95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2.95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2.95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2.95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2.95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2.95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2.95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2.95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2.95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2.95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2.95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2.95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2.95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2.95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2.95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2.95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2.95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2.95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2.95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2.95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2.95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2.95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2.95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2.95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2.95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2.95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2.95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2.95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2.95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2.95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2.95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2.95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2.95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2.95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2.95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2.95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2.95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2.95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2.95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2.95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2.95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2.95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2.95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2.95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2.95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2.95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2.95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2.95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2.95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2.95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2.95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2.95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2.95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2.95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2.95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2.95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2.95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2.95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2.95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2.95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2.95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2.95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2.95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2.95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2.95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2.95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2.95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2.95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2.95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2.95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2.95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2.95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2.95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2.95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2.95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2.95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2.95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2.95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2.95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2.95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2.95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2.95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2.95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2.95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2.95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2.95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2.95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2.95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2.95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2.95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2.95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2.95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2.95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2.95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2.95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2.95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2.95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2.95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2.95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2.95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2.95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2.95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2.95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2.95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2.95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2.95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2.95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2.95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2.95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2.95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2.95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2.95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2.95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2.95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2.95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2.95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2.95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2.95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2.95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2.95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2.95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2.95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2.95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2.95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2.95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2.95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2.95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2.95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2.95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2.95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2.95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2.95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2.95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2.95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2.95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2.95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2.95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2.95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2.95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2.95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2.95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2.95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2.95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2.95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2.95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2.95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2.95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2.95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2.95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2.95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2.95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2.95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2.95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2.95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2.95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2.95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2.95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2.95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2.95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2.95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2.95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2.95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2.95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2.95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2.95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2.95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2.95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2.95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2.95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2.95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2.95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2.95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2.95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2.95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2.95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2.95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2.95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2.95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2.95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2.95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2.95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2.95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2.95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2.95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2.95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2.95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2.95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2.95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2.95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2.95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2.95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2.95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2.95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2.95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2.95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2.95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2.95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2.95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2.95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2.95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2.95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2.95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2.95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2.95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2.95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2.95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2.95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2.95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2.95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2.95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2.95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2.95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2.95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2.95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2.95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2.95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2.95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2.95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2.95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2.95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2.95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2.95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2.95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2.95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2.95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2.95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2.95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2.95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2.95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2.95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2.95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2.95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2.95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2.95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2.95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2.95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2.95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2.95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2.95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2.95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2.95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2.95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2.95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2.95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2.95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2.95">
      <c r="A316" s="16"/>
      <c r="B316" s="16"/>
      <c r="C316" s="16"/>
      <c r="D316" s="16"/>
      <c r="E316" s="16"/>
      <c r="F316" s="17"/>
      <c r="G316" s="16"/>
      <c r="H316" s="16"/>
      <c r="I316" s="17"/>
    </row>
    <row r="317" spans="1:9" ht="12.95">
      <c r="A317" s="16"/>
      <c r="B317" s="16"/>
      <c r="C317" s="16"/>
      <c r="D317" s="16"/>
      <c r="E317" s="16"/>
      <c r="F317" s="17"/>
      <c r="G317" s="16"/>
      <c r="H317" s="16"/>
      <c r="I317" s="17"/>
    </row>
    <row r="318" spans="1:9" ht="12.95">
      <c r="A318" s="16"/>
      <c r="B318" s="16"/>
      <c r="C318" s="16"/>
      <c r="D318" s="16"/>
      <c r="E318" s="16"/>
      <c r="F318" s="17"/>
      <c r="G318" s="16"/>
      <c r="H318" s="16"/>
      <c r="I318" s="17"/>
    </row>
    <row r="319" spans="1:9" ht="12.95">
      <c r="A319" s="16"/>
      <c r="B319" s="16"/>
      <c r="C319" s="16"/>
      <c r="D319" s="16"/>
      <c r="E319" s="16"/>
      <c r="F319" s="17"/>
      <c r="G319" s="16"/>
      <c r="H319" s="16"/>
      <c r="I319" s="17"/>
    </row>
    <row r="320" spans="1:9" ht="12.95">
      <c r="A320" s="16"/>
      <c r="B320" s="16"/>
      <c r="C320" s="16"/>
      <c r="D320" s="16"/>
      <c r="E320" s="16"/>
      <c r="F320" s="17"/>
      <c r="G320" s="16"/>
      <c r="H320" s="16"/>
      <c r="I320" s="17"/>
    </row>
    <row r="321" spans="1:9" ht="12.95">
      <c r="A321" s="16"/>
      <c r="B321" s="16"/>
      <c r="C321" s="16"/>
      <c r="D321" s="16"/>
      <c r="E321" s="16"/>
      <c r="F321" s="17"/>
      <c r="G321" s="16"/>
      <c r="H321" s="16"/>
      <c r="I321" s="17"/>
    </row>
    <row r="322" spans="1:9" ht="12.95">
      <c r="A322" s="16"/>
      <c r="B322" s="16"/>
      <c r="C322" s="16"/>
      <c r="D322" s="16"/>
      <c r="E322" s="16"/>
      <c r="F322" s="17"/>
      <c r="G322" s="16"/>
      <c r="H322" s="16"/>
      <c r="I322" s="17"/>
    </row>
    <row r="323" spans="1:9" ht="12.95">
      <c r="A323" s="16"/>
      <c r="B323" s="16"/>
      <c r="C323" s="16"/>
      <c r="D323" s="16"/>
      <c r="E323" s="16"/>
      <c r="F323" s="17"/>
      <c r="G323" s="16"/>
      <c r="H323" s="16"/>
      <c r="I323" s="17"/>
    </row>
    <row r="324" spans="1:9" ht="12.95">
      <c r="A324" s="16"/>
      <c r="B324" s="16"/>
      <c r="C324" s="16"/>
      <c r="D324" s="16"/>
      <c r="E324" s="16"/>
      <c r="F324" s="17"/>
      <c r="G324" s="16"/>
      <c r="H324" s="16"/>
      <c r="I324" s="17"/>
    </row>
    <row r="325" spans="1:9" ht="12.95">
      <c r="A325" s="16"/>
      <c r="B325" s="16"/>
      <c r="C325" s="16"/>
      <c r="D325" s="16"/>
      <c r="E325" s="16"/>
      <c r="F325" s="17"/>
      <c r="G325" s="16"/>
      <c r="H325" s="16"/>
      <c r="I325" s="17"/>
    </row>
    <row r="326" spans="1:9" ht="12.95">
      <c r="A326" s="16"/>
      <c r="B326" s="16"/>
      <c r="C326" s="16"/>
      <c r="D326" s="16"/>
      <c r="E326" s="16"/>
      <c r="F326" s="17"/>
      <c r="G326" s="16"/>
      <c r="H326" s="16"/>
      <c r="I326" s="17"/>
    </row>
    <row r="327" spans="1:9" ht="12.95">
      <c r="A327" s="16"/>
      <c r="B327" s="16"/>
      <c r="C327" s="16"/>
      <c r="D327" s="16"/>
      <c r="E327" s="16"/>
      <c r="F327" s="17"/>
      <c r="G327" s="16"/>
      <c r="H327" s="16"/>
      <c r="I327" s="17"/>
    </row>
    <row r="328" spans="1:9" ht="12.95">
      <c r="A328" s="16"/>
      <c r="B328" s="16"/>
      <c r="C328" s="16"/>
      <c r="D328" s="16"/>
      <c r="E328" s="16"/>
      <c r="F328" s="17"/>
      <c r="G328" s="16"/>
      <c r="H328" s="16"/>
      <c r="I328" s="17"/>
    </row>
    <row r="329" spans="1:9" ht="12.95">
      <c r="A329" s="16"/>
      <c r="B329" s="16"/>
      <c r="C329" s="16"/>
      <c r="D329" s="16"/>
      <c r="E329" s="16"/>
      <c r="F329" s="17"/>
      <c r="G329" s="16"/>
      <c r="H329" s="16"/>
      <c r="I329" s="17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7 I4:I87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9"/>
  <sheetViews>
    <sheetView workbookViewId="0">
      <pane xSplit="2" ySplit="3" topLeftCell="C4" activePane="bottomRight" state="frozen"/>
      <selection pane="bottomRight" activeCell="A12" sqref="A12"/>
      <selection pane="bottomLeft" activeCell="A12" sqref="A12"/>
      <selection pane="topRight" activeCell="A12" sqref="A1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6" t="str" cm="1">
        <f t="array" ref="A1">portfolio</f>
        <v>Hutchinson</v>
      </c>
      <c r="B1" s="36"/>
      <c r="C1" s="36"/>
      <c r="D1" s="37" t="s">
        <v>14</v>
      </c>
      <c r="E1" s="37"/>
      <c r="F1" s="37"/>
      <c r="G1" s="35" t="s">
        <v>15</v>
      </c>
      <c r="H1" s="35"/>
      <c r="I1" s="35"/>
    </row>
    <row r="2" spans="1:9" ht="19.5" customHeight="1">
      <c r="A2" s="38" t="s">
        <v>2</v>
      </c>
      <c r="B2" s="38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75">
      <c r="A4" s="11" t="str" cm="1">
        <f t="array" ref="A4">Sites[Site]</f>
        <v>MN: Hutchinson Landfill</v>
      </c>
      <c r="B4" s="10" t="str" cm="1">
        <f t="array" ref="B4">Sites[State]</f>
        <v>MN</v>
      </c>
      <c r="C4" s="19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SUM(Jul!H4, Aug!H4, Sep!H4)</f>
        <v>0</v>
      </c>
      <c r="I4" s="15" t="str">
        <f>IFERROR(H4/G4, "")</f>
        <v/>
      </c>
    </row>
    <row r="5" spans="1:9" ht="12.75" customHeight="1">
      <c r="A5" s="16"/>
      <c r="B5" s="16"/>
      <c r="C5" s="16"/>
      <c r="D5" s="16"/>
      <c r="E5" s="16"/>
      <c r="F5" s="16"/>
      <c r="G5" s="16"/>
      <c r="H5" s="16"/>
      <c r="I5" s="16"/>
    </row>
    <row r="6" spans="1:9" ht="12.95">
      <c r="A6" s="16"/>
      <c r="B6" s="16"/>
      <c r="C6" s="16"/>
      <c r="D6" s="16"/>
      <c r="E6" s="16"/>
      <c r="F6" s="16"/>
      <c r="G6" s="16"/>
      <c r="H6" s="16"/>
      <c r="I6" s="16"/>
    </row>
    <row r="7" spans="1:9" ht="12.95">
      <c r="A7" s="16"/>
      <c r="B7" s="16"/>
      <c r="C7" s="16"/>
      <c r="D7" s="16"/>
      <c r="E7" s="16"/>
      <c r="F7" s="16"/>
      <c r="G7" s="16"/>
      <c r="H7" s="16"/>
      <c r="I7" s="16"/>
    </row>
    <row r="8" spans="1:9" ht="12.95">
      <c r="A8" s="16"/>
      <c r="B8" s="16"/>
      <c r="C8" s="16"/>
      <c r="D8" s="16"/>
      <c r="E8" s="16"/>
      <c r="F8" s="16"/>
      <c r="G8" s="16"/>
      <c r="H8" s="16"/>
      <c r="I8" s="16"/>
    </row>
    <row r="9" spans="1:9" ht="12.95">
      <c r="A9" s="16"/>
      <c r="B9" s="16"/>
      <c r="C9" s="16"/>
      <c r="D9" s="16"/>
      <c r="E9" s="16"/>
      <c r="F9" s="16"/>
      <c r="G9" s="16"/>
      <c r="H9" s="16"/>
      <c r="I9" s="16"/>
    </row>
    <row r="10" spans="1:9" ht="12.95">
      <c r="A10" s="16"/>
      <c r="B10" s="16"/>
      <c r="C10" s="16"/>
      <c r="D10" s="16"/>
      <c r="E10" s="16"/>
      <c r="F10" s="16"/>
      <c r="G10" s="16"/>
      <c r="H10" s="16"/>
      <c r="I10" s="16"/>
    </row>
    <row r="11" spans="1:9" ht="12.95">
      <c r="A11" s="16"/>
      <c r="B11" s="16"/>
      <c r="C11" s="16"/>
      <c r="D11" s="16"/>
      <c r="E11" s="16"/>
      <c r="F11" s="16"/>
      <c r="G11" s="16"/>
      <c r="H11" s="16"/>
      <c r="I11" s="16"/>
    </row>
    <row r="12" spans="1:9" ht="12.95">
      <c r="A12" s="16"/>
      <c r="B12" s="16"/>
      <c r="C12" s="16"/>
      <c r="D12" s="16"/>
      <c r="E12" s="16"/>
      <c r="F12" s="16"/>
      <c r="G12" s="16"/>
      <c r="H12" s="16"/>
      <c r="I12" s="16"/>
    </row>
    <row r="13" spans="1:9" ht="12.95">
      <c r="A13" s="16"/>
      <c r="B13" s="16"/>
      <c r="C13" s="16"/>
      <c r="D13" s="16"/>
      <c r="E13" s="16"/>
      <c r="F13" s="16"/>
      <c r="G13" s="16"/>
      <c r="H13" s="16"/>
      <c r="I13" s="16"/>
    </row>
    <row r="14" spans="1:9" ht="12.95">
      <c r="A14" s="16"/>
      <c r="B14" s="16"/>
      <c r="C14" s="16"/>
      <c r="D14" s="16"/>
      <c r="E14" s="16"/>
      <c r="F14" s="16"/>
      <c r="G14" s="16"/>
      <c r="H14" s="16"/>
      <c r="I14" s="16"/>
    </row>
    <row r="15" spans="1:9" ht="12.95">
      <c r="A15" s="16"/>
      <c r="B15" s="16"/>
      <c r="C15" s="16"/>
      <c r="D15" s="16"/>
      <c r="E15" s="16"/>
      <c r="F15" s="16"/>
      <c r="G15" s="16"/>
      <c r="H15" s="16"/>
      <c r="I15" s="16"/>
    </row>
    <row r="16" spans="1:9" ht="12.95">
      <c r="A16" s="16"/>
      <c r="B16" s="16"/>
      <c r="C16" s="16"/>
      <c r="D16" s="16"/>
      <c r="E16" s="16"/>
      <c r="F16" s="16"/>
      <c r="G16" s="16"/>
      <c r="H16" s="16"/>
      <c r="I16" s="16"/>
    </row>
    <row r="17" spans="1:9" ht="12.95">
      <c r="A17" s="16"/>
      <c r="B17" s="16"/>
      <c r="C17" s="16"/>
      <c r="D17" s="16"/>
      <c r="E17" s="16"/>
      <c r="F17" s="16"/>
      <c r="G17" s="16"/>
      <c r="H17" s="16"/>
      <c r="I17" s="16"/>
    </row>
    <row r="18" spans="1:9" ht="12.95">
      <c r="A18" s="16"/>
      <c r="B18" s="16"/>
      <c r="C18" s="16"/>
      <c r="D18" s="16"/>
      <c r="E18" s="16"/>
      <c r="F18" s="16"/>
      <c r="G18" s="16"/>
      <c r="H18" s="16"/>
      <c r="I18" s="16"/>
    </row>
    <row r="19" spans="1:9" ht="12.95">
      <c r="A19" s="16"/>
      <c r="B19" s="16"/>
      <c r="C19" s="16"/>
      <c r="D19" s="16"/>
      <c r="E19" s="16"/>
      <c r="F19" s="16"/>
      <c r="G19" s="16"/>
      <c r="H19" s="16"/>
      <c r="I19" s="16"/>
    </row>
    <row r="20" spans="1:9" ht="12.95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2.95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2.95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2.95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2.95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2.95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2.95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2.95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2.95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2.95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2.95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2.95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2.95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2.95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2.95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2.95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2.95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2.95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2.95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2.95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2.95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2.95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2.95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2.95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2.95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2.95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2.95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2.95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2.95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2.95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2.95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2.95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2.95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2.95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2.95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2.95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2.95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2.95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2.95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2.95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2.95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2.95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2.95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2.95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2.95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2.95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2.95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2.95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2.95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2.95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2.95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2.95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2.95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2.95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2.95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2.95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2.95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2.95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2.95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2.95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2.95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2.95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2.95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2.95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2.95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2.95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2.95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2.95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2.95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2.95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2.95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2.95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2.95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2.95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2.95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2.95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2.95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2.95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2.95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2.95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2.95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2.95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2.95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2.95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2.95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2.95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2.95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2.95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2.95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2.95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2.95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2.95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2.95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2.95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2.95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2.95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2.95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2.95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2.95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2.95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2.95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2.95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2.95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2.95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2.95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2.95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2.95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2.95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2.95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2.95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2.95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2.95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2.95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2.95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2.95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2.95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2.95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2.95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2.95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2.95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2.95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2.95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2.95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2.95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2.95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2.95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2.95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2.95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2.95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2.95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2.95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2.95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2.95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2.95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2.95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2.95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2.95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2.95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2.95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2.95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2.95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2.95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2.95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2.95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2.95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2.95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2.95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2.95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2.95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2.95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2.95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2.95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2.95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2.95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2.95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2.95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2.95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2.95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2.95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2.95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2.95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2.95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2.95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2.95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2.95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2.95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2.95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2.95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2.95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2.95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2.95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2.95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2.95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2.95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2.95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2.95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2.95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2.95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2.95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2.95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2.95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2.95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2.95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2.95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2.95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2.95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2.95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2.95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2.95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2.95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2.95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2.95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2.95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2.95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2.95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2.95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2.95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2.95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2.95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2.95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2.95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2.95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2.95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2.95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2.95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2.95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2.95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2.95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2.95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2.95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2.95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2.95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2.95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2.95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2.95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2.95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2.95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2.95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2.95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2.95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2.95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2.95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2.95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2.95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2.95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2.95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2.95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2.95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2.95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2.95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2.95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2.95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2.95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2.95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2.95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2.95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2.95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2.95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2.95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2.95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2.95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2.95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2.95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2.95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2.95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2.95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2.95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2.95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2.95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2.95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2.95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2.95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2.95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2.95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2.95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2.95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2.95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2.95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2.95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2.95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2.95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2.95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2.95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2.95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2.95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2.95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2.95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2.95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2.95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2.95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2.95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2.95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2.95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2.95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2.95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2.95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2.95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2.95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2.95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2.95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2.95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2.95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2.95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2.95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2.95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2.95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2.95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2.95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2.95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2.95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2.95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2.95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2.95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2.95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2.95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2.95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2.95">
      <c r="A316" s="16"/>
      <c r="B316" s="16"/>
      <c r="C316" s="16"/>
      <c r="D316" s="16"/>
      <c r="E316" s="16"/>
      <c r="F316" s="17"/>
      <c r="G316" s="16"/>
      <c r="H316" s="16"/>
      <c r="I316" s="17"/>
    </row>
    <row r="317" spans="1:9" ht="12.95">
      <c r="A317" s="16"/>
      <c r="B317" s="16"/>
      <c r="C317" s="16"/>
      <c r="D317" s="16"/>
      <c r="E317" s="16"/>
      <c r="F317" s="17"/>
      <c r="G317" s="16"/>
      <c r="H317" s="16"/>
      <c r="I317" s="17"/>
    </row>
    <row r="318" spans="1:9" ht="12.95">
      <c r="A318" s="16"/>
      <c r="B318" s="16"/>
      <c r="C318" s="16"/>
      <c r="D318" s="16"/>
      <c r="E318" s="16"/>
      <c r="F318" s="17"/>
      <c r="G318" s="16"/>
      <c r="H318" s="16"/>
      <c r="I318" s="17"/>
    </row>
    <row r="319" spans="1:9" ht="12.95">
      <c r="A319" s="16"/>
      <c r="B319" s="16"/>
      <c r="C319" s="16"/>
      <c r="D319" s="16"/>
      <c r="E319" s="16"/>
      <c r="F319" s="17"/>
      <c r="G319" s="16"/>
      <c r="H319" s="16"/>
      <c r="I319" s="17"/>
    </row>
    <row r="320" spans="1:9" ht="12.95">
      <c r="A320" s="16"/>
      <c r="B320" s="16"/>
      <c r="C320" s="16"/>
      <c r="D320" s="16"/>
      <c r="E320" s="16"/>
      <c r="F320" s="17"/>
      <c r="G320" s="16"/>
      <c r="H320" s="16"/>
      <c r="I320" s="17"/>
    </row>
    <row r="321" spans="1:9" ht="12.95">
      <c r="A321" s="16"/>
      <c r="B321" s="16"/>
      <c r="C321" s="16"/>
      <c r="D321" s="16"/>
      <c r="E321" s="16"/>
      <c r="F321" s="17"/>
      <c r="G321" s="16"/>
      <c r="H321" s="16"/>
      <c r="I321" s="17"/>
    </row>
    <row r="322" spans="1:9" ht="12.95">
      <c r="A322" s="16"/>
      <c r="B322" s="16"/>
      <c r="C322" s="16"/>
      <c r="D322" s="16"/>
      <c r="E322" s="16"/>
      <c r="F322" s="17"/>
      <c r="G322" s="16"/>
      <c r="H322" s="16"/>
      <c r="I322" s="17"/>
    </row>
    <row r="323" spans="1:9" ht="12.95">
      <c r="A323" s="16"/>
      <c r="B323" s="16"/>
      <c r="C323" s="16"/>
      <c r="D323" s="16"/>
      <c r="E323" s="16"/>
      <c r="F323" s="17"/>
      <c r="G323" s="16"/>
      <c r="H323" s="16"/>
      <c r="I323" s="17"/>
    </row>
    <row r="324" spans="1:9" ht="12.95">
      <c r="A324" s="16"/>
      <c r="B324" s="16"/>
      <c r="C324" s="16"/>
      <c r="D324" s="16"/>
      <c r="E324" s="16"/>
      <c r="F324" s="17"/>
      <c r="G324" s="16"/>
      <c r="H324" s="16"/>
      <c r="I324" s="17"/>
    </row>
    <row r="325" spans="1:9" ht="12.95">
      <c r="A325" s="16"/>
      <c r="B325" s="16"/>
      <c r="C325" s="16"/>
      <c r="D325" s="16"/>
      <c r="E325" s="16"/>
      <c r="F325" s="17"/>
      <c r="G325" s="16"/>
      <c r="H325" s="16"/>
      <c r="I325" s="17"/>
    </row>
    <row r="326" spans="1:9" ht="12.95">
      <c r="A326" s="16"/>
      <c r="B326" s="16"/>
      <c r="C326" s="16"/>
      <c r="D326" s="16"/>
      <c r="E326" s="16"/>
      <c r="F326" s="17"/>
      <c r="G326" s="16"/>
      <c r="H326" s="16"/>
      <c r="I326" s="17"/>
    </row>
    <row r="327" spans="1:9" ht="12.95">
      <c r="A327" s="16"/>
      <c r="B327" s="16"/>
      <c r="C327" s="16"/>
      <c r="D327" s="16"/>
      <c r="E327" s="16"/>
      <c r="F327" s="17"/>
      <c r="G327" s="16"/>
      <c r="H327" s="16"/>
      <c r="I327" s="17"/>
    </row>
    <row r="328" spans="1:9" ht="12.95">
      <c r="A328" s="16"/>
      <c r="B328" s="16"/>
      <c r="C328" s="16"/>
      <c r="D328" s="16"/>
      <c r="E328" s="16"/>
      <c r="F328" s="17"/>
      <c r="G328" s="16"/>
      <c r="H328" s="16"/>
      <c r="I328" s="17"/>
    </row>
    <row r="329" spans="1:9" ht="12.95">
      <c r="A329" s="16"/>
      <c r="B329" s="16"/>
      <c r="C329" s="16"/>
      <c r="D329" s="16"/>
      <c r="E329" s="16"/>
      <c r="F329" s="17"/>
      <c r="G329" s="16"/>
      <c r="H329" s="16"/>
      <c r="I329" s="17"/>
    </row>
  </sheetData>
  <mergeCells count="4">
    <mergeCell ref="G1:I1"/>
    <mergeCell ref="A1:C1"/>
    <mergeCell ref="D1:F1"/>
    <mergeCell ref="A2:B2"/>
  </mergeCells>
  <conditionalFormatting sqref="F2 I2 F4:F87 I4:I87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9"/>
  <sheetViews>
    <sheetView workbookViewId="0">
      <pane xSplit="2" ySplit="3" topLeftCell="C4" activePane="bottomRight" state="frozen"/>
      <selection pane="bottomRight" activeCell="A12" sqref="A12"/>
      <selection pane="bottomLeft" activeCell="A12" sqref="A12"/>
      <selection pane="topRight" activeCell="A12" sqref="A1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6" t="str" cm="1">
        <f t="array" ref="A1">portfolio</f>
        <v>Hutchinson</v>
      </c>
      <c r="B1" s="36"/>
      <c r="C1" s="36"/>
      <c r="D1" s="37" t="s">
        <v>16</v>
      </c>
      <c r="E1" s="37"/>
      <c r="F1" s="37"/>
      <c r="G1" s="35" t="s">
        <v>17</v>
      </c>
      <c r="H1" s="35"/>
      <c r="I1" s="35"/>
    </row>
    <row r="2" spans="1:9" ht="19.5" customHeight="1">
      <c r="A2" s="38" t="s">
        <v>2</v>
      </c>
      <c r="B2" s="38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75">
      <c r="A4" s="11" t="str" cm="1">
        <f t="array" ref="A4">Sites[Site]</f>
        <v>MN: Hutchinson Landfill</v>
      </c>
      <c r="B4" s="10" t="str" cm="1">
        <f t="array" ref="B4">Sites[State]</f>
        <v>MN</v>
      </c>
      <c r="C4" s="19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2.75" customHeight="1">
      <c r="A5" s="16"/>
      <c r="B5" s="16"/>
      <c r="C5" s="16"/>
      <c r="D5" s="16"/>
      <c r="E5" s="16"/>
      <c r="F5" s="16"/>
      <c r="G5" s="16"/>
      <c r="H5" s="16"/>
      <c r="I5" s="16"/>
    </row>
    <row r="6" spans="1:9" ht="12.95">
      <c r="A6" s="16"/>
      <c r="B6" s="16"/>
      <c r="C6" s="16"/>
      <c r="D6" s="16"/>
      <c r="E6" s="16"/>
      <c r="F6" s="16"/>
      <c r="G6" s="16"/>
      <c r="H6" s="16"/>
      <c r="I6" s="16"/>
    </row>
    <row r="7" spans="1:9" ht="12.95">
      <c r="A7" s="16"/>
      <c r="B7" s="16"/>
      <c r="C7" s="16"/>
      <c r="D7" s="16"/>
      <c r="E7" s="16"/>
      <c r="F7" s="16"/>
      <c r="G7" s="16"/>
      <c r="H7" s="16"/>
      <c r="I7" s="16"/>
    </row>
    <row r="8" spans="1:9" ht="12.95">
      <c r="A8" s="16"/>
      <c r="B8" s="16"/>
      <c r="C8" s="16"/>
      <c r="D8" s="16"/>
      <c r="E8" s="16"/>
      <c r="F8" s="16"/>
      <c r="G8" s="16"/>
      <c r="H8" s="16"/>
      <c r="I8" s="16"/>
    </row>
    <row r="9" spans="1:9" ht="12.95">
      <c r="A9" s="16"/>
      <c r="B9" s="16"/>
      <c r="C9" s="16"/>
      <c r="D9" s="16"/>
      <c r="E9" s="16"/>
      <c r="F9" s="16"/>
      <c r="G9" s="16"/>
      <c r="H9" s="16"/>
      <c r="I9" s="16"/>
    </row>
    <row r="10" spans="1:9" ht="12.95">
      <c r="A10" s="16"/>
      <c r="B10" s="16"/>
      <c r="C10" s="16"/>
      <c r="D10" s="16"/>
      <c r="E10" s="16"/>
      <c r="F10" s="16"/>
      <c r="G10" s="16"/>
      <c r="H10" s="16"/>
      <c r="I10" s="16"/>
    </row>
    <row r="11" spans="1:9" ht="12.95">
      <c r="A11" s="16"/>
      <c r="B11" s="16"/>
      <c r="C11" s="16"/>
      <c r="D11" s="16"/>
      <c r="E11" s="16"/>
      <c r="F11" s="16"/>
      <c r="G11" s="16"/>
      <c r="H11" s="16"/>
      <c r="I11" s="16"/>
    </row>
    <row r="12" spans="1:9" ht="12.95">
      <c r="A12" s="16"/>
      <c r="B12" s="16"/>
      <c r="C12" s="16"/>
      <c r="D12" s="16"/>
      <c r="E12" s="16"/>
      <c r="F12" s="16"/>
      <c r="G12" s="16"/>
      <c r="H12" s="16"/>
      <c r="I12" s="16"/>
    </row>
    <row r="13" spans="1:9" ht="12.95">
      <c r="A13" s="16"/>
      <c r="B13" s="16"/>
      <c r="C13" s="16"/>
      <c r="D13" s="16"/>
      <c r="E13" s="16"/>
      <c r="F13" s="16"/>
      <c r="G13" s="16"/>
      <c r="H13" s="16"/>
      <c r="I13" s="16"/>
    </row>
    <row r="14" spans="1:9" ht="12.95">
      <c r="A14" s="16"/>
      <c r="B14" s="16"/>
      <c r="C14" s="16"/>
      <c r="D14" s="16"/>
      <c r="E14" s="16"/>
      <c r="F14" s="16"/>
      <c r="G14" s="16"/>
      <c r="H14" s="16"/>
      <c r="I14" s="16"/>
    </row>
    <row r="15" spans="1:9" ht="12.95">
      <c r="A15" s="16"/>
      <c r="B15" s="16"/>
      <c r="C15" s="16"/>
      <c r="D15" s="16"/>
      <c r="E15" s="16"/>
      <c r="F15" s="16"/>
      <c r="G15" s="16"/>
      <c r="H15" s="16"/>
      <c r="I15" s="16"/>
    </row>
    <row r="16" spans="1:9" ht="12.95">
      <c r="A16" s="16"/>
      <c r="B16" s="16"/>
      <c r="C16" s="16"/>
      <c r="D16" s="16"/>
      <c r="E16" s="16"/>
      <c r="F16" s="16"/>
      <c r="G16" s="16"/>
      <c r="H16" s="16"/>
      <c r="I16" s="16"/>
    </row>
    <row r="17" spans="1:9" ht="12.95">
      <c r="A17" s="16"/>
      <c r="B17" s="16"/>
      <c r="C17" s="16"/>
      <c r="D17" s="16"/>
      <c r="E17" s="16"/>
      <c r="F17" s="16"/>
      <c r="G17" s="16"/>
      <c r="H17" s="16"/>
      <c r="I17" s="16"/>
    </row>
    <row r="18" spans="1:9" ht="12.95">
      <c r="A18" s="16"/>
      <c r="B18" s="16"/>
      <c r="C18" s="16"/>
      <c r="D18" s="16"/>
      <c r="E18" s="16"/>
      <c r="F18" s="16"/>
      <c r="G18" s="16"/>
      <c r="H18" s="16"/>
      <c r="I18" s="16"/>
    </row>
    <row r="19" spans="1:9" ht="12.95">
      <c r="A19" s="16"/>
      <c r="B19" s="16"/>
      <c r="C19" s="16"/>
      <c r="D19" s="16"/>
      <c r="E19" s="16"/>
      <c r="F19" s="16"/>
      <c r="G19" s="16"/>
      <c r="H19" s="16"/>
      <c r="I19" s="16"/>
    </row>
    <row r="20" spans="1:9" ht="12.95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2.95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2.95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2.95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2.95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2.95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2.95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2.95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2.95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2.95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2.95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2.95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2.95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2.95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2.95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2.95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2.95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2.95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2.95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2.95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2.95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2.95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2.95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2.95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2.95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2.95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2.95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2.95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2.95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2.95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2.95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2.95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2.95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2.95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2.95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2.95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2.95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2.95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2.95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2.95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2.95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2.95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2.95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2.95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2.95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2.95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2.95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2.95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2.95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2.95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2.95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2.95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2.95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2.95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2.95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2.95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2.95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2.95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2.95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2.95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2.95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2.95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2.95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2.95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2.95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2.95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2.95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2.95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2.95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2.95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2.95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2.95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2.95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2.95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2.95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2.95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2.95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2.95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2.95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2.95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2.95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2.95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2.95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2.95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2.95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2.95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2.95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2.95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2.95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2.95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2.95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2.95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2.95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2.95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2.95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2.95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2.95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2.95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2.95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2.95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2.95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2.95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2.95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2.95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2.95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2.95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2.95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2.95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2.95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2.95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2.95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2.95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2.95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2.95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2.95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2.95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2.95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2.95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2.95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2.95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2.95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2.95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2.95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2.95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2.95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2.95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2.95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2.95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2.95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2.95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2.95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2.95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2.95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2.95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2.95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2.95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2.95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2.95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2.95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2.95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2.95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2.95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2.95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2.95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2.95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2.95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2.95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2.95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2.95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2.95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2.95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2.95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2.95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2.95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2.95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2.95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2.95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2.95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2.95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2.95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2.95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2.95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2.95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2.95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2.95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2.95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2.95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2.95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2.95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2.95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2.95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2.95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2.95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2.95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2.95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2.95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2.95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2.95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2.95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2.95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2.95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2.95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2.95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2.95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2.95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2.95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2.95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2.95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2.95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2.95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2.95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2.95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2.95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2.95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2.95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2.95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2.95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2.95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2.95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2.95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2.95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2.95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2.95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2.95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2.95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2.95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2.95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2.95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2.95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2.95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2.95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2.95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2.95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2.95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2.95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2.95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2.95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2.95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2.95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2.95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2.95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2.95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2.95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2.95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2.95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2.95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2.95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2.95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2.95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2.95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2.95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2.95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2.95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2.95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2.95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2.95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2.95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2.95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2.95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2.95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2.95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2.95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2.95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2.95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2.95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2.95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2.95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2.95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2.95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2.95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2.95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2.95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2.95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2.95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2.95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2.95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2.95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2.95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2.95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2.95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2.95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2.95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2.95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2.95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2.95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2.95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2.95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2.95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2.95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2.95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2.95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2.95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2.95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2.95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2.95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2.95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2.95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2.95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2.95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2.95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2.95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2.95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2.95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2.95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2.95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2.95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2.95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2.95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2.95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2.95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2.95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2.95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2.95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2.95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2.95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2.95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2.95">
      <c r="A316" s="16"/>
      <c r="B316" s="16"/>
      <c r="C316" s="16"/>
      <c r="D316" s="16"/>
      <c r="E316" s="16"/>
      <c r="F316" s="17"/>
      <c r="G316" s="16"/>
      <c r="H316" s="16"/>
      <c r="I316" s="17"/>
    </row>
    <row r="317" spans="1:9" ht="12.95">
      <c r="A317" s="16"/>
      <c r="B317" s="16"/>
      <c r="C317" s="16"/>
      <c r="D317" s="16"/>
      <c r="E317" s="16"/>
      <c r="F317" s="17"/>
      <c r="G317" s="16"/>
      <c r="H317" s="16"/>
      <c r="I317" s="17"/>
    </row>
    <row r="318" spans="1:9" ht="12.95">
      <c r="A318" s="16"/>
      <c r="B318" s="16"/>
      <c r="C318" s="16"/>
      <c r="D318" s="16"/>
      <c r="E318" s="16"/>
      <c r="F318" s="17"/>
      <c r="G318" s="16"/>
      <c r="H318" s="16"/>
      <c r="I318" s="17"/>
    </row>
    <row r="319" spans="1:9" ht="12.95">
      <c r="A319" s="16"/>
      <c r="B319" s="16"/>
      <c r="C319" s="16"/>
      <c r="D319" s="16"/>
      <c r="E319" s="16"/>
      <c r="F319" s="17"/>
      <c r="G319" s="16"/>
      <c r="H319" s="16"/>
      <c r="I319" s="17"/>
    </row>
    <row r="320" spans="1:9" ht="12.95">
      <c r="A320" s="16"/>
      <c r="B320" s="16"/>
      <c r="C320" s="16"/>
      <c r="D320" s="16"/>
      <c r="E320" s="16"/>
      <c r="F320" s="17"/>
      <c r="G320" s="16"/>
      <c r="H320" s="16"/>
      <c r="I320" s="17"/>
    </row>
    <row r="321" spans="1:9" ht="12.95">
      <c r="A321" s="16"/>
      <c r="B321" s="16"/>
      <c r="C321" s="16"/>
      <c r="D321" s="16"/>
      <c r="E321" s="16"/>
      <c r="F321" s="17"/>
      <c r="G321" s="16"/>
      <c r="H321" s="16"/>
      <c r="I321" s="17"/>
    </row>
    <row r="322" spans="1:9" ht="12.95">
      <c r="A322" s="16"/>
      <c r="B322" s="16"/>
      <c r="C322" s="16"/>
      <c r="D322" s="16"/>
      <c r="E322" s="16"/>
      <c r="F322" s="17"/>
      <c r="G322" s="16"/>
      <c r="H322" s="16"/>
      <c r="I322" s="17"/>
    </row>
    <row r="323" spans="1:9" ht="12.95">
      <c r="A323" s="16"/>
      <c r="B323" s="16"/>
      <c r="C323" s="16"/>
      <c r="D323" s="16"/>
      <c r="E323" s="16"/>
      <c r="F323" s="17"/>
      <c r="G323" s="16"/>
      <c r="H323" s="16"/>
      <c r="I323" s="17"/>
    </row>
    <row r="324" spans="1:9" ht="12.95">
      <c r="A324" s="16"/>
      <c r="B324" s="16"/>
      <c r="C324" s="16"/>
      <c r="D324" s="16"/>
      <c r="E324" s="16"/>
      <c r="F324" s="17"/>
      <c r="G324" s="16"/>
      <c r="H324" s="16"/>
      <c r="I324" s="17"/>
    </row>
    <row r="325" spans="1:9" ht="12.95">
      <c r="A325" s="16"/>
      <c r="B325" s="16"/>
      <c r="C325" s="16"/>
      <c r="D325" s="16"/>
      <c r="E325" s="16"/>
      <c r="F325" s="17"/>
      <c r="G325" s="16"/>
      <c r="H325" s="16"/>
      <c r="I325" s="17"/>
    </row>
    <row r="326" spans="1:9" ht="12.95">
      <c r="A326" s="16"/>
      <c r="B326" s="16"/>
      <c r="C326" s="16"/>
      <c r="D326" s="16"/>
      <c r="E326" s="16"/>
      <c r="F326" s="17"/>
      <c r="G326" s="16"/>
      <c r="H326" s="16"/>
      <c r="I326" s="17"/>
    </row>
    <row r="327" spans="1:9" ht="12.95">
      <c r="A327" s="16"/>
      <c r="B327" s="16"/>
      <c r="C327" s="16"/>
      <c r="D327" s="16"/>
      <c r="E327" s="16"/>
      <c r="F327" s="17"/>
      <c r="G327" s="16"/>
      <c r="H327" s="16"/>
      <c r="I327" s="17"/>
    </row>
    <row r="328" spans="1:9" ht="12.95">
      <c r="A328" s="16"/>
      <c r="B328" s="16"/>
      <c r="C328" s="16"/>
      <c r="D328" s="16"/>
      <c r="E328" s="16"/>
      <c r="F328" s="17"/>
      <c r="G328" s="16"/>
      <c r="H328" s="16"/>
      <c r="I328" s="17"/>
    </row>
    <row r="329" spans="1:9" ht="12.95">
      <c r="A329" s="16"/>
      <c r="B329" s="16"/>
      <c r="C329" s="16"/>
      <c r="D329" s="16"/>
      <c r="E329" s="16"/>
      <c r="F329" s="17"/>
      <c r="G329" s="16"/>
      <c r="H329" s="16"/>
      <c r="I329" s="17"/>
    </row>
  </sheetData>
  <mergeCells count="4">
    <mergeCell ref="G1:I1"/>
    <mergeCell ref="A1:C1"/>
    <mergeCell ref="D1:F1"/>
    <mergeCell ref="A2:B2"/>
  </mergeCells>
  <conditionalFormatting sqref="F2 I2 F4:F87 I4:I87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G5" sqref="G5"/>
      <selection pane="bottomLeft" activeCell="A12" sqref="A12"/>
      <selection pane="topRight" activeCell="A12" sqref="A12"/>
    </sheetView>
  </sheetViews>
  <sheetFormatPr defaultRowHeight="13.7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6" t="str" cm="1">
        <f t="array" ref="A1">portfolio</f>
        <v>Hutchinson</v>
      </c>
      <c r="B1" s="36"/>
      <c r="C1" s="36"/>
      <c r="D1" s="37" t="s">
        <v>18</v>
      </c>
      <c r="E1" s="37"/>
      <c r="F1" s="37"/>
      <c r="G1" s="35" t="s">
        <v>19</v>
      </c>
      <c r="H1" s="35"/>
      <c r="I1" s="35"/>
      <c r="J1" s="5"/>
      <c r="K1" s="5"/>
    </row>
    <row r="2" spans="1:11" ht="19.5" customHeight="1">
      <c r="A2" s="38" t="s">
        <v>2</v>
      </c>
      <c r="B2" s="38"/>
      <c r="C2" s="6">
        <f>SUM(C4:C78)</f>
        <v>9727</v>
      </c>
      <c r="D2" s="6">
        <f>SUM(D4:D78)</f>
        <v>0</v>
      </c>
      <c r="E2" s="6">
        <f>C2-D2</f>
        <v>9727</v>
      </c>
      <c r="F2" s="7">
        <f>IFERROR(E2/D2, 0)</f>
        <v>0</v>
      </c>
      <c r="G2" s="6">
        <f>SUM(G4:G78)</f>
        <v>0</v>
      </c>
      <c r="H2" s="8">
        <f>C2-G2</f>
        <v>9727</v>
      </c>
      <c r="I2" s="7">
        <f>IFERROR(H2/G2, 0)</f>
        <v>0</v>
      </c>
      <c r="J2" s="21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2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32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9727</v>
      </c>
      <c r="D4" s="12">
        <v>0</v>
      </c>
      <c r="E4" s="12">
        <f>IF(AND(ISNUMBER(C4),ISNUMBER(D4)), C4-D4, "")</f>
        <v>9727</v>
      </c>
      <c r="F4" s="13" t="str">
        <f>IFERROR(E4/D4, "")</f>
        <v/>
      </c>
      <c r="G4" s="14">
        <v>0</v>
      </c>
      <c r="H4" s="14">
        <f>IF(AND(ISNUMBER(C4),ISNUMBER(G4)), C4-G4, "")</f>
        <v>9727</v>
      </c>
      <c r="I4" s="15" t="str">
        <f>IFERROR(H4/G4, "")</f>
        <v/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</sheetData>
  <mergeCells count="4">
    <mergeCell ref="D1:F1"/>
    <mergeCell ref="A1:C1"/>
    <mergeCell ref="G1:I1"/>
    <mergeCell ref="A2:B2"/>
  </mergeCells>
  <conditionalFormatting sqref="F2 I2 F4:F78 I4:I78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9"/>
  <sheetViews>
    <sheetView workbookViewId="0">
      <pane xSplit="2" ySplit="3" topLeftCell="C4" activePane="bottomRight" state="frozen"/>
      <selection pane="bottomRight" activeCell="G5" sqref="G5"/>
      <selection pane="bottomLeft" activeCell="A12" sqref="A12"/>
      <selection pane="topRight" activeCell="A12" sqref="A12"/>
    </sheetView>
  </sheetViews>
  <sheetFormatPr defaultRowHeight="13.7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6" t="str" cm="1">
        <f t="array" ref="A1">portfolio</f>
        <v>Hutchinson</v>
      </c>
      <c r="B1" s="36"/>
      <c r="C1" s="36"/>
      <c r="D1" s="37" t="s">
        <v>22</v>
      </c>
      <c r="E1" s="37"/>
      <c r="F1" s="37"/>
      <c r="G1" s="35" t="s">
        <v>23</v>
      </c>
      <c r="H1" s="35"/>
      <c r="I1" s="35"/>
      <c r="J1" s="5"/>
      <c r="K1" s="5"/>
    </row>
    <row r="2" spans="1:11" ht="19.5" customHeight="1">
      <c r="A2" s="38" t="s">
        <v>2</v>
      </c>
      <c r="B2" s="38"/>
      <c r="C2" s="6">
        <f>SUM(C4:C87)</f>
        <v>18530</v>
      </c>
      <c r="D2" s="6">
        <f>SUM(D4:D87)</f>
        <v>0</v>
      </c>
      <c r="E2" s="6">
        <f>C2-D2</f>
        <v>18530</v>
      </c>
      <c r="F2" s="7">
        <f>IFERROR(E2/D2, 0)</f>
        <v>0</v>
      </c>
      <c r="G2" s="6">
        <f>SUM(G4:G87)</f>
        <v>0</v>
      </c>
      <c r="H2" s="8">
        <f>C2-G2</f>
        <v>18530</v>
      </c>
      <c r="I2" s="7">
        <f>IFERROR(H2/G2, 0)</f>
        <v>0</v>
      </c>
      <c r="J2" s="21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18530</v>
      </c>
      <c r="D4" s="12">
        <v>0</v>
      </c>
      <c r="E4" s="12">
        <f>IF(AND(ISNUMBER(C4),ISNUMBER(D4)), C4-D4, "")</f>
        <v>18530</v>
      </c>
      <c r="F4" s="13" t="str">
        <f>IFERROR(E4/D4, "")</f>
        <v/>
      </c>
      <c r="G4" s="14">
        <v>0</v>
      </c>
      <c r="H4" s="14">
        <f>IF(AND(ISNUMBER(C4),ISNUMBER(G4)), C4-G4, "")</f>
        <v>18530</v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1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9"/>
  <sheetViews>
    <sheetView tabSelected="1" workbookViewId="0">
      <pane xSplit="2" ySplit="3" topLeftCell="C4" activePane="bottomRight" state="frozen"/>
      <selection pane="bottomRight" activeCell="E16" sqref="E16"/>
      <selection pane="bottomLeft" activeCell="A10" sqref="A10"/>
      <selection pane="topRight" activeCell="A10" sqref="A10"/>
    </sheetView>
  </sheetViews>
  <sheetFormatPr defaultRowHeight="13.7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6" t="str" cm="1">
        <f t="array" ref="A1">portfolio</f>
        <v>Hutchinson</v>
      </c>
      <c r="B1" s="36"/>
      <c r="C1" s="36"/>
      <c r="D1" s="37" t="s">
        <v>24</v>
      </c>
      <c r="E1" s="37"/>
      <c r="F1" s="37"/>
      <c r="G1" s="35" t="s">
        <v>25</v>
      </c>
      <c r="H1" s="35"/>
      <c r="I1" s="35"/>
      <c r="J1" s="5"/>
      <c r="K1" s="5"/>
    </row>
    <row r="2" spans="1:11" ht="19.5" customHeight="1">
      <c r="A2" s="38" t="s">
        <v>2</v>
      </c>
      <c r="B2" s="38"/>
      <c r="C2" s="6">
        <f>SUM(C4:C87)</f>
        <v>27486</v>
      </c>
      <c r="D2" s="6">
        <f>SUM(D4:D87)</f>
        <v>0</v>
      </c>
      <c r="E2" s="6">
        <f>C2-D2</f>
        <v>27486</v>
      </c>
      <c r="F2" s="7">
        <f>IFERROR(E2/D2, 0)</f>
        <v>0</v>
      </c>
      <c r="G2" s="6">
        <f>SUM(G4:G87)</f>
        <v>0</v>
      </c>
      <c r="H2" s="8">
        <f>C2-G2</f>
        <v>27486</v>
      </c>
      <c r="I2" s="7">
        <f>IFERROR(H2/G2, 0)</f>
        <v>0</v>
      </c>
      <c r="J2" s="21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27486</v>
      </c>
      <c r="D4" s="12">
        <v>0</v>
      </c>
      <c r="E4" s="12">
        <f>IF(AND(ISNUMBER(C4),ISNUMBER(D4)), C4-D4, "")</f>
        <v>27486</v>
      </c>
      <c r="F4" s="13" t="str">
        <f>IFERROR(E4/D4, "")</f>
        <v/>
      </c>
      <c r="G4" s="14">
        <v>0</v>
      </c>
      <c r="H4" s="14">
        <f>IF(AND(ISNUMBER(C4),ISNUMBER(G4)), C4-G4, "")</f>
        <v>27486</v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1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9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7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6" t="str" cm="1">
        <f t="array" ref="A1">portfolio</f>
        <v>Hutchinson</v>
      </c>
      <c r="B1" s="36"/>
      <c r="C1" s="36"/>
      <c r="D1" s="37" t="s">
        <v>26</v>
      </c>
      <c r="E1" s="37"/>
      <c r="F1" s="37"/>
      <c r="G1" s="35" t="s">
        <v>27</v>
      </c>
      <c r="H1" s="35"/>
      <c r="I1" s="35"/>
      <c r="J1" s="5"/>
      <c r="K1" s="5"/>
    </row>
    <row r="2" spans="1:11" ht="19.5" customHeight="1">
      <c r="A2" s="38" t="s">
        <v>2</v>
      </c>
      <c r="B2" s="38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  <c r="J2" s="21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MN: Hutchinson Landfill</v>
      </c>
      <c r="B4" s="23" t="str" cm="1">
        <f t="array" ref="B4">Sites[State]</f>
        <v>MN</v>
      </c>
      <c r="C4" s="19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1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9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7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6" t="str" cm="1">
        <f t="array" ref="A1">portfolio</f>
        <v>Hutchinson</v>
      </c>
      <c r="B1" s="36"/>
      <c r="C1" s="36"/>
      <c r="D1" s="37" t="s">
        <v>28</v>
      </c>
      <c r="E1" s="37"/>
      <c r="F1" s="37"/>
      <c r="G1" s="35" t="s">
        <v>29</v>
      </c>
      <c r="H1" s="35"/>
      <c r="I1" s="35"/>
      <c r="J1" s="5"/>
      <c r="K1" s="5"/>
    </row>
    <row r="2" spans="1:11" ht="19.5" customHeight="1">
      <c r="A2" s="38" t="s">
        <v>2</v>
      </c>
      <c r="B2" s="38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  <c r="J2" s="21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MN: Hutchinson Landfill</v>
      </c>
      <c r="B4" s="23" t="str" cm="1">
        <f t="array" ref="B4">Sites[State]</f>
        <v>MN</v>
      </c>
      <c r="C4" s="19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1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9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7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6" t="str" cm="1">
        <f t="array" ref="A1">portfolio</f>
        <v>Hutchinson</v>
      </c>
      <c r="B1" s="36"/>
      <c r="C1" s="36"/>
      <c r="D1" s="37" t="s">
        <v>30</v>
      </c>
      <c r="E1" s="37"/>
      <c r="F1" s="37"/>
      <c r="G1" s="35" t="s">
        <v>31</v>
      </c>
      <c r="H1" s="35"/>
      <c r="I1" s="35"/>
      <c r="J1" s="5"/>
      <c r="K1" s="5"/>
    </row>
    <row r="2" spans="1:11" ht="19.5" customHeight="1">
      <c r="A2" s="38" t="s">
        <v>2</v>
      </c>
      <c r="B2" s="38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  <c r="J2" s="21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MN: Hutchinson Landfill</v>
      </c>
      <c r="B4" s="23" t="str" cm="1">
        <f t="array" ref="B4">Sites[State]</f>
        <v>MN</v>
      </c>
      <c r="C4" s="19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1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9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7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6" t="str" cm="1">
        <f t="array" ref="A1">portfolio</f>
        <v>Hutchinson</v>
      </c>
      <c r="B1" s="36"/>
      <c r="C1" s="36"/>
      <c r="D1" s="37" t="s">
        <v>32</v>
      </c>
      <c r="E1" s="37"/>
      <c r="F1" s="37"/>
      <c r="G1" s="35" t="s">
        <v>33</v>
      </c>
      <c r="H1" s="35"/>
      <c r="I1" s="35"/>
      <c r="J1" s="5"/>
      <c r="K1" s="5"/>
    </row>
    <row r="2" spans="1:11" ht="19.5" customHeight="1">
      <c r="A2" s="38" t="s">
        <v>2</v>
      </c>
      <c r="B2" s="38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  <c r="J2" s="21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MN: Hutchinson Landfill</v>
      </c>
      <c r="B4" s="23" t="str" cm="1">
        <f t="array" ref="B4">Sites[State]</f>
        <v>MN</v>
      </c>
      <c r="C4" s="19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1">
      <c r="C329" s="16"/>
      <c r="D329" s="16"/>
      <c r="E329" s="16"/>
      <c r="F329" s="17"/>
      <c r="G329" s="16"/>
      <c r="H329" s="16"/>
      <c r="I329" s="17"/>
      <c r="J329" s="16"/>
      <c r="K329" s="16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87 I4:I87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9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7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6" t="str" cm="1">
        <f t="array" ref="A1">portfolio</f>
        <v>Hutchinson</v>
      </c>
      <c r="B1" s="36"/>
      <c r="C1" s="36"/>
      <c r="D1" s="37" t="s">
        <v>34</v>
      </c>
      <c r="E1" s="37"/>
      <c r="F1" s="37"/>
      <c r="G1" s="35" t="s">
        <v>35</v>
      </c>
      <c r="H1" s="35"/>
      <c r="I1" s="35"/>
      <c r="J1" s="5"/>
      <c r="K1" s="5"/>
    </row>
    <row r="2" spans="1:11" ht="19.5" customHeight="1">
      <c r="A2" s="38" t="s">
        <v>2</v>
      </c>
      <c r="B2" s="38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  <c r="J2" s="21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MN: Hutchinson Landfill</v>
      </c>
      <c r="B4" s="23" t="str" cm="1">
        <f t="array" ref="B4">Sites[State]</f>
        <v>MN</v>
      </c>
      <c r="C4" s="19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1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9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7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6" t="str" cm="1">
        <f t="array" ref="A1">portfolio</f>
        <v>Hutchinson</v>
      </c>
      <c r="B1" s="36"/>
      <c r="C1" s="36"/>
      <c r="D1" s="37" t="s">
        <v>36</v>
      </c>
      <c r="E1" s="37"/>
      <c r="F1" s="37"/>
      <c r="G1" s="35" t="s">
        <v>37</v>
      </c>
      <c r="H1" s="35"/>
      <c r="I1" s="35"/>
      <c r="J1" s="5"/>
      <c r="K1" s="5"/>
    </row>
    <row r="2" spans="1:11" ht="19.5" customHeight="1">
      <c r="A2" s="38" t="s">
        <v>2</v>
      </c>
      <c r="B2" s="38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  <c r="J2" s="21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MN: Hutchinson Landfill</v>
      </c>
      <c r="B4" s="23" t="str" cm="1">
        <f t="array" ref="B4">Sites[State]</f>
        <v>MN</v>
      </c>
      <c r="C4" s="19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1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9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7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6" t="str" cm="1">
        <f t="array" ref="A1">portfolio</f>
        <v>Hutchinson</v>
      </c>
      <c r="B1" s="36"/>
      <c r="C1" s="36"/>
      <c r="D1" s="37" t="s">
        <v>38</v>
      </c>
      <c r="E1" s="37"/>
      <c r="F1" s="37"/>
      <c r="G1" s="35" t="s">
        <v>39</v>
      </c>
      <c r="H1" s="35"/>
      <c r="I1" s="35"/>
      <c r="J1" s="5"/>
      <c r="K1" s="5"/>
    </row>
    <row r="2" spans="1:11" ht="19.5" customHeight="1">
      <c r="A2" s="38" t="s">
        <v>2</v>
      </c>
      <c r="B2" s="38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  <c r="J2" s="21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MN: Hutchinson Landfill</v>
      </c>
      <c r="B4" s="23" t="str" cm="1">
        <f t="array" ref="B4">Sites[State]</f>
        <v>MN</v>
      </c>
      <c r="C4" s="19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1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9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7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6" t="str" cm="1">
        <f t="array" ref="A1">portfolio</f>
        <v>Hutchinson</v>
      </c>
      <c r="B1" s="36"/>
      <c r="C1" s="36"/>
      <c r="D1" s="37" t="s">
        <v>40</v>
      </c>
      <c r="E1" s="37"/>
      <c r="F1" s="37"/>
      <c r="G1" s="35" t="s">
        <v>41</v>
      </c>
      <c r="H1" s="35"/>
      <c r="I1" s="35"/>
      <c r="J1" s="5"/>
      <c r="K1" s="5"/>
    </row>
    <row r="2" spans="1:11" ht="19.5" customHeight="1">
      <c r="A2" s="38" t="s">
        <v>2</v>
      </c>
      <c r="B2" s="38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  <c r="J2" s="21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MN: Hutchinson Landfill</v>
      </c>
      <c r="B4" s="23" t="str" cm="1">
        <f t="array" ref="B4">Sites[State]</f>
        <v>MN</v>
      </c>
      <c r="C4" s="19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1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9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7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6" t="str" cm="1">
        <f t="array" ref="A1">portfolio</f>
        <v>Hutchinson</v>
      </c>
      <c r="B1" s="36"/>
      <c r="C1" s="36"/>
      <c r="D1" s="37" t="s">
        <v>42</v>
      </c>
      <c r="E1" s="37"/>
      <c r="F1" s="37"/>
      <c r="G1" s="35" t="s">
        <v>43</v>
      </c>
      <c r="H1" s="35"/>
      <c r="I1" s="35"/>
      <c r="J1" s="5"/>
      <c r="K1" s="5"/>
    </row>
    <row r="2" spans="1:11" ht="19.5" customHeight="1">
      <c r="A2" s="38" t="s">
        <v>2</v>
      </c>
      <c r="B2" s="38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  <c r="J2" s="21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MN: Hutchinson Landfill</v>
      </c>
      <c r="B4" s="23" t="str" cm="1">
        <f t="array" ref="B4">Sites[State]</f>
        <v>MN</v>
      </c>
      <c r="C4" s="19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1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12" sqref="E12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s="34" t="s">
        <v>45</v>
      </c>
    </row>
    <row r="3" spans="1:7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45">
      <c r="A4" s="3" t="s">
        <v>49</v>
      </c>
      <c r="B4" t="s">
        <v>50</v>
      </c>
      <c r="C4" s="4" t="s">
        <v>51</v>
      </c>
      <c r="E4" t="s">
        <v>52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89CF5C07-45EB-4100-9AFB-2C6AF77FA787}"/>
</file>

<file path=customXml/itemProps2.xml><?xml version="1.0" encoding="utf-8"?>
<ds:datastoreItem xmlns:ds="http://schemas.openxmlformats.org/officeDocument/2006/customXml" ds:itemID="{2BC74AAC-D69B-4AF1-9649-B21EF3C1C463}"/>
</file>

<file path=customXml/itemProps3.xml><?xml version="1.0" encoding="utf-8"?>
<ds:datastoreItem xmlns:ds="http://schemas.openxmlformats.org/officeDocument/2006/customXml" ds:itemID="{E20E8303-6A67-485C-B6F4-303542CC295C}"/>
</file>

<file path=customXml/itemProps4.xml><?xml version="1.0" encoding="utf-8"?>
<ds:datastoreItem xmlns:ds="http://schemas.openxmlformats.org/officeDocument/2006/customXml" ds:itemID="{F12EFA50-0068-4A8C-85A0-F1B26389EBC3}"/>
</file>

<file path=customXml/itemProps5.xml><?xml version="1.0" encoding="utf-8"?>
<ds:datastoreItem xmlns:ds="http://schemas.openxmlformats.org/officeDocument/2006/customXml" ds:itemID="{C0BCDC1E-6052-4E48-9BAF-94A40814E7C2}"/>
</file>

<file path=customXml/itemProps6.xml><?xml version="1.0" encoding="utf-8"?>
<ds:datastoreItem xmlns:ds="http://schemas.openxmlformats.org/officeDocument/2006/customXml" ds:itemID="{98A113BB-8B7A-453C-8BD4-8EFC67FC2D3F}"/>
</file>

<file path=customXml/itemProps7.xml><?xml version="1.0" encoding="utf-8"?>
<ds:datastoreItem xmlns:ds="http://schemas.openxmlformats.org/officeDocument/2006/customXml" ds:itemID="{CB52044A-5C0B-44A2-99D0-C1C315EC302D}"/>
</file>

<file path=customXml/itemProps8.xml><?xml version="1.0" encoding="utf-8"?>
<ds:datastoreItem xmlns:ds="http://schemas.openxmlformats.org/officeDocument/2006/customXml" ds:itemID="{E3716282-BFD2-4ED2-BA47-BFA1123827F0}"/>
</file>

<file path=customXml/itemProps9.xml><?xml version="1.0" encoding="utf-8"?>
<ds:datastoreItem xmlns:ds="http://schemas.openxmlformats.org/officeDocument/2006/customXml" ds:itemID="{66B09F59-6532-46F8-924A-9A02417E070D}"/>
</file>

<file path=customXml/itemProps10.xml><?xml version="1.0" encoding="utf-8"?>
<ds:datastoreItem xmlns:ds="http://schemas.openxmlformats.org/officeDocument/2006/customXml" ds:itemID="{F6B2B1A1-1C4B-4AC9-9A7D-7A102DD1C942}"/>
</file>

<file path=customXml/itemProps11.xml><?xml version="1.0" encoding="utf-8"?>
<ds:datastoreItem xmlns:ds="http://schemas.openxmlformats.org/officeDocument/2006/customXml" ds:itemID="{D3A7101F-9A85-4235-8B03-415370C100B2}"/>
</file>

<file path=customXml/itemProps12.xml><?xml version="1.0" encoding="utf-8"?>
<ds:datastoreItem xmlns:ds="http://schemas.openxmlformats.org/officeDocument/2006/customXml" ds:itemID="{BF5C6359-7763-4C37-8EAF-2BC4698CB285}"/>
</file>

<file path=customXml/itemProps13.xml><?xml version="1.0" encoding="utf-8"?>
<ds:datastoreItem xmlns:ds="http://schemas.openxmlformats.org/officeDocument/2006/customXml" ds:itemID="{7946C510-7D04-49D8-9B25-EEC04582A1CA}"/>
</file>

<file path=customXml/itemProps14.xml><?xml version="1.0" encoding="utf-8"?>
<ds:datastoreItem xmlns:ds="http://schemas.openxmlformats.org/officeDocument/2006/customXml" ds:itemID="{3AEAA9D8-2182-46BA-A58E-96C72DDA1C54}"/>
</file>

<file path=customXml/itemProps15.xml><?xml version="1.0" encoding="utf-8"?>
<ds:datastoreItem xmlns:ds="http://schemas.openxmlformats.org/officeDocument/2006/customXml" ds:itemID="{14966E4F-347B-477B-B74C-9DAC05405806}"/>
</file>

<file path=customXml/itemProps16.xml><?xml version="1.0" encoding="utf-8"?>
<ds:datastoreItem xmlns:ds="http://schemas.openxmlformats.org/officeDocument/2006/customXml" ds:itemID="{0389C43E-394D-44C0-87DC-4780FCFCFB40}"/>
</file>

<file path=customXml/itemProps17.xml><?xml version="1.0" encoding="utf-8"?>
<ds:datastoreItem xmlns:ds="http://schemas.openxmlformats.org/officeDocument/2006/customXml" ds:itemID="{078388C9-06F9-42F4-B857-EF76B5CAF1FD}"/>
</file>

<file path=customXml/itemProps18.xml><?xml version="1.0" encoding="utf-8"?>
<ds:datastoreItem xmlns:ds="http://schemas.openxmlformats.org/officeDocument/2006/customXml" ds:itemID="{BE26B669-A686-459C-A5E9-FEC3409C4C81}"/>
</file>

<file path=customXml/itemProps19.xml><?xml version="1.0" encoding="utf-8"?>
<ds:datastoreItem xmlns:ds="http://schemas.openxmlformats.org/officeDocument/2006/customXml" ds:itemID="{1954BBA4-0359-438C-B0EC-A756015F7C02}"/>
</file>

<file path=customXml/itemProps20.xml><?xml version="1.0" encoding="utf-8"?>
<ds:datastoreItem xmlns:ds="http://schemas.openxmlformats.org/officeDocument/2006/customXml" ds:itemID="{8D732231-4216-4543-A665-18A2886B0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Balayan, Diana</cp:lastModifiedBy>
  <cp:revision/>
  <dcterms:created xsi:type="dcterms:W3CDTF">2021-01-01T16:39:53Z</dcterms:created>
  <dcterms:modified xsi:type="dcterms:W3CDTF">2024-04-14T17:05:53Z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