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maneeshav_amgsol_com/Documents/Desktop/New folder/"/>
    </mc:Choice>
  </mc:AlternateContent>
  <xr:revisionPtr revIDLastSave="30" documentId="13_ncr:1_{E055DD24-2325-45FB-9662-429E1B6D4754}" xr6:coauthVersionLast="47" xr6:coauthVersionMax="47" xr10:uidLastSave="{3B4BF8FA-0120-46B1-9116-5E41F8732CFC}"/>
  <bookViews>
    <workbookView xWindow="-108" yWindow="-108" windowWidth="23256" windowHeight="12456" tabRatio="866" firstSheet="1" activeTab="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<sst xmlns="http://schemas.openxmlformats.org/spreadsheetml/2006/main" count="240" uniqueCount="54">
  <si>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</si>
  <si>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</si>
  <si>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</si>
  <si>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</si>
  <si>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</si>
  <si>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</si>
  <si>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</si>
  <si>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</si>
  <si>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</si>
  <si>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</si>
  <si>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</si>
  <si>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</si>
  <si>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</si>
  <si>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</si>
  <si>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</si>
  <si>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</si>
  <si>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</si>
  <si>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</si>
  <si>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</si>
  <si>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</si>
  <si>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</si>
  <si>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</si>
  <si>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</si>
  <si>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</si>
  <si>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</si>
  <si>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</si>
  <si>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</si>
  <si>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</si>
  <si>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</si>
  <si>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</si>
  <si>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</si>
  <si>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</si>
  <si>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</si>
  <si>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</si>
  <si>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</si>
  <si>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</si>
  <si>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</si>
  <si>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</si>
  <si>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</si>
  <si>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</si>
  <si>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</si>
  <si>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</si>
  <si>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</si>
  <si>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</si>
  <si>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</si>
  <si>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Mira corp</t>
  </si>
  <si>
    <t>Site DAS Name</t>
  </si>
  <si>
    <t>Update</t>
  </si>
  <si>
    <t>DAS</t>
  </si>
  <si>
    <t>Hartford Landfill</t>
  </si>
  <si>
    <t>CT: Hartford Landfill - MIRA</t>
  </si>
  <si>
    <t>CT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</si>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</sst>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1" t="str" cm="1">
        <f t="array" ref="A1">portfolio</f>
        <v>Mira corp</v>
      </c>
      <c r="B1" s="41"/>
      <c r="C1" s="41"/>
      <c r="D1" s="42" t="s">
        <v>0</v>
      </c>
      <c r="E1" s="42"/>
      <c r="F1" s="42"/>
      <c r="G1" s="40" t="s">
        <v>1</v>
      </c>
      <c r="H1" s="40"/>
      <c r="I1" s="40"/>
    </row>
    <row r="2" spans="1:9" ht="19.5" customHeight="1">
      <c r="A2" s="43" t="s">
        <v>2</v>
      </c>
      <c r="B2" s="43"/>
      <c r="C2" s="5">
        <f>SUM(C4:C71)</f>
        <v>297920</v>
      </c>
      <c r="D2" s="5">
        <f>SUM(D4:D71)</f>
        <v>343589.24800000002</v>
      </c>
      <c r="E2" s="5">
        <f>C2-D2</f>
        <v>-45669.248000000021</v>
      </c>
      <c r="F2" s="6">
        <f>IFERROR(E2/D2, 0)</f>
        <v>-0.13291815231657081</v>
      </c>
      <c r="G2" s="5">
        <f>SUM(G4:G71)</f>
        <v>212409.36</v>
      </c>
      <c r="H2" s="7">
        <f>C2-G2</f>
        <v>85510.640000000014</v>
      </c>
      <c r="I2" s="6">
        <f>IFERROR(H2/G2, 0)</f>
        <v>0.40257472646214848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Hartford Landfill - MIRA</v>
      </c>
      <c r="B4" s="9" t="str" cm="1">
        <f t="array" ref="B4">Sites[State]</f>
        <v>CT</v>
      </c>
      <c r="C4" s="18">
        <f>SUM('1st Qtr'!C4, '2nd Qtr'!C4, '3rd Qtr'!C4, '4th Qtr'!C4)</f>
        <v>297920</v>
      </c>
      <c r="D4" s="11">
        <f>SUM('1st Qtr'!D4, '2nd Qtr'!D4, '3rd Qtr'!D4, '4th Qtr'!D4)</f>
        <v>343589.24800000002</v>
      </c>
      <c r="E4" s="11">
        <f>IF(AND(ISNUMBER(C4),ISNUMBER(D4)), C4-D4, "")</f>
        <v>-45669.248000000021</v>
      </c>
      <c r="F4" s="12">
        <f>IFERROR(E4/D4, "")</f>
        <v>-0.13291815231657081</v>
      </c>
      <c r="G4" s="13">
        <f>SUM('1st Qtr'!G4, '2nd Qtr'!G4, '3rd Qtr'!G4, '4th Qtr'!G4)</f>
        <v>212409.36</v>
      </c>
      <c r="H4" s="13">
        <f>SUM('1st Qtr'!H4, '2nd Qtr'!H4, '3rd Qtr'!H4, '4th Qtr'!H4)</f>
        <v>85510.64</v>
      </c>
      <c r="I4" s="14">
        <f>IFERROR(H4/G4, "")</f>
        <v>0.40257472646214837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1 I4:I7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3"/>
  <sheetViews>
    <sheetView tabSelected="1"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1" t="str" cm="1">
        <f t="array" ref="A1">portfolio</f>
        <v>Mira corp</v>
      </c>
      <c r="B1" s="41"/>
      <c r="C1" s="41"/>
      <c r="D1" s="42" t="s">
        <v>10</v>
      </c>
      <c r="E1" s="42"/>
      <c r="F1" s="42"/>
      <c r="G1" s="40" t="s">
        <v>11</v>
      </c>
      <c r="H1" s="40"/>
      <c r="I1" s="40"/>
    </row>
    <row r="2" spans="1:9" ht="19.5" customHeight="1">
      <c r="A2" s="43" t="s">
        <v>2</v>
      </c>
      <c r="B2" s="43"/>
      <c r="C2" s="5">
        <f>SUM(C4:C71)</f>
        <v>297920</v>
      </c>
      <c r="D2" s="5">
        <f>SUM(D4:D71)</f>
        <v>343589.24800000002</v>
      </c>
      <c r="E2" s="5">
        <f>C2-D2</f>
        <v>-45669.248000000021</v>
      </c>
      <c r="F2" s="6">
        <f>IFERROR(E2/D2, 0)</f>
        <v>-0.13291815231657081</v>
      </c>
      <c r="G2" s="5">
        <f>SUM(G4:G71)</f>
        <v>212409.36</v>
      </c>
      <c r="H2" s="7">
        <f>C2-G2</f>
        <v>85510.640000000014</v>
      </c>
      <c r="I2" s="6">
        <f>IFERROR(H2/G2, 0)</f>
        <v>0.40257472646214848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SUM(Jan!C4, Feb!C4, Mar!C4)</f>
        <v>297920</v>
      </c>
      <c r="D4" s="11">
        <f>SUM(Jan!D4, Feb!D4, Mar!D4)</f>
        <v>343589.24800000002</v>
      </c>
      <c r="E4" s="11">
        <f>IF(AND(ISNUMBER(C4),ISNUMBER(D4)), C4-D4, "")</f>
        <v>-45669.248000000021</v>
      </c>
      <c r="F4" s="12">
        <f>IFERROR(E4/D4, "")</f>
        <v>-0.13291815231657081</v>
      </c>
      <c r="G4" s="13">
        <f>SUM(Jan!G4, Feb!G4, Mar!G4)</f>
        <v>212409.36</v>
      </c>
      <c r="H4" s="13">
        <f>SUM(Jan!H4, Feb!H4, Mar!H4)</f>
        <v>85510.64</v>
      </c>
      <c r="I4" s="14">
        <f>IFERROR(H4/G4, "")</f>
        <v>0.40257472646214837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1 I4:I7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1" t="str" cm="1">
        <f t="array" ref="A1">portfolio</f>
        <v>Mira corp</v>
      </c>
      <c r="B1" s="41"/>
      <c r="C1" s="41"/>
      <c r="D1" s="42" t="s">
        <v>12</v>
      </c>
      <c r="E1" s="42"/>
      <c r="F1" s="42"/>
      <c r="G1" s="40" t="s">
        <v>13</v>
      </c>
      <c r="H1" s="40"/>
      <c r="I1" s="40"/>
    </row>
    <row r="2" spans="1:9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1 I4:I7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1" t="str" cm="1">
        <f t="array" ref="A1">portfolio</f>
        <v>Mira corp</v>
      </c>
      <c r="B1" s="41"/>
      <c r="C1" s="41"/>
      <c r="D1" s="42" t="s">
        <v>14</v>
      </c>
      <c r="E1" s="42"/>
      <c r="F1" s="42"/>
      <c r="G1" s="40" t="s">
        <v>15</v>
      </c>
      <c r="H1" s="40"/>
      <c r="I1" s="40"/>
    </row>
    <row r="2" spans="1:9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mergeCells count="4">
    <mergeCell ref="G1:I1"/>
    <mergeCell ref="A1:C1"/>
    <mergeCell ref="D1:F1"/>
    <mergeCell ref="A2:B2"/>
  </mergeCells>
  <conditionalFormatting sqref="F2 I2 F4:F71 I4:I7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1" t="str" cm="1">
        <f t="array" ref="A1">portfolio</f>
        <v>Mira corp</v>
      </c>
      <c r="B1" s="41"/>
      <c r="C1" s="41"/>
      <c r="D1" s="42" t="s">
        <v>16</v>
      </c>
      <c r="E1" s="42"/>
      <c r="F1" s="42"/>
      <c r="G1" s="40" t="s">
        <v>17</v>
      </c>
      <c r="H1" s="40"/>
      <c r="I1" s="40"/>
    </row>
    <row r="2" spans="1:9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mergeCells count="4">
    <mergeCell ref="G1:I1"/>
    <mergeCell ref="A1:C1"/>
    <mergeCell ref="D1:F1"/>
    <mergeCell ref="A2:B2"/>
  </mergeCells>
  <conditionalFormatting sqref="F2 I2 F4:F71 I4:I71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2"/>
  <sheetViews>
    <sheetView workbookViewId="0">
      <pane xSplit="2" ySplit="3" topLeftCell="C4" activePane="bottomRight" state="frozen"/>
      <selection pane="bottomRight" activeCell="F10" sqref="F10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18</v>
      </c>
      <c r="E1" s="42"/>
      <c r="F1" s="42"/>
      <c r="G1" s="40" t="s">
        <v>19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SUM(C4:C70)</f>
        <v>41663</v>
      </c>
      <c r="D2" s="5">
        <f>SUM(D4:D70)</f>
        <v>74856.53</v>
      </c>
      <c r="E2" s="5">
        <f>C2-D2</f>
        <v>-33193.53</v>
      </c>
      <c r="F2" s="6">
        <f>IFERROR(E2/D2, 0)</f>
        <v>-0.4434286494444773</v>
      </c>
      <c r="G2" s="5">
        <f>SUM(G4:G70)</f>
        <v>50532.47</v>
      </c>
      <c r="H2" s="7">
        <f>C2-G2</f>
        <v>-8869.4700000000012</v>
      </c>
      <c r="I2" s="6">
        <f>IFERROR(H2/G2, 0)</f>
        <v>-0.17552021502214321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Hartford Landfill - MIRA</v>
      </c>
      <c r="B4" s="22" t="str" cm="1">
        <f t="array" ref="B4">Sites[State]</f>
        <v>CT</v>
      </c>
      <c r="C4" s="11">
        <v>41663</v>
      </c>
      <c r="D4" s="11">
        <v>74856.53</v>
      </c>
      <c r="E4" s="11">
        <f>IF(AND(ISNUMBER(C4),ISNUMBER(D4)), C4-D4, "")</f>
        <v>-33193.53</v>
      </c>
      <c r="F4" s="34">
        <f>IFERROR(E4/D4, "")</f>
        <v>-0.4434286494444773</v>
      </c>
      <c r="G4" s="13">
        <v>50532.47</v>
      </c>
      <c r="H4" s="13">
        <f>IF(AND(ISNUMBER(C4),ISNUMBER(G4)), C4-G4, "")</f>
        <v>-8869.4700000000012</v>
      </c>
      <c r="I4" s="14">
        <f>IFERROR(H4/G4, "")</f>
        <v>-0.17552021502214321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</sheetData>
  <mergeCells count="4">
    <mergeCell ref="D1:F1"/>
    <mergeCell ref="A1:C1"/>
    <mergeCell ref="G1:I1"/>
    <mergeCell ref="A2:B2"/>
  </mergeCells>
  <conditionalFormatting sqref="F2 I2 I4:I70 F5:F70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3"/>
  <sheetViews>
    <sheetView workbookViewId="0">
      <pane xSplit="2" ySplit="3" topLeftCell="C4" activePane="bottomRight" state="frozen"/>
      <selection pane="bottomRight" activeCell="F13" sqref="F13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22</v>
      </c>
      <c r="E1" s="42"/>
      <c r="F1" s="42"/>
      <c r="G1" s="40" t="s">
        <v>23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119806</v>
      </c>
      <c r="D2" s="5">
        <f>SUM(D4:D71)</f>
        <v>131605.5</v>
      </c>
      <c r="E2" s="5">
        <f>C2-D2</f>
        <v>-11799.5</v>
      </c>
      <c r="F2" s="6">
        <f>IFERROR(E2/D2, 0)</f>
        <v>-8.9658106994008613E-2</v>
      </c>
      <c r="G2" s="5">
        <f>SUM(G4:G71)</f>
        <v>65926.89</v>
      </c>
      <c r="H2" s="7">
        <f>C2-G2</f>
        <v>53879.11</v>
      </c>
      <c r="I2" s="6">
        <f>IFERROR(H2/G2, 0)</f>
        <v>0.81725544766331315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Hartford Landfill - MIRA</v>
      </c>
      <c r="B4" s="22" t="str" cm="1">
        <f t="array" ref="B4">Sites[State]</f>
        <v>CT</v>
      </c>
      <c r="C4" s="18">
        <v>119806</v>
      </c>
      <c r="D4" s="11">
        <v>131605.5</v>
      </c>
      <c r="E4" s="11">
        <f>IF(AND(ISNUMBER(C4),ISNUMBER(D4)), C4-D4, "")</f>
        <v>-11799.5</v>
      </c>
      <c r="F4" s="12">
        <f>IFERROR(E4/D4, "")</f>
        <v>-8.9658106994008613E-2</v>
      </c>
      <c r="G4" s="13">
        <v>65926.89</v>
      </c>
      <c r="H4" s="13">
        <f>IF(AND(ISNUMBER(C4),ISNUMBER(G4)), C4-G4, "")</f>
        <v>53879.11</v>
      </c>
      <c r="I4" s="14">
        <f>IFERROR(H4/G4, "")</f>
        <v>0.81725544766331315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3"/>
  <sheetViews>
    <sheetView workbookViewId="0">
      <pane xSplit="2" ySplit="3" topLeftCell="C4" activePane="bottomRight" state="frozen"/>
      <selection pane="bottomRight" activeCell="F14" sqref="F14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24</v>
      </c>
      <c r="E1" s="42"/>
      <c r="F1" s="42"/>
      <c r="G1" s="40" t="s">
        <v>25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136451</v>
      </c>
      <c r="D2" s="5">
        <f>SUM(D4:D71)</f>
        <v>137127.21799999999</v>
      </c>
      <c r="E2" s="5">
        <f>C2-D2</f>
        <v>-676.21799999999348</v>
      </c>
      <c r="F2" s="6">
        <f>IFERROR(E2/D2, 0)</f>
        <v>-4.9313185949706462E-3</v>
      </c>
      <c r="G2" s="5">
        <f>SUM(G4:G71)</f>
        <v>95950</v>
      </c>
      <c r="H2" s="7">
        <f>C2-G2</f>
        <v>40501</v>
      </c>
      <c r="I2" s="6">
        <f>IFERROR(H2/G2, 0)</f>
        <v>0.42210526315789476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136451</v>
      </c>
      <c r="D4" s="11">
        <v>137127.21799999999</v>
      </c>
      <c r="E4" s="11">
        <f>IF(AND(ISNUMBER(C4),ISNUMBER(D4)), C4-D4, "")</f>
        <v>-676.21799999999348</v>
      </c>
      <c r="F4" s="12">
        <f>IFERROR(E4/D4, "")</f>
        <v>-4.9313185949706462E-3</v>
      </c>
      <c r="G4" s="13">
        <v>95950</v>
      </c>
      <c r="H4" s="13">
        <f>IF(AND(ISNUMBER(C4),ISNUMBER(G4)), C4-G4, "")</f>
        <v>40501</v>
      </c>
      <c r="I4" s="14">
        <f>IFERROR(H4/G4, "")</f>
        <v>0.42210526315789476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26</v>
      </c>
      <c r="E1" s="42"/>
      <c r="F1" s="42"/>
      <c r="G1" s="40" t="s">
        <v>27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28</v>
      </c>
      <c r="E1" s="42"/>
      <c r="F1" s="42"/>
      <c r="G1" s="40" t="s">
        <v>29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30</v>
      </c>
      <c r="E1" s="42"/>
      <c r="F1" s="42"/>
      <c r="G1" s="40" t="s">
        <v>31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32</v>
      </c>
      <c r="E1" s="42"/>
      <c r="F1" s="42"/>
      <c r="G1" s="40" t="s">
        <v>33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1 I4:I7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34</v>
      </c>
      <c r="E1" s="42"/>
      <c r="F1" s="42"/>
      <c r="G1" s="40" t="s">
        <v>35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36</v>
      </c>
      <c r="E1" s="42"/>
      <c r="F1" s="42"/>
      <c r="G1" s="40" t="s">
        <v>37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38</v>
      </c>
      <c r="E1" s="42"/>
      <c r="F1" s="42"/>
      <c r="G1" s="40" t="s">
        <v>39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40</v>
      </c>
      <c r="E1" s="42"/>
      <c r="F1" s="42"/>
      <c r="G1" s="40" t="s">
        <v>41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42</v>
      </c>
      <c r="E1" s="42"/>
      <c r="F1" s="42"/>
      <c r="G1" s="40" t="s">
        <v>43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3" sqref="E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8" t="s">
        <v>49</v>
      </c>
      <c r="B4" t="s">
        <v>50</v>
      </c>
      <c r="C4" s="36" t="s">
        <v>51</v>
      </c>
      <c r="D4" s="35" t="s">
        <v>52</v>
      </c>
      <c r="E4" t="s">
        <v>53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Kurakula [Libsys]</cp:lastModifiedBy>
  <cp:revision/>
  <dcterms:created xsi:type="dcterms:W3CDTF">2021-01-01T16:39:53Z</dcterms:created>
  <dcterms:modified xsi:type="dcterms:W3CDTF">2024-04-18T07:03:13Z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