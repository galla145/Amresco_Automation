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0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OneDrive - Libsys IT Services Private Limited\Documents\Monthly report files\Mar-24\East\"/>
    </mc:Choice>
  </mc:AlternateContent>
  <xr:revisionPtr revIDLastSave="0" documentId="13_ncr:1_{9634E1A5-0065-4D4A-9BBA-0416B739CB88}" xr6:coauthVersionLast="47" xr6:coauthVersionMax="47" xr10:uidLastSave="{00000000-0000-0000-0000-000000000000}"/>
  <bookViews>
    <workbookView xWindow="-93" yWindow="-93" windowWidth="19386" windowHeight="11466" tabRatio="866" firstSheet="7" activeTab="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May" sheetId="20" r:id="rId9"/>
    <sheet name="Apr" sheetId="21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9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8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4" l="1"/>
  <c r="I23" i="4" s="1"/>
  <c r="H24" i="4"/>
  <c r="I24" i="4" s="1"/>
  <c r="H25" i="4"/>
  <c r="I25" i="4" s="1"/>
  <c r="I22" i="4"/>
  <c r="E25" i="4"/>
  <c r="F25" i="4"/>
  <c r="E24" i="4"/>
  <c r="F24" i="4" s="1"/>
  <c r="E23" i="4"/>
  <c r="F23" i="4"/>
  <c r="E22" i="4"/>
  <c r="F22" i="4"/>
  <c r="E21" i="4"/>
  <c r="F21" i="4" s="1"/>
  <c r="E20" i="4"/>
  <c r="F20" i="4" s="1"/>
  <c r="E19" i="4"/>
  <c r="F19" i="4" s="1"/>
  <c r="E18" i="4"/>
  <c r="F18" i="4"/>
  <c r="I18" i="4"/>
  <c r="I19" i="4"/>
  <c r="H18" i="4"/>
  <c r="H19" i="4"/>
  <c r="H20" i="4"/>
  <c r="I20" i="4" s="1"/>
  <c r="H21" i="4"/>
  <c r="I21" i="4" s="1"/>
  <c r="H22" i="4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E18" i="3" l="1"/>
  <c r="E19" i="3"/>
  <c r="E20" i="3"/>
  <c r="E21" i="3"/>
  <c r="E22" i="3"/>
  <c r="E23" i="3"/>
  <c r="E24" i="3"/>
  <c r="E25" i="3"/>
  <c r="H18" i="3"/>
  <c r="I18" i="3"/>
  <c r="H19" i="3"/>
  <c r="I19" i="3"/>
  <c r="H20" i="3"/>
  <c r="I20" i="3"/>
  <c r="H21" i="3"/>
  <c r="I21" i="3"/>
  <c r="H22" i="3"/>
  <c r="I22" i="3"/>
  <c r="H23" i="3"/>
  <c r="I23" i="3"/>
  <c r="H24" i="3"/>
  <c r="I24" i="3"/>
  <c r="H25" i="3"/>
  <c r="I25" i="3"/>
  <c r="C2" i="3"/>
  <c r="C18" i="29"/>
  <c r="E18" i="29" s="1"/>
  <c r="F18" i="29" s="1"/>
  <c r="D18" i="29"/>
  <c r="H18" i="29"/>
  <c r="I18" i="29" s="1"/>
  <c r="C19" i="29"/>
  <c r="D19" i="29"/>
  <c r="H19" i="29"/>
  <c r="I19" i="29" s="1"/>
  <c r="C20" i="29"/>
  <c r="D20" i="29"/>
  <c r="H20" i="29"/>
  <c r="I20" i="29" s="1"/>
  <c r="C21" i="29"/>
  <c r="D21" i="29"/>
  <c r="H21" i="29"/>
  <c r="I21" i="29" s="1"/>
  <c r="C22" i="29"/>
  <c r="D22" i="29"/>
  <c r="H22" i="29"/>
  <c r="I22" i="29" s="1"/>
  <c r="C23" i="29"/>
  <c r="D23" i="29"/>
  <c r="H23" i="29"/>
  <c r="I23" i="29" s="1"/>
  <c r="C24" i="29"/>
  <c r="D24" i="29"/>
  <c r="H24" i="29"/>
  <c r="I24" i="29" s="1"/>
  <c r="C25" i="29"/>
  <c r="D25" i="29"/>
  <c r="H25" i="29"/>
  <c r="I25" i="29" s="1"/>
  <c r="C17" i="18"/>
  <c r="E17" i="18" s="1"/>
  <c r="F17" i="18" s="1"/>
  <c r="D17" i="18"/>
  <c r="H17" i="18"/>
  <c r="I17" i="18"/>
  <c r="C18" i="18"/>
  <c r="D18" i="18"/>
  <c r="H18" i="18"/>
  <c r="I18" i="18" s="1"/>
  <c r="C19" i="18"/>
  <c r="D19" i="18"/>
  <c r="H19" i="18"/>
  <c r="I19" i="18" s="1"/>
  <c r="C20" i="18"/>
  <c r="E20" i="18" s="1"/>
  <c r="F20" i="18" s="1"/>
  <c r="D20" i="18"/>
  <c r="H20" i="18"/>
  <c r="I20" i="18"/>
  <c r="C21" i="18"/>
  <c r="D21" i="18"/>
  <c r="H21" i="18"/>
  <c r="I21" i="18" s="1"/>
  <c r="C22" i="18"/>
  <c r="D22" i="18"/>
  <c r="H22" i="18"/>
  <c r="I22" i="18" s="1"/>
  <c r="C23" i="18"/>
  <c r="D23" i="18"/>
  <c r="H23" i="18"/>
  <c r="I23" i="18" s="1"/>
  <c r="C24" i="18"/>
  <c r="D24" i="18"/>
  <c r="H24" i="18"/>
  <c r="I24" i="18" s="1"/>
  <c r="C25" i="18"/>
  <c r="D25" i="18"/>
  <c r="H25" i="18"/>
  <c r="I25" i="18" s="1"/>
  <c r="C18" i="34"/>
  <c r="D18" i="34"/>
  <c r="C19" i="34"/>
  <c r="D19" i="34"/>
  <c r="C20" i="34"/>
  <c r="D20" i="34"/>
  <c r="C21" i="34"/>
  <c r="D21" i="34"/>
  <c r="C22" i="34"/>
  <c r="D22" i="34"/>
  <c r="C23" i="34"/>
  <c r="D23" i="34"/>
  <c r="C24" i="34"/>
  <c r="D24" i="34"/>
  <c r="C25" i="34"/>
  <c r="D25" i="34"/>
  <c r="E23" i="34" l="1"/>
  <c r="F23" i="34" s="1"/>
  <c r="E22" i="34"/>
  <c r="F22" i="34" s="1"/>
  <c r="E19" i="34"/>
  <c r="F19" i="34" s="1"/>
  <c r="E23" i="29"/>
  <c r="F23" i="29" s="1"/>
  <c r="E20" i="29"/>
  <c r="F20" i="29" s="1"/>
  <c r="E25" i="29"/>
  <c r="F25" i="29" s="1"/>
  <c r="E22" i="29"/>
  <c r="F22" i="29" s="1"/>
  <c r="E24" i="29"/>
  <c r="F24" i="29" s="1"/>
  <c r="E21" i="29"/>
  <c r="F21" i="29" s="1"/>
  <c r="E19" i="29"/>
  <c r="F19" i="29" s="1"/>
  <c r="E24" i="18"/>
  <c r="F24" i="18" s="1"/>
  <c r="E22" i="18"/>
  <c r="F22" i="18" s="1"/>
  <c r="E19" i="18"/>
  <c r="F19" i="18" s="1"/>
  <c r="E18" i="18"/>
  <c r="F18" i="18" s="1"/>
  <c r="E25" i="18"/>
  <c r="F25" i="18" s="1"/>
  <c r="E23" i="18"/>
  <c r="F23" i="18" s="1"/>
  <c r="E21" i="18"/>
  <c r="F21" i="18" s="1"/>
  <c r="E18" i="34"/>
  <c r="F18" i="34" s="1"/>
  <c r="E21" i="34"/>
  <c r="F21" i="34" s="1"/>
  <c r="E25" i="34"/>
  <c r="F25" i="34" s="1"/>
  <c r="E20" i="34"/>
  <c r="F20" i="34" s="1"/>
  <c r="E24" i="34"/>
  <c r="F24" i="34" s="1"/>
  <c r="C18" i="1"/>
  <c r="D18" i="1"/>
  <c r="G18" i="1"/>
  <c r="G18" i="34" s="1"/>
  <c r="C19" i="1"/>
  <c r="D19" i="1"/>
  <c r="G19" i="1"/>
  <c r="G19" i="34" s="1"/>
  <c r="C20" i="1"/>
  <c r="D20" i="1"/>
  <c r="G20" i="1"/>
  <c r="C21" i="1"/>
  <c r="D21" i="1"/>
  <c r="G21" i="1"/>
  <c r="G21" i="34" s="1"/>
  <c r="C22" i="1"/>
  <c r="D22" i="1"/>
  <c r="G22" i="1"/>
  <c r="G22" i="34" s="1"/>
  <c r="C23" i="1"/>
  <c r="D23" i="1"/>
  <c r="G23" i="1"/>
  <c r="C24" i="1"/>
  <c r="D24" i="1"/>
  <c r="G24" i="1"/>
  <c r="G24" i="34" s="1"/>
  <c r="C25" i="1"/>
  <c r="D25" i="1"/>
  <c r="G25" i="1"/>
  <c r="G25" i="34" s="1"/>
  <c r="C25" i="30"/>
  <c r="E25" i="30" s="1"/>
  <c r="F25" i="30" s="1"/>
  <c r="D25" i="30"/>
  <c r="H25" i="30"/>
  <c r="I25" i="30" s="1"/>
  <c r="C18" i="30"/>
  <c r="D18" i="30"/>
  <c r="H18" i="30"/>
  <c r="I18" i="30" s="1"/>
  <c r="C19" i="30"/>
  <c r="E19" i="30" s="1"/>
  <c r="F19" i="30" s="1"/>
  <c r="D19" i="30"/>
  <c r="H19" i="30"/>
  <c r="I19" i="30" s="1"/>
  <c r="C20" i="30"/>
  <c r="D20" i="30"/>
  <c r="E20" i="30" s="1"/>
  <c r="F20" i="30" s="1"/>
  <c r="H20" i="30"/>
  <c r="I20" i="30" s="1"/>
  <c r="C21" i="30"/>
  <c r="E21" i="30" s="1"/>
  <c r="F21" i="30" s="1"/>
  <c r="D21" i="30"/>
  <c r="H21" i="30"/>
  <c r="I21" i="30" s="1"/>
  <c r="C22" i="30"/>
  <c r="D22" i="30"/>
  <c r="H22" i="30"/>
  <c r="I22" i="30" s="1"/>
  <c r="C23" i="30"/>
  <c r="D23" i="30"/>
  <c r="H23" i="30"/>
  <c r="I23" i="30" s="1"/>
  <c r="C24" i="30"/>
  <c r="D24" i="30"/>
  <c r="H24" i="30"/>
  <c r="I24" i="30" s="1"/>
  <c r="E18" i="72"/>
  <c r="F18" i="72" s="1"/>
  <c r="E19" i="72"/>
  <c r="F19" i="72" s="1"/>
  <c r="E20" i="72"/>
  <c r="F20" i="72" s="1"/>
  <c r="E21" i="72"/>
  <c r="F21" i="72" s="1"/>
  <c r="E22" i="72"/>
  <c r="F22" i="72" s="1"/>
  <c r="E23" i="72"/>
  <c r="F23" i="72" s="1"/>
  <c r="E24" i="72"/>
  <c r="F24" i="72" s="1"/>
  <c r="E25" i="72"/>
  <c r="F25" i="72" s="1"/>
  <c r="H18" i="72"/>
  <c r="H18" i="1" s="1"/>
  <c r="H19" i="72"/>
  <c r="H19" i="1" s="1"/>
  <c r="H20" i="72"/>
  <c r="H20" i="1" s="1"/>
  <c r="H21" i="72"/>
  <c r="H22" i="72"/>
  <c r="H22" i="1" s="1"/>
  <c r="H23" i="72"/>
  <c r="H24" i="72"/>
  <c r="H25" i="72"/>
  <c r="C16" i="30"/>
  <c r="D16" i="30"/>
  <c r="E16" i="30"/>
  <c r="F16" i="30"/>
  <c r="H16" i="30"/>
  <c r="I16" i="30"/>
  <c r="C17" i="30"/>
  <c r="D17" i="30"/>
  <c r="E17" i="30"/>
  <c r="F17" i="30"/>
  <c r="H17" i="30"/>
  <c r="I17" i="30"/>
  <c r="C16" i="29"/>
  <c r="D16" i="29"/>
  <c r="E16" i="29"/>
  <c r="F16" i="29"/>
  <c r="H16" i="29"/>
  <c r="I16" i="29"/>
  <c r="C17" i="29"/>
  <c r="D17" i="29"/>
  <c r="E17" i="29"/>
  <c r="F17" i="29"/>
  <c r="H17" i="29"/>
  <c r="I17" i="29"/>
  <c r="C16" i="18"/>
  <c r="D16" i="18"/>
  <c r="E16" i="18"/>
  <c r="F16" i="18"/>
  <c r="H16" i="18"/>
  <c r="I16" i="18"/>
  <c r="C16" i="1"/>
  <c r="D16" i="1"/>
  <c r="G16" i="1"/>
  <c r="G16" i="34" s="1"/>
  <c r="C17" i="1"/>
  <c r="D17" i="1"/>
  <c r="G17" i="1"/>
  <c r="G17" i="34" s="1"/>
  <c r="C16" i="34"/>
  <c r="D16" i="34"/>
  <c r="C17" i="34"/>
  <c r="D17" i="34"/>
  <c r="H17" i="33"/>
  <c r="I17" i="33" s="1"/>
  <c r="E17" i="33"/>
  <c r="F17" i="33" s="1"/>
  <c r="H16" i="33"/>
  <c r="I16" i="33" s="1"/>
  <c r="E16" i="33"/>
  <c r="F16" i="33" s="1"/>
  <c r="H17" i="32"/>
  <c r="I17" i="32" s="1"/>
  <c r="E17" i="32"/>
  <c r="F17" i="32" s="1"/>
  <c r="H16" i="32"/>
  <c r="I16" i="32" s="1"/>
  <c r="E16" i="32"/>
  <c r="F16" i="32" s="1"/>
  <c r="H17" i="31"/>
  <c r="I17" i="31" s="1"/>
  <c r="E17" i="31"/>
  <c r="F17" i="31" s="1"/>
  <c r="H16" i="31"/>
  <c r="I16" i="31" s="1"/>
  <c r="E16" i="31"/>
  <c r="F16" i="31" s="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I17" i="26" s="1"/>
  <c r="E17" i="26"/>
  <c r="F17" i="26" s="1"/>
  <c r="H16" i="26"/>
  <c r="I16" i="26" s="1"/>
  <c r="E16" i="26"/>
  <c r="F16" i="26" s="1"/>
  <c r="H17" i="19"/>
  <c r="I17" i="19" s="1"/>
  <c r="E17" i="19"/>
  <c r="F17" i="19" s="1"/>
  <c r="H16" i="19"/>
  <c r="I16" i="19" s="1"/>
  <c r="E16" i="19"/>
  <c r="F16" i="19" s="1"/>
  <c r="H17" i="20"/>
  <c r="I17" i="20" s="1"/>
  <c r="E17" i="20"/>
  <c r="F17" i="20" s="1"/>
  <c r="H16" i="20"/>
  <c r="I16" i="20" s="1"/>
  <c r="E16" i="20"/>
  <c r="F16" i="20" s="1"/>
  <c r="H17" i="21"/>
  <c r="I17" i="21" s="1"/>
  <c r="E17" i="21"/>
  <c r="F17" i="21" s="1"/>
  <c r="H16" i="21"/>
  <c r="I16" i="21" s="1"/>
  <c r="E16" i="21"/>
  <c r="F16" i="21" s="1"/>
  <c r="H17" i="4"/>
  <c r="I17" i="4" s="1"/>
  <c r="E17" i="4"/>
  <c r="F17" i="4" s="1"/>
  <c r="H16" i="4"/>
  <c r="I16" i="4" s="1"/>
  <c r="E16" i="4"/>
  <c r="F16" i="4" s="1"/>
  <c r="E16" i="3"/>
  <c r="H16" i="3"/>
  <c r="I16" i="3" s="1"/>
  <c r="E17" i="3"/>
  <c r="H17" i="3"/>
  <c r="I17" i="3" s="1"/>
  <c r="E16" i="72"/>
  <c r="F16" i="72" s="1"/>
  <c r="H16" i="72"/>
  <c r="E17" i="72"/>
  <c r="F17" i="72" s="1"/>
  <c r="H17" i="72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H5" i="3"/>
  <c r="I5" i="3" s="1"/>
  <c r="E6" i="3"/>
  <c r="H6" i="3"/>
  <c r="I6" i="3" s="1"/>
  <c r="E7" i="3"/>
  <c r="H7" i="3"/>
  <c r="I7" i="3" s="1"/>
  <c r="E8" i="3"/>
  <c r="H8" i="3"/>
  <c r="I8" i="3" s="1"/>
  <c r="E9" i="3"/>
  <c r="H9" i="3"/>
  <c r="I9" i="3" s="1"/>
  <c r="E10" i="3"/>
  <c r="H10" i="3"/>
  <c r="I10" i="3" s="1"/>
  <c r="E11" i="3"/>
  <c r="H11" i="3"/>
  <c r="I11" i="3" s="1"/>
  <c r="E12" i="3"/>
  <c r="H12" i="3"/>
  <c r="I12" i="3" s="1"/>
  <c r="E13" i="3"/>
  <c r="H13" i="3"/>
  <c r="I13" i="3" s="1"/>
  <c r="E14" i="3"/>
  <c r="H14" i="3"/>
  <c r="I14" i="3"/>
  <c r="E15" i="3"/>
  <c r="H15" i="3"/>
  <c r="I15" i="3" s="1"/>
  <c r="G6" i="1"/>
  <c r="G6" i="34" s="1"/>
  <c r="G7" i="1"/>
  <c r="G7" i="34" s="1"/>
  <c r="G8" i="1"/>
  <c r="G8" i="34" s="1"/>
  <c r="G9" i="1"/>
  <c r="G9" i="34" s="1"/>
  <c r="G10" i="1"/>
  <c r="G10" i="34" s="1"/>
  <c r="G11" i="1"/>
  <c r="G11" i="34" s="1"/>
  <c r="G12" i="1"/>
  <c r="G12" i="34" s="1"/>
  <c r="G13" i="1"/>
  <c r="G13" i="34" s="1"/>
  <c r="G14" i="1"/>
  <c r="G14" i="34" s="1"/>
  <c r="G15" i="1"/>
  <c r="G15" i="34" s="1"/>
  <c r="G5" i="1"/>
  <c r="G5" i="34" s="1"/>
  <c r="G4" i="1"/>
  <c r="G4" i="34" s="1"/>
  <c r="D15" i="34"/>
  <c r="D14" i="34"/>
  <c r="D13" i="34"/>
  <c r="D12" i="34"/>
  <c r="D11" i="34"/>
  <c r="D10" i="34"/>
  <c r="D9" i="34"/>
  <c r="D8" i="34"/>
  <c r="D7" i="34"/>
  <c r="D6" i="34"/>
  <c r="D5" i="34"/>
  <c r="C15" i="34"/>
  <c r="C14" i="34"/>
  <c r="C13" i="34"/>
  <c r="C12" i="34"/>
  <c r="C11" i="34"/>
  <c r="C10" i="34"/>
  <c r="C9" i="34"/>
  <c r="C8" i="34"/>
  <c r="C7" i="34"/>
  <c r="C6" i="34"/>
  <c r="C5" i="34"/>
  <c r="B4" i="34" a="1"/>
  <c r="B4" i="34" s="1"/>
  <c r="A4" i="34" a="1"/>
  <c r="A4" i="34" s="1"/>
  <c r="A1" i="34" a="1"/>
  <c r="A1" i="34" s="1"/>
  <c r="D15" i="30"/>
  <c r="C15" i="30"/>
  <c r="D14" i="30"/>
  <c r="C14" i="30"/>
  <c r="E14" i="30" s="1"/>
  <c r="F14" i="30" s="1"/>
  <c r="D13" i="30"/>
  <c r="C13" i="30"/>
  <c r="D12" i="30"/>
  <c r="C12" i="30"/>
  <c r="E12" i="30" s="1"/>
  <c r="F12" i="30" s="1"/>
  <c r="D11" i="30"/>
  <c r="C11" i="30"/>
  <c r="D10" i="30"/>
  <c r="C10" i="30"/>
  <c r="E10" i="30" s="1"/>
  <c r="F10" i="30" s="1"/>
  <c r="D9" i="30"/>
  <c r="C9" i="30"/>
  <c r="E9" i="30" s="1"/>
  <c r="F9" i="30" s="1"/>
  <c r="D8" i="30"/>
  <c r="C8" i="30"/>
  <c r="E8" i="30" s="1"/>
  <c r="F8" i="30" s="1"/>
  <c r="D7" i="30"/>
  <c r="C7" i="30"/>
  <c r="H6" i="30"/>
  <c r="I6" i="30" s="1"/>
  <c r="D6" i="30"/>
  <c r="C6" i="30"/>
  <c r="E6" i="30" s="1"/>
  <c r="F6" i="30" s="1"/>
  <c r="D5" i="30"/>
  <c r="C5" i="30"/>
  <c r="E5" i="30" s="1"/>
  <c r="F5" i="30" s="1"/>
  <c r="D4" i="30"/>
  <c r="C4" i="30"/>
  <c r="E4" i="30" s="1"/>
  <c r="F4" i="30" s="1"/>
  <c r="D15" i="29"/>
  <c r="C15" i="29"/>
  <c r="D14" i="29"/>
  <c r="C14" i="29"/>
  <c r="E14" i="29" s="1"/>
  <c r="F14" i="29" s="1"/>
  <c r="D13" i="29"/>
  <c r="C13" i="29"/>
  <c r="D12" i="29"/>
  <c r="C12" i="29"/>
  <c r="E12" i="29" s="1"/>
  <c r="F12" i="29" s="1"/>
  <c r="D11" i="29"/>
  <c r="C11" i="29"/>
  <c r="E11" i="29" s="1"/>
  <c r="F11" i="29" s="1"/>
  <c r="D10" i="29"/>
  <c r="C10" i="29"/>
  <c r="E10" i="29" s="1"/>
  <c r="F10" i="29" s="1"/>
  <c r="D9" i="29"/>
  <c r="C9" i="29"/>
  <c r="E9" i="29" s="1"/>
  <c r="F9" i="29" s="1"/>
  <c r="D8" i="29"/>
  <c r="C8" i="29"/>
  <c r="E8" i="29" s="1"/>
  <c r="F8" i="29" s="1"/>
  <c r="D7" i="29"/>
  <c r="C7" i="29"/>
  <c r="D6" i="29"/>
  <c r="C6" i="29"/>
  <c r="E6" i="29" s="1"/>
  <c r="F6" i="29" s="1"/>
  <c r="D5" i="29"/>
  <c r="C5" i="29"/>
  <c r="E5" i="29" s="1"/>
  <c r="F5" i="29" s="1"/>
  <c r="D4" i="29"/>
  <c r="D2" i="29" s="1"/>
  <c r="C4" i="29"/>
  <c r="D15" i="18"/>
  <c r="C15" i="18"/>
  <c r="E15" i="18" s="1"/>
  <c r="F15" i="18" s="1"/>
  <c r="D14" i="18"/>
  <c r="C14" i="18"/>
  <c r="E14" i="18" s="1"/>
  <c r="F14" i="18" s="1"/>
  <c r="D13" i="18"/>
  <c r="C13" i="18"/>
  <c r="E13" i="18" s="1"/>
  <c r="F13" i="18" s="1"/>
  <c r="D12" i="18"/>
  <c r="C12" i="18"/>
  <c r="E12" i="18" s="1"/>
  <c r="F12" i="18" s="1"/>
  <c r="D11" i="18"/>
  <c r="C11" i="18"/>
  <c r="E11" i="18" s="1"/>
  <c r="F11" i="18" s="1"/>
  <c r="D10" i="18"/>
  <c r="C10" i="18"/>
  <c r="E10" i="18" s="1"/>
  <c r="F10" i="18" s="1"/>
  <c r="D9" i="18"/>
  <c r="C9" i="18"/>
  <c r="D8" i="18"/>
  <c r="C8" i="18"/>
  <c r="E8" i="18" s="1"/>
  <c r="F8" i="18" s="1"/>
  <c r="D7" i="18"/>
  <c r="C7" i="18"/>
  <c r="E7" i="18" s="1"/>
  <c r="F7" i="18" s="1"/>
  <c r="D6" i="18"/>
  <c r="C6" i="18"/>
  <c r="E6" i="18" s="1"/>
  <c r="F6" i="18" s="1"/>
  <c r="D5" i="18"/>
  <c r="C5" i="18"/>
  <c r="E5" i="18" s="1"/>
  <c r="F5" i="18" s="1"/>
  <c r="D4" i="18"/>
  <c r="C4" i="18"/>
  <c r="E4" i="18" s="1"/>
  <c r="F4" i="18" s="1"/>
  <c r="E11" i="30"/>
  <c r="F11" i="30" s="1"/>
  <c r="E13" i="29"/>
  <c r="F13" i="29" s="1"/>
  <c r="D2" i="18"/>
  <c r="E15" i="30"/>
  <c r="F15" i="30" s="1"/>
  <c r="E13" i="30"/>
  <c r="F13" i="30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E9" i="18"/>
  <c r="F9" i="18" s="1"/>
  <c r="B4" i="18" a="1"/>
  <c r="B4" i="18" s="1"/>
  <c r="A4" i="18" a="1"/>
  <c r="A4" i="18" s="1"/>
  <c r="G2" i="18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D4" i="34" s="1"/>
  <c r="B4" i="1" a="1"/>
  <c r="B4" i="1" s="1"/>
  <c r="A4" i="1" a="1"/>
  <c r="A4" i="1" s="1"/>
  <c r="A1" i="1" a="1"/>
  <c r="A1" i="1" s="1"/>
  <c r="H15" i="33"/>
  <c r="I15" i="33" s="1"/>
  <c r="E15" i="33"/>
  <c r="F15" i="33" s="1"/>
  <c r="I14" i="33"/>
  <c r="H14" i="33"/>
  <c r="E14" i="33"/>
  <c r="F14" i="33" s="1"/>
  <c r="H13" i="33"/>
  <c r="I13" i="33" s="1"/>
  <c r="E13" i="33"/>
  <c r="F13" i="33" s="1"/>
  <c r="I12" i="33"/>
  <c r="H12" i="33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I8" i="33"/>
  <c r="H8" i="33"/>
  <c r="E8" i="33"/>
  <c r="F8" i="33" s="1"/>
  <c r="H7" i="33"/>
  <c r="I7" i="33" s="1"/>
  <c r="E7" i="33"/>
  <c r="F7" i="33" s="1"/>
  <c r="I6" i="33"/>
  <c r="H6" i="33"/>
  <c r="E6" i="33"/>
  <c r="F6" i="33" s="1"/>
  <c r="I5" i="33"/>
  <c r="H5" i="33"/>
  <c r="E5" i="33"/>
  <c r="F5" i="33" s="1"/>
  <c r="I4" i="33"/>
  <c r="H4" i="33"/>
  <c r="E4" i="33"/>
  <c r="F4" i="33" s="1"/>
  <c r="G2" i="33"/>
  <c r="D2" i="33"/>
  <c r="C2" i="33"/>
  <c r="A1" i="33" a="1"/>
  <c r="A1" i="33" s="1"/>
  <c r="H15" i="32"/>
  <c r="I15" i="32" s="1"/>
  <c r="F15" i="32"/>
  <c r="E15" i="32"/>
  <c r="H14" i="32"/>
  <c r="I14" i="32" s="1"/>
  <c r="E14" i="32"/>
  <c r="F14" i="32" s="1"/>
  <c r="H13" i="32"/>
  <c r="I13" i="32" s="1"/>
  <c r="E13" i="32"/>
  <c r="F13" i="32" s="1"/>
  <c r="H12" i="32"/>
  <c r="I12" i="32" s="1"/>
  <c r="F12" i="32"/>
  <c r="E12" i="32"/>
  <c r="H11" i="32"/>
  <c r="I11" i="32" s="1"/>
  <c r="E11" i="32"/>
  <c r="F11" i="32" s="1"/>
  <c r="H10" i="32"/>
  <c r="I10" i="32" s="1"/>
  <c r="E10" i="32"/>
  <c r="F10" i="32" s="1"/>
  <c r="H9" i="32"/>
  <c r="I9" i="32" s="1"/>
  <c r="F9" i="32"/>
  <c r="E9" i="32"/>
  <c r="H8" i="32"/>
  <c r="I8" i="32" s="1"/>
  <c r="E8" i="32"/>
  <c r="F8" i="32" s="1"/>
  <c r="H7" i="32"/>
  <c r="I7" i="32" s="1"/>
  <c r="E7" i="32"/>
  <c r="F7" i="32" s="1"/>
  <c r="H6" i="32"/>
  <c r="I6" i="32" s="1"/>
  <c r="F6" i="32"/>
  <c r="E6" i="32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I13" i="28"/>
  <c r="H13" i="28"/>
  <c r="E13" i="28"/>
  <c r="F13" i="28" s="1"/>
  <c r="H12" i="28"/>
  <c r="I12" i="28" s="1"/>
  <c r="E12" i="28"/>
  <c r="F12" i="28" s="1"/>
  <c r="H11" i="28"/>
  <c r="I11" i="28" s="1"/>
  <c r="E11" i="28"/>
  <c r="F11" i="28" s="1"/>
  <c r="I10" i="28"/>
  <c r="H10" i="28"/>
  <c r="E10" i="28"/>
  <c r="F10" i="28" s="1"/>
  <c r="H9" i="28"/>
  <c r="I9" i="28" s="1"/>
  <c r="E9" i="28"/>
  <c r="F9" i="28" s="1"/>
  <c r="H8" i="28"/>
  <c r="I8" i="28" s="1"/>
  <c r="E8" i="28"/>
  <c r="F8" i="28" s="1"/>
  <c r="I7" i="28"/>
  <c r="H7" i="28"/>
  <c r="E7" i="28"/>
  <c r="F7" i="28" s="1"/>
  <c r="H6" i="28"/>
  <c r="I6" i="28" s="1"/>
  <c r="E6" i="28"/>
  <c r="F6" i="28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F14" i="27"/>
  <c r="E14" i="27"/>
  <c r="I13" i="27"/>
  <c r="H13" i="27"/>
  <c r="H13" i="29" s="1"/>
  <c r="I13" i="29" s="1"/>
  <c r="E13" i="27"/>
  <c r="F13" i="27" s="1"/>
  <c r="H12" i="27"/>
  <c r="I12" i="27" s="1"/>
  <c r="E12" i="27"/>
  <c r="F12" i="27" s="1"/>
  <c r="H11" i="27"/>
  <c r="I11" i="27" s="1"/>
  <c r="F11" i="27"/>
  <c r="E11" i="27"/>
  <c r="I10" i="27"/>
  <c r="H10" i="27"/>
  <c r="H10" i="29" s="1"/>
  <c r="I10" i="29" s="1"/>
  <c r="E10" i="27"/>
  <c r="F10" i="27" s="1"/>
  <c r="H9" i="27"/>
  <c r="I9" i="27" s="1"/>
  <c r="E9" i="27"/>
  <c r="F9" i="27" s="1"/>
  <c r="H8" i="27"/>
  <c r="I8" i="27" s="1"/>
  <c r="F8" i="27"/>
  <c r="E8" i="27"/>
  <c r="I7" i="27"/>
  <c r="H7" i="27"/>
  <c r="E7" i="27"/>
  <c r="F7" i="27" s="1"/>
  <c r="H6" i="27"/>
  <c r="I6" i="27" s="1"/>
  <c r="E6" i="27"/>
  <c r="F6" i="27" s="1"/>
  <c r="H5" i="27"/>
  <c r="I5" i="27" s="1"/>
  <c r="F5" i="27"/>
  <c r="E5" i="27"/>
  <c r="I4" i="27"/>
  <c r="H4" i="27"/>
  <c r="E4" i="27"/>
  <c r="F4" i="27" s="1"/>
  <c r="G2" i="27"/>
  <c r="D2" i="27"/>
  <c r="C2" i="27"/>
  <c r="A1" i="27" a="1"/>
  <c r="A1" i="27" s="1"/>
  <c r="H15" i="26"/>
  <c r="H15" i="29" s="1"/>
  <c r="I15" i="29" s="1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H12" i="29" s="1"/>
  <c r="I12" i="29" s="1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H9" i="29" s="1"/>
  <c r="I9" i="29" s="1"/>
  <c r="E9" i="26"/>
  <c r="F9" i="26" s="1"/>
  <c r="H8" i="26"/>
  <c r="I8" i="26" s="1"/>
  <c r="E8" i="26"/>
  <c r="F8" i="26" s="1"/>
  <c r="H7" i="26"/>
  <c r="H7" i="29" s="1"/>
  <c r="I7" i="29" s="1"/>
  <c r="E7" i="26"/>
  <c r="F7" i="26" s="1"/>
  <c r="H6" i="26"/>
  <c r="H6" i="29" s="1"/>
  <c r="I6" i="29" s="1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F12" i="19"/>
  <c r="E12" i="19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F6" i="19"/>
  <c r="E6" i="19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5" i="4"/>
  <c r="I15" i="4" s="1"/>
  <c r="E15" i="4"/>
  <c r="F15" i="4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H2" i="3" s="1"/>
  <c r="D2" i="3"/>
  <c r="J2" i="3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E24" i="1" l="1"/>
  <c r="F24" i="1" s="1"/>
  <c r="E23" i="1"/>
  <c r="F23" i="1" s="1"/>
  <c r="H17" i="1"/>
  <c r="I17" i="1" s="1"/>
  <c r="H16" i="1"/>
  <c r="I16" i="1" s="1"/>
  <c r="E21" i="1"/>
  <c r="F21" i="1" s="1"/>
  <c r="I25" i="72"/>
  <c r="H25" i="34"/>
  <c r="I25" i="34" s="1"/>
  <c r="I24" i="72"/>
  <c r="H24" i="34"/>
  <c r="I24" i="34" s="1"/>
  <c r="H24" i="1"/>
  <c r="I24" i="1" s="1"/>
  <c r="I23" i="72"/>
  <c r="H23" i="34"/>
  <c r="I22" i="72"/>
  <c r="H22" i="34"/>
  <c r="I22" i="34" s="1"/>
  <c r="I21" i="72"/>
  <c r="H21" i="34"/>
  <c r="I21" i="34" s="1"/>
  <c r="I20" i="72"/>
  <c r="H20" i="34"/>
  <c r="H25" i="1"/>
  <c r="I25" i="1" s="1"/>
  <c r="H23" i="1"/>
  <c r="I23" i="1" s="1"/>
  <c r="H21" i="1"/>
  <c r="I21" i="1" s="1"/>
  <c r="I19" i="72"/>
  <c r="H19" i="34"/>
  <c r="I19" i="34" s="1"/>
  <c r="I18" i="72"/>
  <c r="H18" i="34"/>
  <c r="I18" i="34" s="1"/>
  <c r="E24" i="30"/>
  <c r="F24" i="30" s="1"/>
  <c r="E23" i="30"/>
  <c r="F23" i="30" s="1"/>
  <c r="E22" i="30"/>
  <c r="F22" i="30" s="1"/>
  <c r="E18" i="30"/>
  <c r="F18" i="30" s="1"/>
  <c r="I22" i="1"/>
  <c r="E19" i="1"/>
  <c r="F19" i="1" s="1"/>
  <c r="I18" i="1"/>
  <c r="E18" i="1"/>
  <c r="F18" i="1" s="1"/>
  <c r="I20" i="1"/>
  <c r="G20" i="34"/>
  <c r="G23" i="34"/>
  <c r="E22" i="1"/>
  <c r="F22" i="1" s="1"/>
  <c r="E20" i="1"/>
  <c r="F20" i="1" s="1"/>
  <c r="E25" i="1"/>
  <c r="F25" i="1" s="1"/>
  <c r="I19" i="1"/>
  <c r="D2" i="30"/>
  <c r="E16" i="34"/>
  <c r="F16" i="34" s="1"/>
  <c r="E17" i="1"/>
  <c r="F17" i="1" s="1"/>
  <c r="E17" i="34"/>
  <c r="F17" i="34" s="1"/>
  <c r="E16" i="1"/>
  <c r="F16" i="1" s="1"/>
  <c r="I17" i="72"/>
  <c r="H16" i="34"/>
  <c r="I16" i="34" s="1"/>
  <c r="I16" i="72"/>
  <c r="H17" i="34"/>
  <c r="I17" i="34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I2" i="3"/>
  <c r="E11" i="34"/>
  <c r="F11" i="34" s="1"/>
  <c r="E7" i="1"/>
  <c r="F7" i="1" s="1"/>
  <c r="E15" i="1"/>
  <c r="F15" i="1" s="1"/>
  <c r="E12" i="34"/>
  <c r="F12" i="34" s="1"/>
  <c r="E5" i="34"/>
  <c r="F5" i="34" s="1"/>
  <c r="E13" i="34"/>
  <c r="F13" i="34" s="1"/>
  <c r="G2" i="1"/>
  <c r="E6" i="34"/>
  <c r="F6" i="34" s="1"/>
  <c r="D2" i="34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C4" i="34"/>
  <c r="E4" i="34" s="1"/>
  <c r="F4" i="34" s="1"/>
  <c r="H5" i="18"/>
  <c r="I5" i="18" s="1"/>
  <c r="H13" i="18"/>
  <c r="I13" i="18" s="1"/>
  <c r="H8" i="18"/>
  <c r="I8" i="18" s="1"/>
  <c r="H11" i="18"/>
  <c r="I11" i="18" s="1"/>
  <c r="H6" i="34"/>
  <c r="I6" i="34" s="1"/>
  <c r="H7" i="34"/>
  <c r="I7" i="34" s="1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H13" i="34"/>
  <c r="I13" i="34" s="1"/>
  <c r="H14" i="34"/>
  <c r="I14" i="34" s="1"/>
  <c r="H15" i="34"/>
  <c r="I15" i="34" s="1"/>
  <c r="E7" i="34"/>
  <c r="F7" i="34" s="1"/>
  <c r="E8" i="34"/>
  <c r="F8" i="34" s="1"/>
  <c r="E14" i="34"/>
  <c r="F14" i="34" s="1"/>
  <c r="E15" i="34"/>
  <c r="F15" i="34" s="1"/>
  <c r="C2" i="29"/>
  <c r="E2" i="29" s="1"/>
  <c r="F2" i="29" s="1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23" i="34" l="1"/>
  <c r="I20" i="34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<sst xmlns="http://schemas.openxmlformats.org/spreadsheetml/2006/main" count="345" uniqueCount="120">
  <si>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</si>
  <si>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</si>
  <si>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</si>
  <si>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</si>
  <si>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</si>
  <si>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</si>
  <si>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</si>
  <si>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</si>
  <si>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</si>
  <si>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</si>
  <si>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</si>
  <si>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</si>
  <si>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</si>
  <si>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</si>
  <si>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</si>
  <si>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</si>
  <si>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</si>
  <si>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</si>
  <si>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</si>
  <si>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</si>
  <si>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</si>
  <si>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</si>
  <si>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Site tripped offline due to a utility outage at 10pm on 01/09 and came back online at 3pm on 01/10.</t>
  </si>
  <si>
    <t>1. SR080112</t>
  </si>
  <si>
    <t>1. Inverter 3 is offline from 01/01 to 01/03</t>
  </si>
  <si>
    <t>1. SR079771</t>
  </si>
  <si>
    <t>1. Site offline for module replacement work</t>
  </si>
  <si>
    <t>1. SR078556</t>
  </si>
  <si>
    <t>1. Inverter is offline from 01/07 to 01/26</t>
  </si>
  <si>
    <t>1. SR080006</t>
  </si>
  <si>
    <t>1. Inverter is offline from 12/17 to 01/19.</t>
  </si>
  <si>
    <t>1. SR079528</t>
  </si>
  <si>
    <t>1. Inverter 1 multiple times tripped offline</t>
  </si>
  <si>
    <t>1. SR079062</t>
  </si>
  <si>
    <t>1.  Inverter is frequentley offline &amp; reporting "AC current Imbalance".</t>
  </si>
  <si>
    <t>1. SR078291</t>
  </si>
  <si>
    <t>February Actual v. Expected</t>
  </si>
  <si>
    <t>February Actual v. Forecasted</t>
  </si>
  <si>
    <t xml:space="preserve">1. Inverter 7 offline due to "Grid Contactor Open from 02/19 to 02/29
</t>
  </si>
  <si>
    <t xml:space="preserve">1. SR081105
</t>
  </si>
  <si>
    <t>1.  Inverter tripping offline  and reporting "Coolant temperature" for multiple days</t>
  </si>
  <si>
    <t>1. SR080696</t>
  </si>
  <si>
    <t>March Actual v. Expected</t>
  </si>
  <si>
    <t>March Actual v. Forecasted</t>
  </si>
  <si>
    <t xml:space="preserve">1. Inverter is offline throughout the month. </t>
  </si>
  <si>
    <t xml:space="preserve">1. Inverter was offline for multiple days. </t>
  </si>
  <si>
    <t>1.SR078291</t>
  </si>
  <si>
    <t>May Actual v. Expected</t>
  </si>
  <si>
    <t>May Actual v. Forecasted</t>
  </si>
  <si>
    <t>April Actual v. Expected</t>
  </si>
  <si>
    <t>April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</si>
  <si>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</si>
  <si>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</si>
  <si>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</si>
  <si>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</si>
  <si>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</si>
  <si>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</si>
  <si>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</si>
  <si>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</si>
  <si>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</si>
  <si>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</si>
  <si>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</si>
  <si>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</si>
  <si>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</si>
  <si>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</si>
  <si>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</si>
  <si>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Silicon Ranch</t>
  </si>
  <si>
    <t>Site DAS Name</t>
  </si>
  <si>
    <t>Column1</t>
  </si>
  <si>
    <t>DAS</t>
  </si>
  <si>
    <t>zz.Iron Mountain - Windsor</t>
  </si>
  <si>
    <t>Iron Mountain - Windsor</t>
  </si>
  <si>
    <t>CT</t>
  </si>
  <si>
    <t>Green Power Monitor</t>
  </si>
  <si>
    <t>zz.Kohls - Auburn</t>
  </si>
  <si>
    <t>Kohls - Auburn</t>
  </si>
  <si>
    <t>NY</t>
  </si>
  <si>
    <t>zz.Kohls - Bensalem</t>
  </si>
  <si>
    <t>Kohls - Bensalem</t>
  </si>
  <si>
    <t>PA</t>
  </si>
  <si>
    <t>zz.Kohls - Brick</t>
  </si>
  <si>
    <t>Kohls - Brick</t>
  </si>
  <si>
    <t>NJ</t>
  </si>
  <si>
    <t>zz.Kohls - Buffalo</t>
  </si>
  <si>
    <t>Kohls - Buffalo</t>
  </si>
  <si>
    <t>zz.Kohls - Canton</t>
  </si>
  <si>
    <t>Kohls - Canton</t>
  </si>
  <si>
    <t>zz.Kohls - East Amherst</t>
  </si>
  <si>
    <t>Kohls - East Amherst</t>
  </si>
  <si>
    <t>zz.Kohls - East Brunswick</t>
  </si>
  <si>
    <t>Kohls - East Brunswick</t>
  </si>
  <si>
    <t>zz.Kohls - Edgewood</t>
  </si>
  <si>
    <t>Kohls - Edgewood</t>
  </si>
  <si>
    <t>MD</t>
  </si>
  <si>
    <t>zz.Kohls - Granite Run</t>
  </si>
  <si>
    <t>Kohls - Granite Run</t>
  </si>
  <si>
    <t>zz.Kohls - Greece</t>
  </si>
  <si>
    <t>Kohls - Greece</t>
  </si>
  <si>
    <t>zz.Kohls - Hanover</t>
  </si>
  <si>
    <t>Kohls - Hanover</t>
  </si>
  <si>
    <t>zz.Kohls - Horsehead</t>
  </si>
  <si>
    <t>Kohls - Horsehead</t>
  </si>
  <si>
    <t>zz.Kohls - Hudson</t>
  </si>
  <si>
    <t>Kohls - Hudson</t>
  </si>
  <si>
    <t>zz.Kohls - Ithaca</t>
  </si>
  <si>
    <t>Kohls - Ithaca</t>
  </si>
  <si>
    <t>zz.Kohls - Kingston</t>
  </si>
  <si>
    <t>Kohls - Kingston</t>
  </si>
  <si>
    <t>zz.Kohls - Mechanicsburg</t>
  </si>
  <si>
    <t>Kohls - Mechanicsburg</t>
  </si>
  <si>
    <t>zz.Kohls - Middletown</t>
  </si>
  <si>
    <t>Kohls - Middletown</t>
  </si>
  <si>
    <t>zz.Kohls - North Amherst</t>
  </si>
  <si>
    <t>Kohls - North Amherst</t>
  </si>
  <si>
    <t>zz.Kohls - Staten Island</t>
  </si>
  <si>
    <t>Kohls - Staten Island</t>
  </si>
  <si>
    <t>zz.Kohls - Warminster</t>
  </si>
  <si>
    <t>Kohls - Warminster</t>
  </si>
  <si>
    <t xml:space="preserve">zz.Kohls - Waterbury </t>
  </si>
  <si>
    <t xml:space="preserve">Kohls - Waterbury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</si>
</sst>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62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right" wrapText="1"/>
    </xf>
    <xf numFmtId="49" fontId="30" fillId="0" borderId="0" xfId="2" applyNumberFormat="1" applyFont="1" applyFill="1" applyBorder="1" applyAlignment="1">
      <alignment vertical="top" wrapText="1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7" fillId="0" borderId="0" xfId="0" applyFont="1" applyAlignment="1">
      <alignment horizontal="left" vertical="center"/>
    </xf>
    <xf numFmtId="0" fontId="27" fillId="40" borderId="0" xfId="0" applyFont="1" applyFill="1" applyAlignment="1">
      <alignment horizontal="left" vertical="center"/>
    </xf>
    <xf numFmtId="49" fontId="28" fillId="0" borderId="0" xfId="0" applyNumberFormat="1" applyFont="1" applyAlignment="1">
      <alignment vertical="top" wrapText="1"/>
    </xf>
    <xf numFmtId="49" fontId="28" fillId="0" borderId="0" xfId="0" applyNumberFormat="1" applyFont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5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25" totalsRowShown="0">
  <autoFilter ref="A3:E25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Column1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42"/>
  <sheetViews>
    <sheetView workbookViewId="0">
      <pane xSplit="2" ySplit="3" topLeftCell="C4" activePane="bottomRight" state="frozen"/>
      <selection pane="bottomRight" activeCell="P8" sqref="P8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9" t="str" cm="1">
        <f t="array" ref="A1">portfolio</f>
        <v>Silicon Ranch</v>
      </c>
      <c r="B1" s="59"/>
      <c r="C1" s="59"/>
      <c r="D1" s="60" t="s">
        <v>0</v>
      </c>
      <c r="E1" s="60"/>
      <c r="F1" s="60"/>
      <c r="G1" s="58" t="s">
        <v>1</v>
      </c>
      <c r="H1" s="58"/>
      <c r="I1" s="58"/>
    </row>
    <row r="2" spans="1:9" ht="19.5" customHeight="1">
      <c r="A2" s="61" t="s">
        <v>2</v>
      </c>
      <c r="B2" s="61"/>
      <c r="C2" s="5">
        <f>SUM(C4:C100)</f>
        <v>1611034.35</v>
      </c>
      <c r="D2" s="5">
        <f>SUM(D4:D100)</f>
        <v>0</v>
      </c>
      <c r="E2" s="5">
        <f>C2-D2</f>
        <v>1611034.35</v>
      </c>
      <c r="F2" s="6">
        <f>IFERROR(E2/D2, 0)</f>
        <v>0</v>
      </c>
      <c r="G2" s="5" t="e">
        <f>SUM(G4:G100)</f>
        <v>#REF!</v>
      </c>
      <c r="H2" s="7" t="e">
        <f>C2-G2</f>
        <v>#REF!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53" t="str" cm="1">
        <f t="array" ref="A4:A25">Sites[Site]</f>
        <v>Iron Mountain - Windsor</v>
      </c>
      <c r="B4" s="32" t="str" cm="1">
        <f t="array" ref="B4:B25">Sites[State]</f>
        <v>CT</v>
      </c>
      <c r="C4" s="24">
        <f>SUM('1st Qtr'!C4, '2nd Qtr'!C4, '3rd Qtr'!C4, '4th Qtr'!C4)</f>
        <v>49920.75</v>
      </c>
      <c r="D4" s="13">
        <f>SUM('1st Qtr'!D4, '2nd Qtr'!D4, '3rd Qtr'!D4, '4th Qtr'!D4)</f>
        <v>0</v>
      </c>
      <c r="E4" s="13">
        <f>IF(AND(ISNUMBER(C4),ISNUMBER(D4)), C4-D4, "")</f>
        <v>49920.75</v>
      </c>
      <c r="F4" s="14" t="str">
        <f>IFERROR(E4/D4, "")</f>
        <v/>
      </c>
      <c r="G4" s="15">
        <f>SUM('1st Qtr'!G4, '2nd Qtr'!G4, '3rd Qtr'!G4, '4th Qtr'!G4)</f>
        <v>57306.240000000005</v>
      </c>
      <c r="H4" s="15">
        <f>SUM('1st Qtr'!H4, '2nd Qtr'!H4, '3rd Qtr'!H4, '4th Qtr'!H4)</f>
        <v>-7385.4900000000016</v>
      </c>
      <c r="I4" s="16">
        <f>IFERROR(H4/G4, "")</f>
        <v>-0.12887758819981909</v>
      </c>
    </row>
    <row r="5" spans="1:9" ht="15.75">
      <c r="A5" s="54" t="str">
        <v>Kohls - Auburn</v>
      </c>
      <c r="B5" s="30" t="str">
        <v>NY</v>
      </c>
      <c r="C5" s="11">
        <f>SUM(Jan!C5, Feb!C5, Mar!C5)</f>
        <v>44800</v>
      </c>
      <c r="D5" s="18">
        <f>SUM(Jan!D5, Feb!D5, Mar!D5)</f>
        <v>0</v>
      </c>
      <c r="E5" s="18">
        <f t="shared" ref="E5:E15" si="0">IF(AND(ISNUMBER(C5),ISNUMBER(D5)), C5-D5, "")</f>
        <v>44800</v>
      </c>
      <c r="F5" s="19" t="str">
        <f>IFERROR(E5/D5, "")</f>
        <v/>
      </c>
      <c r="G5" s="20">
        <f>SUM('1st Qtr'!G5, '2nd Qtr'!G5, '3rd Qtr'!G5, '4th Qtr'!G5)</f>
        <v>39411.910000000003</v>
      </c>
      <c r="H5" s="20">
        <f>SUM(Jan!H5, Feb!H5, Mar!H5)</f>
        <v>5388.09</v>
      </c>
      <c r="I5" s="19">
        <f>IFERROR(H5/G5, "")</f>
        <v>0.1367122273444753</v>
      </c>
    </row>
    <row r="6" spans="1:9" ht="15.75">
      <c r="A6" s="55" t="str">
        <v>Kohls - Bensalem</v>
      </c>
      <c r="B6" s="28" t="str">
        <v>PA</v>
      </c>
      <c r="C6" s="24">
        <f>SUM(Jan!C6, Feb!C6, Mar!C6)</f>
        <v>66928</v>
      </c>
      <c r="D6" s="13">
        <f>SUM(Jan!D6, Feb!D6, Mar!D6)</f>
        <v>0</v>
      </c>
      <c r="E6" s="13">
        <f t="shared" si="0"/>
        <v>66928</v>
      </c>
      <c r="F6" s="14" t="str">
        <f t="shared" ref="F6:F15" si="1">IFERROR(E6/D6, "")</f>
        <v/>
      </c>
      <c r="G6" s="15">
        <f>SUM('1st Qtr'!G6, '2nd Qtr'!G6, '3rd Qtr'!G6, '4th Qtr'!G6)</f>
        <v>65662.01999999999</v>
      </c>
      <c r="H6" s="15">
        <f>SUM(Jan!H6, Feb!H6, Mar!H6)</f>
        <v>1265.9800000000014</v>
      </c>
      <c r="I6" s="16">
        <f t="shared" ref="I6:I15" si="2">IFERROR(H6/G6, "")</f>
        <v>1.9280247546450774E-2</v>
      </c>
    </row>
    <row r="7" spans="1:9" ht="15.75">
      <c r="A7" s="54" t="str">
        <v>Kohls - Brick</v>
      </c>
      <c r="B7" s="30" t="str">
        <v>NJ</v>
      </c>
      <c r="C7" s="11">
        <f>SUM(Jan!C7, Feb!C7, Mar!C7)</f>
        <v>74090</v>
      </c>
      <c r="D7" s="18">
        <f>SUM(Jan!D7, Feb!D7, Mar!D7)</f>
        <v>0</v>
      </c>
      <c r="E7" s="18">
        <f t="shared" si="0"/>
        <v>74090</v>
      </c>
      <c r="F7" s="19" t="str">
        <f t="shared" si="1"/>
        <v/>
      </c>
      <c r="G7" s="20">
        <f>SUM('1st Qtr'!G7, '2nd Qtr'!G7, '3rd Qtr'!G7, '4th Qtr'!G7)</f>
        <v>75280.86</v>
      </c>
      <c r="H7" s="20">
        <f>SUM(Jan!H7, Feb!H7, Mar!H7)</f>
        <v>-1190.8600000000006</v>
      </c>
      <c r="I7" s="19">
        <f t="shared" si="2"/>
        <v>-1.5818894736324751E-2</v>
      </c>
    </row>
    <row r="8" spans="1:9" ht="15.75">
      <c r="A8" s="55" t="str">
        <v>Kohls - Buffalo</v>
      </c>
      <c r="B8" s="28" t="str">
        <v>NY</v>
      </c>
      <c r="C8" s="24">
        <f>SUM(Jan!C8, Feb!C8, Mar!C8)</f>
        <v>53909</v>
      </c>
      <c r="D8" s="13">
        <f>SUM(Jan!D8, Feb!D8, Mar!D8)</f>
        <v>0</v>
      </c>
      <c r="E8" s="13">
        <f t="shared" si="0"/>
        <v>53909</v>
      </c>
      <c r="F8" s="14" t="str">
        <f t="shared" si="1"/>
        <v/>
      </c>
      <c r="G8" s="15">
        <f>SUM('1st Qtr'!G8, '2nd Qtr'!G8, '3rd Qtr'!G8, '4th Qtr'!G8)</f>
        <v>54727.37</v>
      </c>
      <c r="H8" s="15">
        <f>SUM(Jan!H8, Feb!H8, Mar!H8)</f>
        <v>-818.3700000000008</v>
      </c>
      <c r="I8" s="16">
        <f t="shared" si="2"/>
        <v>-1.4953578072543971E-2</v>
      </c>
    </row>
    <row r="9" spans="1:9" ht="15.75">
      <c r="A9" s="54" t="str">
        <v>Kohls - Canton</v>
      </c>
      <c r="B9" s="30" t="str">
        <v>CT</v>
      </c>
      <c r="C9" s="11">
        <f>SUM(Jan!C9, Feb!C9, Mar!C9)</f>
        <v>24565</v>
      </c>
      <c r="D9" s="18">
        <f>SUM(Jan!D9, Feb!D9, Mar!D9)</f>
        <v>0</v>
      </c>
      <c r="E9" s="18">
        <f t="shared" si="0"/>
        <v>24565</v>
      </c>
      <c r="F9" s="19" t="str">
        <f t="shared" si="1"/>
        <v/>
      </c>
      <c r="G9" s="20">
        <f>SUM('1st Qtr'!G9, '2nd Qtr'!G9, '3rd Qtr'!G9, '4th Qtr'!G9)</f>
        <v>24055.050000000003</v>
      </c>
      <c r="H9" s="20">
        <f>SUM(Jan!H9, Feb!H9, Mar!H9)</f>
        <v>509.94999999999982</v>
      </c>
      <c r="I9" s="19">
        <f t="shared" si="2"/>
        <v>2.1199290793409275E-2</v>
      </c>
    </row>
    <row r="10" spans="1:9" ht="15.75">
      <c r="A10" s="55" t="str">
        <v>Kohls - East Amherst</v>
      </c>
      <c r="B10" s="28" t="str">
        <v>NY</v>
      </c>
      <c r="C10" s="24">
        <f>SUM(Jan!C10, Feb!C10, Mar!C10)</f>
        <v>49240</v>
      </c>
      <c r="D10" s="13">
        <f>SUM(Jan!D10, Feb!D10, Mar!D10)</f>
        <v>0</v>
      </c>
      <c r="E10" s="13">
        <f t="shared" si="0"/>
        <v>49240</v>
      </c>
      <c r="F10" s="14" t="str">
        <f t="shared" si="1"/>
        <v/>
      </c>
      <c r="G10" s="15">
        <f>SUM('1st Qtr'!G10, '2nd Qtr'!G10, '3rd Qtr'!G10, '4th Qtr'!G10)</f>
        <v>51548.69</v>
      </c>
      <c r="H10" s="15">
        <f>SUM(Jan!H10, Feb!H10, Mar!H10)</f>
        <v>-2308.6900000000005</v>
      </c>
      <c r="I10" s="16">
        <f t="shared" si="2"/>
        <v>-4.4786589145136384E-2</v>
      </c>
    </row>
    <row r="11" spans="1:9" ht="15.75">
      <c r="A11" s="54" t="str">
        <v>Kohls - East Brunswick</v>
      </c>
      <c r="B11" s="30" t="str">
        <v>NJ</v>
      </c>
      <c r="C11" s="11">
        <f>SUM(Jan!C11, Feb!C11, Mar!C11)</f>
        <v>79993</v>
      </c>
      <c r="D11" s="18">
        <f>SUM(Jan!D11, Feb!D11, Mar!D11)</f>
        <v>0</v>
      </c>
      <c r="E11" s="18">
        <f t="shared" si="0"/>
        <v>79993</v>
      </c>
      <c r="F11" s="19" t="str">
        <f t="shared" si="1"/>
        <v/>
      </c>
      <c r="G11" s="20">
        <f>SUM('1st Qtr'!G11, '2nd Qtr'!G11, '3rd Qtr'!G11, '4th Qtr'!G11)</f>
        <v>100444.72</v>
      </c>
      <c r="H11" s="20">
        <f>SUM(Jan!H11, Feb!H11, Mar!H11)</f>
        <v>-20451.719999999998</v>
      </c>
      <c r="I11" s="19">
        <f t="shared" si="2"/>
        <v>-0.20361169805640353</v>
      </c>
    </row>
    <row r="12" spans="1:9" ht="15.75">
      <c r="A12" s="55" t="str">
        <v>Kohls - Edgewood</v>
      </c>
      <c r="B12" s="28" t="str">
        <v>MD</v>
      </c>
      <c r="C12" s="24">
        <f>SUM(Jan!C12, Feb!C12, Mar!C12)</f>
        <v>489062</v>
      </c>
      <c r="D12" s="13">
        <f>SUM(Jan!D12, Feb!D12, Mar!D12)</f>
        <v>0</v>
      </c>
      <c r="E12" s="13">
        <f t="shared" si="0"/>
        <v>489062</v>
      </c>
      <c r="F12" s="14" t="str">
        <f t="shared" si="1"/>
        <v/>
      </c>
      <c r="G12" s="15">
        <f>SUM('1st Qtr'!G12, '2nd Qtr'!G12, '3rd Qtr'!G12, '4th Qtr'!G12)</f>
        <v>544665.87</v>
      </c>
      <c r="H12" s="15">
        <f>SUM(Jan!H12, Feb!H12, Mar!H12)</f>
        <v>-55603.870000000024</v>
      </c>
      <c r="I12" s="16">
        <f t="shared" si="2"/>
        <v>-0.10208803793782788</v>
      </c>
    </row>
    <row r="13" spans="1:9" ht="15.75">
      <c r="A13" s="54" t="str">
        <v>Kohls - Granite Run</v>
      </c>
      <c r="B13" s="30" t="str">
        <v>PA</v>
      </c>
      <c r="C13" s="11">
        <f>SUM(Jan!C13, Feb!C13, Mar!C13)</f>
        <v>63649</v>
      </c>
      <c r="D13" s="18">
        <f>SUM(Jan!D13, Feb!D13, Mar!D13)</f>
        <v>0</v>
      </c>
      <c r="E13" s="18">
        <f t="shared" si="0"/>
        <v>63649</v>
      </c>
      <c r="F13" s="19" t="str">
        <f t="shared" si="1"/>
        <v/>
      </c>
      <c r="G13" s="20">
        <f>SUM('1st Qtr'!G13, '2nd Qtr'!G13, '3rd Qtr'!G13, '4th Qtr'!G13)</f>
        <v>65717.16</v>
      </c>
      <c r="H13" s="20">
        <f>SUM(Jan!H13, Feb!H13, Mar!H13)</f>
        <v>-2068.1600000000035</v>
      </c>
      <c r="I13" s="19">
        <f t="shared" si="2"/>
        <v>-3.1470623502293821E-2</v>
      </c>
    </row>
    <row r="14" spans="1:9" ht="15.75">
      <c r="A14" s="55" t="str">
        <v>Kohls - Greece</v>
      </c>
      <c r="B14" s="28" t="str">
        <v>NY</v>
      </c>
      <c r="C14" s="24">
        <f>SUM(Jan!C14, Feb!C14, Mar!C14)</f>
        <v>40858</v>
      </c>
      <c r="D14" s="13">
        <f>SUM(Jan!D14, Feb!D14, Mar!D14)</f>
        <v>0</v>
      </c>
      <c r="E14" s="13">
        <f t="shared" si="0"/>
        <v>40858</v>
      </c>
      <c r="F14" s="14" t="str">
        <f t="shared" si="1"/>
        <v/>
      </c>
      <c r="G14" s="15">
        <f>SUM('1st Qtr'!G14, '2nd Qtr'!G14, '3rd Qtr'!G14, '4th Qtr'!G14)</f>
        <v>51958.83</v>
      </c>
      <c r="H14" s="15">
        <f>SUM(Jan!H14, Feb!H14, Mar!H14)</f>
        <v>-11100.830000000002</v>
      </c>
      <c r="I14" s="16">
        <f t="shared" si="2"/>
        <v>-0.21364665062704455</v>
      </c>
    </row>
    <row r="15" spans="1:9" ht="15.75">
      <c r="A15" s="54" t="str">
        <v>Kohls - Hanover</v>
      </c>
      <c r="B15" s="30" t="str">
        <v>PA</v>
      </c>
      <c r="C15" s="11">
        <f>SUM(Jan!C15, Feb!C15, Mar!C15)</f>
        <v>64193</v>
      </c>
      <c r="D15" s="18">
        <f>SUM(Jan!D15, Feb!D15, Mar!D15)</f>
        <v>0</v>
      </c>
      <c r="E15" s="18">
        <f t="shared" si="0"/>
        <v>64193</v>
      </c>
      <c r="F15" s="19" t="str">
        <f t="shared" si="1"/>
        <v/>
      </c>
      <c r="G15" s="20">
        <f>SUM('1st Qtr'!G15, '2nd Qtr'!G15, '3rd Qtr'!G15, '4th Qtr'!G15)</f>
        <v>73738.67</v>
      </c>
      <c r="H15" s="20">
        <f>SUM(Jan!H15, Feb!H15, Mar!H15)</f>
        <v>-9545.6699999999983</v>
      </c>
      <c r="I15" s="19">
        <f t="shared" si="2"/>
        <v>-0.12945270100477807</v>
      </c>
    </row>
    <row r="16" spans="1:9" ht="15.75">
      <c r="A16" s="55" t="str">
        <v>Kohls - Horsehead</v>
      </c>
      <c r="B16" s="28" t="str">
        <v>NY</v>
      </c>
      <c r="C16" s="24">
        <f>SUM(Jan!C16, Feb!C16, Mar!C16)</f>
        <v>44058</v>
      </c>
      <c r="D16" s="13">
        <f>SUM(Jan!D16, Feb!D16, Mar!D16)</f>
        <v>0</v>
      </c>
      <c r="E16" s="13">
        <f t="shared" ref="E16:E19" si="3">IF(AND(ISNUMBER(C16),ISNUMBER(D16)), C16-D16, "")</f>
        <v>44058</v>
      </c>
      <c r="F16" s="14" t="str">
        <f t="shared" ref="F16:F19" si="4">IFERROR(E16/D16, "")</f>
        <v/>
      </c>
      <c r="G16" s="15">
        <f>SUM('1st Qtr'!G16, '2nd Qtr'!G16, '3rd Qtr'!G16, '4th Qtr'!G16)</f>
        <v>53785.880000000005</v>
      </c>
      <c r="H16" s="15">
        <f>SUM(Jan!H16, Feb!H16, Mar!H16)</f>
        <v>-9727.880000000001</v>
      </c>
      <c r="I16" s="16">
        <f t="shared" ref="I16:I19" si="5">IFERROR(H16/G16, "")</f>
        <v>-0.1808630815373849</v>
      </c>
    </row>
    <row r="17" spans="1:9" ht="15.75">
      <c r="A17" s="54" t="str">
        <v>Kohls - Hudson</v>
      </c>
      <c r="B17" s="30" t="str">
        <v>NY</v>
      </c>
      <c r="C17" s="11">
        <f>SUM(Jan!C17, Feb!C17, Mar!C17)</f>
        <v>20828</v>
      </c>
      <c r="D17" s="18">
        <f>SUM(Jan!D17, Feb!D17, Mar!D17)</f>
        <v>0</v>
      </c>
      <c r="E17" s="18">
        <f t="shared" si="3"/>
        <v>20828</v>
      </c>
      <c r="F17" s="19" t="str">
        <f t="shared" si="4"/>
        <v/>
      </c>
      <c r="G17" s="20">
        <f>SUM('1st Qtr'!G17, '2nd Qtr'!G17, '3rd Qtr'!G17, '4th Qtr'!G17)</f>
        <v>61289.81</v>
      </c>
      <c r="H17" s="20">
        <f>SUM(Jan!H17, Feb!H17, Mar!H17)</f>
        <v>-40461.81</v>
      </c>
      <c r="I17" s="19">
        <f t="shared" si="5"/>
        <v>-0.66017189480600447</v>
      </c>
    </row>
    <row r="18" spans="1:9" ht="12.75" customHeight="1">
      <c r="A18" s="55" t="str">
        <v>Kohls - Ithaca</v>
      </c>
      <c r="B18" s="28" t="str">
        <v>NY</v>
      </c>
      <c r="C18" s="24">
        <f>SUM(Jan!C18, Feb!C18, Mar!C18)</f>
        <v>43460</v>
      </c>
      <c r="D18" s="13">
        <f>SUM(Jan!D18, Feb!D18, Mar!D18)</f>
        <v>0</v>
      </c>
      <c r="E18" s="13">
        <f t="shared" si="3"/>
        <v>43460</v>
      </c>
      <c r="F18" s="14" t="str">
        <f t="shared" si="4"/>
        <v/>
      </c>
      <c r="G18" s="15">
        <f>SUM('1st Qtr'!G18, '2nd Qtr'!G18, '3rd Qtr'!G18, '4th Qtr'!G18)</f>
        <v>57048.45</v>
      </c>
      <c r="H18" s="15">
        <f>SUM(Jan!H18, Feb!H18, Mar!H18)</f>
        <v>-13588.449999999999</v>
      </c>
      <c r="I18" s="16">
        <f t="shared" si="5"/>
        <v>-0.23819139696170535</v>
      </c>
    </row>
    <row r="19" spans="1:9" ht="15.75">
      <c r="A19" s="54" t="str">
        <v>Kohls - Kingston</v>
      </c>
      <c r="B19" s="30" t="str">
        <v>NY</v>
      </c>
      <c r="C19" s="11">
        <f>SUM(Jan!C19, Feb!C19, Mar!C19)</f>
        <v>87519</v>
      </c>
      <c r="D19" s="18">
        <f>SUM(Jan!D19, Feb!D19, Mar!D19)</f>
        <v>0</v>
      </c>
      <c r="E19" s="18">
        <f t="shared" si="3"/>
        <v>87519</v>
      </c>
      <c r="F19" s="19" t="str">
        <f t="shared" si="4"/>
        <v/>
      </c>
      <c r="G19" s="20">
        <f>SUM('1st Qtr'!G19, '2nd Qtr'!G19, '3rd Qtr'!G19, '4th Qtr'!G19)</f>
        <v>88844.589000000007</v>
      </c>
      <c r="H19" s="20">
        <f>SUM(Jan!H19, Feb!H19, Mar!H19)</f>
        <v>-1325.5890000000036</v>
      </c>
      <c r="I19" s="19">
        <f t="shared" si="5"/>
        <v>-1.4920312141913375E-2</v>
      </c>
    </row>
    <row r="20" spans="1:9" ht="15.75">
      <c r="A20" s="55" t="str">
        <v>Kohls - Mechanicsburg</v>
      </c>
      <c r="B20" s="28" t="str">
        <v>PA</v>
      </c>
      <c r="C20" s="24">
        <f>SUM(Jan!C20, Feb!C20, Mar!C20)</f>
        <v>83627</v>
      </c>
      <c r="D20" s="13">
        <f>SUM(Jan!D20, Feb!D20, Mar!D20)</f>
        <v>0</v>
      </c>
      <c r="E20" s="13">
        <f t="shared" ref="E20:E25" si="6">IF(AND(ISNUMBER(C20),ISNUMBER(D20)), C20-D20, "")</f>
        <v>83627</v>
      </c>
      <c r="F20" s="14" t="str">
        <f t="shared" ref="F20:F25" si="7">IFERROR(E20/D20, "")</f>
        <v/>
      </c>
      <c r="G20" s="15">
        <f>SUM('1st Qtr'!G20, '2nd Qtr'!G20, '3rd Qtr'!G20, '4th Qtr'!G20)</f>
        <v>84448.72</v>
      </c>
      <c r="H20" s="15">
        <f>SUM(Jan!H20, Feb!H20, Mar!H20)</f>
        <v>-821.72000000000116</v>
      </c>
      <c r="I20" s="16">
        <f t="shared" ref="I20:I25" si="8">IFERROR(H20/G20, "")</f>
        <v>-9.7304020712214601E-3</v>
      </c>
    </row>
    <row r="21" spans="1:9" ht="15.75">
      <c r="A21" s="54" t="str">
        <v>Kohls - Middletown</v>
      </c>
      <c r="B21" s="30" t="str">
        <v>NJ</v>
      </c>
      <c r="C21" s="11">
        <f>SUM(Jan!C21, Feb!C21, Mar!C21)</f>
        <v>30711</v>
      </c>
      <c r="D21" s="18">
        <f>SUM(Jan!D21, Feb!D21, Mar!D21)</f>
        <v>0</v>
      </c>
      <c r="E21" s="18">
        <f t="shared" si="6"/>
        <v>30711</v>
      </c>
      <c r="F21" s="19" t="str">
        <f t="shared" si="7"/>
        <v/>
      </c>
      <c r="G21" s="20">
        <f>SUM('1st Qtr'!G21, '2nd Qtr'!G21, '3rd Qtr'!G21, '4th Qtr'!G21)</f>
        <v>119056.45999999999</v>
      </c>
      <c r="H21" s="20">
        <f>SUM(Jan!H21, Feb!H21, Mar!H21)</f>
        <v>-88345.459999999992</v>
      </c>
      <c r="I21" s="19">
        <f t="shared" si="8"/>
        <v>-0.74204675663966491</v>
      </c>
    </row>
    <row r="22" spans="1:9" ht="15.75">
      <c r="A22" s="55" t="str">
        <v>Kohls - North Amherst</v>
      </c>
      <c r="B22" s="28" t="str">
        <v>NY</v>
      </c>
      <c r="C22" s="24">
        <f>SUM(Jan!C22, Feb!C22, Mar!C22)</f>
        <v>37771</v>
      </c>
      <c r="D22" s="13">
        <f>SUM(Jan!D22, Feb!D22, Mar!D22)</f>
        <v>0</v>
      </c>
      <c r="E22" s="13">
        <f t="shared" si="6"/>
        <v>37771</v>
      </c>
      <c r="F22" s="14" t="str">
        <f t="shared" si="7"/>
        <v/>
      </c>
      <c r="G22" s="15">
        <f>SUM('1st Qtr'!G22, '2nd Qtr'!G22, '3rd Qtr'!G22, '4th Qtr'!G22)</f>
        <v>44557.45</v>
      </c>
      <c r="H22" s="15">
        <f>SUM(Jan!H22, Feb!H22, Mar!H22)</f>
        <v>-6786.4499999999989</v>
      </c>
      <c r="I22" s="16">
        <f t="shared" si="8"/>
        <v>-0.15230786321928205</v>
      </c>
    </row>
    <row r="23" spans="1:9" ht="15.75">
      <c r="A23" s="54" t="str">
        <v>Kohls - Staten Island</v>
      </c>
      <c r="B23" s="30" t="str">
        <v>NY</v>
      </c>
      <c r="C23" s="11">
        <f>SUM(Jan!C23, Feb!C23, Mar!C23)</f>
        <v>59937.599999999999</v>
      </c>
      <c r="D23" s="18">
        <f>SUM(Jan!D23, Feb!D23, Mar!D23)</f>
        <v>0</v>
      </c>
      <c r="E23" s="18">
        <f t="shared" si="6"/>
        <v>59937.599999999999</v>
      </c>
      <c r="F23" s="19" t="str">
        <f t="shared" si="7"/>
        <v/>
      </c>
      <c r="G23" s="20">
        <f>SUM('1st Qtr'!G23, '2nd Qtr'!G23, '3rd Qtr'!G23, '4th Qtr'!G23)</f>
        <v>73401.73000000001</v>
      </c>
      <c r="H23" s="20">
        <f>SUM(Jan!H23, Feb!H23, Mar!H23)</f>
        <v>-8920.7000000000007</v>
      </c>
      <c r="I23" s="19">
        <f t="shared" si="8"/>
        <v>-0.12153255788385368</v>
      </c>
    </row>
    <row r="24" spans="1:9" ht="15.75">
      <c r="A24" s="55" t="str">
        <v>Kohls - Warminster</v>
      </c>
      <c r="B24" s="28" t="str">
        <v>PA</v>
      </c>
      <c r="C24" s="24">
        <f>SUM(Jan!C24, Feb!C24, Mar!C24)</f>
        <v>40475</v>
      </c>
      <c r="D24" s="13">
        <f>SUM(Jan!D24, Feb!D24, Mar!D24)</f>
        <v>0</v>
      </c>
      <c r="E24" s="13">
        <f t="shared" si="6"/>
        <v>40475</v>
      </c>
      <c r="F24" s="14" t="str">
        <f t="shared" si="7"/>
        <v/>
      </c>
      <c r="G24" s="15">
        <f>SUM('1st Qtr'!G24, '2nd Qtr'!G24, '3rd Qtr'!G24, '4th Qtr'!G24)</f>
        <v>72736.63</v>
      </c>
      <c r="H24" s="15">
        <f>SUM(Jan!H24, Feb!H24, Mar!H24)</f>
        <v>-40277.78</v>
      </c>
      <c r="I24" s="16">
        <f t="shared" si="8"/>
        <v>-0.55374822836856752</v>
      </c>
    </row>
    <row r="25" spans="1:9" ht="15.75">
      <c r="A25" s="54" t="str">
        <v xml:space="preserve">Kohls - Waterbury </v>
      </c>
      <c r="B25" s="30" t="str">
        <v>CT</v>
      </c>
      <c r="C25" s="11">
        <f>SUM(Jan!C25, Feb!C25, Mar!C25)</f>
        <v>61440</v>
      </c>
      <c r="D25" s="18">
        <f>SUM(Jan!D25, Feb!D25, Mar!D25)</f>
        <v>0</v>
      </c>
      <c r="E25" s="18">
        <f t="shared" si="6"/>
        <v>61440</v>
      </c>
      <c r="F25" s="19" t="str">
        <f t="shared" si="7"/>
        <v/>
      </c>
      <c r="G25" s="20" t="e">
        <f>SUM('1st Qtr'!G25, '2nd Qtr'!G25, '3rd Qtr'!G25, '4th Qtr'!G25)</f>
        <v>#REF!</v>
      </c>
      <c r="H25" s="20">
        <f>SUM(Jan!H25, Feb!H25, Mar!H25)</f>
        <v>-2028.6800000000021</v>
      </c>
      <c r="I25" s="19" t="str">
        <f t="shared" si="8"/>
        <v/>
      </c>
    </row>
    <row r="26" spans="1:9" ht="12.95">
      <c r="A26" s="21"/>
      <c r="B26" s="21"/>
      <c r="C26" s="21"/>
      <c r="D26" s="21"/>
      <c r="E26" s="21"/>
      <c r="F26" s="21"/>
      <c r="G26" s="21"/>
      <c r="H26" s="21"/>
      <c r="I26" s="21"/>
    </row>
    <row r="27" spans="1:9" ht="12.95">
      <c r="A27" s="21"/>
      <c r="B27" s="21"/>
      <c r="C27" s="21"/>
      <c r="D27" s="21"/>
      <c r="E27" s="21"/>
      <c r="F27" s="21"/>
      <c r="G27" s="21"/>
      <c r="H27" s="21"/>
      <c r="I27" s="21"/>
    </row>
    <row r="28" spans="1:9" ht="12.95">
      <c r="A28" s="21"/>
      <c r="B28" s="21"/>
      <c r="C28" s="21"/>
      <c r="D28" s="21"/>
      <c r="E28" s="21"/>
      <c r="F28" s="21"/>
      <c r="G28" s="21"/>
      <c r="H28" s="21"/>
      <c r="I28" s="21"/>
    </row>
    <row r="29" spans="1:9" ht="12.95">
      <c r="A29" s="21"/>
      <c r="B29" s="21"/>
      <c r="C29" s="21"/>
      <c r="D29" s="21"/>
      <c r="E29" s="21"/>
      <c r="F29" s="21"/>
      <c r="G29" s="21"/>
      <c r="H29" s="21"/>
      <c r="I29" s="21"/>
    </row>
    <row r="30" spans="1:9" ht="12.95">
      <c r="A30" s="21"/>
      <c r="B30" s="21"/>
      <c r="C30" s="21"/>
      <c r="D30" s="21"/>
      <c r="E30" s="21"/>
      <c r="F30" s="21"/>
      <c r="G30" s="21"/>
      <c r="H30" s="21"/>
      <c r="I30" s="21"/>
    </row>
    <row r="31" spans="1:9" ht="12.95">
      <c r="A31" s="21"/>
      <c r="B31" s="21"/>
      <c r="C31" s="21"/>
      <c r="D31" s="21"/>
      <c r="E31" s="21"/>
      <c r="F31" s="21"/>
      <c r="G31" s="21"/>
      <c r="H31" s="21"/>
      <c r="I31" s="21"/>
    </row>
    <row r="32" spans="1:9" ht="12.95">
      <c r="A32" s="21"/>
      <c r="B32" s="21"/>
      <c r="C32" s="21"/>
      <c r="D32" s="21"/>
      <c r="E32" s="21"/>
      <c r="F32" s="21"/>
      <c r="G32" s="21"/>
      <c r="H32" s="21"/>
      <c r="I32" s="21"/>
    </row>
    <row r="33" spans="1:9" ht="12.9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2.9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2.9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2.9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2.9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2.9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2.9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2.9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2.9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2.9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2.9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2.9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2.9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2.9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2.9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2.9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2.9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2.9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2.9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2.9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2.9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2.9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2.9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2.9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2.9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2.9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2.9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2.9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2.9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2.9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2.9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2.9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2.9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2.9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2.9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2.9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2.9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2.9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2.9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2.9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2.9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2.9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2.9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2.9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2.9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2.9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2.9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2.9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2.9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2.9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2.9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2.9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2.9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2.9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2.9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2.9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2.9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2.9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2.9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2.9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2.9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2.9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2.9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2.9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2.9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2.9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2.9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2.9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2.9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2.9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2.9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2.9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2.9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2.9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2.9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2.9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2.9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2.9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2.9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2.9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2.9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2.9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2.9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2.9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2.9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2.9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2.9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2.9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2.9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2.9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2.9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2.9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2.9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2.9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2.9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2.9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2.9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2.9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2.9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2.9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2.9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2.9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2.9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2.9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2.9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2.9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2.9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2.9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2.9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2.9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2.9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2.9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2.9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2.9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2.9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2.9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2.9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2.9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2.9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2.9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2.9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2.9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2.9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2.9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2.9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2.9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2.9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2.9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2.9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2.9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2.9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2.9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2.9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2.9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2.9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2.9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2.9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2.9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2.9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2.9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2.9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2.9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2.9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2.9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2.9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2.9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2.9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2.9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2.9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2.9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2.9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2.9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2.9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2.9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2.9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2.9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2.9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2.9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2.9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2.9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2.9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2.9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2.9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2.9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2.9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2.9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2.9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2.9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2.9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2.9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2.9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2.9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2.9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2.9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2.9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2.9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2.9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2.9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2.9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2.9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2.9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2.9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2.9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2.9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2.9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2.9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2.9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2.9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2.9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2.9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2.9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2.9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2.9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2.9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2.9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2.9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2.9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2.9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2.9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2.9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2.9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2.9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2.9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2.9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2.9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2.9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2.9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2.9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2.9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2.9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2.9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2.9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2.9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2.9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2.9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2.9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2.9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2.9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2.9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2.9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2.9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2.9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2.9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2.9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2.9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2.9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2.9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2.9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2.9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2.9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2.9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2.9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2.9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2.9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2.9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2.9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2.9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2.9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2.9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2.9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2.9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2.9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2.9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2.9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2.9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2.9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2.9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2.9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2.9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2.9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2.9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2.9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2.9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2.9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2.9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2.9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2.9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2.9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2.9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2.9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2.9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2.9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2.9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2.9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2.9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2.9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2.9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2.9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2.9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2.9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2.9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2.9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2.9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2.9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2.9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2.9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2.9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2.9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2.9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2.9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2.9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2.9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2.9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2.9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2.9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2.9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2.9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2.9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2.9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2.9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2.9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2.9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2.9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2.9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2.9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2.9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2.9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2.9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2.9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2.9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2.9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2.9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2.9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2.9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2.9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2.9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2.9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2.9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2.9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2.95">
      <c r="A342" s="21"/>
      <c r="B342" s="21"/>
      <c r="C342" s="21"/>
      <c r="D342" s="21"/>
      <c r="E342" s="21"/>
      <c r="F342" s="22"/>
      <c r="G342" s="21"/>
      <c r="H342" s="21"/>
      <c r="I342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100 I4:I100">
    <cfRule type="cellIs" dxfId="58" priority="1" stopIfTrue="1" operator="lessThanOrEqual">
      <formula>-0.1</formula>
    </cfRule>
    <cfRule type="expression" dxfId="5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42"/>
  <sheetViews>
    <sheetView workbookViewId="0">
      <pane xSplit="2" ySplit="3" topLeftCell="C4" activePane="bottomRight" state="frozen"/>
      <selection pane="bottomRight" activeCell="K25" sqref="K25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9" t="str" cm="1">
        <f t="array" ref="A1">portfolio</f>
        <v>Silicon Ranch</v>
      </c>
      <c r="B1" s="59"/>
      <c r="C1" s="59"/>
      <c r="D1" s="60" t="s">
        <v>10</v>
      </c>
      <c r="E1" s="60"/>
      <c r="F1" s="60"/>
      <c r="G1" s="58" t="s">
        <v>11</v>
      </c>
      <c r="H1" s="58"/>
      <c r="I1" s="58"/>
    </row>
    <row r="2" spans="1:9" ht="19.5" customHeight="1">
      <c r="A2" s="61" t="s">
        <v>2</v>
      </c>
      <c r="B2" s="61"/>
      <c r="C2" s="5">
        <f>SUM(C4:C100)</f>
        <v>1611034.35</v>
      </c>
      <c r="D2" s="5">
        <f>SUM(D4:D100)</f>
        <v>0</v>
      </c>
      <c r="E2" s="5">
        <f>C2-D2</f>
        <v>1611034.35</v>
      </c>
      <c r="F2" s="6">
        <f>IFERROR(E2/D2, 0)</f>
        <v>0</v>
      </c>
      <c r="G2" s="5" t="e">
        <f>SUM(G4:G100)</f>
        <v>#REF!</v>
      </c>
      <c r="H2" s="7" t="e">
        <f>C2-G2</f>
        <v>#REF!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50" t="str" cm="1">
        <f t="array" ref="A4:A25">Sites[Site]</f>
        <v>Iron Mountain - Windsor</v>
      </c>
      <c r="B4" s="9" t="str" cm="1">
        <f t="array" ref="B4:B25">Sites[State]</f>
        <v>CT</v>
      </c>
      <c r="C4" s="24">
        <f>SUM(Jan!C4, Feb!C4, Mar!C4)</f>
        <v>49920.75</v>
      </c>
      <c r="D4" s="13">
        <f>SUM(Jan!D4, Feb!D4, Mar!D4)</f>
        <v>0</v>
      </c>
      <c r="E4" s="13">
        <f>IF(AND(ISNUMBER(C4),ISNUMBER(D4)), C4-D4, "")</f>
        <v>49920.75</v>
      </c>
      <c r="F4" s="14" t="str">
        <f>IFERROR(E4/D4, "")</f>
        <v/>
      </c>
      <c r="G4" s="15">
        <f>SUM(Jan!G4, Feb!G4, Mar!G4)</f>
        <v>57306.240000000005</v>
      </c>
      <c r="H4" s="15">
        <f>SUM(Jan!H4, Feb!H4, Mar!H4)</f>
        <v>-7385.4900000000016</v>
      </c>
      <c r="I4" s="16">
        <f>IFERROR(H4/G4, "")</f>
        <v>-0.12887758819981909</v>
      </c>
    </row>
    <row r="5" spans="1:9" ht="15.75">
      <c r="A5" s="51" t="str">
        <v>Kohls - Auburn</v>
      </c>
      <c r="B5" s="10" t="str">
        <v>NY</v>
      </c>
      <c r="C5" s="11">
        <f>SUM(Jan!C5, Feb!C5, Mar!C5)</f>
        <v>44800</v>
      </c>
      <c r="D5" s="18">
        <f>SUM(Jan!D5, Feb!D5, Mar!D5)</f>
        <v>0</v>
      </c>
      <c r="E5" s="18">
        <f t="shared" ref="E5:E15" si="0">IF(AND(ISNUMBER(C5),ISNUMBER(D5)), C5-D5, "")</f>
        <v>44800</v>
      </c>
      <c r="F5" s="19" t="str">
        <f>IFERROR(E5/D5, "")</f>
        <v/>
      </c>
      <c r="G5" s="20">
        <f>SUM(Jan!G5, Feb!G5, Mar!G5)</f>
        <v>39411.910000000003</v>
      </c>
      <c r="H5" s="20">
        <f>SUM(Jan!H5, Feb!H5, Mar!H5)</f>
        <v>5388.09</v>
      </c>
      <c r="I5" s="19">
        <f>IFERROR(H5/G5, "")</f>
        <v>0.1367122273444753</v>
      </c>
    </row>
    <row r="6" spans="1:9" ht="15.75">
      <c r="A6" s="50" t="str">
        <v>Kohls - Bensalem</v>
      </c>
      <c r="B6" s="9" t="str">
        <v>PA</v>
      </c>
      <c r="C6" s="24">
        <f>SUM(Jan!C6, Feb!C6, Mar!C6)</f>
        <v>66928</v>
      </c>
      <c r="D6" s="13">
        <f>SUM(Jan!D6, Feb!D6, Mar!D6)</f>
        <v>0</v>
      </c>
      <c r="E6" s="13">
        <f t="shared" si="0"/>
        <v>66928</v>
      </c>
      <c r="F6" s="14" t="str">
        <f t="shared" ref="F6:F15" si="1">IFERROR(E6/D6, "")</f>
        <v/>
      </c>
      <c r="G6" s="15">
        <f>SUM(Jan!G6, Feb!G6, Mar!G6)</f>
        <v>65662.01999999999</v>
      </c>
      <c r="H6" s="15">
        <f>SUM(Jan!H6, Feb!H6, Mar!H6)</f>
        <v>1265.9800000000014</v>
      </c>
      <c r="I6" s="16">
        <f t="shared" ref="I6:I15" si="2">IFERROR(H6/G6, "")</f>
        <v>1.9280247546450774E-2</v>
      </c>
    </row>
    <row r="7" spans="1:9" ht="15.75">
      <c r="A7" s="51" t="str">
        <v>Kohls - Brick</v>
      </c>
      <c r="B7" s="10" t="str">
        <v>NJ</v>
      </c>
      <c r="C7" s="11">
        <f>SUM(Jan!C7, Feb!C7, Mar!C7)</f>
        <v>74090</v>
      </c>
      <c r="D7" s="18">
        <f>SUM(Jan!D7, Feb!D7, Mar!D7)</f>
        <v>0</v>
      </c>
      <c r="E7" s="18">
        <f t="shared" si="0"/>
        <v>74090</v>
      </c>
      <c r="F7" s="19" t="str">
        <f t="shared" si="1"/>
        <v/>
      </c>
      <c r="G7" s="20">
        <f>SUM(Jan!G7, Feb!G7, Mar!G7)</f>
        <v>75280.86</v>
      </c>
      <c r="H7" s="20">
        <f>SUM(Jan!H7, Feb!H7, Mar!H7)</f>
        <v>-1190.8600000000006</v>
      </c>
      <c r="I7" s="19">
        <f t="shared" si="2"/>
        <v>-1.5818894736324751E-2</v>
      </c>
    </row>
    <row r="8" spans="1:9" ht="15.75">
      <c r="A8" s="50" t="str">
        <v>Kohls - Buffalo</v>
      </c>
      <c r="B8" s="9" t="str">
        <v>NY</v>
      </c>
      <c r="C8" s="24">
        <f>SUM(Jan!C8, Feb!C8, Mar!C8)</f>
        <v>53909</v>
      </c>
      <c r="D8" s="13">
        <f>SUM(Jan!D8, Feb!D8, Mar!D8)</f>
        <v>0</v>
      </c>
      <c r="E8" s="13">
        <f t="shared" si="0"/>
        <v>53909</v>
      </c>
      <c r="F8" s="14" t="str">
        <f t="shared" si="1"/>
        <v/>
      </c>
      <c r="G8" s="15">
        <f>SUM(Jan!G8, Feb!G8, Mar!G8)</f>
        <v>54727.37</v>
      </c>
      <c r="H8" s="15">
        <f>SUM(Jan!H8, Feb!H8, Mar!H8)</f>
        <v>-818.3700000000008</v>
      </c>
      <c r="I8" s="16">
        <f t="shared" si="2"/>
        <v>-1.4953578072543971E-2</v>
      </c>
    </row>
    <row r="9" spans="1:9" ht="15.75">
      <c r="A9" s="51" t="str">
        <v>Kohls - Canton</v>
      </c>
      <c r="B9" s="10" t="str">
        <v>CT</v>
      </c>
      <c r="C9" s="11">
        <f>SUM(Jan!C9, Feb!C9, Mar!C9)</f>
        <v>24565</v>
      </c>
      <c r="D9" s="18">
        <f>SUM(Jan!D9, Feb!D9, Mar!D9)</f>
        <v>0</v>
      </c>
      <c r="E9" s="18">
        <f t="shared" si="0"/>
        <v>24565</v>
      </c>
      <c r="F9" s="19" t="str">
        <f t="shared" si="1"/>
        <v/>
      </c>
      <c r="G9" s="20">
        <f>SUM(Jan!G9, Feb!G9, Mar!G9)</f>
        <v>24055.050000000003</v>
      </c>
      <c r="H9" s="20">
        <f>SUM(Jan!H9, Feb!H9, Mar!H9)</f>
        <v>509.94999999999982</v>
      </c>
      <c r="I9" s="19">
        <f t="shared" si="2"/>
        <v>2.1199290793409275E-2</v>
      </c>
    </row>
    <row r="10" spans="1:9" ht="15.75">
      <c r="A10" s="50" t="str">
        <v>Kohls - East Amherst</v>
      </c>
      <c r="B10" s="9" t="str">
        <v>NY</v>
      </c>
      <c r="C10" s="24">
        <f>SUM(Jan!C10, Feb!C10, Mar!C10)</f>
        <v>49240</v>
      </c>
      <c r="D10" s="13">
        <f>SUM(Jan!D10, Feb!D10, Mar!D10)</f>
        <v>0</v>
      </c>
      <c r="E10" s="13">
        <f t="shared" si="0"/>
        <v>49240</v>
      </c>
      <c r="F10" s="14" t="str">
        <f t="shared" si="1"/>
        <v/>
      </c>
      <c r="G10" s="15">
        <f>SUM(Jan!G10, Feb!G10, Mar!G10)</f>
        <v>51548.69</v>
      </c>
      <c r="H10" s="15">
        <f>SUM(Jan!H10, Feb!H10, Mar!H10)</f>
        <v>-2308.6900000000005</v>
      </c>
      <c r="I10" s="16">
        <f t="shared" si="2"/>
        <v>-4.4786589145136384E-2</v>
      </c>
    </row>
    <row r="11" spans="1:9" ht="15.75">
      <c r="A11" s="51" t="str">
        <v>Kohls - East Brunswick</v>
      </c>
      <c r="B11" s="10" t="str">
        <v>NJ</v>
      </c>
      <c r="C11" s="11">
        <f>SUM(Jan!C11, Feb!C11, Mar!C11)</f>
        <v>79993</v>
      </c>
      <c r="D11" s="18">
        <f>SUM(Jan!D11, Feb!D11, Mar!D11)</f>
        <v>0</v>
      </c>
      <c r="E11" s="18">
        <f t="shared" si="0"/>
        <v>79993</v>
      </c>
      <c r="F11" s="19" t="str">
        <f t="shared" si="1"/>
        <v/>
      </c>
      <c r="G11" s="20">
        <f>SUM(Jan!G11, Feb!G11, Mar!G11)</f>
        <v>100444.72</v>
      </c>
      <c r="H11" s="20">
        <f>SUM(Jan!H11, Feb!H11, Mar!H11)</f>
        <v>-20451.719999999998</v>
      </c>
      <c r="I11" s="19">
        <f t="shared" si="2"/>
        <v>-0.20361169805640353</v>
      </c>
    </row>
    <row r="12" spans="1:9" ht="15.75">
      <c r="A12" s="50" t="str">
        <v>Kohls - Edgewood</v>
      </c>
      <c r="B12" s="9" t="str">
        <v>MD</v>
      </c>
      <c r="C12" s="24">
        <f>SUM(Jan!C12, Feb!C12, Mar!C12)</f>
        <v>489062</v>
      </c>
      <c r="D12" s="13">
        <f>SUM(Jan!D12, Feb!D12, Mar!D12)</f>
        <v>0</v>
      </c>
      <c r="E12" s="13">
        <f t="shared" si="0"/>
        <v>489062</v>
      </c>
      <c r="F12" s="14" t="str">
        <f t="shared" si="1"/>
        <v/>
      </c>
      <c r="G12" s="15">
        <f>SUM(Jan!G12, Feb!G12, Mar!G12)</f>
        <v>544665.87</v>
      </c>
      <c r="H12" s="15">
        <f>SUM(Jan!H12, Feb!H12, Mar!H12)</f>
        <v>-55603.870000000024</v>
      </c>
      <c r="I12" s="16">
        <f t="shared" si="2"/>
        <v>-0.10208803793782788</v>
      </c>
    </row>
    <row r="13" spans="1:9" ht="15.75">
      <c r="A13" s="51" t="str">
        <v>Kohls - Granite Run</v>
      </c>
      <c r="B13" s="10" t="str">
        <v>PA</v>
      </c>
      <c r="C13" s="11">
        <f>SUM(Jan!C13, Feb!C13, Mar!C13)</f>
        <v>63649</v>
      </c>
      <c r="D13" s="18">
        <f>SUM(Jan!D13, Feb!D13, Mar!D13)</f>
        <v>0</v>
      </c>
      <c r="E13" s="18">
        <f t="shared" si="0"/>
        <v>63649</v>
      </c>
      <c r="F13" s="19" t="str">
        <f t="shared" si="1"/>
        <v/>
      </c>
      <c r="G13" s="20">
        <f>SUM(Jan!G13, Feb!G13, Mar!G13)</f>
        <v>65717.16</v>
      </c>
      <c r="H13" s="20">
        <f>SUM(Jan!H13, Feb!H13, Mar!H13)</f>
        <v>-2068.1600000000035</v>
      </c>
      <c r="I13" s="19">
        <f t="shared" si="2"/>
        <v>-3.1470623502293821E-2</v>
      </c>
    </row>
    <row r="14" spans="1:9" ht="15.75">
      <c r="A14" s="50" t="str">
        <v>Kohls - Greece</v>
      </c>
      <c r="B14" s="9" t="str">
        <v>NY</v>
      </c>
      <c r="C14" s="24">
        <f>SUM(Jan!C14, Feb!C14, Mar!C14)</f>
        <v>40858</v>
      </c>
      <c r="D14" s="13">
        <f>SUM(Jan!D14, Feb!D14, Mar!D14)</f>
        <v>0</v>
      </c>
      <c r="E14" s="13">
        <f t="shared" si="0"/>
        <v>40858</v>
      </c>
      <c r="F14" s="14" t="str">
        <f t="shared" si="1"/>
        <v/>
      </c>
      <c r="G14" s="15">
        <f>SUM(Jan!G14, Feb!G14, Mar!G14)</f>
        <v>51958.83</v>
      </c>
      <c r="H14" s="15">
        <f>SUM(Jan!H14, Feb!H14, Mar!H14)</f>
        <v>-11100.830000000002</v>
      </c>
      <c r="I14" s="16">
        <f t="shared" si="2"/>
        <v>-0.21364665062704455</v>
      </c>
    </row>
    <row r="15" spans="1:9" ht="15.75">
      <c r="A15" s="51" t="str">
        <v>Kohls - Hanover</v>
      </c>
      <c r="B15" s="10" t="str">
        <v>PA</v>
      </c>
      <c r="C15" s="11">
        <f>SUM(Jan!C15, Feb!C15, Mar!C15)</f>
        <v>64193</v>
      </c>
      <c r="D15" s="18">
        <f>SUM(Jan!D15, Feb!D15, Mar!D15)</f>
        <v>0</v>
      </c>
      <c r="E15" s="18">
        <f t="shared" si="0"/>
        <v>64193</v>
      </c>
      <c r="F15" s="19" t="str">
        <f t="shared" si="1"/>
        <v/>
      </c>
      <c r="G15" s="20">
        <f>SUM(Jan!G15, Feb!G15, Mar!G15)</f>
        <v>73738.67</v>
      </c>
      <c r="H15" s="20">
        <f>SUM(Jan!H15, Feb!H15, Mar!H15)</f>
        <v>-9545.6699999999983</v>
      </c>
      <c r="I15" s="19">
        <f t="shared" si="2"/>
        <v>-0.12945270100477807</v>
      </c>
    </row>
    <row r="16" spans="1:9" ht="15.75">
      <c r="A16" s="50" t="str">
        <v>Kohls - Horsehead</v>
      </c>
      <c r="B16" s="9" t="str">
        <v>NY</v>
      </c>
      <c r="C16" s="24">
        <f>SUM(Jan!C16, Feb!C16, Mar!C16)</f>
        <v>44058</v>
      </c>
      <c r="D16" s="13">
        <f>SUM(Jan!D16, Feb!D16, Mar!D16)</f>
        <v>0</v>
      </c>
      <c r="E16" s="13">
        <f t="shared" ref="E16:E18" si="3">IF(AND(ISNUMBER(C16),ISNUMBER(D16)), C16-D16, "")</f>
        <v>44058</v>
      </c>
      <c r="F16" s="14" t="str">
        <f t="shared" ref="F16:F18" si="4">IFERROR(E16/D16, "")</f>
        <v/>
      </c>
      <c r="G16" s="15">
        <f>SUM(Jan!G16, Feb!G16, Mar!G16)</f>
        <v>53785.880000000005</v>
      </c>
      <c r="H16" s="15">
        <f>SUM(Jan!H16, Feb!H16, Mar!H16)</f>
        <v>-9727.880000000001</v>
      </c>
      <c r="I16" s="16">
        <f t="shared" ref="I16:I18" si="5">IFERROR(H16/G16, "")</f>
        <v>-0.1808630815373849</v>
      </c>
    </row>
    <row r="17" spans="1:9" ht="15.75">
      <c r="A17" s="51" t="str">
        <v>Kohls - Hudson</v>
      </c>
      <c r="B17" s="10" t="str">
        <v>NY</v>
      </c>
      <c r="C17" s="11">
        <f>SUM(Jan!C17, Feb!C17, Mar!C17)</f>
        <v>20828</v>
      </c>
      <c r="D17" s="18">
        <f>SUM(Jan!D17, Feb!D17, Mar!D17)</f>
        <v>0</v>
      </c>
      <c r="E17" s="18">
        <f t="shared" si="3"/>
        <v>20828</v>
      </c>
      <c r="F17" s="19" t="str">
        <f t="shared" si="4"/>
        <v/>
      </c>
      <c r="G17" s="20">
        <f>SUM(Jan!G17, Feb!G17, Mar!G17)</f>
        <v>61289.81</v>
      </c>
      <c r="H17" s="20">
        <f>SUM(Jan!H17, Feb!H17, Mar!H17)</f>
        <v>-40461.81</v>
      </c>
      <c r="I17" s="19">
        <f t="shared" si="5"/>
        <v>-0.66017189480600447</v>
      </c>
    </row>
    <row r="18" spans="1:9" ht="12.75" customHeight="1">
      <c r="A18" s="50" t="str">
        <v>Kohls - Ithaca</v>
      </c>
      <c r="B18" s="9" t="str">
        <v>NY</v>
      </c>
      <c r="C18" s="24">
        <f>SUM(Jan!C18, Feb!C18, Mar!C18)</f>
        <v>43460</v>
      </c>
      <c r="D18" s="13">
        <f>SUM(Jan!D18, Feb!D18, Mar!D18)</f>
        <v>0</v>
      </c>
      <c r="E18" s="13">
        <f t="shared" si="3"/>
        <v>43460</v>
      </c>
      <c r="F18" s="14" t="str">
        <f t="shared" si="4"/>
        <v/>
      </c>
      <c r="G18" s="15">
        <f>SUM(Jan!G18, Feb!G18, Mar!G18)</f>
        <v>57048.45</v>
      </c>
      <c r="H18" s="15">
        <f>SUM(Jan!H18, Feb!H18, Mar!H18)</f>
        <v>-13588.449999999999</v>
      </c>
      <c r="I18" s="19">
        <f t="shared" si="5"/>
        <v>-0.23819139696170535</v>
      </c>
    </row>
    <row r="19" spans="1:9" ht="15.75">
      <c r="A19" s="51" t="str">
        <v>Kohls - Kingston</v>
      </c>
      <c r="B19" s="10" t="str">
        <v>NY</v>
      </c>
      <c r="C19" s="11">
        <f>SUM(Jan!C19, Feb!C19, Mar!C19)</f>
        <v>87519</v>
      </c>
      <c r="D19" s="18">
        <f>SUM(Jan!D19, Feb!D19, Mar!D19)</f>
        <v>0</v>
      </c>
      <c r="E19" s="18">
        <f t="shared" ref="E19:E25" si="6">IF(AND(ISNUMBER(C19),ISNUMBER(D19)), C19-D19, "")</f>
        <v>87519</v>
      </c>
      <c r="F19" s="19" t="str">
        <f t="shared" ref="F19:F25" si="7">IFERROR(E19/D19, "")</f>
        <v/>
      </c>
      <c r="G19" s="20">
        <f>SUM(Jan!G19, Feb!G19, Mar!G19)</f>
        <v>88844.589000000007</v>
      </c>
      <c r="H19" s="20">
        <f>SUM(Jan!H19, Feb!H19, Mar!H19)</f>
        <v>-1325.5890000000036</v>
      </c>
      <c r="I19" s="16">
        <f t="shared" ref="I19:I25" si="8">IFERROR(H19/G19, "")</f>
        <v>-1.4920312141913375E-2</v>
      </c>
    </row>
    <row r="20" spans="1:9" ht="15.75">
      <c r="A20" s="50" t="str">
        <v>Kohls - Mechanicsburg</v>
      </c>
      <c r="B20" s="9" t="str">
        <v>PA</v>
      </c>
      <c r="C20" s="24">
        <f>SUM(Jan!C20, Feb!C20, Mar!C20)</f>
        <v>83627</v>
      </c>
      <c r="D20" s="13">
        <f>SUM(Jan!D20, Feb!D20, Mar!D20)</f>
        <v>0</v>
      </c>
      <c r="E20" s="13">
        <f t="shared" si="6"/>
        <v>83627</v>
      </c>
      <c r="F20" s="14" t="str">
        <f t="shared" si="7"/>
        <v/>
      </c>
      <c r="G20" s="15">
        <f>SUM(Jan!G20, Feb!G20, Mar!G20)</f>
        <v>84448.72</v>
      </c>
      <c r="H20" s="15">
        <f>SUM(Jan!H20, Feb!H20, Mar!H20)</f>
        <v>-821.72000000000116</v>
      </c>
      <c r="I20" s="19">
        <f t="shared" si="8"/>
        <v>-9.7304020712214601E-3</v>
      </c>
    </row>
    <row r="21" spans="1:9" ht="15.75">
      <c r="A21" s="51" t="str">
        <v>Kohls - Middletown</v>
      </c>
      <c r="B21" s="10" t="str">
        <v>NJ</v>
      </c>
      <c r="C21" s="11">
        <f>SUM(Jan!C21, Feb!C21, Mar!C21)</f>
        <v>30711</v>
      </c>
      <c r="D21" s="18">
        <f>SUM(Jan!D21, Feb!D21, Mar!D21)</f>
        <v>0</v>
      </c>
      <c r="E21" s="18">
        <f t="shared" si="6"/>
        <v>30711</v>
      </c>
      <c r="F21" s="19" t="str">
        <f t="shared" si="7"/>
        <v/>
      </c>
      <c r="G21" s="20">
        <f>SUM(Jan!G21, Feb!G21, Mar!G21)</f>
        <v>119056.45999999999</v>
      </c>
      <c r="H21" s="20">
        <f>SUM(Jan!H21, Feb!H21, Mar!H21)</f>
        <v>-88345.459999999992</v>
      </c>
      <c r="I21" s="19">
        <f t="shared" si="8"/>
        <v>-0.74204675663966491</v>
      </c>
    </row>
    <row r="22" spans="1:9" ht="15.75">
      <c r="A22" s="50" t="str">
        <v>Kohls - North Amherst</v>
      </c>
      <c r="B22" s="9" t="str">
        <v>NY</v>
      </c>
      <c r="C22" s="24">
        <f>SUM(Jan!C22, Feb!C22, Mar!C22)</f>
        <v>37771</v>
      </c>
      <c r="D22" s="13">
        <f>SUM(Jan!D22, Feb!D22, Mar!D22)</f>
        <v>0</v>
      </c>
      <c r="E22" s="13">
        <f t="shared" si="6"/>
        <v>37771</v>
      </c>
      <c r="F22" s="14" t="str">
        <f t="shared" si="7"/>
        <v/>
      </c>
      <c r="G22" s="15">
        <f>SUM(Jan!G22, Feb!G22, Mar!G22)</f>
        <v>44557.45</v>
      </c>
      <c r="H22" s="15">
        <f>SUM(Jan!H22, Feb!H22, Mar!H22)</f>
        <v>-6786.4499999999989</v>
      </c>
      <c r="I22" s="16">
        <f t="shared" si="8"/>
        <v>-0.15230786321928205</v>
      </c>
    </row>
    <row r="23" spans="1:9" ht="15.75">
      <c r="A23" s="51" t="str">
        <v>Kohls - Staten Island</v>
      </c>
      <c r="B23" s="10" t="str">
        <v>NY</v>
      </c>
      <c r="C23" s="11">
        <f>SUM(Jan!C23, Feb!C23, Mar!C23)</f>
        <v>59937.599999999999</v>
      </c>
      <c r="D23" s="18">
        <f>SUM(Jan!D23, Feb!D23, Mar!D23)</f>
        <v>0</v>
      </c>
      <c r="E23" s="18">
        <f t="shared" si="6"/>
        <v>59937.599999999999</v>
      </c>
      <c r="F23" s="19" t="str">
        <f t="shared" si="7"/>
        <v/>
      </c>
      <c r="G23" s="20">
        <f>SUM(Jan!G23, Feb!G23, Mar!G24)</f>
        <v>73401.73000000001</v>
      </c>
      <c r="H23" s="20">
        <f>SUM(Jan!H23, Feb!H23, Mar!H23)</f>
        <v>-8920.7000000000007</v>
      </c>
      <c r="I23" s="19">
        <f t="shared" si="8"/>
        <v>-0.12153255788385368</v>
      </c>
    </row>
    <row r="24" spans="1:9" ht="15.75">
      <c r="A24" s="50" t="str">
        <v>Kohls - Warminster</v>
      </c>
      <c r="B24" s="9" t="str">
        <v>PA</v>
      </c>
      <c r="C24" s="24">
        <f>SUM(Jan!C24, Feb!C24, Mar!C24)</f>
        <v>40475</v>
      </c>
      <c r="D24" s="13">
        <f>SUM(Jan!D24, Feb!D24, Mar!D24)</f>
        <v>0</v>
      </c>
      <c r="E24" s="13">
        <f t="shared" si="6"/>
        <v>40475</v>
      </c>
      <c r="F24" s="14" t="str">
        <f t="shared" si="7"/>
        <v/>
      </c>
      <c r="G24" s="15">
        <f>SUM(Jan!G24, Feb!G24, Mar!G25)</f>
        <v>72736.63</v>
      </c>
      <c r="H24" s="15">
        <f>SUM(Jan!H24, Feb!H24, Mar!H24)</f>
        <v>-40277.78</v>
      </c>
      <c r="I24" s="19">
        <f t="shared" si="8"/>
        <v>-0.55374822836856752</v>
      </c>
    </row>
    <row r="25" spans="1:9" ht="15.75">
      <c r="A25" s="51" t="str">
        <v xml:space="preserve">Kohls - Waterbury </v>
      </c>
      <c r="B25" s="10" t="str">
        <v>CT</v>
      </c>
      <c r="C25" s="11">
        <f>SUM(Jan!C25, Feb!C25, Mar!C25)</f>
        <v>61440</v>
      </c>
      <c r="D25" s="18">
        <f>SUM(Jan!D25, Feb!D25, Mar!D25)</f>
        <v>0</v>
      </c>
      <c r="E25" s="18">
        <f t="shared" si="6"/>
        <v>61440</v>
      </c>
      <c r="F25" s="19" t="str">
        <f t="shared" si="7"/>
        <v/>
      </c>
      <c r="G25" s="20" t="e">
        <f>SUM(Jan!G25, Feb!G25, Mar!#REF!)</f>
        <v>#REF!</v>
      </c>
      <c r="H25" s="20">
        <f>SUM(Jan!H25, Feb!H25, Mar!H25)</f>
        <v>-2028.6800000000021</v>
      </c>
      <c r="I25" s="16" t="str">
        <f t="shared" si="8"/>
        <v/>
      </c>
    </row>
    <row r="26" spans="1:9" ht="14.45">
      <c r="A26" s="21"/>
      <c r="B26" s="10"/>
      <c r="C26" s="21"/>
      <c r="D26" s="21"/>
      <c r="E26" s="21"/>
      <c r="F26" s="21"/>
      <c r="G26" s="21"/>
      <c r="H26" s="21"/>
      <c r="I26" s="21"/>
    </row>
    <row r="27" spans="1:9" ht="12.95">
      <c r="A27" s="21"/>
      <c r="B27" s="21"/>
      <c r="C27" s="21"/>
      <c r="D27" s="21"/>
      <c r="E27" s="21"/>
      <c r="F27" s="21"/>
      <c r="G27" s="21"/>
      <c r="H27" s="21"/>
      <c r="I27" s="21"/>
    </row>
    <row r="28" spans="1:9" ht="12.95">
      <c r="A28" s="21"/>
      <c r="B28" s="21"/>
      <c r="C28" s="21"/>
      <c r="D28" s="21"/>
      <c r="E28" s="21"/>
      <c r="F28" s="21"/>
      <c r="G28" s="21"/>
      <c r="H28" s="21"/>
      <c r="I28" s="21"/>
    </row>
    <row r="29" spans="1:9" ht="12.95">
      <c r="A29" s="21"/>
      <c r="B29" s="21"/>
      <c r="C29" s="21"/>
      <c r="D29" s="21"/>
      <c r="E29" s="21"/>
      <c r="F29" s="21"/>
      <c r="G29" s="21"/>
      <c r="H29" s="21"/>
      <c r="I29" s="21"/>
    </row>
    <row r="30" spans="1:9" ht="12.95">
      <c r="A30" s="21"/>
      <c r="B30" s="21"/>
      <c r="C30" s="21"/>
      <c r="D30" s="21"/>
      <c r="E30" s="21"/>
      <c r="F30" s="21"/>
      <c r="G30" s="21"/>
      <c r="H30" s="21"/>
      <c r="I30" s="21"/>
    </row>
    <row r="31" spans="1:9" ht="12.95">
      <c r="A31" s="21"/>
      <c r="B31" s="21"/>
      <c r="C31" s="21"/>
      <c r="D31" s="21"/>
      <c r="E31" s="21"/>
      <c r="F31" s="21"/>
      <c r="G31" s="21"/>
      <c r="H31" s="21"/>
      <c r="I31" s="21"/>
    </row>
    <row r="32" spans="1:9" ht="12.95">
      <c r="A32" s="21"/>
      <c r="B32" s="21"/>
      <c r="C32" s="21"/>
      <c r="D32" s="21"/>
      <c r="E32" s="21"/>
      <c r="F32" s="21"/>
      <c r="G32" s="21"/>
      <c r="H32" s="21"/>
      <c r="I32" s="21"/>
    </row>
    <row r="33" spans="1:9" ht="12.9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2.9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2.9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2.9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2.9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2.9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2.9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2.9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2.9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2.9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2.9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2.9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2.9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2.9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2.9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2.9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2.9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2.9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2.9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2.9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2.9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2.9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2.9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2.9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2.9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2.9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2.9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2.9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2.9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2.9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2.9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2.9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2.9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2.9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2.9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2.9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2.9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2.9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2.9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2.9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2.9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2.9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2.9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2.9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2.9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2.9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2.9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2.9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2.9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2.9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2.9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2.9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2.9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2.9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2.9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2.9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2.9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2.9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2.9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2.9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2.9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2.9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2.9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2.9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2.9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2.9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2.9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2.9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2.9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2.9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2.9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2.9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2.9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2.9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2.9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2.9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2.9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2.9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2.9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2.9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2.9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2.9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2.9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2.9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2.9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2.9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2.9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2.9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2.9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2.9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2.9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2.9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2.9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2.9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2.9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2.9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2.9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2.9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2.9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2.9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2.9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2.9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2.9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2.9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2.9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2.9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2.9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2.9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2.9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2.9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2.9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2.9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2.9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2.9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2.9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2.9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2.9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2.9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2.9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2.9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2.9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2.9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2.9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2.9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2.9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2.9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2.9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2.9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2.9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2.9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2.9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2.9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2.9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2.9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2.9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2.9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2.9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2.9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2.9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2.9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2.9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2.9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2.9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2.9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2.9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2.9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2.9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2.9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2.9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2.9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2.9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2.9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2.9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2.9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2.9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2.9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2.9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2.9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2.9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2.9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2.9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2.9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2.9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2.9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2.9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2.9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2.9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2.9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2.9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2.9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2.9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2.9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2.9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2.9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2.9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2.9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2.9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2.9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2.9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2.9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2.9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2.9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2.9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2.9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2.9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2.9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2.9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2.9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2.9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2.9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2.9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2.9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2.9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2.9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2.9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2.9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2.9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2.9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2.9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2.9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2.9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2.9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2.9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2.9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2.9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2.9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2.9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2.9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2.9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2.9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2.9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2.9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2.9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2.9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2.9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2.9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2.9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2.9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2.9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2.9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2.9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2.9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2.9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2.9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2.9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2.9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2.9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2.9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2.9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2.9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2.9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2.9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2.9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2.9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2.9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2.9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2.9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2.9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2.9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2.9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2.9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2.9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2.9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2.9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2.9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2.9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2.9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2.9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2.9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2.9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2.9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2.9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2.9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2.9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2.9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2.9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2.9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2.9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2.9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2.9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2.9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2.9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2.9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2.9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2.9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2.9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2.9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2.9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2.9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2.9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2.9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2.9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2.9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2.9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2.9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2.9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2.9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2.9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2.9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2.9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2.9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2.9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2.9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2.9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2.9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2.9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2.9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2.9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2.9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2.9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2.9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2.9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2.9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2.9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2.9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2.9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2.9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2.9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2.9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2.9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2.9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2.9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2.9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2.9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2.9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2.9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2.9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2.9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2.9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2.95">
      <c r="A342" s="21"/>
      <c r="B342" s="21"/>
      <c r="C342" s="21"/>
      <c r="D342" s="21"/>
      <c r="E342" s="21"/>
      <c r="F342" s="22"/>
      <c r="G342" s="21"/>
      <c r="H342" s="21"/>
      <c r="I342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100 I4:I100">
    <cfRule type="cellIs" dxfId="56" priority="1" stopIfTrue="1" operator="lessThanOrEqual">
      <formula>-0.1</formula>
    </cfRule>
    <cfRule type="expression" dxfId="5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42"/>
  <sheetViews>
    <sheetView workbookViewId="0">
      <pane xSplit="2" ySplit="3" topLeftCell="C13" activePane="bottomRight" state="frozen"/>
      <selection pane="bottomRight" activeCell="E33" sqref="E33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9" t="str" cm="1">
        <f t="array" ref="A1">portfolio</f>
        <v>Silicon Ranch</v>
      </c>
      <c r="B1" s="59"/>
      <c r="C1" s="59"/>
      <c r="D1" s="60" t="s">
        <v>12</v>
      </c>
      <c r="E1" s="60"/>
      <c r="F1" s="60"/>
      <c r="G1" s="58" t="s">
        <v>13</v>
      </c>
      <c r="H1" s="58"/>
      <c r="I1" s="58"/>
    </row>
    <row r="2" spans="1:9" ht="19.5" customHeight="1">
      <c r="A2" s="61" t="s">
        <v>2</v>
      </c>
      <c r="B2" s="61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50" t="str" cm="1">
        <f t="array" ref="A4:A25">Sites[Site]</f>
        <v>Iron Mountain - Windsor</v>
      </c>
      <c r="B4" s="9" t="str" cm="1">
        <f t="array" ref="B4:B25">Sites[State]</f>
        <v>CT</v>
      </c>
      <c r="C4" s="24">
        <f>SUM(Apr!C4, May!C4, Jun!C4)</f>
        <v>0</v>
      </c>
      <c r="D4" s="13">
        <f>SUM(Apr!D4, May!D4, Jun!D4)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SUM(Apr!H4, May!H4, Jun!H4)</f>
        <v>0</v>
      </c>
      <c r="I4" s="16" t="str">
        <f>IFERROR(H4/G4, "")</f>
        <v/>
      </c>
    </row>
    <row r="5" spans="1:9" ht="15.75">
      <c r="A5" s="51" t="str">
        <v>Kohls - Auburn</v>
      </c>
      <c r="B5" s="10" t="str">
        <v>NY</v>
      </c>
      <c r="C5" s="11">
        <f>SUM(Apr!C5, May!C5, Jun!C5)</f>
        <v>0</v>
      </c>
      <c r="D5" s="18">
        <f>SUM(Apr!D5, May!D5, Jun!D5)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/>
      <c r="H5" s="20">
        <f>SUM(Apr!H5, May!H5, Jun!H5)</f>
        <v>0</v>
      </c>
      <c r="I5" s="19" t="str">
        <f>IFERROR(H5/G5, "")</f>
        <v/>
      </c>
    </row>
    <row r="6" spans="1:9" ht="15.75">
      <c r="A6" s="50" t="str">
        <v>Kohls - Bensalem</v>
      </c>
      <c r="B6" s="9" t="str">
        <v>PA</v>
      </c>
      <c r="C6" s="24">
        <f>SUM(Apr!C6, May!C6, Jun!C6)</f>
        <v>0</v>
      </c>
      <c r="D6" s="13">
        <f>SUM(Apr!D6, May!D6, Jun!D6)</f>
        <v>0</v>
      </c>
      <c r="E6" s="13">
        <f t="shared" si="0"/>
        <v>0</v>
      </c>
      <c r="F6" s="14" t="str">
        <f t="shared" ref="F6:F15" si="1">IFERROR(E6/D6, "")</f>
        <v/>
      </c>
      <c r="G6" s="15"/>
      <c r="H6" s="15">
        <f>SUM(Apr!H6, May!H6, Jun!H6)</f>
        <v>0</v>
      </c>
      <c r="I6" s="16" t="str">
        <f t="shared" ref="I6:I15" si="2">IFERROR(H6/G6, "")</f>
        <v/>
      </c>
    </row>
    <row r="7" spans="1:9" ht="15.75">
      <c r="A7" s="51" t="str">
        <v>Kohls - Brick</v>
      </c>
      <c r="B7" s="10" t="str">
        <v>NJ</v>
      </c>
      <c r="C7" s="11">
        <f>SUM(Apr!C7, May!C7, Jun!C7)</f>
        <v>0</v>
      </c>
      <c r="D7" s="18">
        <f>SUM(Apr!D7, May!D7, Jun!D7)</f>
        <v>0</v>
      </c>
      <c r="E7" s="18">
        <f t="shared" si="0"/>
        <v>0</v>
      </c>
      <c r="F7" s="19" t="str">
        <f t="shared" si="1"/>
        <v/>
      </c>
      <c r="G7" s="20"/>
      <c r="H7" s="20">
        <f>SUM(Apr!H7, May!H7, Jun!H7)</f>
        <v>0</v>
      </c>
      <c r="I7" s="19" t="str">
        <f t="shared" si="2"/>
        <v/>
      </c>
    </row>
    <row r="8" spans="1:9" ht="15.75">
      <c r="A8" s="50" t="str">
        <v>Kohls - Buffalo</v>
      </c>
      <c r="B8" s="9" t="str">
        <v>NY</v>
      </c>
      <c r="C8" s="24">
        <f>SUM(Apr!C8, May!C8, Jun!C8)</f>
        <v>0</v>
      </c>
      <c r="D8" s="13">
        <f>SUM(Apr!D8, May!D8, Jun!D8)</f>
        <v>0</v>
      </c>
      <c r="E8" s="13">
        <f t="shared" si="0"/>
        <v>0</v>
      </c>
      <c r="F8" s="14" t="str">
        <f t="shared" si="1"/>
        <v/>
      </c>
      <c r="G8" s="15"/>
      <c r="H8" s="15">
        <f>SUM(Apr!H8, May!H8, Jun!H8)</f>
        <v>0</v>
      </c>
      <c r="I8" s="16" t="str">
        <f t="shared" si="2"/>
        <v/>
      </c>
    </row>
    <row r="9" spans="1:9" ht="15.75">
      <c r="A9" s="51" t="str">
        <v>Kohls - Canton</v>
      </c>
      <c r="B9" s="10" t="str">
        <v>CT</v>
      </c>
      <c r="C9" s="11">
        <f>SUM(Apr!C9, May!C9, Jun!C9)</f>
        <v>0</v>
      </c>
      <c r="D9" s="18">
        <f>SUM(Apr!D9, May!D9, Jun!D9)</f>
        <v>0</v>
      </c>
      <c r="E9" s="18">
        <f t="shared" si="0"/>
        <v>0</v>
      </c>
      <c r="F9" s="19" t="str">
        <f t="shared" si="1"/>
        <v/>
      </c>
      <c r="G9" s="20"/>
      <c r="H9" s="20">
        <f>SUM(Apr!H9, May!H9, Jun!H9)</f>
        <v>0</v>
      </c>
      <c r="I9" s="19" t="str">
        <f t="shared" si="2"/>
        <v/>
      </c>
    </row>
    <row r="10" spans="1:9" ht="15.75">
      <c r="A10" s="50" t="str">
        <v>Kohls - East Amherst</v>
      </c>
      <c r="B10" s="9" t="str">
        <v>NY</v>
      </c>
      <c r="C10" s="24">
        <f>SUM(Apr!C10, May!C10, Jun!C10)</f>
        <v>0</v>
      </c>
      <c r="D10" s="13">
        <f>SUM(Apr!D10, May!D10, Jun!D10)</f>
        <v>0</v>
      </c>
      <c r="E10" s="13">
        <f t="shared" si="0"/>
        <v>0</v>
      </c>
      <c r="F10" s="14" t="str">
        <f t="shared" si="1"/>
        <v/>
      </c>
      <c r="G10" s="15"/>
      <c r="H10" s="15">
        <f>SUM(Apr!H10, May!H10, Jun!H10)</f>
        <v>0</v>
      </c>
      <c r="I10" s="16" t="str">
        <f t="shared" si="2"/>
        <v/>
      </c>
    </row>
    <row r="11" spans="1:9" ht="15.75">
      <c r="A11" s="51" t="str">
        <v>Kohls - East Brunswick</v>
      </c>
      <c r="B11" s="10" t="str">
        <v>NJ</v>
      </c>
      <c r="C11" s="11">
        <f>SUM(Apr!C11, May!C11, Jun!C11)</f>
        <v>0</v>
      </c>
      <c r="D11" s="18">
        <f>SUM(Apr!D11, May!D11, Jun!D11)</f>
        <v>0</v>
      </c>
      <c r="E11" s="18">
        <f t="shared" si="0"/>
        <v>0</v>
      </c>
      <c r="F11" s="19" t="str">
        <f t="shared" si="1"/>
        <v/>
      </c>
      <c r="G11" s="20"/>
      <c r="H11" s="20">
        <f>SUM(Apr!H11, May!H11, Jun!H11)</f>
        <v>0</v>
      </c>
      <c r="I11" s="19" t="str">
        <f t="shared" si="2"/>
        <v/>
      </c>
    </row>
    <row r="12" spans="1:9" ht="15.75">
      <c r="A12" s="50" t="str">
        <v>Kohls - Edgewood</v>
      </c>
      <c r="B12" s="9" t="str">
        <v>MD</v>
      </c>
      <c r="C12" s="24">
        <f>SUM(Apr!C12, May!C12, Jun!C12)</f>
        <v>0</v>
      </c>
      <c r="D12" s="13">
        <f>SUM(Apr!D12, May!D12, Jun!D12)</f>
        <v>0</v>
      </c>
      <c r="E12" s="13">
        <f t="shared" si="0"/>
        <v>0</v>
      </c>
      <c r="F12" s="14" t="str">
        <f t="shared" si="1"/>
        <v/>
      </c>
      <c r="G12" s="15"/>
      <c r="H12" s="15">
        <f>SUM(Apr!H12, May!H12, Jun!H12)</f>
        <v>0</v>
      </c>
      <c r="I12" s="16" t="str">
        <f t="shared" si="2"/>
        <v/>
      </c>
    </row>
    <row r="13" spans="1:9" ht="15.75">
      <c r="A13" s="51" t="str">
        <v>Kohls - Granite Run</v>
      </c>
      <c r="B13" s="10" t="str">
        <v>PA</v>
      </c>
      <c r="C13" s="11">
        <f>SUM(Apr!C13, May!C13, Jun!C13)</f>
        <v>0</v>
      </c>
      <c r="D13" s="18">
        <f>SUM(Apr!D13, May!D13, Jun!D13)</f>
        <v>0</v>
      </c>
      <c r="E13" s="18">
        <f t="shared" si="0"/>
        <v>0</v>
      </c>
      <c r="F13" s="19" t="str">
        <f t="shared" si="1"/>
        <v/>
      </c>
      <c r="G13" s="20"/>
      <c r="H13" s="20">
        <f>SUM(Apr!H13, May!H13, Jun!H13)</f>
        <v>0</v>
      </c>
      <c r="I13" s="19" t="str">
        <f t="shared" si="2"/>
        <v/>
      </c>
    </row>
    <row r="14" spans="1:9" ht="15.75">
      <c r="A14" s="50" t="str">
        <v>Kohls - Greece</v>
      </c>
      <c r="B14" s="9" t="str">
        <v>NY</v>
      </c>
      <c r="C14" s="24">
        <f>SUM(Apr!C14, May!C14, Jun!C14)</f>
        <v>0</v>
      </c>
      <c r="D14" s="13">
        <f>SUM(Apr!D14, May!D14, Jun!D14)</f>
        <v>0</v>
      </c>
      <c r="E14" s="13">
        <f t="shared" si="0"/>
        <v>0</v>
      </c>
      <c r="F14" s="14" t="str">
        <f t="shared" si="1"/>
        <v/>
      </c>
      <c r="G14" s="15"/>
      <c r="H14" s="15">
        <f>SUM(Apr!H14, May!H14, Jun!H14)</f>
        <v>0</v>
      </c>
      <c r="I14" s="16" t="str">
        <f t="shared" si="2"/>
        <v/>
      </c>
    </row>
    <row r="15" spans="1:9" ht="15.75">
      <c r="A15" s="51" t="str">
        <v>Kohls - Hanover</v>
      </c>
      <c r="B15" s="10" t="str">
        <v>PA</v>
      </c>
      <c r="C15" s="11">
        <f>SUM(Apr!C15, May!C15, Jun!C15)</f>
        <v>0</v>
      </c>
      <c r="D15" s="18">
        <f>SUM(Apr!D15, May!D15, Jun!D15)</f>
        <v>0</v>
      </c>
      <c r="E15" s="18">
        <f t="shared" si="0"/>
        <v>0</v>
      </c>
      <c r="F15" s="19" t="str">
        <f t="shared" si="1"/>
        <v/>
      </c>
      <c r="G15" s="20"/>
      <c r="H15" s="20">
        <f>SUM(Apr!H15, May!H15, Jun!H15)</f>
        <v>0</v>
      </c>
      <c r="I15" s="19" t="str">
        <f t="shared" si="2"/>
        <v/>
      </c>
    </row>
    <row r="16" spans="1:9" ht="15.75">
      <c r="A16" s="50" t="str">
        <v>Kohls - Horsehead</v>
      </c>
      <c r="B16" s="9" t="str">
        <v>NY</v>
      </c>
      <c r="C16" s="24">
        <f>SUM(Apr!C16, May!C16, Jun!C16)</f>
        <v>0</v>
      </c>
      <c r="D16" s="13">
        <f>SUM(Apr!D16, May!D16, Jun!D16)</f>
        <v>0</v>
      </c>
      <c r="E16" s="13">
        <f t="shared" ref="E16:E18" si="3">IF(AND(ISNUMBER(C16),ISNUMBER(D16)), C16-D16, "")</f>
        <v>0</v>
      </c>
      <c r="F16" s="14" t="str">
        <f t="shared" ref="F16:F18" si="4">IFERROR(E16/D16, "")</f>
        <v/>
      </c>
      <c r="G16" s="15"/>
      <c r="H16" s="15">
        <f>SUM(Apr!H16, May!H16, Jun!H16)</f>
        <v>0</v>
      </c>
      <c r="I16" s="16" t="str">
        <f t="shared" ref="I16:I18" si="5">IFERROR(H16/G16, "")</f>
        <v/>
      </c>
    </row>
    <row r="17" spans="1:9" ht="15.75">
      <c r="A17" s="51" t="str">
        <v>Kohls - Hudson</v>
      </c>
      <c r="B17" s="10" t="str">
        <v>NY</v>
      </c>
      <c r="C17" s="24">
        <f>SUM(Apr!C17, May!C17, Jun!C17)</f>
        <v>0</v>
      </c>
      <c r="D17" s="13">
        <f>SUM(Apr!D17, May!D17, Jun!D17)</f>
        <v>0</v>
      </c>
      <c r="E17" s="13">
        <f t="shared" si="3"/>
        <v>0</v>
      </c>
      <c r="F17" s="14" t="str">
        <f t="shared" si="4"/>
        <v/>
      </c>
      <c r="G17" s="15"/>
      <c r="H17" s="15">
        <f>SUM(Apr!H17, May!H17, Jun!H17)</f>
        <v>0</v>
      </c>
      <c r="I17" s="16" t="str">
        <f t="shared" si="5"/>
        <v/>
      </c>
    </row>
    <row r="18" spans="1:9" ht="12.75" customHeight="1">
      <c r="A18" s="50" t="str">
        <v>Kohls - Ithaca</v>
      </c>
      <c r="B18" s="9" t="str">
        <v>NY</v>
      </c>
      <c r="C18" s="11">
        <f>SUM(Apr!C18, May!C18, Jun!C18)</f>
        <v>0</v>
      </c>
      <c r="D18" s="18">
        <f>SUM(Apr!D18, May!D18, Jun!D18)</f>
        <v>0</v>
      </c>
      <c r="E18" s="18">
        <f t="shared" si="3"/>
        <v>0</v>
      </c>
      <c r="F18" s="19" t="str">
        <f t="shared" si="4"/>
        <v/>
      </c>
      <c r="G18" s="20"/>
      <c r="H18" s="20">
        <f>SUM(Apr!H18, May!H18, Jun!H18)</f>
        <v>0</v>
      </c>
      <c r="I18" s="19" t="str">
        <f t="shared" si="5"/>
        <v/>
      </c>
    </row>
    <row r="19" spans="1:9" ht="15.75">
      <c r="A19" s="51" t="str">
        <v>Kohls - Kingston</v>
      </c>
      <c r="B19" s="10" t="str">
        <v>NY</v>
      </c>
      <c r="C19" s="24">
        <f>SUM(Apr!C19, May!C19, Jun!C19)</f>
        <v>0</v>
      </c>
      <c r="D19" s="13">
        <f>SUM(Apr!D19, May!D19, Jun!D19)</f>
        <v>0</v>
      </c>
      <c r="E19" s="13">
        <f t="shared" ref="E19:E25" si="6">IF(AND(ISNUMBER(C19),ISNUMBER(D19)), C19-D19, "")</f>
        <v>0</v>
      </c>
      <c r="F19" s="14" t="str">
        <f t="shared" ref="F19:F25" si="7">IFERROR(E19/D19, "")</f>
        <v/>
      </c>
      <c r="G19" s="15"/>
      <c r="H19" s="15">
        <f>SUM(Apr!H19, May!H19, Jun!H19)</f>
        <v>0</v>
      </c>
      <c r="I19" s="16" t="str">
        <f t="shared" ref="I19:I25" si="8">IFERROR(H19/G19, "")</f>
        <v/>
      </c>
    </row>
    <row r="20" spans="1:9" ht="15.75">
      <c r="A20" s="50" t="str">
        <v>Kohls - Mechanicsburg</v>
      </c>
      <c r="B20" s="9" t="str">
        <v>PA</v>
      </c>
      <c r="C20" s="24">
        <f>SUM(Apr!C20, May!C20, Jun!C20)</f>
        <v>0</v>
      </c>
      <c r="D20" s="13">
        <f>SUM(Apr!D20, May!D20, Jun!D20)</f>
        <v>0</v>
      </c>
      <c r="E20" s="13">
        <f t="shared" si="6"/>
        <v>0</v>
      </c>
      <c r="F20" s="14" t="str">
        <f t="shared" si="7"/>
        <v/>
      </c>
      <c r="G20" s="15"/>
      <c r="H20" s="15">
        <f>SUM(Apr!H20, May!H20, Jun!H20)</f>
        <v>0</v>
      </c>
      <c r="I20" s="16" t="str">
        <f t="shared" si="8"/>
        <v/>
      </c>
    </row>
    <row r="21" spans="1:9" ht="15.75">
      <c r="A21" s="51" t="str">
        <v>Kohls - Middletown</v>
      </c>
      <c r="B21" s="10" t="str">
        <v>NJ</v>
      </c>
      <c r="C21" s="11">
        <f>SUM(Apr!C21, May!C21, Jun!C21)</f>
        <v>0</v>
      </c>
      <c r="D21" s="18">
        <f>SUM(Apr!D21, May!D21, Jun!D21)</f>
        <v>0</v>
      </c>
      <c r="E21" s="18">
        <f t="shared" si="6"/>
        <v>0</v>
      </c>
      <c r="F21" s="19" t="str">
        <f t="shared" si="7"/>
        <v/>
      </c>
      <c r="G21" s="20"/>
      <c r="H21" s="20">
        <f>SUM(Apr!H21, May!H21, Jun!H21)</f>
        <v>0</v>
      </c>
      <c r="I21" s="19" t="str">
        <f t="shared" si="8"/>
        <v/>
      </c>
    </row>
    <row r="22" spans="1:9" ht="15.75">
      <c r="A22" s="50" t="str">
        <v>Kohls - North Amherst</v>
      </c>
      <c r="B22" s="9" t="str">
        <v>NY</v>
      </c>
      <c r="C22" s="24">
        <f>SUM(Apr!C22, May!C22, Jun!C22)</f>
        <v>0</v>
      </c>
      <c r="D22" s="13">
        <f>SUM(Apr!D22, May!D22, Jun!D22)</f>
        <v>0</v>
      </c>
      <c r="E22" s="13">
        <f t="shared" si="6"/>
        <v>0</v>
      </c>
      <c r="F22" s="14" t="str">
        <f t="shared" si="7"/>
        <v/>
      </c>
      <c r="G22" s="15"/>
      <c r="H22" s="15">
        <f>SUM(Apr!H22, May!H22, Jun!H22)</f>
        <v>0</v>
      </c>
      <c r="I22" s="16" t="str">
        <f t="shared" si="8"/>
        <v/>
      </c>
    </row>
    <row r="23" spans="1:9" ht="15.75">
      <c r="A23" s="51" t="str">
        <v>Kohls - Staten Island</v>
      </c>
      <c r="B23" s="10" t="str">
        <v>NY</v>
      </c>
      <c r="C23" s="24">
        <f>SUM(Apr!C23, May!C23, Jun!C23)</f>
        <v>0</v>
      </c>
      <c r="D23" s="13">
        <f>SUM(Apr!D23, May!D23, Jun!D23)</f>
        <v>0</v>
      </c>
      <c r="E23" s="13">
        <f t="shared" si="6"/>
        <v>0</v>
      </c>
      <c r="F23" s="14" t="str">
        <f t="shared" si="7"/>
        <v/>
      </c>
      <c r="G23" s="15"/>
      <c r="H23" s="15">
        <f>SUM(Apr!H23, May!H23, Jun!H23)</f>
        <v>0</v>
      </c>
      <c r="I23" s="16" t="str">
        <f t="shared" si="8"/>
        <v/>
      </c>
    </row>
    <row r="24" spans="1:9" ht="15.75">
      <c r="A24" s="50" t="str">
        <v>Kohls - Warminster</v>
      </c>
      <c r="B24" s="9" t="str">
        <v>PA</v>
      </c>
      <c r="C24" s="11">
        <f>SUM(Apr!C24, May!C24, Jun!C24)</f>
        <v>0</v>
      </c>
      <c r="D24" s="18">
        <f>SUM(Apr!D24, May!D24, Jun!D24)</f>
        <v>0</v>
      </c>
      <c r="E24" s="18">
        <f t="shared" si="6"/>
        <v>0</v>
      </c>
      <c r="F24" s="19" t="str">
        <f t="shared" si="7"/>
        <v/>
      </c>
      <c r="G24" s="20"/>
      <c r="H24" s="20">
        <f>SUM(Apr!H24, May!H24, Jun!H24)</f>
        <v>0</v>
      </c>
      <c r="I24" s="19" t="str">
        <f t="shared" si="8"/>
        <v/>
      </c>
    </row>
    <row r="25" spans="1:9" ht="15.75">
      <c r="A25" s="51" t="str">
        <v xml:space="preserve">Kohls - Waterbury </v>
      </c>
      <c r="B25" s="10" t="str">
        <v>CT</v>
      </c>
      <c r="C25" s="24">
        <f>SUM(Apr!C25, May!C25, Jun!C25)</f>
        <v>0</v>
      </c>
      <c r="D25" s="13">
        <f>SUM(Apr!D25, May!D25, Jun!D25)</f>
        <v>0</v>
      </c>
      <c r="E25" s="13">
        <f t="shared" si="6"/>
        <v>0</v>
      </c>
      <c r="F25" s="14" t="str">
        <f t="shared" si="7"/>
        <v/>
      </c>
      <c r="G25" s="15"/>
      <c r="H25" s="15">
        <f>SUM(Apr!H25, May!H25, Jun!H25)</f>
        <v>0</v>
      </c>
      <c r="I25" s="16" t="str">
        <f t="shared" si="8"/>
        <v/>
      </c>
    </row>
    <row r="26" spans="1:9" ht="12.95">
      <c r="A26" s="21"/>
      <c r="B26" s="21"/>
      <c r="C26" s="21"/>
      <c r="D26" s="21"/>
      <c r="E26" s="21"/>
      <c r="F26" s="21"/>
      <c r="G26" s="21"/>
      <c r="H26" s="21"/>
      <c r="I26" s="21"/>
    </row>
    <row r="27" spans="1:9" ht="12.95">
      <c r="A27" s="21"/>
      <c r="B27" s="21"/>
      <c r="C27" s="21"/>
      <c r="D27" s="21"/>
      <c r="E27" s="21"/>
      <c r="F27" s="21"/>
      <c r="G27" s="21"/>
      <c r="H27" s="21"/>
      <c r="I27" s="21"/>
    </row>
    <row r="28" spans="1:9" ht="12.95">
      <c r="A28" s="21"/>
      <c r="B28" s="21"/>
      <c r="C28" s="21"/>
      <c r="D28" s="21"/>
      <c r="E28" s="21"/>
      <c r="F28" s="21"/>
      <c r="G28" s="21"/>
      <c r="H28" s="21"/>
      <c r="I28" s="21"/>
    </row>
    <row r="29" spans="1:9" ht="12.95">
      <c r="A29" s="21"/>
      <c r="B29" s="21"/>
      <c r="C29" s="21"/>
      <c r="D29" s="21"/>
      <c r="E29" s="21"/>
      <c r="F29" s="21"/>
      <c r="G29" s="21"/>
      <c r="H29" s="21"/>
      <c r="I29" s="21"/>
    </row>
    <row r="30" spans="1:9" ht="12.95">
      <c r="A30" s="21"/>
      <c r="B30" s="21"/>
      <c r="C30" s="21"/>
      <c r="D30" s="21"/>
      <c r="E30" s="21"/>
      <c r="F30" s="21"/>
      <c r="G30" s="21"/>
      <c r="H30" s="21"/>
      <c r="I30" s="21"/>
    </row>
    <row r="31" spans="1:9" ht="12.95">
      <c r="A31" s="21"/>
      <c r="B31" s="21"/>
      <c r="C31" s="21"/>
      <c r="D31" s="21"/>
      <c r="E31" s="21"/>
      <c r="F31" s="21"/>
      <c r="G31" s="21"/>
      <c r="H31" s="21"/>
      <c r="I31" s="21"/>
    </row>
    <row r="32" spans="1:9" ht="12.95">
      <c r="A32" s="21"/>
      <c r="B32" s="21"/>
      <c r="C32" s="21"/>
      <c r="D32" s="21"/>
      <c r="E32" s="21"/>
      <c r="F32" s="21"/>
      <c r="G32" s="21"/>
      <c r="H32" s="21"/>
      <c r="I32" s="21"/>
    </row>
    <row r="33" spans="1:9" ht="12.9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2.9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2.9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2.9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2.9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2.9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2.9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2.9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2.9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2.9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2.9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2.9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2.9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2.9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2.9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2.9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2.9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2.9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2.9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2.9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2.9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2.9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2.9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2.9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2.9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2.9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2.9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2.9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2.9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2.9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2.9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2.9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2.9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2.9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2.9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2.9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2.9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2.9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2.9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2.9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2.9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2.9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2.9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2.9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2.9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2.9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2.9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2.9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2.9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2.9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2.9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2.9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2.9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2.9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2.9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2.9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2.9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2.9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2.9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2.9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2.9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2.9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2.9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2.9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2.9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2.9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2.9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2.9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2.9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2.9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2.9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2.9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2.9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2.9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2.9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2.9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2.9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2.9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2.9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2.9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2.9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2.9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2.9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2.9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2.9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2.9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2.9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2.9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2.9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2.9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2.9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2.9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2.9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2.9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2.9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2.9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2.9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2.9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2.9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2.9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2.9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2.9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2.9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2.9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2.9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2.9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2.9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2.9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2.9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2.9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2.9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2.9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2.9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2.9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2.9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2.9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2.9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2.9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2.9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2.9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2.9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2.9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2.9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2.9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2.9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2.9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2.9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2.9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2.9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2.9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2.9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2.9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2.9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2.9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2.9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2.9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2.9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2.9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2.9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2.9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2.9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2.9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2.9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2.9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2.9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2.9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2.9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2.9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2.9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2.9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2.9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2.9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2.9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2.9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2.9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2.9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2.9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2.9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2.9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2.9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2.9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2.9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2.9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2.9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2.9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2.9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2.9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2.9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2.9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2.9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2.9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2.9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2.9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2.9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2.9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2.9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2.9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2.9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2.9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2.9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2.9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2.9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2.9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2.9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2.9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2.9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2.9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2.9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2.9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2.9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2.9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2.9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2.9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2.9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2.9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2.9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2.9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2.9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2.9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2.9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2.9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2.9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2.9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2.9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2.9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2.9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2.9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2.9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2.9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2.9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2.9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2.9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2.9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2.9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2.9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2.9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2.9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2.9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2.9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2.9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2.9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2.9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2.9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2.9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2.9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2.9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2.9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2.9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2.9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2.9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2.9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2.9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2.9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2.9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2.9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2.9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2.9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2.9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2.9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2.9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2.9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2.9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2.9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2.9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2.9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2.9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2.9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2.9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2.9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2.9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2.9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2.9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2.9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2.9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2.9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2.9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2.9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2.9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2.9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2.9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2.9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2.9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2.9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2.9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2.9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2.9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2.9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2.9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2.9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2.9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2.9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2.9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2.9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2.9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2.9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2.9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2.9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2.9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2.9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2.9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2.9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2.9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2.9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2.9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2.9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2.9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2.9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2.9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2.9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2.9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2.9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2.9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2.9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2.9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2.9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2.9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2.9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2.9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2.9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2.9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2.9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2.9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2.9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2.9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2.9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2.9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2.9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2.9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2.9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2.95">
      <c r="A342" s="21"/>
      <c r="B342" s="21"/>
      <c r="C342" s="21"/>
      <c r="D342" s="21"/>
      <c r="E342" s="21"/>
      <c r="F342" s="22"/>
      <c r="G342" s="21"/>
      <c r="H342" s="21"/>
      <c r="I342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100 I4:I100">
    <cfRule type="cellIs" dxfId="54" priority="1" stopIfTrue="1" operator="lessThanOrEqual">
      <formula>-0.1</formula>
    </cfRule>
    <cfRule type="expression" dxfId="5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42"/>
  <sheetViews>
    <sheetView workbookViewId="0">
      <pane xSplit="2" ySplit="3" topLeftCell="C4" activePane="bottomRight" state="frozen"/>
      <selection pane="bottomRight" activeCell="A4" sqref="A4:A25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9" t="str" cm="1">
        <f t="array" ref="A1">portfolio</f>
        <v>Silicon Ranch</v>
      </c>
      <c r="B1" s="59"/>
      <c r="C1" s="59"/>
      <c r="D1" s="60" t="s">
        <v>14</v>
      </c>
      <c r="E1" s="60"/>
      <c r="F1" s="60"/>
      <c r="G1" s="58" t="s">
        <v>15</v>
      </c>
      <c r="H1" s="58"/>
      <c r="I1" s="58"/>
    </row>
    <row r="2" spans="1:9" ht="19.5" customHeight="1">
      <c r="A2" s="61" t="s">
        <v>2</v>
      </c>
      <c r="B2" s="61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50" t="str" cm="1">
        <f t="array" ref="A4:A25">Sites[Site]</f>
        <v>Iron Mountain - Windsor</v>
      </c>
      <c r="B4" s="9" t="str" cm="1">
        <f t="array" ref="B4:B25">Sites[State]</f>
        <v>CT</v>
      </c>
      <c r="C4" s="24">
        <f>SUM(Jul!C4, Aug!C4, Sep!C4)</f>
        <v>0</v>
      </c>
      <c r="D4" s="13">
        <f>SUM(Jul!D4, Aug!D4, Sep!D4)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SUM(Jul!H4, Aug!H4, Sep!H4)</f>
        <v>0</v>
      </c>
      <c r="I4" s="16" t="str">
        <f>IFERROR(H4/G4, "")</f>
        <v/>
      </c>
    </row>
    <row r="5" spans="1:9" ht="15.75">
      <c r="A5" s="51" t="str">
        <v>Kohls - Auburn</v>
      </c>
      <c r="B5" s="10" t="str">
        <v>NY</v>
      </c>
      <c r="C5" s="11">
        <f>SUM(Jul!C5, Aug!C5, Sep!C5)</f>
        <v>0</v>
      </c>
      <c r="D5" s="18">
        <f>SUM(Jul!D5, Aug!D5, Sep!D5)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/>
      <c r="H5" s="20">
        <f>SUM(Jul!H5, Aug!H5, Sep!H5)</f>
        <v>0</v>
      </c>
      <c r="I5" s="19" t="str">
        <f>IFERROR(H5/G5, "")</f>
        <v/>
      </c>
    </row>
    <row r="6" spans="1:9" ht="15.75">
      <c r="A6" s="50" t="str">
        <v>Kohls - Bensalem</v>
      </c>
      <c r="B6" s="9" t="str">
        <v>PA</v>
      </c>
      <c r="C6" s="24">
        <f>SUM(Jul!C6, Aug!C6, Sep!C6)</f>
        <v>0</v>
      </c>
      <c r="D6" s="13">
        <f>SUM(Jul!D6, Aug!D6, Sep!D6)</f>
        <v>0</v>
      </c>
      <c r="E6" s="13">
        <f t="shared" si="0"/>
        <v>0</v>
      </c>
      <c r="F6" s="14" t="str">
        <f t="shared" ref="F6:F15" si="1">IFERROR(E6/D6, "")</f>
        <v/>
      </c>
      <c r="G6" s="15"/>
      <c r="H6" s="15">
        <f>SUM(Jul!H6, Aug!H6, Sep!H6)</f>
        <v>0</v>
      </c>
      <c r="I6" s="16" t="str">
        <f t="shared" ref="I6:I15" si="2">IFERROR(H6/G6, "")</f>
        <v/>
      </c>
    </row>
    <row r="7" spans="1:9" ht="15.75">
      <c r="A7" s="51" t="str">
        <v>Kohls - Brick</v>
      </c>
      <c r="B7" s="10" t="str">
        <v>NJ</v>
      </c>
      <c r="C7" s="11">
        <f>SUM(Jul!C7, Aug!C7, Sep!C7)</f>
        <v>0</v>
      </c>
      <c r="D7" s="18">
        <f>SUM(Jul!D7, Aug!D7, Sep!D7)</f>
        <v>0</v>
      </c>
      <c r="E7" s="18">
        <f t="shared" si="0"/>
        <v>0</v>
      </c>
      <c r="F7" s="19" t="str">
        <f t="shared" si="1"/>
        <v/>
      </c>
      <c r="G7" s="20"/>
      <c r="H7" s="20">
        <f>SUM(Jul!H7, Aug!H7, Sep!H7)</f>
        <v>0</v>
      </c>
      <c r="I7" s="19" t="str">
        <f t="shared" si="2"/>
        <v/>
      </c>
    </row>
    <row r="8" spans="1:9" ht="15.75">
      <c r="A8" s="50" t="str">
        <v>Kohls - Buffalo</v>
      </c>
      <c r="B8" s="9" t="str">
        <v>NY</v>
      </c>
      <c r="C8" s="24">
        <f>SUM(Jul!C8, Aug!C8, Sep!C8)</f>
        <v>0</v>
      </c>
      <c r="D8" s="13">
        <f>SUM(Jul!D8, Aug!D8, Sep!D8)</f>
        <v>0</v>
      </c>
      <c r="E8" s="13">
        <f t="shared" si="0"/>
        <v>0</v>
      </c>
      <c r="F8" s="14" t="str">
        <f t="shared" si="1"/>
        <v/>
      </c>
      <c r="G8" s="15"/>
      <c r="H8" s="15">
        <f>SUM(Jul!H8, Aug!H8, Sep!H8)</f>
        <v>0</v>
      </c>
      <c r="I8" s="16" t="str">
        <f t="shared" si="2"/>
        <v/>
      </c>
    </row>
    <row r="9" spans="1:9" ht="15.75">
      <c r="A9" s="51" t="str">
        <v>Kohls - Canton</v>
      </c>
      <c r="B9" s="10" t="str">
        <v>CT</v>
      </c>
      <c r="C9" s="11">
        <f>SUM(Jul!C9, Aug!C9, Sep!C9)</f>
        <v>0</v>
      </c>
      <c r="D9" s="18">
        <f>SUM(Jul!D9, Aug!D9, Sep!D9)</f>
        <v>0</v>
      </c>
      <c r="E9" s="18">
        <f t="shared" si="0"/>
        <v>0</v>
      </c>
      <c r="F9" s="19" t="str">
        <f t="shared" si="1"/>
        <v/>
      </c>
      <c r="G9" s="20"/>
      <c r="H9" s="20">
        <f>SUM(Jul!H9, Aug!H9, Sep!H9)</f>
        <v>0</v>
      </c>
      <c r="I9" s="19" t="str">
        <f t="shared" si="2"/>
        <v/>
      </c>
    </row>
    <row r="10" spans="1:9" ht="15.75">
      <c r="A10" s="50" t="str">
        <v>Kohls - East Amherst</v>
      </c>
      <c r="B10" s="9" t="str">
        <v>NY</v>
      </c>
      <c r="C10" s="24">
        <f>SUM(Jul!C10, Aug!C10, Sep!C10)</f>
        <v>0</v>
      </c>
      <c r="D10" s="13">
        <f>SUM(Jul!D10, Aug!D10, Sep!D10)</f>
        <v>0</v>
      </c>
      <c r="E10" s="13">
        <f t="shared" si="0"/>
        <v>0</v>
      </c>
      <c r="F10" s="14" t="str">
        <f t="shared" si="1"/>
        <v/>
      </c>
      <c r="G10" s="15"/>
      <c r="H10" s="15">
        <f>SUM(Jul!H10, Aug!H10, Sep!H10)</f>
        <v>0</v>
      </c>
      <c r="I10" s="16" t="str">
        <f t="shared" si="2"/>
        <v/>
      </c>
    </row>
    <row r="11" spans="1:9" ht="15.75">
      <c r="A11" s="51" t="str">
        <v>Kohls - East Brunswick</v>
      </c>
      <c r="B11" s="10" t="str">
        <v>NJ</v>
      </c>
      <c r="C11" s="11">
        <f>SUM(Jul!C11, Aug!C11, Sep!C11)</f>
        <v>0</v>
      </c>
      <c r="D11" s="18">
        <f>SUM(Jul!D11, Aug!D11, Sep!D11)</f>
        <v>0</v>
      </c>
      <c r="E11" s="18">
        <f t="shared" si="0"/>
        <v>0</v>
      </c>
      <c r="F11" s="19" t="str">
        <f t="shared" si="1"/>
        <v/>
      </c>
      <c r="G11" s="20"/>
      <c r="H11" s="20">
        <f>SUM(Jul!H11, Aug!H11, Sep!H11)</f>
        <v>0</v>
      </c>
      <c r="I11" s="19" t="str">
        <f t="shared" si="2"/>
        <v/>
      </c>
    </row>
    <row r="12" spans="1:9" ht="15.75">
      <c r="A12" s="50" t="str">
        <v>Kohls - Edgewood</v>
      </c>
      <c r="B12" s="9" t="str">
        <v>MD</v>
      </c>
      <c r="C12" s="24">
        <f>SUM(Jul!C12, Aug!C12, Sep!C12)</f>
        <v>0</v>
      </c>
      <c r="D12" s="13">
        <f>SUM(Jul!D12, Aug!D12, Sep!D12)</f>
        <v>0</v>
      </c>
      <c r="E12" s="13">
        <f t="shared" si="0"/>
        <v>0</v>
      </c>
      <c r="F12" s="14" t="str">
        <f t="shared" si="1"/>
        <v/>
      </c>
      <c r="G12" s="15"/>
      <c r="H12" s="15">
        <f>SUM(Jul!H12, Aug!H12, Sep!H12)</f>
        <v>0</v>
      </c>
      <c r="I12" s="16" t="str">
        <f t="shared" si="2"/>
        <v/>
      </c>
    </row>
    <row r="13" spans="1:9" ht="15.75">
      <c r="A13" s="51" t="str">
        <v>Kohls - Granite Run</v>
      </c>
      <c r="B13" s="10" t="str">
        <v>PA</v>
      </c>
      <c r="C13" s="11">
        <f>SUM(Jul!C13, Aug!C13, Sep!C13)</f>
        <v>0</v>
      </c>
      <c r="D13" s="18">
        <f>SUM(Jul!D13, Aug!D13, Sep!D13)</f>
        <v>0</v>
      </c>
      <c r="E13" s="18">
        <f t="shared" si="0"/>
        <v>0</v>
      </c>
      <c r="F13" s="19" t="str">
        <f t="shared" si="1"/>
        <v/>
      </c>
      <c r="G13" s="20"/>
      <c r="H13" s="20">
        <f>SUM(Jul!H13, Aug!H13, Sep!H13)</f>
        <v>0</v>
      </c>
      <c r="I13" s="19" t="str">
        <f t="shared" si="2"/>
        <v/>
      </c>
    </row>
    <row r="14" spans="1:9" ht="15.75">
      <c r="A14" s="50" t="str">
        <v>Kohls - Greece</v>
      </c>
      <c r="B14" s="9" t="str">
        <v>NY</v>
      </c>
      <c r="C14" s="24">
        <f>SUM(Jul!C14, Aug!C14, Sep!C14)</f>
        <v>0</v>
      </c>
      <c r="D14" s="13">
        <f>SUM(Jul!D14, Aug!D14, Sep!D14)</f>
        <v>0</v>
      </c>
      <c r="E14" s="13">
        <f t="shared" si="0"/>
        <v>0</v>
      </c>
      <c r="F14" s="14" t="str">
        <f t="shared" si="1"/>
        <v/>
      </c>
      <c r="G14" s="15"/>
      <c r="H14" s="15">
        <f>SUM(Jul!H14, Aug!H14, Sep!H14)</f>
        <v>0</v>
      </c>
      <c r="I14" s="16" t="str">
        <f t="shared" si="2"/>
        <v/>
      </c>
    </row>
    <row r="15" spans="1:9" ht="15.75">
      <c r="A15" s="51" t="str">
        <v>Kohls - Hanover</v>
      </c>
      <c r="B15" s="10" t="str">
        <v>PA</v>
      </c>
      <c r="C15" s="11">
        <f>SUM(Jul!C15, Aug!C15, Sep!C15)</f>
        <v>0</v>
      </c>
      <c r="D15" s="18">
        <f>SUM(Jul!D15, Aug!D15, Sep!D15)</f>
        <v>0</v>
      </c>
      <c r="E15" s="18">
        <f t="shared" si="0"/>
        <v>0</v>
      </c>
      <c r="F15" s="19" t="str">
        <f t="shared" si="1"/>
        <v/>
      </c>
      <c r="G15" s="20"/>
      <c r="H15" s="20">
        <f>SUM(Jul!H15, Aug!H15, Sep!H15)</f>
        <v>0</v>
      </c>
      <c r="I15" s="19" t="str">
        <f t="shared" si="2"/>
        <v/>
      </c>
    </row>
    <row r="16" spans="1:9" ht="15.75">
      <c r="A16" s="50" t="str">
        <v>Kohls - Horsehead</v>
      </c>
      <c r="B16" s="9" t="str">
        <v>NY</v>
      </c>
      <c r="C16" s="24">
        <f>SUM(Jul!C16, Aug!C16, Sep!C16)</f>
        <v>0</v>
      </c>
      <c r="D16" s="13">
        <f>SUM(Jul!D16, Aug!D16, Sep!D16)</f>
        <v>0</v>
      </c>
      <c r="E16" s="13">
        <f t="shared" ref="E16:E19" si="3">IF(AND(ISNUMBER(C16),ISNUMBER(D16)), C16-D16, "")</f>
        <v>0</v>
      </c>
      <c r="F16" s="14" t="str">
        <f t="shared" ref="F16:F19" si="4">IFERROR(E16/D16, "")</f>
        <v/>
      </c>
      <c r="G16" s="15"/>
      <c r="H16" s="15">
        <f>SUM(Jul!H16, Aug!H16, Sep!H16)</f>
        <v>0</v>
      </c>
      <c r="I16" s="16" t="str">
        <f t="shared" ref="I16:I19" si="5">IFERROR(H16/G16, "")</f>
        <v/>
      </c>
    </row>
    <row r="17" spans="1:9" ht="15.75">
      <c r="A17" s="51" t="str">
        <v>Kohls - Hudson</v>
      </c>
      <c r="B17" s="10" t="str">
        <v>NY</v>
      </c>
      <c r="C17" s="11">
        <f>SUM(Jul!C17, Aug!C17, Sep!C17)</f>
        <v>0</v>
      </c>
      <c r="D17" s="18">
        <f>SUM(Jul!D17, Aug!D17, Sep!D17)</f>
        <v>0</v>
      </c>
      <c r="E17" s="18">
        <f t="shared" si="3"/>
        <v>0</v>
      </c>
      <c r="F17" s="19" t="str">
        <f t="shared" si="4"/>
        <v/>
      </c>
      <c r="G17" s="20"/>
      <c r="H17" s="20">
        <f>SUM(Jul!H17, Aug!H17, Sep!H17)</f>
        <v>0</v>
      </c>
      <c r="I17" s="19" t="str">
        <f t="shared" si="5"/>
        <v/>
      </c>
    </row>
    <row r="18" spans="1:9" ht="12.75" customHeight="1">
      <c r="A18" s="50" t="str">
        <v>Kohls - Ithaca</v>
      </c>
      <c r="B18" s="12" t="str">
        <v>NY</v>
      </c>
      <c r="C18" s="24">
        <f>SUM(Jul!C18, Aug!C18, Sep!C18)</f>
        <v>0</v>
      </c>
      <c r="D18" s="13">
        <f>SUM(Jul!D18, Aug!D18, Sep!D18)</f>
        <v>0</v>
      </c>
      <c r="E18" s="13">
        <f t="shared" si="3"/>
        <v>0</v>
      </c>
      <c r="F18" s="14" t="str">
        <f t="shared" si="4"/>
        <v/>
      </c>
      <c r="G18" s="15"/>
      <c r="H18" s="15">
        <f>SUM(Jul!H18, Aug!H18, Sep!H18)</f>
        <v>0</v>
      </c>
      <c r="I18" s="16" t="str">
        <f t="shared" si="5"/>
        <v/>
      </c>
    </row>
    <row r="19" spans="1:9" ht="15.75">
      <c r="A19" s="51" t="str">
        <v>Kohls - Kingston</v>
      </c>
      <c r="B19" s="17" t="str">
        <v>NY</v>
      </c>
      <c r="C19" s="11">
        <f>SUM(Jul!C19, Aug!C19, Sep!C19)</f>
        <v>0</v>
      </c>
      <c r="D19" s="18">
        <f>SUM(Jul!D19, Aug!D19, Sep!D19)</f>
        <v>0</v>
      </c>
      <c r="E19" s="18">
        <f t="shared" si="3"/>
        <v>0</v>
      </c>
      <c r="F19" s="19" t="str">
        <f t="shared" si="4"/>
        <v/>
      </c>
      <c r="G19" s="20"/>
      <c r="H19" s="20">
        <f>SUM(Jul!H19, Aug!H19, Sep!H19)</f>
        <v>0</v>
      </c>
      <c r="I19" s="19" t="str">
        <f t="shared" si="5"/>
        <v/>
      </c>
    </row>
    <row r="20" spans="1:9" ht="15.75">
      <c r="A20" s="50" t="str">
        <v>Kohls - Mechanicsburg</v>
      </c>
      <c r="B20" s="12" t="str">
        <v>PA</v>
      </c>
      <c r="C20" s="24">
        <f>SUM(Jul!C20, Aug!C20, Sep!C20)</f>
        <v>0</v>
      </c>
      <c r="D20" s="13">
        <f>SUM(Jul!D20, Aug!D20, Sep!D20)</f>
        <v>0</v>
      </c>
      <c r="E20" s="13">
        <f t="shared" ref="E20:E25" si="6">IF(AND(ISNUMBER(C20),ISNUMBER(D20)), C20-D20, "")</f>
        <v>0</v>
      </c>
      <c r="F20" s="14" t="str">
        <f t="shared" ref="F20:F25" si="7">IFERROR(E20/D20, "")</f>
        <v/>
      </c>
      <c r="G20" s="15"/>
      <c r="H20" s="15">
        <f>SUM(Jul!H20, Aug!H20, Sep!H20)</f>
        <v>0</v>
      </c>
      <c r="I20" s="16" t="str">
        <f t="shared" ref="I20:I25" si="8">IFERROR(H20/G20, "")</f>
        <v/>
      </c>
    </row>
    <row r="21" spans="1:9" ht="15.75">
      <c r="A21" s="51" t="str">
        <v>Kohls - Middletown</v>
      </c>
      <c r="B21" s="17" t="str">
        <v>NJ</v>
      </c>
      <c r="C21" s="11">
        <f>SUM(Jul!C21, Aug!C21, Sep!C21)</f>
        <v>0</v>
      </c>
      <c r="D21" s="18">
        <f>SUM(Jul!D21, Aug!D21, Sep!D21)</f>
        <v>0</v>
      </c>
      <c r="E21" s="18">
        <f t="shared" si="6"/>
        <v>0</v>
      </c>
      <c r="F21" s="19" t="str">
        <f t="shared" si="7"/>
        <v/>
      </c>
      <c r="G21" s="20"/>
      <c r="H21" s="20">
        <f>SUM(Jul!H21, Aug!H21, Sep!H21)</f>
        <v>0</v>
      </c>
      <c r="I21" s="19" t="str">
        <f t="shared" si="8"/>
        <v/>
      </c>
    </row>
    <row r="22" spans="1:9" ht="15.75">
      <c r="A22" s="50" t="str">
        <v>Kohls - North Amherst</v>
      </c>
      <c r="B22" s="12" t="str">
        <v>NY</v>
      </c>
      <c r="C22" s="24">
        <f>SUM(Jul!C22, Aug!C22, Sep!C22)</f>
        <v>0</v>
      </c>
      <c r="D22" s="13">
        <f>SUM(Jul!D22, Aug!D22, Sep!D22)</f>
        <v>0</v>
      </c>
      <c r="E22" s="13">
        <f t="shared" si="6"/>
        <v>0</v>
      </c>
      <c r="F22" s="14" t="str">
        <f t="shared" si="7"/>
        <v/>
      </c>
      <c r="G22" s="15"/>
      <c r="H22" s="15">
        <f>SUM(Jul!H22, Aug!H22, Sep!H22)</f>
        <v>0</v>
      </c>
      <c r="I22" s="16" t="str">
        <f t="shared" si="8"/>
        <v/>
      </c>
    </row>
    <row r="23" spans="1:9" ht="15.75">
      <c r="A23" s="51" t="str">
        <v>Kohls - Staten Island</v>
      </c>
      <c r="B23" s="17" t="str">
        <v>NY</v>
      </c>
      <c r="C23" s="11">
        <f>SUM(Jul!C23, Aug!C23, Sep!C23)</f>
        <v>0</v>
      </c>
      <c r="D23" s="18">
        <f>SUM(Jul!D23, Aug!D23, Sep!D23)</f>
        <v>0</v>
      </c>
      <c r="E23" s="18">
        <f t="shared" si="6"/>
        <v>0</v>
      </c>
      <c r="F23" s="19" t="str">
        <f t="shared" si="7"/>
        <v/>
      </c>
      <c r="G23" s="20"/>
      <c r="H23" s="20">
        <f>SUM(Jul!H23, Aug!H23, Sep!H23)</f>
        <v>0</v>
      </c>
      <c r="I23" s="19" t="str">
        <f t="shared" si="8"/>
        <v/>
      </c>
    </row>
    <row r="24" spans="1:9" ht="15.75">
      <c r="A24" s="50" t="str">
        <v>Kohls - Warminster</v>
      </c>
      <c r="B24" s="12" t="str">
        <v>PA</v>
      </c>
      <c r="C24" s="24">
        <f>SUM(Jul!C24, Aug!C24, Sep!C24)</f>
        <v>0</v>
      </c>
      <c r="D24" s="13">
        <f>SUM(Jul!D24, Aug!D24, Sep!D24)</f>
        <v>0</v>
      </c>
      <c r="E24" s="13">
        <f t="shared" si="6"/>
        <v>0</v>
      </c>
      <c r="F24" s="14" t="str">
        <f t="shared" si="7"/>
        <v/>
      </c>
      <c r="G24" s="15"/>
      <c r="H24" s="15">
        <f>SUM(Jul!H24, Aug!H24, Sep!H24)</f>
        <v>0</v>
      </c>
      <c r="I24" s="16" t="str">
        <f t="shared" si="8"/>
        <v/>
      </c>
    </row>
    <row r="25" spans="1:9" ht="15.75">
      <c r="A25" s="51" t="str">
        <v xml:space="preserve">Kohls - Waterbury </v>
      </c>
      <c r="B25" s="17" t="str">
        <v>CT</v>
      </c>
      <c r="C25" s="11">
        <f>SUM(Jul!C25, Aug!C25, Sep!C25)</f>
        <v>0</v>
      </c>
      <c r="D25" s="18">
        <f>SUM(Jul!D25, Aug!D25, Sep!D25)</f>
        <v>0</v>
      </c>
      <c r="E25" s="18">
        <f t="shared" si="6"/>
        <v>0</v>
      </c>
      <c r="F25" s="19" t="str">
        <f t="shared" si="7"/>
        <v/>
      </c>
      <c r="G25" s="20"/>
      <c r="H25" s="20">
        <f>SUM(Jul!H25, Aug!H25, Sep!H25)</f>
        <v>0</v>
      </c>
      <c r="I25" s="19" t="str">
        <f t="shared" si="8"/>
        <v/>
      </c>
    </row>
    <row r="26" spans="1:9" ht="15.75">
      <c r="A26" s="17"/>
      <c r="B26" s="21"/>
      <c r="C26" s="21"/>
      <c r="D26" s="21"/>
      <c r="E26" s="21"/>
      <c r="F26" s="21"/>
      <c r="G26" s="21"/>
      <c r="H26" s="21"/>
      <c r="I26" s="21"/>
    </row>
    <row r="27" spans="1:9" ht="15.75">
      <c r="A27" s="17"/>
      <c r="B27" s="21"/>
      <c r="C27" s="21"/>
      <c r="D27" s="21"/>
      <c r="E27" s="21"/>
      <c r="F27" s="21"/>
      <c r="G27" s="21"/>
      <c r="H27" s="21"/>
      <c r="I27" s="21"/>
    </row>
    <row r="28" spans="1:9" ht="15.75">
      <c r="A28" s="17"/>
      <c r="B28" s="21"/>
      <c r="C28" s="21"/>
      <c r="D28" s="21"/>
      <c r="E28" s="21"/>
      <c r="F28" s="21"/>
      <c r="G28" s="21"/>
      <c r="H28" s="21"/>
      <c r="I28" s="21"/>
    </row>
    <row r="29" spans="1:9" ht="15.75">
      <c r="A29" s="17"/>
      <c r="B29" s="21"/>
      <c r="C29" s="21"/>
      <c r="D29" s="21"/>
      <c r="E29" s="21"/>
      <c r="F29" s="21"/>
      <c r="G29" s="21"/>
      <c r="H29" s="21"/>
      <c r="I29" s="21"/>
    </row>
    <row r="30" spans="1:9" ht="15.75">
      <c r="A30" s="17"/>
      <c r="B30" s="21"/>
      <c r="C30" s="21"/>
      <c r="D30" s="21"/>
      <c r="E30" s="21"/>
      <c r="F30" s="21"/>
      <c r="G30" s="21"/>
      <c r="H30" s="21"/>
      <c r="I30" s="21"/>
    </row>
    <row r="31" spans="1:9" ht="15.75">
      <c r="A31" s="17"/>
      <c r="B31" s="21"/>
      <c r="C31" s="21"/>
      <c r="D31" s="21"/>
      <c r="E31" s="21"/>
      <c r="F31" s="21"/>
      <c r="G31" s="21"/>
      <c r="H31" s="21"/>
      <c r="I31" s="21"/>
    </row>
    <row r="32" spans="1:9" ht="12.95">
      <c r="A32" s="21"/>
      <c r="B32" s="21"/>
      <c r="C32" s="21"/>
      <c r="D32" s="21"/>
      <c r="E32" s="21"/>
      <c r="F32" s="21"/>
      <c r="G32" s="21"/>
      <c r="H32" s="21"/>
      <c r="I32" s="21"/>
    </row>
    <row r="33" spans="1:9" ht="12.9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2.9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2.9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2.9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2.9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2.9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2.9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2.9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2.9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2.9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2.9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2.9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2.9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2.9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2.9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2.9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2.9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2.9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2.9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2.9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2.9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2.9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2.9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2.9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2.9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2.9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2.9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2.9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2.9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2.9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2.9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2.9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2.9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2.9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2.9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2.9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2.9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2.9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2.9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2.9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2.9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2.9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2.9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2.9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2.9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2.9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2.9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2.9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2.9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2.9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2.9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2.9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2.9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2.9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2.9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2.9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2.9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2.9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2.9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2.9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2.9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2.9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2.9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2.9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2.9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2.9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2.9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2.9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2.9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2.9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2.9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2.9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2.9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2.9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2.9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2.9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2.9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2.9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2.9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2.9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2.9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2.9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2.9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2.9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2.9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2.9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2.9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2.9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2.9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2.9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2.9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2.9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2.9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2.9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2.9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2.9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2.9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2.9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2.9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2.9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2.9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2.9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2.9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2.9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2.9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2.9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2.9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2.9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2.9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2.9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2.9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2.9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2.9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2.9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2.9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2.9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2.9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2.9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2.9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2.9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2.9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2.9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2.9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2.9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2.9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2.9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2.9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2.9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2.9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2.9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2.9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2.9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2.9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2.9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2.9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2.9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2.9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2.9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2.9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2.9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2.9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2.9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2.9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2.9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2.9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2.9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2.9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2.9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2.9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2.9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2.9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2.9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2.9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2.9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2.9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2.9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2.9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2.9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2.9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2.9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2.9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2.9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2.9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2.9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2.9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2.9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2.9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2.9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2.9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2.9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2.9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2.9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2.9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2.9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2.9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2.9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2.9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2.9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2.9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2.9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2.9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2.9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2.9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2.9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2.9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2.9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2.9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2.9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2.9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2.9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2.9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2.9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2.9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2.9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2.9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2.9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2.9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2.9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2.9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2.9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2.9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2.9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2.9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2.9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2.9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2.9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2.9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2.9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2.9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2.9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2.9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2.9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2.9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2.9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2.9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2.9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2.9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2.9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2.9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2.9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2.9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2.9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2.9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2.9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2.9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2.9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2.9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2.9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2.9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2.9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2.9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2.9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2.9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2.9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2.9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2.9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2.9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2.9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2.9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2.9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2.9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2.9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2.9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2.9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2.9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2.9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2.9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2.9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2.9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2.9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2.9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2.9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2.9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2.9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2.9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2.9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2.9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2.9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2.9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2.9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2.9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2.9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2.9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2.9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2.9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2.9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2.9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2.9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2.9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2.9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2.9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2.9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2.9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2.9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2.9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2.9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2.9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2.9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2.9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2.9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2.9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2.9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2.9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2.9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2.9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2.9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2.9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2.9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2.9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2.9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2.9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2.9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2.9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2.9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2.9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2.9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2.9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2.9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2.9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2.9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2.9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2.9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2.9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2.9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2.9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2.9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2.9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2.9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2.9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2.95">
      <c r="A342" s="21"/>
      <c r="B342" s="21"/>
      <c r="C342" s="21"/>
      <c r="D342" s="21"/>
      <c r="E342" s="21"/>
      <c r="F342" s="22"/>
      <c r="G342" s="21"/>
      <c r="H342" s="21"/>
      <c r="I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52" priority="1" stopIfTrue="1" operator="lessThanOrEqual">
      <formula>-0.1</formula>
    </cfRule>
    <cfRule type="expression" dxfId="5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42"/>
  <sheetViews>
    <sheetView workbookViewId="0">
      <pane xSplit="2" ySplit="3" topLeftCell="C4" activePane="bottomRight" state="frozen"/>
      <selection pane="bottomRight" activeCell="A4" sqref="A4:A25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9" t="str" cm="1">
        <f t="array" ref="A1">portfolio</f>
        <v>Silicon Ranch</v>
      </c>
      <c r="B1" s="59"/>
      <c r="C1" s="59"/>
      <c r="D1" s="60" t="s">
        <v>16</v>
      </c>
      <c r="E1" s="60"/>
      <c r="F1" s="60"/>
      <c r="G1" s="58" t="s">
        <v>17</v>
      </c>
      <c r="H1" s="58"/>
      <c r="I1" s="58"/>
    </row>
    <row r="2" spans="1:9" ht="19.5" customHeight="1">
      <c r="A2" s="61" t="s">
        <v>2</v>
      </c>
      <c r="B2" s="61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50" t="str" cm="1">
        <f t="array" ref="A4:A25">Sites[Site]</f>
        <v>Iron Mountain - Windsor</v>
      </c>
      <c r="B4" s="9" t="str" cm="1">
        <f t="array" ref="B4:B25">Sites[State]</f>
        <v>CT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SUM(Oct!H4, Nov!H4, Dec!H4)</f>
        <v>0</v>
      </c>
      <c r="I4" s="16" t="str">
        <f>IFERROR(H4/G4, "")</f>
        <v/>
      </c>
    </row>
    <row r="5" spans="1:9" ht="15.75">
      <c r="A5" s="51" t="str">
        <v>Kohls - Auburn</v>
      </c>
      <c r="B5" s="10" t="str">
        <v>NY</v>
      </c>
      <c r="C5" s="11">
        <f>SUM(Oct!C5, Nov!C5, Dec!C5)</f>
        <v>0</v>
      </c>
      <c r="D5" s="18">
        <f>SUM(Oct!D5, Nov!D5, Dec!D5)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/>
      <c r="H5" s="20">
        <f>SUM(Oct!H5, Nov!H5, Dec!H5)</f>
        <v>0</v>
      </c>
      <c r="I5" s="19" t="str">
        <f>IFERROR(H5/G5, "")</f>
        <v/>
      </c>
    </row>
    <row r="6" spans="1:9" ht="15.75">
      <c r="A6" s="50" t="str">
        <v>Kohls - Bensalem</v>
      </c>
      <c r="B6" s="9" t="str">
        <v>PA</v>
      </c>
      <c r="C6" s="24">
        <f>SUM(Oct!C6, Nov!C6, Dec!C6)</f>
        <v>0</v>
      </c>
      <c r="D6" s="13">
        <f>SUM(Oct!D6, Nov!D6, Dec!D6)</f>
        <v>0</v>
      </c>
      <c r="E6" s="13">
        <f t="shared" si="0"/>
        <v>0</v>
      </c>
      <c r="F6" s="14" t="str">
        <f t="shared" ref="F6:F15" si="1">IFERROR(E6/D6, "")</f>
        <v/>
      </c>
      <c r="G6" s="15"/>
      <c r="H6" s="15">
        <f>SUM(Oct!H6, Nov!H6, Dec!H6)</f>
        <v>0</v>
      </c>
      <c r="I6" s="16" t="str">
        <f t="shared" ref="I6:I15" si="2">IFERROR(H6/G6, "")</f>
        <v/>
      </c>
    </row>
    <row r="7" spans="1:9" ht="15.75">
      <c r="A7" s="51" t="str">
        <v>Kohls - Brick</v>
      </c>
      <c r="B7" s="10" t="str">
        <v>NJ</v>
      </c>
      <c r="C7" s="11">
        <f>SUM(Oct!C7, Nov!C7, Dec!C7)</f>
        <v>0</v>
      </c>
      <c r="D7" s="18">
        <f>SUM(Oct!D7, Nov!D7, Dec!D7)</f>
        <v>0</v>
      </c>
      <c r="E7" s="18">
        <f t="shared" si="0"/>
        <v>0</v>
      </c>
      <c r="F7" s="19" t="str">
        <f t="shared" si="1"/>
        <v/>
      </c>
      <c r="G7" s="20"/>
      <c r="H7" s="20">
        <f>SUM(Oct!H7, Nov!H7, Dec!H7)</f>
        <v>0</v>
      </c>
      <c r="I7" s="19" t="str">
        <f t="shared" si="2"/>
        <v/>
      </c>
    </row>
    <row r="8" spans="1:9" ht="15.75">
      <c r="A8" s="50" t="str">
        <v>Kohls - Buffalo</v>
      </c>
      <c r="B8" s="9" t="str">
        <v>NY</v>
      </c>
      <c r="C8" s="24">
        <f>SUM(Oct!C8, Nov!C8, Dec!C8)</f>
        <v>0</v>
      </c>
      <c r="D8" s="13">
        <f>SUM(Oct!D8, Nov!D8, Dec!D8)</f>
        <v>0</v>
      </c>
      <c r="E8" s="13">
        <f t="shared" si="0"/>
        <v>0</v>
      </c>
      <c r="F8" s="14" t="str">
        <f t="shared" si="1"/>
        <v/>
      </c>
      <c r="G8" s="15"/>
      <c r="H8" s="15">
        <f>SUM(Oct!H8, Nov!H8, Dec!H8)</f>
        <v>0</v>
      </c>
      <c r="I8" s="16" t="str">
        <f t="shared" si="2"/>
        <v/>
      </c>
    </row>
    <row r="9" spans="1:9" ht="15.75">
      <c r="A9" s="51" t="str">
        <v>Kohls - Canton</v>
      </c>
      <c r="B9" s="10" t="str">
        <v>CT</v>
      </c>
      <c r="C9" s="11">
        <f>SUM(Oct!C9, Nov!C9, Dec!C9)</f>
        <v>0</v>
      </c>
      <c r="D9" s="18">
        <f>SUM(Oct!D9, Nov!D9, Dec!D9)</f>
        <v>0</v>
      </c>
      <c r="E9" s="18">
        <f t="shared" si="0"/>
        <v>0</v>
      </c>
      <c r="F9" s="19" t="str">
        <f t="shared" si="1"/>
        <v/>
      </c>
      <c r="G9" s="20"/>
      <c r="H9" s="20">
        <f>SUM(Oct!H9, Nov!H9, Dec!H9)</f>
        <v>0</v>
      </c>
      <c r="I9" s="19" t="str">
        <f t="shared" si="2"/>
        <v/>
      </c>
    </row>
    <row r="10" spans="1:9" ht="15.75">
      <c r="A10" s="50" t="str">
        <v>Kohls - East Amherst</v>
      </c>
      <c r="B10" s="9" t="str">
        <v>NY</v>
      </c>
      <c r="C10" s="24">
        <f>SUM(Oct!C10, Nov!C10, Dec!C10)</f>
        <v>0</v>
      </c>
      <c r="D10" s="13">
        <f>SUM(Oct!D10, Nov!D10, Dec!D10)</f>
        <v>0</v>
      </c>
      <c r="E10" s="13">
        <f t="shared" si="0"/>
        <v>0</v>
      </c>
      <c r="F10" s="14" t="str">
        <f t="shared" si="1"/>
        <v/>
      </c>
      <c r="G10" s="15"/>
      <c r="H10" s="15">
        <f>SUM(Oct!H10, Nov!H10, Dec!H10)</f>
        <v>0</v>
      </c>
      <c r="I10" s="16" t="str">
        <f t="shared" si="2"/>
        <v/>
      </c>
    </row>
    <row r="11" spans="1:9" ht="15.75">
      <c r="A11" s="51" t="str">
        <v>Kohls - East Brunswick</v>
      </c>
      <c r="B11" s="10" t="str">
        <v>NJ</v>
      </c>
      <c r="C11" s="11">
        <f>SUM(Oct!C11, Nov!C11, Dec!C11)</f>
        <v>0</v>
      </c>
      <c r="D11" s="18">
        <f>SUM(Oct!D11, Nov!D11, Dec!D11)</f>
        <v>0</v>
      </c>
      <c r="E11" s="18">
        <f t="shared" si="0"/>
        <v>0</v>
      </c>
      <c r="F11" s="19" t="str">
        <f t="shared" si="1"/>
        <v/>
      </c>
      <c r="G11" s="20"/>
      <c r="H11" s="20">
        <f>SUM(Oct!H11, Nov!H11, Dec!H11)</f>
        <v>0</v>
      </c>
      <c r="I11" s="19" t="str">
        <f t="shared" si="2"/>
        <v/>
      </c>
    </row>
    <row r="12" spans="1:9" ht="15.75">
      <c r="A12" s="50" t="str">
        <v>Kohls - Edgewood</v>
      </c>
      <c r="B12" s="9" t="str">
        <v>MD</v>
      </c>
      <c r="C12" s="24">
        <f>SUM(Oct!C12, Nov!C12, Dec!C12)</f>
        <v>0</v>
      </c>
      <c r="D12" s="13">
        <f>SUM(Oct!D12, Nov!D12, Dec!D12)</f>
        <v>0</v>
      </c>
      <c r="E12" s="13">
        <f t="shared" si="0"/>
        <v>0</v>
      </c>
      <c r="F12" s="14" t="str">
        <f t="shared" si="1"/>
        <v/>
      </c>
      <c r="G12" s="15"/>
      <c r="H12" s="15">
        <f>SUM(Oct!H12, Nov!H12, Dec!H12)</f>
        <v>0</v>
      </c>
      <c r="I12" s="16" t="str">
        <f t="shared" si="2"/>
        <v/>
      </c>
    </row>
    <row r="13" spans="1:9" ht="15.75">
      <c r="A13" s="51" t="str">
        <v>Kohls - Granite Run</v>
      </c>
      <c r="B13" s="10" t="str">
        <v>PA</v>
      </c>
      <c r="C13" s="11">
        <f>SUM(Oct!C13, Nov!C13, Dec!C13)</f>
        <v>0</v>
      </c>
      <c r="D13" s="18">
        <f>SUM(Oct!D13, Nov!D13, Dec!D13)</f>
        <v>0</v>
      </c>
      <c r="E13" s="18">
        <f t="shared" si="0"/>
        <v>0</v>
      </c>
      <c r="F13" s="19" t="str">
        <f t="shared" si="1"/>
        <v/>
      </c>
      <c r="G13" s="20"/>
      <c r="H13" s="20">
        <f>SUM(Oct!H13, Nov!H13, Dec!H13)</f>
        <v>0</v>
      </c>
      <c r="I13" s="19" t="str">
        <f t="shared" si="2"/>
        <v/>
      </c>
    </row>
    <row r="14" spans="1:9" ht="15.75">
      <c r="A14" s="50" t="str">
        <v>Kohls - Greece</v>
      </c>
      <c r="B14" s="9" t="str">
        <v>NY</v>
      </c>
      <c r="C14" s="24">
        <f>SUM(Oct!C14, Nov!C14, Dec!C14)</f>
        <v>0</v>
      </c>
      <c r="D14" s="13">
        <f>SUM(Oct!D14, Nov!D14, Dec!D14)</f>
        <v>0</v>
      </c>
      <c r="E14" s="13">
        <f t="shared" si="0"/>
        <v>0</v>
      </c>
      <c r="F14" s="14" t="str">
        <f t="shared" si="1"/>
        <v/>
      </c>
      <c r="G14" s="15"/>
      <c r="H14" s="15">
        <f>SUM(Oct!H14, Nov!H14, Dec!H14)</f>
        <v>0</v>
      </c>
      <c r="I14" s="16" t="str">
        <f t="shared" si="2"/>
        <v/>
      </c>
    </row>
    <row r="15" spans="1:9" ht="15.75">
      <c r="A15" s="51" t="str">
        <v>Kohls - Hanover</v>
      </c>
      <c r="B15" s="10" t="str">
        <v>PA</v>
      </c>
      <c r="C15" s="11">
        <f>SUM(Oct!C15, Nov!C15, Dec!C15)</f>
        <v>0</v>
      </c>
      <c r="D15" s="18">
        <f>SUM(Oct!D15, Nov!D15, Dec!D15)</f>
        <v>0</v>
      </c>
      <c r="E15" s="18">
        <f t="shared" si="0"/>
        <v>0</v>
      </c>
      <c r="F15" s="19" t="str">
        <f t="shared" si="1"/>
        <v/>
      </c>
      <c r="G15" s="20"/>
      <c r="H15" s="20">
        <f>SUM(Oct!H15, Nov!H15, Dec!H15)</f>
        <v>0</v>
      </c>
      <c r="I15" s="19" t="str">
        <f t="shared" si="2"/>
        <v/>
      </c>
    </row>
    <row r="16" spans="1:9" ht="15.75">
      <c r="A16" s="50" t="str">
        <v>Kohls - Horsehead</v>
      </c>
      <c r="B16" s="9" t="str">
        <v>NY</v>
      </c>
      <c r="C16" s="24">
        <f>SUM(Oct!C16, Nov!C16, Dec!C16)</f>
        <v>0</v>
      </c>
      <c r="D16" s="13">
        <f>SUM(Oct!D16, Nov!D16, Dec!D16)</f>
        <v>0</v>
      </c>
      <c r="E16" s="13">
        <f t="shared" ref="E16:E18" si="3">IF(AND(ISNUMBER(C16),ISNUMBER(D16)), C16-D16, "")</f>
        <v>0</v>
      </c>
      <c r="F16" s="14" t="str">
        <f t="shared" ref="F16:F18" si="4">IFERROR(E16/D16, "")</f>
        <v/>
      </c>
      <c r="G16" s="15"/>
      <c r="H16" s="15">
        <f>SUM(Oct!H16, Nov!H16, Dec!H16)</f>
        <v>0</v>
      </c>
      <c r="I16" s="16" t="str">
        <f t="shared" ref="I16:I18" si="5">IFERROR(H16/G16, "")</f>
        <v/>
      </c>
    </row>
    <row r="17" spans="1:9" ht="15.75">
      <c r="A17" s="51" t="str">
        <v>Kohls - Hudson</v>
      </c>
      <c r="B17" s="10" t="str">
        <v>NY</v>
      </c>
      <c r="C17" s="11">
        <f>SUM(Oct!C17, Nov!C17, Dec!C17)</f>
        <v>0</v>
      </c>
      <c r="D17" s="18">
        <f>SUM(Oct!D17, Nov!D17, Dec!D17)</f>
        <v>0</v>
      </c>
      <c r="E17" s="18">
        <f t="shared" si="3"/>
        <v>0</v>
      </c>
      <c r="F17" s="19" t="str">
        <f t="shared" si="4"/>
        <v/>
      </c>
      <c r="G17" s="20"/>
      <c r="H17" s="20">
        <f>SUM(Oct!H17, Nov!H17, Dec!H17)</f>
        <v>0</v>
      </c>
      <c r="I17" s="19" t="str">
        <f t="shared" si="5"/>
        <v/>
      </c>
    </row>
    <row r="18" spans="1:9" ht="12.75" customHeight="1">
      <c r="A18" s="50" t="str">
        <v>Kohls - Ithaca</v>
      </c>
      <c r="B18" s="9" t="str">
        <v>NY</v>
      </c>
      <c r="C18" s="11">
        <f>SUM(Oct!C18, Nov!C18, Dec!C18)</f>
        <v>0</v>
      </c>
      <c r="D18" s="18">
        <f>SUM(Oct!D18, Nov!D18, Dec!D18)</f>
        <v>0</v>
      </c>
      <c r="E18" s="18">
        <f t="shared" si="3"/>
        <v>0</v>
      </c>
      <c r="F18" s="19" t="str">
        <f t="shared" si="4"/>
        <v/>
      </c>
      <c r="G18" s="20"/>
      <c r="H18" s="20">
        <f>SUM(Oct!H18, Nov!H18, Dec!H18)</f>
        <v>0</v>
      </c>
      <c r="I18" s="19" t="str">
        <f t="shared" si="5"/>
        <v/>
      </c>
    </row>
    <row r="19" spans="1:9" ht="15.75">
      <c r="A19" s="51" t="str">
        <v>Kohls - Kingston</v>
      </c>
      <c r="B19" s="10" t="str">
        <v>NY</v>
      </c>
      <c r="C19" s="24">
        <f>SUM(Oct!C19, Nov!C19, Dec!C19)</f>
        <v>0</v>
      </c>
      <c r="D19" s="13">
        <f>SUM(Oct!D19, Nov!D19, Dec!D19)</f>
        <v>0</v>
      </c>
      <c r="E19" s="13">
        <f t="shared" ref="E19:E25" si="6">IF(AND(ISNUMBER(C19),ISNUMBER(D19)), C19-D19, "")</f>
        <v>0</v>
      </c>
      <c r="F19" s="14" t="str">
        <f t="shared" ref="F19:F25" si="7">IFERROR(E19/D19, "")</f>
        <v/>
      </c>
      <c r="G19" s="15"/>
      <c r="H19" s="15">
        <f>SUM(Oct!H19, Nov!H19, Dec!H19)</f>
        <v>0</v>
      </c>
      <c r="I19" s="16" t="str">
        <f t="shared" ref="I19:I25" si="8">IFERROR(H19/G19, "")</f>
        <v/>
      </c>
    </row>
    <row r="20" spans="1:9" ht="15.75">
      <c r="A20" s="50" t="str">
        <v>Kohls - Mechanicsburg</v>
      </c>
      <c r="B20" s="9" t="str">
        <v>PA</v>
      </c>
      <c r="C20" s="11">
        <f>SUM(Oct!C20, Nov!C20, Dec!C20)</f>
        <v>0</v>
      </c>
      <c r="D20" s="18">
        <f>SUM(Oct!D20, Nov!D20, Dec!D20)</f>
        <v>0</v>
      </c>
      <c r="E20" s="18">
        <f t="shared" si="6"/>
        <v>0</v>
      </c>
      <c r="F20" s="19" t="str">
        <f t="shared" si="7"/>
        <v/>
      </c>
      <c r="G20" s="20"/>
      <c r="H20" s="20">
        <f>SUM(Oct!H20, Nov!H20, Dec!H20)</f>
        <v>0</v>
      </c>
      <c r="I20" s="19" t="str">
        <f t="shared" si="8"/>
        <v/>
      </c>
    </row>
    <row r="21" spans="1:9" ht="15.75">
      <c r="A21" s="51" t="str">
        <v>Kohls - Middletown</v>
      </c>
      <c r="B21" s="10" t="str">
        <v>NJ</v>
      </c>
      <c r="C21" s="11">
        <f>SUM(Oct!C21, Nov!C21, Dec!C21)</f>
        <v>0</v>
      </c>
      <c r="D21" s="18">
        <f>SUM(Oct!D21, Nov!D21, Dec!D21)</f>
        <v>0</v>
      </c>
      <c r="E21" s="18">
        <f t="shared" si="6"/>
        <v>0</v>
      </c>
      <c r="F21" s="19" t="str">
        <f t="shared" si="7"/>
        <v/>
      </c>
      <c r="G21" s="20"/>
      <c r="H21" s="20">
        <f>SUM(Oct!H21, Nov!H21, Dec!H21)</f>
        <v>0</v>
      </c>
      <c r="I21" s="19" t="str">
        <f t="shared" si="8"/>
        <v/>
      </c>
    </row>
    <row r="22" spans="1:9" ht="15.75">
      <c r="A22" s="50" t="str">
        <v>Kohls - North Amherst</v>
      </c>
      <c r="B22" s="9" t="str">
        <v>NY</v>
      </c>
      <c r="C22" s="24">
        <f>SUM(Oct!C22, Nov!C22, Dec!C22)</f>
        <v>0</v>
      </c>
      <c r="D22" s="13">
        <f>SUM(Oct!D22, Nov!D22, Dec!D22)</f>
        <v>0</v>
      </c>
      <c r="E22" s="13">
        <f t="shared" si="6"/>
        <v>0</v>
      </c>
      <c r="F22" s="14" t="str">
        <f t="shared" si="7"/>
        <v/>
      </c>
      <c r="G22" s="15"/>
      <c r="H22" s="15">
        <f>SUM(Oct!H22, Nov!H22, Dec!H22)</f>
        <v>0</v>
      </c>
      <c r="I22" s="16" t="str">
        <f t="shared" si="8"/>
        <v/>
      </c>
    </row>
    <row r="23" spans="1:9" ht="15.75">
      <c r="A23" s="51" t="str">
        <v>Kohls - Staten Island</v>
      </c>
      <c r="B23" s="10" t="str">
        <v>NY</v>
      </c>
      <c r="C23" s="11">
        <f>SUM(Oct!C23, Nov!C23, Dec!C23)</f>
        <v>0</v>
      </c>
      <c r="D23" s="18">
        <f>SUM(Oct!D23, Nov!D23, Dec!D23)</f>
        <v>0</v>
      </c>
      <c r="E23" s="18">
        <f t="shared" si="6"/>
        <v>0</v>
      </c>
      <c r="F23" s="19" t="str">
        <f t="shared" si="7"/>
        <v/>
      </c>
      <c r="G23" s="20"/>
      <c r="H23" s="20">
        <f>SUM(Oct!H23, Nov!H23, Dec!H23)</f>
        <v>0</v>
      </c>
      <c r="I23" s="19" t="str">
        <f t="shared" si="8"/>
        <v/>
      </c>
    </row>
    <row r="24" spans="1:9" ht="15.75">
      <c r="A24" s="50" t="str">
        <v>Kohls - Warminster</v>
      </c>
      <c r="B24" s="9" t="str">
        <v>PA</v>
      </c>
      <c r="C24" s="11">
        <f>SUM(Oct!C24, Nov!C24, Dec!C24)</f>
        <v>0</v>
      </c>
      <c r="D24" s="18">
        <f>SUM(Oct!D24, Nov!D24, Dec!D24)</f>
        <v>0</v>
      </c>
      <c r="E24" s="18">
        <f t="shared" si="6"/>
        <v>0</v>
      </c>
      <c r="F24" s="19" t="str">
        <f t="shared" si="7"/>
        <v/>
      </c>
      <c r="G24" s="20"/>
      <c r="H24" s="20">
        <f>SUM(Oct!H24, Nov!H24, Dec!H24)</f>
        <v>0</v>
      </c>
      <c r="I24" s="19" t="str">
        <f t="shared" si="8"/>
        <v/>
      </c>
    </row>
    <row r="25" spans="1:9" ht="15.75">
      <c r="A25" s="51" t="str">
        <v xml:space="preserve">Kohls - Waterbury </v>
      </c>
      <c r="B25" s="10" t="str">
        <v>CT</v>
      </c>
      <c r="C25" s="11">
        <f>SUM(Oct!C25, Nov!C25, Dec!C25)</f>
        <v>0</v>
      </c>
      <c r="D25" s="18">
        <f>SUM(Oct!D25, Nov!D25, Dec!D25)</f>
        <v>0</v>
      </c>
      <c r="E25" s="18">
        <f t="shared" si="6"/>
        <v>0</v>
      </c>
      <c r="F25" s="19" t="str">
        <f t="shared" si="7"/>
        <v/>
      </c>
      <c r="G25" s="20"/>
      <c r="H25" s="20">
        <f>SUM(Oct!H25, Nov!H25, Dec!H25)</f>
        <v>0</v>
      </c>
      <c r="I25" s="19" t="str">
        <f t="shared" si="8"/>
        <v/>
      </c>
    </row>
    <row r="26" spans="1:9" ht="15.75">
      <c r="A26" s="17"/>
      <c r="B26" s="10"/>
      <c r="C26" s="47"/>
      <c r="D26" s="18"/>
      <c r="E26" s="18"/>
      <c r="F26" s="19"/>
      <c r="G26" s="20"/>
      <c r="H26" s="20"/>
      <c r="I26" s="19"/>
    </row>
    <row r="27" spans="1:9" ht="14.45">
      <c r="A27" s="21"/>
      <c r="B27" s="10"/>
      <c r="C27" s="47"/>
      <c r="D27" s="18"/>
      <c r="E27" s="18"/>
      <c r="F27" s="19"/>
      <c r="G27" s="20"/>
      <c r="H27" s="20"/>
      <c r="I27" s="19"/>
    </row>
    <row r="28" spans="1:9" ht="14.45">
      <c r="A28" s="21"/>
      <c r="B28" s="10"/>
      <c r="C28" s="47"/>
      <c r="D28" s="18"/>
      <c r="E28" s="18"/>
      <c r="F28" s="19"/>
      <c r="G28" s="20"/>
      <c r="H28" s="20"/>
      <c r="I28" s="19"/>
    </row>
    <row r="29" spans="1:9" ht="14.45">
      <c r="A29" s="21"/>
      <c r="B29" s="10"/>
      <c r="C29" s="47"/>
      <c r="D29" s="18"/>
      <c r="E29" s="18"/>
      <c r="F29" s="19"/>
      <c r="G29" s="20"/>
      <c r="H29" s="20"/>
      <c r="I29" s="19"/>
    </row>
    <row r="30" spans="1:9" ht="14.45">
      <c r="A30" s="21"/>
      <c r="B30" s="10"/>
      <c r="C30" s="47"/>
      <c r="D30" s="18"/>
      <c r="E30" s="18"/>
      <c r="F30" s="19"/>
      <c r="G30" s="20"/>
      <c r="H30" s="20"/>
      <c r="I30" s="19"/>
    </row>
    <row r="31" spans="1:9" ht="12.95">
      <c r="A31" s="21"/>
      <c r="B31" s="21"/>
      <c r="C31" s="21"/>
      <c r="D31" s="21"/>
      <c r="E31" s="21"/>
      <c r="F31" s="21"/>
      <c r="G31" s="21"/>
      <c r="H31" s="21"/>
      <c r="I31" s="21"/>
    </row>
    <row r="32" spans="1:9" ht="12.95">
      <c r="A32" s="21"/>
      <c r="B32" s="21"/>
      <c r="C32" s="21"/>
      <c r="D32" s="21"/>
      <c r="E32" s="21"/>
      <c r="F32" s="21"/>
      <c r="G32" s="21"/>
      <c r="H32" s="21"/>
      <c r="I32" s="21"/>
    </row>
    <row r="33" spans="1:9" ht="12.9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2.9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2.9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2.9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2.9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2.9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2.9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2.9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2.9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2.9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2.9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2.9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2.9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2.9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2.9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2.9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2.9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2.9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2.9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2.9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2.9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2.9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2.9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2.9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2.9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2.9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2.9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2.9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2.9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2.9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2.9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2.9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2.9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2.9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2.9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2.9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2.9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2.9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2.9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2.9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2.9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2.9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2.9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2.9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2.9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2.9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2.9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2.9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2.9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2.9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2.9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2.9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2.9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2.9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2.9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2.9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2.9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2.9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2.9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2.9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2.9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2.9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2.9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2.9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2.9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2.9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2.9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2.9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2.9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2.9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2.9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2.9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2.9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2.9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2.9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2.9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2.9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2.9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2.9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2.9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2.9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2.9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2.9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2.9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2.9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2.9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2.9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2.9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2.9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2.9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2.9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2.9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2.9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2.9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2.9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2.9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2.9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2.9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2.9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2.9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2.9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2.9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2.9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2.9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2.9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2.9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2.9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2.9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2.9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2.9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2.9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2.9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2.9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2.9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2.9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2.9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2.9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2.9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2.9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2.9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2.9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2.9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2.9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2.9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2.9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2.9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2.9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2.9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2.9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2.9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2.9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2.9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2.9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2.9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2.9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2.9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2.9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2.9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2.9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2.9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2.9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2.9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2.9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2.9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2.9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2.9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2.9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2.9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2.9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2.9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2.9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2.9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2.9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2.9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2.9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2.9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2.9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2.9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2.9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2.9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2.9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2.9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2.9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2.9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2.9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2.9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2.9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2.9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2.9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2.9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2.9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2.9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2.9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2.9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2.9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2.9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2.9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2.9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2.9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2.9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2.9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2.9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2.9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2.9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2.9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2.9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2.9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2.9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2.9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2.9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2.9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2.9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2.9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2.9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2.9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2.9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2.9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2.9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2.9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2.9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2.9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2.9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2.9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2.9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2.9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2.9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2.9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2.9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2.9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2.9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2.9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2.9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2.9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2.9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2.9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2.9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2.9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2.9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2.9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2.9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2.9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2.9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2.9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2.9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2.9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2.9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2.9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2.9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2.9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2.9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2.9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2.9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2.9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2.9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2.9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2.9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2.9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2.9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2.9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2.9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2.9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2.9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2.9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2.9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2.9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2.9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2.9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2.9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2.9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2.9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2.9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2.9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2.9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2.9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2.9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2.9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2.9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2.9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2.9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2.9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2.9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2.9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2.9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2.9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2.9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2.9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2.9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2.9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2.9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2.9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2.9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2.9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2.9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2.9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2.9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2.9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2.9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2.9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2.9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2.9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2.9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2.9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2.9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2.9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2.9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2.9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2.9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2.9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2.9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2.9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2.9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2.9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2.9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2.9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2.9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2.9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2.9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2.9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2.9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2.9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2.9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2.9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2.9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2.9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2.9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2.9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2.9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2.9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2.9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2.95">
      <c r="A342" s="21"/>
      <c r="B342" s="21"/>
      <c r="C342" s="21"/>
      <c r="D342" s="21"/>
      <c r="E342" s="21"/>
      <c r="F342" s="22"/>
      <c r="G342" s="21"/>
      <c r="H342" s="21"/>
      <c r="I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50" priority="1" stopIfTrue="1" operator="lessThanOrEqual">
      <formula>-0.1</formula>
    </cfRule>
    <cfRule type="expression" dxfId="4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41"/>
  <sheetViews>
    <sheetView workbookViewId="0">
      <pane xSplit="2" ySplit="3" topLeftCell="D10" activePane="bottomRight" state="frozen"/>
      <selection pane="bottomRight" activeCell="D27" sqref="D27"/>
      <selection pane="bottomLeft"/>
      <selection pane="topRight"/>
    </sheetView>
  </sheetViews>
  <sheetFormatPr defaultRowHeight="13.7"/>
  <cols>
    <col min="1" max="1" width="24.5703125" bestFit="1" customWidth="1"/>
    <col min="2" max="2" width="5.7109375" style="34" bestFit="1" customWidth="1"/>
    <col min="3" max="3" width="8.85546875" bestFit="1" customWidth="1"/>
    <col min="4" max="4" width="9.140625" customWidth="1"/>
    <col min="5" max="5" width="8.85546875" bestFit="1" customWidth="1"/>
    <col min="6" max="6" width="4.28515625" style="1" bestFit="1" customWidth="1"/>
    <col min="7" max="7" width="11" bestFit="1" customWidth="1"/>
    <col min="8" max="8" width="9.5703125" bestFit="1" customWidth="1"/>
    <col min="9" max="9" width="6.5703125" style="1" bestFit="1" customWidth="1"/>
    <col min="10" max="10" width="55" customWidth="1"/>
    <col min="11" max="11" width="20.5703125" bestFit="1" customWidth="1"/>
    <col min="12" max="20" width="9.140625" customWidth="1"/>
  </cols>
  <sheetData>
    <row r="1" spans="1:11" ht="19.5" customHeight="1">
      <c r="A1" s="59" t="str" cm="1">
        <f t="array" ref="A1">portfolio</f>
        <v>Silicon Ranch</v>
      </c>
      <c r="B1" s="59"/>
      <c r="C1" s="59"/>
      <c r="D1" s="60" t="s">
        <v>18</v>
      </c>
      <c r="E1" s="60"/>
      <c r="F1" s="60"/>
      <c r="G1" s="58" t="s">
        <v>19</v>
      </c>
      <c r="H1" s="58"/>
      <c r="I1" s="58"/>
      <c r="J1" s="4"/>
      <c r="K1" s="4"/>
    </row>
    <row r="2" spans="1:11" ht="19.5" customHeight="1">
      <c r="A2" s="61" t="s">
        <v>2</v>
      </c>
      <c r="B2" s="61"/>
      <c r="C2" s="5">
        <f>SUM(C4:C99)</f>
        <v>205652.6</v>
      </c>
      <c r="D2" s="5">
        <f>SUM(D4:D99)</f>
        <v>0</v>
      </c>
      <c r="E2" s="5">
        <f>C2-D2</f>
        <v>205652.6</v>
      </c>
      <c r="F2" s="6">
        <f>IFERROR(E2/D2, 0)</f>
        <v>0</v>
      </c>
      <c r="G2" s="5">
        <f>SUM(G4:G99)</f>
        <v>444598.28000000014</v>
      </c>
      <c r="H2" s="7">
        <f>C2-G2</f>
        <v>-238945.68000000014</v>
      </c>
      <c r="I2" s="6">
        <f>IFERROR(H2/G2, 0)</f>
        <v>-0.53744175528524329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7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40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53" t="str" cm="1">
        <f t="array" ref="A4:A25">Sites[Site]</f>
        <v>Iron Mountain - Windsor</v>
      </c>
      <c r="B4" s="29" t="str" cm="1">
        <f t="array" ref="B4:B25">Sites[State]</f>
        <v>CT</v>
      </c>
      <c r="C4" s="13">
        <v>6324</v>
      </c>
      <c r="D4" s="13">
        <v>0</v>
      </c>
      <c r="E4" s="13">
        <f>IF(AND(ISNUMBER(C4),ISNUMBER(D4)), C4-D4, "")</f>
        <v>6324</v>
      </c>
      <c r="F4" s="13" t="str">
        <f>IFERROR(E4/D4, "")</f>
        <v/>
      </c>
      <c r="G4" s="15">
        <v>13022.34</v>
      </c>
      <c r="H4" s="15">
        <f>IF(AND(ISNUMBER(C4),ISNUMBER(G4)), C4-G4, "")</f>
        <v>-6698.34</v>
      </c>
      <c r="I4" s="16">
        <f>IFERROR(H4/G4, "")</f>
        <v>-0.5143729928722488</v>
      </c>
      <c r="J4" s="41"/>
      <c r="K4" s="41"/>
    </row>
    <row r="5" spans="1:11" ht="171.95">
      <c r="A5" s="54" t="str">
        <v>Kohls - Auburn</v>
      </c>
      <c r="B5" s="31" t="str">
        <v>NY</v>
      </c>
      <c r="C5" s="18">
        <v>4362</v>
      </c>
      <c r="D5" s="18">
        <v>0</v>
      </c>
      <c r="E5" s="18">
        <f t="shared" ref="E5:E15" si="0">IF(AND(ISNUMBER(C5),ISNUMBER(D5)), C5-D5, "")</f>
        <v>4362</v>
      </c>
      <c r="F5" s="18" t="str">
        <f t="shared" ref="F5:F25" si="1">IFERROR(E5/D5, "")</f>
        <v/>
      </c>
      <c r="G5" s="20">
        <v>4782</v>
      </c>
      <c r="H5" s="20">
        <f t="shared" ref="H5:H6" si="2">IF(AND(ISNUMBER(C5),ISNUMBER(G5)), C5-G5, "")</f>
        <v>-420</v>
      </c>
      <c r="I5" s="19">
        <f t="shared" ref="I5:I6" si="3">IFERROR(H5/G5, "")</f>
        <v>-8.7829360100376411E-2</v>
      </c>
      <c r="J5" s="42" t="s">
        <v>22</v>
      </c>
      <c r="K5" s="42" t="s">
        <v>23</v>
      </c>
    </row>
    <row r="6" spans="1:11" ht="15.75">
      <c r="A6" s="55" t="str">
        <v>Kohls - Bensalem</v>
      </c>
      <c r="B6" s="29" t="str">
        <v>PA</v>
      </c>
      <c r="C6" s="13">
        <v>9630</v>
      </c>
      <c r="D6" s="13">
        <v>0</v>
      </c>
      <c r="E6" s="13">
        <f t="shared" si="0"/>
        <v>9630</v>
      </c>
      <c r="F6" s="13" t="str">
        <f t="shared" si="1"/>
        <v/>
      </c>
      <c r="G6" s="15">
        <v>15754.4</v>
      </c>
      <c r="H6" s="15">
        <f t="shared" si="2"/>
        <v>-6124.4</v>
      </c>
      <c r="I6" s="16">
        <f t="shared" si="3"/>
        <v>-0.38874219265728938</v>
      </c>
      <c r="J6" s="41"/>
      <c r="K6" s="41"/>
    </row>
    <row r="7" spans="1:11" ht="15.75">
      <c r="A7" s="54" t="str">
        <v>Kohls - Brick</v>
      </c>
      <c r="B7" s="31" t="str">
        <v>NJ</v>
      </c>
      <c r="C7" s="18">
        <v>11393</v>
      </c>
      <c r="D7" s="18">
        <v>0</v>
      </c>
      <c r="E7" s="18">
        <f t="shared" si="0"/>
        <v>11393</v>
      </c>
      <c r="F7" s="18" t="str">
        <f t="shared" si="1"/>
        <v/>
      </c>
      <c r="G7" s="20">
        <v>16696.5</v>
      </c>
      <c r="H7" s="20">
        <f t="shared" ref="H7:H15" si="4">IF(AND(ISNUMBER(C7),ISNUMBER(G7)), C7-G7, "")</f>
        <v>-5303.5</v>
      </c>
      <c r="I7" s="19">
        <f t="shared" ref="I7:I15" si="5">IFERROR(H7/G7, "")</f>
        <v>-0.31764142185487976</v>
      </c>
      <c r="J7" s="42"/>
      <c r="K7" s="42"/>
    </row>
    <row r="8" spans="1:11" ht="15.75">
      <c r="A8" s="55" t="str">
        <v>Kohls - Buffalo</v>
      </c>
      <c r="B8" s="29" t="str">
        <v>NY</v>
      </c>
      <c r="C8" s="13">
        <v>3961</v>
      </c>
      <c r="D8" s="13">
        <v>0</v>
      </c>
      <c r="E8" s="13">
        <f t="shared" si="0"/>
        <v>3961</v>
      </c>
      <c r="F8" s="13" t="str">
        <f t="shared" si="1"/>
        <v/>
      </c>
      <c r="G8" s="15">
        <v>8044.58</v>
      </c>
      <c r="H8" s="15">
        <f t="shared" si="4"/>
        <v>-4083.58</v>
      </c>
      <c r="I8" s="16">
        <f t="shared" si="5"/>
        <v>-0.5076187942689363</v>
      </c>
      <c r="J8" s="41"/>
      <c r="K8" s="41"/>
    </row>
    <row r="9" spans="1:11" ht="15.75">
      <c r="A9" s="54" t="str">
        <v>Kohls - Canton</v>
      </c>
      <c r="B9" s="31" t="str">
        <v>CT</v>
      </c>
      <c r="C9" s="18">
        <v>2979</v>
      </c>
      <c r="D9" s="18">
        <v>0</v>
      </c>
      <c r="E9" s="18">
        <f t="shared" si="0"/>
        <v>2979</v>
      </c>
      <c r="F9" s="18" t="str">
        <f t="shared" si="1"/>
        <v/>
      </c>
      <c r="G9" s="20">
        <v>5837.36</v>
      </c>
      <c r="H9" s="20">
        <f t="shared" si="4"/>
        <v>-2858.3599999999997</v>
      </c>
      <c r="I9" s="19">
        <f t="shared" si="5"/>
        <v>-0.48966656159633803</v>
      </c>
      <c r="J9" s="42"/>
      <c r="K9" s="42"/>
    </row>
    <row r="10" spans="1:11" ht="15.75">
      <c r="A10" s="55" t="str">
        <v>Kohls - East Amherst</v>
      </c>
      <c r="B10" s="29" t="str">
        <v>NY</v>
      </c>
      <c r="C10" s="13">
        <v>2767</v>
      </c>
      <c r="D10" s="13">
        <v>0</v>
      </c>
      <c r="E10" s="13">
        <f t="shared" si="0"/>
        <v>2767</v>
      </c>
      <c r="F10" s="13" t="str">
        <f t="shared" si="1"/>
        <v/>
      </c>
      <c r="G10" s="15">
        <v>8482.7000000000007</v>
      </c>
      <c r="H10" s="15">
        <f t="shared" si="4"/>
        <v>-5715.7000000000007</v>
      </c>
      <c r="I10" s="16">
        <f t="shared" si="5"/>
        <v>-0.67380668890801276</v>
      </c>
      <c r="J10" s="41"/>
      <c r="K10" s="41"/>
    </row>
    <row r="11" spans="1:11" ht="15.75">
      <c r="A11" s="54" t="str">
        <v>Kohls - East Brunswick</v>
      </c>
      <c r="B11" s="31" t="str">
        <v>NJ</v>
      </c>
      <c r="C11" s="18">
        <v>973</v>
      </c>
      <c r="D11" s="18">
        <v>0</v>
      </c>
      <c r="E11" s="18">
        <f t="shared" si="0"/>
        <v>973</v>
      </c>
      <c r="F11" s="18" t="str">
        <f t="shared" si="1"/>
        <v/>
      </c>
      <c r="G11" s="20">
        <v>23294.45</v>
      </c>
      <c r="H11" s="20">
        <f t="shared" si="4"/>
        <v>-22321.45</v>
      </c>
      <c r="I11" s="19">
        <f t="shared" si="5"/>
        <v>-0.95823039393503606</v>
      </c>
      <c r="J11" s="42"/>
      <c r="K11" s="42"/>
    </row>
    <row r="12" spans="1:11" ht="15.75">
      <c r="A12" s="55" t="str">
        <v>Kohls - Edgewood</v>
      </c>
      <c r="B12" s="29" t="str">
        <v>MD</v>
      </c>
      <c r="C12" s="13">
        <v>71866</v>
      </c>
      <c r="D12" s="13">
        <v>0</v>
      </c>
      <c r="E12" s="13">
        <f t="shared" si="0"/>
        <v>71866</v>
      </c>
      <c r="F12" s="13" t="str">
        <f t="shared" si="1"/>
        <v/>
      </c>
      <c r="G12" s="15">
        <v>136238.63</v>
      </c>
      <c r="H12" s="15">
        <f t="shared" si="4"/>
        <v>-64372.630000000005</v>
      </c>
      <c r="I12" s="16">
        <f t="shared" si="5"/>
        <v>-0.47249909955788605</v>
      </c>
      <c r="J12" s="41" t="s">
        <v>24</v>
      </c>
      <c r="K12" s="41" t="s">
        <v>25</v>
      </c>
    </row>
    <row r="13" spans="1:11" ht="15.75">
      <c r="A13" s="54" t="str">
        <v>Kohls - Granite Run</v>
      </c>
      <c r="B13" s="31" t="str">
        <v>PA</v>
      </c>
      <c r="C13" s="18">
        <v>9421</v>
      </c>
      <c r="D13" s="18">
        <v>0</v>
      </c>
      <c r="E13" s="18">
        <f t="shared" si="0"/>
        <v>9421</v>
      </c>
      <c r="F13" s="18" t="str">
        <f t="shared" si="1"/>
        <v/>
      </c>
      <c r="G13" s="20">
        <v>16020.95</v>
      </c>
      <c r="H13" s="20">
        <f t="shared" si="4"/>
        <v>-6599.9500000000007</v>
      </c>
      <c r="I13" s="19">
        <f t="shared" si="5"/>
        <v>-0.4119574681900886</v>
      </c>
      <c r="J13" s="42"/>
      <c r="K13" s="42"/>
    </row>
    <row r="14" spans="1:11" ht="15.75">
      <c r="A14" s="55" t="str">
        <v>Kohls - Greece</v>
      </c>
      <c r="B14" s="29" t="str">
        <v>NY</v>
      </c>
      <c r="C14" s="13">
        <v>0</v>
      </c>
      <c r="D14" s="13">
        <v>0</v>
      </c>
      <c r="E14" s="13">
        <f t="shared" si="0"/>
        <v>0</v>
      </c>
      <c r="F14" s="13" t="str">
        <f t="shared" si="1"/>
        <v/>
      </c>
      <c r="G14" s="15">
        <v>9424.18</v>
      </c>
      <c r="H14" s="15">
        <f t="shared" si="4"/>
        <v>-9424.18</v>
      </c>
      <c r="I14" s="16">
        <f t="shared" si="5"/>
        <v>-1</v>
      </c>
      <c r="J14" s="41" t="s">
        <v>26</v>
      </c>
      <c r="K14" s="41" t="s">
        <v>27</v>
      </c>
    </row>
    <row r="15" spans="1:11" ht="15.75">
      <c r="A15" s="54" t="str">
        <v>Kohls - Hanover</v>
      </c>
      <c r="B15" s="31" t="str">
        <v>PA</v>
      </c>
      <c r="C15" s="18">
        <v>11065</v>
      </c>
      <c r="D15" s="18">
        <v>0</v>
      </c>
      <c r="E15" s="18">
        <f t="shared" si="0"/>
        <v>11065</v>
      </c>
      <c r="F15" s="18" t="str">
        <f t="shared" si="1"/>
        <v/>
      </c>
      <c r="G15" s="20">
        <v>18878.62</v>
      </c>
      <c r="H15" s="20">
        <f t="shared" si="4"/>
        <v>-7813.619999999999</v>
      </c>
      <c r="I15" s="19">
        <f t="shared" si="5"/>
        <v>-0.41388724387693587</v>
      </c>
      <c r="J15" s="42"/>
      <c r="K15" s="42"/>
    </row>
    <row r="16" spans="1:11" ht="15.75">
      <c r="A16" s="55" t="str">
        <v>Kohls - Horsehead</v>
      </c>
      <c r="B16" s="29" t="str">
        <v>NY</v>
      </c>
      <c r="C16" s="13">
        <v>2351</v>
      </c>
      <c r="D16" s="13">
        <v>0</v>
      </c>
      <c r="E16" s="13">
        <f t="shared" ref="E16:E25" si="6">IF(AND(ISNUMBER(C16),ISNUMBER(D16)), C16-D16, "")</f>
        <v>2351</v>
      </c>
      <c r="F16" s="13" t="str">
        <f t="shared" si="1"/>
        <v/>
      </c>
      <c r="G16" s="15">
        <v>12770.65</v>
      </c>
      <c r="H16" s="15">
        <f t="shared" ref="H16:H17" si="7">IF(AND(ISNUMBER(C16),ISNUMBER(G16)), C16-G16, "")</f>
        <v>-10419.65</v>
      </c>
      <c r="I16" s="16">
        <f t="shared" ref="I16:I17" si="8">IFERROR(H16/G16, "")</f>
        <v>-0.81590600321831697</v>
      </c>
      <c r="J16" s="41" t="s">
        <v>28</v>
      </c>
      <c r="K16" s="41" t="s">
        <v>29</v>
      </c>
    </row>
    <row r="17" spans="1:11" ht="15.75">
      <c r="A17" s="54" t="str">
        <v>Kohls - Hudson</v>
      </c>
      <c r="B17" s="30" t="str">
        <v>NY</v>
      </c>
      <c r="C17" s="18">
        <v>197</v>
      </c>
      <c r="D17" s="18">
        <v>0</v>
      </c>
      <c r="E17" s="18">
        <f t="shared" si="6"/>
        <v>197</v>
      </c>
      <c r="F17" s="18" t="str">
        <f t="shared" si="1"/>
        <v/>
      </c>
      <c r="G17" s="20">
        <v>12854.55</v>
      </c>
      <c r="H17" s="20">
        <f t="shared" si="7"/>
        <v>-12657.55</v>
      </c>
      <c r="I17" s="16">
        <f t="shared" si="8"/>
        <v>-0.98467468717302431</v>
      </c>
      <c r="J17" s="42" t="s">
        <v>30</v>
      </c>
      <c r="K17" s="42" t="s">
        <v>31</v>
      </c>
    </row>
    <row r="18" spans="1:11" ht="15.75">
      <c r="A18" s="55" t="str">
        <v>Kohls - Ithaca</v>
      </c>
      <c r="B18" s="28" t="str">
        <v>NY</v>
      </c>
      <c r="C18" s="13">
        <v>4385</v>
      </c>
      <c r="D18" s="13">
        <v>0</v>
      </c>
      <c r="E18" s="13">
        <f t="shared" si="6"/>
        <v>4385</v>
      </c>
      <c r="F18" s="13" t="str">
        <f t="shared" si="1"/>
        <v/>
      </c>
      <c r="G18" s="15">
        <v>11913.06</v>
      </c>
      <c r="H18" s="15">
        <f t="shared" ref="H18:H25" si="9">IF(AND(ISNUMBER(C18),ISNUMBER(G18)), C18-G18, "")</f>
        <v>-7528.0599999999995</v>
      </c>
      <c r="I18" s="16">
        <f t="shared" ref="I18:I25" si="10">IFERROR(H18/G18, "")</f>
        <v>-0.6319165688748315</v>
      </c>
      <c r="J18" s="41"/>
      <c r="K18" s="41"/>
    </row>
    <row r="19" spans="1:11" ht="15.75">
      <c r="A19" s="54" t="str">
        <v>Kohls - Kingston</v>
      </c>
      <c r="B19" s="30" t="str">
        <v>NY</v>
      </c>
      <c r="C19" s="18">
        <v>9244</v>
      </c>
      <c r="D19" s="18">
        <v>0</v>
      </c>
      <c r="E19" s="18">
        <f t="shared" si="6"/>
        <v>9244</v>
      </c>
      <c r="F19" s="18" t="str">
        <f t="shared" si="1"/>
        <v/>
      </c>
      <c r="G19" s="20">
        <v>22381.27</v>
      </c>
      <c r="H19" s="20">
        <f t="shared" si="9"/>
        <v>-13137.27</v>
      </c>
      <c r="I19" s="16">
        <f t="shared" si="10"/>
        <v>-0.58697607419060671</v>
      </c>
      <c r="J19" s="42"/>
      <c r="K19" s="42"/>
    </row>
    <row r="20" spans="1:11" ht="15.75">
      <c r="A20" s="55" t="str">
        <v>Kohls - Mechanicsburg</v>
      </c>
      <c r="B20" s="28" t="str">
        <v>PA</v>
      </c>
      <c r="C20" s="13">
        <v>11788</v>
      </c>
      <c r="D20" s="13">
        <v>0</v>
      </c>
      <c r="E20" s="13">
        <f t="shared" si="6"/>
        <v>11788</v>
      </c>
      <c r="F20" s="13" t="str">
        <f t="shared" si="1"/>
        <v/>
      </c>
      <c r="G20" s="15">
        <v>21618.639999999999</v>
      </c>
      <c r="H20" s="15">
        <f t="shared" si="9"/>
        <v>-9830.64</v>
      </c>
      <c r="I20" s="16">
        <f t="shared" si="10"/>
        <v>-0.45472980724041845</v>
      </c>
      <c r="J20" s="41"/>
      <c r="K20" s="41"/>
    </row>
    <row r="21" spans="1:11" ht="15.75">
      <c r="A21" s="54" t="str">
        <v>Kohls - Middletown</v>
      </c>
      <c r="B21" s="30" t="str">
        <v>NJ</v>
      </c>
      <c r="C21" s="18">
        <v>15292</v>
      </c>
      <c r="D21" s="18">
        <v>0</v>
      </c>
      <c r="E21" s="18">
        <f t="shared" si="6"/>
        <v>15292</v>
      </c>
      <c r="F21" s="18" t="str">
        <f t="shared" si="1"/>
        <v/>
      </c>
      <c r="G21" s="20">
        <v>29635.82</v>
      </c>
      <c r="H21" s="20">
        <f t="shared" si="9"/>
        <v>-14343.82</v>
      </c>
      <c r="I21" s="16">
        <f t="shared" si="10"/>
        <v>-0.48400280471402513</v>
      </c>
      <c r="J21" s="42" t="s">
        <v>32</v>
      </c>
      <c r="K21" s="42" t="s">
        <v>33</v>
      </c>
    </row>
    <row r="22" spans="1:11" ht="15.75">
      <c r="A22" s="55" t="str">
        <v>Kohls - North Amherst</v>
      </c>
      <c r="B22" s="28" t="str">
        <v>NY</v>
      </c>
      <c r="C22" s="13">
        <v>2846</v>
      </c>
      <c r="D22" s="13">
        <v>0</v>
      </c>
      <c r="E22" s="13">
        <f t="shared" si="6"/>
        <v>2846</v>
      </c>
      <c r="F22" s="13" t="str">
        <f t="shared" si="1"/>
        <v/>
      </c>
      <c r="G22" s="15">
        <v>6525.15</v>
      </c>
      <c r="H22" s="15">
        <f t="shared" si="9"/>
        <v>-3679.1499999999996</v>
      </c>
      <c r="I22" s="16">
        <f t="shared" si="10"/>
        <v>-0.56384144425798643</v>
      </c>
      <c r="J22" s="41"/>
      <c r="K22" s="41"/>
    </row>
    <row r="23" spans="1:11" ht="15.75">
      <c r="A23" s="54" t="str">
        <v>Kohls - Staten Island</v>
      </c>
      <c r="B23" s="30" t="str">
        <v>NY</v>
      </c>
      <c r="C23" s="18">
        <v>8661.6</v>
      </c>
      <c r="D23" s="18">
        <v>0</v>
      </c>
      <c r="E23" s="18">
        <f t="shared" si="6"/>
        <v>8661.6</v>
      </c>
      <c r="F23" s="18" t="str">
        <f t="shared" si="1"/>
        <v/>
      </c>
      <c r="G23" s="20">
        <v>15476.69</v>
      </c>
      <c r="H23" s="20">
        <f t="shared" si="9"/>
        <v>-6815.09</v>
      </c>
      <c r="I23" s="16">
        <f t="shared" si="10"/>
        <v>-0.44034544854229168</v>
      </c>
      <c r="J23" s="42"/>
      <c r="K23" s="42"/>
    </row>
    <row r="24" spans="1:11" ht="28.7">
      <c r="A24" s="55" t="str">
        <v>Kohls - Warminster</v>
      </c>
      <c r="B24" s="28" t="str">
        <v>PA</v>
      </c>
      <c r="C24" s="13">
        <v>7770</v>
      </c>
      <c r="D24" s="13">
        <v>0</v>
      </c>
      <c r="E24" s="13">
        <f t="shared" si="6"/>
        <v>7770</v>
      </c>
      <c r="F24" s="13" t="str">
        <f t="shared" si="1"/>
        <v/>
      </c>
      <c r="G24" s="15">
        <v>19541.34</v>
      </c>
      <c r="H24" s="15">
        <f t="shared" si="9"/>
        <v>-11771.34</v>
      </c>
      <c r="I24" s="16">
        <f t="shared" si="10"/>
        <v>-0.60238141294302239</v>
      </c>
      <c r="J24" s="41" t="s">
        <v>34</v>
      </c>
      <c r="K24" s="41" t="s">
        <v>35</v>
      </c>
    </row>
    <row r="25" spans="1:11" ht="15.75">
      <c r="A25" s="54" t="str">
        <v xml:space="preserve">Kohls - Waterbury </v>
      </c>
      <c r="B25" s="30" t="str">
        <v>CT</v>
      </c>
      <c r="C25" s="18">
        <v>8377</v>
      </c>
      <c r="D25" s="18">
        <v>0</v>
      </c>
      <c r="E25" s="18">
        <f t="shared" si="6"/>
        <v>8377</v>
      </c>
      <c r="F25" s="18" t="str">
        <f t="shared" si="1"/>
        <v/>
      </c>
      <c r="G25" s="45">
        <v>15404.4</v>
      </c>
      <c r="H25" s="45">
        <f t="shared" si="9"/>
        <v>-7027.4</v>
      </c>
      <c r="I25" s="16">
        <f t="shared" si="10"/>
        <v>-0.45619433408636489</v>
      </c>
      <c r="J25" s="42"/>
      <c r="K25" s="42"/>
    </row>
    <row r="26" spans="1:11" ht="14.45">
      <c r="A26" s="21"/>
      <c r="B26" s="33"/>
      <c r="C26" s="44"/>
      <c r="D26" s="21"/>
      <c r="E26" s="21"/>
      <c r="F26" s="21"/>
      <c r="G26" s="21"/>
      <c r="H26" s="21"/>
      <c r="I26" s="21"/>
      <c r="J26" s="46"/>
      <c r="K26" s="21"/>
    </row>
    <row r="27" spans="1:11" ht="14.45">
      <c r="A27" s="21"/>
      <c r="B27" s="33"/>
      <c r="C27" s="21"/>
      <c r="D27" s="21"/>
      <c r="E27" s="21"/>
      <c r="F27" s="21"/>
      <c r="G27" s="21"/>
      <c r="H27" s="21"/>
      <c r="I27" s="21"/>
      <c r="J27" s="42"/>
      <c r="K27" s="21"/>
    </row>
    <row r="28" spans="1:11" ht="14.4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4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4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4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</sheetData>
  <mergeCells count="4">
    <mergeCell ref="D1:F1"/>
    <mergeCell ref="A1:C1"/>
    <mergeCell ref="G1:I1"/>
    <mergeCell ref="A2:B2"/>
  </mergeCells>
  <conditionalFormatting sqref="F2 I2 I4:I99">
    <cfRule type="cellIs" dxfId="48" priority="4" stopIfTrue="1" operator="lessThanOrEqual">
      <formula>-0.1</formula>
    </cfRule>
    <cfRule type="expression" dxfId="47" priority="5">
      <formula>AND(ISNUMBER(F2), F2&gt;=0.1)</formula>
    </cfRule>
  </conditionalFormatting>
  <conditionalFormatting sqref="F26:F99">
    <cfRule type="cellIs" dxfId="46" priority="1" stopIfTrue="1" operator="lessThanOrEqual">
      <formula>-0.1</formula>
    </cfRule>
    <cfRule type="expression" dxfId="45" priority="2">
      <formula>AND(ISNUMBER(F26), F26&gt;=0.1)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42"/>
  <sheetViews>
    <sheetView workbookViewId="0">
      <pane xSplit="2" ySplit="3" topLeftCell="C8" activePane="bottomRight" state="frozen"/>
      <selection pane="bottomRight" activeCell="D19" sqref="D19"/>
      <selection pane="bottomLeft"/>
      <selection pane="topRight"/>
    </sheetView>
  </sheetViews>
  <sheetFormatPr defaultRowHeight="13.7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9" t="str" cm="1">
        <f t="array" ref="A1">portfolio</f>
        <v>Silicon Ranch</v>
      </c>
      <c r="B1" s="59"/>
      <c r="C1" s="59"/>
      <c r="D1" s="60" t="s">
        <v>36</v>
      </c>
      <c r="E1" s="60"/>
      <c r="F1" s="60"/>
      <c r="G1" s="58" t="s">
        <v>37</v>
      </c>
      <c r="H1" s="58"/>
      <c r="I1" s="58"/>
      <c r="J1" s="4"/>
      <c r="K1" s="4"/>
    </row>
    <row r="2" spans="1:11" ht="19.5" customHeight="1">
      <c r="A2" s="61" t="s">
        <v>2</v>
      </c>
      <c r="B2" s="61"/>
      <c r="C2" s="5">
        <f>SUM(C4:C100)</f>
        <v>603167.75</v>
      </c>
      <c r="D2" s="5">
        <f>SUM(D4:D100)</f>
        <v>0</v>
      </c>
      <c r="E2" s="5">
        <f>C2-D2</f>
        <v>603167.75</v>
      </c>
      <c r="F2" s="6">
        <f>IFERROR(E2/D2, 0)</f>
        <v>0</v>
      </c>
      <c r="G2" s="5">
        <f>SUM(G4:G100)</f>
        <v>584890.31999999995</v>
      </c>
      <c r="H2" s="7">
        <f>C2-G2</f>
        <v>18277.430000000051</v>
      </c>
      <c r="I2" s="6">
        <f>IFERROR(H2/G2, 0)</f>
        <v>3.1249328934012881E-2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53" t="str" cm="1">
        <f t="array" ref="A4:A25">Sites[Site]</f>
        <v>Iron Mountain - Windsor</v>
      </c>
      <c r="B4" s="29" t="str" cm="1">
        <f t="array" ref="B4:B25">Sites[State]</f>
        <v>CT</v>
      </c>
      <c r="C4" s="24">
        <v>16946.75</v>
      </c>
      <c r="D4" s="13">
        <v>0</v>
      </c>
      <c r="E4" s="13">
        <f>IF(AND(ISNUMBER(C4),ISNUMBER(D4)), C4-D4, "")</f>
        <v>16946.75</v>
      </c>
      <c r="F4" s="13" t="str">
        <f>IFERROR(E4/D4, "")</f>
        <v/>
      </c>
      <c r="G4" s="15">
        <v>19218</v>
      </c>
      <c r="H4" s="15">
        <f>IF(AND(ISNUMBER(C4),ISNUMBER(G4)), C4-G4, "")</f>
        <v>-2271.25</v>
      </c>
      <c r="I4" s="16">
        <f>IFERROR(H4/G4, "")</f>
        <v>-0.11818347382662088</v>
      </c>
      <c r="J4" s="41"/>
      <c r="K4" s="41"/>
    </row>
    <row r="5" spans="1:11" ht="15.75">
      <c r="A5" s="54" t="str">
        <v>Kohls - Auburn</v>
      </c>
      <c r="B5" s="31" t="str">
        <v>NY</v>
      </c>
      <c r="C5" s="11">
        <v>17104</v>
      </c>
      <c r="D5" s="18">
        <v>0</v>
      </c>
      <c r="E5" s="18">
        <f t="shared" ref="E5:E15" si="0">IF(AND(ISNUMBER(C5),ISNUMBER(D5)), C5-D5, "")</f>
        <v>17104</v>
      </c>
      <c r="F5" s="18" t="str">
        <f t="shared" ref="F5:F25" si="1">IFERROR(E5/D5, "")</f>
        <v/>
      </c>
      <c r="G5" s="20">
        <v>10813.11</v>
      </c>
      <c r="H5" s="20">
        <f t="shared" ref="H5:H15" si="2">IF(AND(ISNUMBER(C5),ISNUMBER(G5)), C5-G5, "")</f>
        <v>6290.8899999999994</v>
      </c>
      <c r="I5" s="19">
        <f t="shared" ref="I5:I15" si="3">IFERROR(H5/G5, "")</f>
        <v>0.58178359417410896</v>
      </c>
      <c r="J5" s="42"/>
      <c r="K5" s="42"/>
    </row>
    <row r="6" spans="1:11" ht="15.75">
      <c r="A6" s="55" t="str">
        <v>Kohls - Bensalem</v>
      </c>
      <c r="B6" s="29" t="str">
        <v>PA</v>
      </c>
      <c r="C6" s="24">
        <v>24318</v>
      </c>
      <c r="D6" s="13">
        <v>0</v>
      </c>
      <c r="E6" s="13">
        <f t="shared" si="0"/>
        <v>24318</v>
      </c>
      <c r="F6" s="13" t="str">
        <f t="shared" si="1"/>
        <v/>
      </c>
      <c r="G6" s="15">
        <v>20009.189999999999</v>
      </c>
      <c r="H6" s="15">
        <f t="shared" si="2"/>
        <v>4308.8100000000013</v>
      </c>
      <c r="I6" s="16">
        <f t="shared" si="3"/>
        <v>0.21534155055751891</v>
      </c>
      <c r="J6" s="41"/>
      <c r="K6" s="41"/>
    </row>
    <row r="7" spans="1:11" ht="15.75">
      <c r="A7" s="54" t="str">
        <v>Kohls - Brick</v>
      </c>
      <c r="B7" s="31" t="str">
        <v>NJ</v>
      </c>
      <c r="C7" s="11">
        <v>26352</v>
      </c>
      <c r="D7" s="18">
        <v>0</v>
      </c>
      <c r="E7" s="18">
        <f t="shared" si="0"/>
        <v>26352</v>
      </c>
      <c r="F7" s="18" t="str">
        <f t="shared" si="1"/>
        <v/>
      </c>
      <c r="G7" s="20">
        <v>22735.46</v>
      </c>
      <c r="H7" s="20">
        <f t="shared" si="2"/>
        <v>3616.5400000000009</v>
      </c>
      <c r="I7" s="19">
        <f t="shared" si="3"/>
        <v>0.15907045645876533</v>
      </c>
      <c r="J7" s="42"/>
      <c r="K7" s="43"/>
    </row>
    <row r="8" spans="1:11" ht="28.7">
      <c r="A8" s="55" t="str">
        <v>Kohls - Buffalo</v>
      </c>
      <c r="B8" s="29" t="str">
        <v>NY</v>
      </c>
      <c r="C8" s="24">
        <v>21121</v>
      </c>
      <c r="D8" s="13">
        <v>0</v>
      </c>
      <c r="E8" s="13">
        <f t="shared" si="0"/>
        <v>21121</v>
      </c>
      <c r="F8" s="13" t="str">
        <f t="shared" si="1"/>
        <v/>
      </c>
      <c r="G8" s="15">
        <v>15492.57</v>
      </c>
      <c r="H8" s="15">
        <f t="shared" si="2"/>
        <v>5628.43</v>
      </c>
      <c r="I8" s="16">
        <f t="shared" si="3"/>
        <v>0.36329866510204573</v>
      </c>
      <c r="J8" s="41" t="s">
        <v>38</v>
      </c>
      <c r="K8" s="41" t="s">
        <v>39</v>
      </c>
    </row>
    <row r="9" spans="1:11" ht="15.75">
      <c r="A9" s="54" t="str">
        <v>Kohls - Canton</v>
      </c>
      <c r="B9" s="31" t="str">
        <v>CT</v>
      </c>
      <c r="C9" s="11">
        <v>8146</v>
      </c>
      <c r="D9" s="18">
        <v>0</v>
      </c>
      <c r="E9" s="18">
        <f t="shared" si="0"/>
        <v>8146</v>
      </c>
      <c r="F9" s="18" t="str">
        <f t="shared" si="1"/>
        <v/>
      </c>
      <c r="G9" s="20">
        <v>7037.82</v>
      </c>
      <c r="H9" s="20">
        <f t="shared" si="2"/>
        <v>1108.1800000000003</v>
      </c>
      <c r="I9" s="19">
        <f t="shared" si="3"/>
        <v>0.15746069095259616</v>
      </c>
      <c r="J9" s="42"/>
      <c r="K9" s="43"/>
    </row>
    <row r="10" spans="1:11" ht="15.75">
      <c r="A10" s="55" t="str">
        <v>Kohls - East Amherst</v>
      </c>
      <c r="B10" s="29" t="str">
        <v>NY</v>
      </c>
      <c r="C10" s="24">
        <v>20665</v>
      </c>
      <c r="D10" s="13">
        <v>0</v>
      </c>
      <c r="E10" s="13">
        <f t="shared" si="0"/>
        <v>20665</v>
      </c>
      <c r="F10" s="13" t="str">
        <f t="shared" si="1"/>
        <v/>
      </c>
      <c r="G10" s="15">
        <v>14355.33</v>
      </c>
      <c r="H10" s="15">
        <f t="shared" si="2"/>
        <v>6309.67</v>
      </c>
      <c r="I10" s="16">
        <f t="shared" si="3"/>
        <v>0.43953500198184231</v>
      </c>
      <c r="J10" s="41"/>
      <c r="K10" s="41"/>
    </row>
    <row r="11" spans="1:11" ht="15.75">
      <c r="A11" s="54" t="str">
        <v>Kohls - East Brunswick</v>
      </c>
      <c r="B11" s="31" t="str">
        <v>NJ</v>
      </c>
      <c r="C11" s="11">
        <v>31269</v>
      </c>
      <c r="D11" s="18">
        <v>0</v>
      </c>
      <c r="E11" s="18">
        <f t="shared" si="0"/>
        <v>31269</v>
      </c>
      <c r="F11" s="18" t="str">
        <f t="shared" si="1"/>
        <v/>
      </c>
      <c r="G11" s="20">
        <v>30992.07</v>
      </c>
      <c r="H11" s="20">
        <f t="shared" si="2"/>
        <v>276.93000000000029</v>
      </c>
      <c r="I11" s="19">
        <f t="shared" si="3"/>
        <v>8.9355115679591677E-3</v>
      </c>
      <c r="J11" s="42"/>
      <c r="K11" s="43"/>
    </row>
    <row r="12" spans="1:11" ht="15.75">
      <c r="A12" s="55" t="str">
        <v>Kohls - Edgewood</v>
      </c>
      <c r="B12" s="29" t="str">
        <v>MD</v>
      </c>
      <c r="C12" s="24">
        <v>184974</v>
      </c>
      <c r="D12" s="13">
        <v>0</v>
      </c>
      <c r="E12" s="13">
        <f t="shared" si="0"/>
        <v>184974</v>
      </c>
      <c r="F12" s="13" t="str">
        <f t="shared" si="1"/>
        <v/>
      </c>
      <c r="G12" s="15">
        <v>169384.2</v>
      </c>
      <c r="H12" s="15">
        <f t="shared" si="2"/>
        <v>15589.799999999988</v>
      </c>
      <c r="I12" s="16">
        <f t="shared" si="3"/>
        <v>9.203810036591363E-2</v>
      </c>
      <c r="J12" s="41"/>
      <c r="K12" s="41"/>
    </row>
    <row r="13" spans="1:11" ht="15.75">
      <c r="A13" s="54" t="str">
        <v>Kohls - Granite Run</v>
      </c>
      <c r="B13" s="31" t="str">
        <v>PA</v>
      </c>
      <c r="C13" s="11">
        <v>22487</v>
      </c>
      <c r="D13" s="18">
        <v>0</v>
      </c>
      <c r="E13" s="18">
        <f t="shared" si="0"/>
        <v>22487</v>
      </c>
      <c r="F13" s="18" t="str">
        <f t="shared" si="1"/>
        <v/>
      </c>
      <c r="G13" s="20">
        <v>20204.97</v>
      </c>
      <c r="H13" s="20">
        <f t="shared" si="2"/>
        <v>2282.0299999999988</v>
      </c>
      <c r="I13" s="19">
        <f t="shared" si="3"/>
        <v>0.11294399348279155</v>
      </c>
      <c r="J13" s="42"/>
      <c r="K13" s="43"/>
    </row>
    <row r="14" spans="1:11" ht="15.75">
      <c r="A14" s="55" t="str">
        <v>Kohls - Greece</v>
      </c>
      <c r="B14" s="29" t="str">
        <v>NY</v>
      </c>
      <c r="C14" s="24">
        <v>16874</v>
      </c>
      <c r="D14" s="13">
        <v>0</v>
      </c>
      <c r="E14" s="13">
        <f t="shared" si="0"/>
        <v>16874</v>
      </c>
      <c r="F14" s="13" t="str">
        <f t="shared" si="1"/>
        <v/>
      </c>
      <c r="G14" s="15">
        <v>14942.59</v>
      </c>
      <c r="H14" s="15">
        <f t="shared" si="2"/>
        <v>1931.4099999999999</v>
      </c>
      <c r="I14" s="16">
        <f t="shared" si="3"/>
        <v>0.12925537005298277</v>
      </c>
      <c r="J14" s="41"/>
      <c r="K14" s="41"/>
    </row>
    <row r="15" spans="1:11" ht="15.75">
      <c r="A15" s="54" t="str">
        <v>Kohls - Hanover</v>
      </c>
      <c r="B15" s="31" t="str">
        <v>PA</v>
      </c>
      <c r="C15" s="11">
        <v>26512</v>
      </c>
      <c r="D15" s="18">
        <v>0</v>
      </c>
      <c r="E15" s="18">
        <f t="shared" si="0"/>
        <v>26512</v>
      </c>
      <c r="F15" s="18" t="str">
        <f t="shared" si="1"/>
        <v/>
      </c>
      <c r="G15" s="20">
        <v>22444.04</v>
      </c>
      <c r="H15" s="20">
        <f t="shared" si="2"/>
        <v>4067.9599999999991</v>
      </c>
      <c r="I15" s="19">
        <f t="shared" si="3"/>
        <v>0.18124900864550228</v>
      </c>
      <c r="J15" s="42"/>
      <c r="K15" s="43"/>
    </row>
    <row r="16" spans="1:11" ht="15.75">
      <c r="A16" s="55" t="str">
        <v>Kohls - Horsehead</v>
      </c>
      <c r="B16" s="29" t="str">
        <v>NY</v>
      </c>
      <c r="C16" s="24">
        <v>18647</v>
      </c>
      <c r="D16" s="13">
        <v>0</v>
      </c>
      <c r="E16" s="13">
        <f t="shared" ref="E16:E17" si="4">IF(AND(ISNUMBER(C16),ISNUMBER(D16)), C16-D16, "")</f>
        <v>18647</v>
      </c>
      <c r="F16" s="13" t="str">
        <f t="shared" si="1"/>
        <v/>
      </c>
      <c r="G16" s="15">
        <v>16126.44</v>
      </c>
      <c r="H16" s="15">
        <f t="shared" ref="H16:H17" si="5">IF(AND(ISNUMBER(C16),ISNUMBER(G16)), C16-G16, "")</f>
        <v>2520.5599999999995</v>
      </c>
      <c r="I16" s="16">
        <f t="shared" ref="I16:I17" si="6">IFERROR(H16/G16, "")</f>
        <v>0.1562998405103668</v>
      </c>
      <c r="J16" s="41"/>
      <c r="K16" s="41"/>
    </row>
    <row r="17" spans="1:11" ht="15.75">
      <c r="A17" s="54" t="str">
        <v>Kohls - Hudson</v>
      </c>
      <c r="B17" s="31" t="str">
        <v>NY</v>
      </c>
      <c r="C17" s="11">
        <v>6932</v>
      </c>
      <c r="D17" s="18">
        <v>0</v>
      </c>
      <c r="E17" s="18">
        <f t="shared" si="4"/>
        <v>6932</v>
      </c>
      <c r="F17" s="18" t="str">
        <f t="shared" si="1"/>
        <v/>
      </c>
      <c r="G17" s="20">
        <v>18708.54</v>
      </c>
      <c r="H17" s="20">
        <f t="shared" si="5"/>
        <v>-11776.54</v>
      </c>
      <c r="I17" s="19">
        <f t="shared" si="6"/>
        <v>-0.62947402630028859</v>
      </c>
      <c r="J17" s="42"/>
      <c r="K17" s="43"/>
    </row>
    <row r="18" spans="1:11" ht="12.75" customHeight="1">
      <c r="A18" s="53" t="str">
        <v>Kohls - Ithaca</v>
      </c>
      <c r="B18" s="29" t="str">
        <v>NY</v>
      </c>
      <c r="C18" s="24">
        <v>16819</v>
      </c>
      <c r="D18" s="13">
        <v>0</v>
      </c>
      <c r="E18" s="13">
        <f t="shared" ref="E18:E25" si="7">IF(AND(ISNUMBER(C18),ISNUMBER(D18)), C18-D18, "")</f>
        <v>16819</v>
      </c>
      <c r="F18" s="13" t="str">
        <f t="shared" si="1"/>
        <v/>
      </c>
      <c r="G18" s="15">
        <v>17888.23</v>
      </c>
      <c r="H18" s="15">
        <f t="shared" ref="H18:H25" si="8">IF(AND(ISNUMBER(C18),ISNUMBER(G18)), C18-G18, "")</f>
        <v>-1069.2299999999996</v>
      </c>
      <c r="I18" s="19">
        <f t="shared" ref="I18:I25" si="9">IFERROR(H18/G18, "")</f>
        <v>-5.9772822688438129E-2</v>
      </c>
      <c r="J18" s="41"/>
      <c r="K18" s="41"/>
    </row>
    <row r="19" spans="1:11" ht="15.75">
      <c r="A19" s="54" t="str">
        <v>Kohls - Kingston</v>
      </c>
      <c r="B19" s="31" t="str">
        <v>NY</v>
      </c>
      <c r="C19" s="11">
        <v>35496</v>
      </c>
      <c r="D19" s="18">
        <v>0</v>
      </c>
      <c r="E19" s="18">
        <f t="shared" si="7"/>
        <v>35496</v>
      </c>
      <c r="F19" s="18" t="str">
        <f t="shared" si="1"/>
        <v/>
      </c>
      <c r="G19" s="20">
        <v>24776.93</v>
      </c>
      <c r="H19" s="20">
        <f t="shared" si="8"/>
        <v>10719.07</v>
      </c>
      <c r="I19" s="19">
        <f t="shared" si="9"/>
        <v>0.43262300858096625</v>
      </c>
      <c r="J19" s="42"/>
      <c r="K19" s="42"/>
    </row>
    <row r="20" spans="1:11" ht="15.75">
      <c r="A20" s="55" t="str">
        <v>Kohls - Mechanicsburg</v>
      </c>
      <c r="B20" s="29" t="str">
        <v>PA</v>
      </c>
      <c r="C20" s="24">
        <v>30051</v>
      </c>
      <c r="D20" s="13">
        <v>0</v>
      </c>
      <c r="E20" s="13">
        <f t="shared" si="7"/>
        <v>30051</v>
      </c>
      <c r="F20" s="13" t="str">
        <f t="shared" si="1"/>
        <v/>
      </c>
      <c r="G20" s="15">
        <v>25384.43</v>
      </c>
      <c r="H20" s="15">
        <f t="shared" si="8"/>
        <v>4666.57</v>
      </c>
      <c r="I20" s="19">
        <f t="shared" si="9"/>
        <v>0.183835918316858</v>
      </c>
      <c r="J20" s="41"/>
      <c r="K20" s="41"/>
    </row>
    <row r="21" spans="1:11" ht="15.75">
      <c r="A21" s="54" t="str">
        <v>Kohls - Middletown</v>
      </c>
      <c r="B21" s="31" t="str">
        <v>NJ</v>
      </c>
      <c r="C21" s="11">
        <v>15419</v>
      </c>
      <c r="D21" s="18">
        <v>0</v>
      </c>
      <c r="E21" s="18">
        <f t="shared" si="7"/>
        <v>15419</v>
      </c>
      <c r="F21" s="18" t="str">
        <f t="shared" si="1"/>
        <v/>
      </c>
      <c r="G21" s="20">
        <v>36407.89</v>
      </c>
      <c r="H21" s="20">
        <f t="shared" si="8"/>
        <v>-20988.89</v>
      </c>
      <c r="I21" s="19">
        <f t="shared" si="9"/>
        <v>-0.57649289755599675</v>
      </c>
      <c r="J21" s="41" t="s">
        <v>40</v>
      </c>
      <c r="K21" s="41" t="s">
        <v>41</v>
      </c>
    </row>
    <row r="22" spans="1:11" ht="15.75">
      <c r="A22" s="55" t="str">
        <v>Kohls - North Amherst</v>
      </c>
      <c r="B22" s="29" t="str">
        <v>NY</v>
      </c>
      <c r="C22" s="24">
        <v>15228</v>
      </c>
      <c r="D22" s="13">
        <v>0</v>
      </c>
      <c r="E22" s="13">
        <f t="shared" si="7"/>
        <v>15228</v>
      </c>
      <c r="F22" s="13" t="str">
        <f t="shared" si="1"/>
        <v/>
      </c>
      <c r="G22" s="15">
        <v>12491</v>
      </c>
      <c r="H22" s="15">
        <f t="shared" si="8"/>
        <v>2737</v>
      </c>
      <c r="I22" s="19">
        <f t="shared" si="9"/>
        <v>0.21911776479064926</v>
      </c>
    </row>
    <row r="23" spans="1:11" ht="15.75">
      <c r="A23" s="54" t="str">
        <v>Kohls - Staten Island</v>
      </c>
      <c r="B23" s="31" t="str">
        <v>NY</v>
      </c>
      <c r="C23" s="11">
        <v>19596</v>
      </c>
      <c r="D23" s="18">
        <v>0</v>
      </c>
      <c r="E23" s="18">
        <f t="shared" si="7"/>
        <v>19596</v>
      </c>
      <c r="F23" s="18" t="str">
        <f t="shared" si="1"/>
        <v/>
      </c>
      <c r="G23" s="20">
        <v>21345.24</v>
      </c>
      <c r="H23" s="20">
        <f t="shared" si="8"/>
        <v>-1749.2400000000016</v>
      </c>
      <c r="I23" s="19">
        <f t="shared" si="9"/>
        <v>-8.1949886719474757E-2</v>
      </c>
      <c r="J23" s="42"/>
      <c r="K23" s="43"/>
    </row>
    <row r="24" spans="1:11" ht="15.75">
      <c r="A24" s="55" t="str">
        <v>Kohls - Warminster</v>
      </c>
      <c r="B24" s="29" t="str">
        <v>PA</v>
      </c>
      <c r="C24" s="24">
        <v>8422</v>
      </c>
      <c r="D24" s="13">
        <v>0</v>
      </c>
      <c r="E24" s="13">
        <f t="shared" si="7"/>
        <v>8422</v>
      </c>
      <c r="F24" s="13" t="str">
        <f t="shared" si="1"/>
        <v/>
      </c>
      <c r="G24" s="15">
        <v>24631.64</v>
      </c>
      <c r="H24" s="15">
        <f t="shared" si="8"/>
        <v>-16209.64</v>
      </c>
      <c r="I24" s="19">
        <f t="shared" si="9"/>
        <v>-0.65808204407014714</v>
      </c>
      <c r="J24" s="41"/>
      <c r="K24" s="41"/>
    </row>
    <row r="25" spans="1:11" ht="15.75">
      <c r="A25" s="54" t="str">
        <v xml:space="preserve">Kohls - Waterbury </v>
      </c>
      <c r="B25" s="31" t="str">
        <v>CT</v>
      </c>
      <c r="C25" s="11">
        <v>19789</v>
      </c>
      <c r="D25" s="18">
        <v>0</v>
      </c>
      <c r="E25" s="18">
        <f t="shared" si="7"/>
        <v>19789</v>
      </c>
      <c r="F25" s="18" t="str">
        <f t="shared" si="1"/>
        <v/>
      </c>
      <c r="G25" s="45">
        <v>19500.63</v>
      </c>
      <c r="H25" s="45">
        <f t="shared" si="8"/>
        <v>288.36999999999898</v>
      </c>
      <c r="I25" s="19">
        <f t="shared" si="9"/>
        <v>1.4787727370859247E-2</v>
      </c>
      <c r="J25" s="42"/>
      <c r="K25" s="43"/>
    </row>
    <row r="26" spans="1:11" ht="14.45">
      <c r="A26" s="21"/>
      <c r="B26" s="33"/>
      <c r="C26" s="21"/>
      <c r="D26" s="21"/>
      <c r="E26" s="21"/>
      <c r="F26" s="19"/>
      <c r="G26" s="21"/>
      <c r="H26" s="21"/>
      <c r="I26" s="21"/>
      <c r="J26" s="21"/>
      <c r="K26" s="21"/>
    </row>
    <row r="27" spans="1:11" ht="14.45">
      <c r="A27" s="21"/>
      <c r="B27" s="33"/>
      <c r="C27" s="21"/>
      <c r="D27" s="21"/>
      <c r="E27" s="21"/>
      <c r="F27" s="19"/>
      <c r="G27" s="21"/>
      <c r="H27" s="21"/>
      <c r="I27" s="21"/>
      <c r="J27" s="21"/>
      <c r="K27" s="21"/>
    </row>
    <row r="28" spans="1:11" ht="14.4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4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4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4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4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 I4:I100 F26:F100">
    <cfRule type="cellIs" dxfId="44" priority="1" stopIfTrue="1" operator="lessThanOrEqual">
      <formula>-0.1</formula>
    </cfRule>
    <cfRule type="expression" dxfId="4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42"/>
  <sheetViews>
    <sheetView tabSelected="1" workbookViewId="0">
      <pane xSplit="2" ySplit="3" topLeftCell="C9" activePane="bottomRight" state="frozen"/>
      <selection pane="bottomRight" activeCell="K21" sqref="K21"/>
      <selection pane="bottomLeft"/>
      <selection pane="topRight"/>
    </sheetView>
  </sheetViews>
  <sheetFormatPr defaultRowHeight="13.7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9" t="str" cm="1">
        <f t="array" ref="A1">portfolio</f>
        <v>Silicon Ranch</v>
      </c>
      <c r="B1" s="59"/>
      <c r="C1" s="59"/>
      <c r="D1" s="60" t="s">
        <v>42</v>
      </c>
      <c r="E1" s="60"/>
      <c r="F1" s="60"/>
      <c r="G1" s="58" t="s">
        <v>43</v>
      </c>
      <c r="H1" s="58"/>
      <c r="I1" s="58"/>
      <c r="J1" s="4"/>
      <c r="K1" s="4"/>
    </row>
    <row r="2" spans="1:11" ht="19.5" customHeight="1">
      <c r="A2" s="61" t="s">
        <v>2</v>
      </c>
      <c r="B2" s="61"/>
      <c r="C2" s="5">
        <f>SUM(C4:C100)</f>
        <v>802214</v>
      </c>
      <c r="D2" s="5">
        <f>SUM(D4:D100)</f>
        <v>0</v>
      </c>
      <c r="E2" s="5">
        <f>C2-D2</f>
        <v>802214</v>
      </c>
      <c r="F2" s="6">
        <f>IFERROR(E2/D2, 0)</f>
        <v>0</v>
      </c>
      <c r="G2" s="5">
        <f>SUM(G4:G100)</f>
        <v>897139.90900000022</v>
      </c>
      <c r="H2" s="7">
        <f>C2-G2</f>
        <v>-94925.909000000218</v>
      </c>
      <c r="I2" s="6">
        <f>IFERROR(H2/G2, 0)</f>
        <v>-0.10580948194112742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5">Sites[Site]</f>
        <v>Iron Mountain - Windsor</v>
      </c>
      <c r="B4" s="29" t="str" cm="1">
        <f t="array" ref="B4:B25">Sites[State]</f>
        <v>CT</v>
      </c>
      <c r="C4" s="24">
        <v>26650</v>
      </c>
      <c r="D4" s="13">
        <v>0</v>
      </c>
      <c r="E4" s="13">
        <f>IF(AND(ISNUMBER(C4),ISNUMBER(D4)), C4-D4, "")</f>
        <v>26650</v>
      </c>
      <c r="F4" s="14" t="str">
        <f>IFERROR(E4/D4, "")</f>
        <v/>
      </c>
      <c r="G4" s="15">
        <v>25065.9</v>
      </c>
      <c r="H4" s="15">
        <f>IF(AND(ISNUMBER(C4),ISNUMBER(G4)), C4-G4, "")</f>
        <v>1584.0999999999985</v>
      </c>
      <c r="I4" s="16">
        <f>IFERROR(H4/G4, "")</f>
        <v>6.3197411622961816E-2</v>
      </c>
      <c r="J4" s="41"/>
      <c r="K4" s="41"/>
    </row>
    <row r="5" spans="1:11" ht="15.75">
      <c r="A5" s="30" t="str">
        <v>Kohls - Auburn</v>
      </c>
      <c r="B5" s="31" t="str">
        <v>NY</v>
      </c>
      <c r="C5" s="11">
        <v>23334</v>
      </c>
      <c r="D5" s="18">
        <v>0</v>
      </c>
      <c r="E5" s="18">
        <f t="shared" ref="E5:E25" si="0">IF(AND(ISNUMBER(C5),ISNUMBER(D5)), C5-D5, "")</f>
        <v>23334</v>
      </c>
      <c r="F5" s="19" t="str">
        <f>IFERROR(E5/D5, "")</f>
        <v/>
      </c>
      <c r="G5" s="20">
        <v>23816.799999999999</v>
      </c>
      <c r="H5" s="20">
        <f t="shared" ref="H5:H25" si="1">IF(AND(ISNUMBER(C5),ISNUMBER(G5)), C5-G5, "")</f>
        <v>-482.79999999999927</v>
      </c>
      <c r="I5" s="19">
        <f t="shared" ref="I5:I25" si="2">IFERROR(H5/G5, "")</f>
        <v>-2.0271405058614057E-2</v>
      </c>
      <c r="J5" s="42"/>
      <c r="K5" s="42"/>
    </row>
    <row r="6" spans="1:11" ht="15.75">
      <c r="A6" s="28" t="str">
        <v>Kohls - Bensalem</v>
      </c>
      <c r="B6" s="29" t="str">
        <v>PA</v>
      </c>
      <c r="C6" s="24">
        <v>32980</v>
      </c>
      <c r="D6" s="13">
        <v>0</v>
      </c>
      <c r="E6" s="13">
        <f t="shared" si="0"/>
        <v>32980</v>
      </c>
      <c r="F6" s="14" t="str">
        <f t="shared" ref="F6:F25" si="3">IFERROR(E6/D6, "")</f>
        <v/>
      </c>
      <c r="G6" s="15">
        <v>29898.43</v>
      </c>
      <c r="H6" s="15">
        <f t="shared" si="1"/>
        <v>3081.5699999999997</v>
      </c>
      <c r="I6" s="16">
        <f t="shared" si="2"/>
        <v>0.10306795373536336</v>
      </c>
      <c r="J6" s="41"/>
      <c r="K6" s="41"/>
    </row>
    <row r="7" spans="1:11" ht="15.75">
      <c r="A7" s="30" t="str">
        <v>Kohls - Brick</v>
      </c>
      <c r="B7" s="31" t="str">
        <v>NJ</v>
      </c>
      <c r="C7" s="11">
        <v>36345</v>
      </c>
      <c r="D7" s="18">
        <v>0</v>
      </c>
      <c r="E7" s="18">
        <f t="shared" si="0"/>
        <v>36345</v>
      </c>
      <c r="F7" s="19" t="str">
        <f t="shared" si="3"/>
        <v/>
      </c>
      <c r="G7" s="20">
        <v>35848.9</v>
      </c>
      <c r="H7" s="20">
        <f t="shared" si="1"/>
        <v>496.09999999999854</v>
      </c>
      <c r="I7" s="19">
        <f t="shared" si="2"/>
        <v>1.3838639400372076E-2</v>
      </c>
      <c r="J7" s="42"/>
      <c r="K7" s="43"/>
    </row>
    <row r="8" spans="1:11" ht="15.75">
      <c r="A8" s="28" t="str">
        <v>Kohls - Buffalo</v>
      </c>
      <c r="B8" s="29" t="str">
        <v>NY</v>
      </c>
      <c r="C8" s="24">
        <v>28827</v>
      </c>
      <c r="D8" s="13">
        <v>0</v>
      </c>
      <c r="E8" s="13">
        <f t="shared" si="0"/>
        <v>28827</v>
      </c>
      <c r="F8" s="14" t="str">
        <f t="shared" si="3"/>
        <v/>
      </c>
      <c r="G8" s="15">
        <v>31190.22</v>
      </c>
      <c r="H8" s="15">
        <f t="shared" si="1"/>
        <v>-2363.2200000000012</v>
      </c>
      <c r="I8" s="16">
        <f t="shared" si="2"/>
        <v>-7.5767981117157907E-2</v>
      </c>
      <c r="J8" s="41"/>
      <c r="K8" s="41"/>
    </row>
    <row r="9" spans="1:11" ht="15.75">
      <c r="A9" s="30" t="str">
        <v>Kohls - Canton</v>
      </c>
      <c r="B9" s="31" t="str">
        <v>CT</v>
      </c>
      <c r="C9" s="11">
        <v>13440</v>
      </c>
      <c r="D9" s="18">
        <v>0</v>
      </c>
      <c r="E9" s="18">
        <f t="shared" si="0"/>
        <v>13440</v>
      </c>
      <c r="F9" s="19" t="str">
        <f t="shared" si="3"/>
        <v/>
      </c>
      <c r="G9" s="20">
        <v>11179.87</v>
      </c>
      <c r="H9" s="20">
        <f t="shared" si="1"/>
        <v>2260.1299999999992</v>
      </c>
      <c r="I9" s="19">
        <f t="shared" si="2"/>
        <v>0.20216066913121522</v>
      </c>
      <c r="J9" s="42"/>
      <c r="K9" s="43"/>
    </row>
    <row r="10" spans="1:11" ht="15.75">
      <c r="A10" s="28" t="str">
        <v>Kohls - East Amherst</v>
      </c>
      <c r="B10" s="29" t="str">
        <v>NY</v>
      </c>
      <c r="C10" s="24">
        <v>25808</v>
      </c>
      <c r="D10" s="13">
        <v>0</v>
      </c>
      <c r="E10" s="13">
        <f t="shared" si="0"/>
        <v>25808</v>
      </c>
      <c r="F10" s="14" t="str">
        <f t="shared" si="3"/>
        <v/>
      </c>
      <c r="G10" s="15">
        <v>28710.66</v>
      </c>
      <c r="H10" s="15">
        <f t="shared" si="1"/>
        <v>-2902.66</v>
      </c>
      <c r="I10" s="16">
        <f t="shared" si="2"/>
        <v>-0.10110042750671701</v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>
        <v>47751</v>
      </c>
      <c r="D11" s="18">
        <v>0</v>
      </c>
      <c r="E11" s="18">
        <f t="shared" si="0"/>
        <v>47751</v>
      </c>
      <c r="F11" s="19" t="str">
        <f t="shared" si="3"/>
        <v/>
      </c>
      <c r="G11" s="20">
        <v>46158.2</v>
      </c>
      <c r="H11" s="20">
        <f t="shared" si="1"/>
        <v>1592.8000000000029</v>
      </c>
      <c r="I11" s="19">
        <f t="shared" si="2"/>
        <v>3.4507411467518297E-2</v>
      </c>
      <c r="J11" s="42"/>
      <c r="K11" s="43"/>
    </row>
    <row r="12" spans="1:11" ht="15.75">
      <c r="A12" s="28" t="str">
        <v>Kohls - Edgewood</v>
      </c>
      <c r="B12" s="29" t="str">
        <v>MD</v>
      </c>
      <c r="C12" s="24">
        <v>232222</v>
      </c>
      <c r="D12" s="13">
        <v>0</v>
      </c>
      <c r="E12" s="13">
        <f t="shared" si="0"/>
        <v>232222</v>
      </c>
      <c r="F12" s="14" t="str">
        <f t="shared" si="3"/>
        <v/>
      </c>
      <c r="G12" s="15">
        <v>239043.04</v>
      </c>
      <c r="H12" s="15">
        <f t="shared" si="1"/>
        <v>-6821.0400000000081</v>
      </c>
      <c r="I12" s="16">
        <f t="shared" si="2"/>
        <v>-2.8534777670163533E-2</v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>
        <v>31741</v>
      </c>
      <c r="D13" s="18">
        <v>0</v>
      </c>
      <c r="E13" s="18">
        <f t="shared" si="0"/>
        <v>31741</v>
      </c>
      <c r="F13" s="19" t="str">
        <f t="shared" si="3"/>
        <v/>
      </c>
      <c r="G13" s="20">
        <v>29491.24</v>
      </c>
      <c r="H13" s="20">
        <f t="shared" si="1"/>
        <v>2249.7599999999984</v>
      </c>
      <c r="I13" s="19">
        <f t="shared" si="2"/>
        <v>7.6285703822558781E-2</v>
      </c>
      <c r="J13" s="42"/>
      <c r="K13" s="43"/>
    </row>
    <row r="14" spans="1:11" ht="15.75">
      <c r="A14" s="28" t="str">
        <v>Kohls - Greece</v>
      </c>
      <c r="B14" s="29" t="str">
        <v>NY</v>
      </c>
      <c r="C14" s="24">
        <v>23984</v>
      </c>
      <c r="D14" s="13">
        <v>0</v>
      </c>
      <c r="E14" s="13">
        <f t="shared" si="0"/>
        <v>23984</v>
      </c>
      <c r="F14" s="14" t="str">
        <f t="shared" si="3"/>
        <v/>
      </c>
      <c r="G14" s="15">
        <v>27592.06</v>
      </c>
      <c r="H14" s="15">
        <f t="shared" si="1"/>
        <v>-3608.0600000000013</v>
      </c>
      <c r="I14" s="16">
        <f t="shared" si="2"/>
        <v>-0.13076443005705268</v>
      </c>
      <c r="J14" s="41"/>
      <c r="K14" s="41"/>
    </row>
    <row r="15" spans="1:11" ht="15.75">
      <c r="A15" s="30" t="str">
        <v>Kohls - Hanover</v>
      </c>
      <c r="B15" s="31" t="str">
        <v>PA</v>
      </c>
      <c r="C15" s="11">
        <v>26616</v>
      </c>
      <c r="D15" s="18">
        <v>0</v>
      </c>
      <c r="E15" s="18">
        <f t="shared" si="0"/>
        <v>26616</v>
      </c>
      <c r="F15" s="19" t="str">
        <f t="shared" si="3"/>
        <v/>
      </c>
      <c r="G15" s="20">
        <v>32416.01</v>
      </c>
      <c r="H15" s="20">
        <f t="shared" si="1"/>
        <v>-5800.0099999999984</v>
      </c>
      <c r="I15" s="19">
        <f t="shared" si="2"/>
        <v>-0.17892424144735883</v>
      </c>
      <c r="J15" s="42"/>
      <c r="K15" s="43"/>
    </row>
    <row r="16" spans="1:11" ht="15.75">
      <c r="A16" s="28" t="str">
        <v>Kohls - Horsehead</v>
      </c>
      <c r="B16" s="29" t="str">
        <v>NY</v>
      </c>
      <c r="C16" s="24">
        <v>23060</v>
      </c>
      <c r="D16" s="13">
        <v>0</v>
      </c>
      <c r="E16" s="13">
        <f t="shared" si="0"/>
        <v>23060</v>
      </c>
      <c r="F16" s="14" t="str">
        <f t="shared" si="3"/>
        <v/>
      </c>
      <c r="G16" s="15">
        <v>24888.79</v>
      </c>
      <c r="H16" s="15">
        <f t="shared" si="1"/>
        <v>-1828.7900000000009</v>
      </c>
      <c r="I16" s="16">
        <f t="shared" si="2"/>
        <v>-7.3478461588530455E-2</v>
      </c>
      <c r="J16" s="41"/>
      <c r="K16" s="41"/>
    </row>
    <row r="17" spans="1:11" ht="15.75">
      <c r="A17" s="30" t="str">
        <v>Kohls - Hudson</v>
      </c>
      <c r="B17" s="31" t="str">
        <v>NY</v>
      </c>
      <c r="C17" s="11">
        <v>13699</v>
      </c>
      <c r="D17" s="18">
        <v>0</v>
      </c>
      <c r="E17" s="18">
        <f t="shared" si="0"/>
        <v>13699</v>
      </c>
      <c r="F17" s="19" t="str">
        <f t="shared" si="3"/>
        <v/>
      </c>
      <c r="G17" s="20">
        <v>29726.720000000001</v>
      </c>
      <c r="H17" s="20">
        <f t="shared" si="1"/>
        <v>-16027.720000000001</v>
      </c>
      <c r="I17" s="19">
        <f t="shared" si="2"/>
        <v>-0.53916880167068548</v>
      </c>
      <c r="J17" s="42"/>
      <c r="K17" s="43"/>
    </row>
    <row r="18" spans="1:11" ht="15.75">
      <c r="A18" s="32" t="str">
        <v>Kohls - Ithaca</v>
      </c>
      <c r="B18" s="29" t="str">
        <v>NY</v>
      </c>
      <c r="C18" s="24">
        <v>22256</v>
      </c>
      <c r="D18" s="13">
        <v>0</v>
      </c>
      <c r="E18" s="13">
        <f t="shared" si="0"/>
        <v>22256</v>
      </c>
      <c r="F18" s="14" t="str">
        <f t="shared" si="3"/>
        <v/>
      </c>
      <c r="G18" s="15">
        <v>27247.16</v>
      </c>
      <c r="H18" s="15">
        <f t="shared" si="1"/>
        <v>-4991.16</v>
      </c>
      <c r="I18" s="16">
        <f t="shared" si="2"/>
        <v>-0.18318092601210548</v>
      </c>
      <c r="J18" s="41"/>
      <c r="K18" s="41"/>
    </row>
    <row r="19" spans="1:11" ht="15.75">
      <c r="A19" s="30" t="str">
        <v>Kohls - Kingston</v>
      </c>
      <c r="B19" s="31" t="str">
        <v>NY</v>
      </c>
      <c r="C19" s="11">
        <v>42779</v>
      </c>
      <c r="D19" s="18">
        <v>0</v>
      </c>
      <c r="E19" s="18">
        <f t="shared" si="0"/>
        <v>42779</v>
      </c>
      <c r="F19" s="19" t="str">
        <f t="shared" si="3"/>
        <v/>
      </c>
      <c r="G19" s="20">
        <v>41686.389000000003</v>
      </c>
      <c r="H19" s="20">
        <f t="shared" si="1"/>
        <v>1092.6109999999971</v>
      </c>
      <c r="I19" s="19">
        <f t="shared" si="2"/>
        <v>2.6210257741441628E-2</v>
      </c>
      <c r="J19" s="42"/>
      <c r="K19" s="42"/>
    </row>
    <row r="20" spans="1:11" ht="15.75">
      <c r="A20" s="28" t="str">
        <v>Kohls - Mechanicsburg</v>
      </c>
      <c r="B20" s="29" t="str">
        <v>PA</v>
      </c>
      <c r="C20" s="24">
        <v>41788</v>
      </c>
      <c r="D20" s="13">
        <v>0</v>
      </c>
      <c r="E20" s="13">
        <f t="shared" si="0"/>
        <v>41788</v>
      </c>
      <c r="F20" s="14" t="str">
        <f t="shared" si="3"/>
        <v/>
      </c>
      <c r="G20" s="15">
        <v>37445.65</v>
      </c>
      <c r="H20" s="15">
        <f t="shared" si="1"/>
        <v>4342.3499999999985</v>
      </c>
      <c r="I20" s="16">
        <f t="shared" si="2"/>
        <v>0.11596407059297938</v>
      </c>
      <c r="J20" s="41"/>
      <c r="K20" s="41"/>
    </row>
    <row r="21" spans="1:11" ht="15.75">
      <c r="A21" s="30" t="str">
        <v>Kohls - Middletown</v>
      </c>
      <c r="B21" s="31" t="str">
        <v>NJ</v>
      </c>
      <c r="C21" s="11">
        <v>0</v>
      </c>
      <c r="D21" s="18">
        <v>0</v>
      </c>
      <c r="E21" s="18">
        <f t="shared" si="0"/>
        <v>0</v>
      </c>
      <c r="F21" s="19" t="str">
        <f t="shared" si="3"/>
        <v/>
      </c>
      <c r="G21" s="20">
        <v>53012.75</v>
      </c>
      <c r="H21" s="20">
        <f t="shared" si="1"/>
        <v>-53012.75</v>
      </c>
      <c r="I21" s="19">
        <f t="shared" si="2"/>
        <v>-1</v>
      </c>
      <c r="J21" s="57" t="s">
        <v>44</v>
      </c>
      <c r="K21" s="56" t="s">
        <v>41</v>
      </c>
    </row>
    <row r="22" spans="1:11" ht="15.75">
      <c r="A22" s="28" t="str">
        <v>Kohls - North Amherst</v>
      </c>
      <c r="B22" s="29" t="str">
        <v>NY</v>
      </c>
      <c r="C22" s="24">
        <v>19697</v>
      </c>
      <c r="D22" s="13">
        <v>0</v>
      </c>
      <c r="E22" s="13">
        <f t="shared" si="0"/>
        <v>19697</v>
      </c>
      <c r="F22" s="14" t="str">
        <f t="shared" si="3"/>
        <v/>
      </c>
      <c r="G22" s="15">
        <v>25541.3</v>
      </c>
      <c r="H22" s="15">
        <f t="shared" si="1"/>
        <v>-5844.2999999999993</v>
      </c>
      <c r="I22" s="19">
        <f t="shared" si="2"/>
        <v>-0.22881764044899827</v>
      </c>
      <c r="J22" s="41"/>
      <c r="K22" s="41"/>
    </row>
    <row r="23" spans="1:11" ht="15.75">
      <c r="A23" s="30" t="str">
        <v>Kohls - Staten Island</v>
      </c>
      <c r="B23" s="31" t="str">
        <v>NY</v>
      </c>
      <c r="C23" s="11">
        <v>31680</v>
      </c>
      <c r="D23" s="18">
        <v>0</v>
      </c>
      <c r="E23" s="18">
        <f t="shared" si="0"/>
        <v>31680</v>
      </c>
      <c r="F23" s="19" t="str">
        <f t="shared" si="3"/>
        <v/>
      </c>
      <c r="G23" s="20">
        <v>32036.37</v>
      </c>
      <c r="H23" s="20">
        <f t="shared" si="1"/>
        <v>-356.36999999999898</v>
      </c>
      <c r="I23" s="19">
        <f t="shared" si="2"/>
        <v>-1.1123919470277032E-2</v>
      </c>
      <c r="J23" s="42"/>
      <c r="K23" s="43"/>
    </row>
    <row r="24" spans="1:11" ht="15.75">
      <c r="A24" s="28" t="str">
        <v>Kohls - Warminster</v>
      </c>
      <c r="B24" s="29" t="str">
        <v>PA</v>
      </c>
      <c r="C24" s="24">
        <v>24283</v>
      </c>
      <c r="D24" s="13">
        <v>0</v>
      </c>
      <c r="E24" s="13">
        <f t="shared" si="0"/>
        <v>24283</v>
      </c>
      <c r="F24" s="14" t="str">
        <f t="shared" si="3"/>
        <v/>
      </c>
      <c r="G24" s="15">
        <v>36579.800000000003</v>
      </c>
      <c r="H24" s="15">
        <f t="shared" si="1"/>
        <v>-12296.800000000003</v>
      </c>
      <c r="I24" s="19">
        <f t="shared" si="2"/>
        <v>-0.33616367503376188</v>
      </c>
      <c r="J24" s="41" t="s">
        <v>45</v>
      </c>
      <c r="K24" s="41" t="s">
        <v>46</v>
      </c>
    </row>
    <row r="25" spans="1:11" ht="15.75">
      <c r="A25" s="30" t="str">
        <v xml:space="preserve">Kohls - Waterbury </v>
      </c>
      <c r="B25" s="31" t="str">
        <v>CT</v>
      </c>
      <c r="C25" s="11">
        <v>33274</v>
      </c>
      <c r="D25" s="18">
        <v>0</v>
      </c>
      <c r="E25" s="18">
        <f t="shared" si="0"/>
        <v>33274</v>
      </c>
      <c r="F25" s="19" t="str">
        <f t="shared" si="3"/>
        <v/>
      </c>
      <c r="G25" s="20">
        <v>28563.65</v>
      </c>
      <c r="H25" s="20">
        <f t="shared" si="1"/>
        <v>4710.3499999999985</v>
      </c>
      <c r="I25" s="19">
        <f t="shared" si="2"/>
        <v>0.16490714597049042</v>
      </c>
      <c r="J25" s="42"/>
      <c r="K25" s="43"/>
    </row>
    <row r="26" spans="1:11" ht="14.4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45">
      <c r="A27" s="21"/>
      <c r="B27" s="33"/>
      <c r="C27" s="21"/>
      <c r="D27" s="21"/>
      <c r="E27" s="21"/>
      <c r="F27" s="21"/>
      <c r="H27" s="21"/>
      <c r="I27" s="21"/>
      <c r="J27" s="21"/>
      <c r="K27" s="21"/>
    </row>
    <row r="28" spans="1:11" ht="14.45">
      <c r="A28" s="21"/>
      <c r="B28" s="33"/>
      <c r="C28" s="21"/>
      <c r="D28" s="21"/>
      <c r="E28" s="21"/>
      <c r="F28" s="21"/>
      <c r="H28" s="21"/>
      <c r="I28" s="21"/>
      <c r="J28" s="21"/>
      <c r="K28" s="21"/>
    </row>
    <row r="29" spans="1:11" ht="14.4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4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4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4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42" priority="3" stopIfTrue="1" operator="lessThanOrEqual">
      <formula>-0.1</formula>
    </cfRule>
    <cfRule type="expression" dxfId="41" priority="4">
      <formula>AND(ISNUMBER(F2), F2&gt;=0.1)</formula>
    </cfRule>
  </conditionalFormatting>
  <conditionalFormatting sqref="F4:F100 I4:I100">
    <cfRule type="cellIs" dxfId="40" priority="1" stopIfTrue="1" operator="lessThanOrEqual">
      <formula>-0.1</formula>
    </cfRule>
    <cfRule type="expression" dxfId="3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42"/>
  <sheetViews>
    <sheetView workbookViewId="0">
      <pane xSplit="2" ySplit="3" topLeftCell="G30" activePane="bottomRight" state="frozen"/>
      <selection pane="bottomRight" activeCell="G30" sqref="G30"/>
      <selection pane="bottomLeft"/>
      <selection pane="topRight"/>
    </sheetView>
  </sheetViews>
  <sheetFormatPr defaultRowHeight="13.7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9" t="str" cm="1">
        <f t="array" ref="A1">portfolio</f>
        <v>Silicon Ranch</v>
      </c>
      <c r="B1" s="59"/>
      <c r="C1" s="59"/>
      <c r="D1" s="60" t="s">
        <v>47</v>
      </c>
      <c r="E1" s="60"/>
      <c r="F1" s="60"/>
      <c r="G1" s="58" t="s">
        <v>48</v>
      </c>
      <c r="H1" s="58"/>
      <c r="I1" s="58"/>
      <c r="J1" s="4"/>
      <c r="K1" s="4"/>
    </row>
    <row r="2" spans="1:11" ht="19.5" customHeight="1">
      <c r="A2" s="61" t="s">
        <v>2</v>
      </c>
      <c r="B2" s="61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5">Sites[Site]</f>
        <v>Iron Mountain - Windsor</v>
      </c>
      <c r="B4" s="29" t="str" cm="1">
        <f t="array" ref="B4:B2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Kohls - Auburn</v>
      </c>
      <c r="B5" s="31" t="str">
        <v>NY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>Kohls - Bensalem</v>
      </c>
      <c r="B6" s="29" t="str">
        <v>PA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Kohls - Brick</v>
      </c>
      <c r="B7" s="31" t="str">
        <v>NJ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Kohls - Buffalo</v>
      </c>
      <c r="B8" s="29" t="str">
        <v>NY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Kohls - Canton</v>
      </c>
      <c r="B9" s="31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Kohls - East Amherst</v>
      </c>
      <c r="B10" s="29" t="str">
        <v>NY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Kohls - Edgewood</v>
      </c>
      <c r="B12" s="29" t="str">
        <v>MD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Kohls - Greece</v>
      </c>
      <c r="B14" s="29" t="str">
        <v>NY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Kohls - Hanover</v>
      </c>
      <c r="B15" s="31" t="str">
        <v>PA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Kohls - Horsehead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Kohls - Hudson</v>
      </c>
      <c r="B17" s="31" t="str">
        <v>NY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32" t="str">
        <v>Kohls - Ithaca</v>
      </c>
      <c r="B18" s="29" t="str">
        <v>NY</v>
      </c>
      <c r="C18" s="24"/>
      <c r="D18" s="13"/>
      <c r="E18" s="13"/>
      <c r="F18" s="14"/>
      <c r="G18" s="15"/>
      <c r="H18" s="15"/>
      <c r="I18" s="16"/>
      <c r="J18" s="41"/>
      <c r="K18" s="41"/>
    </row>
    <row r="19" spans="1:11" ht="15.75">
      <c r="A19" s="30" t="str">
        <v>Kohls - Kingston</v>
      </c>
      <c r="B19" s="31" t="str">
        <v>NY</v>
      </c>
      <c r="C19" s="11"/>
      <c r="D19" s="18"/>
      <c r="E19" s="18"/>
      <c r="F19" s="19"/>
      <c r="G19" s="20"/>
      <c r="H19" s="20"/>
      <c r="I19" s="19"/>
      <c r="J19" s="42"/>
      <c r="K19" s="42"/>
    </row>
    <row r="20" spans="1:11" ht="15.75">
      <c r="A20" s="28" t="str">
        <v>Kohls - Mechanicsburg</v>
      </c>
      <c r="B20" s="29" t="str">
        <v>PA</v>
      </c>
      <c r="C20" s="24"/>
      <c r="D20" s="13"/>
      <c r="E20" s="13"/>
      <c r="F20" s="14"/>
      <c r="G20" s="15"/>
      <c r="H20" s="15"/>
      <c r="I20" s="16"/>
      <c r="J20" s="41"/>
      <c r="K20" s="41"/>
    </row>
    <row r="21" spans="1:11" ht="15.75">
      <c r="A21" s="30" t="str">
        <v>Kohls - Middletown</v>
      </c>
      <c r="B21" s="31" t="str">
        <v>NJ</v>
      </c>
      <c r="C21" s="11"/>
      <c r="D21" s="18"/>
      <c r="E21" s="18"/>
      <c r="F21" s="19"/>
      <c r="G21" s="20"/>
      <c r="H21" s="20"/>
      <c r="I21" s="19"/>
      <c r="J21" s="42"/>
      <c r="K21" s="43"/>
    </row>
    <row r="22" spans="1:11" ht="15.75">
      <c r="A22" s="28" t="str">
        <v>Kohls - North Amherst</v>
      </c>
      <c r="B22" s="29" t="str">
        <v>NY</v>
      </c>
      <c r="C22" s="24"/>
      <c r="D22" s="13"/>
      <c r="E22" s="13"/>
      <c r="F22" s="14"/>
      <c r="G22" s="15"/>
      <c r="H22" s="15"/>
      <c r="I22" s="16"/>
      <c r="J22" s="41"/>
      <c r="K22" s="41"/>
    </row>
    <row r="23" spans="1:11" ht="15.75">
      <c r="A23" s="30" t="str">
        <v>Kohls - Staten Island</v>
      </c>
      <c r="B23" s="31" t="str">
        <v>NY</v>
      </c>
      <c r="C23" s="11"/>
      <c r="D23" s="18"/>
      <c r="E23" s="18"/>
      <c r="F23" s="19"/>
      <c r="G23" s="20"/>
      <c r="H23" s="20"/>
      <c r="I23" s="19"/>
      <c r="J23" s="42"/>
      <c r="K23" s="43"/>
    </row>
    <row r="24" spans="1:11" ht="15.75">
      <c r="A24" s="28" t="str">
        <v>Kohls - Warminster</v>
      </c>
      <c r="B24" s="29" t="str">
        <v>PA</v>
      </c>
      <c r="C24" s="24"/>
      <c r="D24" s="13"/>
      <c r="E24" s="13"/>
      <c r="F24" s="14"/>
      <c r="G24" s="15"/>
      <c r="H24" s="15"/>
      <c r="I24" s="16"/>
      <c r="J24" s="41"/>
      <c r="K24" s="41"/>
    </row>
    <row r="25" spans="1:11" ht="15.75">
      <c r="A25" s="30" t="str">
        <v xml:space="preserve">Kohls - Waterbury </v>
      </c>
      <c r="B25" s="31" t="str">
        <v>CT</v>
      </c>
      <c r="C25" s="11"/>
      <c r="D25" s="18"/>
      <c r="E25" s="18"/>
      <c r="F25" s="19"/>
      <c r="G25" s="20"/>
      <c r="H25" s="20"/>
      <c r="I25" s="19"/>
      <c r="J25" s="42"/>
      <c r="K25" s="43"/>
    </row>
    <row r="26" spans="1:11" ht="14.4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4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4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4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4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4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4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38" priority="3" stopIfTrue="1" operator="lessThanOrEqual">
      <formula>-0.1</formula>
    </cfRule>
    <cfRule type="expression" dxfId="37" priority="4">
      <formula>AND(ISNUMBER(F2), F2&gt;=0.1)</formula>
    </cfRule>
  </conditionalFormatting>
  <conditionalFormatting sqref="F4:F100 I4:I100">
    <cfRule type="cellIs" dxfId="36" priority="1" stopIfTrue="1" operator="lessThanOrEqual">
      <formula>-0.1</formula>
    </cfRule>
    <cfRule type="expression" dxfId="3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42"/>
  <sheetViews>
    <sheetView workbookViewId="0">
      <pane xSplit="2" ySplit="3" topLeftCell="C4" activePane="bottomRight" state="frozen"/>
      <selection pane="bottomRight" activeCell="J30" sqref="J30"/>
      <selection pane="bottomLeft"/>
      <selection pane="topRight"/>
    </sheetView>
  </sheetViews>
  <sheetFormatPr defaultRowHeight="13.7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9" t="str" cm="1">
        <f t="array" ref="A1">portfolio</f>
        <v>Silicon Ranch</v>
      </c>
      <c r="B1" s="59"/>
      <c r="C1" s="59"/>
      <c r="D1" s="60" t="s">
        <v>49</v>
      </c>
      <c r="E1" s="60"/>
      <c r="F1" s="60"/>
      <c r="G1" s="58" t="s">
        <v>50</v>
      </c>
      <c r="H1" s="58"/>
      <c r="I1" s="58"/>
      <c r="J1" s="4"/>
      <c r="K1" s="4"/>
    </row>
    <row r="2" spans="1:11" ht="19.5" customHeight="1">
      <c r="A2" s="61" t="s">
        <v>2</v>
      </c>
      <c r="B2" s="61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5">Sites[Site]</f>
        <v>Iron Mountain - Windsor</v>
      </c>
      <c r="B4" s="29" t="str" cm="1">
        <f t="array" ref="B4:B2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Kohls - Auburn</v>
      </c>
      <c r="B5" s="31" t="str">
        <v>NY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>Kohls - Bensalem</v>
      </c>
      <c r="B6" s="29" t="str">
        <v>PA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Kohls - Brick</v>
      </c>
      <c r="B7" s="31" t="str">
        <v>NJ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Kohls - Buffalo</v>
      </c>
      <c r="B8" s="29" t="str">
        <v>NY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Kohls - Canton</v>
      </c>
      <c r="B9" s="31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Kohls - East Amherst</v>
      </c>
      <c r="B10" s="29" t="str">
        <v>NY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Kohls - Edgewood</v>
      </c>
      <c r="B12" s="29" t="str">
        <v>MD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Kohls - Greece</v>
      </c>
      <c r="B14" s="29" t="str">
        <v>NY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Kohls - Hanover</v>
      </c>
      <c r="B15" s="31" t="str">
        <v>PA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Kohls - Horsehead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Kohls - Hudson</v>
      </c>
      <c r="B17" s="31" t="str">
        <v>NY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5.75">
      <c r="A18" s="32" t="str">
        <v>Kohls - Ithaca</v>
      </c>
      <c r="B18" s="29" t="str">
        <v>NY</v>
      </c>
      <c r="C18" s="24"/>
      <c r="D18" s="13"/>
      <c r="E18" s="13"/>
      <c r="F18" s="14"/>
      <c r="G18" s="15"/>
      <c r="H18" s="15"/>
      <c r="I18" s="16"/>
      <c r="J18" s="41"/>
      <c r="K18" s="41"/>
    </row>
    <row r="19" spans="1:11" ht="15.75">
      <c r="A19" s="30" t="str">
        <v>Kohls - Kingston</v>
      </c>
      <c r="B19" s="31" t="str">
        <v>NY</v>
      </c>
      <c r="C19" s="11"/>
      <c r="D19" s="18"/>
      <c r="E19" s="18"/>
      <c r="F19" s="19"/>
      <c r="G19" s="20"/>
      <c r="H19" s="20"/>
      <c r="I19" s="19"/>
      <c r="J19" s="42"/>
      <c r="K19" s="42"/>
    </row>
    <row r="20" spans="1:11" ht="15.75">
      <c r="A20" s="28" t="str">
        <v>Kohls - Mechanicsburg</v>
      </c>
      <c r="B20" s="29" t="str">
        <v>PA</v>
      </c>
      <c r="C20" s="24"/>
      <c r="D20" s="13"/>
      <c r="E20" s="13"/>
      <c r="F20" s="14"/>
      <c r="G20" s="15"/>
      <c r="H20" s="15"/>
      <c r="I20" s="16"/>
      <c r="J20" s="41"/>
      <c r="K20" s="41"/>
    </row>
    <row r="21" spans="1:11" ht="15.75">
      <c r="A21" s="30" t="str">
        <v>Kohls - Middletown</v>
      </c>
      <c r="B21" s="31" t="str">
        <v>NJ</v>
      </c>
      <c r="C21" s="11"/>
      <c r="D21" s="18"/>
      <c r="E21" s="18"/>
      <c r="F21" s="19"/>
      <c r="G21" s="20"/>
      <c r="H21" s="20"/>
      <c r="I21" s="19"/>
      <c r="J21" s="42"/>
      <c r="K21" s="43"/>
    </row>
    <row r="22" spans="1:11" ht="15.75">
      <c r="A22" s="28" t="str">
        <v>Kohls - North Amherst</v>
      </c>
      <c r="B22" s="29" t="str">
        <v>NY</v>
      </c>
      <c r="C22" s="24"/>
      <c r="D22" s="13"/>
      <c r="E22" s="13"/>
      <c r="F22" s="14"/>
      <c r="G22" s="15"/>
      <c r="H22" s="15"/>
      <c r="I22" s="16"/>
      <c r="J22" s="41"/>
      <c r="K22" s="41"/>
    </row>
    <row r="23" spans="1:11" ht="15.75">
      <c r="A23" s="30" t="str">
        <v>Kohls - Staten Island</v>
      </c>
      <c r="B23" s="31" t="str">
        <v>NY</v>
      </c>
      <c r="C23" s="11"/>
      <c r="D23" s="18"/>
      <c r="E23" s="18"/>
      <c r="F23" s="19"/>
      <c r="G23" s="20"/>
      <c r="H23" s="20"/>
      <c r="I23" s="19"/>
      <c r="J23" s="42"/>
      <c r="K23" s="43"/>
    </row>
    <row r="24" spans="1:11" ht="15.75">
      <c r="A24" s="28" t="str">
        <v>Kohls - Warminster</v>
      </c>
      <c r="B24" s="29" t="str">
        <v>PA</v>
      </c>
      <c r="C24" s="24"/>
      <c r="D24" s="13"/>
      <c r="E24" s="13"/>
      <c r="F24" s="14"/>
      <c r="G24" s="15"/>
      <c r="H24" s="15"/>
      <c r="I24" s="16"/>
      <c r="J24" s="41"/>
      <c r="K24" s="41"/>
    </row>
    <row r="25" spans="1:11" ht="15.75">
      <c r="A25" s="30" t="str">
        <v xml:space="preserve">Kohls - Waterbury </v>
      </c>
      <c r="B25" s="31" t="str">
        <v>CT</v>
      </c>
      <c r="C25" s="11"/>
      <c r="D25" s="18"/>
      <c r="E25" s="18"/>
      <c r="F25" s="19"/>
      <c r="G25" s="20"/>
      <c r="H25" s="20"/>
      <c r="I25" s="19"/>
      <c r="J25" s="42"/>
      <c r="K25" s="43"/>
    </row>
    <row r="26" spans="1:11" ht="14.4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4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4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4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4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4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4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34" priority="3" stopIfTrue="1" operator="lessThanOrEqual">
      <formula>-0.1</formula>
    </cfRule>
    <cfRule type="expression" dxfId="33" priority="4">
      <formula>AND(ISNUMBER(F2), F2&gt;=0.1)</formula>
    </cfRule>
  </conditionalFormatting>
  <conditionalFormatting sqref="F4:F100 I4:I100">
    <cfRule type="cellIs" dxfId="32" priority="1" stopIfTrue="1" operator="lessThanOrEqual">
      <formula>-0.1</formula>
    </cfRule>
    <cfRule type="expression" dxfId="3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42"/>
  <sheetViews>
    <sheetView workbookViewId="0">
      <pane xSplit="2" ySplit="3" topLeftCell="C4" activePane="bottomRight" state="frozen"/>
      <selection pane="bottomRight" activeCell="J30" sqref="J30"/>
      <selection pane="bottomLeft"/>
      <selection pane="topRight"/>
    </sheetView>
  </sheetViews>
  <sheetFormatPr defaultRowHeight="13.7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9" t="str" cm="1">
        <f t="array" ref="A1">portfolio</f>
        <v>Silicon Ranch</v>
      </c>
      <c r="B1" s="59"/>
      <c r="C1" s="59"/>
      <c r="D1" s="60" t="s">
        <v>51</v>
      </c>
      <c r="E1" s="60"/>
      <c r="F1" s="60"/>
      <c r="G1" s="58" t="s">
        <v>52</v>
      </c>
      <c r="H1" s="58"/>
      <c r="I1" s="58"/>
      <c r="J1" s="4"/>
      <c r="K1" s="4"/>
    </row>
    <row r="2" spans="1:11" ht="19.5" customHeight="1">
      <c r="A2" s="61" t="s">
        <v>2</v>
      </c>
      <c r="B2" s="61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5">Sites[Site]</f>
        <v>Iron Mountain - Windsor</v>
      </c>
      <c r="B4" s="29" t="str" cm="1">
        <f t="array" ref="B4:B2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Kohls - Auburn</v>
      </c>
      <c r="B5" s="31" t="str">
        <v>NY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>Kohls - Bensalem</v>
      </c>
      <c r="B6" s="29" t="str">
        <v>PA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Kohls - Brick</v>
      </c>
      <c r="B7" s="31" t="str">
        <v>NJ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Kohls - Buffalo</v>
      </c>
      <c r="B8" s="29" t="str">
        <v>NY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Kohls - Canton</v>
      </c>
      <c r="B9" s="31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Kohls - East Amherst</v>
      </c>
      <c r="B10" s="29" t="str">
        <v>NY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Kohls - Edgewood</v>
      </c>
      <c r="B12" s="29" t="str">
        <v>MD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Kohls - Greece</v>
      </c>
      <c r="B14" s="29" t="str">
        <v>NY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Kohls - Hanover</v>
      </c>
      <c r="B15" s="31" t="str">
        <v>PA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Kohls - Horsehead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Kohls - Hudson</v>
      </c>
      <c r="B17" s="31" t="str">
        <v>NY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32" t="str">
        <v>Kohls - Ithaca</v>
      </c>
      <c r="B18" s="29" t="str">
        <v>NY</v>
      </c>
      <c r="C18" s="24"/>
      <c r="D18" s="13"/>
      <c r="E18" s="13"/>
      <c r="F18" s="14"/>
      <c r="G18" s="15"/>
      <c r="H18" s="15"/>
      <c r="I18" s="16"/>
      <c r="J18" s="41"/>
      <c r="K18" s="41"/>
    </row>
    <row r="19" spans="1:11" ht="15.75">
      <c r="A19" s="30" t="str">
        <v>Kohls - Kingston</v>
      </c>
      <c r="B19" s="31" t="str">
        <v>NY</v>
      </c>
      <c r="C19" s="11"/>
      <c r="D19" s="18"/>
      <c r="E19" s="18"/>
      <c r="F19" s="19"/>
      <c r="G19" s="20"/>
      <c r="H19" s="20"/>
      <c r="I19" s="19"/>
      <c r="J19" s="42"/>
      <c r="K19" s="42"/>
    </row>
    <row r="20" spans="1:11" ht="15.75">
      <c r="A20" s="28" t="str">
        <v>Kohls - Mechanicsburg</v>
      </c>
      <c r="B20" s="29" t="str">
        <v>PA</v>
      </c>
      <c r="C20" s="24"/>
      <c r="D20" s="13"/>
      <c r="E20" s="13"/>
      <c r="F20" s="14"/>
      <c r="G20" s="15"/>
      <c r="H20" s="15"/>
      <c r="I20" s="16"/>
      <c r="J20" s="41"/>
      <c r="K20" s="41"/>
    </row>
    <row r="21" spans="1:11" ht="15.75">
      <c r="A21" s="30" t="str">
        <v>Kohls - Middletown</v>
      </c>
      <c r="B21" s="31" t="str">
        <v>NJ</v>
      </c>
      <c r="C21" s="11"/>
      <c r="D21" s="18"/>
      <c r="E21" s="18"/>
      <c r="F21" s="19"/>
      <c r="G21" s="20"/>
      <c r="H21" s="20"/>
      <c r="I21" s="19"/>
      <c r="J21" s="42"/>
      <c r="K21" s="43"/>
    </row>
    <row r="22" spans="1:11" ht="15.75">
      <c r="A22" s="28" t="str">
        <v>Kohls - North Amherst</v>
      </c>
      <c r="B22" s="29" t="str">
        <v>NY</v>
      </c>
      <c r="C22" s="24"/>
      <c r="D22" s="13"/>
      <c r="E22" s="13"/>
      <c r="F22" s="14"/>
      <c r="G22" s="15"/>
      <c r="H22" s="15"/>
      <c r="I22" s="16"/>
      <c r="J22" s="41"/>
      <c r="K22" s="41"/>
    </row>
    <row r="23" spans="1:11" ht="15.75">
      <c r="A23" s="30" t="str">
        <v>Kohls - Staten Island</v>
      </c>
      <c r="B23" s="31" t="str">
        <v>NY</v>
      </c>
      <c r="C23" s="11"/>
      <c r="D23" s="18"/>
      <c r="E23" s="18"/>
      <c r="F23" s="19"/>
      <c r="G23" s="20"/>
      <c r="H23" s="20"/>
      <c r="I23" s="19"/>
      <c r="J23" s="42"/>
      <c r="K23" s="43"/>
    </row>
    <row r="24" spans="1:11" ht="15.75">
      <c r="A24" s="28" t="str">
        <v>Kohls - Warminster</v>
      </c>
      <c r="B24" s="29" t="str">
        <v>PA</v>
      </c>
      <c r="C24" s="24"/>
      <c r="D24" s="13"/>
      <c r="E24" s="13"/>
      <c r="F24" s="14"/>
      <c r="G24" s="15"/>
      <c r="H24" s="15"/>
      <c r="I24" s="16"/>
      <c r="J24" s="41"/>
      <c r="K24" s="41"/>
    </row>
    <row r="25" spans="1:11" ht="15.75">
      <c r="A25" s="30" t="str">
        <v xml:space="preserve">Kohls - Waterbury </v>
      </c>
      <c r="B25" s="31" t="str">
        <v>CT</v>
      </c>
      <c r="C25" s="11"/>
      <c r="D25" s="18"/>
      <c r="E25" s="18"/>
      <c r="F25" s="19"/>
      <c r="G25" s="20"/>
      <c r="H25" s="20"/>
      <c r="I25" s="19"/>
      <c r="J25" s="42"/>
      <c r="K25" s="43"/>
    </row>
    <row r="26" spans="1:11" ht="14.4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4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4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4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4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4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4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30" priority="3" stopIfTrue="1" operator="lessThanOrEqual">
      <formula>-0.1</formula>
    </cfRule>
    <cfRule type="expression" dxfId="29" priority="4">
      <formula>AND(ISNUMBER(F2), F2&gt;=0.1)</formula>
    </cfRule>
  </conditionalFormatting>
  <conditionalFormatting sqref="F4:F100 I4:I100">
    <cfRule type="cellIs" dxfId="28" priority="1" stopIfTrue="1" operator="lessThanOrEqual">
      <formula>-0.1</formula>
    </cfRule>
    <cfRule type="expression" dxfId="2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2"/>
  <sheetViews>
    <sheetView workbookViewId="0">
      <pane xSplit="2" ySplit="3" topLeftCell="C4" activePane="bottomRight" state="frozen"/>
      <selection pane="bottomRight" activeCell="A18" sqref="A18:K25"/>
      <selection pane="bottomLeft"/>
      <selection pane="topRight"/>
    </sheetView>
  </sheetViews>
  <sheetFormatPr defaultRowHeight="13.7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9" t="str" cm="1">
        <f t="array" ref="A1">portfolio</f>
        <v>Silicon Ranch</v>
      </c>
      <c r="B1" s="59"/>
      <c r="C1" s="59"/>
      <c r="D1" s="60" t="s">
        <v>53</v>
      </c>
      <c r="E1" s="60"/>
      <c r="F1" s="60"/>
      <c r="G1" s="58" t="s">
        <v>54</v>
      </c>
      <c r="H1" s="58"/>
      <c r="I1" s="58"/>
      <c r="J1" s="4"/>
      <c r="K1" s="4"/>
    </row>
    <row r="2" spans="1:11" ht="19.5" customHeight="1">
      <c r="A2" s="61" t="s">
        <v>2</v>
      </c>
      <c r="B2" s="61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5">Sites[Site]</f>
        <v>Iron Mountain - Windsor</v>
      </c>
      <c r="B4" s="29" t="str" cm="1">
        <f t="array" ref="B4:B2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Kohls - Auburn</v>
      </c>
      <c r="B5" s="31" t="str">
        <v>NY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>Kohls - Bensalem</v>
      </c>
      <c r="B6" s="29" t="str">
        <v>PA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Kohls - Brick</v>
      </c>
      <c r="B7" s="31" t="str">
        <v>NJ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Kohls - Buffalo</v>
      </c>
      <c r="B8" s="29" t="str">
        <v>NY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Kohls - Canton</v>
      </c>
      <c r="B9" s="31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Kohls - East Amherst</v>
      </c>
      <c r="B10" s="29" t="str">
        <v>NY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Kohls - Edgewood</v>
      </c>
      <c r="B12" s="29" t="str">
        <v>MD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Kohls - Greece</v>
      </c>
      <c r="B14" s="29" t="str">
        <v>NY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Kohls - Hanover</v>
      </c>
      <c r="B15" s="31" t="str">
        <v>PA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Kohls - Horsehead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Kohls - Hudson</v>
      </c>
      <c r="B17" s="31" t="str">
        <v>NY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32" t="str">
        <v>Kohls - Ithaca</v>
      </c>
      <c r="B18" s="29" t="str">
        <v>NY</v>
      </c>
      <c r="C18" s="24"/>
      <c r="D18" s="13"/>
      <c r="E18" s="13"/>
      <c r="F18" s="14"/>
      <c r="G18" s="15"/>
      <c r="H18" s="15"/>
      <c r="I18" s="16"/>
      <c r="J18" s="41"/>
      <c r="K18" s="41"/>
    </row>
    <row r="19" spans="1:11" ht="15.75">
      <c r="A19" s="30" t="str">
        <v>Kohls - Kingston</v>
      </c>
      <c r="B19" s="31" t="str">
        <v>NY</v>
      </c>
      <c r="C19" s="11"/>
      <c r="D19" s="18"/>
      <c r="E19" s="18"/>
      <c r="F19" s="19"/>
      <c r="G19" s="20"/>
      <c r="H19" s="20"/>
      <c r="I19" s="19"/>
      <c r="J19" s="42"/>
      <c r="K19" s="42"/>
    </row>
    <row r="20" spans="1:11" ht="15.75">
      <c r="A20" s="28" t="str">
        <v>Kohls - Mechanicsburg</v>
      </c>
      <c r="B20" s="29" t="str">
        <v>PA</v>
      </c>
      <c r="C20" s="24"/>
      <c r="D20" s="13"/>
      <c r="E20" s="13"/>
      <c r="F20" s="14"/>
      <c r="G20" s="15"/>
      <c r="H20" s="15"/>
      <c r="I20" s="16"/>
      <c r="J20" s="41"/>
      <c r="K20" s="41"/>
    </row>
    <row r="21" spans="1:11" ht="15.75">
      <c r="A21" s="30" t="str">
        <v>Kohls - Middletown</v>
      </c>
      <c r="B21" s="31" t="str">
        <v>NJ</v>
      </c>
      <c r="C21" s="11"/>
      <c r="D21" s="18"/>
      <c r="E21" s="18"/>
      <c r="F21" s="19"/>
      <c r="G21" s="20"/>
      <c r="H21" s="20"/>
      <c r="I21" s="19"/>
      <c r="J21" s="42"/>
      <c r="K21" s="43"/>
    </row>
    <row r="22" spans="1:11" ht="15.75">
      <c r="A22" s="28" t="str">
        <v>Kohls - North Amherst</v>
      </c>
      <c r="B22" s="29" t="str">
        <v>NY</v>
      </c>
      <c r="C22" s="24"/>
      <c r="D22" s="13"/>
      <c r="E22" s="13"/>
      <c r="F22" s="14"/>
      <c r="G22" s="15"/>
      <c r="H22" s="15"/>
      <c r="I22" s="16"/>
      <c r="J22" s="41"/>
      <c r="K22" s="41"/>
    </row>
    <row r="23" spans="1:11" ht="15.75">
      <c r="A23" s="30" t="str">
        <v>Kohls - Staten Island</v>
      </c>
      <c r="B23" s="31" t="str">
        <v>NY</v>
      </c>
      <c r="C23" s="11"/>
      <c r="D23" s="18"/>
      <c r="E23" s="18"/>
      <c r="F23" s="19"/>
      <c r="G23" s="20"/>
      <c r="H23" s="20"/>
      <c r="I23" s="19"/>
      <c r="J23" s="42"/>
      <c r="K23" s="43"/>
    </row>
    <row r="24" spans="1:11" ht="15.75">
      <c r="A24" s="28" t="str">
        <v>Kohls - Warminster</v>
      </c>
      <c r="B24" s="29" t="str">
        <v>PA</v>
      </c>
      <c r="C24" s="24"/>
      <c r="D24" s="13"/>
      <c r="E24" s="13"/>
      <c r="F24" s="14"/>
      <c r="G24" s="15"/>
      <c r="H24" s="15"/>
      <c r="I24" s="16"/>
      <c r="J24" s="41"/>
      <c r="K24" s="41"/>
    </row>
    <row r="25" spans="1:11" ht="15.75">
      <c r="A25" s="30" t="str">
        <v xml:space="preserve">Kohls - Waterbury </v>
      </c>
      <c r="B25" s="31" t="str">
        <v>CT</v>
      </c>
      <c r="C25" s="11"/>
      <c r="D25" s="18"/>
      <c r="E25" s="18"/>
      <c r="F25" s="19"/>
      <c r="G25" s="20"/>
      <c r="H25" s="20"/>
      <c r="I25" s="19"/>
      <c r="J25" s="42"/>
      <c r="K25" s="43"/>
    </row>
    <row r="26" spans="1:11" ht="14.4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4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4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4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4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4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4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1">
      <c r="C342" s="21"/>
      <c r="D342" s="21"/>
      <c r="E342" s="21"/>
      <c r="F342" s="22"/>
      <c r="G342" s="21"/>
      <c r="H342" s="21"/>
      <c r="I342" s="22"/>
      <c r="J342" s="21"/>
      <c r="K342" s="21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">
    <cfRule type="cellIs" dxfId="26" priority="3" stopIfTrue="1" operator="lessThanOrEqual">
      <formula>-0.1</formula>
    </cfRule>
    <cfRule type="expression" dxfId="25" priority="4">
      <formula>AND(ISNUMBER(F2), F2&gt;=0.1)</formula>
    </cfRule>
  </conditionalFormatting>
  <conditionalFormatting sqref="F4:F100 I4:I100">
    <cfRule type="cellIs" dxfId="24" priority="1" stopIfTrue="1" operator="lessThanOrEqual">
      <formula>-0.1</formula>
    </cfRule>
    <cfRule type="expression" dxfId="2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2"/>
  <sheetViews>
    <sheetView workbookViewId="0">
      <pane xSplit="2" ySplit="3" topLeftCell="C4" activePane="bottomRight" state="frozen"/>
      <selection pane="bottomRight" activeCell="A18" sqref="A18:K25"/>
      <selection pane="bottomLeft"/>
      <selection pane="topRight"/>
    </sheetView>
  </sheetViews>
  <sheetFormatPr defaultRowHeight="13.7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9" t="str" cm="1">
        <f t="array" ref="A1">portfolio</f>
        <v>Silicon Ranch</v>
      </c>
      <c r="B1" s="59"/>
      <c r="C1" s="59"/>
      <c r="D1" s="60" t="s">
        <v>55</v>
      </c>
      <c r="E1" s="60"/>
      <c r="F1" s="60"/>
      <c r="G1" s="58" t="s">
        <v>56</v>
      </c>
      <c r="H1" s="58"/>
      <c r="I1" s="58"/>
      <c r="J1" s="4"/>
      <c r="K1" s="4"/>
    </row>
    <row r="2" spans="1:11" ht="19.5" customHeight="1">
      <c r="A2" s="61" t="s">
        <v>2</v>
      </c>
      <c r="B2" s="61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5">Sites[Site]</f>
        <v>Iron Mountain - Windsor</v>
      </c>
      <c r="B4" s="29" t="str" cm="1">
        <f t="array" ref="B4:B2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Kohls - Auburn</v>
      </c>
      <c r="B5" s="31" t="str">
        <v>NY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>Kohls - Bensalem</v>
      </c>
      <c r="B6" s="29" t="str">
        <v>PA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Kohls - Brick</v>
      </c>
      <c r="B7" s="31" t="str">
        <v>NJ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Kohls - Buffalo</v>
      </c>
      <c r="B8" s="29" t="str">
        <v>NY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Kohls - Canton</v>
      </c>
      <c r="B9" s="31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Kohls - East Amherst</v>
      </c>
      <c r="B10" s="29" t="str">
        <v>NY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Kohls - Edgewood</v>
      </c>
      <c r="B12" s="29" t="str">
        <v>MD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Kohls - Greece</v>
      </c>
      <c r="B14" s="29" t="str">
        <v>NY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Kohls - Hanover</v>
      </c>
      <c r="B15" s="31" t="str">
        <v>PA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Kohls - Horsehead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Kohls - Hudson</v>
      </c>
      <c r="B17" s="31" t="str">
        <v>NY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32" t="str">
        <v>Kohls - Ithaca</v>
      </c>
      <c r="B18" s="29" t="str">
        <v>NY</v>
      </c>
      <c r="C18" s="24"/>
      <c r="D18" s="13"/>
      <c r="E18" s="13"/>
      <c r="F18" s="14"/>
      <c r="G18" s="15"/>
      <c r="H18" s="15"/>
      <c r="I18" s="16"/>
      <c r="J18" s="41"/>
      <c r="K18" s="41"/>
    </row>
    <row r="19" spans="1:11" ht="15.75">
      <c r="A19" s="30" t="str">
        <v>Kohls - Kingston</v>
      </c>
      <c r="B19" s="31" t="str">
        <v>NY</v>
      </c>
      <c r="C19" s="11"/>
      <c r="D19" s="18"/>
      <c r="E19" s="18"/>
      <c r="F19" s="19"/>
      <c r="G19" s="20"/>
      <c r="H19" s="20"/>
      <c r="I19" s="19"/>
      <c r="J19" s="42"/>
      <c r="K19" s="42"/>
    </row>
    <row r="20" spans="1:11" ht="15.75">
      <c r="A20" s="28" t="str">
        <v>Kohls - Mechanicsburg</v>
      </c>
      <c r="B20" s="29" t="str">
        <v>PA</v>
      </c>
      <c r="C20" s="24"/>
      <c r="D20" s="13"/>
      <c r="E20" s="13"/>
      <c r="F20" s="14"/>
      <c r="G20" s="15"/>
      <c r="H20" s="15"/>
      <c r="I20" s="16"/>
      <c r="J20" s="41"/>
      <c r="K20" s="41"/>
    </row>
    <row r="21" spans="1:11" ht="15.75">
      <c r="A21" s="30" t="str">
        <v>Kohls - Middletown</v>
      </c>
      <c r="B21" s="31" t="str">
        <v>NJ</v>
      </c>
      <c r="C21" s="11"/>
      <c r="D21" s="18"/>
      <c r="E21" s="18"/>
      <c r="F21" s="19"/>
      <c r="G21" s="20"/>
      <c r="H21" s="20"/>
      <c r="I21" s="19"/>
      <c r="J21" s="42"/>
      <c r="K21" s="43"/>
    </row>
    <row r="22" spans="1:11" ht="15.75">
      <c r="A22" s="28" t="str">
        <v>Kohls - North Amherst</v>
      </c>
      <c r="B22" s="29" t="str">
        <v>NY</v>
      </c>
      <c r="C22" s="24"/>
      <c r="D22" s="13"/>
      <c r="E22" s="13"/>
      <c r="F22" s="14"/>
      <c r="G22" s="15"/>
      <c r="H22" s="15"/>
      <c r="I22" s="16"/>
      <c r="J22" s="41"/>
      <c r="K22" s="41"/>
    </row>
    <row r="23" spans="1:11" ht="15.75">
      <c r="A23" s="30" t="str">
        <v>Kohls - Staten Island</v>
      </c>
      <c r="B23" s="31" t="str">
        <v>NY</v>
      </c>
      <c r="C23" s="11"/>
      <c r="D23" s="18"/>
      <c r="E23" s="18"/>
      <c r="F23" s="19"/>
      <c r="G23" s="20"/>
      <c r="H23" s="20"/>
      <c r="I23" s="19"/>
      <c r="J23" s="42"/>
      <c r="K23" s="43"/>
    </row>
    <row r="24" spans="1:11" ht="15.75">
      <c r="A24" s="28" t="str">
        <v>Kohls - Warminster</v>
      </c>
      <c r="B24" s="29" t="str">
        <v>PA</v>
      </c>
      <c r="C24" s="24"/>
      <c r="D24" s="13"/>
      <c r="E24" s="13"/>
      <c r="F24" s="14"/>
      <c r="G24" s="15"/>
      <c r="H24" s="15"/>
      <c r="I24" s="16"/>
      <c r="J24" s="41"/>
      <c r="K24" s="41"/>
    </row>
    <row r="25" spans="1:11" ht="15.75">
      <c r="A25" s="30" t="str">
        <v xml:space="preserve">Kohls - Waterbury </v>
      </c>
      <c r="B25" s="31" t="str">
        <v>CT</v>
      </c>
      <c r="C25" s="11"/>
      <c r="D25" s="18"/>
      <c r="E25" s="18"/>
      <c r="F25" s="19"/>
      <c r="G25" s="20"/>
      <c r="H25" s="20"/>
      <c r="I25" s="19"/>
      <c r="J25" s="42"/>
      <c r="K25" s="43"/>
    </row>
    <row r="26" spans="1:11" ht="14.4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4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4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4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4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4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4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conditionalFormatting sqref="F4:F100 I4:I100">
    <cfRule type="cellIs" dxfId="20" priority="1" stopIfTrue="1" operator="lessThanOrEqual">
      <formula>-0.1</formula>
    </cfRule>
    <cfRule type="expression" dxfId="1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2"/>
  <sheetViews>
    <sheetView workbookViewId="0">
      <pane xSplit="2" ySplit="3" topLeftCell="C4" activePane="bottomRight" state="frozen"/>
      <selection pane="bottomRight" activeCell="H31" sqref="H31:H32"/>
      <selection pane="bottomLeft"/>
      <selection pane="topRight"/>
    </sheetView>
  </sheetViews>
  <sheetFormatPr defaultRowHeight="13.7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9" t="str" cm="1">
        <f t="array" ref="A1">portfolio</f>
        <v>Silicon Ranch</v>
      </c>
      <c r="B1" s="59"/>
      <c r="C1" s="59"/>
      <c r="D1" s="60" t="s">
        <v>57</v>
      </c>
      <c r="E1" s="60"/>
      <c r="F1" s="60"/>
      <c r="G1" s="58" t="s">
        <v>58</v>
      </c>
      <c r="H1" s="58"/>
      <c r="I1" s="58"/>
      <c r="J1" s="4"/>
      <c r="K1" s="4"/>
    </row>
    <row r="2" spans="1:11" ht="19.5" customHeight="1">
      <c r="A2" s="61" t="s">
        <v>2</v>
      </c>
      <c r="B2" s="61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5">Sites[Site]</f>
        <v>Iron Mountain - Windsor</v>
      </c>
      <c r="B4" s="29" t="str" cm="1">
        <f t="array" ref="B4:B2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Kohls - Auburn</v>
      </c>
      <c r="B5" s="31" t="str">
        <v>NY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>Kohls - Bensalem</v>
      </c>
      <c r="B6" s="29" t="str">
        <v>PA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Kohls - Brick</v>
      </c>
      <c r="B7" s="31" t="str">
        <v>NJ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Kohls - Buffalo</v>
      </c>
      <c r="B8" s="29" t="str">
        <v>NY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Kohls - Canton</v>
      </c>
      <c r="B9" s="31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Kohls - East Amherst</v>
      </c>
      <c r="B10" s="29" t="str">
        <v>NY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Kohls - Edgewood</v>
      </c>
      <c r="B12" s="29" t="str">
        <v>MD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Kohls - Greece</v>
      </c>
      <c r="B14" s="29" t="str">
        <v>NY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Kohls - Hanover</v>
      </c>
      <c r="B15" s="31" t="str">
        <v>PA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Kohls - Horsehead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Kohls - Hudson</v>
      </c>
      <c r="B17" s="31" t="str">
        <v>NY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32" t="str">
        <v>Kohls - Ithaca</v>
      </c>
      <c r="B18" s="29" t="str">
        <v>NY</v>
      </c>
      <c r="C18" s="24"/>
      <c r="D18" s="13"/>
      <c r="E18" s="13"/>
      <c r="F18" s="14"/>
      <c r="G18" s="15"/>
      <c r="H18" s="15"/>
      <c r="I18" s="16"/>
      <c r="J18" s="41"/>
      <c r="K18" s="41"/>
    </row>
    <row r="19" spans="1:11" ht="15.75">
      <c r="A19" s="30" t="str">
        <v>Kohls - Kingston</v>
      </c>
      <c r="B19" s="31" t="str">
        <v>NY</v>
      </c>
      <c r="C19" s="11"/>
      <c r="D19" s="18"/>
      <c r="E19" s="18"/>
      <c r="F19" s="19"/>
      <c r="G19" s="20"/>
      <c r="H19" s="20"/>
      <c r="I19" s="19"/>
      <c r="J19" s="42"/>
      <c r="K19" s="42"/>
    </row>
    <row r="20" spans="1:11" ht="15.75">
      <c r="A20" s="28" t="str">
        <v>Kohls - Mechanicsburg</v>
      </c>
      <c r="B20" s="29" t="str">
        <v>PA</v>
      </c>
      <c r="C20" s="24"/>
      <c r="D20" s="13"/>
      <c r="E20" s="13"/>
      <c r="F20" s="14"/>
      <c r="G20" s="15"/>
      <c r="H20" s="15"/>
      <c r="I20" s="16"/>
      <c r="J20" s="41"/>
      <c r="K20" s="41"/>
    </row>
    <row r="21" spans="1:11" ht="15.75">
      <c r="A21" s="30" t="str">
        <v>Kohls - Middletown</v>
      </c>
      <c r="B21" s="31" t="str">
        <v>NJ</v>
      </c>
      <c r="C21" s="11"/>
      <c r="D21" s="18"/>
      <c r="E21" s="18"/>
      <c r="F21" s="19"/>
      <c r="G21" s="20"/>
      <c r="H21" s="20"/>
      <c r="I21" s="19"/>
      <c r="J21" s="42"/>
      <c r="K21" s="43"/>
    </row>
    <row r="22" spans="1:11" ht="15.75">
      <c r="A22" s="28" t="str">
        <v>Kohls - North Amherst</v>
      </c>
      <c r="B22" s="29" t="str">
        <v>NY</v>
      </c>
      <c r="C22" s="24"/>
      <c r="D22" s="13"/>
      <c r="E22" s="13"/>
      <c r="F22" s="14"/>
      <c r="G22" s="15"/>
      <c r="H22" s="15"/>
      <c r="I22" s="16"/>
      <c r="J22" s="41"/>
      <c r="K22" s="41"/>
    </row>
    <row r="23" spans="1:11" ht="15.75">
      <c r="A23" s="30" t="str">
        <v>Kohls - Staten Island</v>
      </c>
      <c r="B23" s="31" t="str">
        <v>NY</v>
      </c>
      <c r="C23" s="11"/>
      <c r="D23" s="18"/>
      <c r="E23" s="18"/>
      <c r="F23" s="19"/>
      <c r="G23" s="20"/>
      <c r="H23" s="20"/>
      <c r="I23" s="19"/>
      <c r="J23" s="42"/>
      <c r="K23" s="43"/>
    </row>
    <row r="24" spans="1:11" ht="15.75">
      <c r="A24" s="28" t="str">
        <v>Kohls - Warminster</v>
      </c>
      <c r="B24" s="29" t="str">
        <v>PA</v>
      </c>
      <c r="C24" s="24"/>
      <c r="D24" s="13"/>
      <c r="E24" s="13"/>
      <c r="F24" s="14"/>
      <c r="G24" s="15"/>
      <c r="H24" s="15"/>
      <c r="I24" s="16"/>
      <c r="J24" s="41"/>
      <c r="K24" s="41"/>
    </row>
    <row r="25" spans="1:11" ht="15.75">
      <c r="A25" s="30" t="str">
        <v xml:space="preserve">Kohls - Waterbury </v>
      </c>
      <c r="B25" s="31" t="str">
        <v>CT</v>
      </c>
      <c r="C25" s="11"/>
      <c r="D25" s="18"/>
      <c r="E25" s="18"/>
      <c r="F25" s="19"/>
      <c r="G25" s="20"/>
      <c r="H25" s="20"/>
      <c r="I25" s="19"/>
      <c r="J25" s="42"/>
      <c r="K25" s="43"/>
    </row>
    <row r="26" spans="1:11" ht="14.4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4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4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4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4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4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4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conditionalFormatting sqref="F4:F100 I4:I100">
    <cfRule type="cellIs" dxfId="16" priority="1" stopIfTrue="1" operator="lessThanOrEqual">
      <formula>-0.1</formula>
    </cfRule>
    <cfRule type="expression" dxfId="1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2"/>
  <sheetViews>
    <sheetView workbookViewId="0">
      <pane xSplit="2" ySplit="3" topLeftCell="C4" activePane="bottomRight" state="frozen"/>
      <selection pane="bottomRight" activeCell="A18" sqref="A18:K25"/>
      <selection pane="bottomLeft"/>
      <selection pane="topRight"/>
    </sheetView>
  </sheetViews>
  <sheetFormatPr defaultRowHeight="13.7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9" t="str" cm="1">
        <f t="array" ref="A1">portfolio</f>
        <v>Silicon Ranch</v>
      </c>
      <c r="B1" s="59"/>
      <c r="C1" s="59"/>
      <c r="D1" s="60" t="s">
        <v>59</v>
      </c>
      <c r="E1" s="60"/>
      <c r="F1" s="60"/>
      <c r="G1" s="58" t="s">
        <v>60</v>
      </c>
      <c r="H1" s="58"/>
      <c r="I1" s="58"/>
      <c r="J1" s="4"/>
      <c r="K1" s="4"/>
    </row>
    <row r="2" spans="1:11" ht="19.5" customHeight="1">
      <c r="A2" s="61" t="s">
        <v>2</v>
      </c>
      <c r="B2" s="61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5">Sites[Site]</f>
        <v>Iron Mountain - Windsor</v>
      </c>
      <c r="B4" s="29" t="str" cm="1">
        <f t="array" ref="B4:B2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Kohls - Auburn</v>
      </c>
      <c r="B5" s="31" t="str">
        <v>NY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>Kohls - Bensalem</v>
      </c>
      <c r="B6" s="29" t="str">
        <v>PA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Kohls - Brick</v>
      </c>
      <c r="B7" s="31" t="str">
        <v>NJ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Kohls - Buffalo</v>
      </c>
      <c r="B8" s="29" t="str">
        <v>NY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Kohls - Canton</v>
      </c>
      <c r="B9" s="31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Kohls - East Amherst</v>
      </c>
      <c r="B10" s="29" t="str">
        <v>NY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Kohls - Edgewood</v>
      </c>
      <c r="B12" s="29" t="str">
        <v>MD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Kohls - Greece</v>
      </c>
      <c r="B14" s="29" t="str">
        <v>NY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Kohls - Hanover</v>
      </c>
      <c r="B15" s="31" t="str">
        <v>PA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Kohls - Horsehead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Kohls - Hudson</v>
      </c>
      <c r="B17" s="31" t="str">
        <v>NY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32" t="str">
        <v>Kohls - Ithaca</v>
      </c>
      <c r="B18" s="29" t="str">
        <v>NY</v>
      </c>
      <c r="C18" s="24"/>
      <c r="D18" s="13"/>
      <c r="E18" s="13"/>
      <c r="F18" s="14"/>
      <c r="G18" s="15"/>
      <c r="H18" s="15"/>
      <c r="I18" s="16"/>
      <c r="J18" s="41"/>
      <c r="K18" s="41"/>
    </row>
    <row r="19" spans="1:11" ht="15.75">
      <c r="A19" s="30" t="str">
        <v>Kohls - Kingston</v>
      </c>
      <c r="B19" s="31" t="str">
        <v>NY</v>
      </c>
      <c r="C19" s="11"/>
      <c r="D19" s="18"/>
      <c r="E19" s="18"/>
      <c r="F19" s="19"/>
      <c r="G19" s="20"/>
      <c r="H19" s="20"/>
      <c r="I19" s="19"/>
      <c r="J19" s="42"/>
      <c r="K19" s="42"/>
    </row>
    <row r="20" spans="1:11" ht="15.75">
      <c r="A20" s="28" t="str">
        <v>Kohls - Mechanicsburg</v>
      </c>
      <c r="B20" s="29" t="str">
        <v>PA</v>
      </c>
      <c r="C20" s="24"/>
      <c r="D20" s="13"/>
      <c r="E20" s="13"/>
      <c r="F20" s="14"/>
      <c r="G20" s="15"/>
      <c r="H20" s="15"/>
      <c r="I20" s="16"/>
      <c r="J20" s="41"/>
      <c r="K20" s="41"/>
    </row>
    <row r="21" spans="1:11" ht="15.75">
      <c r="A21" s="30" t="str">
        <v>Kohls - Middletown</v>
      </c>
      <c r="B21" s="31" t="str">
        <v>NJ</v>
      </c>
      <c r="C21" s="11"/>
      <c r="D21" s="18"/>
      <c r="E21" s="18"/>
      <c r="F21" s="19"/>
      <c r="G21" s="20"/>
      <c r="H21" s="20"/>
      <c r="I21" s="19"/>
      <c r="J21" s="42"/>
      <c r="K21" s="43"/>
    </row>
    <row r="22" spans="1:11" ht="15.75">
      <c r="A22" s="28" t="str">
        <v>Kohls - North Amherst</v>
      </c>
      <c r="B22" s="29" t="str">
        <v>NY</v>
      </c>
      <c r="C22" s="24"/>
      <c r="D22" s="13"/>
      <c r="E22" s="13"/>
      <c r="F22" s="14"/>
      <c r="G22" s="15"/>
      <c r="H22" s="15"/>
      <c r="I22" s="16"/>
      <c r="J22" s="41"/>
      <c r="K22" s="41"/>
    </row>
    <row r="23" spans="1:11" ht="15.75">
      <c r="A23" s="30" t="str">
        <v>Kohls - Staten Island</v>
      </c>
      <c r="B23" s="31" t="str">
        <v>NY</v>
      </c>
      <c r="C23" s="11"/>
      <c r="D23" s="18"/>
      <c r="E23" s="18"/>
      <c r="F23" s="19"/>
      <c r="G23" s="20"/>
      <c r="H23" s="20"/>
      <c r="I23" s="19"/>
      <c r="J23" s="42"/>
      <c r="K23" s="43"/>
    </row>
    <row r="24" spans="1:11" ht="15.75">
      <c r="A24" s="28" t="str">
        <v>Kohls - Warminster</v>
      </c>
      <c r="B24" s="29" t="str">
        <v>PA</v>
      </c>
      <c r="C24" s="24"/>
      <c r="D24" s="13"/>
      <c r="E24" s="13"/>
      <c r="F24" s="14"/>
      <c r="G24" s="15"/>
      <c r="H24" s="15"/>
      <c r="I24" s="16"/>
      <c r="J24" s="41"/>
      <c r="K24" s="41"/>
    </row>
    <row r="25" spans="1:11" ht="15.75">
      <c r="A25" s="30" t="str">
        <v xml:space="preserve">Kohls - Waterbury </v>
      </c>
      <c r="B25" s="31" t="str">
        <v>CT</v>
      </c>
      <c r="C25" s="11"/>
      <c r="D25" s="18"/>
      <c r="E25" s="18"/>
      <c r="F25" s="19"/>
      <c r="G25" s="20"/>
      <c r="H25" s="20"/>
      <c r="I25" s="19"/>
      <c r="J25" s="42"/>
      <c r="K25" s="43"/>
    </row>
    <row r="26" spans="1:11" ht="14.4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4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4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4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4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4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4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conditionalFormatting sqref="F4:F100 I4:I100">
    <cfRule type="cellIs" dxfId="12" priority="1" stopIfTrue="1" operator="lessThanOrEqual">
      <formula>-0.1</formula>
    </cfRule>
    <cfRule type="expression" dxfId="1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2"/>
  <sheetViews>
    <sheetView workbookViewId="0">
      <pane xSplit="2" ySplit="3" topLeftCell="C4" activePane="bottomRight" state="frozen"/>
      <selection pane="bottomRight" activeCell="A18" sqref="A18:K25"/>
      <selection pane="bottomLeft"/>
      <selection pane="topRight"/>
    </sheetView>
  </sheetViews>
  <sheetFormatPr defaultRowHeight="13.7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9" t="str" cm="1">
        <f t="array" ref="A1">portfolio</f>
        <v>Silicon Ranch</v>
      </c>
      <c r="B1" s="59"/>
      <c r="C1" s="59"/>
      <c r="D1" s="60" t="s">
        <v>61</v>
      </c>
      <c r="E1" s="60"/>
      <c r="F1" s="60"/>
      <c r="G1" s="58" t="s">
        <v>62</v>
      </c>
      <c r="H1" s="58"/>
      <c r="I1" s="58"/>
      <c r="J1" s="4"/>
      <c r="K1" s="4"/>
    </row>
    <row r="2" spans="1:11" ht="19.5" customHeight="1">
      <c r="A2" s="61" t="s">
        <v>2</v>
      </c>
      <c r="B2" s="61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5">Sites[Site]</f>
        <v>Iron Mountain - Windsor</v>
      </c>
      <c r="B4" s="29" t="str" cm="1">
        <f t="array" ref="B4:B2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Kohls - Auburn</v>
      </c>
      <c r="B5" s="31" t="str">
        <v>NY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>Kohls - Bensalem</v>
      </c>
      <c r="B6" s="29" t="str">
        <v>PA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Kohls - Brick</v>
      </c>
      <c r="B7" s="31" t="str">
        <v>NJ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Kohls - Buffalo</v>
      </c>
      <c r="B8" s="29" t="str">
        <v>NY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Kohls - Canton</v>
      </c>
      <c r="B9" s="31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Kohls - East Amherst</v>
      </c>
      <c r="B10" s="29" t="str">
        <v>NY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Kohls - Edgewood</v>
      </c>
      <c r="B12" s="29" t="str">
        <v>MD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Kohls - Greece</v>
      </c>
      <c r="B14" s="29" t="str">
        <v>NY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Kohls - Hanover</v>
      </c>
      <c r="B15" s="31" t="str">
        <v>PA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Kohls - Horsehead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Kohls - Hudson</v>
      </c>
      <c r="B17" s="31" t="str">
        <v>NY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32" t="str">
        <v>Kohls - Ithaca</v>
      </c>
      <c r="B18" s="29" t="str">
        <v>NY</v>
      </c>
      <c r="C18" s="24"/>
      <c r="D18" s="13"/>
      <c r="E18" s="13"/>
      <c r="F18" s="14"/>
      <c r="G18" s="15"/>
      <c r="H18" s="15"/>
      <c r="I18" s="16"/>
      <c r="J18" s="41"/>
      <c r="K18" s="41"/>
    </row>
    <row r="19" spans="1:11" ht="15.75">
      <c r="A19" s="30" t="str">
        <v>Kohls - Kingston</v>
      </c>
      <c r="B19" s="31" t="str">
        <v>NY</v>
      </c>
      <c r="C19" s="11"/>
      <c r="D19" s="18"/>
      <c r="E19" s="18"/>
      <c r="F19" s="19"/>
      <c r="G19" s="20"/>
      <c r="H19" s="20"/>
      <c r="I19" s="19"/>
      <c r="J19" s="42"/>
      <c r="K19" s="42"/>
    </row>
    <row r="20" spans="1:11" ht="15.75">
      <c r="A20" s="28" t="str">
        <v>Kohls - Mechanicsburg</v>
      </c>
      <c r="B20" s="29" t="str">
        <v>PA</v>
      </c>
      <c r="C20" s="24"/>
      <c r="D20" s="13"/>
      <c r="E20" s="13"/>
      <c r="F20" s="14"/>
      <c r="G20" s="15"/>
      <c r="H20" s="15"/>
      <c r="I20" s="16"/>
      <c r="J20" s="41"/>
      <c r="K20" s="41"/>
    </row>
    <row r="21" spans="1:11" ht="15.75">
      <c r="A21" s="30" t="str">
        <v>Kohls - Middletown</v>
      </c>
      <c r="B21" s="31" t="str">
        <v>NJ</v>
      </c>
      <c r="C21" s="11"/>
      <c r="D21" s="18"/>
      <c r="E21" s="18"/>
      <c r="F21" s="19"/>
      <c r="G21" s="20"/>
      <c r="H21" s="20"/>
      <c r="I21" s="19"/>
      <c r="J21" s="42"/>
      <c r="K21" s="43"/>
    </row>
    <row r="22" spans="1:11" ht="15.75">
      <c r="A22" s="28" t="str">
        <v>Kohls - North Amherst</v>
      </c>
      <c r="B22" s="29" t="str">
        <v>NY</v>
      </c>
      <c r="C22" s="24"/>
      <c r="D22" s="13"/>
      <c r="E22" s="13"/>
      <c r="F22" s="14"/>
      <c r="G22" s="15"/>
      <c r="H22" s="15"/>
      <c r="I22" s="16"/>
      <c r="J22" s="41"/>
      <c r="K22" s="41"/>
    </row>
    <row r="23" spans="1:11" ht="15.75">
      <c r="A23" s="30" t="str">
        <v>Kohls - Staten Island</v>
      </c>
      <c r="B23" s="31" t="str">
        <v>NY</v>
      </c>
      <c r="C23" s="11"/>
      <c r="D23" s="18"/>
      <c r="E23" s="18"/>
      <c r="F23" s="19"/>
      <c r="G23" s="20"/>
      <c r="H23" s="20"/>
      <c r="I23" s="19"/>
      <c r="J23" s="42"/>
      <c r="K23" s="43"/>
    </row>
    <row r="24" spans="1:11" ht="15.75">
      <c r="A24" s="28" t="str">
        <v>Kohls - Warminster</v>
      </c>
      <c r="B24" s="29" t="str">
        <v>PA</v>
      </c>
      <c r="C24" s="24"/>
      <c r="D24" s="13"/>
      <c r="E24" s="13"/>
      <c r="F24" s="14"/>
      <c r="G24" s="15"/>
      <c r="H24" s="15"/>
      <c r="I24" s="16"/>
      <c r="J24" s="41"/>
      <c r="K24" s="41"/>
    </row>
    <row r="25" spans="1:11" ht="15.75">
      <c r="A25" s="30" t="str">
        <v xml:space="preserve">Kohls - Waterbury </v>
      </c>
      <c r="B25" s="31" t="str">
        <v>CT</v>
      </c>
      <c r="C25" s="11"/>
      <c r="D25" s="18"/>
      <c r="E25" s="18"/>
      <c r="F25" s="19"/>
      <c r="G25" s="20"/>
      <c r="H25" s="20"/>
      <c r="I25" s="19"/>
      <c r="J25" s="42"/>
      <c r="K25" s="43"/>
    </row>
    <row r="26" spans="1:11" ht="14.4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4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4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4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4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4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4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conditionalFormatting sqref="F4:F100 I4:I100">
    <cfRule type="cellIs" dxfId="8" priority="1" stopIfTrue="1" operator="lessThanOrEqual">
      <formula>-0.1</formula>
    </cfRule>
    <cfRule type="expression" dxfId="7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2"/>
  <sheetViews>
    <sheetView workbookViewId="0">
      <pane xSplit="2" ySplit="3" topLeftCell="C4" activePane="bottomRight" state="frozen"/>
      <selection pane="bottomRight" activeCell="H31" sqref="H31"/>
      <selection pane="bottomLeft"/>
      <selection pane="topRight"/>
    </sheetView>
  </sheetViews>
  <sheetFormatPr defaultRowHeight="13.7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9" t="str" cm="1">
        <f t="array" ref="A1">portfolio</f>
        <v>Silicon Ranch</v>
      </c>
      <c r="B1" s="59"/>
      <c r="C1" s="59"/>
      <c r="D1" s="60" t="s">
        <v>63</v>
      </c>
      <c r="E1" s="60"/>
      <c r="F1" s="60"/>
      <c r="G1" s="58" t="s">
        <v>64</v>
      </c>
      <c r="H1" s="58"/>
      <c r="I1" s="58"/>
      <c r="J1" s="4"/>
      <c r="K1" s="4"/>
    </row>
    <row r="2" spans="1:11" ht="19.5" customHeight="1">
      <c r="A2" s="61" t="s">
        <v>2</v>
      </c>
      <c r="B2" s="61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5">Sites[Site]</f>
        <v>Iron Mountain - Windsor</v>
      </c>
      <c r="B4" s="29" t="str" cm="1">
        <f t="array" ref="B4:B2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Kohls - Auburn</v>
      </c>
      <c r="B5" s="31" t="str">
        <v>NY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>Kohls - Bensalem</v>
      </c>
      <c r="B6" s="29" t="str">
        <v>PA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Kohls - Brick</v>
      </c>
      <c r="B7" s="31" t="str">
        <v>NJ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Kohls - Buffalo</v>
      </c>
      <c r="B8" s="29" t="str">
        <v>NY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Kohls - Canton</v>
      </c>
      <c r="B9" s="31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Kohls - East Amherst</v>
      </c>
      <c r="B10" s="29" t="str">
        <v>NY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Kohls - Edgewood</v>
      </c>
      <c r="B12" s="29" t="str">
        <v>MD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Kohls - Greece</v>
      </c>
      <c r="B14" s="29" t="str">
        <v>NY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Kohls - Hanover</v>
      </c>
      <c r="B15" s="31" t="str">
        <v>PA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Kohls - Horsehead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Kohls - Hudson</v>
      </c>
      <c r="B17" s="31" t="str">
        <v>NY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32" t="str">
        <v>Kohls - Ithaca</v>
      </c>
      <c r="B18" s="29" t="str">
        <v>NY</v>
      </c>
      <c r="C18" s="24"/>
      <c r="D18" s="13"/>
      <c r="E18" s="13"/>
      <c r="F18" s="14"/>
      <c r="G18" s="15"/>
      <c r="H18" s="15"/>
      <c r="I18" s="16"/>
      <c r="J18" s="41"/>
      <c r="K18" s="41"/>
    </row>
    <row r="19" spans="1:11" ht="15.75">
      <c r="A19" s="30" t="str">
        <v>Kohls - Kingston</v>
      </c>
      <c r="B19" s="31" t="str">
        <v>NY</v>
      </c>
      <c r="C19" s="11"/>
      <c r="D19" s="18"/>
      <c r="E19" s="18"/>
      <c r="F19" s="19"/>
      <c r="G19" s="20"/>
      <c r="H19" s="20"/>
      <c r="I19" s="19"/>
      <c r="J19" s="42"/>
      <c r="K19" s="42"/>
    </row>
    <row r="20" spans="1:11" ht="15.75">
      <c r="A20" s="28" t="str">
        <v>Kohls - Mechanicsburg</v>
      </c>
      <c r="B20" s="29" t="str">
        <v>PA</v>
      </c>
      <c r="C20" s="24"/>
      <c r="D20" s="13"/>
      <c r="E20" s="13"/>
      <c r="F20" s="14"/>
      <c r="G20" s="15"/>
      <c r="H20" s="15"/>
      <c r="I20" s="16"/>
      <c r="J20" s="41"/>
      <c r="K20" s="41"/>
    </row>
    <row r="21" spans="1:11" ht="15.75">
      <c r="A21" s="30" t="str">
        <v>Kohls - Middletown</v>
      </c>
      <c r="B21" s="31" t="str">
        <v>NJ</v>
      </c>
      <c r="C21" s="11"/>
      <c r="D21" s="18"/>
      <c r="E21" s="18"/>
      <c r="F21" s="19"/>
      <c r="G21" s="20"/>
      <c r="H21" s="20"/>
      <c r="I21" s="19"/>
      <c r="J21" s="42"/>
      <c r="K21" s="43"/>
    </row>
    <row r="22" spans="1:11" ht="15.75">
      <c r="A22" s="28" t="str">
        <v>Kohls - North Amherst</v>
      </c>
      <c r="B22" s="29" t="str">
        <v>NY</v>
      </c>
      <c r="C22" s="24"/>
      <c r="D22" s="13"/>
      <c r="E22" s="13"/>
      <c r="F22" s="14"/>
      <c r="G22" s="15"/>
      <c r="H22" s="15"/>
      <c r="I22" s="16"/>
      <c r="J22" s="41"/>
      <c r="K22" s="41"/>
    </row>
    <row r="23" spans="1:11" ht="15.75">
      <c r="A23" s="30" t="str">
        <v>Kohls - Staten Island</v>
      </c>
      <c r="B23" s="31" t="str">
        <v>NY</v>
      </c>
      <c r="C23" s="11"/>
      <c r="D23" s="18"/>
      <c r="E23" s="18"/>
      <c r="F23" s="19"/>
      <c r="G23" s="20"/>
      <c r="H23" s="20"/>
      <c r="I23" s="19"/>
      <c r="J23" s="42"/>
      <c r="K23" s="43"/>
    </row>
    <row r="24" spans="1:11" ht="15.75">
      <c r="A24" s="28" t="str">
        <v>Kohls - Warminster</v>
      </c>
      <c r="B24" s="29" t="str">
        <v>PA</v>
      </c>
      <c r="C24" s="24"/>
      <c r="D24" s="13"/>
      <c r="E24" s="13"/>
      <c r="F24" s="14"/>
      <c r="G24" s="15"/>
      <c r="H24" s="15"/>
      <c r="I24" s="16"/>
      <c r="J24" s="41"/>
      <c r="K24" s="41"/>
    </row>
    <row r="25" spans="1:11" ht="15.75">
      <c r="A25" s="30" t="str">
        <v xml:space="preserve">Kohls - Waterbury </v>
      </c>
      <c r="B25" s="31" t="str">
        <v>CT</v>
      </c>
      <c r="C25" s="11"/>
      <c r="D25" s="18"/>
      <c r="E25" s="18"/>
      <c r="F25" s="19"/>
      <c r="G25" s="20"/>
      <c r="H25" s="20"/>
      <c r="I25" s="19"/>
      <c r="J25" s="42"/>
      <c r="K25" s="43"/>
    </row>
    <row r="26" spans="1:11" ht="14.4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4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4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4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4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4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4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conditionalFormatting sqref="F4:F100 I4:I100">
    <cfRule type="cellIs" dxfId="4" priority="1" stopIfTrue="1" operator="lessThanOrEqual">
      <formula>-0.1</formula>
    </cfRule>
    <cfRule type="expression" dxfId="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H30" sqref="H30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65</v>
      </c>
      <c r="B1" t="s">
        <v>66</v>
      </c>
    </row>
    <row r="3" spans="1:12">
      <c r="A3" t="s">
        <v>67</v>
      </c>
      <c r="B3" t="s">
        <v>3</v>
      </c>
      <c r="C3" t="s">
        <v>4</v>
      </c>
      <c r="D3" t="s">
        <v>68</v>
      </c>
      <c r="E3" s="2" t="s">
        <v>69</v>
      </c>
    </row>
    <row r="4" spans="1:12" ht="14.45">
      <c r="A4" s="52" t="s">
        <v>70</v>
      </c>
      <c r="B4" t="s">
        <v>71</v>
      </c>
      <c r="C4" s="49" t="s">
        <v>72</v>
      </c>
      <c r="D4" s="48"/>
      <c r="E4" t="s">
        <v>73</v>
      </c>
      <c r="G4" s="3"/>
    </row>
    <row r="5" spans="1:12" ht="14.45">
      <c r="A5" s="52" t="s">
        <v>74</v>
      </c>
      <c r="B5" t="s">
        <v>75</v>
      </c>
      <c r="C5" s="49" t="s">
        <v>76</v>
      </c>
      <c r="D5" s="48"/>
      <c r="E5" t="s">
        <v>73</v>
      </c>
      <c r="G5" s="3"/>
    </row>
    <row r="6" spans="1:12" ht="14.45">
      <c r="A6" s="52" t="s">
        <v>77</v>
      </c>
      <c r="B6" t="s">
        <v>78</v>
      </c>
      <c r="C6" s="49" t="s">
        <v>79</v>
      </c>
      <c r="D6" s="48"/>
      <c r="E6" t="s">
        <v>73</v>
      </c>
      <c r="G6" s="3"/>
    </row>
    <row r="7" spans="1:12" ht="12.75" customHeight="1">
      <c r="A7" s="52" t="s">
        <v>80</v>
      </c>
      <c r="B7" t="s">
        <v>81</v>
      </c>
      <c r="C7" s="49" t="s">
        <v>82</v>
      </c>
      <c r="D7" s="48"/>
      <c r="E7" t="s">
        <v>73</v>
      </c>
    </row>
    <row r="8" spans="1:12" ht="12.75" customHeight="1">
      <c r="A8" s="52" t="s">
        <v>83</v>
      </c>
      <c r="B8" t="s">
        <v>84</v>
      </c>
      <c r="C8" s="49" t="s">
        <v>76</v>
      </c>
      <c r="D8" s="48"/>
      <c r="E8" t="s">
        <v>73</v>
      </c>
    </row>
    <row r="9" spans="1:12" ht="12.75" customHeight="1">
      <c r="A9" s="52" t="s">
        <v>85</v>
      </c>
      <c r="B9" t="s">
        <v>86</v>
      </c>
      <c r="C9" s="49" t="s">
        <v>72</v>
      </c>
      <c r="D9" s="48"/>
      <c r="E9" t="s">
        <v>73</v>
      </c>
    </row>
    <row r="10" spans="1:12" ht="12.75" customHeight="1">
      <c r="A10" s="52" t="s">
        <v>87</v>
      </c>
      <c r="B10" t="s">
        <v>88</v>
      </c>
      <c r="C10" s="49" t="s">
        <v>76</v>
      </c>
      <c r="D10" s="48"/>
      <c r="E10" t="s">
        <v>73</v>
      </c>
      <c r="K10" s="44"/>
      <c r="L10" s="44"/>
    </row>
    <row r="11" spans="1:12" ht="12.75" customHeight="1">
      <c r="A11" s="52" t="s">
        <v>89</v>
      </c>
      <c r="B11" t="s">
        <v>90</v>
      </c>
      <c r="C11" s="49" t="s">
        <v>82</v>
      </c>
      <c r="D11" s="48"/>
      <c r="E11" t="s">
        <v>73</v>
      </c>
      <c r="K11" s="44"/>
      <c r="L11" s="44"/>
    </row>
    <row r="12" spans="1:12" ht="12.75" customHeight="1">
      <c r="A12" s="52" t="s">
        <v>91</v>
      </c>
      <c r="B12" t="s">
        <v>92</v>
      </c>
      <c r="C12" s="49" t="s">
        <v>93</v>
      </c>
      <c r="D12" s="48"/>
      <c r="E12" t="s">
        <v>73</v>
      </c>
      <c r="K12" s="44"/>
      <c r="L12" s="44"/>
    </row>
    <row r="13" spans="1:12" ht="12.75" customHeight="1">
      <c r="A13" s="52" t="s">
        <v>94</v>
      </c>
      <c r="B13" t="s">
        <v>95</v>
      </c>
      <c r="C13" s="49" t="s">
        <v>79</v>
      </c>
      <c r="D13" s="48"/>
      <c r="E13" t="s">
        <v>73</v>
      </c>
      <c r="K13" s="44"/>
      <c r="L13" s="44"/>
    </row>
    <row r="14" spans="1:12" ht="12.75" customHeight="1">
      <c r="A14" s="52" t="s">
        <v>96</v>
      </c>
      <c r="B14" t="s">
        <v>97</v>
      </c>
      <c r="C14" s="49" t="s">
        <v>76</v>
      </c>
      <c r="D14" s="48"/>
      <c r="E14" t="s">
        <v>73</v>
      </c>
      <c r="K14" s="44"/>
      <c r="L14" s="44"/>
    </row>
    <row r="15" spans="1:12" ht="12.75" customHeight="1">
      <c r="A15" s="52" t="s">
        <v>98</v>
      </c>
      <c r="B15" t="s">
        <v>99</v>
      </c>
      <c r="C15" s="49" t="s">
        <v>79</v>
      </c>
      <c r="D15" s="48"/>
      <c r="E15" t="s">
        <v>73</v>
      </c>
      <c r="K15" s="44"/>
      <c r="L15" s="44"/>
    </row>
    <row r="16" spans="1:12" ht="12.75" customHeight="1">
      <c r="A16" s="52" t="s">
        <v>100</v>
      </c>
      <c r="B16" t="s">
        <v>101</v>
      </c>
      <c r="C16" s="49" t="s">
        <v>76</v>
      </c>
      <c r="D16" s="48"/>
      <c r="E16" t="s">
        <v>73</v>
      </c>
      <c r="K16" s="44"/>
      <c r="L16" s="44"/>
    </row>
    <row r="17" spans="1:12" ht="12.75" customHeight="1">
      <c r="A17" s="52" t="s">
        <v>102</v>
      </c>
      <c r="B17" t="s">
        <v>103</v>
      </c>
      <c r="C17" s="49" t="s">
        <v>76</v>
      </c>
      <c r="D17" s="48"/>
      <c r="E17" t="s">
        <v>73</v>
      </c>
      <c r="K17" s="44"/>
      <c r="L17" s="44"/>
    </row>
    <row r="18" spans="1:12" ht="12.75" customHeight="1">
      <c r="A18" s="52" t="s">
        <v>104</v>
      </c>
      <c r="B18" t="s">
        <v>105</v>
      </c>
      <c r="C18" s="49" t="s">
        <v>76</v>
      </c>
      <c r="D18" s="48"/>
      <c r="E18" t="s">
        <v>73</v>
      </c>
      <c r="K18" s="44"/>
      <c r="L18" s="44"/>
    </row>
    <row r="19" spans="1:12" ht="12.75" customHeight="1">
      <c r="A19" s="52" t="s">
        <v>106</v>
      </c>
      <c r="B19" t="s">
        <v>107</v>
      </c>
      <c r="C19" s="49" t="s">
        <v>76</v>
      </c>
      <c r="D19" s="48"/>
      <c r="E19" t="s">
        <v>73</v>
      </c>
      <c r="K19" s="44"/>
      <c r="L19" s="44"/>
    </row>
    <row r="20" spans="1:12" ht="12.75" customHeight="1">
      <c r="A20" s="52" t="s">
        <v>108</v>
      </c>
      <c r="B20" t="s">
        <v>109</v>
      </c>
      <c r="C20" s="49" t="s">
        <v>79</v>
      </c>
      <c r="D20" s="48"/>
      <c r="E20" t="s">
        <v>73</v>
      </c>
      <c r="K20" s="44"/>
      <c r="L20" s="44"/>
    </row>
    <row r="21" spans="1:12" ht="12.75" customHeight="1">
      <c r="A21" s="52" t="s">
        <v>110</v>
      </c>
      <c r="B21" t="s">
        <v>111</v>
      </c>
      <c r="C21" s="49" t="s">
        <v>82</v>
      </c>
      <c r="D21" s="48"/>
      <c r="E21" t="s">
        <v>73</v>
      </c>
      <c r="K21" s="44"/>
      <c r="L21" s="44"/>
    </row>
    <row r="22" spans="1:12" ht="12.75" customHeight="1">
      <c r="A22" s="52" t="s">
        <v>112</v>
      </c>
      <c r="B22" t="s">
        <v>113</v>
      </c>
      <c r="C22" s="49" t="s">
        <v>76</v>
      </c>
      <c r="D22" s="48"/>
      <c r="E22" t="s">
        <v>73</v>
      </c>
      <c r="K22" s="44"/>
      <c r="L22" s="44"/>
    </row>
    <row r="23" spans="1:12" ht="12.75" customHeight="1">
      <c r="A23" s="52" t="s">
        <v>114</v>
      </c>
      <c r="B23" t="s">
        <v>115</v>
      </c>
      <c r="C23" s="49" t="s">
        <v>76</v>
      </c>
      <c r="D23" s="48"/>
      <c r="E23" t="s">
        <v>73</v>
      </c>
      <c r="K23" s="44"/>
      <c r="L23" s="44"/>
    </row>
    <row r="24" spans="1:12" ht="12.75" customHeight="1">
      <c r="A24" s="52" t="s">
        <v>116</v>
      </c>
      <c r="B24" t="s">
        <v>117</v>
      </c>
      <c r="C24" s="49" t="s">
        <v>79</v>
      </c>
      <c r="D24" s="48"/>
      <c r="E24" t="s">
        <v>73</v>
      </c>
      <c r="K24" s="44"/>
      <c r="L24" s="44"/>
    </row>
    <row r="25" spans="1:12" ht="12.75" customHeight="1">
      <c r="A25" s="52" t="s">
        <v>118</v>
      </c>
      <c r="B25" t="s">
        <v>119</v>
      </c>
      <c r="C25" s="49" t="s">
        <v>72</v>
      </c>
      <c r="D25" s="48"/>
      <c r="E25" t="s">
        <v>73</v>
      </c>
      <c r="K25" s="44"/>
      <c r="L25" s="44"/>
    </row>
    <row r="26" spans="1:12" ht="12.75" customHeight="1">
      <c r="K26" s="44"/>
      <c r="L26" s="44"/>
    </row>
    <row r="27" spans="1:12" ht="12.75" customHeight="1">
      <c r="K27" s="44"/>
      <c r="L27" s="44"/>
    </row>
    <row r="28" spans="1:12" ht="12.75" customHeight="1">
      <c r="K28" s="44"/>
      <c r="L28" s="44"/>
    </row>
    <row r="29" spans="1:12" ht="12.75" customHeight="1">
      <c r="K29" s="44"/>
      <c r="L29" s="44"/>
    </row>
    <row r="30" spans="1:12" ht="12.75" customHeight="1">
      <c r="K30" s="44"/>
      <c r="L30" s="44"/>
    </row>
    <row r="31" spans="1:12" ht="12.75" customHeight="1">
      <c r="K31" s="44"/>
      <c r="L31" s="44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7.xml>��
</file>

<file path=customXml/item8.xml>��
</file>

<file path=customXml/item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E3716282-BFD2-4ED2-BA47-BFA1123827F0}"/>
</file>

<file path=customXml/itemProps2.xml><?xml version="1.0" encoding="utf-8"?>
<ds:datastoreItem xmlns:ds="http://schemas.openxmlformats.org/officeDocument/2006/customXml" ds:itemID="{F6B2B1A1-1C4B-4AC9-9A7D-7A102DD1C942}"/>
</file>

<file path=customXml/itemProps3.xml><?xml version="1.0" encoding="utf-8"?>
<ds:datastoreItem xmlns:ds="http://schemas.openxmlformats.org/officeDocument/2006/customXml" ds:itemID="{BF5C6359-7763-4C37-8EAF-2BC4698CB285}"/>
</file>

<file path=customXml/itemProps4.xml><?xml version="1.0" encoding="utf-8"?>
<ds:datastoreItem xmlns:ds="http://schemas.openxmlformats.org/officeDocument/2006/customXml" ds:itemID="{0389C43E-394D-44C0-87DC-4780FCFCFB40}"/>
</file>

<file path=customXml/itemProps5.xml><?xml version="1.0" encoding="utf-8"?>
<ds:datastoreItem xmlns:ds="http://schemas.openxmlformats.org/officeDocument/2006/customXml" ds:itemID="{1954BBA4-0359-438C-B0EC-A756015F7C02}"/>
</file>

<file path=customXml/itemProps6.xml><?xml version="1.0" encoding="utf-8"?>
<ds:datastoreItem xmlns:ds="http://schemas.openxmlformats.org/officeDocument/2006/customXml" ds:itemID="{7946C510-7D04-49D8-9B25-EEC04582A1CA}"/>
</file>

<file path=customXml/itemProps7.xml><?xml version="1.0" encoding="utf-8"?>
<ds:datastoreItem xmlns:ds="http://schemas.openxmlformats.org/officeDocument/2006/customXml" ds:itemID="{CB52044A-5C0B-44A2-99D0-C1C315EC302D}"/>
</file>

<file path=customXml/itemProps8.xml><?xml version="1.0" encoding="utf-8"?>
<ds:datastoreItem xmlns:ds="http://schemas.openxmlformats.org/officeDocument/2006/customXml" ds:itemID="{F12EFA50-0068-4A8C-85A0-F1B26389EBC3}"/>
</file>

<file path=customXml/itemProps9.xml><?xml version="1.0" encoding="utf-8"?>
<ds:datastoreItem xmlns:ds="http://schemas.openxmlformats.org/officeDocument/2006/customXml" ds:itemID="{8D732231-4216-4543-A665-18A2886B0EB7}"/>
</file>

<file path=customXml/itemProps10.xml><?xml version="1.0" encoding="utf-8"?>
<ds:datastoreItem xmlns:ds="http://schemas.openxmlformats.org/officeDocument/2006/customXml" ds:itemID="{98A113BB-8B7A-453C-8BD4-8EFC67FC2D3F}"/>
</file>

<file path=customXml/itemProps11.xml><?xml version="1.0" encoding="utf-8"?>
<ds:datastoreItem xmlns:ds="http://schemas.openxmlformats.org/officeDocument/2006/customXml" ds:itemID="{078388C9-06F9-42F4-B857-EF76B5CAF1FD}"/>
</file>

<file path=customXml/itemProps12.xml><?xml version="1.0" encoding="utf-8"?>
<ds:datastoreItem xmlns:ds="http://schemas.openxmlformats.org/officeDocument/2006/customXml" ds:itemID="{89CF5C07-45EB-4100-9AFB-2C6AF77FA787}"/>
</file>

<file path=customXml/itemProps13.xml><?xml version="1.0" encoding="utf-8"?>
<ds:datastoreItem xmlns:ds="http://schemas.openxmlformats.org/officeDocument/2006/customXml" ds:itemID="{3AEAA9D8-2182-46BA-A58E-96C72DDA1C54}"/>
</file>

<file path=customXml/itemProps14.xml><?xml version="1.0" encoding="utf-8"?>
<ds:datastoreItem xmlns:ds="http://schemas.openxmlformats.org/officeDocument/2006/customXml" ds:itemID="{66B09F59-6532-46F8-924A-9A02417E070D}"/>
</file>

<file path=customXml/itemProps15.xml><?xml version="1.0" encoding="utf-8"?>
<ds:datastoreItem xmlns:ds="http://schemas.openxmlformats.org/officeDocument/2006/customXml" ds:itemID="{C0BCDC1E-6052-4E48-9BAF-94A40814E7C2}"/>
</file>

<file path=customXml/itemProps16.xml><?xml version="1.0" encoding="utf-8"?>
<ds:datastoreItem xmlns:ds="http://schemas.openxmlformats.org/officeDocument/2006/customXml" ds:itemID="{2BC74AAC-D69B-4AF1-9649-B21EF3C1C463}"/>
</file>

<file path=customXml/itemProps17.xml><?xml version="1.0" encoding="utf-8"?>
<ds:datastoreItem xmlns:ds="http://schemas.openxmlformats.org/officeDocument/2006/customXml" ds:itemID="{D3A7101F-9A85-4235-8B03-415370C100B2}"/>
</file>

<file path=customXml/itemProps18.xml><?xml version="1.0" encoding="utf-8"?>
<ds:datastoreItem xmlns:ds="http://schemas.openxmlformats.org/officeDocument/2006/customXml" ds:itemID="{14966E4F-347B-477B-B74C-9DAC05405806}"/>
</file>

<file path=customXml/itemProps19.xml><?xml version="1.0" encoding="utf-8"?>
<ds:datastoreItem xmlns:ds="http://schemas.openxmlformats.org/officeDocument/2006/customXml" ds:itemID="{BE26B669-A686-459C-A5E9-FEC3409C4C81}"/>
</file>

<file path=customXml/itemProps20.xml><?xml version="1.0" encoding="utf-8"?>
<ds:datastoreItem xmlns:ds="http://schemas.openxmlformats.org/officeDocument/2006/customXml" ds:itemID="{E20E8303-6A67-485C-B6F4-303542CC29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Kishbaugh, Karen</cp:lastModifiedBy>
  <cp:revision/>
  <dcterms:created xsi:type="dcterms:W3CDTF">2021-01-01T16:39:53Z</dcterms:created>
  <dcterms:modified xsi:type="dcterms:W3CDTF">2024-04-10T18:32:45Z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