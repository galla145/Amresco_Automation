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"/>
    </mc:Choice>
  </mc:AlternateContent>
  <xr:revisionPtr revIDLastSave="48" documentId="13_ncr:1_{B0109956-EABD-4C2F-83A8-DB1127EB7315}" xr6:coauthVersionLast="47" xr6:coauthVersionMax="47" xr10:uidLastSave="{2E6D066D-5083-43D5-88FB-80A6A521F505}"/>
  <bookViews>
    <workbookView xWindow="-93" yWindow="-93" windowWidth="19386" windowHeight="1146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 a="1"/>
  <c r="A4" i="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5" i="1"/>
  <c r="G5" i="34" s="1"/>
  <c r="G4" i="1"/>
  <c r="G4" i="34" s="1"/>
  <c r="D14" i="34"/>
  <c r="D13" i="34"/>
  <c r="D12" i="34"/>
  <c r="D11" i="34"/>
  <c r="D10" i="34"/>
  <c r="D9" i="34"/>
  <c r="D8" i="34"/>
  <c r="D7" i="34"/>
  <c r="D6" i="34"/>
  <c r="D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4" i="30"/>
  <c r="C14" i="30"/>
  <c r="E14" i="30" s="1"/>
  <c r="F14" i="30" s="1"/>
  <c r="D13" i="30"/>
  <c r="C13" i="30"/>
  <c r="D12" i="30"/>
  <c r="C12" i="30"/>
  <c r="D11" i="30"/>
  <c r="C11" i="30"/>
  <c r="D10" i="30"/>
  <c r="C10" i="30"/>
  <c r="E10" i="30" s="1"/>
  <c r="F10" i="30" s="1"/>
  <c r="D9" i="30"/>
  <c r="C9" i="30"/>
  <c r="D8" i="30"/>
  <c r="C8" i="30"/>
  <c r="D7" i="30"/>
  <c r="C7" i="30"/>
  <c r="D6" i="30"/>
  <c r="C6" i="30"/>
  <c r="E6" i="30" s="1"/>
  <c r="F6" i="30" s="1"/>
  <c r="D5" i="30"/>
  <c r="C5" i="30"/>
  <c r="D4" i="30"/>
  <c r="C4" i="30"/>
  <c r="D14" i="29"/>
  <c r="C14" i="29"/>
  <c r="E14" i="29" s="1"/>
  <c r="F14" i="29" s="1"/>
  <c r="D13" i="29"/>
  <c r="C13" i="29"/>
  <c r="E13" i="29" s="1"/>
  <c r="F13" i="29" s="1"/>
  <c r="D12" i="29"/>
  <c r="C12" i="29"/>
  <c r="D11" i="29"/>
  <c r="C11" i="29"/>
  <c r="D10" i="29"/>
  <c r="C10" i="29"/>
  <c r="E10" i="29" s="1"/>
  <c r="F10" i="29" s="1"/>
  <c r="D9" i="29"/>
  <c r="C9" i="29"/>
  <c r="E9" i="29" s="1"/>
  <c r="F9" i="29" s="1"/>
  <c r="D8" i="29"/>
  <c r="C8" i="29"/>
  <c r="D7" i="29"/>
  <c r="C7" i="29"/>
  <c r="D6" i="29"/>
  <c r="C6" i="29"/>
  <c r="E6" i="29" s="1"/>
  <c r="F6" i="29" s="1"/>
  <c r="D5" i="29"/>
  <c r="C5" i="29"/>
  <c r="E5" i="29" s="1"/>
  <c r="F5" i="29" s="1"/>
  <c r="D4" i="29"/>
  <c r="C4" i="29"/>
  <c r="D14" i="18"/>
  <c r="C14" i="18"/>
  <c r="D13" i="18"/>
  <c r="C13" i="18"/>
  <c r="E13" i="18" s="1"/>
  <c r="F13" i="18" s="1"/>
  <c r="D12" i="18"/>
  <c r="C12" i="18"/>
  <c r="E12" i="18" s="1"/>
  <c r="F12" i="18" s="1"/>
  <c r="D11" i="18"/>
  <c r="C11" i="18"/>
  <c r="D10" i="18"/>
  <c r="C10" i="18"/>
  <c r="D9" i="18"/>
  <c r="C9" i="18"/>
  <c r="E9" i="18" s="1"/>
  <c r="F9" i="18" s="1"/>
  <c r="D8" i="18"/>
  <c r="C8" i="18"/>
  <c r="E8" i="18" s="1"/>
  <c r="F8" i="18" s="1"/>
  <c r="D7" i="18"/>
  <c r="C7" i="18"/>
  <c r="D6" i="18"/>
  <c r="C6" i="18"/>
  <c r="D5" i="18"/>
  <c r="C5" i="18"/>
  <c r="E5" i="18" s="1"/>
  <c r="F5" i="18" s="1"/>
  <c r="D4" i="18"/>
  <c r="C4" i="18"/>
  <c r="E4" i="18" s="1"/>
  <c r="F4" i="18" s="1"/>
  <c r="E11" i="30"/>
  <c r="F11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5" i="1"/>
  <c r="D4" i="1"/>
  <c r="B4" i="1" a="1"/>
  <c r="B4" i="1" s="1"/>
  <c r="A4" i="1" a="1"/>
  <c r="A4" i="1" s="1"/>
  <c r="A1" i="1" a="1"/>
  <c r="A1" i="1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7" i="72"/>
  <c r="F7" i="72" s="1"/>
  <c r="E8" i="72"/>
  <c r="F8" i="72" s="1"/>
  <c r="E9" i="72"/>
  <c r="F9" i="72" s="1"/>
  <c r="E10" i="72"/>
  <c r="F10" i="72" s="1"/>
  <c r="E11" i="72"/>
  <c r="F11" i="72" s="1"/>
  <c r="E12" i="72"/>
  <c r="F12" i="72" s="1"/>
  <c r="E13" i="72"/>
  <c r="F13" i="72" s="1"/>
  <c r="E14" i="72"/>
  <c r="F14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4" l="1"/>
  <c r="I2" i="4" s="1"/>
  <c r="G2" i="34"/>
  <c r="H2" i="20"/>
  <c r="I2" i="20" s="1"/>
  <c r="H2" i="21"/>
  <c r="I2" i="21" s="1"/>
  <c r="H2" i="32"/>
  <c r="I2" i="32" s="1"/>
  <c r="H2" i="28"/>
  <c r="I2" i="28" s="1"/>
  <c r="H2" i="33"/>
  <c r="I2" i="33" s="1"/>
  <c r="H2" i="19"/>
  <c r="I2" i="19" s="1"/>
  <c r="D2" i="18"/>
  <c r="H6" i="30"/>
  <c r="I6" i="30" s="1"/>
  <c r="H10" i="29"/>
  <c r="I10" i="29" s="1"/>
  <c r="H2" i="31"/>
  <c r="I2" i="31" s="1"/>
  <c r="D2" i="30"/>
  <c r="E7" i="18"/>
  <c r="F7" i="18" s="1"/>
  <c r="E11" i="18"/>
  <c r="F11" i="18" s="1"/>
  <c r="E8" i="29"/>
  <c r="F8" i="29" s="1"/>
  <c r="E12" i="29"/>
  <c r="F12" i="29" s="1"/>
  <c r="E5" i="30"/>
  <c r="F5" i="30" s="1"/>
  <c r="E9" i="30"/>
  <c r="F9" i="30" s="1"/>
  <c r="E13" i="30"/>
  <c r="F13" i="30" s="1"/>
  <c r="H9" i="29"/>
  <c r="I9" i="29" s="1"/>
  <c r="D4" i="34"/>
  <c r="D2" i="34" s="1"/>
  <c r="E2" i="20"/>
  <c r="F2" i="20" s="1"/>
  <c r="J2" i="4"/>
  <c r="J2" i="32"/>
  <c r="D2" i="29"/>
  <c r="I10" i="27"/>
  <c r="H2" i="27"/>
  <c r="I2" i="27" s="1"/>
  <c r="J2" i="21"/>
  <c r="H13" i="29"/>
  <c r="I13" i="29" s="1"/>
  <c r="E2" i="28"/>
  <c r="F2" i="28" s="1"/>
  <c r="H6" i="29"/>
  <c r="I6" i="29" s="1"/>
  <c r="H7" i="29"/>
  <c r="I7" i="29" s="1"/>
  <c r="E6" i="18"/>
  <c r="F6" i="18" s="1"/>
  <c r="E10" i="18"/>
  <c r="F10" i="18" s="1"/>
  <c r="E14" i="18"/>
  <c r="F14" i="18" s="1"/>
  <c r="E11" i="29"/>
  <c r="F11" i="29" s="1"/>
  <c r="E4" i="30"/>
  <c r="F4" i="30" s="1"/>
  <c r="E8" i="30"/>
  <c r="F8" i="30" s="1"/>
  <c r="E12" i="30"/>
  <c r="F12" i="30" s="1"/>
  <c r="J2" i="20"/>
  <c r="J2" i="19"/>
  <c r="J2" i="26"/>
  <c r="J2" i="27"/>
  <c r="J2" i="28"/>
  <c r="J2" i="31"/>
  <c r="J2" i="33"/>
  <c r="I6" i="33"/>
  <c r="H2" i="3"/>
  <c r="I2" i="3" s="1"/>
  <c r="E11" i="34"/>
  <c r="F11" i="34" s="1"/>
  <c r="E7" i="1"/>
  <c r="F7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H14" i="29"/>
  <c r="I14" i="29" s="1"/>
  <c r="H4" i="29"/>
  <c r="I4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E7" i="34"/>
  <c r="F7" i="34" s="1"/>
  <c r="E8" i="34"/>
  <c r="F8" i="34" s="1"/>
  <c r="E14" i="34"/>
  <c r="F14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<sst xmlns="http://schemas.openxmlformats.org/spreadsheetml/2006/main" count="294" uniqueCount="77">
  <si>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</si>
  <si>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</si>
  <si>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</si>
  <si>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</si>
  <si>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</si>
  <si>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</si>
  <si>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</si>
  <si>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</si>
  <si>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</si>
  <si>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</si>
  <si>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</si>
  <si>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</si>
  <si>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</si>
  <si>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</si>
  <si>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</si>
  <si>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</si>
  <si>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</si>
  <si>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</si>
  <si>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</si>
  <si>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</si>
  <si>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</si>
  <si>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</si>
  <si>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6 tripped offline on 01/08/2024 &amp; back online on 01/17/2024</t>
  </si>
  <si>
    <t>1. SR080052</t>
  </si>
  <si>
    <t xml:space="preserve">1. Inverter tripped offline on 01/01/2024 at 14:15 &amp; back online 01/03/2024 at 11:15 AM. </t>
  </si>
  <si>
    <t>1. SR079868</t>
  </si>
  <si>
    <t>February Actual v. Expected</t>
  </si>
  <si>
    <t>February Actual v. Forecasted</t>
  </si>
  <si>
    <t>1. Inverter 2 tripped offline on 02/05 and back online on 02/07
2. Inverter 5 tripped offline on 02/09 and back online on 02/13
3. Inverter 3 tripped offline on 02/17 and back online on 02/21</t>
  </si>
  <si>
    <t>1. SR080747
2. SR080903
3. SR081078</t>
  </si>
  <si>
    <t xml:space="preserve">
</t>
  </si>
  <si>
    <t xml:space="preserve">1. Inverter 2 is offline from 02/07 to 03/02.
</t>
  </si>
  <si>
    <t xml:space="preserve">1. SR080834
</t>
  </si>
  <si>
    <t>1. Inverter 2 tripped offline on 02/05 and back online on 02/07</t>
  </si>
  <si>
    <t>1.SR080750</t>
  </si>
  <si>
    <t>March Actual v. Expected</t>
  </si>
  <si>
    <t>March Actual v. Forecasted</t>
  </si>
  <si>
    <t>1. Inverter 2 tripped offline on 03/31 and back online on 04/0</t>
  </si>
  <si>
    <t>1.SR082951</t>
  </si>
  <si>
    <t>1. Inverter 2 tripped offline on 03/05 and back online on 03/07
2. Inverter 1 tripped offline on 03/18 and back online 03/19 and again tripped offline on 03/30 and back online on 04/01</t>
  </si>
  <si>
    <t>1. SR081586
2. 	SR082015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</si>
  <si>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</si>
  <si>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</si>
  <si>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</si>
  <si>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</si>
  <si>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</si>
  <si>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</si>
  <si>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</si>
  <si>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</si>
  <si>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</si>
  <si>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</si>
  <si>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</si>
  <si>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</si>
  <si>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</si>
  <si>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</si>
  <si>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</si>
  <si>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</si>
  <si>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</si>
  <si>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</si>
  <si>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</si>
  <si>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Pardee (ENCAP)</t>
  </si>
  <si>
    <t>Site DAS Name</t>
  </si>
  <si>
    <t>Update</t>
  </si>
  <si>
    <t>DAS</t>
  </si>
  <si>
    <t>AZ: ASU - Pardee - Discovery Hall</t>
  </si>
  <si>
    <t>AZ</t>
  </si>
  <si>
    <t>A</t>
  </si>
  <si>
    <t>AZ: ASU - Pardee - Farrington</t>
  </si>
  <si>
    <t>AZ: ASU - Pardee - Macro Tech.</t>
  </si>
  <si>
    <t>AZ: ASU - Pardee - McCord Hall</t>
  </si>
  <si>
    <t>AZ: NAU - SF Garage</t>
  </si>
  <si>
    <t>AZ: ASU - Pardee - Parking Lot 11</t>
  </si>
  <si>
    <t>AZ: ASU - Pardee - Parking Lot 19</t>
  </si>
  <si>
    <t>AZ: ASU - Pardee - Parking Lot 41</t>
  </si>
  <si>
    <t>AZ: ASU - Pardee - Parking Lot 58</t>
  </si>
  <si>
    <t>AZ: ASU - Pardee - Parking Lot 59S</t>
  </si>
  <si>
    <t>AZ: ASU - Pardee - Sun Devil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</si>
</sst>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rgb="FF000000"/>
      <name val="Calibri"/>
      <charset val="1"/>
    </font>
    <font>
      <sz val="12"/>
      <color rgb="FF000000"/>
      <name val="Calibri"/>
      <charset val="1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43" applyFont="1"/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horizontal="left" vertical="top" wrapText="1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6" fillId="40" borderId="0" xfId="0" applyFont="1" applyFill="1" applyAlignment="1">
      <alignment horizontal="center" vertical="center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left" vertical="top"/>
    </xf>
    <xf numFmtId="49" fontId="26" fillId="0" borderId="0" xfId="0" applyNumberFormat="1" applyFont="1" applyAlignment="1">
      <alignment horizontal="left" vertical="top"/>
    </xf>
    <xf numFmtId="49" fontId="34" fillId="38" borderId="0" xfId="2" applyNumberFormat="1" applyFont="1" applyFill="1" applyBorder="1" applyAlignment="1">
      <alignment horizontal="left" vertical="top" wrapText="1"/>
    </xf>
    <xf numFmtId="0" fontId="35" fillId="0" borderId="0" xfId="0" applyFont="1"/>
    <xf numFmtId="0" fontId="35" fillId="0" borderId="0" xfId="0" applyFont="1" applyAlignment="1">
      <alignment wrapText="1"/>
    </xf>
    <xf numFmtId="49" fontId="26" fillId="0" borderId="0" xfId="0" applyNumberFormat="1" applyFont="1" applyAlignment="1">
      <alignment horizontal="left" vertical="top" wrapText="1"/>
    </xf>
    <xf numFmtId="0" fontId="36" fillId="0" borderId="0" xfId="0" applyFont="1"/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4" totalsRowShown="0">
  <autoFilter ref="A3:E14" xr:uid="{C9C95D9E-67ED-41E0-9F41-9C3DA4ACF4CD}"/>
  <sortState xmlns:xlrd2="http://schemas.microsoft.com/office/spreadsheetml/2017/richdata2" ref="A3:D4">
    <sortCondition ref="C3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8"/>
  <sheetViews>
    <sheetView workbookViewId="0">
      <pane ySplit="2" topLeftCell="A3" activePane="bottomLeft" state="frozen"/>
      <selection pane="bottomLeft" activeCell="F22" sqref="F22"/>
      <selection activeCell="E30" sqref="E3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Pardee (ENCAP)</v>
      </c>
      <c r="B1" s="50"/>
      <c r="C1" s="50"/>
      <c r="D1" s="51" t="s">
        <v>0</v>
      </c>
      <c r="E1" s="51"/>
      <c r="F1" s="51"/>
      <c r="G1" s="49" t="s">
        <v>1</v>
      </c>
      <c r="H1" s="49"/>
      <c r="I1" s="49"/>
    </row>
    <row r="2" spans="1:9" ht="19.5" customHeight="1">
      <c r="A2" s="52" t="s">
        <v>2</v>
      </c>
      <c r="B2" s="52"/>
      <c r="C2" s="5">
        <f>SUM(C4:C86)</f>
        <v>1046494.21</v>
      </c>
      <c r="D2" s="5">
        <f>SUM(D4:D86)</f>
        <v>1025165.4349999998</v>
      </c>
      <c r="E2" s="5">
        <f>C2-D2</f>
        <v>21328.77500000014</v>
      </c>
      <c r="F2" s="6">
        <f>IFERROR(E2/D2, 0)</f>
        <v>2.0805203015843141E-2</v>
      </c>
      <c r="G2" s="5">
        <f>SUM(G4:G86)</f>
        <v>1086830.6070000001</v>
      </c>
      <c r="H2" s="7">
        <f>C2-G2</f>
        <v>-40336.397000000114</v>
      </c>
      <c r="I2" s="6">
        <f>IFERROR(H2/G2, 0)</f>
        <v>-3.7113784558700888E-2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SUM('1st Qtr'!C4, '2nd Qtr'!C4, '3rd Qtr'!C4, '4th Qtr'!C4)</f>
        <v>21031.375</v>
      </c>
      <c r="D4" s="13">
        <f>SUM('1st Qtr'!D4, '2nd Qtr'!D4, '3rd Qtr'!D4, '4th Qtr'!D4)</f>
        <v>17248.64</v>
      </c>
      <c r="E4" s="13">
        <f>IF(AND(ISNUMBER(C4),ISNUMBER(D4)), C4-D4, "")</f>
        <v>3782.7350000000006</v>
      </c>
      <c r="F4" s="14">
        <f>IFERROR(E4/D4, "")</f>
        <v>0.21930627574115993</v>
      </c>
      <c r="G4" s="15">
        <f>SUM('1st Qtr'!G4,'2nd Qtr'!G4,'3rd Qtr'!G4,'4th Qtr'!G4)</f>
        <v>23861.518</v>
      </c>
      <c r="H4" s="15">
        <f>SUM('1st Qtr'!H4, '2nd Qtr'!H4, '3rd Qtr'!H4, '4th Qtr'!H4)</f>
        <v>-2830.143</v>
      </c>
      <c r="I4" s="16">
        <f>IFERROR(H4/G4, "")</f>
        <v>-0.11860699725809565</v>
      </c>
    </row>
    <row r="5" spans="1:9" ht="15.75">
      <c r="A5" s="18" t="str">
        <v>AZ: ASU - Pardee - Farrington</v>
      </c>
      <c r="B5" s="10" t="str">
        <v>AZ</v>
      </c>
      <c r="C5" s="11">
        <f>SUM(Jan!C5, Feb!C5, Mar!C5)</f>
        <v>79124.25</v>
      </c>
      <c r="D5" s="19">
        <f>SUM(Jan!D5, Feb!D5, Mar!D5)</f>
        <v>82629.240000000005</v>
      </c>
      <c r="E5" s="19">
        <f t="shared" ref="E5:E14" si="0">IF(AND(ISNUMBER(C5),ISNUMBER(D5)), C5-D5, "")</f>
        <v>-3504.9900000000052</v>
      </c>
      <c r="F5" s="20">
        <f>IFERROR(E5/D5, "")</f>
        <v>-4.2418277113525492E-2</v>
      </c>
      <c r="G5" s="21">
        <f>SUM('1st Qtr'!G5,'2nd Qtr'!G5,'3rd Qtr'!G5,'4th Qtr'!G5)</f>
        <v>88617.24</v>
      </c>
      <c r="H5" s="21">
        <f>SUM(Jan!H5, Feb!H5, Mar!H5)</f>
        <v>-9492.9900000000016</v>
      </c>
      <c r="I5" s="20">
        <f>IFERROR(H5/G5, "")</f>
        <v>-0.10712351230979436</v>
      </c>
    </row>
    <row r="6" spans="1:9" ht="15.75">
      <c r="A6" s="12" t="str">
        <v>AZ: ASU - Pardee - Macro Tech.</v>
      </c>
      <c r="B6" s="9" t="str">
        <v>AZ</v>
      </c>
      <c r="C6" s="25">
        <f>SUM(Jan!C6, Feb!C6, Mar!C6)</f>
        <v>327405.45999999996</v>
      </c>
      <c r="D6" s="13">
        <f>SUM(Jan!D6, Feb!D6, Mar!D6)</f>
        <v>316275.55</v>
      </c>
      <c r="E6" s="13">
        <f t="shared" si="0"/>
        <v>11129.909999999974</v>
      </c>
      <c r="F6" s="14">
        <f t="shared" ref="F6:F14" si="1">IFERROR(E6/D6, "")</f>
        <v>3.5190548241873183E-2</v>
      </c>
      <c r="G6" s="15">
        <f>SUM('1st Qtr'!G6,'2nd Qtr'!G6,'3rd Qtr'!G6,'4th Qtr'!G6)</f>
        <v>320574.62</v>
      </c>
      <c r="H6" s="15">
        <f>SUM(Jan!H6, Feb!H6, Mar!H6)</f>
        <v>6830.8400000000111</v>
      </c>
      <c r="I6" s="16">
        <f t="shared" ref="I6:I14" si="2">IFERROR(H6/G6, "")</f>
        <v>2.1308112289113876E-2</v>
      </c>
    </row>
    <row r="7" spans="1:9" ht="15.75">
      <c r="A7" s="18" t="str">
        <v>AZ: ASU - Pardee - McCord Hall</v>
      </c>
      <c r="B7" s="10" t="str">
        <v>AZ</v>
      </c>
      <c r="C7" s="11">
        <f>SUM(Jan!C7, Feb!C7, Mar!C7)</f>
        <v>28351.625</v>
      </c>
      <c r="D7" s="19">
        <f>SUM(Jan!D7, Feb!D7, Mar!D7)</f>
        <v>22846.845000000001</v>
      </c>
      <c r="E7" s="19">
        <f t="shared" si="0"/>
        <v>5504.7799999999988</v>
      </c>
      <c r="F7" s="20">
        <f t="shared" si="1"/>
        <v>0.24094267720553969</v>
      </c>
      <c r="G7" s="21">
        <f>SUM('1st Qtr'!G7,'2nd Qtr'!G7,'3rd Qtr'!G7,'4th Qtr'!G7)</f>
        <v>32212.949000000001</v>
      </c>
      <c r="H7" s="21">
        <f>SUM(Jan!H7, Feb!H7, Mar!H7)</f>
        <v>-3861.3240000000005</v>
      </c>
      <c r="I7" s="20">
        <f t="shared" si="2"/>
        <v>-0.1198686900724302</v>
      </c>
    </row>
    <row r="8" spans="1:9" ht="15.75">
      <c r="A8" s="12" t="str">
        <v>AZ: NAU - SF Garage</v>
      </c>
      <c r="B8" s="9" t="str">
        <v>AZ</v>
      </c>
      <c r="C8" s="25">
        <f>SUM(Jan!C8, Feb!C8, Mar!C8)</f>
        <v>129718</v>
      </c>
      <c r="D8" s="13">
        <f>SUM(Jan!D8, Feb!D8, Mar!D8)</f>
        <v>165052.46</v>
      </c>
      <c r="E8" s="13">
        <f t="shared" si="0"/>
        <v>-35334.459999999992</v>
      </c>
      <c r="F8" s="14">
        <f t="shared" si="1"/>
        <v>-0.21408017790222572</v>
      </c>
      <c r="G8" s="15">
        <f>SUM('1st Qtr'!G8,'2nd Qtr'!G8,'3rd Qtr'!G8,'4th Qtr'!G8)</f>
        <v>169927.38</v>
      </c>
      <c r="H8" s="15">
        <f>SUM(Jan!H8, Feb!H8, Mar!H8)</f>
        <v>-40209.379999999997</v>
      </c>
      <c r="I8" s="16">
        <f t="shared" si="2"/>
        <v>-0.23662684612685722</v>
      </c>
    </row>
    <row r="9" spans="1:9" ht="15.75">
      <c r="A9" s="18" t="str">
        <v>AZ: ASU - Pardee - Parking Lot 11</v>
      </c>
      <c r="B9" s="10" t="str">
        <v>AZ</v>
      </c>
      <c r="C9" s="11">
        <f>SUM(Jan!C9, Feb!C9, Mar!C9)</f>
        <v>53898.3125</v>
      </c>
      <c r="D9" s="19">
        <f>SUM(Jan!D9, Feb!D9, Mar!D9)</f>
        <v>55837.33</v>
      </c>
      <c r="E9" s="19">
        <f t="shared" si="0"/>
        <v>-1939.0175000000017</v>
      </c>
      <c r="F9" s="20">
        <f t="shared" si="1"/>
        <v>-3.4726185868844406E-2</v>
      </c>
      <c r="G9" s="21">
        <f>SUM('1st Qtr'!G9,'2nd Qtr'!G9,'3rd Qtr'!G9,'4th Qtr'!G9)</f>
        <v>44156.45</v>
      </c>
      <c r="H9" s="21">
        <f>SUM(Jan!H9, Feb!H9, Mar!H9)</f>
        <v>9741.8625000000011</v>
      </c>
      <c r="I9" s="20">
        <f t="shared" si="2"/>
        <v>0.22062150603139521</v>
      </c>
    </row>
    <row r="10" spans="1:9" ht="15.75">
      <c r="A10" s="12" t="str">
        <v>AZ: ASU - Pardee - Parking Lot 19</v>
      </c>
      <c r="B10" s="9" t="str">
        <v>AZ</v>
      </c>
      <c r="C10" s="25">
        <f>SUM(Jan!C10, Feb!C10, Mar!C10)</f>
        <v>90107.125</v>
      </c>
      <c r="D10" s="13">
        <f>SUM(Jan!D10, Feb!D10, Mar!D10)</f>
        <v>82892.33</v>
      </c>
      <c r="E10" s="13">
        <f t="shared" si="0"/>
        <v>7214.7949999999983</v>
      </c>
      <c r="F10" s="14">
        <f t="shared" si="1"/>
        <v>8.7038149367981307E-2</v>
      </c>
      <c r="G10" s="15">
        <f>SUM('1st Qtr'!G10,'2nd Qtr'!G10,'3rd Qtr'!G10,'4th Qtr'!G10)</f>
        <v>65384.51</v>
      </c>
      <c r="H10" s="15">
        <f>SUM(Jan!H10, Feb!H10, Mar!H10)</f>
        <v>24722.615000000002</v>
      </c>
      <c r="I10" s="16">
        <f t="shared" si="2"/>
        <v>0.37811119177921498</v>
      </c>
    </row>
    <row r="11" spans="1:9" ht="15.75">
      <c r="A11" s="18" t="str">
        <v>AZ: ASU - Pardee - Parking Lot 41</v>
      </c>
      <c r="B11" s="10" t="str">
        <v>AZ</v>
      </c>
      <c r="C11" s="11">
        <f>SUM(Jan!C11, Feb!C11, Mar!C11)</f>
        <v>73359.875</v>
      </c>
      <c r="D11" s="19">
        <f>SUM(Jan!D11, Feb!D11, Mar!D11)</f>
        <v>68314.850000000006</v>
      </c>
      <c r="E11" s="19">
        <f t="shared" si="0"/>
        <v>5045.0249999999942</v>
      </c>
      <c r="F11" s="20">
        <f t="shared" si="1"/>
        <v>7.384960956512375E-2</v>
      </c>
      <c r="G11" s="21">
        <f>SUM('1st Qtr'!G11,'2nd Qtr'!G11,'3rd Qtr'!G11,'4th Qtr'!G11)</f>
        <v>79364.490000000005</v>
      </c>
      <c r="H11" s="21">
        <f>SUM(Jan!H11, Feb!H11, Mar!H11)</f>
        <v>-6004.6150000000016</v>
      </c>
      <c r="I11" s="20">
        <f t="shared" si="2"/>
        <v>-7.5658710841586721E-2</v>
      </c>
    </row>
    <row r="12" spans="1:9" ht="15.75">
      <c r="A12" s="12" t="str">
        <v>AZ: ASU - Pardee - Parking Lot 58</v>
      </c>
      <c r="B12" s="9" t="str">
        <v>AZ</v>
      </c>
      <c r="C12" s="25">
        <f>SUM(Jan!C12, Feb!C12, Mar!C12)</f>
        <v>73943</v>
      </c>
      <c r="D12" s="13">
        <f>SUM(Jan!D12, Feb!D12, Mar!D12)</f>
        <v>65451.34</v>
      </c>
      <c r="E12" s="13">
        <f t="shared" si="0"/>
        <v>8491.6600000000035</v>
      </c>
      <c r="F12" s="14">
        <f t="shared" si="1"/>
        <v>0.12974004810291132</v>
      </c>
      <c r="G12" s="15">
        <f>SUM('1st Qtr'!G12,'2nd Qtr'!G12,'3rd Qtr'!G12,'4th Qtr'!G12)</f>
        <v>83298.179999999993</v>
      </c>
      <c r="H12" s="15">
        <f>SUM(Jan!H12, Feb!H12, Mar!H12)</f>
        <v>-9355.18</v>
      </c>
      <c r="I12" s="16">
        <f t="shared" si="2"/>
        <v>-0.11230953665494253</v>
      </c>
    </row>
    <row r="13" spans="1:9" ht="15.75">
      <c r="A13" s="18" t="str">
        <v>AZ: ASU - Pardee - Parking Lot 59S</v>
      </c>
      <c r="B13" s="10" t="str">
        <v>AZ</v>
      </c>
      <c r="C13" s="11">
        <f>SUM(Jan!C13, Feb!C13, Mar!C13)</f>
        <v>88325.1875</v>
      </c>
      <c r="D13" s="19">
        <f>SUM(Jan!D13, Feb!D13, Mar!D13)</f>
        <v>71483.510000000009</v>
      </c>
      <c r="E13" s="19">
        <f t="shared" si="0"/>
        <v>16841.677499999991</v>
      </c>
      <c r="F13" s="20">
        <f t="shared" si="1"/>
        <v>0.23560227386707772</v>
      </c>
      <c r="G13" s="21">
        <f>SUM('1st Qtr'!G13,'2nd Qtr'!G13,'3rd Qtr'!G13,'4th Qtr'!G13)</f>
        <v>91107.27</v>
      </c>
      <c r="H13" s="21">
        <f>SUM(Jan!H13, Feb!H13, Mar!H13)</f>
        <v>-2782.0825000000004</v>
      </c>
      <c r="I13" s="20">
        <f t="shared" si="2"/>
        <v>-3.0536339196641501E-2</v>
      </c>
    </row>
    <row r="14" spans="1:9" ht="15.75">
      <c r="A14" s="12" t="str">
        <v>AZ: ASU - Pardee - Sun Devil Complex</v>
      </c>
      <c r="B14" s="9" t="str">
        <v>AZ</v>
      </c>
      <c r="C14" s="25">
        <f>SUM(Jan!C14, Feb!C14, Mar!C14)</f>
        <v>81230</v>
      </c>
      <c r="D14" s="13">
        <f>SUM(Jan!D14, Feb!D14, Mar!D14)</f>
        <v>77133.34</v>
      </c>
      <c r="E14" s="13">
        <f t="shared" si="0"/>
        <v>4096.6600000000035</v>
      </c>
      <c r="F14" s="14">
        <f t="shared" si="1"/>
        <v>5.3111404225462087E-2</v>
      </c>
      <c r="G14" s="15">
        <f>SUM('1st Qtr'!G14,'2nd Qtr'!G14,'3rd Qtr'!G14,'4th Qtr'!G14)</f>
        <v>88326</v>
      </c>
      <c r="H14" s="15">
        <f>SUM(Jan!H14, Feb!H14, Mar!H14)</f>
        <v>-7096</v>
      </c>
      <c r="I14" s="16">
        <f t="shared" si="2"/>
        <v>-8.0338745103367068E-2</v>
      </c>
    </row>
    <row r="15" spans="1:9" ht="12.9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2.9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2.9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2.9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2.95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2.95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2.95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2.95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2.95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2.95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2.95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2.95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2.95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2.95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2.9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2.9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2.9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2.9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2.9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2.9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2.9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2.9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2.9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2.9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2.9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2.9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2.9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2.9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2.9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2.9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2.9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2.9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2.9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2.9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2.9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2.9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2.9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2.9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2.9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2.9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2.9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2.9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2.9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2.9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2.9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2.9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2.9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2.9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2.9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2.9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2.9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2.9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2.9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2.9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2.9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2.9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2.9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2.9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2.9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2.9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2.9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2.9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2.9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2.9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2.9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2.9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2.9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2.9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2.9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2.9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2.9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2.9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2.9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2.9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2.9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2.9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2.9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2.9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2.9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2.9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2.9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2.9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2.9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2.9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2.9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2.9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2.9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2.9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2.9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2.9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2.9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2.9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2.9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2.9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2.9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2.9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2.9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2.9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2.9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2.9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2.9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2.9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2.9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2.9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2.9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2.9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2.9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2.9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2.9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2.9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2.9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2.9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2.9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2.9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2.9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2.9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2.9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2.9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2.9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2.9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2.9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2.9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2.9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2.9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2.9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2.9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2.9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2.9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2.9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2.9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2.9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2.9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2.9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2.9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2.9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2.9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2.9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2.9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2.9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2.9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2.9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2.9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2.9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2.9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2.9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2.9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2.9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2.9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2.9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2.9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2.9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2.9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2.9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2.9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2.9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2.9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2.9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2.9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2.9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2.9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2.9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2.9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2.9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2.9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2.9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2.9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2.9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2.9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2.9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2.9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2.9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2.9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2.9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2.9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2.9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2.9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2.9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2.9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2.9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2.9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2.9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2.9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2.9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2.9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2.9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2.9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2.9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2.9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2.9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2.9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2.9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2.9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2.9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2.9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2.9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2.9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2.9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2.9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2.9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2.9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2.9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2.9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2.9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2.9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2.9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2.9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2.9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2.9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2.9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2.9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2.9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2.9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2.9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2.9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2.9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2.9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2.9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2.9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2.9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2.9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2.9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2.9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2.9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2.9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2.9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2.9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2.9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2.9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2.9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2.9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2.9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2.9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2.9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2.9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2.9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2.9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2.9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2.9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2.9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2.9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2.9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2.9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2.9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2.9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2.9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2.9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2.9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2.9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2.9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2.9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2.9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2.9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2.9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2.9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2.9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2.9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2.9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2.9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2.9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2.9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2.9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2.9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2.9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2.9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2.9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2.9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2.9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2.9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2.9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2.9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2.9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2.9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2.9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2.9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2.9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2.9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2.9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2.9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2.9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2.9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2.9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2.9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2.9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2.9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2.9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2.9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2.9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2.9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2.9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2.9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2.9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2.9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2.9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2.9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2.9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2.9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2.9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2.9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2.9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2.9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2.9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2.9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2.9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2.9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2.9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2.9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2.9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2.9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2.9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2.9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2.9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2.9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2.9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2.95">
      <c r="A328" s="22"/>
      <c r="B328" s="22"/>
      <c r="C328" s="22"/>
      <c r="D328" s="22"/>
      <c r="E328" s="22"/>
      <c r="F328" s="23"/>
      <c r="G328" s="22"/>
      <c r="H328" s="22"/>
      <c r="I328" s="23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6 I4:I86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Pardee (ENCAP)</v>
      </c>
      <c r="B1" s="50"/>
      <c r="C1" s="50"/>
      <c r="D1" s="51" t="s">
        <v>10</v>
      </c>
      <c r="E1" s="51"/>
      <c r="F1" s="51"/>
      <c r="G1" s="49" t="s">
        <v>11</v>
      </c>
      <c r="H1" s="49"/>
      <c r="I1" s="49"/>
    </row>
    <row r="2" spans="1:9" ht="19.5" customHeight="1">
      <c r="A2" s="52" t="s">
        <v>2</v>
      </c>
      <c r="B2" s="52"/>
      <c r="C2" s="5">
        <f>SUM(C4:C86)</f>
        <v>1046494.21</v>
      </c>
      <c r="D2" s="5">
        <f>SUM(D4:D86)</f>
        <v>1025165.4349999998</v>
      </c>
      <c r="E2" s="5">
        <f>C2-D2</f>
        <v>21328.77500000014</v>
      </c>
      <c r="F2" s="6">
        <f>IFERROR(E2/D2, 0)</f>
        <v>2.0805203015843141E-2</v>
      </c>
      <c r="G2" s="5">
        <f>SUM(G4:G86)</f>
        <v>1086830.6070000001</v>
      </c>
      <c r="H2" s="7">
        <f>C2-G2</f>
        <v>-40336.397000000114</v>
      </c>
      <c r="I2" s="6">
        <f>IFERROR(H2/G2, 0)</f>
        <v>-3.7113784558700888E-2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SUM(Jan!C4, Feb!C4, Mar!C4)</f>
        <v>21031.375</v>
      </c>
      <c r="D4" s="13">
        <f>SUM(Jan!D4, Feb!D4, Mar!D4)</f>
        <v>17248.64</v>
      </c>
      <c r="E4" s="13">
        <f>IF(AND(ISNUMBER(C4),ISNUMBER(D4)), C4-D4, "")</f>
        <v>3782.7350000000006</v>
      </c>
      <c r="F4" s="14">
        <f>IFERROR(E4/D4, "")</f>
        <v>0.21930627574115993</v>
      </c>
      <c r="G4" s="15">
        <f>SUM(Jan!G4, Feb!G4, Mar!G4)</f>
        <v>23861.518</v>
      </c>
      <c r="H4" s="15">
        <f>SUM(Jan!H4, Feb!H4, Mar!H4)</f>
        <v>-2830.143</v>
      </c>
      <c r="I4" s="16">
        <f>IFERROR(H4/G4, "")</f>
        <v>-0.11860699725809565</v>
      </c>
    </row>
    <row r="5" spans="1:9" ht="15.75">
      <c r="A5" s="18" t="str">
        <v>AZ: ASU - Pardee - Farrington</v>
      </c>
      <c r="B5" s="10" t="str">
        <v>AZ</v>
      </c>
      <c r="C5" s="11">
        <f>SUM(Jan!C5, Feb!C5, Mar!C5)</f>
        <v>79124.25</v>
      </c>
      <c r="D5" s="19">
        <f>SUM(Jan!D5, Feb!D5, Mar!D5)</f>
        <v>82629.240000000005</v>
      </c>
      <c r="E5" s="19">
        <f t="shared" ref="E5:E14" si="0">IF(AND(ISNUMBER(C5),ISNUMBER(D5)), C5-D5, "")</f>
        <v>-3504.9900000000052</v>
      </c>
      <c r="F5" s="20">
        <f>IFERROR(E5/D5, "")</f>
        <v>-4.2418277113525492E-2</v>
      </c>
      <c r="G5" s="21">
        <f>SUM(Jan!G5, Feb!G5, Mar!G5)</f>
        <v>88617.24</v>
      </c>
      <c r="H5" s="21">
        <f>SUM(Jan!H5, Feb!H5, Mar!H5)</f>
        <v>-9492.9900000000016</v>
      </c>
      <c r="I5" s="20">
        <f>IFERROR(H5/G5, "")</f>
        <v>-0.10712351230979436</v>
      </c>
    </row>
    <row r="6" spans="1:9" ht="15.75">
      <c r="A6" s="12" t="str">
        <v>AZ: ASU - Pardee - Macro Tech.</v>
      </c>
      <c r="B6" s="9" t="str">
        <v>AZ</v>
      </c>
      <c r="C6" s="25">
        <f>SUM(Jan!C6, Feb!C6, Mar!C6)</f>
        <v>327405.45999999996</v>
      </c>
      <c r="D6" s="13">
        <f>SUM(Jan!D6, Feb!D6, Mar!D6)</f>
        <v>316275.55</v>
      </c>
      <c r="E6" s="13">
        <f t="shared" si="0"/>
        <v>11129.909999999974</v>
      </c>
      <c r="F6" s="14">
        <f t="shared" ref="F6:F14" si="1">IFERROR(E6/D6, "")</f>
        <v>3.5190548241873183E-2</v>
      </c>
      <c r="G6" s="15">
        <f>SUM(Jan!G6, Feb!G6, Mar!G6)</f>
        <v>320574.62</v>
      </c>
      <c r="H6" s="15">
        <f>SUM(Jan!H6, Feb!H6, Mar!H6)</f>
        <v>6830.8400000000111</v>
      </c>
      <c r="I6" s="16">
        <f t="shared" ref="I6:I14" si="2">IFERROR(H6/G6, "")</f>
        <v>2.1308112289113876E-2</v>
      </c>
    </row>
    <row r="7" spans="1:9" ht="15.75">
      <c r="A7" s="18" t="str">
        <v>AZ: ASU - Pardee - McCord Hall</v>
      </c>
      <c r="B7" s="10" t="str">
        <v>AZ</v>
      </c>
      <c r="C7" s="11">
        <f>SUM(Jan!C7, Feb!C7, Mar!C7)</f>
        <v>28351.625</v>
      </c>
      <c r="D7" s="19">
        <f>SUM(Jan!D7, Feb!D7, Mar!D7)</f>
        <v>22846.845000000001</v>
      </c>
      <c r="E7" s="19">
        <f t="shared" si="0"/>
        <v>5504.7799999999988</v>
      </c>
      <c r="F7" s="20">
        <f t="shared" si="1"/>
        <v>0.24094267720553969</v>
      </c>
      <c r="G7" s="21">
        <f>SUM(Jan!G7, Feb!G7, Mar!G7)</f>
        <v>32212.949000000001</v>
      </c>
      <c r="H7" s="21">
        <f>SUM(Jan!H7, Feb!H7, Mar!H7)</f>
        <v>-3861.3240000000005</v>
      </c>
      <c r="I7" s="20">
        <f t="shared" si="2"/>
        <v>-0.1198686900724302</v>
      </c>
    </row>
    <row r="8" spans="1:9" ht="15.75">
      <c r="A8" s="12" t="str">
        <v>AZ: NAU - SF Garage</v>
      </c>
      <c r="B8" s="9" t="str">
        <v>AZ</v>
      </c>
      <c r="C8" s="25">
        <f>SUM(Jan!C8, Feb!C8, Mar!C8)</f>
        <v>129718</v>
      </c>
      <c r="D8" s="13">
        <f>SUM(Jan!D8, Feb!D8, Mar!D8)</f>
        <v>165052.46</v>
      </c>
      <c r="E8" s="13">
        <f t="shared" si="0"/>
        <v>-35334.459999999992</v>
      </c>
      <c r="F8" s="14">
        <f t="shared" si="1"/>
        <v>-0.21408017790222572</v>
      </c>
      <c r="G8" s="15">
        <f>SUM(Jan!G8, Feb!G8, Mar!G8)</f>
        <v>169927.38</v>
      </c>
      <c r="H8" s="15">
        <f>SUM(Jan!H8, Feb!H8, Mar!H8)</f>
        <v>-40209.379999999997</v>
      </c>
      <c r="I8" s="16">
        <f t="shared" si="2"/>
        <v>-0.23662684612685722</v>
      </c>
    </row>
    <row r="9" spans="1:9" ht="15.75">
      <c r="A9" s="18" t="str">
        <v>AZ: ASU - Pardee - Parking Lot 11</v>
      </c>
      <c r="B9" s="10" t="str">
        <v>AZ</v>
      </c>
      <c r="C9" s="11">
        <f>SUM(Jan!C9, Feb!C9, Mar!C9)</f>
        <v>53898.3125</v>
      </c>
      <c r="D9" s="19">
        <f>SUM(Jan!D9, Feb!D9, Mar!D9)</f>
        <v>55837.33</v>
      </c>
      <c r="E9" s="19">
        <f t="shared" si="0"/>
        <v>-1939.0175000000017</v>
      </c>
      <c r="F9" s="20">
        <f t="shared" si="1"/>
        <v>-3.4726185868844406E-2</v>
      </c>
      <c r="G9" s="21">
        <f>SUM(Jan!G9, Feb!G9, Mar!G9)</f>
        <v>44156.45</v>
      </c>
      <c r="H9" s="21">
        <f>SUM(Jan!H9, Feb!H9, Mar!H9)</f>
        <v>9741.8625000000011</v>
      </c>
      <c r="I9" s="20">
        <f t="shared" si="2"/>
        <v>0.22062150603139521</v>
      </c>
    </row>
    <row r="10" spans="1:9" ht="15.75">
      <c r="A10" s="12" t="str">
        <v>AZ: ASU - Pardee - Parking Lot 19</v>
      </c>
      <c r="B10" s="9" t="str">
        <v>AZ</v>
      </c>
      <c r="C10" s="25">
        <f>SUM(Jan!C10, Feb!C10, Mar!C10)</f>
        <v>90107.125</v>
      </c>
      <c r="D10" s="13">
        <f>SUM(Jan!D10, Feb!D10, Mar!D10)</f>
        <v>82892.33</v>
      </c>
      <c r="E10" s="13">
        <f t="shared" si="0"/>
        <v>7214.7949999999983</v>
      </c>
      <c r="F10" s="14">
        <f t="shared" si="1"/>
        <v>8.7038149367981307E-2</v>
      </c>
      <c r="G10" s="15">
        <f>SUM(Jan!G10, Feb!G10, Mar!G10)</f>
        <v>65384.51</v>
      </c>
      <c r="H10" s="15">
        <f>SUM(Jan!H10, Feb!H10, Mar!H10)</f>
        <v>24722.615000000002</v>
      </c>
      <c r="I10" s="16">
        <f t="shared" si="2"/>
        <v>0.37811119177921498</v>
      </c>
    </row>
    <row r="11" spans="1:9" ht="15.75">
      <c r="A11" s="18" t="str">
        <v>AZ: ASU - Pardee - Parking Lot 41</v>
      </c>
      <c r="B11" s="10" t="str">
        <v>AZ</v>
      </c>
      <c r="C11" s="11">
        <f>SUM(Jan!C11, Feb!C11, Mar!C11)</f>
        <v>73359.875</v>
      </c>
      <c r="D11" s="19">
        <f>SUM(Jan!D11, Feb!D11, Mar!D11)</f>
        <v>68314.850000000006</v>
      </c>
      <c r="E11" s="19">
        <f t="shared" si="0"/>
        <v>5045.0249999999942</v>
      </c>
      <c r="F11" s="20">
        <f t="shared" si="1"/>
        <v>7.384960956512375E-2</v>
      </c>
      <c r="G11" s="21">
        <f>SUM(Jan!G11, Feb!G11, Mar!G11)</f>
        <v>79364.490000000005</v>
      </c>
      <c r="H11" s="21">
        <f>SUM(Jan!H11, Feb!H11, Mar!H11)</f>
        <v>-6004.6150000000016</v>
      </c>
      <c r="I11" s="20">
        <f t="shared" si="2"/>
        <v>-7.5658710841586721E-2</v>
      </c>
    </row>
    <row r="12" spans="1:9" ht="15.75">
      <c r="A12" s="12" t="str">
        <v>AZ: ASU - Pardee - Parking Lot 58</v>
      </c>
      <c r="B12" s="9" t="str">
        <v>AZ</v>
      </c>
      <c r="C12" s="25">
        <f>SUM(Jan!C12, Feb!C12, Mar!C12)</f>
        <v>73943</v>
      </c>
      <c r="D12" s="13">
        <f>SUM(Jan!D12, Feb!D12, Mar!D12)</f>
        <v>65451.34</v>
      </c>
      <c r="E12" s="13">
        <f t="shared" si="0"/>
        <v>8491.6600000000035</v>
      </c>
      <c r="F12" s="14">
        <f t="shared" si="1"/>
        <v>0.12974004810291132</v>
      </c>
      <c r="G12" s="15">
        <f>SUM(Jan!G12, Feb!G12, Mar!G12)</f>
        <v>83298.179999999993</v>
      </c>
      <c r="H12" s="15">
        <f>SUM(Jan!H12, Feb!H12, Mar!H12)</f>
        <v>-9355.18</v>
      </c>
      <c r="I12" s="16">
        <f t="shared" si="2"/>
        <v>-0.11230953665494253</v>
      </c>
    </row>
    <row r="13" spans="1:9" ht="15.75">
      <c r="A13" s="18" t="str">
        <v>AZ: ASU - Pardee - Parking Lot 59S</v>
      </c>
      <c r="B13" s="10" t="str">
        <v>AZ</v>
      </c>
      <c r="C13" s="11">
        <f>SUM(Jan!C13, Feb!C13, Mar!C13)</f>
        <v>88325.1875</v>
      </c>
      <c r="D13" s="19">
        <f>SUM(Jan!D13, Feb!D13, Mar!D13)</f>
        <v>71483.510000000009</v>
      </c>
      <c r="E13" s="19">
        <f t="shared" si="0"/>
        <v>16841.677499999991</v>
      </c>
      <c r="F13" s="20">
        <f t="shared" si="1"/>
        <v>0.23560227386707772</v>
      </c>
      <c r="G13" s="21">
        <f>SUM(Jan!G13, Feb!G13, Mar!G13)</f>
        <v>91107.27</v>
      </c>
      <c r="H13" s="21">
        <f>SUM(Jan!H13, Feb!H13, Mar!H13)</f>
        <v>-2782.0825000000004</v>
      </c>
      <c r="I13" s="20">
        <f t="shared" si="2"/>
        <v>-3.0536339196641501E-2</v>
      </c>
    </row>
    <row r="14" spans="1:9" ht="15.75">
      <c r="A14" s="12" t="str">
        <v>AZ: ASU - Pardee - Sun Devil Complex</v>
      </c>
      <c r="B14" s="9" t="str">
        <v>AZ</v>
      </c>
      <c r="C14" s="25">
        <f>SUM(Jan!C14, Feb!C14, Mar!C14)</f>
        <v>81230</v>
      </c>
      <c r="D14" s="13">
        <f>SUM(Jan!D14, Feb!D14, Mar!D14)</f>
        <v>77133.34</v>
      </c>
      <c r="E14" s="13">
        <f t="shared" si="0"/>
        <v>4096.6600000000035</v>
      </c>
      <c r="F14" s="14">
        <f t="shared" si="1"/>
        <v>5.3111404225462087E-2</v>
      </c>
      <c r="G14" s="15">
        <f>SUM(Jan!G14, Feb!G14, Mar!G14)</f>
        <v>88326</v>
      </c>
      <c r="H14" s="15">
        <f>SUM(Jan!H14, Feb!H14, Mar!H14)</f>
        <v>-7096</v>
      </c>
      <c r="I14" s="16">
        <f t="shared" si="2"/>
        <v>-8.0338745103367068E-2</v>
      </c>
    </row>
    <row r="15" spans="1:9" ht="12.9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2.9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2.9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2.9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2.95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2.95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2.95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2.95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2.95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2.95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2.95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2.95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2.95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2.95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2.9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2.9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2.9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2.9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2.9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2.9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2.9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2.9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2.9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2.9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2.9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2.9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2.9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2.9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2.9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2.9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2.9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2.9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2.9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2.9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2.9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2.9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2.9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2.9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2.9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2.9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2.9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2.9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2.9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2.9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2.9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2.9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2.9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2.9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2.9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2.9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2.9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2.9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2.9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2.9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2.9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2.9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2.9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2.9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2.9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2.9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2.9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2.9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2.9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2.9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2.9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2.9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2.9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2.9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2.9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2.9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2.9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2.9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2.9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2.9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2.9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2.9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2.9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2.9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2.9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2.9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2.9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2.9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2.9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2.9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2.9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2.9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2.9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2.9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2.9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2.9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2.9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2.9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2.9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2.9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2.9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2.9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2.9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2.9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2.9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2.9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2.9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2.9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2.9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2.9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2.9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2.9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2.9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2.9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2.9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2.9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2.9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2.9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2.9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2.9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2.9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2.9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2.9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2.9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2.9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2.9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2.9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2.9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2.9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2.9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2.9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2.9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2.9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2.9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2.9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2.9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2.9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2.9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2.9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2.9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2.9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2.9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2.9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2.9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2.9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2.9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2.9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2.9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2.9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2.9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2.9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2.9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2.9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2.9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2.9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2.9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2.9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2.9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2.9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2.9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2.9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2.9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2.9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2.9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2.9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2.9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2.9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2.9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2.9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2.9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2.9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2.9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2.9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2.9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2.9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2.9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2.9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2.9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2.9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2.9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2.9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2.9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2.9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2.9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2.9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2.9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2.9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2.9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2.9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2.9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2.9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2.9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2.9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2.9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2.9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2.9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2.9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2.9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2.9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2.9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2.9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2.9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2.9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2.9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2.9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2.9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2.9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2.9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2.9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2.9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2.9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2.9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2.9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2.9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2.9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2.9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2.9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2.9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2.9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2.9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2.9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2.9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2.9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2.9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2.9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2.9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2.9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2.9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2.9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2.9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2.9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2.9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2.9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2.9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2.9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2.9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2.9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2.9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2.9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2.9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2.9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2.9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2.9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2.9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2.9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2.9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2.9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2.9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2.9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2.9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2.9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2.9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2.9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2.9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2.9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2.9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2.9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2.9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2.9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2.9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2.9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2.9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2.9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2.9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2.9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2.9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2.9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2.9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2.9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2.9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2.9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2.9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2.9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2.9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2.9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2.9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2.9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2.9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2.9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2.9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2.9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2.9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2.9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2.9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2.9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2.9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2.9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2.9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2.9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2.9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2.9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2.9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2.9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2.9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2.9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2.9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2.9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2.9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2.9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2.9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2.9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2.9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2.9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2.9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2.9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2.9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2.9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2.9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2.9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2.9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2.9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2.9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2.9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2.9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2.9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2.9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2.9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2.9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2.9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2.95">
      <c r="A328" s="22"/>
      <c r="B328" s="22"/>
      <c r="C328" s="22"/>
      <c r="D328" s="22"/>
      <c r="E328" s="22"/>
      <c r="F328" s="23"/>
      <c r="G328" s="22"/>
      <c r="H328" s="22"/>
      <c r="I328" s="23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6 I4:I86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Pardee (ENCAP)</v>
      </c>
      <c r="B1" s="50"/>
      <c r="C1" s="50"/>
      <c r="D1" s="51" t="s">
        <v>12</v>
      </c>
      <c r="E1" s="51"/>
      <c r="F1" s="51"/>
      <c r="G1" s="49" t="s">
        <v>13</v>
      </c>
      <c r="H1" s="49"/>
      <c r="I1" s="49"/>
    </row>
    <row r="2" spans="1:9" ht="19.5" customHeight="1">
      <c r="A2" s="52" t="s">
        <v>2</v>
      </c>
      <c r="B2" s="52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75">
      <c r="A5" s="18" t="str">
        <v>AZ: ASU - Pardee - Farrington</v>
      </c>
      <c r="B5" s="10" t="str">
        <v>AZ</v>
      </c>
      <c r="C5" s="11">
        <f>SUM(Apr!C5, May!C5, Jun!C5)</f>
        <v>0</v>
      </c>
      <c r="D5" s="19">
        <f>SUM(Apr!D5, May!D5, Jun!D5)</f>
        <v>0</v>
      </c>
      <c r="E5" s="19">
        <f t="shared" ref="E5:E14" si="0">IF(AND(ISNUMBER(C5),ISNUMBER(D5)), C5-D5, "")</f>
        <v>0</v>
      </c>
      <c r="F5" s="20" t="str">
        <f>IFERROR(E5/D5, "")</f>
        <v/>
      </c>
      <c r="G5" s="21"/>
      <c r="H5" s="21">
        <f>SUM(Apr!H5, May!H5, Jun!H5)</f>
        <v>0</v>
      </c>
      <c r="I5" s="20" t="str">
        <f>IFERROR(H5/G5, "")</f>
        <v/>
      </c>
    </row>
    <row r="6" spans="1:9" ht="15.75">
      <c r="A6" s="12" t="str">
        <v>AZ: ASU - Pardee - Macro Tech.</v>
      </c>
      <c r="B6" s="9" t="str">
        <v>AZ</v>
      </c>
      <c r="C6" s="25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4" si="1">IFERROR(E6/D6, "")</f>
        <v/>
      </c>
      <c r="G6" s="15"/>
      <c r="H6" s="15">
        <f>SUM(Apr!H6, May!H6, Jun!H6)</f>
        <v>0</v>
      </c>
      <c r="I6" s="16" t="str">
        <f t="shared" ref="I6:I14" si="2">IFERROR(H6/G6, "")</f>
        <v/>
      </c>
    </row>
    <row r="7" spans="1:9" ht="15.75">
      <c r="A7" s="18" t="str">
        <v>AZ: ASU - Pardee - McCord Hall</v>
      </c>
      <c r="B7" s="10" t="str">
        <v>AZ</v>
      </c>
      <c r="C7" s="11">
        <f>SUM(Apr!C7, May!C7, Jun!C7)</f>
        <v>0</v>
      </c>
      <c r="D7" s="19">
        <f>SUM(Apr!D7, May!D7, Jun!D7)</f>
        <v>0</v>
      </c>
      <c r="E7" s="19">
        <f t="shared" si="0"/>
        <v>0</v>
      </c>
      <c r="F7" s="20" t="str">
        <f t="shared" si="1"/>
        <v/>
      </c>
      <c r="G7" s="21"/>
      <c r="H7" s="21">
        <f>SUM(Apr!H7, May!H7, Jun!H7)</f>
        <v>0</v>
      </c>
      <c r="I7" s="20" t="str">
        <f t="shared" si="2"/>
        <v/>
      </c>
    </row>
    <row r="8" spans="1:9" ht="15.75">
      <c r="A8" s="12" t="str">
        <v>AZ: NAU - SF Garage</v>
      </c>
      <c r="B8" s="9" t="str">
        <v>AZ</v>
      </c>
      <c r="C8" s="25">
        <f>SUM(Apr!C8, May!C8, Jun!C8)</f>
        <v>0</v>
      </c>
      <c r="D8" s="13">
        <f>SUM(Apr!D8, May!D8, Jun!D8)</f>
        <v>0</v>
      </c>
      <c r="E8" s="13">
        <f t="shared" si="0"/>
        <v>0</v>
      </c>
      <c r="F8" s="14" t="str">
        <f t="shared" si="1"/>
        <v/>
      </c>
      <c r="G8" s="15"/>
      <c r="H8" s="15">
        <f>SUM(Apr!H8, May!H8, Jun!H8)</f>
        <v>0</v>
      </c>
      <c r="I8" s="16" t="str">
        <f t="shared" si="2"/>
        <v/>
      </c>
    </row>
    <row r="9" spans="1:9" ht="15.75">
      <c r="A9" s="18" t="str">
        <v>AZ: ASU - Pardee - Parking Lot 11</v>
      </c>
      <c r="B9" s="10" t="str">
        <v>AZ</v>
      </c>
      <c r="C9" s="11">
        <f>SUM(Apr!C9, May!C9, Jun!C9)</f>
        <v>0</v>
      </c>
      <c r="D9" s="19">
        <f>SUM(Apr!D9, May!D9, Jun!D9)</f>
        <v>0</v>
      </c>
      <c r="E9" s="19">
        <f t="shared" si="0"/>
        <v>0</v>
      </c>
      <c r="F9" s="20" t="str">
        <f t="shared" si="1"/>
        <v/>
      </c>
      <c r="G9" s="21"/>
      <c r="H9" s="21">
        <f>SUM(Apr!H9, May!H9, Jun!H9)</f>
        <v>0</v>
      </c>
      <c r="I9" s="20" t="str">
        <f t="shared" si="2"/>
        <v/>
      </c>
    </row>
    <row r="10" spans="1:9" ht="15.75">
      <c r="A10" s="12" t="str">
        <v>AZ: ASU - Pardee - Parking Lot 19</v>
      </c>
      <c r="B10" s="9" t="str">
        <v>AZ</v>
      </c>
      <c r="C10" s="25">
        <f>SUM(Apr!C10, May!C10, Jun!C10)</f>
        <v>0</v>
      </c>
      <c r="D10" s="13">
        <f>SUM(Apr!D10, May!D10, Jun!D10)</f>
        <v>0</v>
      </c>
      <c r="E10" s="13">
        <f t="shared" si="0"/>
        <v>0</v>
      </c>
      <c r="F10" s="14" t="str">
        <f t="shared" si="1"/>
        <v/>
      </c>
      <c r="G10" s="15"/>
      <c r="H10" s="15">
        <f>SUM(Apr!H10, May!H10, Jun!H10)</f>
        <v>0</v>
      </c>
      <c r="I10" s="16" t="str">
        <f t="shared" si="2"/>
        <v/>
      </c>
    </row>
    <row r="11" spans="1:9" ht="15.75">
      <c r="A11" s="18" t="str">
        <v>AZ: ASU - Pardee - Parking Lot 41</v>
      </c>
      <c r="B11" s="10" t="str">
        <v>AZ</v>
      </c>
      <c r="C11" s="11">
        <f>SUM(Apr!C11, May!C11, Jun!C11)</f>
        <v>0</v>
      </c>
      <c r="D11" s="19">
        <f>SUM(Apr!D11, May!D11, Jun!D11)</f>
        <v>0</v>
      </c>
      <c r="E11" s="19">
        <f t="shared" si="0"/>
        <v>0</v>
      </c>
      <c r="F11" s="20" t="str">
        <f t="shared" si="1"/>
        <v/>
      </c>
      <c r="G11" s="21"/>
      <c r="H11" s="21">
        <f>SUM(Apr!H11, May!H11, Jun!H11)</f>
        <v>0</v>
      </c>
      <c r="I11" s="20" t="str">
        <f t="shared" si="2"/>
        <v/>
      </c>
    </row>
    <row r="12" spans="1:9" ht="15.75">
      <c r="A12" s="12" t="str">
        <v>AZ: ASU - Pardee - Parking Lot 58</v>
      </c>
      <c r="B12" s="9" t="str">
        <v>AZ</v>
      </c>
      <c r="C12" s="25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5"/>
      <c r="H12" s="15">
        <f>SUM(Apr!H12, May!H12, Jun!H12)</f>
        <v>0</v>
      </c>
      <c r="I12" s="16" t="str">
        <f t="shared" si="2"/>
        <v/>
      </c>
    </row>
    <row r="13" spans="1:9" ht="15.75">
      <c r="A13" s="18" t="str">
        <v>AZ: ASU - Pardee - Parking Lot 59S</v>
      </c>
      <c r="B13" s="10" t="str">
        <v>AZ</v>
      </c>
      <c r="C13" s="11">
        <f>SUM(Apr!C13, May!C13, Jun!C13)</f>
        <v>0</v>
      </c>
      <c r="D13" s="19">
        <f>SUM(Apr!D13, May!D13, Jun!D13)</f>
        <v>0</v>
      </c>
      <c r="E13" s="19">
        <f t="shared" si="0"/>
        <v>0</v>
      </c>
      <c r="F13" s="20" t="str">
        <f t="shared" si="1"/>
        <v/>
      </c>
      <c r="G13" s="21"/>
      <c r="H13" s="21">
        <f>SUM(Apr!H13, May!H13, Jun!H13)</f>
        <v>0</v>
      </c>
      <c r="I13" s="20" t="str">
        <f t="shared" si="2"/>
        <v/>
      </c>
    </row>
    <row r="14" spans="1:9" ht="15.75">
      <c r="A14" s="12" t="str">
        <v>AZ: ASU - Pardee - Sun Devil Complex</v>
      </c>
      <c r="B14" s="9" t="str">
        <v>AZ</v>
      </c>
      <c r="C14" s="25">
        <f>SUM(Apr!C14, May!C14, Jun!C14)</f>
        <v>0</v>
      </c>
      <c r="D14" s="13">
        <f>SUM(Apr!D14, May!D14, Jun!D14)</f>
        <v>0</v>
      </c>
      <c r="E14" s="13">
        <f t="shared" si="0"/>
        <v>0</v>
      </c>
      <c r="F14" s="14" t="str">
        <f t="shared" si="1"/>
        <v/>
      </c>
      <c r="G14" s="15"/>
      <c r="H14" s="15">
        <f>SUM(Apr!H14, May!H14, Jun!H14)</f>
        <v>0</v>
      </c>
      <c r="I14" s="16" t="str">
        <f t="shared" si="2"/>
        <v/>
      </c>
    </row>
    <row r="15" spans="1:9" ht="12.9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2.9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2.9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2.9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2.95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2.95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2.95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2.95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2.95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2.95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2.95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2.95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2.95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2.95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2.9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2.9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2.9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2.9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2.9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2.9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2.9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2.9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2.9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2.9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2.9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2.9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2.9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2.9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2.9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2.9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2.9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2.9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2.9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2.9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2.9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2.9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2.9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2.9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2.9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2.9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2.9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2.9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2.9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2.9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2.9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2.9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2.9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2.9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2.9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2.9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2.9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2.9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2.9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2.9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2.9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2.9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2.9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2.9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2.9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2.9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2.9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2.9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2.9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2.9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2.9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2.9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2.9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2.9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2.9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2.9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2.9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2.9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2.9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2.9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2.9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2.9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2.9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2.9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2.9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2.9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2.9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2.9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2.9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2.9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2.9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2.9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2.9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2.9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2.9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2.9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2.9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2.9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2.9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2.9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2.9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2.9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2.9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2.9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2.9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2.9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2.9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2.9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2.9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2.9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2.9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2.9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2.9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2.9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2.9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2.9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2.9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2.9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2.9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2.9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2.9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2.9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2.9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2.9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2.9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2.9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2.9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2.9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2.9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2.9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2.9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2.9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2.9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2.9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2.9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2.9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2.9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2.9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2.9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2.9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2.9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2.9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2.9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2.9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2.9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2.9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2.9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2.9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2.9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2.9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2.9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2.9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2.9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2.9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2.9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2.9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2.9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2.9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2.9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2.9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2.9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2.9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2.9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2.9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2.9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2.9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2.9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2.9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2.9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2.9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2.9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2.9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2.9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2.9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2.9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2.9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2.9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2.9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2.9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2.9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2.9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2.9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2.9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2.9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2.9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2.9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2.9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2.9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2.9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2.9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2.9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2.9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2.9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2.9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2.9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2.9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2.9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2.9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2.9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2.9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2.9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2.9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2.9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2.9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2.9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2.9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2.9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2.9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2.9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2.9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2.9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2.9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2.9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2.9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2.9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2.9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2.9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2.9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2.9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2.9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2.9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2.9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2.9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2.9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2.9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2.9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2.9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2.9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2.9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2.9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2.9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2.9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2.9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2.9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2.9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2.9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2.9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2.9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2.9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2.9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2.9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2.9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2.9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2.9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2.9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2.9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2.9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2.9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2.9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2.9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2.9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2.9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2.9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2.9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2.9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2.9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2.9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2.9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2.9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2.9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2.9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2.9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2.9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2.9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2.9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2.9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2.9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2.9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2.9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2.9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2.9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2.9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2.9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2.9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2.9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2.9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2.9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2.9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2.9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2.9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2.9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2.9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2.9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2.9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2.9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2.9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2.9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2.9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2.9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2.9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2.9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2.9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2.9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2.9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2.9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2.9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2.9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2.9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2.9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2.9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2.9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2.9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2.9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2.9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2.9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2.9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2.9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2.9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2.9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2.9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2.9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2.9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2.9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2.9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2.9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2.9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2.9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2.9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2.9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2.95">
      <c r="A328" s="22"/>
      <c r="B328" s="22"/>
      <c r="C328" s="22"/>
      <c r="D328" s="22"/>
      <c r="E328" s="22"/>
      <c r="F328" s="23"/>
      <c r="G328" s="22"/>
      <c r="H328" s="22"/>
      <c r="I328" s="23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6 I4:I86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Pardee (ENCAP)</v>
      </c>
      <c r="B1" s="50"/>
      <c r="C1" s="50"/>
      <c r="D1" s="51" t="s">
        <v>14</v>
      </c>
      <c r="E1" s="51"/>
      <c r="F1" s="51"/>
      <c r="G1" s="49" t="s">
        <v>15</v>
      </c>
      <c r="H1" s="49"/>
      <c r="I1" s="49"/>
    </row>
    <row r="2" spans="1:9" ht="19.5" customHeight="1">
      <c r="A2" s="52" t="s">
        <v>2</v>
      </c>
      <c r="B2" s="52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>
      <c r="A5" s="18" t="str">
        <v>AZ: ASU - Pardee - Farrington</v>
      </c>
      <c r="B5" s="10" t="str">
        <v>AZ</v>
      </c>
      <c r="C5" s="11">
        <f>SUM(Jul!C5, Aug!C5, Sep!C5)</f>
        <v>0</v>
      </c>
      <c r="D5" s="19">
        <f>SUM(Jul!D5, Aug!D5, Sep!D5)</f>
        <v>0</v>
      </c>
      <c r="E5" s="19">
        <f t="shared" ref="E5:E14" si="0">IF(AND(ISNUMBER(C5),ISNUMBER(D5)), C5-D5, "")</f>
        <v>0</v>
      </c>
      <c r="F5" s="20" t="str">
        <f>IFERROR(E5/D5, "")</f>
        <v/>
      </c>
      <c r="G5" s="21"/>
      <c r="H5" s="21">
        <f>SUM(Jul!H5, Aug!H5, Sep!H5)</f>
        <v>0</v>
      </c>
      <c r="I5" s="20" t="str">
        <f>IFERROR(H5/G5, "")</f>
        <v/>
      </c>
    </row>
    <row r="6" spans="1:9" ht="15.75">
      <c r="A6" s="12" t="str">
        <v>AZ: ASU - Pardee - Macro Tech.</v>
      </c>
      <c r="B6" s="9" t="str">
        <v>AZ</v>
      </c>
      <c r="C6" s="25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4" si="1">IFERROR(E6/D6, "")</f>
        <v/>
      </c>
      <c r="G6" s="15"/>
      <c r="H6" s="15">
        <f>SUM(Jul!H6, Aug!H6, Sep!H6)</f>
        <v>0</v>
      </c>
      <c r="I6" s="16" t="str">
        <f t="shared" ref="I6:I14" si="2">IFERROR(H6/G6, "")</f>
        <v/>
      </c>
    </row>
    <row r="7" spans="1:9" ht="15.75">
      <c r="A7" s="18" t="str">
        <v>AZ: ASU - Pardee - McCord Hall</v>
      </c>
      <c r="B7" s="10" t="str">
        <v>AZ</v>
      </c>
      <c r="C7" s="11">
        <f>SUM(Jul!C7, Aug!C7, Sep!C7)</f>
        <v>0</v>
      </c>
      <c r="D7" s="19">
        <f>SUM(Jul!D7, Aug!D7, Sep!D7)</f>
        <v>0</v>
      </c>
      <c r="E7" s="19">
        <f t="shared" si="0"/>
        <v>0</v>
      </c>
      <c r="F7" s="20" t="str">
        <f t="shared" si="1"/>
        <v/>
      </c>
      <c r="G7" s="21"/>
      <c r="H7" s="21">
        <f>SUM(Jul!H7, Aug!H7, Sep!H7)</f>
        <v>0</v>
      </c>
      <c r="I7" s="20" t="str">
        <f t="shared" si="2"/>
        <v/>
      </c>
    </row>
    <row r="8" spans="1:9" ht="15.75">
      <c r="A8" s="12" t="str">
        <v>AZ: NAU - SF Garage</v>
      </c>
      <c r="B8" s="9" t="str">
        <v>AZ</v>
      </c>
      <c r="C8" s="25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75">
      <c r="A9" s="18" t="str">
        <v>AZ: ASU - Pardee - Parking Lot 11</v>
      </c>
      <c r="B9" s="10" t="str">
        <v>AZ</v>
      </c>
      <c r="C9" s="11">
        <f>SUM(Jul!C9, Aug!C9, Sep!C9)</f>
        <v>0</v>
      </c>
      <c r="D9" s="19">
        <f>SUM(Jul!D9, Aug!D9, Sep!D9)</f>
        <v>0</v>
      </c>
      <c r="E9" s="19">
        <f t="shared" si="0"/>
        <v>0</v>
      </c>
      <c r="F9" s="20" t="str">
        <f t="shared" si="1"/>
        <v/>
      </c>
      <c r="G9" s="21"/>
      <c r="H9" s="21">
        <f>SUM(Jul!H9, Aug!H9, Sep!H9)</f>
        <v>0</v>
      </c>
      <c r="I9" s="20" t="str">
        <f t="shared" si="2"/>
        <v/>
      </c>
    </row>
    <row r="10" spans="1:9" ht="15.75">
      <c r="A10" s="12" t="str">
        <v>AZ: ASU - Pardee - Parking Lot 19</v>
      </c>
      <c r="B10" s="9" t="str">
        <v>AZ</v>
      </c>
      <c r="C10" s="25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75">
      <c r="A11" s="18" t="str">
        <v>AZ: ASU - Pardee - Parking Lot 41</v>
      </c>
      <c r="B11" s="10" t="str">
        <v>AZ</v>
      </c>
      <c r="C11" s="11">
        <f>SUM(Jul!C11, Aug!C11, Sep!C11)</f>
        <v>0</v>
      </c>
      <c r="D11" s="19">
        <f>SUM(Jul!D11, Aug!D11, Sep!D11)</f>
        <v>0</v>
      </c>
      <c r="E11" s="19">
        <f t="shared" si="0"/>
        <v>0</v>
      </c>
      <c r="F11" s="20" t="str">
        <f t="shared" si="1"/>
        <v/>
      </c>
      <c r="G11" s="21"/>
      <c r="H11" s="21">
        <f>SUM(Jul!H11, Aug!H11, Sep!H11)</f>
        <v>0</v>
      </c>
      <c r="I11" s="20" t="str">
        <f t="shared" si="2"/>
        <v/>
      </c>
    </row>
    <row r="12" spans="1:9" ht="15.75">
      <c r="A12" s="12" t="str">
        <v>AZ: ASU - Pardee - Parking Lot 58</v>
      </c>
      <c r="B12" s="9" t="str">
        <v>AZ</v>
      </c>
      <c r="C12" s="25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75">
      <c r="A13" s="18" t="str">
        <v>AZ: ASU - Pardee - Parking Lot 59S</v>
      </c>
      <c r="B13" s="10" t="str">
        <v>AZ</v>
      </c>
      <c r="C13" s="11">
        <f>SUM(Jul!C13, Aug!C13, Sep!C13)</f>
        <v>0</v>
      </c>
      <c r="D13" s="19">
        <f>SUM(Jul!D13, Aug!D13, Sep!D13)</f>
        <v>0</v>
      </c>
      <c r="E13" s="19">
        <f t="shared" si="0"/>
        <v>0</v>
      </c>
      <c r="F13" s="20" t="str">
        <f t="shared" si="1"/>
        <v/>
      </c>
      <c r="G13" s="21"/>
      <c r="H13" s="21">
        <f>SUM(Jul!H13, Aug!H13, Sep!H13)</f>
        <v>0</v>
      </c>
      <c r="I13" s="20" t="str">
        <f t="shared" si="2"/>
        <v/>
      </c>
    </row>
    <row r="14" spans="1:9" ht="15.75">
      <c r="A14" s="12" t="str">
        <v>AZ: ASU - Pardee - Sun Devil Complex</v>
      </c>
      <c r="B14" s="9" t="str">
        <v>AZ</v>
      </c>
      <c r="C14" s="25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2.9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2.9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2.9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2.9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2.95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2.95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2.95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2.95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2.95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2.95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2.95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2.95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2.95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2.95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2.9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2.9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2.9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2.9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2.9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2.9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2.9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2.9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2.9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2.9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2.9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2.9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2.9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2.9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2.9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2.9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2.9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2.9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2.9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2.9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2.9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2.9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2.9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2.9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2.9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2.9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2.9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2.9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2.9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2.9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2.9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2.9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2.9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2.9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2.9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2.9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2.9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2.9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2.9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2.9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2.9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2.9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2.9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2.9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2.9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2.9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2.9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2.9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2.9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2.9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2.9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2.9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2.9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2.9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2.9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2.9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2.9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2.9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2.9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2.9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2.9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2.9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2.9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2.9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2.9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2.9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2.9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2.9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2.9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2.9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2.9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2.9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2.9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2.9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2.9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2.9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2.9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2.9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2.9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2.9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2.9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2.9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2.9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2.9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2.9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2.9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2.9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2.9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2.9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2.9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2.9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2.9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2.9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2.9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2.9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2.9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2.9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2.9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2.9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2.9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2.9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2.9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2.9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2.9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2.9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2.9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2.9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2.9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2.9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2.9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2.9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2.9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2.9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2.9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2.9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2.9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2.9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2.9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2.9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2.9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2.9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2.9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2.9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2.9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2.9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2.9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2.9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2.9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2.9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2.9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2.9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2.9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2.9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2.9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2.9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2.9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2.9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2.9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2.9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2.9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2.9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2.9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2.9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2.9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2.9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2.9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2.9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2.9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2.9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2.9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2.9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2.9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2.9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2.9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2.9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2.9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2.9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2.9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2.9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2.9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2.9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2.9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2.9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2.9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2.9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2.9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2.9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2.9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2.9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2.9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2.9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2.9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2.9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2.9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2.9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2.9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2.9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2.9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2.9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2.9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2.9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2.9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2.9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2.9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2.9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2.9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2.9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2.9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2.9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2.9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2.9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2.9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2.9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2.9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2.9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2.9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2.9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2.9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2.9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2.9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2.9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2.9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2.9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2.9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2.9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2.9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2.9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2.9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2.9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2.9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2.9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2.9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2.9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2.9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2.9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2.9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2.9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2.9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2.9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2.9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2.9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2.9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2.9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2.9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2.9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2.9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2.9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2.9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2.9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2.9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2.9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2.9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2.9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2.9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2.9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2.9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2.9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2.9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2.9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2.9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2.9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2.9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2.9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2.9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2.9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2.9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2.9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2.9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2.9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2.9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2.9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2.9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2.9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2.9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2.9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2.9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2.9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2.9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2.9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2.9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2.9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2.9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2.9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2.9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2.9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2.9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2.9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2.9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2.9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2.9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2.9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2.9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2.9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2.9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2.9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2.9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2.9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2.9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2.9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2.9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2.9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2.9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2.9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2.9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2.9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2.9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2.9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2.9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2.9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2.9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2.9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2.9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2.9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2.9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2.9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2.9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2.9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2.9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2.9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2.95">
      <c r="A328" s="22"/>
      <c r="B328" s="22"/>
      <c r="C328" s="22"/>
      <c r="D328" s="22"/>
      <c r="E328" s="22"/>
      <c r="F328" s="23"/>
      <c r="G328" s="22"/>
      <c r="H328" s="22"/>
      <c r="I328" s="23"/>
    </row>
  </sheetData>
  <mergeCells count="4">
    <mergeCell ref="G1:I1"/>
    <mergeCell ref="A1:C1"/>
    <mergeCell ref="D1:F1"/>
    <mergeCell ref="A2:B2"/>
  </mergeCells>
  <conditionalFormatting sqref="F2 I2 F4:F86 I4:I86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Pardee (ENCAP)</v>
      </c>
      <c r="B1" s="50"/>
      <c r="C1" s="50"/>
      <c r="D1" s="51" t="s">
        <v>16</v>
      </c>
      <c r="E1" s="51"/>
      <c r="F1" s="51"/>
      <c r="G1" s="49" t="s">
        <v>17</v>
      </c>
      <c r="H1" s="49"/>
      <c r="I1" s="49"/>
    </row>
    <row r="2" spans="1:9" ht="19.5" customHeight="1">
      <c r="A2" s="52" t="s">
        <v>2</v>
      </c>
      <c r="B2" s="52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18" t="str">
        <v>AZ: ASU - Pardee - Farrington</v>
      </c>
      <c r="B5" s="10" t="str">
        <v>AZ</v>
      </c>
      <c r="C5" s="11">
        <f>SUM(Oct!C5, Nov!C5, Dec!C5)</f>
        <v>0</v>
      </c>
      <c r="D5" s="19">
        <f>SUM(Oct!D5, Nov!D5, Dec!D5)</f>
        <v>0</v>
      </c>
      <c r="E5" s="19">
        <f t="shared" ref="E5:E14" si="0">IF(AND(ISNUMBER(C5),ISNUMBER(D5)), C5-D5, "")</f>
        <v>0</v>
      </c>
      <c r="F5" s="20" t="str">
        <f>IFERROR(E5/D5, "")</f>
        <v/>
      </c>
      <c r="G5" s="21"/>
      <c r="H5" s="21">
        <f>SUM(Oct!H5, Nov!H5, Dec!H5)</f>
        <v>0</v>
      </c>
      <c r="I5" s="20" t="str">
        <f>IFERROR(H5/G5, "")</f>
        <v/>
      </c>
    </row>
    <row r="6" spans="1:9" ht="15.75">
      <c r="A6" s="12" t="str">
        <v>AZ: ASU - Pardee - Macro Tech.</v>
      </c>
      <c r="B6" s="9" t="str">
        <v>AZ</v>
      </c>
      <c r="C6" s="25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4" si="1">IFERROR(E6/D6, "")</f>
        <v/>
      </c>
      <c r="G6" s="15"/>
      <c r="H6" s="15">
        <f>SUM(Oct!H6, Nov!H6, Dec!H6)</f>
        <v>0</v>
      </c>
      <c r="I6" s="16" t="str">
        <f t="shared" ref="I6:I14" si="2">IFERROR(H6/G6, "")</f>
        <v/>
      </c>
    </row>
    <row r="7" spans="1:9" ht="15.75">
      <c r="A7" s="18" t="str">
        <v>AZ: ASU - Pardee - McCord Hall</v>
      </c>
      <c r="B7" s="10" t="str">
        <v>AZ</v>
      </c>
      <c r="C7" s="11">
        <f>SUM(Oct!C7, Nov!C7, Dec!C7)</f>
        <v>0</v>
      </c>
      <c r="D7" s="19">
        <f>SUM(Oct!D7, Nov!D7, Dec!D7)</f>
        <v>0</v>
      </c>
      <c r="E7" s="19">
        <f t="shared" si="0"/>
        <v>0</v>
      </c>
      <c r="F7" s="20" t="str">
        <f t="shared" si="1"/>
        <v/>
      </c>
      <c r="G7" s="21"/>
      <c r="H7" s="21">
        <f>SUM(Oct!H7, Nov!H7, Dec!H7)</f>
        <v>0</v>
      </c>
      <c r="I7" s="20" t="str">
        <f t="shared" si="2"/>
        <v/>
      </c>
    </row>
    <row r="8" spans="1:9" ht="15.75">
      <c r="A8" s="12" t="str">
        <v>AZ: NAU - SF Garage</v>
      </c>
      <c r="B8" s="9" t="str">
        <v>AZ</v>
      </c>
      <c r="C8" s="25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75">
      <c r="A9" s="18" t="str">
        <v>AZ: ASU - Pardee - Parking Lot 11</v>
      </c>
      <c r="B9" s="10" t="str">
        <v>AZ</v>
      </c>
      <c r="C9" s="11">
        <f>SUM(Oct!C9, Nov!C9, Dec!C9)</f>
        <v>0</v>
      </c>
      <c r="D9" s="19">
        <f>SUM(Oct!D9, Nov!D9, Dec!D9)</f>
        <v>0</v>
      </c>
      <c r="E9" s="19">
        <f t="shared" si="0"/>
        <v>0</v>
      </c>
      <c r="F9" s="20" t="str">
        <f t="shared" si="1"/>
        <v/>
      </c>
      <c r="G9" s="21"/>
      <c r="H9" s="21">
        <f>SUM(Oct!H9, Nov!H9, Dec!H9)</f>
        <v>0</v>
      </c>
      <c r="I9" s="20" t="str">
        <f t="shared" si="2"/>
        <v/>
      </c>
    </row>
    <row r="10" spans="1:9" ht="15.75">
      <c r="A10" s="12" t="str">
        <v>AZ: ASU - Pardee - Parking Lot 19</v>
      </c>
      <c r="B10" s="9" t="str">
        <v>AZ</v>
      </c>
      <c r="C10" s="25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75">
      <c r="A11" s="18" t="str">
        <v>AZ: ASU - Pardee - Parking Lot 41</v>
      </c>
      <c r="B11" s="10" t="str">
        <v>AZ</v>
      </c>
      <c r="C11" s="11">
        <f>SUM(Oct!C11, Nov!C11, Dec!C11)</f>
        <v>0</v>
      </c>
      <c r="D11" s="19">
        <f>SUM(Oct!D11, Nov!D11, Dec!D11)</f>
        <v>0</v>
      </c>
      <c r="E11" s="19">
        <f t="shared" si="0"/>
        <v>0</v>
      </c>
      <c r="F11" s="20" t="str">
        <f t="shared" si="1"/>
        <v/>
      </c>
      <c r="G11" s="21"/>
      <c r="H11" s="21">
        <f>SUM(Oct!H11, Nov!H11, Dec!H11)</f>
        <v>0</v>
      </c>
      <c r="I11" s="20" t="str">
        <f t="shared" si="2"/>
        <v/>
      </c>
    </row>
    <row r="12" spans="1:9" ht="15.75">
      <c r="A12" s="12" t="str">
        <v>AZ: ASU - Pardee - Parking Lot 58</v>
      </c>
      <c r="B12" s="9" t="str">
        <v>AZ</v>
      </c>
      <c r="C12" s="25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75">
      <c r="A13" s="18" t="str">
        <v>AZ: ASU - Pardee - Parking Lot 59S</v>
      </c>
      <c r="B13" s="10" t="str">
        <v>AZ</v>
      </c>
      <c r="C13" s="11">
        <f>SUM(Oct!C13, Nov!C13, Dec!C13)</f>
        <v>0</v>
      </c>
      <c r="D13" s="19">
        <f>SUM(Oct!D13, Nov!D13, Dec!D13)</f>
        <v>0</v>
      </c>
      <c r="E13" s="19">
        <f t="shared" si="0"/>
        <v>0</v>
      </c>
      <c r="F13" s="20" t="str">
        <f t="shared" si="1"/>
        <v/>
      </c>
      <c r="G13" s="21"/>
      <c r="H13" s="21">
        <f>SUM(Oct!H13, Nov!H13, Dec!H13)</f>
        <v>0</v>
      </c>
      <c r="I13" s="20" t="str">
        <f t="shared" si="2"/>
        <v/>
      </c>
    </row>
    <row r="14" spans="1:9" ht="15.75">
      <c r="A14" s="12" t="str">
        <v>AZ: ASU - Pardee - Sun Devil Complex</v>
      </c>
      <c r="B14" s="9" t="str">
        <v>AZ</v>
      </c>
      <c r="C14" s="25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2.9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2.9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2.9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2.9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2.95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2.95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2.95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2.95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2.95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2.95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2.95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2.95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2.95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2.95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2.9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2.9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2.9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2.9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2.9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2.9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2.9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2.9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2.9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2.9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2.9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2.9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2.9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2.9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2.9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2.9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2.9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2.9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2.9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2.9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2.9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2.9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2.9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2.9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2.9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2.9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2.9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2.9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2.9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2.9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2.9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2.9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2.9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2.9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2.9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2.9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2.9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2.9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2.9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2.9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2.9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2.9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2.9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2.9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2.9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2.9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2.9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2.9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2.9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2.9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2.9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2.9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2.9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2.9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2.9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2.9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2.9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2.9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2.9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2.9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2.9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2.9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2.9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2.9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2.9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2.9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2.9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2.9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2.9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2.9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2.9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2.9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2.9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2.9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2.9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2.9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2.9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2.9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2.9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2.9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2.9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2.9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2.9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2.9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2.9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2.9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2.9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2.9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2.9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2.9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2.9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2.9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2.9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2.9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2.9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2.9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2.9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2.9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2.9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2.9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2.9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2.9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2.9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2.9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2.9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2.9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2.9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2.9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2.9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2.9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2.9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2.9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2.9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2.9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2.9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2.9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2.9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2.9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2.9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2.9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2.9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2.9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2.9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2.9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2.9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2.9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2.9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2.9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2.9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2.9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2.9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2.9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2.9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2.9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2.9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2.9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2.9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2.9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2.9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2.9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2.9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2.9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2.9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2.9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2.9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2.9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2.9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2.9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2.9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2.9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2.9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2.9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2.9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2.9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2.9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2.9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2.9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2.9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2.9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2.9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2.9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2.9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2.9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2.9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2.9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2.9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2.9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2.9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2.9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2.9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2.9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2.9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2.9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2.9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2.9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2.9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2.9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2.9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2.9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2.9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2.9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2.9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2.9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2.9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2.9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2.9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2.9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2.9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2.9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2.9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2.9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2.9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2.9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2.9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2.9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2.9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2.9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2.9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2.9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2.9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2.9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2.9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2.9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2.9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2.9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2.9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2.9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2.9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2.9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2.9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2.9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2.9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2.9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2.9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2.9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2.9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2.9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2.9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2.9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2.9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2.9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2.9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2.9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2.9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2.9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2.9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2.9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2.9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2.9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2.9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2.9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2.9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2.9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2.9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2.9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2.9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2.9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2.9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2.9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2.9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2.9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2.9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2.9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2.9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2.9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2.9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2.9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2.9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2.9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2.9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2.9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2.9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2.9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2.9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2.9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2.9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2.9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2.9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2.9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2.9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2.9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2.9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2.9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2.9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2.9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2.9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2.9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2.9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2.9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2.9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2.9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2.9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2.9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2.9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2.9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2.9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2.9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2.9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2.9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2.9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2.9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2.9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2.9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2.9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2.9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2.9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2.9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2.9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2.9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2.9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2.9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2.9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2.9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2.9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2.9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2.9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2.9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2.9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2.9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2.95">
      <c r="A328" s="22"/>
      <c r="B328" s="22"/>
      <c r="C328" s="22"/>
      <c r="D328" s="22"/>
      <c r="E328" s="22"/>
      <c r="F328" s="23"/>
      <c r="G328" s="22"/>
      <c r="H328" s="22"/>
      <c r="I328" s="23"/>
    </row>
  </sheetData>
  <mergeCells count="4">
    <mergeCell ref="G1:I1"/>
    <mergeCell ref="A1:C1"/>
    <mergeCell ref="D1:F1"/>
    <mergeCell ref="A2:B2"/>
  </mergeCells>
  <conditionalFormatting sqref="F2 I2 F4:F86 I4:I86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7"/>
  <sheetViews>
    <sheetView workbookViewId="0">
      <pane ySplit="3" topLeftCell="A4" activePane="bottomLeft" state="frozen"/>
      <selection pane="bottomLeft" activeCell="C7" sqref="C7"/>
      <selection activeCell="E30" sqref="E3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Pardee (ENCAP)</v>
      </c>
      <c r="B1" s="50"/>
      <c r="C1" s="50"/>
      <c r="D1" s="51" t="s">
        <v>18</v>
      </c>
      <c r="E1" s="51"/>
      <c r="F1" s="51"/>
      <c r="G1" s="49" t="s">
        <v>19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SUM(C4:C85)</f>
        <v>286603.185</v>
      </c>
      <c r="D2" s="5">
        <f>SUM(D4:D85)</f>
        <v>276538.33400000003</v>
      </c>
      <c r="E2" s="5">
        <f>C2-D2</f>
        <v>10064.850999999966</v>
      </c>
      <c r="F2" s="6">
        <f>IFERROR(E2/D2, 0)</f>
        <v>3.6395861848216547E-2</v>
      </c>
      <c r="G2" s="5">
        <f>SUM(G4:G85)</f>
        <v>295333.30099999998</v>
      </c>
      <c r="H2" s="7">
        <f>C2-G2</f>
        <v>-8730.11599999998</v>
      </c>
      <c r="I2" s="6">
        <f>IFERROR(H2/G2, 0)</f>
        <v>-2.9560215425892593E-2</v>
      </c>
      <c r="J2" s="27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5658.375</v>
      </c>
      <c r="D4" s="13">
        <v>4288.2389999999996</v>
      </c>
      <c r="E4" s="13">
        <f>IF(AND(ISNUMBER(C4),ISNUMBER(D4)), C4-D4, "")</f>
        <v>1370.1360000000004</v>
      </c>
      <c r="F4" s="14">
        <f>IFERROR(E4/D4, "")</f>
        <v>0.31951017655499159</v>
      </c>
      <c r="G4" s="15">
        <v>6613.6120000000001</v>
      </c>
      <c r="H4" s="15">
        <f>IF(AND(ISNUMBER(C4),ISNUMBER(G4)), C4-G4, "")</f>
        <v>-955.23700000000008</v>
      </c>
      <c r="I4" s="16">
        <f>IFERROR(H4/G4, "")</f>
        <v>-0.14443499255777328</v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>
        <v>20942.75</v>
      </c>
      <c r="D5" s="19">
        <v>22485.91</v>
      </c>
      <c r="E5" s="19">
        <f t="shared" ref="E5:E6" si="0">IF(AND(ISNUMBER(C5),ISNUMBER(D5)), C5-D5, "")</f>
        <v>-1543.1599999999999</v>
      </c>
      <c r="F5" s="20">
        <f>IFERROR(E5/D5, "")</f>
        <v>-6.8627865183130229E-2</v>
      </c>
      <c r="G5" s="21">
        <v>24320.71</v>
      </c>
      <c r="H5" s="21">
        <f t="shared" ref="H5:H6" si="1">IF(AND(ISNUMBER(C5),ISNUMBER(G5)), C5-G5, "")</f>
        <v>-3377.9599999999991</v>
      </c>
      <c r="I5" s="20">
        <f t="shared" ref="I5:I6" si="2">IFERROR(H5/G5, "")</f>
        <v>-0.13889232674539514</v>
      </c>
      <c r="J5" s="42"/>
      <c r="K5" s="43"/>
    </row>
    <row r="6" spans="1:11" ht="15.75">
      <c r="A6" s="29" t="str">
        <v>AZ: ASU - Pardee - Macro Tech.</v>
      </c>
      <c r="B6" s="30" t="str">
        <v>AZ</v>
      </c>
      <c r="C6" s="25">
        <v>93471.06</v>
      </c>
      <c r="D6" s="13">
        <v>84624.65</v>
      </c>
      <c r="E6" s="13">
        <f t="shared" si="0"/>
        <v>8846.4100000000035</v>
      </c>
      <c r="F6" s="14">
        <f t="shared" ref="F6:F14" si="3">IFERROR(E6/D6, "")</f>
        <v>0.10453703501284796</v>
      </c>
      <c r="G6" s="15">
        <v>90296.56</v>
      </c>
      <c r="H6" s="15">
        <f t="shared" si="1"/>
        <v>3174.5</v>
      </c>
      <c r="I6" s="16">
        <f t="shared" si="2"/>
        <v>3.5156378050282315E-2</v>
      </c>
      <c r="J6" s="17" t="s">
        <v>22</v>
      </c>
      <c r="K6" s="17" t="s">
        <v>23</v>
      </c>
    </row>
    <row r="7" spans="1:11" ht="15.75">
      <c r="A7" s="31" t="str">
        <v>AZ: ASU - Pardee - McCord Hall</v>
      </c>
      <c r="B7" s="32" t="str">
        <v>AZ</v>
      </c>
      <c r="C7" s="11">
        <v>7336.125</v>
      </c>
      <c r="D7" s="19">
        <v>5808.4049999999997</v>
      </c>
      <c r="E7" s="19">
        <f t="shared" ref="E7:E14" si="4">IF(AND(ISNUMBER(C7),ISNUMBER(D7)), C7-D7, "")</f>
        <v>1527.7200000000003</v>
      </c>
      <c r="F7" s="20">
        <f t="shared" si="3"/>
        <v>0.26301884940874481</v>
      </c>
      <c r="G7" s="21">
        <v>8928.8590000000004</v>
      </c>
      <c r="H7" s="21">
        <f t="shared" ref="H7:H14" si="5">IF(AND(ISNUMBER(C7),ISNUMBER(G7)), C7-G7, "")</f>
        <v>-1592.7340000000004</v>
      </c>
      <c r="I7" s="20">
        <f t="shared" ref="I7:I14" si="6">IFERROR(H7/G7, "")</f>
        <v>-0.17838046272205668</v>
      </c>
      <c r="J7" s="42" t="s">
        <v>24</v>
      </c>
      <c r="K7" s="42" t="s">
        <v>25</v>
      </c>
    </row>
    <row r="8" spans="1:11" ht="15.75">
      <c r="A8" s="29" t="str">
        <v>AZ: NAU - SF Garage</v>
      </c>
      <c r="B8" s="30" t="str">
        <v>AZ</v>
      </c>
      <c r="C8" s="25">
        <v>37150</v>
      </c>
      <c r="D8" s="13">
        <v>48177.46</v>
      </c>
      <c r="E8" s="13">
        <f t="shared" si="4"/>
        <v>-11027.46</v>
      </c>
      <c r="F8" s="14">
        <f t="shared" si="3"/>
        <v>-0.22889251529657229</v>
      </c>
      <c r="G8" s="15">
        <v>44269.38</v>
      </c>
      <c r="H8" s="15">
        <f t="shared" si="5"/>
        <v>-7119.3799999999974</v>
      </c>
      <c r="I8" s="16">
        <f t="shared" si="6"/>
        <v>-0.1608195100089497</v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>
        <v>17337.5</v>
      </c>
      <c r="D9" s="19">
        <v>14798.45</v>
      </c>
      <c r="E9" s="19">
        <f t="shared" si="4"/>
        <v>2539.0499999999993</v>
      </c>
      <c r="F9" s="20">
        <f t="shared" si="3"/>
        <v>0.17157540147785741</v>
      </c>
      <c r="G9" s="21">
        <v>10357.790000000001</v>
      </c>
      <c r="H9" s="21">
        <f t="shared" si="5"/>
        <v>6979.7099999999991</v>
      </c>
      <c r="I9" s="20">
        <f t="shared" si="6"/>
        <v>0.67386092979293832</v>
      </c>
      <c r="J9" s="42"/>
      <c r="K9" s="43"/>
    </row>
    <row r="10" spans="1:11" ht="15.75">
      <c r="A10" s="29" t="str">
        <v>AZ: ASU - Pardee - Parking Lot 19</v>
      </c>
      <c r="B10" s="30" t="str">
        <v>AZ</v>
      </c>
      <c r="C10" s="25">
        <v>24207.75</v>
      </c>
      <c r="D10" s="13">
        <v>22732.63</v>
      </c>
      <c r="E10" s="13">
        <f t="shared" si="4"/>
        <v>1475.119999999999</v>
      </c>
      <c r="F10" s="14">
        <f t="shared" si="3"/>
        <v>6.4889984132940129E-2</v>
      </c>
      <c r="G10" s="15">
        <v>15337.79</v>
      </c>
      <c r="H10" s="15">
        <f t="shared" si="5"/>
        <v>8869.9599999999991</v>
      </c>
      <c r="I10" s="16">
        <f t="shared" si="6"/>
        <v>0.57830756582271625</v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>
        <v>18216.6875</v>
      </c>
      <c r="D11" s="19">
        <v>18371.14</v>
      </c>
      <c r="E11" s="19">
        <f t="shared" si="4"/>
        <v>-154.45249999999942</v>
      </c>
      <c r="F11" s="20">
        <f t="shared" si="3"/>
        <v>-8.4073443455332346E-3</v>
      </c>
      <c r="G11" s="21">
        <v>21781.47</v>
      </c>
      <c r="H11" s="21">
        <f t="shared" si="5"/>
        <v>-3564.7825000000012</v>
      </c>
      <c r="I11" s="20">
        <f t="shared" si="6"/>
        <v>-0.16366124508584595</v>
      </c>
      <c r="J11" s="42"/>
      <c r="K11" s="43"/>
    </row>
    <row r="12" spans="1:11" ht="15.75">
      <c r="A12" s="29" t="str">
        <v>AZ: ASU - Pardee - Parking Lot 58</v>
      </c>
      <c r="B12" s="30" t="str">
        <v>AZ</v>
      </c>
      <c r="C12" s="25">
        <v>18853.625</v>
      </c>
      <c r="D12" s="13">
        <v>16485.98</v>
      </c>
      <c r="E12" s="13">
        <f t="shared" si="4"/>
        <v>2367.6450000000004</v>
      </c>
      <c r="F12" s="14">
        <f t="shared" si="3"/>
        <v>0.14361566615997354</v>
      </c>
      <c r="G12" s="15">
        <v>23088.75</v>
      </c>
      <c r="H12" s="15">
        <f t="shared" si="5"/>
        <v>-4235.125</v>
      </c>
      <c r="I12" s="16">
        <f t="shared" si="6"/>
        <v>-0.18342807644415571</v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>
        <v>23961.8125</v>
      </c>
      <c r="D13" s="19">
        <v>18005.490000000002</v>
      </c>
      <c r="E13" s="19">
        <f t="shared" si="4"/>
        <v>5956.3224999999984</v>
      </c>
      <c r="F13" s="20">
        <f t="shared" si="3"/>
        <v>0.33080590975308077</v>
      </c>
      <c r="G13" s="21">
        <v>25253.38</v>
      </c>
      <c r="H13" s="21">
        <f t="shared" si="5"/>
        <v>-1291.567500000001</v>
      </c>
      <c r="I13" s="20">
        <f t="shared" si="6"/>
        <v>-5.1144341866316549E-2</v>
      </c>
      <c r="J13" s="42"/>
      <c r="K13" s="43"/>
    </row>
    <row r="14" spans="1:11" ht="15.75">
      <c r="A14" s="29" t="str">
        <v>AZ: ASU - Pardee - Sun Devil Complex</v>
      </c>
      <c r="B14" s="30" t="str">
        <v>AZ</v>
      </c>
      <c r="C14" s="25">
        <v>19467.5</v>
      </c>
      <c r="D14" s="13">
        <v>20759.98</v>
      </c>
      <c r="E14" s="13">
        <f t="shared" si="4"/>
        <v>-1292.4799999999996</v>
      </c>
      <c r="F14" s="14">
        <f t="shared" si="3"/>
        <v>-6.2258248803707887E-2</v>
      </c>
      <c r="G14" s="15">
        <v>25085</v>
      </c>
      <c r="H14" s="15">
        <f t="shared" si="5"/>
        <v>-5617.5</v>
      </c>
      <c r="I14" s="16">
        <f t="shared" si="6"/>
        <v>-0.22393860873031693</v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3"/>
      <c r="G18" s="22"/>
      <c r="H18" s="22"/>
      <c r="I18" s="23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</sheetData>
  <mergeCells count="4">
    <mergeCell ref="D1:F1"/>
    <mergeCell ref="A1:C1"/>
    <mergeCell ref="G1:I1"/>
    <mergeCell ref="A2:B2"/>
  </mergeCells>
  <conditionalFormatting sqref="F2 I2 F4:F85 I4:I85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8"/>
  <sheetViews>
    <sheetView workbookViewId="0">
      <pane ySplit="2" topLeftCell="A3" activePane="bottomLeft" state="frozen"/>
      <selection pane="bottomLeft" activeCell="J14" sqref="J14"/>
      <selection activeCell="E30" sqref="E3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Pardee (ENCAP)</v>
      </c>
      <c r="B1" s="50"/>
      <c r="C1" s="50"/>
      <c r="D1" s="51" t="s">
        <v>26</v>
      </c>
      <c r="E1" s="51"/>
      <c r="F1" s="51"/>
      <c r="G1" s="49" t="s">
        <v>27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SUM(C4:C86)</f>
        <v>309680</v>
      </c>
      <c r="D2" s="5">
        <f>SUM(D4:D86)</f>
        <v>316895.79200000002</v>
      </c>
      <c r="E2" s="5">
        <f>C2-D2</f>
        <v>-7215.7920000000158</v>
      </c>
      <c r="F2" s="6">
        <f>IFERROR(E2/D2, 0)</f>
        <v>-2.2770236090733625E-2</v>
      </c>
      <c r="G2" s="5">
        <f>SUM(G4:G86)</f>
        <v>338232.72100000002</v>
      </c>
      <c r="H2" s="7">
        <f>C2-G2</f>
        <v>-28552.72100000002</v>
      </c>
      <c r="I2" s="6">
        <f>IFERROR(H2/G2, 0)</f>
        <v>-8.4417382551228742E-2</v>
      </c>
      <c r="J2" s="27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6617</v>
      </c>
      <c r="D4" s="13">
        <v>5438.8980000000001</v>
      </c>
      <c r="E4" s="13">
        <f>IF(AND(ISNUMBER(C4),ISNUMBER(D4)), C4-D4, "")</f>
        <v>1178.1019999999999</v>
      </c>
      <c r="F4" s="14">
        <f>IFERROR(E4/D4, "")</f>
        <v>0.21660674644017958</v>
      </c>
      <c r="G4" s="15">
        <v>7532.451</v>
      </c>
      <c r="H4" s="15">
        <f>IF(AND(ISNUMBER(C4),ISNUMBER(G4)), C4-G4, "")</f>
        <v>-915.45100000000002</v>
      </c>
      <c r="I4" s="16">
        <f>IFERROR(H4/G4, "")</f>
        <v>-0.12153427881575334</v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>
        <v>24988</v>
      </c>
      <c r="D5" s="19">
        <v>25880.78</v>
      </c>
      <c r="E5" s="19">
        <f t="shared" ref="E5:E14" si="0">IF(AND(ISNUMBER(C5),ISNUMBER(D5)), C5-D5, "")</f>
        <v>-892.77999999999884</v>
      </c>
      <c r="F5" s="20">
        <f>IFERROR(E5/D5, "")</f>
        <v>-3.4495869135319678E-2</v>
      </c>
      <c r="G5" s="21">
        <v>27910.12</v>
      </c>
      <c r="H5" s="21">
        <f t="shared" ref="H5:H14" si="1">IF(AND(ISNUMBER(C5),ISNUMBER(G5)), C5-G5, "")</f>
        <v>-2922.119999999999</v>
      </c>
      <c r="I5" s="20">
        <f t="shared" ref="I5:I14" si="2">IFERROR(H5/G5, "")</f>
        <v>-0.10469750757073058</v>
      </c>
      <c r="J5" s="10"/>
      <c r="K5" s="18"/>
    </row>
    <row r="6" spans="1:11" ht="45.75">
      <c r="A6" s="29" t="str">
        <v>AZ: ASU - Pardee - Macro Tech.</v>
      </c>
      <c r="B6" s="30" t="str">
        <v>AZ</v>
      </c>
      <c r="C6" s="25">
        <v>98495.5</v>
      </c>
      <c r="D6" s="13">
        <v>100242</v>
      </c>
      <c r="E6" s="13">
        <f t="shared" si="0"/>
        <v>-1746.5</v>
      </c>
      <c r="F6" s="14">
        <f t="shared" ref="F6:F14" si="3">IFERROR(E6/D6, "")</f>
        <v>-1.7422836735101057E-2</v>
      </c>
      <c r="G6" s="15">
        <v>97496.26</v>
      </c>
      <c r="H6" s="15">
        <f t="shared" si="1"/>
        <v>999.24000000000524</v>
      </c>
      <c r="I6" s="16">
        <f t="shared" si="2"/>
        <v>1.0249008526070696E-2</v>
      </c>
      <c r="J6" s="17" t="s">
        <v>28</v>
      </c>
      <c r="K6" s="17" t="s">
        <v>29</v>
      </c>
    </row>
    <row r="7" spans="1:11" ht="15.75">
      <c r="A7" s="31" t="str">
        <v>AZ: ASU - Pardee - McCord Hall</v>
      </c>
      <c r="B7" s="32" t="str">
        <v>AZ</v>
      </c>
      <c r="C7" s="11">
        <v>9062.25</v>
      </c>
      <c r="D7" s="19">
        <v>7131.9440000000004</v>
      </c>
      <c r="E7" s="19">
        <f t="shared" si="0"/>
        <v>1930.3059999999996</v>
      </c>
      <c r="F7" s="20">
        <f t="shared" si="3"/>
        <v>0.27065635961247025</v>
      </c>
      <c r="G7" s="21">
        <v>10168.08</v>
      </c>
      <c r="H7" s="21">
        <f t="shared" si="1"/>
        <v>-1105.83</v>
      </c>
      <c r="I7" s="20">
        <f t="shared" si="2"/>
        <v>-0.10875504520027379</v>
      </c>
      <c r="J7" s="10"/>
      <c r="K7" s="18"/>
    </row>
    <row r="8" spans="1:11" ht="30.75">
      <c r="A8" s="29" t="str">
        <v>AZ: NAU - SF Garage</v>
      </c>
      <c r="B8" s="30" t="str">
        <v>AZ</v>
      </c>
      <c r="C8" s="25">
        <v>29342</v>
      </c>
      <c r="D8" s="13">
        <v>45707</v>
      </c>
      <c r="E8" s="13">
        <f t="shared" si="0"/>
        <v>-16365</v>
      </c>
      <c r="F8" s="14">
        <f t="shared" si="3"/>
        <v>-0.35804143785415798</v>
      </c>
      <c r="G8" s="15">
        <v>54628</v>
      </c>
      <c r="H8" s="15">
        <f t="shared" si="1"/>
        <v>-25286</v>
      </c>
      <c r="I8" s="16">
        <f t="shared" si="2"/>
        <v>-0.46287618071318737</v>
      </c>
      <c r="J8" s="44" t="s">
        <v>30</v>
      </c>
      <c r="K8" s="17"/>
    </row>
    <row r="9" spans="1:11" ht="32.25">
      <c r="A9" s="31" t="str">
        <v>AZ: ASU - Pardee - Parking Lot 11</v>
      </c>
      <c r="B9" s="32" t="str">
        <v>AZ</v>
      </c>
      <c r="C9" s="11">
        <v>10468.9375</v>
      </c>
      <c r="D9" s="19">
        <v>17416.29</v>
      </c>
      <c r="E9" s="19">
        <f t="shared" si="0"/>
        <v>-6947.3525000000009</v>
      </c>
      <c r="F9" s="20">
        <f t="shared" si="3"/>
        <v>-0.39889967955287842</v>
      </c>
      <c r="G9" s="21">
        <v>13455.15</v>
      </c>
      <c r="H9" s="21">
        <f t="shared" si="1"/>
        <v>-2986.2124999999996</v>
      </c>
      <c r="I9" s="20">
        <f t="shared" si="2"/>
        <v>-0.22193825412574367</v>
      </c>
      <c r="J9" s="46" t="s">
        <v>31</v>
      </c>
      <c r="K9" s="47" t="s">
        <v>32</v>
      </c>
    </row>
    <row r="10" spans="1:11" ht="15.75">
      <c r="A10" s="29" t="str">
        <v>AZ: ASU - Pardee - Parking Lot 19</v>
      </c>
      <c r="B10" s="30" t="str">
        <v>AZ</v>
      </c>
      <c r="C10" s="25">
        <v>28505.375</v>
      </c>
      <c r="D10" s="13">
        <v>26099.84</v>
      </c>
      <c r="E10" s="13">
        <f t="shared" si="0"/>
        <v>2405.5349999999999</v>
      </c>
      <c r="F10" s="14">
        <f t="shared" si="3"/>
        <v>9.2166656960349175E-2</v>
      </c>
      <c r="G10" s="15">
        <v>19923.12</v>
      </c>
      <c r="H10" s="15">
        <f t="shared" si="1"/>
        <v>8582.255000000001</v>
      </c>
      <c r="I10" s="16">
        <f t="shared" si="2"/>
        <v>0.4307686245929353</v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>
        <v>23220.6875</v>
      </c>
      <c r="D11" s="19">
        <v>21480.82</v>
      </c>
      <c r="E11" s="19">
        <f t="shared" si="0"/>
        <v>1739.8675000000003</v>
      </c>
      <c r="F11" s="20">
        <f t="shared" si="3"/>
        <v>8.0996326024797949E-2</v>
      </c>
      <c r="G11" s="21">
        <v>24995.58</v>
      </c>
      <c r="H11" s="21">
        <f t="shared" si="1"/>
        <v>-1774.8925000000017</v>
      </c>
      <c r="I11" s="20">
        <f t="shared" si="2"/>
        <v>-7.1008254259353115E-2</v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>
        <v>23236.5</v>
      </c>
      <c r="D12" s="13">
        <v>20660.419999999998</v>
      </c>
      <c r="E12" s="13">
        <f t="shared" si="0"/>
        <v>2576.0800000000017</v>
      </c>
      <c r="F12" s="14">
        <f t="shared" si="3"/>
        <v>0.12468671982466968</v>
      </c>
      <c r="G12" s="15">
        <v>26294.57</v>
      </c>
      <c r="H12" s="15">
        <f t="shared" si="1"/>
        <v>-3058.0699999999997</v>
      </c>
      <c r="I12" s="16">
        <f t="shared" si="2"/>
        <v>-0.11630043769493092</v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>
        <v>27805.25</v>
      </c>
      <c r="D13" s="19">
        <v>22564.69</v>
      </c>
      <c r="E13" s="19">
        <f t="shared" si="0"/>
        <v>5240.5600000000013</v>
      </c>
      <c r="F13" s="20">
        <f t="shared" si="3"/>
        <v>0.23224604459445272</v>
      </c>
      <c r="G13" s="21">
        <v>28759.39</v>
      </c>
      <c r="H13" s="21">
        <f t="shared" si="1"/>
        <v>-954.13999999999942</v>
      </c>
      <c r="I13" s="20">
        <f t="shared" si="2"/>
        <v>-3.3176642480942729E-2</v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>
        <v>27938.5</v>
      </c>
      <c r="D14" s="13">
        <v>24273.11</v>
      </c>
      <c r="E14" s="13">
        <f t="shared" si="0"/>
        <v>3665.3899999999994</v>
      </c>
      <c r="F14" s="14">
        <f t="shared" si="3"/>
        <v>0.1510061957450034</v>
      </c>
      <c r="G14" s="15">
        <v>27070</v>
      </c>
      <c r="H14" s="15">
        <f t="shared" si="1"/>
        <v>868.5</v>
      </c>
      <c r="I14" s="16">
        <f t="shared" si="2"/>
        <v>3.208348725526413E-2</v>
      </c>
      <c r="J14" s="17" t="s">
        <v>33</v>
      </c>
      <c r="K14" s="17" t="s">
        <v>34</v>
      </c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1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8"/>
  <sheetViews>
    <sheetView tabSelected="1" workbookViewId="0">
      <pane ySplit="2" topLeftCell="A3" activePane="bottomLeft" state="frozen"/>
      <selection pane="bottomLeft" activeCell="D19" sqref="D19"/>
      <selection activeCell="E30" sqref="E3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Pardee (ENCAP)</v>
      </c>
      <c r="B1" s="50"/>
      <c r="C1" s="50"/>
      <c r="D1" s="51" t="s">
        <v>35</v>
      </c>
      <c r="E1" s="51"/>
      <c r="F1" s="51"/>
      <c r="G1" s="49" t="s">
        <v>36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SUM(C4:C86)</f>
        <v>450211.02500000002</v>
      </c>
      <c r="D2" s="5">
        <f>SUM(D4:D86)</f>
        <v>431731.30900000001</v>
      </c>
      <c r="E2" s="5">
        <f>C2-D2</f>
        <v>18479.716000000015</v>
      </c>
      <c r="F2" s="6">
        <f>IFERROR(E2/D2, 0)</f>
        <v>4.2803743010447301E-2</v>
      </c>
      <c r="G2" s="5">
        <f>SUM(G4:G86)</f>
        <v>453264.58499999996</v>
      </c>
      <c r="H2" s="7">
        <f>C2-G2</f>
        <v>-3053.5599999999395</v>
      </c>
      <c r="I2" s="6">
        <f>IFERROR(H2/G2, 0)</f>
        <v>-6.7368157607105789E-3</v>
      </c>
      <c r="J2" s="27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8756</v>
      </c>
      <c r="D4" s="13">
        <v>7521.5029999999997</v>
      </c>
      <c r="E4" s="13">
        <f>IF(AND(ISNUMBER(C4),ISNUMBER(D4)), C4-D4, "")</f>
        <v>1234.4970000000003</v>
      </c>
      <c r="F4" s="14">
        <f>IFERROR(E4/D4, "")</f>
        <v>0.16412903112582689</v>
      </c>
      <c r="G4" s="15">
        <v>9715.4549999999999</v>
      </c>
      <c r="H4" s="15">
        <f>IF(AND(ISNUMBER(C4),ISNUMBER(G4)), C4-G4, "")</f>
        <v>-959.45499999999993</v>
      </c>
      <c r="I4" s="16">
        <f>IFERROR(H4/G4, "")</f>
        <v>-9.8755539498664752E-2</v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>
        <v>33193.5</v>
      </c>
      <c r="D5" s="19">
        <v>34262.550000000003</v>
      </c>
      <c r="E5" s="19">
        <f t="shared" ref="E5:E14" si="0">IF(AND(ISNUMBER(C5),ISNUMBER(D5)), C5-D5, "")</f>
        <v>-1069.0500000000029</v>
      </c>
      <c r="F5" s="20">
        <f>IFERROR(E5/D5, "")</f>
        <v>-3.1201705652381471E-2</v>
      </c>
      <c r="G5" s="21">
        <v>36386.410000000003</v>
      </c>
      <c r="H5" s="21">
        <f t="shared" ref="H5:H14" si="1">IF(AND(ISNUMBER(C5),ISNUMBER(G5)), C5-G5, "")</f>
        <v>-3192.9100000000035</v>
      </c>
      <c r="I5" s="20">
        <f t="shared" ref="I5:I14" si="2">IFERROR(H5/G5, "")</f>
        <v>-8.7750069325333371E-2</v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>
        <v>135438.9</v>
      </c>
      <c r="D6" s="13">
        <v>131408.9</v>
      </c>
      <c r="E6" s="13">
        <f t="shared" si="0"/>
        <v>4030</v>
      </c>
      <c r="F6" s="14">
        <f t="shared" ref="F6:F14" si="3">IFERROR(E6/D6, "")</f>
        <v>3.0667633622989007E-2</v>
      </c>
      <c r="G6" s="15">
        <v>132781.79999999999</v>
      </c>
      <c r="H6" s="15">
        <f t="shared" si="1"/>
        <v>2657.1000000000058</v>
      </c>
      <c r="I6" s="16">
        <f t="shared" si="2"/>
        <v>2.0011025607425161E-2</v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>
        <v>11953.25</v>
      </c>
      <c r="D7" s="19">
        <v>9906.4959999999992</v>
      </c>
      <c r="E7" s="19">
        <f t="shared" si="0"/>
        <v>2046.7540000000008</v>
      </c>
      <c r="F7" s="20">
        <f t="shared" si="3"/>
        <v>0.20660726052884903</v>
      </c>
      <c r="G7" s="21">
        <v>13116.01</v>
      </c>
      <c r="H7" s="21">
        <f t="shared" si="1"/>
        <v>-1162.7600000000002</v>
      </c>
      <c r="I7" s="20">
        <f t="shared" si="2"/>
        <v>-8.8651960466635829E-2</v>
      </c>
      <c r="J7" s="10"/>
      <c r="K7" s="18"/>
    </row>
    <row r="8" spans="1:11" ht="15.75">
      <c r="A8" s="29" t="str">
        <v>AZ: NAU - SF Garage</v>
      </c>
      <c r="B8" s="30" t="str">
        <v>AZ</v>
      </c>
      <c r="C8" s="25">
        <v>63226</v>
      </c>
      <c r="D8" s="13">
        <v>71168</v>
      </c>
      <c r="E8" s="13">
        <f t="shared" si="0"/>
        <v>-7942</v>
      </c>
      <c r="F8" s="14">
        <f t="shared" si="3"/>
        <v>-0.11159509892086331</v>
      </c>
      <c r="G8" s="15">
        <v>71030</v>
      </c>
      <c r="H8" s="15">
        <f t="shared" si="1"/>
        <v>-7804</v>
      </c>
      <c r="I8" s="16">
        <f t="shared" si="2"/>
        <v>-0.1098690694072927</v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>
        <v>26091.875</v>
      </c>
      <c r="D9" s="19">
        <v>23622.59</v>
      </c>
      <c r="E9" s="19">
        <f t="shared" si="0"/>
        <v>2469.2849999999999</v>
      </c>
      <c r="F9" s="20">
        <f t="shared" si="3"/>
        <v>0.10453066323379442</v>
      </c>
      <c r="G9" s="21">
        <v>20343.509999999998</v>
      </c>
      <c r="H9" s="21">
        <f t="shared" si="1"/>
        <v>5748.3650000000016</v>
      </c>
      <c r="I9" s="20">
        <f t="shared" si="2"/>
        <v>0.28256505391645798</v>
      </c>
      <c r="J9" s="45" t="s">
        <v>37</v>
      </c>
      <c r="K9" s="48" t="s">
        <v>38</v>
      </c>
    </row>
    <row r="10" spans="1:11" ht="15.75">
      <c r="A10" s="29" t="str">
        <v>AZ: ASU - Pardee - Parking Lot 19</v>
      </c>
      <c r="B10" s="30" t="str">
        <v>AZ</v>
      </c>
      <c r="C10" s="25">
        <v>37394</v>
      </c>
      <c r="D10" s="13">
        <v>34059.86</v>
      </c>
      <c r="E10" s="13">
        <f t="shared" si="0"/>
        <v>3334.1399999999994</v>
      </c>
      <c r="F10" s="14">
        <f t="shared" si="3"/>
        <v>9.7890596144552547E-2</v>
      </c>
      <c r="G10" s="15">
        <v>30123.599999999999</v>
      </c>
      <c r="H10" s="15">
        <f t="shared" si="1"/>
        <v>7270.4000000000015</v>
      </c>
      <c r="I10" s="16">
        <f t="shared" si="2"/>
        <v>0.24135229521039989</v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>
        <v>31922.5</v>
      </c>
      <c r="D11" s="19">
        <v>28462.89</v>
      </c>
      <c r="E11" s="19">
        <f t="shared" si="0"/>
        <v>3459.6100000000006</v>
      </c>
      <c r="F11" s="20">
        <f t="shared" si="3"/>
        <v>0.12154809297299046</v>
      </c>
      <c r="G11" s="21">
        <v>32587.439999999999</v>
      </c>
      <c r="H11" s="21">
        <f t="shared" si="1"/>
        <v>-664.93999999999869</v>
      </c>
      <c r="I11" s="20">
        <f t="shared" si="2"/>
        <v>-2.0404793994250506E-2</v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>
        <v>31852.875</v>
      </c>
      <c r="D12" s="13">
        <v>28304.94</v>
      </c>
      <c r="E12" s="13">
        <f t="shared" si="0"/>
        <v>3547.9350000000013</v>
      </c>
      <c r="F12" s="14">
        <f t="shared" si="3"/>
        <v>0.12534684758208289</v>
      </c>
      <c r="G12" s="15">
        <v>33914.86</v>
      </c>
      <c r="H12" s="15">
        <f t="shared" si="1"/>
        <v>-2061.9850000000006</v>
      </c>
      <c r="I12" s="16">
        <f t="shared" si="2"/>
        <v>-6.0798865158222692E-2</v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>
        <v>36558.125</v>
      </c>
      <c r="D13" s="19">
        <v>30913.33</v>
      </c>
      <c r="E13" s="19">
        <f t="shared" si="0"/>
        <v>5644.7949999999983</v>
      </c>
      <c r="F13" s="20">
        <f t="shared" si="3"/>
        <v>0.18260067744238481</v>
      </c>
      <c r="G13" s="21">
        <v>37094.5</v>
      </c>
      <c r="H13" s="21">
        <f t="shared" si="1"/>
        <v>-536.375</v>
      </c>
      <c r="I13" s="20">
        <f t="shared" si="2"/>
        <v>-1.4459690789739719E-2</v>
      </c>
      <c r="J13" s="10"/>
      <c r="K13" s="18"/>
    </row>
    <row r="14" spans="1:11" ht="45.75">
      <c r="A14" s="29" t="str">
        <v>AZ: ASU - Pardee - Sun Devil Complex</v>
      </c>
      <c r="B14" s="30" t="str">
        <v>AZ</v>
      </c>
      <c r="C14" s="25">
        <v>33824</v>
      </c>
      <c r="D14" s="13">
        <v>32100.25</v>
      </c>
      <c r="E14" s="13">
        <f t="shared" si="0"/>
        <v>1723.75</v>
      </c>
      <c r="F14" s="14">
        <f t="shared" si="3"/>
        <v>5.3698958730851003E-2</v>
      </c>
      <c r="G14" s="15">
        <v>36171</v>
      </c>
      <c r="H14" s="15">
        <f t="shared" si="1"/>
        <v>-2347</v>
      </c>
      <c r="I14" s="16">
        <f t="shared" si="2"/>
        <v>-6.4886234829006656E-2</v>
      </c>
      <c r="J14" s="17" t="s">
        <v>39</v>
      </c>
      <c r="K14" s="17" t="s">
        <v>40</v>
      </c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1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Pardee (ENCAP)</v>
      </c>
      <c r="B1" s="50"/>
      <c r="C1" s="50"/>
      <c r="D1" s="51" t="s">
        <v>41</v>
      </c>
      <c r="E1" s="51"/>
      <c r="F1" s="51"/>
      <c r="G1" s="49" t="s">
        <v>42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1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Pardee (ENCAP)</v>
      </c>
      <c r="B1" s="50"/>
      <c r="C1" s="50"/>
      <c r="D1" s="51" t="s">
        <v>43</v>
      </c>
      <c r="E1" s="51"/>
      <c r="F1" s="51"/>
      <c r="G1" s="49" t="s">
        <v>44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1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Pardee (ENCAP)</v>
      </c>
      <c r="B1" s="50"/>
      <c r="C1" s="50"/>
      <c r="D1" s="51" t="s">
        <v>45</v>
      </c>
      <c r="E1" s="51"/>
      <c r="F1" s="51"/>
      <c r="G1" s="49" t="s">
        <v>46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1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Pardee (ENCAP)</v>
      </c>
      <c r="B1" s="50"/>
      <c r="C1" s="50"/>
      <c r="D1" s="51" t="s">
        <v>47</v>
      </c>
      <c r="E1" s="51"/>
      <c r="F1" s="51"/>
      <c r="G1" s="49" t="s">
        <v>48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1">
      <c r="C328" s="22"/>
      <c r="D328" s="22"/>
      <c r="E328" s="22"/>
      <c r="F328" s="23"/>
      <c r="G328" s="22"/>
      <c r="H328" s="22"/>
      <c r="I328" s="23"/>
      <c r="J328" s="22"/>
      <c r="K328" s="22"/>
    </row>
  </sheetData>
  <sortState xmlns:xlrd2="http://schemas.microsoft.com/office/spreadsheetml/2017/richdata2" ref="A3:K14">
    <sortCondition ref="A3:A14"/>
  </sortState>
  <mergeCells count="4">
    <mergeCell ref="G1:I1"/>
    <mergeCell ref="A1:C1"/>
    <mergeCell ref="D1:F1"/>
    <mergeCell ref="A2:B2"/>
  </mergeCells>
  <conditionalFormatting sqref="F2 I2 F4:F86 I4:I86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Pardee (ENCAP)</v>
      </c>
      <c r="B1" s="50"/>
      <c r="C1" s="50"/>
      <c r="D1" s="51" t="s">
        <v>49</v>
      </c>
      <c r="E1" s="51"/>
      <c r="F1" s="51"/>
      <c r="G1" s="49" t="s">
        <v>50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1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Pardee (ENCAP)</v>
      </c>
      <c r="B1" s="50"/>
      <c r="C1" s="50"/>
      <c r="D1" s="51" t="s">
        <v>51</v>
      </c>
      <c r="E1" s="51"/>
      <c r="F1" s="51"/>
      <c r="G1" s="49" t="s">
        <v>52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1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Pardee (ENCAP)</v>
      </c>
      <c r="B1" s="50"/>
      <c r="C1" s="50"/>
      <c r="D1" s="51" t="s">
        <v>53</v>
      </c>
      <c r="E1" s="51"/>
      <c r="F1" s="51"/>
      <c r="G1" s="49" t="s">
        <v>54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1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Pardee (ENCAP)</v>
      </c>
      <c r="B1" s="50"/>
      <c r="C1" s="50"/>
      <c r="D1" s="51" t="s">
        <v>55</v>
      </c>
      <c r="E1" s="51"/>
      <c r="F1" s="51"/>
      <c r="G1" s="49" t="s">
        <v>56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1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Pardee (ENCAP)</v>
      </c>
      <c r="B1" s="50"/>
      <c r="C1" s="50"/>
      <c r="D1" s="51" t="s">
        <v>57</v>
      </c>
      <c r="E1" s="51"/>
      <c r="F1" s="51"/>
      <c r="G1" s="49" t="s">
        <v>58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1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14"/>
  <sheetViews>
    <sheetView workbookViewId="0">
      <pane ySplit="3" topLeftCell="A4" activePane="bottomLeft" state="frozen"/>
      <selection pane="bottomLeft" activeCell="A15" sqref="A15:XFD21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5" ht="12.75" customHeight="1">
      <c r="A1" t="s">
        <v>59</v>
      </c>
      <c r="B1" t="s">
        <v>60</v>
      </c>
    </row>
    <row r="3" spans="1:5">
      <c r="A3" t="s">
        <v>61</v>
      </c>
      <c r="B3" t="s">
        <v>3</v>
      </c>
      <c r="C3" t="s">
        <v>4</v>
      </c>
      <c r="D3" t="s">
        <v>62</v>
      </c>
      <c r="E3" s="2" t="s">
        <v>63</v>
      </c>
    </row>
    <row r="4" spans="1:5" ht="12.75" customHeight="1">
      <c r="A4" t="s">
        <v>64</v>
      </c>
      <c r="B4" t="s">
        <v>64</v>
      </c>
      <c r="C4" s="3" t="s">
        <v>65</v>
      </c>
      <c r="D4" t="s">
        <v>66</v>
      </c>
    </row>
    <row r="5" spans="1:5" ht="12.75" customHeight="1">
      <c r="A5" t="s">
        <v>67</v>
      </c>
      <c r="B5" t="s">
        <v>67</v>
      </c>
      <c r="C5" s="3" t="s">
        <v>65</v>
      </c>
      <c r="D5" t="s">
        <v>66</v>
      </c>
    </row>
    <row r="6" spans="1:5" ht="12.75" customHeight="1">
      <c r="A6" t="s">
        <v>68</v>
      </c>
      <c r="B6" t="s">
        <v>68</v>
      </c>
      <c r="C6" s="3" t="s">
        <v>65</v>
      </c>
      <c r="D6" t="s">
        <v>66</v>
      </c>
    </row>
    <row r="7" spans="1:5" ht="12.75" customHeight="1">
      <c r="A7" t="s">
        <v>69</v>
      </c>
      <c r="B7" t="s">
        <v>69</v>
      </c>
      <c r="C7" s="3" t="s">
        <v>65</v>
      </c>
      <c r="D7" t="s">
        <v>66</v>
      </c>
    </row>
    <row r="8" spans="1:5" ht="12.75" customHeight="1">
      <c r="A8" t="s">
        <v>70</v>
      </c>
      <c r="B8" t="s">
        <v>70</v>
      </c>
      <c r="C8" s="3" t="s">
        <v>65</v>
      </c>
      <c r="D8" t="s">
        <v>66</v>
      </c>
    </row>
    <row r="9" spans="1:5" ht="12.75" customHeight="1">
      <c r="A9" t="s">
        <v>71</v>
      </c>
      <c r="B9" t="s">
        <v>71</v>
      </c>
      <c r="C9" s="3" t="s">
        <v>65</v>
      </c>
      <c r="D9" t="s">
        <v>66</v>
      </c>
    </row>
    <row r="10" spans="1:5" ht="12.75" customHeight="1">
      <c r="A10" t="s">
        <v>72</v>
      </c>
      <c r="B10" t="s">
        <v>72</v>
      </c>
      <c r="C10" s="3" t="s">
        <v>65</v>
      </c>
      <c r="D10" t="s">
        <v>66</v>
      </c>
    </row>
    <row r="11" spans="1:5" ht="12.75" customHeight="1">
      <c r="A11" t="s">
        <v>73</v>
      </c>
      <c r="B11" t="s">
        <v>73</v>
      </c>
      <c r="C11" s="3" t="s">
        <v>65</v>
      </c>
      <c r="D11" t="s">
        <v>66</v>
      </c>
    </row>
    <row r="12" spans="1:5" ht="12.75" customHeight="1">
      <c r="A12" t="s">
        <v>74</v>
      </c>
      <c r="B12" t="s">
        <v>74</v>
      </c>
      <c r="C12" s="3" t="s">
        <v>65</v>
      </c>
      <c r="D12" t="s">
        <v>66</v>
      </c>
    </row>
    <row r="13" spans="1:5" ht="12.75" customHeight="1">
      <c r="A13" t="s">
        <v>75</v>
      </c>
      <c r="B13" t="s">
        <v>75</v>
      </c>
      <c r="C13" s="3" t="s">
        <v>65</v>
      </c>
      <c r="D13" t="s">
        <v>66</v>
      </c>
    </row>
    <row r="14" spans="1:5" ht="12.75" customHeight="1">
      <c r="A14" t="s">
        <v>76</v>
      </c>
      <c r="B14" t="s">
        <v>76</v>
      </c>
      <c r="C14" s="3" t="s">
        <v>65</v>
      </c>
      <c r="D14" t="s">
        <v>66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C0BCDC1E-6052-4E48-9BAF-94A40814E7C2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Sanjaykumar Gunde</cp:lastModifiedBy>
  <cp:revision/>
  <dcterms:created xsi:type="dcterms:W3CDTF">2021-01-01T16:39:53Z</dcterms:created>
  <dcterms:modified xsi:type="dcterms:W3CDTF">2024-07-07T18:27:11Z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