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21" documentId="13_ncr:1_{E055DD24-2325-45FB-9662-429E1B6D4754}" xr6:coauthVersionLast="47" xr6:coauthVersionMax="47" xr10:uidLastSave="{B9E39541-7E70-4FED-889A-FF8DEC84AB9D}"/>
  <bookViews>
    <workbookView xWindow="-108" yWindow="-108" windowWidth="23256" windowHeight="12456" tabRatio="866" firstSheet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<sst xmlns="http://schemas.openxmlformats.org/spreadsheetml/2006/main" count="242" uniqueCount="55">
  <si>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</si>
  <si>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</si>
  <si>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</si>
  <si>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</si>
  <si>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</si>
  <si>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</si>
  <si>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</si>
  <si>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</si>
  <si>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</si>
  <si>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</si>
  <si>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</si>
  <si>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</si>
  <si>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</si>
  <si>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</si>
  <si>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</si>
  <si>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</si>
  <si>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</si>
  <si>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</si>
  <si>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</si>
  <si>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</si>
  <si>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</si>
  <si>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</si>
  <si>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</si>
  <si>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</si>
  <si>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</si>
  <si>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</si>
  <si>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3 is offline from 03/22 to 03/25.</t>
  </si>
  <si>
    <t>1. SR082391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</si>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</sst>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tabSelected="1" workbookViewId="0">
      <pane xSplit="2" ySplit="3" topLeftCell="C4" activePane="bottomRight" state="frozen"/>
      <selection pane="bottomRight" activeCell="E20" sqref="E20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SUM(C4:C74)</f>
        <v>24798.019999999997</v>
      </c>
      <c r="D2" s="5">
        <f>SUM(D4:D74)</f>
        <v>0</v>
      </c>
      <c r="E2" s="5">
        <f>C2-D2</f>
        <v>24798.019999999997</v>
      </c>
      <c r="F2" s="6">
        <f>IFERROR(E2/D2, 0)</f>
        <v>0</v>
      </c>
      <c r="G2" s="5">
        <f>SUM(G4:G74)</f>
        <v>33814.351999999999</v>
      </c>
      <c r="H2" s="7">
        <f>C2-G2</f>
        <v>-9016.3320000000022</v>
      </c>
      <c r="I2" s="6">
        <f>IFERROR(H2/G2, 0)</f>
        <v>-0.26664216425025689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24798.019999999997</v>
      </c>
      <c r="D4" s="11">
        <f>SUM('1st Qtr'!D4, '2nd Qtr'!D4, '3rd Qtr'!D4, '4th Qtr'!D4)</f>
        <v>0</v>
      </c>
      <c r="E4" s="11">
        <f>IF(AND(ISNUMBER(C4),ISNUMBER(D4)), C4-D4, "")</f>
        <v>24798.019999999997</v>
      </c>
      <c r="F4" s="12" t="str">
        <f>IFERROR(E4/D4, "")</f>
        <v/>
      </c>
      <c r="G4" s="13">
        <f>SUM('1st Qtr'!G4, '2nd Qtr'!G4, '3rd Qtr'!G4, '4th Qtr'!G4)</f>
        <v>33814.351999999999</v>
      </c>
      <c r="H4" s="13">
        <f>SUM('1st Qtr'!H4, '2nd Qtr'!H4, '3rd Qtr'!H4, '4th Qtr'!H4)</f>
        <v>-9016.3319999999985</v>
      </c>
      <c r="I4" s="14">
        <f>IFERROR(H4/G4, "")</f>
        <v>-0.26664216425025677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SUM(C4:C74)</f>
        <v>24798.019999999997</v>
      </c>
      <c r="D2" s="5">
        <f>SUM(D4:D74)</f>
        <v>0</v>
      </c>
      <c r="E2" s="5">
        <f>C2-D2</f>
        <v>24798.019999999997</v>
      </c>
      <c r="F2" s="6">
        <f>IFERROR(E2/D2, 0)</f>
        <v>0</v>
      </c>
      <c r="G2" s="5">
        <f>SUM(G4:G74)</f>
        <v>33814.351999999999</v>
      </c>
      <c r="H2" s="7">
        <f>C2-G2</f>
        <v>-9016.3320000000022</v>
      </c>
      <c r="I2" s="6">
        <f>IFERROR(H2/G2, 0)</f>
        <v>-0.26664216425025689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24798.019999999997</v>
      </c>
      <c r="D4" s="11">
        <f>SUM(Jan!D4, Feb!D4, Mar!D4)</f>
        <v>0</v>
      </c>
      <c r="E4" s="11">
        <f>IF(AND(ISNUMBER(C4),ISNUMBER(D4)), C4-D4, "")</f>
        <v>24798.019999999997</v>
      </c>
      <c r="F4" s="12" t="str">
        <f>IFERROR(E4/D4, "")</f>
        <v/>
      </c>
      <c r="G4" s="13">
        <f>SUM(Jan!G4, Feb!G4, Mar!G4)</f>
        <v>33814.351999999999</v>
      </c>
      <c r="H4" s="13">
        <f>SUM(Jan!H4, Feb!H4, Mar!H4)</f>
        <v>-9016.3319999999985</v>
      </c>
      <c r="I4" s="14">
        <f>IFERROR(H4/G4, "")</f>
        <v>-0.26664216425025677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5.6">
      <c r="A5" s="15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workbookViewId="0">
      <pane xSplit="2" ySplit="3" topLeftCell="C4" activePane="bottomRight" state="frozen"/>
      <selection pane="bottomRight" activeCell="J4" sqref="J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SUM(C4:C73)</f>
        <v>4142</v>
      </c>
      <c r="D2" s="5">
        <f>SUM(D4:D73)</f>
        <v>0</v>
      </c>
      <c r="E2" s="5">
        <f>C2-D2</f>
        <v>4142</v>
      </c>
      <c r="F2" s="6">
        <f>IFERROR(E2/D2, 0)</f>
        <v>0</v>
      </c>
      <c r="G2" s="5">
        <f>SUM(G4:G73)</f>
        <v>8751</v>
      </c>
      <c r="H2" s="7">
        <f>C2-G2</f>
        <v>-4609</v>
      </c>
      <c r="I2" s="6">
        <f>IFERROR(H2/G2, 0)</f>
        <v>-0.52668266483830417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1">
        <v>4142</v>
      </c>
      <c r="D4" s="11">
        <v>0</v>
      </c>
      <c r="E4" s="11">
        <f>IF(AND(ISNUMBER(C4),ISNUMBER(D4)), C4-D4, "")</f>
        <v>4142</v>
      </c>
      <c r="F4" s="35" t="str">
        <f>IFERROR(E4/D4, "")</f>
        <v/>
      </c>
      <c r="G4" s="13">
        <v>8751</v>
      </c>
      <c r="H4" s="13">
        <f>IF(AND(ISNUMBER(C4),ISNUMBER(G4)), C4-G4, "")</f>
        <v>-4609</v>
      </c>
      <c r="I4" s="14">
        <f>IFERROR(H4/G4, "")</f>
        <v>-0.52668266483830417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 I4:I73 F5:F7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7078.12</v>
      </c>
      <c r="D2" s="5">
        <f>SUM(D4:D74)</f>
        <v>0</v>
      </c>
      <c r="E2" s="5">
        <f>C2-D2</f>
        <v>7078.12</v>
      </c>
      <c r="F2" s="6">
        <f>IFERROR(E2/D2, 0)</f>
        <v>0</v>
      </c>
      <c r="G2" s="5">
        <f>SUM(G4:G74)</f>
        <v>10476.151</v>
      </c>
      <c r="H2" s="7">
        <f>C2-G2</f>
        <v>-3398.0309999999999</v>
      </c>
      <c r="I2" s="6">
        <f>IFERROR(H2/G2, 0)</f>
        <v>-0.3243587267881114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9">
        <v>7078.12</v>
      </c>
      <c r="D4" s="11">
        <v>0</v>
      </c>
      <c r="E4" s="11">
        <f>IF(AND(ISNUMBER(C4),ISNUMBER(D4)), C4-D4, "")</f>
        <v>7078.12</v>
      </c>
      <c r="F4" s="12" t="str">
        <f>IFERROR(E4/D4, "")</f>
        <v/>
      </c>
      <c r="G4" s="13">
        <v>10476.151</v>
      </c>
      <c r="H4" s="13">
        <f>IF(AND(ISNUMBER(C4),ISNUMBER(G4)), C4-G4, "")</f>
        <v>-3398.0309999999999</v>
      </c>
      <c r="I4" s="14">
        <f>IFERROR(H4/G4, "")</f>
        <v>-0.3243587267881114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workbookViewId="0">
      <pane xSplit="2" ySplit="3" topLeftCell="C4" activePane="bottomRight" state="frozen"/>
      <selection pane="bottomRight" activeCell="J13" sqref="J13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13577.9</v>
      </c>
      <c r="D2" s="5">
        <f>SUM(D4:D74)</f>
        <v>0</v>
      </c>
      <c r="E2" s="5">
        <f>C2-D2</f>
        <v>13577.9</v>
      </c>
      <c r="F2" s="6">
        <f>IFERROR(E2/D2, 0)</f>
        <v>0</v>
      </c>
      <c r="G2" s="5">
        <f>SUM(G4:G74)</f>
        <v>14587.200999999999</v>
      </c>
      <c r="H2" s="7">
        <f>C2-G2</f>
        <v>-1009.3009999999995</v>
      </c>
      <c r="I2" s="6">
        <f>IFERROR(H2/G2, 0)</f>
        <v>-6.9190861221422775E-2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13577.9</v>
      </c>
      <c r="D4" s="11">
        <v>0</v>
      </c>
      <c r="E4" s="11">
        <f>IF(AND(ISNUMBER(C4),ISNUMBER(D4)), C4-D4, "")</f>
        <v>13577.9</v>
      </c>
      <c r="F4" s="12" t="str">
        <f>IFERROR(E4/D4, "")</f>
        <v/>
      </c>
      <c r="G4" s="13">
        <v>14587.200999999999</v>
      </c>
      <c r="H4" s="13">
        <f>IF(AND(ISNUMBER(C4),ISNUMBER(G4)), C4-G4, "")</f>
        <v>-1009.3009999999995</v>
      </c>
      <c r="I4" s="14">
        <f>IFERROR(H4/G4, "")</f>
        <v>-6.9190861221422775E-2</v>
      </c>
      <c r="J4" s="33" t="s">
        <v>26</v>
      </c>
      <c r="K4" s="33" t="s">
        <v>27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8" sqref="B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39" t="s">
        <v>47</v>
      </c>
      <c r="B4" t="s">
        <v>51</v>
      </c>
      <c r="C4" s="37" t="s">
        <v>52</v>
      </c>
      <c r="D4" s="36" t="s">
        <v>53</v>
      </c>
      <c r="E4" t="s">
        <v>54</v>
      </c>
      <c r="G4" s="3"/>
    </row>
    <row r="5" spans="1:12" ht="14.45">
      <c r="A5" s="39"/>
      <c r="C5" s="37"/>
      <c r="D5" s="36"/>
      <c r="G5" s="3"/>
    </row>
    <row r="6" spans="1:12" ht="14.45">
      <c r="A6" s="39"/>
      <c r="C6" s="37"/>
      <c r="D6" s="36"/>
      <c r="G6" s="3"/>
    </row>
    <row r="7" spans="1:12" ht="12.75" customHeight="1">
      <c r="A7" s="39"/>
      <c r="C7" s="37"/>
      <c r="D7" s="36"/>
    </row>
    <row r="8" spans="1:12" ht="12.75" customHeight="1">
      <c r="A8" s="39"/>
      <c r="C8" s="37"/>
      <c r="D8" s="36"/>
    </row>
    <row r="9" spans="1:12" ht="12.75" customHeight="1">
      <c r="A9" s="39"/>
      <c r="C9" s="37"/>
      <c r="D9" s="36"/>
    </row>
    <row r="10" spans="1:12" ht="12.75" customHeight="1">
      <c r="A10" s="39"/>
      <c r="C10" s="37"/>
      <c r="D10" s="36"/>
      <c r="K10" s="34"/>
      <c r="L10" s="34"/>
    </row>
    <row r="11" spans="1:12" ht="12.75" customHeight="1">
      <c r="A11" s="39"/>
      <c r="C11" s="37"/>
      <c r="D11" s="36"/>
      <c r="K11" s="34"/>
      <c r="L11" s="34"/>
    </row>
    <row r="12" spans="1:12" ht="12.75" customHeight="1">
      <c r="A12" s="39"/>
      <c r="C12" s="37"/>
      <c r="D12" s="36"/>
      <c r="K12" s="34"/>
      <c r="L12" s="34"/>
    </row>
    <row r="13" spans="1:12" ht="12.75" customHeight="1">
      <c r="A13" s="39"/>
      <c r="C13" s="37"/>
      <c r="D13" s="36"/>
      <c r="K13" s="34"/>
      <c r="L13" s="34"/>
    </row>
    <row r="14" spans="1:12" ht="12.75" customHeight="1">
      <c r="A14" s="39"/>
      <c r="C14" s="37"/>
      <c r="D14" s="36"/>
      <c r="K14" s="34"/>
      <c r="L14" s="34"/>
    </row>
    <row r="15" spans="1:12" ht="12.75" customHeight="1">
      <c r="A15" s="39"/>
      <c r="C15" s="37"/>
      <c r="D15" s="36"/>
      <c r="K15" s="34"/>
      <c r="L15" s="34"/>
    </row>
    <row r="16" spans="1:12" ht="12.75" customHeight="1">
      <c r="A16" s="39"/>
      <c r="C16" s="37"/>
      <c r="D16" s="36"/>
      <c r="K16" s="34"/>
      <c r="L16" s="34"/>
    </row>
    <row r="17" spans="1:12" ht="12.75" customHeight="1">
      <c r="A17" s="39"/>
      <c r="C17" s="37"/>
      <c r="D17" s="36"/>
      <c r="K17" s="34"/>
      <c r="L17" s="34"/>
    </row>
    <row r="18" spans="1:12" ht="12.75" customHeight="1">
      <c r="A18" s="39"/>
      <c r="C18" s="37"/>
      <c r="D18" s="36"/>
      <c r="K18" s="34"/>
      <c r="L18" s="34"/>
    </row>
    <row r="19" spans="1:12" ht="12.75" customHeight="1">
      <c r="A19" s="39"/>
      <c r="C19" s="37"/>
      <c r="D19" s="36"/>
      <c r="K19" s="34"/>
      <c r="L19" s="34"/>
    </row>
    <row r="20" spans="1:12" ht="12.75" customHeight="1">
      <c r="A20" s="39"/>
      <c r="C20" s="37"/>
      <c r="D20" s="36"/>
      <c r="K20" s="34"/>
      <c r="L20" s="34"/>
    </row>
    <row r="21" spans="1:12" ht="12.75" customHeight="1">
      <c r="A21" s="39"/>
      <c r="C21" s="37"/>
      <c r="D21" s="36"/>
      <c r="K21" s="34"/>
      <c r="L21" s="34"/>
    </row>
    <row r="22" spans="1:12" ht="12.75" customHeight="1">
      <c r="A22" s="39"/>
      <c r="C22" s="37"/>
      <c r="D22" s="36"/>
      <c r="K22" s="34"/>
      <c r="L22" s="34"/>
    </row>
    <row r="23" spans="1:12" ht="12.75" customHeight="1">
      <c r="A23" s="39"/>
      <c r="C23" s="37"/>
      <c r="D23" s="36"/>
      <c r="K23" s="34"/>
      <c r="L23" s="34"/>
    </row>
    <row r="24" spans="1:12" ht="12.75" customHeight="1">
      <c r="A24" s="39"/>
      <c r="C24" s="37"/>
      <c r="D24" s="36"/>
      <c r="K24" s="34"/>
      <c r="L24" s="34"/>
    </row>
    <row r="25" spans="1:12" ht="12.75" customHeight="1">
      <c r="A25" s="39"/>
      <c r="C25" s="37"/>
      <c r="D25" s="36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