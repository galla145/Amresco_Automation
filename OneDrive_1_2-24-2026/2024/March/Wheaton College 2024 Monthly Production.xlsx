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Desktop/Monthly Reports - March 2023/"/>
    </mc:Choice>
  </mc:AlternateContent>
  <xr:revisionPtr revIDLastSave="0" documentId="8_{846AE1DB-C117-462E-8F64-A3AD844A6522}" xr6:coauthVersionLast="47" xr6:coauthVersionMax="47" xr10:uidLastSave="{00000000-0000-0000-0000-000000000000}"/>
  <bookViews>
    <workbookView xWindow="-28920" yWindow="7725" windowWidth="29040" windowHeight="15720" tabRatio="866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<sst xmlns="http://schemas.openxmlformats.org/spreadsheetml/2006/main" count="242" uniqueCount="55">
  <si>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</si>
  <si>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</si>
  <si>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</si>
  <si>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</si>
  <si>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</si>
  <si>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</si>
  <si>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</si>
  <si>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</si>
  <si>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</si>
  <si>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</si>
  <si>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</si>
  <si>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</si>
  <si>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</si>
  <si>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</si>
  <si>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</si>
  <si>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</si>
  <si>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</si>
  <si>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</si>
  <si>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</si>
  <si>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</si>
  <si>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</si>
  <si>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</si>
  <si>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</si>
  <si>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</si>
  <si>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</si>
  <si>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</si>
  <si>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</si>
  <si>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</si>
  <si>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</si>
  <si>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</si>
  <si>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</si>
  <si>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</si>
  <si>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</si>
  <si>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</si>
  <si>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</si>
  <si>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</si>
  <si>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</si>
  <si>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</si>
  <si>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</si>
  <si>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</si>
  <si>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</si>
  <si>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</si>
  <si>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</si>
  <si>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</si>
  <si>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</si>
  <si>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</si>
  <si>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</si>
  <si>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</si>
  <si>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MA</t>
  </si>
  <si>
    <t>MA: Norton - Wheaton College</t>
  </si>
  <si>
    <t>Wheaton College</t>
  </si>
  <si>
    <t>Solrenview</t>
  </si>
  <si>
    <t>A</t>
  </si>
  <si>
    <t>1. Inverter 12 was offline on 01/23 and back online on next day
2. Invetrer 16 was offline on 01/25,01/27, 01/29</t>
  </si>
  <si>
    <t>1. SR080427
2. SR080467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</si>
</sst>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9" fontId="30" fillId="38" borderId="12" xfId="2" applyFont="1" applyFill="1" applyBorder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59219</v>
      </c>
      <c r="D2" s="5">
        <f>SUM(D4:D79)</f>
        <v>0</v>
      </c>
      <c r="E2" s="5">
        <f>C2-D2</f>
        <v>59219</v>
      </c>
      <c r="F2" s="6">
        <f>IFERROR(E2/D2, 0)</f>
        <v>0</v>
      </c>
      <c r="G2" s="5">
        <f>SUM(G4:G79)</f>
        <v>0</v>
      </c>
      <c r="H2" s="7">
        <f>C2-G2</f>
        <v>59219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MA: Norton - Wheaton College</v>
      </c>
      <c r="B4" s="9" t="str" cm="1">
        <f t="array" ref="B4">Sites[State]</f>
        <v>MA</v>
      </c>
      <c r="C4" s="23">
        <f>SUM('1st Qtr'!C4, '2nd Qtr'!C4, '3rd Qtr'!C4, '4th Qtr'!C4)</f>
        <v>59219</v>
      </c>
      <c r="D4" s="12">
        <f>SUM('1st Qtr'!D4, '2nd Qtr'!D4, '3rd Qtr'!D4, '4th Qtr'!D4)</f>
        <v>0</v>
      </c>
      <c r="E4" s="12">
        <f>IF(AND(ISNUMBER(C4),ISNUMBER(D4)), C4-D4, "")</f>
        <v>59219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59219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59219</v>
      </c>
      <c r="D2" s="5">
        <f>SUM(D4:D79)</f>
        <v>0</v>
      </c>
      <c r="E2" s="5">
        <f>C2-D2</f>
        <v>59219</v>
      </c>
      <c r="F2" s="6">
        <f>IFERROR(E2/D2, 0)</f>
        <v>0</v>
      </c>
      <c r="G2" s="5">
        <f>SUM(G4:G79)</f>
        <v>0</v>
      </c>
      <c r="H2" s="7">
        <f>C2-G2</f>
        <v>59219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SUM(Jan!C4, Feb!C4, Mar!C4)</f>
        <v>59219</v>
      </c>
      <c r="D4" s="12">
        <f>SUM(Jan!D4, Feb!D4, Mar!D4)</f>
        <v>0</v>
      </c>
      <c r="E4" s="12">
        <f>IF(AND(ISNUMBER(C4),ISNUMBER(D4)), C4-D4, "")</f>
        <v>59219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59219</v>
      </c>
      <c r="I4" s="15" t="str">
        <f>IFERROR(H4/G4, "")</f>
        <v/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7" sqref="G17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SUM(C4:C78)</f>
        <v>8204</v>
      </c>
      <c r="D2" s="5">
        <f>SUM(D4:D78)</f>
        <v>0</v>
      </c>
      <c r="E2" s="5">
        <f>C2-D2</f>
        <v>8204</v>
      </c>
      <c r="F2" s="6">
        <f>IFERROR(E2/D2, 0)</f>
        <v>0</v>
      </c>
      <c r="G2" s="5">
        <f>SUM(G4:G78)</f>
        <v>0</v>
      </c>
      <c r="H2" s="7">
        <f>C2-G2</f>
        <v>8204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x14ac:dyDescent="0.5">
      <c r="A4" s="46" t="str" cm="1">
        <f t="array" ref="A4">Sites[Site]</f>
        <v>MA: Norton - Wheaton College</v>
      </c>
      <c r="B4" s="27" t="str" cm="1">
        <f t="array" ref="B4">Sites[State]</f>
        <v>MA</v>
      </c>
      <c r="C4" s="49">
        <v>8204</v>
      </c>
      <c r="D4" s="50">
        <v>0</v>
      </c>
      <c r="E4" s="12">
        <f>IF(AND(ISNUMBER(C4),ISNUMBER(D4)), C4-D4, "")</f>
        <v>8204</v>
      </c>
      <c r="F4" s="40" t="str">
        <f>IFERROR(E4/D4, "")</f>
        <v/>
      </c>
      <c r="G4" s="52">
        <v>0</v>
      </c>
      <c r="H4" s="14">
        <f>IF(AND(ISNUMBER(C4),ISNUMBER(G4)), C4-G4, "")</f>
        <v>8204</v>
      </c>
      <c r="I4" s="15" t="str">
        <f>IFERROR(H4/G4, "")</f>
        <v/>
      </c>
      <c r="J4" s="57" t="s">
        <v>53</v>
      </c>
      <c r="K4" s="57" t="s">
        <v>54</v>
      </c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22</v>
      </c>
      <c r="E1" s="55"/>
      <c r="F1" s="55"/>
      <c r="G1" s="53" t="s">
        <v>23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18206</v>
      </c>
      <c r="D2" s="5">
        <f>SUM(D4:D79)</f>
        <v>0</v>
      </c>
      <c r="E2" s="5">
        <f>C2-D2</f>
        <v>18206</v>
      </c>
      <c r="F2" s="6">
        <f>IFERROR(E2/D2, 0)</f>
        <v>0</v>
      </c>
      <c r="G2" s="5">
        <f>SUM(G4:G79)</f>
        <v>0</v>
      </c>
      <c r="H2" s="7">
        <f>C2-G2</f>
        <v>18206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MA: Norton - Wheaton College</v>
      </c>
      <c r="B4" s="27" t="str" cm="1">
        <f t="array" ref="B4">Sites[State]</f>
        <v>MA</v>
      </c>
      <c r="C4" s="23">
        <v>18206</v>
      </c>
      <c r="D4" s="12">
        <v>0</v>
      </c>
      <c r="E4" s="12">
        <f>IF(AND(ISNUMBER(C4),ISNUMBER(D4)), C4-D4, "")</f>
        <v>18206</v>
      </c>
      <c r="F4" s="13" t="str">
        <f>IFERROR(E4/D4, "")</f>
        <v/>
      </c>
      <c r="G4" s="14">
        <v>0</v>
      </c>
      <c r="H4" s="14">
        <f>IF(AND(ISNUMBER(C4),ISNUMBER(G4)), C4-G4, "")</f>
        <v>18206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23" sqref="G23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32809</v>
      </c>
      <c r="D2" s="5">
        <f>SUM(D4:D79)</f>
        <v>0</v>
      </c>
      <c r="E2" s="5">
        <f>C2-D2</f>
        <v>32809</v>
      </c>
      <c r="F2" s="6">
        <f>IFERROR(E2/D2, 0)</f>
        <v>0</v>
      </c>
      <c r="G2" s="5">
        <f>SUM(G4:G79)</f>
        <v>0</v>
      </c>
      <c r="H2" s="7">
        <f>C2-G2</f>
        <v>32809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32809</v>
      </c>
      <c r="D4" s="12">
        <v>0</v>
      </c>
      <c r="E4" s="12">
        <f>IF(AND(ISNUMBER(C4),ISNUMBER(D4)), C4-D4, "")</f>
        <v>32809</v>
      </c>
      <c r="F4" s="13" t="str">
        <f>IFERROR(E4/D4, "")</f>
        <v/>
      </c>
      <c r="G4" s="14">
        <v>0</v>
      </c>
      <c r="H4" s="14">
        <f>IF(AND(ISNUMBER(C4),ISNUMBER(G4)), C4-G4, "")</f>
        <v>32809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26</v>
      </c>
      <c r="E1" s="55"/>
      <c r="F1" s="55"/>
      <c r="G1" s="53" t="s">
        <v>27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28</v>
      </c>
      <c r="E1" s="55"/>
      <c r="F1" s="55"/>
      <c r="G1" s="53" t="s">
        <v>29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30</v>
      </c>
      <c r="E1" s="55"/>
      <c r="F1" s="55"/>
      <c r="G1" s="53" t="s">
        <v>31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32</v>
      </c>
      <c r="E1" s="55"/>
      <c r="F1" s="55"/>
      <c r="G1" s="53" t="s">
        <v>33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34</v>
      </c>
      <c r="E1" s="55"/>
      <c r="F1" s="55"/>
      <c r="G1" s="53" t="s">
        <v>35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36</v>
      </c>
      <c r="E1" s="55"/>
      <c r="F1" s="55"/>
      <c r="G1" s="53" t="s">
        <v>37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38</v>
      </c>
      <c r="E1" s="55"/>
      <c r="F1" s="55"/>
      <c r="G1" s="53" t="s">
        <v>39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40</v>
      </c>
      <c r="E1" s="55"/>
      <c r="F1" s="55"/>
      <c r="G1" s="53" t="s">
        <v>41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MA: Norton - Wheaton College</v>
      </c>
      <c r="B1" s="54"/>
      <c r="C1" s="54"/>
      <c r="D1" s="55" t="s">
        <v>42</v>
      </c>
      <c r="E1" s="55"/>
      <c r="F1" s="55"/>
      <c r="G1" s="53" t="s">
        <v>43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44</v>
      </c>
      <c r="B1" t="s">
        <v>49</v>
      </c>
    </row>
    <row r="3" spans="1:12" x14ac:dyDescent="0.3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12" ht="14.25" x14ac:dyDescent="0.45">
      <c r="A4" s="45" t="s">
        <v>50</v>
      </c>
      <c r="B4" t="s">
        <v>49</v>
      </c>
      <c r="C4" s="43" t="s">
        <v>48</v>
      </c>
      <c r="D4" s="42" t="s">
        <v>52</v>
      </c>
      <c r="E4" t="s">
        <v>51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May</vt:lpstr>
      <vt:lpstr>Apr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[AGS]</cp:lastModifiedBy>
  <cp:revision/>
  <dcterms:created xsi:type="dcterms:W3CDTF">2021-01-01T16:39:53Z</dcterms:created>
  <dcterms:modified xsi:type="dcterms:W3CDTF">2024-04-15T21:41:15Z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