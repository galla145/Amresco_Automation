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19" documentId="13_ncr:1_{E055DD24-2325-45FB-9662-429E1B6D4754}" xr6:coauthVersionLast="47" xr6:coauthVersionMax="47" xr10:uidLastSave="{2B83B2F3-4D82-4380-88B4-EE1B8ADDCB41}"/>
  <bookViews>
    <workbookView xWindow="-108" yWindow="-108" windowWidth="23256" windowHeight="12456" tabRatio="866" firstSheet="7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<sst xmlns="http://schemas.openxmlformats.org/spreadsheetml/2006/main" count="240" uniqueCount="54">
  <si>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</si>
  <si>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</si>
  <si>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</si>
  <si>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</si>
  <si>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</si>
  <si>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</si>
  <si>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</si>
  <si>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</si>
  <si>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</si>
  <si>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</si>
  <si>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</si>
  <si>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</si>
  <si>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</si>
  <si>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</si>
  <si>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</si>
  <si>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</si>
  <si>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</si>
  <si>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</si>
  <si>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</si>
  <si>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</si>
  <si>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</si>
  <si>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</si>
  <si>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</si>
  <si>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</si>
  <si>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</si>
  <si>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</si>
  <si>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</si>
  <si>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</si>
  <si>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</si>
  <si>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</si>
  <si>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</si>
  <si>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</si>
  <si>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</si>
  <si>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</si>
  <si>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</si>
  <si>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</si>
  <si>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</si>
  <si>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</si>
  <si>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</si>
  <si>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</si>
  <si>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</si>
  <si>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</si>
  <si>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</si>
  <si>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</si>
  <si>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</si>
  <si>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England Propeller</t>
  </si>
  <si>
    <t>Site DAS Name</t>
  </si>
  <si>
    <t>Update</t>
  </si>
  <si>
    <t>DAS</t>
  </si>
  <si>
    <t>New England Propeller Services</t>
  </si>
  <si>
    <t>CT: East Haddam - New England Propeller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</si>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</sst>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SUM(C4:C58)</f>
        <v>18287.25</v>
      </c>
      <c r="D2" s="5">
        <f>SUM(D4:D58)</f>
        <v>0</v>
      </c>
      <c r="E2" s="5">
        <f>C2-D2</f>
        <v>18287.25</v>
      </c>
      <c r="F2" s="6">
        <f>IFERROR(E2/D2, 0)</f>
        <v>0</v>
      </c>
      <c r="G2" s="5">
        <f>SUM(G4:G58)</f>
        <v>27329.499</v>
      </c>
      <c r="H2" s="7">
        <f>C2-G2</f>
        <v>-9042.2489999999998</v>
      </c>
      <c r="I2" s="6">
        <f>IFERROR(H2/G2, 0)</f>
        <v>-0.33086040106333453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SUM('1st Qtr'!C4, '2nd Qtr'!C4, '3rd Qtr'!C4, '4th Qtr'!C4)</f>
        <v>18287.25</v>
      </c>
      <c r="D4" s="11">
        <f>SUM('1st Qtr'!D4, '2nd Qtr'!D4, '3rd Qtr'!D4, '4th Qtr'!D4)</f>
        <v>0</v>
      </c>
      <c r="E4" s="11">
        <f>IF(AND(ISNUMBER(C4),ISNUMBER(D4)), C4-D4, "")</f>
        <v>18287.25</v>
      </c>
      <c r="F4" s="12" t="str">
        <f>IFERROR(E4/D4, "")</f>
        <v/>
      </c>
      <c r="G4" s="13">
        <f>SUM('1st Qtr'!G4, '2nd Qtr'!G4, '3rd Qtr'!G4, '4th Qtr'!G4)</f>
        <v>27329.499</v>
      </c>
      <c r="H4" s="13">
        <f>SUM('1st Qtr'!H4, '2nd Qtr'!H4, '3rd Qtr'!H4, '4th Qtr'!H4)</f>
        <v>-9042.2489999999998</v>
      </c>
      <c r="I4" s="14">
        <f>IFERROR(H4/G4, "")</f>
        <v>-0.33086040106333453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8 I4:I5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0"/>
  <sheetViews>
    <sheetView workbookViewId="0">
      <pane xSplit="2" ySplit="3" topLeftCell="C13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SUM(C4:C58)</f>
        <v>18287.25</v>
      </c>
      <c r="D2" s="5">
        <f>SUM(D4:D58)</f>
        <v>0</v>
      </c>
      <c r="E2" s="5">
        <f>C2-D2</f>
        <v>18287.25</v>
      </c>
      <c r="F2" s="6">
        <f>IFERROR(E2/D2, 0)</f>
        <v>0</v>
      </c>
      <c r="G2" s="5">
        <f>SUM(G4:G58)</f>
        <v>27329.499</v>
      </c>
      <c r="H2" s="7">
        <f>C2-G2</f>
        <v>-9042.2489999999998</v>
      </c>
      <c r="I2" s="6">
        <f>IFERROR(H2/G2, 0)</f>
        <v>-0.33086040106333453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SUM(Jan!C4, Feb!C4, Mar!C4)</f>
        <v>18287.25</v>
      </c>
      <c r="D4" s="11">
        <f>SUM(Jan!D4, Feb!D4, Mar!D4)</f>
        <v>0</v>
      </c>
      <c r="E4" s="11">
        <f>IF(AND(ISNUMBER(C4),ISNUMBER(D4)), C4-D4, "")</f>
        <v>18287.25</v>
      </c>
      <c r="F4" s="12" t="str">
        <f>IFERROR(E4/D4, "")</f>
        <v/>
      </c>
      <c r="G4" s="13">
        <f>SUM(Jan!G4, Feb!G4, Mar!G4)</f>
        <v>27329.499</v>
      </c>
      <c r="H4" s="13">
        <f>SUM(Jan!H4, Feb!H4, Mar!H4)</f>
        <v>-9042.2489999999998</v>
      </c>
      <c r="I4" s="14">
        <f>IFERROR(H4/G4, "")</f>
        <v>-0.33086040106333453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8 I4:I5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9"/>
  <sheetViews>
    <sheetView tabSelected="1" workbookViewId="0">
      <pane xSplit="2" ySplit="3" topLeftCell="C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SUM(C4:C57)</f>
        <v>2608</v>
      </c>
      <c r="D2" s="5">
        <f>SUM(D4:D57)</f>
        <v>0</v>
      </c>
      <c r="E2" s="5">
        <f>C2-D2</f>
        <v>2608</v>
      </c>
      <c r="F2" s="6">
        <f>IFERROR(E2/D2, 0)</f>
        <v>0</v>
      </c>
      <c r="G2" s="5">
        <f>SUM(G4:G57)</f>
        <v>6291</v>
      </c>
      <c r="H2" s="7">
        <f>C2-G2</f>
        <v>-3683</v>
      </c>
      <c r="I2" s="6">
        <f>IFERROR(H2/G2, 0)</f>
        <v>-0.58543951676998884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1">
        <v>2608</v>
      </c>
      <c r="D4" s="11">
        <v>0</v>
      </c>
      <c r="E4" s="11">
        <f>IF(AND(ISNUMBER(C4),ISNUMBER(D4)), C4-D4, "")</f>
        <v>2608</v>
      </c>
      <c r="F4" s="34" t="str">
        <f>IFERROR(E4/D4, "")</f>
        <v/>
      </c>
      <c r="G4" s="40">
        <v>6291</v>
      </c>
      <c r="H4" s="13">
        <f>IF(AND(ISNUMBER(C4),ISNUMBER(G4)), C4-G4, "")</f>
        <v>-3683</v>
      </c>
      <c r="I4" s="14">
        <f>IFERROR(H4/G4, "")</f>
        <v>-0.58543951676998884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</sheetData>
  <mergeCells count="4">
    <mergeCell ref="D1:F1"/>
    <mergeCell ref="A1:C1"/>
    <mergeCell ref="G1:I1"/>
    <mergeCell ref="A2:B2"/>
  </mergeCells>
  <conditionalFormatting sqref="F2 I2 I4:I57 F5:F5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0"/>
  <sheetViews>
    <sheetView workbookViewId="0">
      <pane xSplit="2" ySplit="3" topLeftCell="C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4983.25</v>
      </c>
      <c r="D2" s="5">
        <f>SUM(D4:D58)</f>
        <v>0</v>
      </c>
      <c r="E2" s="5">
        <f>C2-D2</f>
        <v>4983.25</v>
      </c>
      <c r="F2" s="6">
        <f>IFERROR(E2/D2, 0)</f>
        <v>0</v>
      </c>
      <c r="G2" s="5">
        <f>SUM(G4:G58)</f>
        <v>8295.4989999999998</v>
      </c>
      <c r="H2" s="7">
        <f>C2-G2</f>
        <v>-3312.2489999999998</v>
      </c>
      <c r="I2" s="6">
        <f>IFERROR(H2/G2, 0)</f>
        <v>-0.3992826712413563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4983.25</v>
      </c>
      <c r="D4" s="11">
        <v>0</v>
      </c>
      <c r="E4" s="11">
        <f>IF(AND(ISNUMBER(C4),ISNUMBER(D4)), C4-D4, "")</f>
        <v>4983.25</v>
      </c>
      <c r="F4" s="12" t="str">
        <f>IFERROR(E4/D4, "")</f>
        <v/>
      </c>
      <c r="G4" s="13">
        <v>8295.4989999999998</v>
      </c>
      <c r="H4" s="13">
        <f>IF(AND(ISNUMBER(C4),ISNUMBER(G4)), C4-G4, "")</f>
        <v>-3312.2489999999998</v>
      </c>
      <c r="I4" s="14">
        <f>IFERROR(H4/G4, "")</f>
        <v>-0.3992826712413563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0"/>
  <sheetViews>
    <sheetView workbookViewId="0">
      <pane xSplit="2" ySplit="3" topLeftCell="C4" activePane="bottomRight" state="frozen"/>
      <selection pane="bottomRight" activeCell="I12" sqref="I12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10696</v>
      </c>
      <c r="D2" s="5">
        <f>SUM(D4:D58)</f>
        <v>0</v>
      </c>
      <c r="E2" s="5">
        <f>C2-D2</f>
        <v>10696</v>
      </c>
      <c r="F2" s="6">
        <f>IFERROR(E2/D2, 0)</f>
        <v>0</v>
      </c>
      <c r="G2" s="5">
        <f>SUM(G4:G58)</f>
        <v>12743</v>
      </c>
      <c r="H2" s="7">
        <f>C2-G2</f>
        <v>-2047</v>
      </c>
      <c r="I2" s="6">
        <f>IFERROR(H2/G2, 0)</f>
        <v>-0.16063721258730285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10696</v>
      </c>
      <c r="D4" s="11">
        <v>0</v>
      </c>
      <c r="E4" s="11">
        <f>IF(AND(ISNUMBER(C4),ISNUMBER(D4)), C4-D4, "")</f>
        <v>10696</v>
      </c>
      <c r="F4" s="12" t="str">
        <f>IFERROR(E4/D4, "")</f>
        <v/>
      </c>
      <c r="G4" s="13">
        <v>12743</v>
      </c>
      <c r="H4" s="13">
        <f>IF(AND(ISNUMBER(C4),ISNUMBER(G4)), C4-G4, "")</f>
        <v>-2047</v>
      </c>
      <c r="I4" s="14">
        <f>IFERROR(H4/G4, "")</f>
        <v>-0.16063721258730285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26</v>
      </c>
      <c r="E1" s="43"/>
      <c r="F1" s="43"/>
      <c r="G1" s="41" t="s">
        <v>27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8" t="s">
        <v>49</v>
      </c>
      <c r="B4" t="s">
        <v>50</v>
      </c>
      <c r="C4" s="36" t="s">
        <v>51</v>
      </c>
      <c r="D4" s="35" t="s">
        <v>52</v>
      </c>
      <c r="E4" t="s">
        <v>53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2024-04-15T21:03:55Z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