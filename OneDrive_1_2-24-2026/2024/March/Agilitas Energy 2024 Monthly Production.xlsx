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0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Monthly Reports Libsys\Monthly Reports\New Format\"/>
    </mc:Choice>
  </mc:AlternateContent>
  <xr:revisionPtr revIDLastSave="63" documentId="8_{D1984E8A-0CDA-4914-A3FF-6EA8E4F5361C}" xr6:coauthVersionLast="47" xr6:coauthVersionMax="47" xr10:uidLastSave="{655062AF-931D-4111-805A-07AE17307E50}"/>
  <bookViews>
    <workbookView xWindow="-28920" yWindow="7725" windowWidth="29040" windowHeight="15720" tabRatio="866" firstSheet="7" activeTab="7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4" l="1"/>
  <c r="E4" i="72"/>
  <c r="F4" i="72" s="1"/>
  <c r="E5" i="72"/>
  <c r="E6" i="72"/>
  <c r="E7" i="72"/>
  <c r="F7" i="72" s="1"/>
  <c r="E8" i="72"/>
  <c r="F8" i="72" s="1"/>
  <c r="F5" i="72"/>
  <c r="F6" i="72"/>
  <c r="C2" i="3" l="1"/>
  <c r="B4" i="33" l="1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E6" i="3"/>
  <c r="F6" i="3" s="1"/>
  <c r="H6" i="3"/>
  <c r="I6" i="3" s="1"/>
  <c r="E7" i="3"/>
  <c r="F7" i="3" s="1"/>
  <c r="H7" i="3"/>
  <c r="I7" i="3" s="1"/>
  <c r="E8" i="3"/>
  <c r="F8" i="3" s="1"/>
  <c r="H8" i="3"/>
  <c r="I8" i="3" s="1"/>
  <c r="G6" i="1"/>
  <c r="G6" i="34" s="1"/>
  <c r="G7" i="1"/>
  <c r="G7" i="34" s="1"/>
  <c r="G8" i="1"/>
  <c r="G8" i="34" s="1"/>
  <c r="G5" i="1"/>
  <c r="G5" i="34" s="1"/>
  <c r="G4" i="1"/>
  <c r="G4" i="34" s="1"/>
  <c r="D8" i="34"/>
  <c r="D7" i="34"/>
  <c r="D6" i="34"/>
  <c r="D5" i="34"/>
  <c r="C8" i="34"/>
  <c r="C7" i="34"/>
  <c r="C6" i="34"/>
  <c r="C5" i="34"/>
  <c r="B4" i="34" a="1"/>
  <c r="B4" i="34" s="1"/>
  <c r="A4" i="34" a="1"/>
  <c r="A4" i="34" s="1"/>
  <c r="A1" i="34" a="1"/>
  <c r="A1" i="34" s="1"/>
  <c r="D8" i="30"/>
  <c r="C8" i="30"/>
  <c r="E8" i="30" s="1"/>
  <c r="F8" i="30" s="1"/>
  <c r="D7" i="30"/>
  <c r="C7" i="30"/>
  <c r="D6" i="30"/>
  <c r="C6" i="30"/>
  <c r="D5" i="30"/>
  <c r="C5" i="30"/>
  <c r="E5" i="30" s="1"/>
  <c r="F5" i="30" s="1"/>
  <c r="D4" i="30"/>
  <c r="C4" i="30"/>
  <c r="D8" i="29"/>
  <c r="C8" i="29"/>
  <c r="E8" i="29" s="1"/>
  <c r="F8" i="29" s="1"/>
  <c r="D7" i="29"/>
  <c r="C7" i="29"/>
  <c r="D6" i="29"/>
  <c r="C6" i="29"/>
  <c r="E6" i="29" s="1"/>
  <c r="F6" i="29" s="1"/>
  <c r="D5" i="29"/>
  <c r="C5" i="29"/>
  <c r="D4" i="29"/>
  <c r="C4" i="29"/>
  <c r="D8" i="18"/>
  <c r="C8" i="18"/>
  <c r="D7" i="18"/>
  <c r="C7" i="18"/>
  <c r="E7" i="18" s="1"/>
  <c r="F7" i="18" s="1"/>
  <c r="D6" i="18"/>
  <c r="D2" i="18" s="1"/>
  <c r="C6" i="18"/>
  <c r="D5" i="18"/>
  <c r="C5" i="18"/>
  <c r="E5" i="18" s="1"/>
  <c r="F5" i="18" s="1"/>
  <c r="D4" i="18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8" i="1"/>
  <c r="C7" i="1"/>
  <c r="C6" i="1"/>
  <c r="C5" i="1"/>
  <c r="C4" i="1"/>
  <c r="D6" i="1"/>
  <c r="D7" i="1"/>
  <c r="D8" i="1"/>
  <c r="D5" i="1"/>
  <c r="D4" i="1"/>
  <c r="B4" i="1" a="1"/>
  <c r="B4" i="1" s="1"/>
  <c r="A4" i="1" a="1"/>
  <c r="A4" i="1" s="1"/>
  <c r="A1" i="1" a="1"/>
  <c r="A1" i="1" s="1"/>
  <c r="H8" i="33"/>
  <c r="I8" i="33" s="1"/>
  <c r="E8" i="33"/>
  <c r="F8" i="33" s="1"/>
  <c r="H7" i="33"/>
  <c r="I7" i="33" s="1"/>
  <c r="E7" i="33"/>
  <c r="F7" i="33" s="1"/>
  <c r="I6" i="33"/>
  <c r="H6" i="33"/>
  <c r="E6" i="33"/>
  <c r="F6" i="33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8" i="32"/>
  <c r="I8" i="32" s="1"/>
  <c r="E8" i="32"/>
  <c r="F8" i="32" s="1"/>
  <c r="H7" i="32"/>
  <c r="I7" i="32" s="1"/>
  <c r="E7" i="32"/>
  <c r="F7" i="32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8" i="27"/>
  <c r="I8" i="27" s="1"/>
  <c r="F8" i="27"/>
  <c r="E8" i="27"/>
  <c r="I7" i="27"/>
  <c r="H7" i="27"/>
  <c r="E7" i="27"/>
  <c r="F7" i="27" s="1"/>
  <c r="H6" i="27"/>
  <c r="I6" i="27" s="1"/>
  <c r="E6" i="27"/>
  <c r="F6" i="27" s="1"/>
  <c r="H5" i="27"/>
  <c r="I5" i="27" s="1"/>
  <c r="F5" i="27"/>
  <c r="E5" i="27"/>
  <c r="I4" i="27"/>
  <c r="H4" i="27"/>
  <c r="E4" i="27"/>
  <c r="F4" i="27" s="1"/>
  <c r="G2" i="27"/>
  <c r="D2" i="27"/>
  <c r="C2" i="27"/>
  <c r="A1" i="27" a="1"/>
  <c r="A1" i="27" s="1"/>
  <c r="H8" i="26"/>
  <c r="I8" i="26" s="1"/>
  <c r="E8" i="26"/>
  <c r="F8" i="26" s="1"/>
  <c r="H7" i="26"/>
  <c r="E7" i="26"/>
  <c r="F7" i="26" s="1"/>
  <c r="H6" i="26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8" i="19"/>
  <c r="I8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8" i="4"/>
  <c r="I8" i="4" s="1"/>
  <c r="E8" i="4"/>
  <c r="F8" i="4" s="1"/>
  <c r="H7" i="4"/>
  <c r="I7" i="4" s="1"/>
  <c r="E7" i="4"/>
  <c r="F7" i="4" s="1"/>
  <c r="H6" i="4"/>
  <c r="I6" i="4" s="1"/>
  <c r="E6" i="4"/>
  <c r="F6" i="4" s="1"/>
  <c r="H5" i="4"/>
  <c r="I5" i="4" s="1"/>
  <c r="E5" i="4"/>
  <c r="F5" i="4" s="1"/>
  <c r="H4" i="4"/>
  <c r="I4" i="4" s="1"/>
  <c r="F4" i="4"/>
  <c r="G2" i="4"/>
  <c r="D2" i="4"/>
  <c r="C2" i="4"/>
  <c r="A1" i="4" a="1"/>
  <c r="A1" i="4" s="1"/>
  <c r="G2" i="3"/>
  <c r="H2" i="3" s="1"/>
  <c r="D2" i="3"/>
  <c r="J2" i="3"/>
  <c r="A1" i="3" a="1"/>
  <c r="A1" i="3" s="1"/>
  <c r="H6" i="72"/>
  <c r="I6" i="72" s="1"/>
  <c r="H7" i="72"/>
  <c r="I7" i="72" s="1"/>
  <c r="H8" i="72"/>
  <c r="I8" i="72" s="1"/>
  <c r="H5" i="72"/>
  <c r="I5" i="72" s="1"/>
  <c r="H4" i="72"/>
  <c r="I4" i="72" s="1"/>
  <c r="G2" i="72"/>
  <c r="D2" i="72"/>
  <c r="C2" i="72"/>
  <c r="J2" i="72" s="1"/>
  <c r="A1" i="72" a="1"/>
  <c r="A1" i="72" s="1"/>
  <c r="H6" i="29" l="1"/>
  <c r="I6" i="29" s="1"/>
  <c r="E4" i="18"/>
  <c r="F4" i="18" s="1"/>
  <c r="E8" i="18"/>
  <c r="F8" i="18" s="1"/>
  <c r="E6" i="30"/>
  <c r="F6" i="30" s="1"/>
  <c r="H7" i="29"/>
  <c r="I7" i="29" s="1"/>
  <c r="D4" i="34"/>
  <c r="H6" i="30"/>
  <c r="I6" i="30" s="1"/>
  <c r="D2" i="29"/>
  <c r="E6" i="18"/>
  <c r="F6" i="18" s="1"/>
  <c r="E5" i="29"/>
  <c r="F5" i="29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I2" i="3"/>
  <c r="E7" i="1"/>
  <c r="F7" i="1" s="1"/>
  <c r="E5" i="34"/>
  <c r="F5" i="34" s="1"/>
  <c r="G2" i="1"/>
  <c r="E6" i="34"/>
  <c r="F6" i="34" s="1"/>
  <c r="D2" i="34"/>
  <c r="E8" i="1"/>
  <c r="F8" i="1" s="1"/>
  <c r="E5" i="1"/>
  <c r="F5" i="1" s="1"/>
  <c r="E6" i="1"/>
  <c r="F6" i="1" s="1"/>
  <c r="H4" i="30"/>
  <c r="I4" i="30" s="1"/>
  <c r="E7" i="30"/>
  <c r="F7" i="30" s="1"/>
  <c r="H7" i="30"/>
  <c r="I7" i="30" s="1"/>
  <c r="H5" i="30"/>
  <c r="I5" i="30" s="1"/>
  <c r="H8" i="30"/>
  <c r="I8" i="30" s="1"/>
  <c r="E7" i="29"/>
  <c r="F7" i="29" s="1"/>
  <c r="H8" i="29"/>
  <c r="I8" i="29" s="1"/>
  <c r="I6" i="26"/>
  <c r="H4" i="29"/>
  <c r="I4" i="29" s="1"/>
  <c r="H5" i="29"/>
  <c r="I5" i="29" s="1"/>
  <c r="I7" i="26"/>
  <c r="H6" i="18"/>
  <c r="I6" i="18" s="1"/>
  <c r="H4" i="18"/>
  <c r="I4" i="18" s="1"/>
  <c r="H7" i="18"/>
  <c r="I7" i="18" s="1"/>
  <c r="C4" i="34"/>
  <c r="H5" i="18"/>
  <c r="I5" i="18" s="1"/>
  <c r="H8" i="18"/>
  <c r="I8" i="18" s="1"/>
  <c r="H6" i="34"/>
  <c r="I6" i="34" s="1"/>
  <c r="H7" i="34"/>
  <c r="I7" i="34" s="1"/>
  <c r="H8" i="34"/>
  <c r="I8" i="34" s="1"/>
  <c r="H5" i="34"/>
  <c r="I5" i="34" s="1"/>
  <c r="E7" i="34"/>
  <c r="F7" i="34" s="1"/>
  <c r="E8" i="34"/>
  <c r="F8" i="34" s="1"/>
  <c r="C2" i="29"/>
  <c r="C2" i="30"/>
  <c r="E4" i="29"/>
  <c r="F4" i="29" s="1"/>
  <c r="C2" i="18"/>
  <c r="H7" i="1"/>
  <c r="I7" i="1" s="1"/>
  <c r="H4" i="1"/>
  <c r="H5" i="1"/>
  <c r="I5" i="1" s="1"/>
  <c r="H6" i="1"/>
  <c r="I6" i="1" s="1"/>
  <c r="C2" i="1"/>
  <c r="E2" i="3"/>
  <c r="F2" i="3" s="1"/>
  <c r="E4" i="1"/>
  <c r="F4" i="1" s="1"/>
  <c r="H8" i="1"/>
  <c r="I8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E2" i="29"/>
  <c r="F2" i="29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<sst xmlns="http://schemas.openxmlformats.org/spreadsheetml/2006/main" count="278" uniqueCount="79">
  <si>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</si>
  <si>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</si>
  <si>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</si>
  <si>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</si>
  <si>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</si>
  <si>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</si>
  <si>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</si>
  <si>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</si>
  <si>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</si>
  <si>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</si>
  <si>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</si>
  <si>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</si>
  <si>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</si>
  <si>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</si>
  <si>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</si>
  <si>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</si>
  <si>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</si>
  <si>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</si>
  <si>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</si>
  <si>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</si>
  <si>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</si>
  <si>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</si>
  <si>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/>
  </si>
  <si>
    <t>1. Site was offline on 01/07 at 10:00AM and later back online on 01/08 at 15:30.
2. Site tripped offline on 01/22 at 10:15AM and later back online on 01/25 at 15:45.
3. Inverters 28, 29 &amp; 39 are offline from 01/26 and later back online on 01/31 at 14:45.</t>
  </si>
  <si>
    <t>1. SR080001
2. SR080133
3. SR080577</t>
  </si>
  <si>
    <t>1. Site was offline on 01/13 from 06:15 to 11:30 .
2. Site was offline from 01/14  at 11:00 to 01/15 at 15:00.</t>
  </si>
  <si>
    <t>1. SR080191
2. SR080222</t>
  </si>
  <si>
    <t>February Actual v. Expected</t>
  </si>
  <si>
    <t>February Actual v. Forecasted</t>
  </si>
  <si>
    <t>1. Site relay tripped open at 15:00 on 02/29 and back online next day.</t>
  </si>
  <si>
    <t>1. SR081475</t>
  </si>
  <si>
    <t>1. Inverter 11 tripped offline twice this month and self-resolved itself each time.</t>
  </si>
  <si>
    <t>1. SR081067</t>
  </si>
  <si>
    <t>March Actual v. Expected</t>
  </si>
  <si>
    <t>March Actual v. Forecasted</t>
  </si>
  <si>
    <t>1. inverters 13, 14, 15 are offline on 03/22 and back online at 16:15 on 03/22.
2. Inverters 7, 8, and 9 tripped offline on an AC disconnected fault at 16:15 on 03/25 and back online at 16:30 on 03/25.</t>
  </si>
  <si>
    <t>1. SR082379
2. SR082723</t>
  </si>
  <si>
    <t>1. Site has not started on 03/24 and has started on 10:45am on 03/24.</t>
  </si>
  <si>
    <t>1. SR082614</t>
  </si>
  <si>
    <t>1. Inverter 11 tripped offline at 10:00am on 03/21 and back online on 03/22
2.  Inverter 22 is offline on 03/24 and back online on 03/25.</t>
  </si>
  <si>
    <t>1. SR082351
2. SR082691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</si>
  <si>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</si>
  <si>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</si>
  <si>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</si>
  <si>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</si>
  <si>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</si>
  <si>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</si>
  <si>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</si>
  <si>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</si>
  <si>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</si>
  <si>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</si>
  <si>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</si>
  <si>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</si>
  <si>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</si>
  <si>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</si>
  <si>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</si>
  <si>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</si>
  <si>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</si>
  <si>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</si>
  <si>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</si>
  <si>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Agilitas Energy</t>
  </si>
  <si>
    <t>Site DAS Name</t>
  </si>
  <si>
    <t>Update</t>
  </si>
  <si>
    <t>DAS</t>
  </si>
  <si>
    <t>Central Street Solar, Rowley</t>
  </si>
  <si>
    <t>Rowley - Central Street Solar</t>
  </si>
  <si>
    <t>MA</t>
  </si>
  <si>
    <t>AEF</t>
  </si>
  <si>
    <t>PowerTrack</t>
  </si>
  <si>
    <t>Leicester Street Solar: DAS + BESS</t>
  </si>
  <si>
    <t>Auburn - Leicester Street Solar</t>
  </si>
  <si>
    <t>Middleboro Road</t>
  </si>
  <si>
    <t>Rochester - Old Middleboro</t>
  </si>
  <si>
    <t>Littleworth Road Solar</t>
  </si>
  <si>
    <t>Dover - Littleworth Road</t>
  </si>
  <si>
    <t>NH</t>
  </si>
  <si>
    <t>SolrenView</t>
  </si>
  <si>
    <t>Milton Municipal Landfill</t>
  </si>
  <si>
    <t>Milton - Landfill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</si>
</sst>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60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49" fontId="27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9" fontId="30" fillId="3" borderId="0" xfId="2" applyFont="1" applyFill="1" applyAlignment="1">
      <alignment horizontal="right" vertical="center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49" fontId="27" fillId="0" borderId="0" xfId="0" applyNumberFormat="1" applyFont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27" fillId="0" borderId="0" xfId="0" applyFont="1" applyAlignment="1">
      <alignment horizontal="left" vertical="center"/>
    </xf>
    <xf numFmtId="0" fontId="27" fillId="40" borderId="0" xfId="0" applyFont="1" applyFill="1" applyAlignment="1">
      <alignment horizontal="left" vertical="center"/>
    </xf>
    <xf numFmtId="49" fontId="28" fillId="0" borderId="0" xfId="0" applyNumberFormat="1" applyFont="1" applyAlignment="1">
      <alignment horizontal="left" vertical="top" wrapText="1"/>
    </xf>
    <xf numFmtId="0" fontId="23" fillId="0" borderId="0" xfId="0" applyFont="1" applyAlignment="1">
      <alignment wrapText="1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8" totalsRowShown="0">
  <autoFilter ref="A3:E8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2"/>
  <sheetViews>
    <sheetView workbookViewId="0">
      <pane xSplit="2" ySplit="3" topLeftCell="C4" activePane="bottomRight" state="frozen"/>
      <selection pane="bottomRight" activeCell="H26" sqref="H26"/>
      <selection pane="bottomLeft" activeCell="F27" sqref="F27"/>
      <selection pane="topRight" activeCell="F27" sqref="F27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7" t="str" cm="1">
        <f t="array" ref="A1">portfolio</f>
        <v>Agilitas Energy</v>
      </c>
      <c r="B1" s="57"/>
      <c r="C1" s="57"/>
      <c r="D1" s="58" t="s">
        <v>0</v>
      </c>
      <c r="E1" s="58"/>
      <c r="F1" s="58"/>
      <c r="G1" s="56" t="s">
        <v>1</v>
      </c>
      <c r="H1" s="56"/>
      <c r="I1" s="56"/>
    </row>
    <row r="2" spans="1:9" ht="19.5" customHeight="1">
      <c r="A2" s="59" t="s">
        <v>2</v>
      </c>
      <c r="B2" s="59"/>
      <c r="C2" s="5">
        <f>SUM(C4:C80)</f>
        <v>4081355.2196509624</v>
      </c>
      <c r="D2" s="5">
        <f>SUM(D4:D80)</f>
        <v>3449243.358</v>
      </c>
      <c r="E2" s="5">
        <f>C2-D2</f>
        <v>632111.86165096238</v>
      </c>
      <c r="F2" s="6">
        <f>IFERROR(E2/D2, 0)</f>
        <v>0.18326102163388217</v>
      </c>
      <c r="G2" s="5">
        <f>SUM(G4:G80)</f>
        <v>1712996.49</v>
      </c>
      <c r="H2" s="7">
        <f>C2-G2</f>
        <v>2368358.7296509622</v>
      </c>
      <c r="I2" s="6">
        <f>IFERROR(H2/G2, 0)</f>
        <v>1.3825823599037044</v>
      </c>
    </row>
    <row r="3" spans="1:9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75">
      <c r="A4" s="51" t="str" cm="1">
        <f t="array" ref="A4:A8">Sites[Site]</f>
        <v>Rowley - Central Street Solar</v>
      </c>
      <c r="B4" s="31" t="str" cm="1">
        <f t="array" ref="B4:B8">Sites[State]</f>
        <v>MA</v>
      </c>
      <c r="C4" s="23">
        <f>SUM('1st Qtr'!C4, '2nd Qtr'!C4, '3rd Qtr'!C4, '4th Qtr'!C4)</f>
        <v>157177.24098429648</v>
      </c>
      <c r="D4" s="12">
        <f>SUM('1st Qtr'!D4, '2nd Qtr'!D4, '3rd Qtr'!D4, '4th Qtr'!D4)</f>
        <v>165536.81700000001</v>
      </c>
      <c r="E4" s="12">
        <f>IF(AND(ISNUMBER(C4),ISNUMBER(D4)), C4-D4, "")</f>
        <v>-8359.5760157035256</v>
      </c>
      <c r="F4" s="13">
        <f>IFERROR(E4/D4, "")</f>
        <v>-5.0499799181855265E-2</v>
      </c>
      <c r="G4" s="14">
        <f>SUM('1st Qtr'!G4, '2nd Qtr'!G4, '3rd Qtr'!G4, '4th Qtr'!G4)</f>
        <v>163392.03</v>
      </c>
      <c r="H4" s="14">
        <f>SUM('1st Qtr'!H4, '2nd Qtr'!H4, '3rd Qtr'!H4, '4th Qtr'!H4)</f>
        <v>-6214.7890157034926</v>
      </c>
      <c r="I4" s="15">
        <f>IFERROR(H4/G4, "")</f>
        <v>-3.8036059749692153E-2</v>
      </c>
    </row>
    <row r="5" spans="1:9" ht="15.75">
      <c r="A5" s="52" t="str">
        <v>Auburn - Leicester Street Solar</v>
      </c>
      <c r="B5" s="29" t="str">
        <v>MA</v>
      </c>
      <c r="C5" s="11">
        <f>SUM(Jan!C5, Feb!C5, Mar!C5)</f>
        <v>1481682.666666666</v>
      </c>
      <c r="D5" s="17">
        <f>SUM(Jan!D5, Feb!D5, Mar!D5)</f>
        <v>1323328.5870000001</v>
      </c>
      <c r="E5" s="17">
        <f t="shared" ref="E5:E8" si="0">IF(AND(ISNUMBER(C5),ISNUMBER(D5)), C5-D5, "")</f>
        <v>158354.07966666599</v>
      </c>
      <c r="F5" s="18">
        <f>IFERROR(E5/D5, "")</f>
        <v>0.11966346168464204</v>
      </c>
      <c r="G5" s="19">
        <f>SUM('1st Qtr'!G5, '2nd Qtr'!G5, '3rd Qtr'!G5, '4th Qtr'!G5)</f>
        <v>0</v>
      </c>
      <c r="H5" s="19">
        <f>SUM(Jan!H5, Feb!H5, Mar!H5)</f>
        <v>1481682.666666666</v>
      </c>
      <c r="I5" s="18" t="str">
        <f>IFERROR(H5/G5, "")</f>
        <v/>
      </c>
    </row>
    <row r="6" spans="1:9" ht="15.75">
      <c r="A6" s="53" t="str">
        <v>Rochester - Old Middleboro</v>
      </c>
      <c r="B6" s="27" t="str">
        <v>MA</v>
      </c>
      <c r="C6" s="23">
        <f>SUM(Jan!C6, Feb!C6, Mar!C6)</f>
        <v>2134633.3119999999</v>
      </c>
      <c r="D6" s="12">
        <f>SUM(Jan!D6, Feb!D6, Mar!D6)</f>
        <v>1960377.9539999999</v>
      </c>
      <c r="E6" s="12">
        <f t="shared" si="0"/>
        <v>174255.35800000001</v>
      </c>
      <c r="F6" s="13">
        <f t="shared" ref="F6:F8" si="1">IFERROR(E6/D6, "")</f>
        <v>8.888865417224541E-2</v>
      </c>
      <c r="G6" s="14">
        <f>SUM('1st Qtr'!G6, '2nd Qtr'!G6, '3rd Qtr'!G6, '4th Qtr'!G6)</f>
        <v>1549604.46</v>
      </c>
      <c r="H6" s="14">
        <f>SUM(Jan!H6, Feb!H6, Mar!H6)</f>
        <v>585028.85200000007</v>
      </c>
      <c r="I6" s="15">
        <f t="shared" ref="I6:I8" si="2">IFERROR(H6/G6, "")</f>
        <v>0.37753431091699369</v>
      </c>
    </row>
    <row r="7" spans="1:9" ht="15.75">
      <c r="A7" s="52" t="str">
        <v>Dover - Littleworth Road</v>
      </c>
      <c r="B7" s="29" t="str">
        <v>NH</v>
      </c>
      <c r="C7" s="11">
        <f>SUM(Jan!C7, Feb!C7, Mar!C7)</f>
        <v>76761</v>
      </c>
      <c r="D7" s="17">
        <f>SUM(Jan!D7, Feb!D7, Mar!D7)</f>
        <v>0</v>
      </c>
      <c r="E7" s="17">
        <f t="shared" si="0"/>
        <v>76761</v>
      </c>
      <c r="F7" s="18" t="str">
        <f t="shared" si="1"/>
        <v/>
      </c>
      <c r="G7" s="19">
        <f>SUM('1st Qtr'!G7, '2nd Qtr'!G7, '3rd Qtr'!G7, '4th Qtr'!G7)</f>
        <v>0</v>
      </c>
      <c r="H7" s="19">
        <f>SUM(Jan!H7, Feb!H7, Mar!H7)</f>
        <v>76761</v>
      </c>
      <c r="I7" s="18" t="str">
        <f t="shared" si="2"/>
        <v/>
      </c>
    </row>
    <row r="8" spans="1:9" ht="15.75">
      <c r="A8" s="53" t="str">
        <v>Milton - Landfill</v>
      </c>
      <c r="B8" s="27" t="str">
        <v>NH</v>
      </c>
      <c r="C8" s="23">
        <f>SUM(Jan!C8, Feb!C8, Mar!C8)</f>
        <v>231101</v>
      </c>
      <c r="D8" s="12">
        <f>SUM(Jan!D8, Feb!D8, Mar!D8)</f>
        <v>0</v>
      </c>
      <c r="E8" s="12">
        <f t="shared" si="0"/>
        <v>231101</v>
      </c>
      <c r="F8" s="13" t="str">
        <f t="shared" si="1"/>
        <v/>
      </c>
      <c r="G8" s="14">
        <f>SUM('1st Qtr'!G8, '2nd Qtr'!G8, '3rd Qtr'!G8, '4th Qtr'!G8)</f>
        <v>0</v>
      </c>
      <c r="H8" s="14">
        <f>SUM(Jan!H8, Feb!H8, Mar!H8)</f>
        <v>231101</v>
      </c>
      <c r="I8" s="15" t="str">
        <f t="shared" si="2"/>
        <v/>
      </c>
    </row>
    <row r="9" spans="1:9" ht="13.15">
      <c r="A9" s="20"/>
      <c r="B9" s="20"/>
      <c r="C9" s="20"/>
      <c r="D9" s="20"/>
      <c r="E9" s="20"/>
      <c r="F9" s="20"/>
      <c r="G9" s="20"/>
      <c r="H9" s="20"/>
      <c r="I9" s="20"/>
    </row>
    <row r="10" spans="1:9" ht="13.15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15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15">
      <c r="A12" s="20"/>
      <c r="B12" s="20"/>
      <c r="C12" s="20"/>
      <c r="D12" s="20"/>
      <c r="E12" s="20"/>
      <c r="F12" s="20"/>
      <c r="G12" s="20"/>
      <c r="H12" s="20"/>
      <c r="I12" s="20"/>
    </row>
    <row r="13" spans="1:9" ht="13.15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15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15">
      <c r="A321" s="20"/>
      <c r="B321" s="20"/>
      <c r="C321" s="20"/>
      <c r="D321" s="20"/>
      <c r="E321" s="20"/>
      <c r="F321" s="21"/>
      <c r="G321" s="20"/>
      <c r="H321" s="20"/>
      <c r="I321" s="21"/>
    </row>
    <row r="322" spans="1:9" ht="13.15">
      <c r="A322" s="20"/>
      <c r="B322" s="20"/>
      <c r="C322" s="20"/>
      <c r="D322" s="20"/>
      <c r="E322" s="20"/>
      <c r="F322" s="21"/>
      <c r="G322" s="20"/>
      <c r="H322" s="20"/>
      <c r="I322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80 I4:I80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2"/>
  <sheetViews>
    <sheetView workbookViewId="0">
      <pane xSplit="2" ySplit="3" topLeftCell="C4" activePane="bottomRight" state="frozen"/>
      <selection pane="bottomRight" activeCell="K10" sqref="K10"/>
      <selection pane="bottomLeft" activeCell="F27" sqref="F27"/>
      <selection pane="topRight" activeCell="F27" sqref="F27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7" t="str" cm="1">
        <f t="array" ref="A1">portfolio</f>
        <v>Agilitas Energy</v>
      </c>
      <c r="B1" s="57"/>
      <c r="C1" s="57"/>
      <c r="D1" s="58" t="s">
        <v>10</v>
      </c>
      <c r="E1" s="58"/>
      <c r="F1" s="58"/>
      <c r="G1" s="56" t="s">
        <v>11</v>
      </c>
      <c r="H1" s="56"/>
      <c r="I1" s="56"/>
    </row>
    <row r="2" spans="1:9" ht="19.5" customHeight="1">
      <c r="A2" s="59" t="s">
        <v>2</v>
      </c>
      <c r="B2" s="59"/>
      <c r="C2" s="5">
        <f>SUM(C4:C80)</f>
        <v>4081355.2196509624</v>
      </c>
      <c r="D2" s="5">
        <f>SUM(D4:D80)</f>
        <v>3449243.358</v>
      </c>
      <c r="E2" s="5">
        <f>C2-D2</f>
        <v>632111.86165096238</v>
      </c>
      <c r="F2" s="6">
        <f>IFERROR(E2/D2, 0)</f>
        <v>0.18326102163388217</v>
      </c>
      <c r="G2" s="5">
        <f>SUM(G4:G80)</f>
        <v>1712996.49</v>
      </c>
      <c r="H2" s="7">
        <f>C2-G2</f>
        <v>2368358.7296509622</v>
      </c>
      <c r="I2" s="6">
        <f>IFERROR(H2/G2, 0)</f>
        <v>1.3825823599037044</v>
      </c>
    </row>
    <row r="3" spans="1:9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75">
      <c r="A4" s="48" t="str" cm="1">
        <f t="array" ref="A4:A8">Sites[Site]</f>
        <v>Rowley - Central Street Solar</v>
      </c>
      <c r="B4" s="9" t="str" cm="1">
        <f t="array" ref="B4:B8">Sites[State]</f>
        <v>MA</v>
      </c>
      <c r="C4" s="23">
        <f>SUM(Jan!C4, Feb!C4, Mar!C4)</f>
        <v>157177.24098429648</v>
      </c>
      <c r="D4" s="12">
        <f>SUM(Jan!D4, Feb!D4, Mar!D4)</f>
        <v>165536.81700000001</v>
      </c>
      <c r="E4" s="12">
        <f>IF(AND(ISNUMBER(C4),ISNUMBER(D4)), C4-D4, "")</f>
        <v>-8359.5760157035256</v>
      </c>
      <c r="F4" s="13">
        <f>IFERROR(E4/D4, "")</f>
        <v>-5.0499799181855265E-2</v>
      </c>
      <c r="G4" s="14">
        <f>SUM(Jan!G4, Feb!G4, Mar!G4)</f>
        <v>163392.03</v>
      </c>
      <c r="H4" s="14">
        <f>SUM(Jan!H4, Feb!H4, Mar!H4)</f>
        <v>-6214.7890157034926</v>
      </c>
      <c r="I4" s="15">
        <f>IFERROR(H4/G4, "")</f>
        <v>-3.8036059749692153E-2</v>
      </c>
    </row>
    <row r="5" spans="1:9" ht="15.75">
      <c r="A5" s="49" t="str">
        <v>Auburn - Leicester Street Solar</v>
      </c>
      <c r="B5" s="10" t="str">
        <v>MA</v>
      </c>
      <c r="C5" s="11">
        <f>SUM(Jan!C5, Feb!C5, Mar!C5)</f>
        <v>1481682.666666666</v>
      </c>
      <c r="D5" s="17">
        <f>SUM(Jan!D5, Feb!D5, Mar!D5)</f>
        <v>1323328.5870000001</v>
      </c>
      <c r="E5" s="17">
        <f t="shared" ref="E5:E8" si="0">IF(AND(ISNUMBER(C5),ISNUMBER(D5)), C5-D5, "")</f>
        <v>158354.07966666599</v>
      </c>
      <c r="F5" s="18">
        <f>IFERROR(E5/D5, "")</f>
        <v>0.11966346168464204</v>
      </c>
      <c r="G5" s="19">
        <f>SUM(Jan!G5, Feb!G5, Mar!G5)</f>
        <v>0</v>
      </c>
      <c r="H5" s="19">
        <f>SUM(Jan!H5, Feb!H5, Mar!H5)</f>
        <v>1481682.666666666</v>
      </c>
      <c r="I5" s="18" t="str">
        <f>IFERROR(H5/G5, "")</f>
        <v/>
      </c>
    </row>
    <row r="6" spans="1:9" ht="15.75">
      <c r="A6" s="48" t="str">
        <v>Rochester - Old Middleboro</v>
      </c>
      <c r="B6" s="9" t="str">
        <v>MA</v>
      </c>
      <c r="C6" s="23">
        <f>SUM(Jan!C6, Feb!C6, Mar!C6)</f>
        <v>2134633.3119999999</v>
      </c>
      <c r="D6" s="12">
        <f>SUM(Jan!D6, Feb!D6, Mar!D6)</f>
        <v>1960377.9539999999</v>
      </c>
      <c r="E6" s="12">
        <f t="shared" si="0"/>
        <v>174255.35800000001</v>
      </c>
      <c r="F6" s="13">
        <f t="shared" ref="F6:F8" si="1">IFERROR(E6/D6, "")</f>
        <v>8.888865417224541E-2</v>
      </c>
      <c r="G6" s="14">
        <f>SUM(Jan!G6, Feb!G6, Mar!G6)</f>
        <v>1549604.46</v>
      </c>
      <c r="H6" s="14">
        <f>SUM(Jan!H6, Feb!H6, Mar!H6)</f>
        <v>585028.85200000007</v>
      </c>
      <c r="I6" s="15">
        <f t="shared" ref="I6:I8" si="2">IFERROR(H6/G6, "")</f>
        <v>0.37753431091699369</v>
      </c>
    </row>
    <row r="7" spans="1:9" ht="15.75">
      <c r="A7" s="49" t="str">
        <v>Dover - Littleworth Road</v>
      </c>
      <c r="B7" s="10" t="str">
        <v>NH</v>
      </c>
      <c r="C7" s="11">
        <f>SUM(Jan!C7, Feb!C7, Mar!C7)</f>
        <v>76761</v>
      </c>
      <c r="D7" s="17">
        <f>SUM(Jan!D7, Feb!D7, Mar!D7)</f>
        <v>0</v>
      </c>
      <c r="E7" s="17">
        <f t="shared" si="0"/>
        <v>76761</v>
      </c>
      <c r="F7" s="18" t="str">
        <f t="shared" si="1"/>
        <v/>
      </c>
      <c r="G7" s="19">
        <f>SUM(Jan!G7, Feb!G7, Mar!G7)</f>
        <v>0</v>
      </c>
      <c r="H7" s="19">
        <f>SUM(Jan!H7, Feb!H7, Mar!H7)</f>
        <v>76761</v>
      </c>
      <c r="I7" s="18" t="str">
        <f t="shared" si="2"/>
        <v/>
      </c>
    </row>
    <row r="8" spans="1:9" ht="15.75">
      <c r="A8" s="48" t="str">
        <v>Milton - Landfill</v>
      </c>
      <c r="B8" s="9" t="str">
        <v>NH</v>
      </c>
      <c r="C8" s="23">
        <f>SUM(Jan!C8, Feb!C8, Mar!C8)</f>
        <v>231101</v>
      </c>
      <c r="D8" s="12">
        <f>SUM(Jan!D8, Feb!D8, Mar!D8)</f>
        <v>0</v>
      </c>
      <c r="E8" s="12">
        <f t="shared" si="0"/>
        <v>231101</v>
      </c>
      <c r="F8" s="13" t="str">
        <f t="shared" si="1"/>
        <v/>
      </c>
      <c r="G8" s="14">
        <f>SUM(Jan!G8, Feb!G8, Mar!G8)</f>
        <v>0</v>
      </c>
      <c r="H8" s="14">
        <f>SUM(Jan!H8, Feb!H8, Mar!H8)</f>
        <v>231101</v>
      </c>
      <c r="I8" s="15" t="str">
        <f t="shared" si="2"/>
        <v/>
      </c>
    </row>
    <row r="9" spans="1:9" ht="13.15">
      <c r="A9" s="20"/>
      <c r="B9" s="20"/>
      <c r="C9" s="20"/>
      <c r="D9" s="20"/>
      <c r="E9" s="20"/>
      <c r="F9" s="20"/>
      <c r="G9" s="20"/>
      <c r="H9" s="20"/>
      <c r="I9" s="20"/>
    </row>
    <row r="10" spans="1:9" ht="13.15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15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15">
      <c r="A12" s="20"/>
      <c r="B12" s="20"/>
      <c r="C12" s="20"/>
      <c r="D12" s="20"/>
      <c r="E12" s="20"/>
      <c r="F12" s="20"/>
      <c r="G12" s="20"/>
      <c r="H12" s="20"/>
      <c r="I12" s="20"/>
    </row>
    <row r="13" spans="1:9" ht="13.15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15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15">
      <c r="A321" s="20"/>
      <c r="B321" s="20"/>
      <c r="C321" s="20"/>
      <c r="D321" s="20"/>
      <c r="E321" s="20"/>
      <c r="F321" s="21"/>
      <c r="G321" s="20"/>
      <c r="H321" s="20"/>
      <c r="I321" s="21"/>
    </row>
    <row r="322" spans="1:9" ht="13.15">
      <c r="A322" s="20"/>
      <c r="B322" s="20"/>
      <c r="C322" s="20"/>
      <c r="D322" s="20"/>
      <c r="E322" s="20"/>
      <c r="F322" s="21"/>
      <c r="G322" s="20"/>
      <c r="H322" s="20"/>
      <c r="I322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80 I4:I80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2"/>
  <sheetViews>
    <sheetView workbookViewId="0">
      <pane xSplit="2" ySplit="3" topLeftCell="C4" activePane="bottomRight" state="frozen"/>
      <selection pane="bottomRight" activeCell="F27" sqref="F27"/>
      <selection pane="bottomLeft" activeCell="F27" sqref="F27"/>
      <selection pane="topRight" activeCell="F27" sqref="F27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7" t="str" cm="1">
        <f t="array" ref="A1">portfolio</f>
        <v>Agilitas Energy</v>
      </c>
      <c r="B1" s="57"/>
      <c r="C1" s="57"/>
      <c r="D1" s="58" t="s">
        <v>12</v>
      </c>
      <c r="E1" s="58"/>
      <c r="F1" s="58"/>
      <c r="G1" s="56" t="s">
        <v>13</v>
      </c>
      <c r="H1" s="56"/>
      <c r="I1" s="56"/>
    </row>
    <row r="2" spans="1:9" ht="19.5" customHeight="1">
      <c r="A2" s="59" t="s">
        <v>2</v>
      </c>
      <c r="B2" s="59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75">
      <c r="A4" s="48" t="str" cm="1">
        <f t="array" ref="A4:A8">Sites[Site]</f>
        <v>Rowley - Central Street Solar</v>
      </c>
      <c r="B4" s="9" t="str" cm="1">
        <f t="array" ref="B4:B8">Sites[State]</f>
        <v>MA</v>
      </c>
      <c r="C4" s="23">
        <f>SUM(Apr!C4, May!C4, Jun!C4)</f>
        <v>0</v>
      </c>
      <c r="D4" s="12">
        <f>SUM(Apr!D4, May!D4, Jun!D4)</f>
        <v>0</v>
      </c>
      <c r="E4" s="12">
        <f>IF(AND(ISNUMBER(C4),ISNUMBER(D4)), C4-D4, "")</f>
        <v>0</v>
      </c>
      <c r="F4" s="13" t="str">
        <f>IFERROR(E4/D4, "")</f>
        <v/>
      </c>
      <c r="G4" s="14"/>
      <c r="H4" s="14">
        <f>SUM(Apr!H4, May!H4, Jun!H4)</f>
        <v>0</v>
      </c>
      <c r="I4" s="15" t="str">
        <f>IFERROR(H4/G4, "")</f>
        <v/>
      </c>
    </row>
    <row r="5" spans="1:9" ht="15.75">
      <c r="A5" s="49" t="str">
        <v>Auburn - Leicester Street Solar</v>
      </c>
      <c r="B5" s="10" t="str">
        <v>MA</v>
      </c>
      <c r="C5" s="11">
        <f>SUM(Apr!C5, May!C5, Jun!C5)</f>
        <v>0</v>
      </c>
      <c r="D5" s="17">
        <f>SUM(Apr!D5, May!D5, Jun!D5)</f>
        <v>0</v>
      </c>
      <c r="E5" s="17">
        <f t="shared" ref="E5:E8" si="0">IF(AND(ISNUMBER(C5),ISNUMBER(D5)), C5-D5, "")</f>
        <v>0</v>
      </c>
      <c r="F5" s="18" t="str">
        <f>IFERROR(E5/D5, "")</f>
        <v/>
      </c>
      <c r="G5" s="19"/>
      <c r="H5" s="19">
        <f>SUM(Apr!H5, May!H5, Jun!H5)</f>
        <v>0</v>
      </c>
      <c r="I5" s="18" t="str">
        <f>IFERROR(H5/G5, "")</f>
        <v/>
      </c>
    </row>
    <row r="6" spans="1:9" ht="15.75">
      <c r="A6" s="48" t="str">
        <v>Rochester - Old Middleboro</v>
      </c>
      <c r="B6" s="9" t="str">
        <v>MA</v>
      </c>
      <c r="C6" s="23">
        <f>SUM(Apr!C6, May!C6, Jun!C6)</f>
        <v>0</v>
      </c>
      <c r="D6" s="12">
        <f>SUM(Apr!D6, May!D6, Jun!D6)</f>
        <v>0</v>
      </c>
      <c r="E6" s="12">
        <f t="shared" si="0"/>
        <v>0</v>
      </c>
      <c r="F6" s="13" t="str">
        <f t="shared" ref="F6:F8" si="1">IFERROR(E6/D6, "")</f>
        <v/>
      </c>
      <c r="G6" s="14"/>
      <c r="H6" s="14">
        <f>SUM(Apr!H6, May!H6, Jun!H6)</f>
        <v>0</v>
      </c>
      <c r="I6" s="15" t="str">
        <f t="shared" ref="I6:I8" si="2">IFERROR(H6/G6, "")</f>
        <v/>
      </c>
    </row>
    <row r="7" spans="1:9" ht="15.75">
      <c r="A7" s="49" t="str">
        <v>Dover - Littleworth Road</v>
      </c>
      <c r="B7" s="10" t="str">
        <v>NH</v>
      </c>
      <c r="C7" s="11">
        <f>SUM(Apr!C7, May!C7, Jun!C7)</f>
        <v>0</v>
      </c>
      <c r="D7" s="17">
        <f>SUM(Apr!D7, May!D7, Jun!D7)</f>
        <v>0</v>
      </c>
      <c r="E7" s="17">
        <f t="shared" si="0"/>
        <v>0</v>
      </c>
      <c r="F7" s="18" t="str">
        <f t="shared" si="1"/>
        <v/>
      </c>
      <c r="G7" s="19"/>
      <c r="H7" s="19">
        <f>SUM(Apr!H7, May!H7, Jun!H7)</f>
        <v>0</v>
      </c>
      <c r="I7" s="18" t="str">
        <f t="shared" si="2"/>
        <v/>
      </c>
    </row>
    <row r="8" spans="1:9" ht="15.75">
      <c r="A8" s="48" t="str">
        <v>Milton - Landfill</v>
      </c>
      <c r="B8" s="9" t="str">
        <v>NH</v>
      </c>
      <c r="C8" s="23">
        <f>SUM(Apr!C8, May!C8, Jun!C8)</f>
        <v>0</v>
      </c>
      <c r="D8" s="12">
        <f>SUM(Apr!D8, May!D8, Jun!D8)</f>
        <v>0</v>
      </c>
      <c r="E8" s="12">
        <f t="shared" si="0"/>
        <v>0</v>
      </c>
      <c r="F8" s="13" t="str">
        <f t="shared" si="1"/>
        <v/>
      </c>
      <c r="G8" s="14"/>
      <c r="H8" s="14">
        <f>SUM(Apr!H8, May!H8, Jun!H8)</f>
        <v>0</v>
      </c>
      <c r="I8" s="15" t="str">
        <f t="shared" si="2"/>
        <v/>
      </c>
    </row>
    <row r="9" spans="1:9" ht="13.15">
      <c r="A9" s="20"/>
      <c r="B9" s="20"/>
      <c r="C9" s="20"/>
      <c r="D9" s="20"/>
      <c r="E9" s="20"/>
      <c r="F9" s="20"/>
      <c r="G9" s="20"/>
      <c r="H9" s="20"/>
      <c r="I9" s="20"/>
    </row>
    <row r="10" spans="1:9" ht="13.15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15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15">
      <c r="A12" s="20"/>
      <c r="B12" s="20"/>
      <c r="C12" s="20"/>
      <c r="D12" s="20"/>
      <c r="E12" s="20"/>
      <c r="F12" s="20"/>
      <c r="G12" s="20"/>
      <c r="H12" s="20"/>
      <c r="I12" s="20"/>
    </row>
    <row r="13" spans="1:9" ht="13.15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15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15">
      <c r="A321" s="20"/>
      <c r="B321" s="20"/>
      <c r="C321" s="20"/>
      <c r="D321" s="20"/>
      <c r="E321" s="20"/>
      <c r="F321" s="21"/>
      <c r="G321" s="20"/>
      <c r="H321" s="20"/>
      <c r="I321" s="21"/>
    </row>
    <row r="322" spans="1:9" ht="13.15">
      <c r="A322" s="20"/>
      <c r="B322" s="20"/>
      <c r="C322" s="20"/>
      <c r="D322" s="20"/>
      <c r="E322" s="20"/>
      <c r="F322" s="21"/>
      <c r="G322" s="20"/>
      <c r="H322" s="20"/>
      <c r="I322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80 I4:I80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2"/>
  <sheetViews>
    <sheetView workbookViewId="0">
      <pane xSplit="2" ySplit="3" topLeftCell="C4" activePane="bottomRight" state="frozen"/>
      <selection pane="bottomRight" activeCell="F27" sqref="F27"/>
      <selection pane="bottomLeft" activeCell="F27" sqref="F27"/>
      <selection pane="topRight" activeCell="F27" sqref="F27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7" t="str" cm="1">
        <f t="array" ref="A1">portfolio</f>
        <v>Agilitas Energy</v>
      </c>
      <c r="B1" s="57"/>
      <c r="C1" s="57"/>
      <c r="D1" s="58" t="s">
        <v>14</v>
      </c>
      <c r="E1" s="58"/>
      <c r="F1" s="58"/>
      <c r="G1" s="56" t="s">
        <v>15</v>
      </c>
      <c r="H1" s="56"/>
      <c r="I1" s="56"/>
    </row>
    <row r="2" spans="1:9" ht="19.5" customHeight="1">
      <c r="A2" s="59" t="s">
        <v>2</v>
      </c>
      <c r="B2" s="59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75">
      <c r="A4" s="48" t="str" cm="1">
        <f t="array" ref="A4:A8">Sites[Site]</f>
        <v>Rowley - Central Street Solar</v>
      </c>
      <c r="B4" s="9" t="str" cm="1">
        <f t="array" ref="B4:B8">Sites[State]</f>
        <v>MA</v>
      </c>
      <c r="C4" s="23">
        <f>SUM(Jul!C4, Aug!C4, Sep!C4)</f>
        <v>0</v>
      </c>
      <c r="D4" s="12">
        <f>SUM(Jul!D4, Aug!D4, Sep!D4)</f>
        <v>0</v>
      </c>
      <c r="E4" s="12">
        <f>IF(AND(ISNUMBER(C4),ISNUMBER(D4)), C4-D4, "")</f>
        <v>0</v>
      </c>
      <c r="F4" s="13" t="str">
        <f>IFERROR(E4/D4, "")</f>
        <v/>
      </c>
      <c r="G4" s="14"/>
      <c r="H4" s="14">
        <f>SUM(Jul!H4, Aug!H4, Sep!H4)</f>
        <v>0</v>
      </c>
      <c r="I4" s="15" t="str">
        <f>IFERROR(H4/G4, "")</f>
        <v/>
      </c>
    </row>
    <row r="5" spans="1:9" ht="15.75">
      <c r="A5" s="49" t="str">
        <v>Auburn - Leicester Street Solar</v>
      </c>
      <c r="B5" s="10" t="str">
        <v>MA</v>
      </c>
      <c r="C5" s="11">
        <f>SUM(Jul!C5, Aug!C5, Sep!C5)</f>
        <v>0</v>
      </c>
      <c r="D5" s="17">
        <f>SUM(Jul!D5, Aug!D5, Sep!D5)</f>
        <v>0</v>
      </c>
      <c r="E5" s="17">
        <f t="shared" ref="E5:E8" si="0">IF(AND(ISNUMBER(C5),ISNUMBER(D5)), C5-D5, "")</f>
        <v>0</v>
      </c>
      <c r="F5" s="18" t="str">
        <f>IFERROR(E5/D5, "")</f>
        <v/>
      </c>
      <c r="G5" s="19"/>
      <c r="H5" s="19">
        <f>SUM(Jul!H5, Aug!H5, Sep!H5)</f>
        <v>0</v>
      </c>
      <c r="I5" s="18" t="str">
        <f>IFERROR(H5/G5, "")</f>
        <v/>
      </c>
    </row>
    <row r="6" spans="1:9" ht="15.75">
      <c r="A6" s="48" t="str">
        <v>Rochester - Old Middleboro</v>
      </c>
      <c r="B6" s="9" t="str">
        <v>MA</v>
      </c>
      <c r="C6" s="23">
        <f>SUM(Jul!C6, Aug!C6, Sep!C6)</f>
        <v>0</v>
      </c>
      <c r="D6" s="12">
        <f>SUM(Jul!D6, Aug!D6, Sep!D6)</f>
        <v>0</v>
      </c>
      <c r="E6" s="12">
        <f t="shared" si="0"/>
        <v>0</v>
      </c>
      <c r="F6" s="13" t="str">
        <f t="shared" ref="F6:F8" si="1">IFERROR(E6/D6, "")</f>
        <v/>
      </c>
      <c r="G6" s="14"/>
      <c r="H6" s="14">
        <f>SUM(Jul!H6, Aug!H6, Sep!H6)</f>
        <v>0</v>
      </c>
      <c r="I6" s="15" t="str">
        <f t="shared" ref="I6:I8" si="2">IFERROR(H6/G6, "")</f>
        <v/>
      </c>
    </row>
    <row r="7" spans="1:9" ht="15.75">
      <c r="A7" s="49" t="str">
        <v>Dover - Littleworth Road</v>
      </c>
      <c r="B7" s="10" t="str">
        <v>NH</v>
      </c>
      <c r="C7" s="11">
        <f>SUM(Jul!C7, Aug!C7, Sep!C7)</f>
        <v>0</v>
      </c>
      <c r="D7" s="17">
        <f>SUM(Jul!D7, Aug!D7, Sep!D7)</f>
        <v>0</v>
      </c>
      <c r="E7" s="17">
        <f t="shared" si="0"/>
        <v>0</v>
      </c>
      <c r="F7" s="18" t="str">
        <f t="shared" si="1"/>
        <v/>
      </c>
      <c r="G7" s="19"/>
      <c r="H7" s="19">
        <f>SUM(Jul!H7, Aug!H7, Sep!H7)</f>
        <v>0</v>
      </c>
      <c r="I7" s="18" t="str">
        <f t="shared" si="2"/>
        <v/>
      </c>
    </row>
    <row r="8" spans="1:9" ht="15.75">
      <c r="A8" s="48" t="str">
        <v>Milton - Landfill</v>
      </c>
      <c r="B8" s="9" t="str">
        <v>NH</v>
      </c>
      <c r="C8" s="23">
        <f>SUM(Jul!C8, Aug!C8, Sep!C8)</f>
        <v>0</v>
      </c>
      <c r="D8" s="12">
        <f>SUM(Jul!D8, Aug!D8, Sep!D8)</f>
        <v>0</v>
      </c>
      <c r="E8" s="12">
        <f t="shared" si="0"/>
        <v>0</v>
      </c>
      <c r="F8" s="13" t="str">
        <f t="shared" si="1"/>
        <v/>
      </c>
      <c r="G8" s="14"/>
      <c r="H8" s="14">
        <f>SUM(Jul!H8, Aug!H8, Sep!H8)</f>
        <v>0</v>
      </c>
      <c r="I8" s="15" t="str">
        <f t="shared" si="2"/>
        <v/>
      </c>
    </row>
    <row r="9" spans="1:9" ht="15.75">
      <c r="A9" s="16"/>
      <c r="B9" s="20"/>
      <c r="C9" s="20"/>
      <c r="D9" s="20"/>
      <c r="E9" s="20"/>
      <c r="F9" s="20"/>
      <c r="G9" s="20"/>
      <c r="H9" s="20"/>
      <c r="I9" s="20"/>
    </row>
    <row r="10" spans="1:9" ht="15.75">
      <c r="A10" s="16"/>
      <c r="B10" s="20"/>
      <c r="C10" s="20"/>
      <c r="D10" s="20"/>
      <c r="E10" s="20"/>
      <c r="F10" s="20"/>
      <c r="G10" s="20"/>
      <c r="H10" s="20"/>
      <c r="I10" s="20"/>
    </row>
    <row r="11" spans="1:9" ht="15.75">
      <c r="A11" s="16"/>
      <c r="B11" s="20"/>
      <c r="C11" s="20"/>
      <c r="D11" s="20"/>
      <c r="E11" s="20"/>
      <c r="F11" s="20"/>
      <c r="G11" s="20"/>
      <c r="H11" s="20"/>
      <c r="I11" s="20"/>
    </row>
    <row r="12" spans="1:9" ht="13.15">
      <c r="A12" s="20"/>
      <c r="B12" s="20"/>
      <c r="C12" s="20"/>
      <c r="D12" s="20"/>
      <c r="E12" s="20"/>
      <c r="F12" s="20"/>
      <c r="G12" s="20"/>
      <c r="H12" s="20"/>
      <c r="I12" s="20"/>
    </row>
    <row r="13" spans="1:9" ht="13.15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15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15">
      <c r="A321" s="20"/>
      <c r="B321" s="20"/>
      <c r="C321" s="20"/>
      <c r="D321" s="20"/>
      <c r="E321" s="20"/>
      <c r="F321" s="21"/>
      <c r="G321" s="20"/>
      <c r="H321" s="20"/>
      <c r="I321" s="21"/>
    </row>
    <row r="322" spans="1:9" ht="13.15">
      <c r="A322" s="20"/>
      <c r="B322" s="20"/>
      <c r="C322" s="20"/>
      <c r="D322" s="20"/>
      <c r="E322" s="20"/>
      <c r="F322" s="21"/>
      <c r="G322" s="20"/>
      <c r="H322" s="20"/>
      <c r="I322" s="21"/>
    </row>
  </sheetData>
  <mergeCells count="4">
    <mergeCell ref="G1:I1"/>
    <mergeCell ref="A1:C1"/>
    <mergeCell ref="D1:F1"/>
    <mergeCell ref="A2:B2"/>
  </mergeCells>
  <conditionalFormatting sqref="F2 I2 F4:F80 I4:I80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2"/>
  <sheetViews>
    <sheetView workbookViewId="0">
      <pane xSplit="2" ySplit="3" topLeftCell="C4" activePane="bottomRight" state="frozen"/>
      <selection pane="bottomRight" activeCell="F27" sqref="F27"/>
      <selection pane="bottomLeft" activeCell="F27" sqref="F27"/>
      <selection pane="topRight" activeCell="F27" sqref="F27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7" t="str" cm="1">
        <f t="array" ref="A1">portfolio</f>
        <v>Agilitas Energy</v>
      </c>
      <c r="B1" s="57"/>
      <c r="C1" s="57"/>
      <c r="D1" s="58" t="s">
        <v>16</v>
      </c>
      <c r="E1" s="58"/>
      <c r="F1" s="58"/>
      <c r="G1" s="56" t="s">
        <v>17</v>
      </c>
      <c r="H1" s="56"/>
      <c r="I1" s="56"/>
    </row>
    <row r="2" spans="1:9" ht="19.5" customHeight="1">
      <c r="A2" s="59" t="s">
        <v>2</v>
      </c>
      <c r="B2" s="59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75">
      <c r="A4" s="48" t="str" cm="1">
        <f t="array" ref="A4:A8">Sites[Site]</f>
        <v>Rowley - Central Street Solar</v>
      </c>
      <c r="B4" s="9" t="str" cm="1">
        <f t="array" ref="B4:B8">Sites[State]</f>
        <v>MA</v>
      </c>
      <c r="C4" s="23">
        <f>SUM(Oct!C4, Nov!C4, Dec!C4)</f>
        <v>0</v>
      </c>
      <c r="D4" s="12">
        <f>SUM(Oct!D4, Nov!D4, Dec!D4)</f>
        <v>0</v>
      </c>
      <c r="E4" s="12">
        <f>IF(AND(ISNUMBER(C4),ISNUMBER(D4)), C4-D4, "")</f>
        <v>0</v>
      </c>
      <c r="F4" s="13" t="str">
        <f>IFERROR(E4/D4, "")</f>
        <v/>
      </c>
      <c r="G4" s="14"/>
      <c r="H4" s="14">
        <f>SUM(Oct!H4, Nov!H4, Dec!H4)</f>
        <v>0</v>
      </c>
      <c r="I4" s="15" t="str">
        <f>IFERROR(H4/G4, "")</f>
        <v/>
      </c>
    </row>
    <row r="5" spans="1:9" ht="15.75">
      <c r="A5" s="49" t="str">
        <v>Auburn - Leicester Street Solar</v>
      </c>
      <c r="B5" s="10" t="str">
        <v>MA</v>
      </c>
      <c r="C5" s="11">
        <f>SUM(Oct!C5, Nov!C5, Dec!C5)</f>
        <v>0</v>
      </c>
      <c r="D5" s="17">
        <f>SUM(Oct!D5, Nov!D5, Dec!D5)</f>
        <v>0</v>
      </c>
      <c r="E5" s="17">
        <f t="shared" ref="E5:E8" si="0">IF(AND(ISNUMBER(C5),ISNUMBER(D5)), C5-D5, "")</f>
        <v>0</v>
      </c>
      <c r="F5" s="18" t="str">
        <f>IFERROR(E5/D5, "")</f>
        <v/>
      </c>
      <c r="G5" s="19"/>
      <c r="H5" s="19">
        <f>SUM(Oct!H5, Nov!H5, Dec!H5)</f>
        <v>0</v>
      </c>
      <c r="I5" s="18" t="str">
        <f>IFERROR(H5/G5, "")</f>
        <v/>
      </c>
    </row>
    <row r="6" spans="1:9" ht="15.75">
      <c r="A6" s="48" t="str">
        <v>Rochester - Old Middleboro</v>
      </c>
      <c r="B6" s="9" t="str">
        <v>MA</v>
      </c>
      <c r="C6" s="23">
        <f>SUM(Oct!C6, Nov!C6, Dec!C6)</f>
        <v>0</v>
      </c>
      <c r="D6" s="12">
        <f>SUM(Oct!D6, Nov!D6, Dec!D6)</f>
        <v>0</v>
      </c>
      <c r="E6" s="12">
        <f t="shared" si="0"/>
        <v>0</v>
      </c>
      <c r="F6" s="13" t="str">
        <f t="shared" ref="F6:F8" si="1">IFERROR(E6/D6, "")</f>
        <v/>
      </c>
      <c r="G6" s="14"/>
      <c r="H6" s="14">
        <f>SUM(Oct!H6, Nov!H6, Dec!H6)</f>
        <v>0</v>
      </c>
      <c r="I6" s="15" t="str">
        <f t="shared" ref="I6:I8" si="2">IFERROR(H6/G6, "")</f>
        <v/>
      </c>
    </row>
    <row r="7" spans="1:9" ht="15.75">
      <c r="A7" s="49" t="str">
        <v>Dover - Littleworth Road</v>
      </c>
      <c r="B7" s="10" t="str">
        <v>NH</v>
      </c>
      <c r="C7" s="11">
        <f>SUM(Oct!C7, Nov!C7, Dec!C7)</f>
        <v>0</v>
      </c>
      <c r="D7" s="17">
        <f>SUM(Oct!D7, Nov!D7, Dec!D7)</f>
        <v>0</v>
      </c>
      <c r="E7" s="17">
        <f t="shared" si="0"/>
        <v>0</v>
      </c>
      <c r="F7" s="18" t="str">
        <f t="shared" si="1"/>
        <v/>
      </c>
      <c r="G7" s="19"/>
      <c r="H7" s="19">
        <f>SUM(Oct!H7, Nov!H7, Dec!H7)</f>
        <v>0</v>
      </c>
      <c r="I7" s="18" t="str">
        <f t="shared" si="2"/>
        <v/>
      </c>
    </row>
    <row r="8" spans="1:9" ht="15.75">
      <c r="A8" s="48" t="str">
        <v>Milton - Landfill</v>
      </c>
      <c r="B8" s="9" t="str">
        <v>NH</v>
      </c>
      <c r="C8" s="23">
        <f>SUM(Oct!C8, Nov!C8, Dec!C8)</f>
        <v>0</v>
      </c>
      <c r="D8" s="12">
        <f>SUM(Oct!D8, Nov!D8, Dec!D8)</f>
        <v>0</v>
      </c>
      <c r="E8" s="12">
        <f t="shared" si="0"/>
        <v>0</v>
      </c>
      <c r="F8" s="13" t="str">
        <f t="shared" si="1"/>
        <v/>
      </c>
      <c r="G8" s="14"/>
      <c r="H8" s="14">
        <f>SUM(Oct!H8, Nov!H8, Dec!H8)</f>
        <v>0</v>
      </c>
      <c r="I8" s="15" t="str">
        <f t="shared" si="2"/>
        <v/>
      </c>
    </row>
    <row r="9" spans="1:9" ht="14.25">
      <c r="A9" s="20"/>
      <c r="B9" s="10"/>
      <c r="C9" s="45"/>
      <c r="D9" s="17"/>
      <c r="E9" s="17"/>
      <c r="F9" s="18"/>
      <c r="G9" s="19"/>
      <c r="H9" s="19"/>
      <c r="I9" s="18"/>
    </row>
    <row r="10" spans="1:9" ht="14.25">
      <c r="A10" s="20"/>
      <c r="B10" s="10"/>
      <c r="C10" s="45"/>
      <c r="D10" s="17"/>
      <c r="E10" s="17"/>
      <c r="F10" s="18"/>
      <c r="G10" s="19"/>
      <c r="H10" s="19"/>
      <c r="I10" s="18"/>
    </row>
    <row r="11" spans="1:9" ht="13.15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15">
      <c r="A12" s="20"/>
      <c r="B12" s="20"/>
      <c r="C12" s="20"/>
      <c r="D12" s="20"/>
      <c r="E12" s="20"/>
      <c r="F12" s="20"/>
      <c r="G12" s="20"/>
      <c r="H12" s="20"/>
      <c r="I12" s="20"/>
    </row>
    <row r="13" spans="1:9" ht="13.15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15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15">
      <c r="A321" s="20"/>
      <c r="B321" s="20"/>
      <c r="C321" s="20"/>
      <c r="D321" s="20"/>
      <c r="E321" s="20"/>
      <c r="F321" s="21"/>
      <c r="G321" s="20"/>
      <c r="H321" s="20"/>
      <c r="I321" s="21"/>
    </row>
    <row r="322" spans="1:9" ht="13.15">
      <c r="A322" s="20"/>
      <c r="B322" s="20"/>
      <c r="C322" s="20"/>
      <c r="D322" s="20"/>
      <c r="E322" s="20"/>
      <c r="F322" s="21"/>
      <c r="G322" s="20"/>
      <c r="H322" s="20"/>
      <c r="I322" s="21"/>
    </row>
  </sheetData>
  <mergeCells count="4">
    <mergeCell ref="G1:I1"/>
    <mergeCell ref="A1:C1"/>
    <mergeCell ref="D1:F1"/>
    <mergeCell ref="A2:B2"/>
  </mergeCells>
  <conditionalFormatting sqref="F2 I2 F4:F80 I4:I80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1"/>
  <sheetViews>
    <sheetView workbookViewId="0">
      <pane xSplit="2" ySplit="3" topLeftCell="C4" activePane="bottomRight" state="frozen"/>
      <selection pane="bottomRight" activeCell="C8" sqref="C8"/>
      <selection pane="bottomLeft" activeCell="F27" sqref="F27"/>
      <selection pane="topRight" activeCell="F27" sqref="F27"/>
    </sheetView>
  </sheetViews>
  <sheetFormatPr defaultRowHeight="13.5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Agilitas Energy</v>
      </c>
      <c r="B1" s="57"/>
      <c r="C1" s="57"/>
      <c r="D1" s="58" t="s">
        <v>18</v>
      </c>
      <c r="E1" s="58"/>
      <c r="F1" s="58"/>
      <c r="G1" s="56" t="s">
        <v>19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SUM(C4:C79)</f>
        <v>643797.64335669298</v>
      </c>
      <c r="D2" s="5">
        <f>SUM(D4:D79)</f>
        <v>502858.5</v>
      </c>
      <c r="E2" s="5">
        <f>C2-D2</f>
        <v>140939.14335669298</v>
      </c>
      <c r="F2" s="6">
        <f>IFERROR(E2/D2, 0)</f>
        <v>0.28027594911231085</v>
      </c>
      <c r="G2" s="5">
        <f>SUM(G4:G79)</f>
        <v>459223.17</v>
      </c>
      <c r="H2" s="7">
        <f>C2-G2</f>
        <v>184574.47335669299</v>
      </c>
      <c r="I2" s="6">
        <f>IFERROR(H2/G2, 0)</f>
        <v>0.40192761475143557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6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9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75">
      <c r="A4" s="51" t="str" cm="1">
        <f t="array" ref="A4:A8">Sites[Site]</f>
        <v>Rowley - Central Street Solar</v>
      </c>
      <c r="B4" s="28" t="str" cm="1">
        <f t="array" ref="B4:B8">Sites[State]</f>
        <v>MA</v>
      </c>
      <c r="C4" s="12">
        <v>23660.310023359001</v>
      </c>
      <c r="D4" s="12">
        <v>29500.5</v>
      </c>
      <c r="E4" s="12">
        <f>IF(AND(ISNUMBER(C4),ISNUMBER(D4)), C4-D4, "")</f>
        <v>-5840.1899766409988</v>
      </c>
      <c r="F4" s="44">
        <f>IFERROR(E4/D4, "")</f>
        <v>-0.1979691861711157</v>
      </c>
      <c r="G4" s="14">
        <v>37551.17</v>
      </c>
      <c r="H4" s="14">
        <f>IF(AND(ISNUMBER(C4),ISNUMBER(G4)), C4-G4, "")</f>
        <v>-13890.859976640997</v>
      </c>
      <c r="I4" s="15">
        <f>IFERROR(H4/G4, "")</f>
        <v>-0.36991816704089375</v>
      </c>
      <c r="J4" s="40" t="s">
        <v>22</v>
      </c>
      <c r="K4" s="40" t="s">
        <v>22</v>
      </c>
    </row>
    <row r="5" spans="1:11" ht="76.5">
      <c r="A5" s="52" t="str">
        <v>Auburn - Leicester Street Solar</v>
      </c>
      <c r="B5" s="30" t="str">
        <v>MA</v>
      </c>
      <c r="C5" s="17">
        <v>172284.33333333401</v>
      </c>
      <c r="D5" s="17">
        <v>0</v>
      </c>
      <c r="E5" s="17">
        <f t="shared" ref="E5:E8" si="0">IF(AND(ISNUMBER(C5),ISNUMBER(D5)), C5-D5, "")</f>
        <v>172284.33333333401</v>
      </c>
      <c r="F5" s="44" t="str">
        <f t="shared" ref="F5:F8" si="1">IFERROR(E5/D5, "")</f>
        <v/>
      </c>
      <c r="G5" s="19">
        <v>0</v>
      </c>
      <c r="H5" s="19">
        <f t="shared" ref="H5:H6" si="2">IF(AND(ISNUMBER(C5),ISNUMBER(G5)), C5-G5, "")</f>
        <v>172284.33333333401</v>
      </c>
      <c r="I5" s="18" t="str">
        <f t="shared" ref="I5:I6" si="3">IFERROR(H5/G5, "")</f>
        <v/>
      </c>
      <c r="J5" s="41" t="s">
        <v>23</v>
      </c>
      <c r="K5" s="41" t="s">
        <v>24</v>
      </c>
    </row>
    <row r="6" spans="1:11" ht="30.75">
      <c r="A6" s="53" t="str">
        <v>Rochester - Old Middleboro</v>
      </c>
      <c r="B6" s="28" t="str">
        <v>MA</v>
      </c>
      <c r="C6" s="12">
        <v>406951</v>
      </c>
      <c r="D6" s="12">
        <v>473358</v>
      </c>
      <c r="E6" s="12">
        <f t="shared" si="0"/>
        <v>-66407</v>
      </c>
      <c r="F6" s="44">
        <f t="shared" si="1"/>
        <v>-0.14028916802927172</v>
      </c>
      <c r="G6" s="14">
        <v>421672</v>
      </c>
      <c r="H6" s="14">
        <f t="shared" si="2"/>
        <v>-14721</v>
      </c>
      <c r="I6" s="15">
        <f t="shared" si="3"/>
        <v>-3.4911020888273352E-2</v>
      </c>
      <c r="J6" s="40" t="s">
        <v>25</v>
      </c>
      <c r="K6" s="40" t="s">
        <v>26</v>
      </c>
    </row>
    <row r="7" spans="1:11" ht="15.75">
      <c r="A7" s="52" t="str">
        <v>Dover - Littleworth Road</v>
      </c>
      <c r="B7" s="30" t="str">
        <v>NH</v>
      </c>
      <c r="C7" s="17">
        <v>10197</v>
      </c>
      <c r="D7" s="17">
        <v>0</v>
      </c>
      <c r="E7" s="17">
        <f t="shared" si="0"/>
        <v>10197</v>
      </c>
      <c r="F7" s="44" t="str">
        <f t="shared" si="1"/>
        <v/>
      </c>
      <c r="G7" s="19">
        <v>0</v>
      </c>
      <c r="H7" s="19">
        <f t="shared" ref="H7:H8" si="4">IF(AND(ISNUMBER(C7),ISNUMBER(G7)), C7-G7, "")</f>
        <v>10197</v>
      </c>
      <c r="I7" s="18" t="str">
        <f t="shared" ref="I7:I8" si="5">IFERROR(H7/G7, "")</f>
        <v/>
      </c>
      <c r="J7" s="41" t="s">
        <v>22</v>
      </c>
      <c r="K7" s="41" t="s">
        <v>22</v>
      </c>
    </row>
    <row r="8" spans="1:11" ht="15.75">
      <c r="A8" s="53" t="str">
        <v>Milton - Landfill</v>
      </c>
      <c r="B8" s="28" t="str">
        <v>NH</v>
      </c>
      <c r="C8" s="12">
        <v>30705</v>
      </c>
      <c r="D8" s="12">
        <v>0</v>
      </c>
      <c r="E8" s="12">
        <f t="shared" si="0"/>
        <v>30705</v>
      </c>
      <c r="F8" s="44" t="str">
        <f t="shared" si="1"/>
        <v/>
      </c>
      <c r="G8" s="14">
        <v>0</v>
      </c>
      <c r="H8" s="14">
        <f t="shared" si="4"/>
        <v>30705</v>
      </c>
      <c r="I8" s="15" t="str">
        <f t="shared" si="5"/>
        <v/>
      </c>
      <c r="J8" s="40" t="s">
        <v>22</v>
      </c>
      <c r="K8" s="40" t="s">
        <v>22</v>
      </c>
    </row>
    <row r="9" spans="1:11" ht="14.25">
      <c r="A9" s="20"/>
      <c r="B9" s="32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32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2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D1:F1"/>
    <mergeCell ref="A1:C1"/>
    <mergeCell ref="G1:I1"/>
    <mergeCell ref="A2:B2"/>
  </mergeCells>
  <conditionalFormatting sqref="F2 I2 I4:I79 F9:F79">
    <cfRule type="cellIs" dxfId="26" priority="4" stopIfTrue="1" operator="lessThanOrEqual">
      <formula>-0.1</formula>
    </cfRule>
    <cfRule type="expression" dxfId="25" priority="5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2"/>
  <sheetViews>
    <sheetView workbookViewId="0">
      <pane xSplit="2" ySplit="3" topLeftCell="C4" activePane="bottomRight" state="frozen"/>
      <selection pane="bottomRight" activeCell="C7" sqref="C7"/>
      <selection pane="bottomLeft" activeCell="F27" sqref="F27"/>
      <selection pane="topRight" activeCell="F27" sqref="F27"/>
    </sheetView>
  </sheetViews>
  <sheetFormatPr defaultRowHeight="13.5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Agilitas Energy</v>
      </c>
      <c r="B1" s="57"/>
      <c r="C1" s="57"/>
      <c r="D1" s="58" t="s">
        <v>27</v>
      </c>
      <c r="E1" s="58"/>
      <c r="F1" s="58"/>
      <c r="G1" s="56" t="s">
        <v>28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SUM(C4:C80)</f>
        <v>1572309.9732942695</v>
      </c>
      <c r="D2" s="5">
        <f>SUM(D4:D80)</f>
        <v>1222939.1599999999</v>
      </c>
      <c r="E2" s="5">
        <f>C2-D2</f>
        <v>349370.81329426961</v>
      </c>
      <c r="F2" s="6">
        <f>IFERROR(E2/D2, 0)</f>
        <v>0.28568127076270061</v>
      </c>
      <c r="G2" s="5">
        <f>SUM(G4:G80)</f>
        <v>544279.55999999994</v>
      </c>
      <c r="H2" s="7">
        <f>C2-G2</f>
        <v>1028030.4132942696</v>
      </c>
      <c r="I2" s="6">
        <f>IFERROR(H2/G2, 0)</f>
        <v>1.8887911449297667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75">
      <c r="A4" s="51" t="str" cm="1">
        <f t="array" ref="A4:A8">Sites[Site]</f>
        <v>Rowley - Central Street Solar</v>
      </c>
      <c r="B4" s="28" t="str" cm="1">
        <f t="array" ref="B4:B8">Sites[State]</f>
        <v>MA</v>
      </c>
      <c r="C4" s="23">
        <v>65179.6399609375</v>
      </c>
      <c r="D4" s="12">
        <v>66094.16</v>
      </c>
      <c r="E4" s="12">
        <f>IF(AND(ISNUMBER(C4),ISNUMBER(D4)), C4-D4, "")</f>
        <v>-914.5200390625032</v>
      </c>
      <c r="F4" s="13">
        <f>IFERROR(E4/D4, "")</f>
        <v>-1.3836623978011116E-2</v>
      </c>
      <c r="G4" s="14">
        <v>53397.96</v>
      </c>
      <c r="H4" s="14">
        <f>IF(AND(ISNUMBER(C4),ISNUMBER(G4)), C4-G4, "")</f>
        <v>11781.679960937501</v>
      </c>
      <c r="I4" s="15">
        <f>IFERROR(H4/G4, "")</f>
        <v>0.22063913978993768</v>
      </c>
      <c r="J4" s="40"/>
      <c r="K4" s="40"/>
    </row>
    <row r="5" spans="1:11" ht="15.75">
      <c r="A5" s="52" t="str">
        <v>Auburn - Leicester Street Solar</v>
      </c>
      <c r="B5" s="30" t="str">
        <v>MA</v>
      </c>
      <c r="C5" s="11">
        <v>610539.33333333198</v>
      </c>
      <c r="D5" s="17">
        <v>467792.3</v>
      </c>
      <c r="E5" s="17">
        <f t="shared" ref="E5:E8" si="0">IF(AND(ISNUMBER(C5),ISNUMBER(D5)), C5-D5, "")</f>
        <v>142747.03333333199</v>
      </c>
      <c r="F5" s="13">
        <f t="shared" ref="F5:F8" si="1">IFERROR(E5/D5, "")</f>
        <v>0.30515045530533957</v>
      </c>
      <c r="G5" s="19">
        <v>0</v>
      </c>
      <c r="H5" s="19">
        <f t="shared" ref="H5:H8" si="2">IF(AND(ISNUMBER(C5),ISNUMBER(G5)), C5-G5, "")</f>
        <v>610539.33333333198</v>
      </c>
      <c r="I5" s="18" t="str">
        <f t="shared" ref="I5:I8" si="3">IFERROR(H5/G5, "")</f>
        <v/>
      </c>
      <c r="J5" s="41"/>
      <c r="K5" s="41"/>
    </row>
    <row r="6" spans="1:11" ht="15.75">
      <c r="A6" s="53" t="str">
        <v>Rochester - Old Middleboro</v>
      </c>
      <c r="B6" s="28" t="str">
        <v>MA</v>
      </c>
      <c r="C6" s="23">
        <v>761805</v>
      </c>
      <c r="D6" s="12">
        <v>689052.7</v>
      </c>
      <c r="E6" s="12">
        <f t="shared" si="0"/>
        <v>72752.300000000047</v>
      </c>
      <c r="F6" s="13">
        <f t="shared" si="1"/>
        <v>0.10558307078689344</v>
      </c>
      <c r="G6" s="14">
        <v>490881.6</v>
      </c>
      <c r="H6" s="14">
        <f t="shared" si="2"/>
        <v>270923.40000000002</v>
      </c>
      <c r="I6" s="15">
        <f t="shared" si="3"/>
        <v>0.55191190706679583</v>
      </c>
      <c r="J6" s="40" t="s">
        <v>29</v>
      </c>
      <c r="K6" s="40" t="s">
        <v>30</v>
      </c>
    </row>
    <row r="7" spans="1:11" ht="15.75">
      <c r="A7" s="52" t="str">
        <v>Dover - Littleworth Road</v>
      </c>
      <c r="B7" s="30" t="str">
        <v>NH</v>
      </c>
      <c r="C7" s="11">
        <v>33324</v>
      </c>
      <c r="D7" s="17">
        <v>0</v>
      </c>
      <c r="E7" s="17">
        <f t="shared" si="0"/>
        <v>33324</v>
      </c>
      <c r="F7" s="13" t="str">
        <f t="shared" si="1"/>
        <v/>
      </c>
      <c r="G7" s="19">
        <v>0</v>
      </c>
      <c r="H7" s="19">
        <f t="shared" si="2"/>
        <v>33324</v>
      </c>
      <c r="I7" s="18" t="str">
        <f t="shared" si="3"/>
        <v/>
      </c>
      <c r="J7" s="41"/>
      <c r="K7" s="42"/>
    </row>
    <row r="8" spans="1:11" ht="15.75">
      <c r="A8" s="53" t="str">
        <v>Milton - Landfill</v>
      </c>
      <c r="B8" s="28" t="str">
        <v>NH</v>
      </c>
      <c r="C8" s="23">
        <v>101462</v>
      </c>
      <c r="D8" s="12">
        <v>0</v>
      </c>
      <c r="E8" s="12">
        <f t="shared" si="0"/>
        <v>101462</v>
      </c>
      <c r="F8" s="13" t="str">
        <f t="shared" si="1"/>
        <v/>
      </c>
      <c r="G8" s="14">
        <v>0</v>
      </c>
      <c r="H8" s="14">
        <f t="shared" si="2"/>
        <v>101462</v>
      </c>
      <c r="I8" s="15" t="str">
        <f t="shared" si="3"/>
        <v/>
      </c>
      <c r="J8" s="40" t="s">
        <v>31</v>
      </c>
      <c r="K8" s="40" t="s">
        <v>32</v>
      </c>
    </row>
    <row r="9" spans="1:11" ht="14.25">
      <c r="A9" s="20"/>
      <c r="B9" s="32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32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2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2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3.9">
      <c r="C322" s="20"/>
      <c r="D322" s="20"/>
      <c r="E322" s="20"/>
      <c r="F322" s="21"/>
      <c r="G322" s="20"/>
      <c r="H322" s="20"/>
      <c r="I322" s="21"/>
      <c r="J322" s="20"/>
      <c r="K322" s="20"/>
    </row>
  </sheetData>
  <mergeCells count="4">
    <mergeCell ref="G1:I1"/>
    <mergeCell ref="A1:C1"/>
    <mergeCell ref="D1:F1"/>
    <mergeCell ref="A2:B2"/>
  </mergeCells>
  <conditionalFormatting sqref="F2 I2 F4:F80 I4:I80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22"/>
  <sheetViews>
    <sheetView tabSelected="1" workbookViewId="0">
      <pane xSplit="2" ySplit="3" topLeftCell="C4" activePane="bottomRight" state="frozen"/>
      <selection pane="bottomRight" activeCell="J8" sqref="J8"/>
      <selection pane="bottomLeft" activeCell="F27" sqref="F27"/>
      <selection pane="topRight" activeCell="F27" sqref="F27"/>
    </sheetView>
  </sheetViews>
  <sheetFormatPr defaultRowHeight="13.5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Agilitas Energy</v>
      </c>
      <c r="B1" s="57"/>
      <c r="C1" s="57"/>
      <c r="D1" s="58" t="s">
        <v>33</v>
      </c>
      <c r="E1" s="58"/>
      <c r="F1" s="58"/>
      <c r="G1" s="56" t="s">
        <v>34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SUM(C4:C80)</f>
        <v>1865247.6030000001</v>
      </c>
      <c r="D2" s="5">
        <f>SUM(D4:D80)</f>
        <v>1723445.6979999999</v>
      </c>
      <c r="E2" s="5">
        <f>C2-D2</f>
        <v>141801.90500000026</v>
      </c>
      <c r="F2" s="6">
        <f>IFERROR(E2/D2, 0)</f>
        <v>8.2278139174652584E-2</v>
      </c>
      <c r="G2" s="5">
        <f>SUM(G4:G80)</f>
        <v>709493.76000000001</v>
      </c>
      <c r="H2" s="7">
        <f>C2-G2</f>
        <v>1155753.8430000001</v>
      </c>
      <c r="I2" s="6">
        <f>IFERROR(H2/G2, 0)</f>
        <v>1.6289838024791086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75">
      <c r="A4" s="31" t="str" cm="1">
        <f t="array" ref="A4:A8">Sites[Site]</f>
        <v>Rowley - Central Street Solar</v>
      </c>
      <c r="B4" s="28" t="str" cm="1">
        <f t="array" ref="B4:B8">Sites[State]</f>
        <v>MA</v>
      </c>
      <c r="C4" s="23">
        <v>68337.290999999997</v>
      </c>
      <c r="D4" s="12">
        <v>69942.157000000007</v>
      </c>
      <c r="E4" s="12">
        <f>IF(AND(ISNUMBER(C4),ISNUMBER(D4)), C4-D4, "")</f>
        <v>-1604.8660000000091</v>
      </c>
      <c r="F4" s="13">
        <f>IFERROR(E4/D4, "")</f>
        <v>-2.2945617762403423E-2</v>
      </c>
      <c r="G4" s="14">
        <v>72442.899999999994</v>
      </c>
      <c r="H4" s="14">
        <f>IF(AND(ISNUMBER(C4),ISNUMBER(G4)), C4-G4, "")</f>
        <v>-4105.6089999999967</v>
      </c>
      <c r="I4" s="15">
        <f>IFERROR(H4/G4, "")</f>
        <v>-5.6673725099354075E-2</v>
      </c>
      <c r="J4" s="40"/>
      <c r="K4" s="40"/>
    </row>
    <row r="5" spans="1:11" ht="45.75">
      <c r="A5" s="29" t="str">
        <v>Auburn - Leicester Street Solar</v>
      </c>
      <c r="B5" s="30" t="str">
        <v>MA</v>
      </c>
      <c r="C5" s="11">
        <v>698859</v>
      </c>
      <c r="D5" s="17">
        <v>855536.28700000001</v>
      </c>
      <c r="E5" s="17">
        <f t="shared" ref="E4:E8" si="0">IF(AND(ISNUMBER(C5),ISNUMBER(D5)), C5-D5, "")</f>
        <v>-156677.28700000001</v>
      </c>
      <c r="F5" s="18">
        <f>IFERROR(E5/D5, "")</f>
        <v>-0.18313342096733298</v>
      </c>
      <c r="G5" s="19">
        <v>0</v>
      </c>
      <c r="H5" s="19">
        <f t="shared" ref="H5:H8" si="1">IF(AND(ISNUMBER(C5),ISNUMBER(G5)), C5-G5, "")</f>
        <v>698859</v>
      </c>
      <c r="I5" s="18" t="str">
        <f t="shared" ref="I5:I8" si="2">IFERROR(H5/G5, "")</f>
        <v/>
      </c>
      <c r="J5" s="55" t="s">
        <v>35</v>
      </c>
      <c r="K5" s="54" t="s">
        <v>36</v>
      </c>
    </row>
    <row r="6" spans="1:11" ht="15.75">
      <c r="A6" s="27" t="str">
        <v>Rochester - Old Middleboro</v>
      </c>
      <c r="B6" s="28" t="str">
        <v>MA</v>
      </c>
      <c r="C6" s="23">
        <v>965877.31200000003</v>
      </c>
      <c r="D6" s="12">
        <v>797967.25399999996</v>
      </c>
      <c r="E6" s="12">
        <f t="shared" si="0"/>
        <v>167910.05800000008</v>
      </c>
      <c r="F6" s="13">
        <f t="shared" ref="F6:F8" si="3">IFERROR(E6/D6, "")</f>
        <v>0.21042224121141703</v>
      </c>
      <c r="G6" s="14">
        <v>637050.86</v>
      </c>
      <c r="H6" s="14">
        <f t="shared" si="1"/>
        <v>328826.45200000005</v>
      </c>
      <c r="I6" s="15">
        <f t="shared" si="2"/>
        <v>0.51616985808637017</v>
      </c>
      <c r="J6" s="40"/>
      <c r="K6" s="40"/>
    </row>
    <row r="7" spans="1:11" ht="16.5">
      <c r="A7" s="29" t="str">
        <v>Dover - Littleworth Road</v>
      </c>
      <c r="B7" s="30" t="str">
        <v>NH</v>
      </c>
      <c r="C7" s="11">
        <v>33240</v>
      </c>
      <c r="D7" s="17">
        <v>0</v>
      </c>
      <c r="E7" s="17">
        <f t="shared" si="0"/>
        <v>33240</v>
      </c>
      <c r="F7" s="18" t="str">
        <f t="shared" si="3"/>
        <v/>
      </c>
      <c r="G7" s="19">
        <v>0</v>
      </c>
      <c r="H7" s="19">
        <f t="shared" si="1"/>
        <v>33240</v>
      </c>
      <c r="I7" s="18" t="str">
        <f t="shared" si="2"/>
        <v/>
      </c>
      <c r="J7" s="41" t="s">
        <v>37</v>
      </c>
      <c r="K7" s="42" t="s">
        <v>38</v>
      </c>
    </row>
    <row r="8" spans="1:11" ht="30.75">
      <c r="A8" s="27" t="str">
        <v>Milton - Landfill</v>
      </c>
      <c r="B8" s="28" t="str">
        <v>NH</v>
      </c>
      <c r="C8" s="23">
        <v>98934</v>
      </c>
      <c r="D8" s="12">
        <v>0</v>
      </c>
      <c r="E8" s="12">
        <f t="shared" si="0"/>
        <v>98934</v>
      </c>
      <c r="F8" s="13" t="str">
        <f t="shared" si="3"/>
        <v/>
      </c>
      <c r="G8" s="14">
        <v>0</v>
      </c>
      <c r="H8" s="14">
        <f t="shared" si="1"/>
        <v>98934</v>
      </c>
      <c r="I8" s="15" t="str">
        <f t="shared" si="2"/>
        <v/>
      </c>
      <c r="J8" s="40" t="s">
        <v>39</v>
      </c>
      <c r="K8" s="40" t="s">
        <v>40</v>
      </c>
    </row>
    <row r="9" spans="1:11" ht="14.25">
      <c r="A9" s="20"/>
      <c r="B9" s="32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32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2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2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3.9">
      <c r="C322" s="20"/>
      <c r="D322" s="20"/>
      <c r="E322" s="20"/>
      <c r="F322" s="21"/>
      <c r="G322" s="20"/>
      <c r="H322" s="20"/>
      <c r="I322" s="21"/>
      <c r="J322" s="20"/>
      <c r="K322" s="20"/>
    </row>
  </sheetData>
  <mergeCells count="4">
    <mergeCell ref="G1:I1"/>
    <mergeCell ref="A1:C1"/>
    <mergeCell ref="D1:F1"/>
    <mergeCell ref="A2:B2"/>
  </mergeCells>
  <conditionalFormatting sqref="F2 I2 F4:F80 I4:I80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22"/>
  <sheetViews>
    <sheetView workbookViewId="0">
      <pane xSplit="2" ySplit="3" topLeftCell="F4" activePane="bottomRight" state="frozen"/>
      <selection pane="bottomRight" activeCell="F19" sqref="F19"/>
      <selection pane="bottomLeft" activeCell="F27" sqref="F27"/>
      <selection pane="topRight" activeCell="F27" sqref="F27"/>
    </sheetView>
  </sheetViews>
  <sheetFormatPr defaultRowHeight="13.5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Agilitas Energy</v>
      </c>
      <c r="B1" s="57"/>
      <c r="C1" s="57"/>
      <c r="D1" s="58" t="s">
        <v>41</v>
      </c>
      <c r="E1" s="58"/>
      <c r="F1" s="58"/>
      <c r="G1" s="56" t="s">
        <v>42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75">
      <c r="A4" s="31" t="str" cm="1">
        <f t="array" ref="A4:A8">Sites[Site]</f>
        <v>Rowley - Central Street Solar</v>
      </c>
      <c r="B4" s="28" t="str" cm="1">
        <f t="array" ref="B4:B8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40"/>
      <c r="K4" s="40"/>
    </row>
    <row r="5" spans="1:11" ht="15.75">
      <c r="A5" s="29" t="str">
        <v>Auburn - Leicester Street Solar</v>
      </c>
      <c r="B5" s="30" t="str">
        <v>MA</v>
      </c>
      <c r="C5" s="11"/>
      <c r="D5" s="17"/>
      <c r="E5" s="17" t="str">
        <f t="shared" ref="E5:E8" si="0">IF(AND(ISNUMBER(C5),ISNUMBER(D5)), C5-D5, "")</f>
        <v/>
      </c>
      <c r="F5" s="18" t="str">
        <f>IFERROR(E5/D5, "")</f>
        <v/>
      </c>
      <c r="G5" s="19"/>
      <c r="H5" s="19" t="str">
        <f t="shared" ref="H5:H8" si="1">IF(AND(ISNUMBER(C5),ISNUMBER(G5)), C5-G5, "")</f>
        <v/>
      </c>
      <c r="I5" s="18" t="str">
        <f t="shared" ref="I5:I8" si="2">IFERROR(H5/G5, "")</f>
        <v/>
      </c>
      <c r="J5" s="41"/>
      <c r="K5" s="41"/>
    </row>
    <row r="6" spans="1:11" ht="15.75">
      <c r="A6" s="27" t="str">
        <v>Rochester - Old Middleboro</v>
      </c>
      <c r="B6" s="28" t="str">
        <v>MA</v>
      </c>
      <c r="C6" s="23"/>
      <c r="D6" s="12"/>
      <c r="E6" s="12" t="str">
        <f t="shared" si="0"/>
        <v/>
      </c>
      <c r="F6" s="13" t="str">
        <f t="shared" ref="F6:F8" si="3">IFERROR(E6/D6, "")</f>
        <v/>
      </c>
      <c r="G6" s="14"/>
      <c r="H6" s="14" t="str">
        <f t="shared" si="1"/>
        <v/>
      </c>
      <c r="I6" s="15" t="str">
        <f t="shared" si="2"/>
        <v/>
      </c>
      <c r="J6" s="40"/>
      <c r="K6" s="40"/>
    </row>
    <row r="7" spans="1:11" ht="15.75">
      <c r="A7" s="29" t="str">
        <v>Dover - Littleworth Road</v>
      </c>
      <c r="B7" s="30" t="str">
        <v>NH</v>
      </c>
      <c r="C7" s="11"/>
      <c r="D7" s="17"/>
      <c r="E7" s="17" t="str">
        <f t="shared" si="0"/>
        <v/>
      </c>
      <c r="F7" s="18" t="str">
        <f t="shared" si="3"/>
        <v/>
      </c>
      <c r="G7" s="19"/>
      <c r="H7" s="19" t="str">
        <f t="shared" si="1"/>
        <v/>
      </c>
      <c r="I7" s="18" t="str">
        <f t="shared" si="2"/>
        <v/>
      </c>
      <c r="J7" s="41"/>
      <c r="K7" s="42"/>
    </row>
    <row r="8" spans="1:11" ht="15.75">
      <c r="A8" s="27" t="str">
        <v>Milton - Landfill</v>
      </c>
      <c r="B8" s="28" t="str">
        <v>NH</v>
      </c>
      <c r="C8" s="23"/>
      <c r="D8" s="12"/>
      <c r="E8" s="12" t="str">
        <f t="shared" si="0"/>
        <v/>
      </c>
      <c r="F8" s="13" t="str">
        <f t="shared" si="3"/>
        <v/>
      </c>
      <c r="G8" s="14"/>
      <c r="H8" s="14" t="str">
        <f t="shared" si="1"/>
        <v/>
      </c>
      <c r="I8" s="15" t="str">
        <f t="shared" si="2"/>
        <v/>
      </c>
      <c r="J8" s="40"/>
      <c r="K8" s="40"/>
    </row>
    <row r="9" spans="1:11" ht="14.25">
      <c r="A9" s="20"/>
      <c r="B9" s="32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32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2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2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3.9">
      <c r="C322" s="20"/>
      <c r="D322" s="20"/>
      <c r="E322" s="20"/>
      <c r="F322" s="21"/>
      <c r="G322" s="20"/>
      <c r="H322" s="20"/>
      <c r="I322" s="21"/>
      <c r="J322" s="20"/>
      <c r="K322" s="20"/>
    </row>
  </sheetData>
  <mergeCells count="4">
    <mergeCell ref="G1:I1"/>
    <mergeCell ref="A1:C1"/>
    <mergeCell ref="D1:F1"/>
    <mergeCell ref="A2:B2"/>
  </mergeCells>
  <conditionalFormatting sqref="F2 I2 F4:F80 I4:I80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2"/>
  <sheetViews>
    <sheetView workbookViewId="0">
      <pane xSplit="2" ySplit="3" topLeftCell="C4" activePane="bottomRight" state="frozen"/>
      <selection pane="bottomRight" activeCell="F27" sqref="F27"/>
      <selection pane="bottomLeft" activeCell="F27" sqref="F27"/>
      <selection pane="topRight" activeCell="F27" sqref="F27"/>
    </sheetView>
  </sheetViews>
  <sheetFormatPr defaultRowHeight="13.5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Agilitas Energy</v>
      </c>
      <c r="B1" s="57"/>
      <c r="C1" s="57"/>
      <c r="D1" s="58" t="s">
        <v>43</v>
      </c>
      <c r="E1" s="58"/>
      <c r="F1" s="58"/>
      <c r="G1" s="56" t="s">
        <v>44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75">
      <c r="A4" s="31" t="str" cm="1">
        <f t="array" ref="A4:A8">Sites[Site]</f>
        <v>Rowley - Central Street Solar</v>
      </c>
      <c r="B4" s="28" t="str" cm="1">
        <f t="array" ref="B4:B8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40"/>
      <c r="K4" s="40"/>
    </row>
    <row r="5" spans="1:11" ht="15.75">
      <c r="A5" s="29" t="str">
        <v>Auburn - Leicester Street Solar</v>
      </c>
      <c r="B5" s="30" t="str">
        <v>MA</v>
      </c>
      <c r="C5" s="11"/>
      <c r="D5" s="17"/>
      <c r="E5" s="17" t="str">
        <f t="shared" ref="E5:E8" si="0">IF(AND(ISNUMBER(C5),ISNUMBER(D5)), C5-D5, "")</f>
        <v/>
      </c>
      <c r="F5" s="18" t="str">
        <f>IFERROR(E5/D5, "")</f>
        <v/>
      </c>
      <c r="G5" s="19"/>
      <c r="H5" s="19" t="str">
        <f t="shared" ref="H5:H8" si="1">IF(AND(ISNUMBER(C5),ISNUMBER(G5)), C5-G5, "")</f>
        <v/>
      </c>
      <c r="I5" s="18" t="str">
        <f t="shared" ref="I5:I8" si="2">IFERROR(H5/G5, "")</f>
        <v/>
      </c>
      <c r="J5" s="41"/>
      <c r="K5" s="41"/>
    </row>
    <row r="6" spans="1:11" ht="15.75">
      <c r="A6" s="27" t="str">
        <v>Rochester - Old Middleboro</v>
      </c>
      <c r="B6" s="28" t="str">
        <v>MA</v>
      </c>
      <c r="C6" s="23"/>
      <c r="D6" s="12"/>
      <c r="E6" s="12" t="str">
        <f t="shared" si="0"/>
        <v/>
      </c>
      <c r="F6" s="13" t="str">
        <f t="shared" ref="F6:F8" si="3">IFERROR(E6/D6, "")</f>
        <v/>
      </c>
      <c r="G6" s="14"/>
      <c r="H6" s="14" t="str">
        <f t="shared" si="1"/>
        <v/>
      </c>
      <c r="I6" s="15" t="str">
        <f t="shared" si="2"/>
        <v/>
      </c>
      <c r="J6" s="40"/>
      <c r="K6" s="40"/>
    </row>
    <row r="7" spans="1:11" ht="15.75">
      <c r="A7" s="29" t="str">
        <v>Dover - Littleworth Road</v>
      </c>
      <c r="B7" s="30" t="str">
        <v>NH</v>
      </c>
      <c r="C7" s="11"/>
      <c r="D7" s="17"/>
      <c r="E7" s="17" t="str">
        <f t="shared" si="0"/>
        <v/>
      </c>
      <c r="F7" s="18" t="str">
        <f t="shared" si="3"/>
        <v/>
      </c>
      <c r="G7" s="19"/>
      <c r="H7" s="19" t="str">
        <f t="shared" si="1"/>
        <v/>
      </c>
      <c r="I7" s="18" t="str">
        <f t="shared" si="2"/>
        <v/>
      </c>
      <c r="J7" s="41"/>
      <c r="K7" s="42"/>
    </row>
    <row r="8" spans="1:11" ht="15.75">
      <c r="A8" s="27" t="str">
        <v>Milton - Landfill</v>
      </c>
      <c r="B8" s="28" t="str">
        <v>NH</v>
      </c>
      <c r="C8" s="23"/>
      <c r="D8" s="12"/>
      <c r="E8" s="12" t="str">
        <f t="shared" si="0"/>
        <v/>
      </c>
      <c r="F8" s="13" t="str">
        <f t="shared" si="3"/>
        <v/>
      </c>
      <c r="G8" s="14"/>
      <c r="H8" s="14" t="str">
        <f t="shared" si="1"/>
        <v/>
      </c>
      <c r="I8" s="15" t="str">
        <f t="shared" si="2"/>
        <v/>
      </c>
      <c r="J8" s="40"/>
      <c r="K8" s="40"/>
    </row>
    <row r="9" spans="1:11" ht="14.25">
      <c r="A9" s="20"/>
      <c r="B9" s="32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32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2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2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3.9">
      <c r="C322" s="20"/>
      <c r="D322" s="20"/>
      <c r="E322" s="20"/>
      <c r="F322" s="21"/>
      <c r="G322" s="20"/>
      <c r="H322" s="20"/>
      <c r="I322" s="21"/>
      <c r="J322" s="20"/>
      <c r="K322" s="20"/>
    </row>
  </sheetData>
  <mergeCells count="4">
    <mergeCell ref="G1:I1"/>
    <mergeCell ref="A1:C1"/>
    <mergeCell ref="D1:F1"/>
    <mergeCell ref="A2:B2"/>
  </mergeCells>
  <conditionalFormatting sqref="F2 I2 F4:F80 I4:I80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2"/>
  <sheetViews>
    <sheetView workbookViewId="0">
      <pane xSplit="2" ySplit="3" topLeftCell="C4" activePane="bottomRight" state="frozen"/>
      <selection pane="bottomRight" activeCell="F27" sqref="F27"/>
      <selection pane="bottomLeft" activeCell="F27" sqref="F27"/>
      <selection pane="topRight" activeCell="F27" sqref="F27"/>
    </sheetView>
  </sheetViews>
  <sheetFormatPr defaultRowHeight="13.5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Agilitas Energy</v>
      </c>
      <c r="B1" s="57"/>
      <c r="C1" s="57"/>
      <c r="D1" s="58" t="s">
        <v>45</v>
      </c>
      <c r="E1" s="58"/>
      <c r="F1" s="58"/>
      <c r="G1" s="56" t="s">
        <v>46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75">
      <c r="A4" s="31" t="str" cm="1">
        <f t="array" ref="A4:A8">Sites[Site]</f>
        <v>Rowley - Central Street Solar</v>
      </c>
      <c r="B4" s="28" t="str" cm="1">
        <f t="array" ref="B4:B8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40"/>
      <c r="K4" s="40"/>
    </row>
    <row r="5" spans="1:11" ht="15.75">
      <c r="A5" s="29" t="str">
        <v>Auburn - Leicester Street Solar</v>
      </c>
      <c r="B5" s="30" t="str">
        <v>MA</v>
      </c>
      <c r="C5" s="11"/>
      <c r="D5" s="17"/>
      <c r="E5" s="17" t="str">
        <f t="shared" ref="E5:E8" si="0">IF(AND(ISNUMBER(C5),ISNUMBER(D5)), C5-D5, "")</f>
        <v/>
      </c>
      <c r="F5" s="18" t="str">
        <f>IFERROR(E5/D5, "")</f>
        <v/>
      </c>
      <c r="G5" s="19"/>
      <c r="H5" s="19" t="str">
        <f t="shared" ref="H5:H8" si="1">IF(AND(ISNUMBER(C5),ISNUMBER(G5)), C5-G5, "")</f>
        <v/>
      </c>
      <c r="I5" s="18" t="str">
        <f t="shared" ref="I5:I8" si="2">IFERROR(H5/G5, "")</f>
        <v/>
      </c>
      <c r="J5" s="41"/>
      <c r="K5" s="41"/>
    </row>
    <row r="6" spans="1:11" ht="15.75">
      <c r="A6" s="27" t="str">
        <v>Rochester - Old Middleboro</v>
      </c>
      <c r="B6" s="28" t="str">
        <v>MA</v>
      </c>
      <c r="C6" s="23"/>
      <c r="D6" s="12"/>
      <c r="E6" s="12" t="str">
        <f t="shared" si="0"/>
        <v/>
      </c>
      <c r="F6" s="13" t="str">
        <f t="shared" ref="F6:F8" si="3">IFERROR(E6/D6, "")</f>
        <v/>
      </c>
      <c r="G6" s="14"/>
      <c r="H6" s="14" t="str">
        <f t="shared" si="1"/>
        <v/>
      </c>
      <c r="I6" s="15" t="str">
        <f t="shared" si="2"/>
        <v/>
      </c>
      <c r="J6" s="40"/>
      <c r="K6" s="40"/>
    </row>
    <row r="7" spans="1:11" ht="15.75">
      <c r="A7" s="29" t="str">
        <v>Dover - Littleworth Road</v>
      </c>
      <c r="B7" s="30" t="str">
        <v>NH</v>
      </c>
      <c r="C7" s="11"/>
      <c r="D7" s="17"/>
      <c r="E7" s="17" t="str">
        <f t="shared" si="0"/>
        <v/>
      </c>
      <c r="F7" s="18" t="str">
        <f t="shared" si="3"/>
        <v/>
      </c>
      <c r="G7" s="19"/>
      <c r="H7" s="19" t="str">
        <f t="shared" si="1"/>
        <v/>
      </c>
      <c r="I7" s="18" t="str">
        <f t="shared" si="2"/>
        <v/>
      </c>
      <c r="J7" s="41"/>
      <c r="K7" s="42"/>
    </row>
    <row r="8" spans="1:11" ht="15.75">
      <c r="A8" s="27" t="str">
        <v>Milton - Landfill</v>
      </c>
      <c r="B8" s="28" t="str">
        <v>NH</v>
      </c>
      <c r="C8" s="23"/>
      <c r="D8" s="12"/>
      <c r="E8" s="12" t="str">
        <f t="shared" si="0"/>
        <v/>
      </c>
      <c r="F8" s="13" t="str">
        <f t="shared" si="3"/>
        <v/>
      </c>
      <c r="G8" s="14"/>
      <c r="H8" s="14" t="str">
        <f t="shared" si="1"/>
        <v/>
      </c>
      <c r="I8" s="15" t="str">
        <f t="shared" si="2"/>
        <v/>
      </c>
      <c r="J8" s="40"/>
      <c r="K8" s="40"/>
    </row>
    <row r="9" spans="1:11" ht="14.25">
      <c r="A9" s="20"/>
      <c r="B9" s="32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32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2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2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3.9">
      <c r="C322" s="20"/>
      <c r="D322" s="20"/>
      <c r="E322" s="20"/>
      <c r="F322" s="21"/>
      <c r="G322" s="20"/>
      <c r="H322" s="20"/>
      <c r="I322" s="21"/>
      <c r="J322" s="20"/>
      <c r="K322" s="20"/>
    </row>
  </sheetData>
  <mergeCells count="4">
    <mergeCell ref="G1:I1"/>
    <mergeCell ref="A1:C1"/>
    <mergeCell ref="D1:F1"/>
    <mergeCell ref="A2:B2"/>
  </mergeCells>
  <conditionalFormatting sqref="F2 I2 F4:F80 I4:I80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2"/>
  <sheetViews>
    <sheetView workbookViewId="0">
      <pane xSplit="2" ySplit="3" topLeftCell="C4" activePane="bottomRight" state="frozen"/>
      <selection pane="bottomRight" activeCell="F27" sqref="F27"/>
      <selection pane="bottomLeft" activeCell="F27" sqref="F27"/>
      <selection pane="topRight" activeCell="F27" sqref="F27"/>
    </sheetView>
  </sheetViews>
  <sheetFormatPr defaultRowHeight="13.5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Agilitas Energy</v>
      </c>
      <c r="B1" s="57"/>
      <c r="C1" s="57"/>
      <c r="D1" s="58" t="s">
        <v>47</v>
      </c>
      <c r="E1" s="58"/>
      <c r="F1" s="58"/>
      <c r="G1" s="56" t="s">
        <v>48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75">
      <c r="A4" s="31" t="str" cm="1">
        <f t="array" ref="A4:A8">Sites[Site]</f>
        <v>Rowley - Central Street Solar</v>
      </c>
      <c r="B4" s="28" t="str" cm="1">
        <f t="array" ref="B4:B8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40"/>
      <c r="K4" s="40"/>
    </row>
    <row r="5" spans="1:11" ht="15.75">
      <c r="A5" s="29" t="str">
        <v>Auburn - Leicester Street Solar</v>
      </c>
      <c r="B5" s="30" t="str">
        <v>MA</v>
      </c>
      <c r="C5" s="11"/>
      <c r="D5" s="17"/>
      <c r="E5" s="17" t="str">
        <f t="shared" ref="E5:E8" si="0">IF(AND(ISNUMBER(C5),ISNUMBER(D5)), C5-D5, "")</f>
        <v/>
      </c>
      <c r="F5" s="18" t="str">
        <f>IFERROR(E5/D5, "")</f>
        <v/>
      </c>
      <c r="G5" s="19"/>
      <c r="H5" s="19" t="str">
        <f t="shared" ref="H5:H8" si="1">IF(AND(ISNUMBER(C5),ISNUMBER(G5)), C5-G5, "")</f>
        <v/>
      </c>
      <c r="I5" s="18" t="str">
        <f t="shared" ref="I5:I8" si="2">IFERROR(H5/G5, "")</f>
        <v/>
      </c>
      <c r="J5" s="41"/>
      <c r="K5" s="41"/>
    </row>
    <row r="6" spans="1:11" ht="15.75">
      <c r="A6" s="27" t="str">
        <v>Rochester - Old Middleboro</v>
      </c>
      <c r="B6" s="28" t="str">
        <v>MA</v>
      </c>
      <c r="C6" s="23"/>
      <c r="D6" s="12"/>
      <c r="E6" s="12" t="str">
        <f t="shared" si="0"/>
        <v/>
      </c>
      <c r="F6" s="13" t="str">
        <f t="shared" ref="F6:F8" si="3">IFERROR(E6/D6, "")</f>
        <v/>
      </c>
      <c r="G6" s="14"/>
      <c r="H6" s="14" t="str">
        <f t="shared" si="1"/>
        <v/>
      </c>
      <c r="I6" s="15" t="str">
        <f t="shared" si="2"/>
        <v/>
      </c>
      <c r="J6" s="40"/>
      <c r="K6" s="40"/>
    </row>
    <row r="7" spans="1:11" ht="15.75">
      <c r="A7" s="29" t="str">
        <v>Dover - Littleworth Road</v>
      </c>
      <c r="B7" s="30" t="str">
        <v>NH</v>
      </c>
      <c r="C7" s="11"/>
      <c r="D7" s="17"/>
      <c r="E7" s="17" t="str">
        <f t="shared" si="0"/>
        <v/>
      </c>
      <c r="F7" s="18" t="str">
        <f t="shared" si="3"/>
        <v/>
      </c>
      <c r="G7" s="19"/>
      <c r="H7" s="19" t="str">
        <f t="shared" si="1"/>
        <v/>
      </c>
      <c r="I7" s="18" t="str">
        <f t="shared" si="2"/>
        <v/>
      </c>
      <c r="J7" s="41"/>
      <c r="K7" s="42"/>
    </row>
    <row r="8" spans="1:11" ht="15.75">
      <c r="A8" s="27" t="str">
        <v>Milton - Landfill</v>
      </c>
      <c r="B8" s="28" t="str">
        <v>NH</v>
      </c>
      <c r="C8" s="23"/>
      <c r="D8" s="12"/>
      <c r="E8" s="12" t="str">
        <f t="shared" si="0"/>
        <v/>
      </c>
      <c r="F8" s="13" t="str">
        <f t="shared" si="3"/>
        <v/>
      </c>
      <c r="G8" s="14"/>
      <c r="H8" s="14" t="str">
        <f t="shared" si="1"/>
        <v/>
      </c>
      <c r="I8" s="15" t="str">
        <f t="shared" si="2"/>
        <v/>
      </c>
      <c r="J8" s="40"/>
      <c r="K8" s="40"/>
    </row>
    <row r="9" spans="1:11" ht="14.25">
      <c r="A9" s="20"/>
      <c r="B9" s="32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32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2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2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3.9">
      <c r="C322" s="20"/>
      <c r="D322" s="20"/>
      <c r="E322" s="20"/>
      <c r="F322" s="21"/>
      <c r="G322" s="20"/>
      <c r="H322" s="20"/>
      <c r="I322" s="21"/>
      <c r="J322" s="20"/>
      <c r="K322" s="20"/>
    </row>
  </sheetData>
  <sortState xmlns:xlrd2="http://schemas.microsoft.com/office/spreadsheetml/2017/richdata2" ref="A3:K8">
    <sortCondition ref="A3:A8"/>
  </sortState>
  <mergeCells count="4">
    <mergeCell ref="G1:I1"/>
    <mergeCell ref="A1:C1"/>
    <mergeCell ref="D1:F1"/>
    <mergeCell ref="A2:B2"/>
  </mergeCells>
  <conditionalFormatting sqref="F2 I2 F4:F80 I4:I80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2"/>
  <sheetViews>
    <sheetView workbookViewId="0">
      <pane xSplit="2" ySplit="3" topLeftCell="C4" activePane="bottomRight" state="frozen"/>
      <selection pane="bottomRight" activeCell="F27" sqref="F27"/>
      <selection pane="bottomLeft" activeCell="F27" sqref="F27"/>
      <selection pane="topRight" activeCell="F27" sqref="F27"/>
    </sheetView>
  </sheetViews>
  <sheetFormatPr defaultRowHeight="13.5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Agilitas Energy</v>
      </c>
      <c r="B1" s="57"/>
      <c r="C1" s="57"/>
      <c r="D1" s="58" t="s">
        <v>49</v>
      </c>
      <c r="E1" s="58"/>
      <c r="F1" s="58"/>
      <c r="G1" s="56" t="s">
        <v>50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75">
      <c r="A4" s="31" t="str" cm="1">
        <f t="array" ref="A4:A8">Sites[Site]</f>
        <v>Rowley - Central Street Solar</v>
      </c>
      <c r="B4" s="28" t="str" cm="1">
        <f t="array" ref="B4:B8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40"/>
      <c r="K4" s="40"/>
    </row>
    <row r="5" spans="1:11" ht="15.75">
      <c r="A5" s="29" t="str">
        <v>Auburn - Leicester Street Solar</v>
      </c>
      <c r="B5" s="30" t="str">
        <v>MA</v>
      </c>
      <c r="C5" s="11"/>
      <c r="D5" s="17"/>
      <c r="E5" s="17" t="str">
        <f t="shared" ref="E5:E8" si="0">IF(AND(ISNUMBER(C5),ISNUMBER(D5)), C5-D5, "")</f>
        <v/>
      </c>
      <c r="F5" s="18" t="str">
        <f>IFERROR(E5/D5, "")</f>
        <v/>
      </c>
      <c r="G5" s="19"/>
      <c r="H5" s="19" t="str">
        <f t="shared" ref="H5:H8" si="1">IF(AND(ISNUMBER(C5),ISNUMBER(G5)), C5-G5, "")</f>
        <v/>
      </c>
      <c r="I5" s="18" t="str">
        <f t="shared" ref="I5:I8" si="2">IFERROR(H5/G5, "")</f>
        <v/>
      </c>
      <c r="J5" s="41"/>
      <c r="K5" s="41"/>
    </row>
    <row r="6" spans="1:11" ht="15.75">
      <c r="A6" s="27" t="str">
        <v>Rochester - Old Middleboro</v>
      </c>
      <c r="B6" s="28" t="str">
        <v>MA</v>
      </c>
      <c r="C6" s="23"/>
      <c r="D6" s="12"/>
      <c r="E6" s="12" t="str">
        <f t="shared" si="0"/>
        <v/>
      </c>
      <c r="F6" s="13" t="str">
        <f t="shared" ref="F6:F8" si="3">IFERROR(E6/D6, "")</f>
        <v/>
      </c>
      <c r="G6" s="14"/>
      <c r="H6" s="14" t="str">
        <f t="shared" si="1"/>
        <v/>
      </c>
      <c r="I6" s="15" t="str">
        <f t="shared" si="2"/>
        <v/>
      </c>
      <c r="J6" s="40"/>
      <c r="K6" s="40"/>
    </row>
    <row r="7" spans="1:11" ht="15.75">
      <c r="A7" s="29" t="str">
        <v>Dover - Littleworth Road</v>
      </c>
      <c r="B7" s="30" t="str">
        <v>NH</v>
      </c>
      <c r="C7" s="11"/>
      <c r="D7" s="17"/>
      <c r="E7" s="17" t="str">
        <f t="shared" si="0"/>
        <v/>
      </c>
      <c r="F7" s="18" t="str">
        <f t="shared" si="3"/>
        <v/>
      </c>
      <c r="G7" s="19"/>
      <c r="H7" s="19" t="str">
        <f t="shared" si="1"/>
        <v/>
      </c>
      <c r="I7" s="18" t="str">
        <f t="shared" si="2"/>
        <v/>
      </c>
      <c r="J7" s="41"/>
      <c r="K7" s="42"/>
    </row>
    <row r="8" spans="1:11" ht="15.75">
      <c r="A8" s="27" t="str">
        <v>Milton - Landfill</v>
      </c>
      <c r="B8" s="28" t="str">
        <v>NH</v>
      </c>
      <c r="C8" s="23"/>
      <c r="D8" s="12"/>
      <c r="E8" s="12" t="str">
        <f t="shared" si="0"/>
        <v/>
      </c>
      <c r="F8" s="13" t="str">
        <f t="shared" si="3"/>
        <v/>
      </c>
      <c r="G8" s="14"/>
      <c r="H8" s="14" t="str">
        <f t="shared" si="1"/>
        <v/>
      </c>
      <c r="I8" s="15" t="str">
        <f t="shared" si="2"/>
        <v/>
      </c>
      <c r="J8" s="40"/>
      <c r="K8" s="40"/>
    </row>
    <row r="9" spans="1:11" ht="14.25">
      <c r="A9" s="20"/>
      <c r="B9" s="32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32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2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2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3.9">
      <c r="C322" s="20"/>
      <c r="D322" s="20"/>
      <c r="E322" s="20"/>
      <c r="F322" s="21"/>
      <c r="G322" s="20"/>
      <c r="H322" s="20"/>
      <c r="I322" s="21"/>
      <c r="J322" s="20"/>
      <c r="K322" s="20"/>
    </row>
  </sheetData>
  <mergeCells count="4">
    <mergeCell ref="G1:I1"/>
    <mergeCell ref="A1:C1"/>
    <mergeCell ref="D1:F1"/>
    <mergeCell ref="A2:B2"/>
  </mergeCells>
  <conditionalFormatting sqref="F2 I2 F4:F80 I4:I80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2"/>
  <sheetViews>
    <sheetView workbookViewId="0">
      <pane xSplit="2" ySplit="3" topLeftCell="F4" activePane="bottomRight" state="frozen"/>
      <selection pane="bottomRight" activeCell="F4" sqref="F4:J5"/>
      <selection pane="bottomLeft" activeCell="F27" sqref="F27"/>
      <selection pane="topRight" activeCell="F27" sqref="F27"/>
    </sheetView>
  </sheetViews>
  <sheetFormatPr defaultRowHeight="13.5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Agilitas Energy</v>
      </c>
      <c r="B1" s="57"/>
      <c r="C1" s="57"/>
      <c r="D1" s="58" t="s">
        <v>51</v>
      </c>
      <c r="E1" s="58"/>
      <c r="F1" s="58"/>
      <c r="G1" s="56" t="s">
        <v>52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75">
      <c r="A4" s="31" t="str" cm="1">
        <f t="array" ref="A4:A8">Sites[Site]</f>
        <v>Rowley - Central Street Solar</v>
      </c>
      <c r="B4" s="28" t="str" cm="1">
        <f t="array" ref="B4:B8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40"/>
      <c r="K4" s="40"/>
    </row>
    <row r="5" spans="1:11" ht="15.75">
      <c r="A5" s="29" t="str">
        <v>Auburn - Leicester Street Solar</v>
      </c>
      <c r="B5" s="30" t="str">
        <v>MA</v>
      </c>
      <c r="C5" s="11"/>
      <c r="D5" s="17"/>
      <c r="E5" s="17" t="str">
        <f t="shared" ref="E5:E8" si="0">IF(AND(ISNUMBER(C5),ISNUMBER(D5)), C5-D5, "")</f>
        <v/>
      </c>
      <c r="F5" s="18" t="str">
        <f>IFERROR(E5/D5, "")</f>
        <v/>
      </c>
      <c r="G5" s="19"/>
      <c r="H5" s="19" t="str">
        <f t="shared" ref="H5:H8" si="1">IF(AND(ISNUMBER(C5),ISNUMBER(G5)), C5-G5, "")</f>
        <v/>
      </c>
      <c r="I5" s="18" t="str">
        <f t="shared" ref="I5:I8" si="2">IFERROR(H5/G5, "")</f>
        <v/>
      </c>
      <c r="J5" s="41"/>
      <c r="K5" s="41"/>
    </row>
    <row r="6" spans="1:11" ht="15.75">
      <c r="A6" s="27" t="str">
        <v>Rochester - Old Middleboro</v>
      </c>
      <c r="B6" s="28" t="str">
        <v>MA</v>
      </c>
      <c r="C6" s="23"/>
      <c r="D6" s="12"/>
      <c r="E6" s="12" t="str">
        <f t="shared" si="0"/>
        <v/>
      </c>
      <c r="F6" s="13" t="str">
        <f t="shared" ref="F6:F8" si="3">IFERROR(E6/D6, "")</f>
        <v/>
      </c>
      <c r="G6" s="14"/>
      <c r="H6" s="14" t="str">
        <f t="shared" si="1"/>
        <v/>
      </c>
      <c r="I6" s="15" t="str">
        <f t="shared" si="2"/>
        <v/>
      </c>
      <c r="J6" s="40"/>
      <c r="K6" s="40"/>
    </row>
    <row r="7" spans="1:11" ht="15.75">
      <c r="A7" s="29" t="str">
        <v>Dover - Littleworth Road</v>
      </c>
      <c r="B7" s="30" t="str">
        <v>NH</v>
      </c>
      <c r="C7" s="11"/>
      <c r="D7" s="17"/>
      <c r="E7" s="17" t="str">
        <f t="shared" si="0"/>
        <v/>
      </c>
      <c r="F7" s="18" t="str">
        <f t="shared" si="3"/>
        <v/>
      </c>
      <c r="G7" s="19"/>
      <c r="H7" s="19" t="str">
        <f t="shared" si="1"/>
        <v/>
      </c>
      <c r="I7" s="18" t="str">
        <f t="shared" si="2"/>
        <v/>
      </c>
      <c r="J7" s="41"/>
      <c r="K7" s="42"/>
    </row>
    <row r="8" spans="1:11" ht="15.75">
      <c r="A8" s="27" t="str">
        <v>Milton - Landfill</v>
      </c>
      <c r="B8" s="28" t="str">
        <v>NH</v>
      </c>
      <c r="C8" s="23"/>
      <c r="D8" s="12"/>
      <c r="E8" s="12" t="str">
        <f t="shared" si="0"/>
        <v/>
      </c>
      <c r="F8" s="13" t="str">
        <f t="shared" si="3"/>
        <v/>
      </c>
      <c r="G8" s="14"/>
      <c r="H8" s="14" t="str">
        <f t="shared" si="1"/>
        <v/>
      </c>
      <c r="I8" s="15" t="str">
        <f t="shared" si="2"/>
        <v/>
      </c>
      <c r="J8" s="40"/>
      <c r="K8" s="40"/>
    </row>
    <row r="9" spans="1:11" ht="14.25">
      <c r="A9" s="20"/>
      <c r="B9" s="32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32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2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2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3.9">
      <c r="C322" s="20"/>
      <c r="D322" s="20"/>
      <c r="E322" s="20"/>
      <c r="F322" s="21"/>
      <c r="G322" s="20"/>
      <c r="H322" s="20"/>
      <c r="I322" s="21"/>
      <c r="J322" s="20"/>
      <c r="K322" s="20"/>
    </row>
  </sheetData>
  <mergeCells count="4">
    <mergeCell ref="G1:I1"/>
    <mergeCell ref="A1:C1"/>
    <mergeCell ref="D1:F1"/>
    <mergeCell ref="A2:B2"/>
  </mergeCells>
  <conditionalFormatting sqref="F2 I2 F4:F80 I4:I80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2"/>
  <sheetViews>
    <sheetView workbookViewId="0">
      <pane xSplit="2" ySplit="3" topLeftCell="C4" activePane="bottomRight" state="frozen"/>
      <selection pane="bottomRight" activeCell="F27" sqref="F27"/>
      <selection pane="bottomLeft" activeCell="F27" sqref="F27"/>
      <selection pane="topRight" activeCell="F27" sqref="F27"/>
    </sheetView>
  </sheetViews>
  <sheetFormatPr defaultRowHeight="13.5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Agilitas Energy</v>
      </c>
      <c r="B1" s="57"/>
      <c r="C1" s="57"/>
      <c r="D1" s="58" t="s">
        <v>53</v>
      </c>
      <c r="E1" s="58"/>
      <c r="F1" s="58"/>
      <c r="G1" s="56" t="s">
        <v>54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75">
      <c r="A4" s="31" t="str" cm="1">
        <f t="array" ref="A4:A8">Sites[Site]</f>
        <v>Rowley - Central Street Solar</v>
      </c>
      <c r="B4" s="28" t="str" cm="1">
        <f t="array" ref="B4:B8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40"/>
      <c r="K4" s="40"/>
    </row>
    <row r="5" spans="1:11" ht="15.75">
      <c r="A5" s="29" t="str">
        <v>Auburn - Leicester Street Solar</v>
      </c>
      <c r="B5" s="30" t="str">
        <v>MA</v>
      </c>
      <c r="C5" s="11"/>
      <c r="D5" s="17"/>
      <c r="E5" s="17" t="str">
        <f t="shared" ref="E5:E8" si="0">IF(AND(ISNUMBER(C5),ISNUMBER(D5)), C5-D5, "")</f>
        <v/>
      </c>
      <c r="F5" s="18" t="str">
        <f>IFERROR(E5/D5, "")</f>
        <v/>
      </c>
      <c r="G5" s="19"/>
      <c r="H5" s="19" t="str">
        <f t="shared" ref="H5:H8" si="1">IF(AND(ISNUMBER(C5),ISNUMBER(G5)), C5-G5, "")</f>
        <v/>
      </c>
      <c r="I5" s="18" t="str">
        <f t="shared" ref="I5:I8" si="2">IFERROR(H5/G5, "")</f>
        <v/>
      </c>
      <c r="J5" s="41"/>
      <c r="K5" s="41"/>
    </row>
    <row r="6" spans="1:11" ht="15.75">
      <c r="A6" s="27" t="str">
        <v>Rochester - Old Middleboro</v>
      </c>
      <c r="B6" s="28" t="str">
        <v>MA</v>
      </c>
      <c r="C6" s="23"/>
      <c r="D6" s="12"/>
      <c r="E6" s="12" t="str">
        <f t="shared" si="0"/>
        <v/>
      </c>
      <c r="F6" s="13" t="str">
        <f t="shared" ref="F6:F8" si="3">IFERROR(E6/D6, "")</f>
        <v/>
      </c>
      <c r="G6" s="14"/>
      <c r="H6" s="14" t="str">
        <f t="shared" si="1"/>
        <v/>
      </c>
      <c r="I6" s="15" t="str">
        <f t="shared" si="2"/>
        <v/>
      </c>
      <c r="J6" s="40"/>
      <c r="K6" s="40"/>
    </row>
    <row r="7" spans="1:11" ht="15.75">
      <c r="A7" s="29" t="str">
        <v>Dover - Littleworth Road</v>
      </c>
      <c r="B7" s="30" t="str">
        <v>NH</v>
      </c>
      <c r="C7" s="11"/>
      <c r="D7" s="17"/>
      <c r="E7" s="17" t="str">
        <f t="shared" si="0"/>
        <v/>
      </c>
      <c r="F7" s="18" t="str">
        <f t="shared" si="3"/>
        <v/>
      </c>
      <c r="G7" s="19"/>
      <c r="H7" s="19" t="str">
        <f t="shared" si="1"/>
        <v/>
      </c>
      <c r="I7" s="18" t="str">
        <f t="shared" si="2"/>
        <v/>
      </c>
      <c r="J7" s="41"/>
      <c r="K7" s="42"/>
    </row>
    <row r="8" spans="1:11" ht="15.75">
      <c r="A8" s="27" t="str">
        <v>Milton - Landfill</v>
      </c>
      <c r="B8" s="28" t="str">
        <v>NH</v>
      </c>
      <c r="C8" s="23"/>
      <c r="D8" s="12"/>
      <c r="E8" s="12" t="str">
        <f t="shared" si="0"/>
        <v/>
      </c>
      <c r="F8" s="13" t="str">
        <f t="shared" si="3"/>
        <v/>
      </c>
      <c r="G8" s="14"/>
      <c r="H8" s="14" t="str">
        <f t="shared" si="1"/>
        <v/>
      </c>
      <c r="I8" s="15" t="str">
        <f t="shared" si="2"/>
        <v/>
      </c>
      <c r="J8" s="40"/>
      <c r="K8" s="40"/>
    </row>
    <row r="9" spans="1:11" ht="14.25">
      <c r="A9" s="20"/>
      <c r="B9" s="32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32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2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2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3.9">
      <c r="C322" s="20"/>
      <c r="D322" s="20"/>
      <c r="E322" s="20"/>
      <c r="F322" s="21"/>
      <c r="G322" s="20"/>
      <c r="H322" s="20"/>
      <c r="I322" s="21"/>
      <c r="J322" s="20"/>
      <c r="K322" s="20"/>
    </row>
  </sheetData>
  <mergeCells count="4">
    <mergeCell ref="G1:I1"/>
    <mergeCell ref="A1:C1"/>
    <mergeCell ref="D1:F1"/>
    <mergeCell ref="A2:B2"/>
  </mergeCells>
  <conditionalFormatting sqref="F2 I2 F4:F80 I4:I80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2"/>
  <sheetViews>
    <sheetView workbookViewId="0">
      <pane xSplit="2" ySplit="3" topLeftCell="C4" activePane="bottomRight" state="frozen"/>
      <selection pane="bottomRight" activeCell="F27" sqref="F27"/>
      <selection pane="bottomLeft" activeCell="F27" sqref="F27"/>
      <selection pane="topRight" activeCell="F27" sqref="F27"/>
    </sheetView>
  </sheetViews>
  <sheetFormatPr defaultRowHeight="13.5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Agilitas Energy</v>
      </c>
      <c r="B1" s="57"/>
      <c r="C1" s="57"/>
      <c r="D1" s="58" t="s">
        <v>55</v>
      </c>
      <c r="E1" s="58"/>
      <c r="F1" s="58"/>
      <c r="G1" s="56" t="s">
        <v>56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75">
      <c r="A4" s="31" t="str" cm="1">
        <f t="array" ref="A4:A8">Sites[Site]</f>
        <v>Rowley - Central Street Solar</v>
      </c>
      <c r="B4" s="28" t="str" cm="1">
        <f t="array" ref="B4:B8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40"/>
      <c r="K4" s="40"/>
    </row>
    <row r="5" spans="1:11" ht="15.75">
      <c r="A5" s="29" t="str">
        <v>Auburn - Leicester Street Solar</v>
      </c>
      <c r="B5" s="30" t="str">
        <v>MA</v>
      </c>
      <c r="C5" s="11"/>
      <c r="D5" s="17"/>
      <c r="E5" s="17" t="str">
        <f t="shared" ref="E5:E8" si="0">IF(AND(ISNUMBER(C5),ISNUMBER(D5)), C5-D5, "")</f>
        <v/>
      </c>
      <c r="F5" s="18" t="str">
        <f>IFERROR(E5/D5, "")</f>
        <v/>
      </c>
      <c r="G5" s="19"/>
      <c r="H5" s="19" t="str">
        <f t="shared" ref="H5:H8" si="1">IF(AND(ISNUMBER(C5),ISNUMBER(G5)), C5-G5, "")</f>
        <v/>
      </c>
      <c r="I5" s="18" t="str">
        <f t="shared" ref="I5:I8" si="2">IFERROR(H5/G5, "")</f>
        <v/>
      </c>
      <c r="J5" s="41"/>
      <c r="K5" s="41"/>
    </row>
    <row r="6" spans="1:11" ht="15.75">
      <c r="A6" s="27" t="str">
        <v>Rochester - Old Middleboro</v>
      </c>
      <c r="B6" s="28" t="str">
        <v>MA</v>
      </c>
      <c r="C6" s="23"/>
      <c r="D6" s="12"/>
      <c r="E6" s="12" t="str">
        <f t="shared" si="0"/>
        <v/>
      </c>
      <c r="F6" s="13" t="str">
        <f t="shared" ref="F6:F8" si="3">IFERROR(E6/D6, "")</f>
        <v/>
      </c>
      <c r="G6" s="14"/>
      <c r="H6" s="14" t="str">
        <f t="shared" si="1"/>
        <v/>
      </c>
      <c r="I6" s="15" t="str">
        <f t="shared" si="2"/>
        <v/>
      </c>
      <c r="J6" s="40"/>
      <c r="K6" s="40"/>
    </row>
    <row r="7" spans="1:11" ht="15.75">
      <c r="A7" s="29" t="str">
        <v>Dover - Littleworth Road</v>
      </c>
      <c r="B7" s="30" t="str">
        <v>NH</v>
      </c>
      <c r="C7" s="11"/>
      <c r="D7" s="17"/>
      <c r="E7" s="17" t="str">
        <f t="shared" si="0"/>
        <v/>
      </c>
      <c r="F7" s="18" t="str">
        <f t="shared" si="3"/>
        <v/>
      </c>
      <c r="G7" s="19"/>
      <c r="H7" s="19" t="str">
        <f t="shared" si="1"/>
        <v/>
      </c>
      <c r="I7" s="18" t="str">
        <f t="shared" si="2"/>
        <v/>
      </c>
      <c r="J7" s="41"/>
      <c r="K7" s="42"/>
    </row>
    <row r="8" spans="1:11" ht="15.75">
      <c r="A8" s="27" t="str">
        <v>Milton - Landfill</v>
      </c>
      <c r="B8" s="28" t="str">
        <v>NH</v>
      </c>
      <c r="C8" s="23"/>
      <c r="D8" s="12"/>
      <c r="E8" s="12" t="str">
        <f t="shared" si="0"/>
        <v/>
      </c>
      <c r="F8" s="13" t="str">
        <f t="shared" si="3"/>
        <v/>
      </c>
      <c r="G8" s="14"/>
      <c r="H8" s="14" t="str">
        <f t="shared" si="1"/>
        <v/>
      </c>
      <c r="I8" s="15" t="str">
        <f t="shared" si="2"/>
        <v/>
      </c>
      <c r="J8" s="40"/>
      <c r="K8" s="40"/>
    </row>
    <row r="9" spans="1:11" ht="14.25">
      <c r="A9" s="20"/>
      <c r="B9" s="32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32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2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2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3.9">
      <c r="C322" s="20"/>
      <c r="D322" s="20"/>
      <c r="E322" s="20"/>
      <c r="F322" s="21"/>
      <c r="G322" s="20"/>
      <c r="H322" s="20"/>
      <c r="I322" s="21"/>
      <c r="J322" s="20"/>
      <c r="K322" s="20"/>
    </row>
  </sheetData>
  <mergeCells count="4">
    <mergeCell ref="G1:I1"/>
    <mergeCell ref="A1:C1"/>
    <mergeCell ref="D1:F1"/>
    <mergeCell ref="A2:B2"/>
  </mergeCells>
  <conditionalFormatting sqref="F2 I2 F4:F80 I4:I80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2"/>
  <sheetViews>
    <sheetView workbookViewId="0">
      <pane xSplit="2" ySplit="3" topLeftCell="C4" activePane="bottomRight" state="frozen"/>
      <selection pane="bottomRight" activeCell="F27" sqref="F27"/>
      <selection pane="bottomLeft" activeCell="F27" sqref="F27"/>
      <selection pane="topRight" activeCell="F27" sqref="F27"/>
    </sheetView>
  </sheetViews>
  <sheetFormatPr defaultRowHeight="13.5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Agilitas Energy</v>
      </c>
      <c r="B1" s="57"/>
      <c r="C1" s="57"/>
      <c r="D1" s="58" t="s">
        <v>57</v>
      </c>
      <c r="E1" s="58"/>
      <c r="F1" s="58"/>
      <c r="G1" s="56" t="s">
        <v>58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75">
      <c r="A4" s="31" t="str" cm="1">
        <f t="array" ref="A4:A8">Sites[Site]</f>
        <v>Rowley - Central Street Solar</v>
      </c>
      <c r="B4" s="28" t="str" cm="1">
        <f t="array" ref="B4:B8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40"/>
      <c r="K4" s="40"/>
    </row>
    <row r="5" spans="1:11" ht="15.75">
      <c r="A5" s="29" t="str">
        <v>Auburn - Leicester Street Solar</v>
      </c>
      <c r="B5" s="30" t="str">
        <v>MA</v>
      </c>
      <c r="C5" s="11"/>
      <c r="D5" s="17"/>
      <c r="E5" s="17" t="str">
        <f t="shared" ref="E5:E8" si="0">IF(AND(ISNUMBER(C5),ISNUMBER(D5)), C5-D5, "")</f>
        <v/>
      </c>
      <c r="F5" s="18" t="str">
        <f>IFERROR(E5/D5, "")</f>
        <v/>
      </c>
      <c r="G5" s="19"/>
      <c r="H5" s="19" t="str">
        <f t="shared" ref="H5:H8" si="1">IF(AND(ISNUMBER(C5),ISNUMBER(G5)), C5-G5, "")</f>
        <v/>
      </c>
      <c r="I5" s="18" t="str">
        <f t="shared" ref="I5:I8" si="2">IFERROR(H5/G5, "")</f>
        <v/>
      </c>
      <c r="J5" s="41"/>
      <c r="K5" s="41"/>
    </row>
    <row r="6" spans="1:11" ht="15.75">
      <c r="A6" s="27" t="str">
        <v>Rochester - Old Middleboro</v>
      </c>
      <c r="B6" s="28" t="str">
        <v>MA</v>
      </c>
      <c r="C6" s="23"/>
      <c r="D6" s="12"/>
      <c r="E6" s="12" t="str">
        <f t="shared" si="0"/>
        <v/>
      </c>
      <c r="F6" s="13" t="str">
        <f t="shared" ref="F6:F8" si="3">IFERROR(E6/D6, "")</f>
        <v/>
      </c>
      <c r="G6" s="14"/>
      <c r="H6" s="14" t="str">
        <f t="shared" si="1"/>
        <v/>
      </c>
      <c r="I6" s="15" t="str">
        <f t="shared" si="2"/>
        <v/>
      </c>
      <c r="J6" s="40"/>
      <c r="K6" s="40"/>
    </row>
    <row r="7" spans="1:11" ht="15.75">
      <c r="A7" s="29" t="str">
        <v>Dover - Littleworth Road</v>
      </c>
      <c r="B7" s="30" t="str">
        <v>NH</v>
      </c>
      <c r="C7" s="11"/>
      <c r="D7" s="17"/>
      <c r="E7" s="17" t="str">
        <f t="shared" si="0"/>
        <v/>
      </c>
      <c r="F7" s="18" t="str">
        <f t="shared" si="3"/>
        <v/>
      </c>
      <c r="G7" s="19"/>
      <c r="H7" s="19" t="str">
        <f t="shared" si="1"/>
        <v/>
      </c>
      <c r="I7" s="18" t="str">
        <f t="shared" si="2"/>
        <v/>
      </c>
      <c r="J7" s="41"/>
      <c r="K7" s="42"/>
    </row>
    <row r="8" spans="1:11" ht="15.75">
      <c r="A8" s="27" t="str">
        <v>Milton - Landfill</v>
      </c>
      <c r="B8" s="28" t="str">
        <v>NH</v>
      </c>
      <c r="C8" s="23"/>
      <c r="D8" s="12"/>
      <c r="E8" s="12" t="str">
        <f t="shared" si="0"/>
        <v/>
      </c>
      <c r="F8" s="13" t="str">
        <f t="shared" si="3"/>
        <v/>
      </c>
      <c r="G8" s="14"/>
      <c r="H8" s="14" t="str">
        <f t="shared" si="1"/>
        <v/>
      </c>
      <c r="I8" s="15" t="str">
        <f t="shared" si="2"/>
        <v/>
      </c>
      <c r="J8" s="40"/>
      <c r="K8" s="40"/>
    </row>
    <row r="9" spans="1:11" ht="14.25">
      <c r="A9" s="20"/>
      <c r="B9" s="32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32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2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2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3.9">
      <c r="C322" s="20"/>
      <c r="D322" s="20"/>
      <c r="E322" s="20"/>
      <c r="F322" s="21"/>
      <c r="G322" s="20"/>
      <c r="H322" s="20"/>
      <c r="I322" s="21"/>
      <c r="J322" s="20"/>
      <c r="K322" s="20"/>
    </row>
  </sheetData>
  <mergeCells count="4">
    <mergeCell ref="G1:I1"/>
    <mergeCell ref="A1:C1"/>
    <mergeCell ref="D1:F1"/>
    <mergeCell ref="A2:B2"/>
  </mergeCells>
  <conditionalFormatting sqref="F2 I2 F4:F80 I4:I80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13"/>
  <sheetViews>
    <sheetView workbookViewId="0">
      <pane ySplit="3" topLeftCell="A4" activePane="bottomLeft" state="frozen"/>
      <selection pane="bottomLeft" activeCell="B12" sqref="B12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59</v>
      </c>
      <c r="B1" t="s">
        <v>60</v>
      </c>
    </row>
    <row r="3" spans="1:12">
      <c r="A3" t="s">
        <v>61</v>
      </c>
      <c r="B3" t="s">
        <v>3</v>
      </c>
      <c r="C3" t="s">
        <v>4</v>
      </c>
      <c r="D3" t="s">
        <v>62</v>
      </c>
      <c r="E3" s="2" t="s">
        <v>63</v>
      </c>
    </row>
    <row r="4" spans="1:12" ht="14.25">
      <c r="A4" s="50" t="s">
        <v>64</v>
      </c>
      <c r="B4" t="s">
        <v>65</v>
      </c>
      <c r="C4" s="47" t="s">
        <v>66</v>
      </c>
      <c r="D4" s="46" t="s">
        <v>67</v>
      </c>
      <c r="E4" t="s">
        <v>68</v>
      </c>
      <c r="G4" s="3"/>
    </row>
    <row r="5" spans="1:12" ht="14.25">
      <c r="A5" s="50" t="s">
        <v>69</v>
      </c>
      <c r="B5" t="s">
        <v>70</v>
      </c>
      <c r="C5" s="47" t="s">
        <v>66</v>
      </c>
      <c r="D5" s="46" t="s">
        <v>67</v>
      </c>
      <c r="E5" t="s">
        <v>68</v>
      </c>
      <c r="G5" s="3"/>
    </row>
    <row r="6" spans="1:12" ht="14.25">
      <c r="A6" s="50" t="s">
        <v>71</v>
      </c>
      <c r="B6" t="s">
        <v>72</v>
      </c>
      <c r="C6" s="47" t="s">
        <v>66</v>
      </c>
      <c r="D6" s="46" t="s">
        <v>67</v>
      </c>
      <c r="E6" t="s">
        <v>68</v>
      </c>
      <c r="G6" s="3"/>
    </row>
    <row r="7" spans="1:12" ht="12.75" customHeight="1">
      <c r="A7" s="50" t="s">
        <v>73</v>
      </c>
      <c r="B7" t="s">
        <v>74</v>
      </c>
      <c r="C7" s="47" t="s">
        <v>75</v>
      </c>
      <c r="D7" s="46"/>
      <c r="E7" t="s">
        <v>76</v>
      </c>
    </row>
    <row r="8" spans="1:12" ht="12.75" customHeight="1">
      <c r="A8" s="50" t="s">
        <v>77</v>
      </c>
      <c r="B8" t="s">
        <v>78</v>
      </c>
      <c r="C8" s="47" t="s">
        <v>75</v>
      </c>
      <c r="D8" s="46"/>
      <c r="E8" t="s">
        <v>76</v>
      </c>
    </row>
    <row r="9" spans="1:12" ht="12.75" customHeight="1">
      <c r="K9" s="43"/>
      <c r="L9" s="43"/>
    </row>
    <row r="10" spans="1:12" ht="12.75" customHeight="1">
      <c r="K10" s="43"/>
      <c r="L10" s="43"/>
    </row>
    <row r="11" spans="1:12" ht="12.75" customHeight="1">
      <c r="K11" s="43"/>
      <c r="L11" s="43"/>
    </row>
    <row r="12" spans="1:12" ht="12.75" customHeight="1">
      <c r="K12" s="43"/>
      <c r="L12" s="43"/>
    </row>
    <row r="13" spans="1:12" ht="12.75" customHeight="1">
      <c r="K13" s="43"/>
      <c r="L13" s="4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4.xml>��
</file>

<file path=customXml/item5.xml>��
</file>

<file path=customXml/item6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7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BF5C6359-7763-4C37-8EAF-2BC4698CB285}"/>
</file>

<file path=customXml/itemProps2.xml><?xml version="1.0" encoding="utf-8"?>
<ds:datastoreItem xmlns:ds="http://schemas.openxmlformats.org/officeDocument/2006/customXml" ds:itemID="{98A113BB-8B7A-453C-8BD4-8EFC67FC2D3F}"/>
</file>

<file path=customXml/itemProps3.xml><?xml version="1.0" encoding="utf-8"?>
<ds:datastoreItem xmlns:ds="http://schemas.openxmlformats.org/officeDocument/2006/customXml" ds:itemID="{8D732231-4216-4543-A665-18A2886B0EB7}"/>
</file>

<file path=customXml/itemProps4.xml><?xml version="1.0" encoding="utf-8"?>
<ds:datastoreItem xmlns:ds="http://schemas.openxmlformats.org/officeDocument/2006/customXml" ds:itemID="{D3A7101F-9A85-4235-8B03-415370C100B2}"/>
</file>

<file path=customXml/itemProps5.xml><?xml version="1.0" encoding="utf-8"?>
<ds:datastoreItem xmlns:ds="http://schemas.openxmlformats.org/officeDocument/2006/customXml" ds:itemID="{2BC74AAC-D69B-4AF1-9649-B21EF3C1C463}"/>
</file>

<file path=customXml/itemProps6.xml><?xml version="1.0" encoding="utf-8"?>
<ds:datastoreItem xmlns:ds="http://schemas.openxmlformats.org/officeDocument/2006/customXml" ds:itemID="{C0BCDC1E-6052-4E48-9BAF-94A40814E7C2}"/>
</file>

<file path=customXml/itemProps7.xml><?xml version="1.0" encoding="utf-8"?>
<ds:datastoreItem xmlns:ds="http://schemas.openxmlformats.org/officeDocument/2006/customXml" ds:itemID="{7946C510-7D04-49D8-9B25-EEC04582A1CA}"/>
</file>

<file path=customXml/itemProps8.xml><?xml version="1.0" encoding="utf-8"?>
<ds:datastoreItem xmlns:ds="http://schemas.openxmlformats.org/officeDocument/2006/customXml" ds:itemID="{66B09F59-6532-46F8-924A-9A02417E070D}"/>
</file>

<file path=customXml/itemProps9.xml><?xml version="1.0" encoding="utf-8"?>
<ds:datastoreItem xmlns:ds="http://schemas.openxmlformats.org/officeDocument/2006/customXml" ds:itemID="{E3716282-BFD2-4ED2-BA47-BFA1123827F0}"/>
</file>

<file path=customXml/itemProps10.xml><?xml version="1.0" encoding="utf-8"?>
<ds:datastoreItem xmlns:ds="http://schemas.openxmlformats.org/officeDocument/2006/customXml" ds:itemID="{0389C43E-394D-44C0-87DC-4780FCFCFB40}"/>
</file>

<file path=customXml/itemProps11.xml><?xml version="1.0" encoding="utf-8"?>
<ds:datastoreItem xmlns:ds="http://schemas.openxmlformats.org/officeDocument/2006/customXml" ds:itemID="{078388C9-06F9-42F4-B857-EF76B5CAF1FD}"/>
</file>

<file path=customXml/itemProps12.xml><?xml version="1.0" encoding="utf-8"?>
<ds:datastoreItem xmlns:ds="http://schemas.openxmlformats.org/officeDocument/2006/customXml" ds:itemID="{89CF5C07-45EB-4100-9AFB-2C6AF77FA787}"/>
</file>

<file path=customXml/itemProps13.xml><?xml version="1.0" encoding="utf-8"?>
<ds:datastoreItem xmlns:ds="http://schemas.openxmlformats.org/officeDocument/2006/customXml" ds:itemID="{14966E4F-347B-477B-B74C-9DAC05405806}"/>
</file>

<file path=customXml/itemProps14.xml><?xml version="1.0" encoding="utf-8"?>
<ds:datastoreItem xmlns:ds="http://schemas.openxmlformats.org/officeDocument/2006/customXml" ds:itemID="{3AEAA9D8-2182-46BA-A58E-96C72DDA1C54}"/>
</file>

<file path=customXml/itemProps15.xml><?xml version="1.0" encoding="utf-8"?>
<ds:datastoreItem xmlns:ds="http://schemas.openxmlformats.org/officeDocument/2006/customXml" ds:itemID="{F6B2B1A1-1C4B-4AC9-9A7D-7A102DD1C942}"/>
</file>

<file path=customXml/itemProps16.xml><?xml version="1.0" encoding="utf-8"?>
<ds:datastoreItem xmlns:ds="http://schemas.openxmlformats.org/officeDocument/2006/customXml" ds:itemID="{1954BBA4-0359-438C-B0EC-A756015F7C02}"/>
</file>

<file path=customXml/itemProps17.xml><?xml version="1.0" encoding="utf-8"?>
<ds:datastoreItem xmlns:ds="http://schemas.openxmlformats.org/officeDocument/2006/customXml" ds:itemID="{BE26B669-A686-459C-A5E9-FEC3409C4C81}"/>
</file>

<file path=customXml/itemProps18.xml><?xml version="1.0" encoding="utf-8"?>
<ds:datastoreItem xmlns:ds="http://schemas.openxmlformats.org/officeDocument/2006/customXml" ds:itemID="{CB52044A-5C0B-44A2-99D0-C1C315EC302D}"/>
</file>

<file path=customXml/itemProps19.xml><?xml version="1.0" encoding="utf-8"?>
<ds:datastoreItem xmlns:ds="http://schemas.openxmlformats.org/officeDocument/2006/customXml" ds:itemID="{E20E8303-6A67-485C-B6F4-303542CC295C}"/>
</file>

<file path=customXml/itemProps20.xml><?xml version="1.0" encoding="utf-8"?>
<ds:datastoreItem xmlns:ds="http://schemas.openxmlformats.org/officeDocument/2006/customXml" ds:itemID="{F12EFA50-0068-4A8C-85A0-F1B26389EB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Anusha Vempati</cp:lastModifiedBy>
  <cp:revision/>
  <dcterms:created xsi:type="dcterms:W3CDTF">2021-01-01T16:39:53Z</dcterms:created>
  <dcterms:modified xsi:type="dcterms:W3CDTF">2024-05-10T06:34:57Z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