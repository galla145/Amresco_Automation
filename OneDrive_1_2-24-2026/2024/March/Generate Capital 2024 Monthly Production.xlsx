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4/March/"/>
    </mc:Choice>
  </mc:AlternateContent>
  <xr:revisionPtr revIDLastSave="0" documentId="8_{2438E981-1A68-42A3-877C-5E86422971B4}" xr6:coauthVersionLast="47" xr6:coauthVersionMax="47" xr10:uidLastSave="{00000000-0000-0000-0000-000000000000}"/>
  <bookViews>
    <workbookView minimized="1" xWindow="35655" yWindow="22050" windowWidth="21600" windowHeight="1129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D2" i="1"/>
  <c r="C2" i="1"/>
  <c r="G2" i="34"/>
  <c r="D2" i="34"/>
  <c r="C2" i="34"/>
  <c r="G2" i="4"/>
  <c r="I138" i="34"/>
  <c r="H138" i="34"/>
  <c r="I137" i="34"/>
  <c r="G138" i="34"/>
  <c r="F138" i="34"/>
  <c r="E138" i="34"/>
  <c r="D138" i="34"/>
  <c r="C138" i="34"/>
  <c r="I138" i="1"/>
  <c r="H138" i="1"/>
  <c r="I137" i="1"/>
  <c r="G138" i="1"/>
  <c r="F138" i="1"/>
  <c r="E138" i="1"/>
  <c r="D138" i="1"/>
  <c r="C138" i="1"/>
  <c r="I138" i="4"/>
  <c r="I137" i="4"/>
  <c r="D2" i="4"/>
  <c r="C2" i="4"/>
  <c r="H138" i="4"/>
  <c r="E138" i="4"/>
  <c r="F138" i="4" s="1"/>
  <c r="E139" i="4"/>
  <c r="F84" i="4"/>
  <c r="F86" i="4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H18" i="4"/>
  <c r="I18" i="4"/>
  <c r="H19" i="4"/>
  <c r="I19" i="4" s="1"/>
  <c r="H20" i="4"/>
  <c r="I20" i="4" s="1"/>
  <c r="H21" i="4"/>
  <c r="I21" i="4" s="1"/>
  <c r="H22" i="4"/>
  <c r="I22" i="4"/>
  <c r="H23" i="4"/>
  <c r="I23" i="4" s="1"/>
  <c r="H24" i="4"/>
  <c r="I24" i="4" s="1"/>
  <c r="H25" i="4"/>
  <c r="I25" i="4"/>
  <c r="H26" i="4"/>
  <c r="I26" i="4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/>
  <c r="H33" i="4"/>
  <c r="I33" i="4" s="1"/>
  <c r="H34" i="4"/>
  <c r="I34" i="4"/>
  <c r="H35" i="4"/>
  <c r="I35" i="4" s="1"/>
  <c r="H36" i="4"/>
  <c r="I36" i="4"/>
  <c r="H37" i="4"/>
  <c r="I37" i="4" s="1"/>
  <c r="H38" i="4"/>
  <c r="I38" i="4" s="1"/>
  <c r="H39" i="4"/>
  <c r="I39" i="4" s="1"/>
  <c r="H40" i="4"/>
  <c r="I40" i="4"/>
  <c r="H41" i="4"/>
  <c r="I41" i="4"/>
  <c r="H42" i="4"/>
  <c r="I42" i="4" s="1"/>
  <c r="H43" i="4"/>
  <c r="I43" i="4" s="1"/>
  <c r="H44" i="4"/>
  <c r="I44" i="4" s="1"/>
  <c r="H45" i="4"/>
  <c r="I45" i="4"/>
  <c r="H46" i="4"/>
  <c r="I46" i="4" s="1"/>
  <c r="H47" i="4"/>
  <c r="I47" i="4" s="1"/>
  <c r="H48" i="4"/>
  <c r="I48" i="4" s="1"/>
  <c r="H49" i="4"/>
  <c r="I49" i="4"/>
  <c r="H50" i="4"/>
  <c r="I50" i="4"/>
  <c r="H51" i="4"/>
  <c r="I51" i="4" s="1"/>
  <c r="H52" i="4"/>
  <c r="I52" i="4"/>
  <c r="H53" i="4"/>
  <c r="I53" i="4" s="1"/>
  <c r="H54" i="4"/>
  <c r="I54" i="4"/>
  <c r="H55" i="4"/>
  <c r="I55" i="4" s="1"/>
  <c r="H56" i="4"/>
  <c r="I56" i="4" s="1"/>
  <c r="H57" i="4"/>
  <c r="I57" i="4" s="1"/>
  <c r="H58" i="4"/>
  <c r="I58" i="4"/>
  <c r="H59" i="4"/>
  <c r="I59" i="4" s="1"/>
  <c r="H60" i="4"/>
  <c r="I60" i="4" s="1"/>
  <c r="H61" i="4"/>
  <c r="I61" i="4"/>
  <c r="H62" i="4"/>
  <c r="I62" i="4"/>
  <c r="H63" i="4"/>
  <c r="I63" i="4" s="1"/>
  <c r="H64" i="4"/>
  <c r="I64" i="4"/>
  <c r="H65" i="4"/>
  <c r="I65" i="4" s="1"/>
  <c r="H66" i="4"/>
  <c r="I66" i="4" s="1"/>
  <c r="H67" i="4"/>
  <c r="I67" i="4" s="1"/>
  <c r="H68" i="4"/>
  <c r="I68" i="4"/>
  <c r="H69" i="4"/>
  <c r="I69" i="4" s="1"/>
  <c r="H70" i="4"/>
  <c r="I70" i="4"/>
  <c r="H71" i="4"/>
  <c r="I71" i="4" s="1"/>
  <c r="H72" i="4"/>
  <c r="I72" i="4"/>
  <c r="H73" i="4"/>
  <c r="I73" i="4"/>
  <c r="H74" i="4"/>
  <c r="I74" i="4" s="1"/>
  <c r="H75" i="4"/>
  <c r="I75" i="4" s="1"/>
  <c r="H76" i="4"/>
  <c r="I76" i="4" s="1"/>
  <c r="H77" i="4"/>
  <c r="I77" i="4"/>
  <c r="H78" i="4"/>
  <c r="I78" i="4" s="1"/>
  <c r="H79" i="4"/>
  <c r="I79" i="4" s="1"/>
  <c r="H80" i="4"/>
  <c r="I80" i="4" s="1"/>
  <c r="H81" i="4"/>
  <c r="I81" i="4"/>
  <c r="H82" i="4"/>
  <c r="I82" i="4"/>
  <c r="H83" i="4"/>
  <c r="I83" i="4" s="1"/>
  <c r="H84" i="4"/>
  <c r="I84" i="4"/>
  <c r="H85" i="4"/>
  <c r="I85" i="4" s="1"/>
  <c r="H86" i="4"/>
  <c r="I86" i="4"/>
  <c r="H87" i="4"/>
  <c r="I87" i="4" s="1"/>
  <c r="H88" i="4"/>
  <c r="I88" i="4"/>
  <c r="H89" i="4"/>
  <c r="I89" i="4" s="1"/>
  <c r="H90" i="4"/>
  <c r="I90" i="4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/>
  <c r="H98" i="4"/>
  <c r="I98" i="4" s="1"/>
  <c r="H99" i="4"/>
  <c r="I99" i="4" s="1"/>
  <c r="H100" i="4"/>
  <c r="I100" i="4"/>
  <c r="H101" i="4"/>
  <c r="I101" i="4" s="1"/>
  <c r="H102" i="4"/>
  <c r="I102" i="4" s="1"/>
  <c r="H103" i="4"/>
  <c r="I103" i="4" s="1"/>
  <c r="H104" i="4"/>
  <c r="I104" i="4"/>
  <c r="H105" i="4"/>
  <c r="I105" i="4"/>
  <c r="H106" i="4"/>
  <c r="I106" i="4"/>
  <c r="H107" i="4"/>
  <c r="I107" i="4" s="1"/>
  <c r="H108" i="4"/>
  <c r="I108" i="4" s="1"/>
  <c r="H109" i="4"/>
  <c r="I109" i="4"/>
  <c r="H110" i="4"/>
  <c r="I110" i="4" s="1"/>
  <c r="H111" i="4"/>
  <c r="I111" i="4" s="1"/>
  <c r="H112" i="4"/>
  <c r="I112" i="4" s="1"/>
  <c r="H113" i="4"/>
  <c r="I113" i="4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/>
  <c r="H129" i="4"/>
  <c r="I129" i="4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/>
  <c r="E22" i="4"/>
  <c r="F22" i="4" s="1"/>
  <c r="E23" i="4"/>
  <c r="F23" i="4" s="1"/>
  <c r="E24" i="4"/>
  <c r="F24" i="4" s="1"/>
  <c r="E25" i="4"/>
  <c r="F25" i="4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/>
  <c r="E46" i="4"/>
  <c r="F46" i="4" s="1"/>
  <c r="E47" i="4"/>
  <c r="F47" i="4" s="1"/>
  <c r="E48" i="4"/>
  <c r="F48" i="4" s="1"/>
  <c r="E49" i="4"/>
  <c r="F49" i="4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/>
  <c r="E78" i="4"/>
  <c r="F78" i="4" s="1"/>
  <c r="E79" i="4"/>
  <c r="F79" i="4" s="1"/>
  <c r="E80" i="4"/>
  <c r="F80" i="4" s="1"/>
  <c r="E81" i="4"/>
  <c r="F81" i="4"/>
  <c r="E82" i="4"/>
  <c r="F82" i="4" s="1"/>
  <c r="E83" i="4"/>
  <c r="F83" i="4" s="1"/>
  <c r="E84" i="4"/>
  <c r="E85" i="4"/>
  <c r="F85" i="4" s="1"/>
  <c r="E86" i="4"/>
  <c r="E87" i="4"/>
  <c r="F87" i="4" s="1"/>
  <c r="E88" i="4"/>
  <c r="F88" i="4" s="1"/>
  <c r="E89" i="4"/>
  <c r="F89" i="4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119" i="4"/>
  <c r="F119" i="4" s="1"/>
  <c r="E120" i="4"/>
  <c r="F120" i="4" s="1"/>
  <c r="E121" i="4"/>
  <c r="F121" i="4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131" i="4"/>
  <c r="F131" i="4" s="1"/>
  <c r="E132" i="4"/>
  <c r="F132" i="4" s="1"/>
  <c r="E133" i="4"/>
  <c r="F133" i="4"/>
  <c r="E134" i="4"/>
  <c r="F134" i="4" s="1"/>
  <c r="E135" i="4"/>
  <c r="F135" i="4" s="1"/>
  <c r="E136" i="4"/>
  <c r="F136" i="4" s="1"/>
  <c r="E137" i="4"/>
  <c r="F137" i="4" s="1"/>
  <c r="G2" i="3"/>
  <c r="D2" i="3"/>
  <c r="D2" i="72"/>
  <c r="G2" i="72"/>
  <c r="C2" i="3"/>
  <c r="C2" i="72"/>
  <c r="E76" i="3" l="1"/>
  <c r="C18" i="34" l="1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C26" i="34"/>
  <c r="D26" i="34"/>
  <c r="C27" i="34"/>
  <c r="D27" i="34"/>
  <c r="C28" i="34"/>
  <c r="D28" i="34"/>
  <c r="C29" i="34"/>
  <c r="D29" i="34"/>
  <c r="C30" i="34"/>
  <c r="D30" i="34"/>
  <c r="C31" i="34"/>
  <c r="D31" i="34"/>
  <c r="C32" i="34"/>
  <c r="D32" i="34"/>
  <c r="C33" i="34"/>
  <c r="D33" i="34"/>
  <c r="C34" i="34"/>
  <c r="D34" i="34"/>
  <c r="C35" i="34"/>
  <c r="D35" i="34"/>
  <c r="C36" i="34"/>
  <c r="D36" i="34"/>
  <c r="C37" i="34"/>
  <c r="D37" i="34"/>
  <c r="C38" i="34"/>
  <c r="D38" i="34"/>
  <c r="C39" i="34"/>
  <c r="D39" i="34"/>
  <c r="C40" i="34"/>
  <c r="D40" i="34"/>
  <c r="C41" i="34"/>
  <c r="D41" i="34"/>
  <c r="C42" i="34"/>
  <c r="D42" i="34"/>
  <c r="C43" i="34"/>
  <c r="D43" i="34"/>
  <c r="C44" i="34"/>
  <c r="D44" i="34"/>
  <c r="C45" i="34"/>
  <c r="D45" i="34"/>
  <c r="C46" i="34"/>
  <c r="D46" i="34"/>
  <c r="C47" i="34"/>
  <c r="D47" i="34"/>
  <c r="C48" i="34"/>
  <c r="D48" i="34"/>
  <c r="C49" i="34"/>
  <c r="D49" i="34"/>
  <c r="C50" i="34"/>
  <c r="D50" i="34"/>
  <c r="C51" i="34"/>
  <c r="D51" i="34"/>
  <c r="C52" i="34"/>
  <c r="D52" i="34"/>
  <c r="C53" i="34"/>
  <c r="D53" i="34"/>
  <c r="C54" i="34"/>
  <c r="D54" i="34"/>
  <c r="C55" i="34"/>
  <c r="D55" i="34"/>
  <c r="C56" i="34"/>
  <c r="D56" i="34"/>
  <c r="C57" i="34"/>
  <c r="D57" i="34"/>
  <c r="C58" i="34"/>
  <c r="D58" i="34"/>
  <c r="C59" i="34"/>
  <c r="D59" i="34"/>
  <c r="C60" i="34"/>
  <c r="D60" i="34"/>
  <c r="C61" i="34"/>
  <c r="D61" i="34"/>
  <c r="C62" i="34"/>
  <c r="D62" i="34"/>
  <c r="C63" i="34"/>
  <c r="D63" i="34"/>
  <c r="C64" i="34"/>
  <c r="D64" i="34"/>
  <c r="C65" i="34"/>
  <c r="D65" i="34"/>
  <c r="C66" i="34"/>
  <c r="D66" i="34"/>
  <c r="C67" i="34"/>
  <c r="D67" i="34"/>
  <c r="C68" i="34"/>
  <c r="D68" i="34"/>
  <c r="C69" i="34"/>
  <c r="D69" i="34"/>
  <c r="C70" i="34"/>
  <c r="D70" i="34"/>
  <c r="C71" i="34"/>
  <c r="D71" i="34"/>
  <c r="C72" i="34"/>
  <c r="D72" i="34"/>
  <c r="C73" i="34"/>
  <c r="D73" i="34"/>
  <c r="C74" i="34"/>
  <c r="D74" i="34"/>
  <c r="C75" i="34"/>
  <c r="D75" i="34"/>
  <c r="C76" i="34"/>
  <c r="D76" i="34"/>
  <c r="C77" i="34"/>
  <c r="D77" i="34"/>
  <c r="C78" i="34"/>
  <c r="D78" i="34"/>
  <c r="C79" i="34"/>
  <c r="D79" i="34"/>
  <c r="C80" i="34"/>
  <c r="D80" i="34"/>
  <c r="C81" i="34"/>
  <c r="D81" i="34"/>
  <c r="C82" i="34"/>
  <c r="D82" i="34"/>
  <c r="C83" i="34"/>
  <c r="D83" i="34"/>
  <c r="C84" i="34"/>
  <c r="D84" i="34"/>
  <c r="C85" i="34"/>
  <c r="D85" i="34"/>
  <c r="C86" i="34"/>
  <c r="D86" i="34"/>
  <c r="C87" i="34"/>
  <c r="D87" i="34"/>
  <c r="C88" i="34"/>
  <c r="D88" i="34"/>
  <c r="C89" i="34"/>
  <c r="D89" i="34"/>
  <c r="C90" i="34"/>
  <c r="D90" i="34"/>
  <c r="C91" i="34"/>
  <c r="D91" i="34"/>
  <c r="C92" i="34"/>
  <c r="D92" i="34"/>
  <c r="C93" i="34"/>
  <c r="D93" i="34"/>
  <c r="C94" i="34"/>
  <c r="D94" i="34"/>
  <c r="C95" i="34"/>
  <c r="D95" i="34"/>
  <c r="C96" i="34"/>
  <c r="D96" i="34"/>
  <c r="C97" i="34"/>
  <c r="D97" i="34"/>
  <c r="C98" i="34"/>
  <c r="D98" i="34"/>
  <c r="C99" i="34"/>
  <c r="D99" i="34"/>
  <c r="C100" i="34"/>
  <c r="D100" i="34"/>
  <c r="C101" i="34"/>
  <c r="D101" i="34"/>
  <c r="C102" i="34"/>
  <c r="D102" i="34"/>
  <c r="D103" i="34"/>
  <c r="C104" i="34"/>
  <c r="D104" i="34"/>
  <c r="C105" i="34"/>
  <c r="D105" i="34"/>
  <c r="C106" i="34"/>
  <c r="D106" i="34"/>
  <c r="C107" i="34"/>
  <c r="D107" i="34"/>
  <c r="C108" i="34"/>
  <c r="D108" i="34"/>
  <c r="C109" i="34"/>
  <c r="D109" i="34"/>
  <c r="C110" i="34"/>
  <c r="D110" i="34"/>
  <c r="C111" i="34"/>
  <c r="D111" i="34"/>
  <c r="C112" i="34"/>
  <c r="D112" i="34"/>
  <c r="C113" i="34"/>
  <c r="D113" i="34"/>
  <c r="C114" i="34"/>
  <c r="D114" i="34"/>
  <c r="C115" i="34"/>
  <c r="D115" i="34"/>
  <c r="C116" i="34"/>
  <c r="D116" i="34"/>
  <c r="C117" i="34"/>
  <c r="D117" i="34"/>
  <c r="C118" i="34"/>
  <c r="D118" i="34"/>
  <c r="C119" i="34"/>
  <c r="D119" i="34"/>
  <c r="C120" i="34"/>
  <c r="D120" i="34"/>
  <c r="C121" i="34"/>
  <c r="D121" i="34"/>
  <c r="C122" i="34"/>
  <c r="D122" i="34"/>
  <c r="C123" i="34"/>
  <c r="D123" i="34"/>
  <c r="C124" i="34"/>
  <c r="D124" i="34"/>
  <c r="C125" i="34"/>
  <c r="D125" i="34"/>
  <c r="C126" i="34"/>
  <c r="D126" i="34"/>
  <c r="C127" i="34"/>
  <c r="D127" i="34"/>
  <c r="C128" i="34"/>
  <c r="D128" i="34"/>
  <c r="C129" i="34"/>
  <c r="D129" i="34"/>
  <c r="C130" i="34"/>
  <c r="D130" i="34"/>
  <c r="C131" i="34"/>
  <c r="D131" i="34"/>
  <c r="C132" i="34"/>
  <c r="D132" i="34"/>
  <c r="C133" i="34"/>
  <c r="D133" i="34"/>
  <c r="C134" i="34"/>
  <c r="D134" i="34"/>
  <c r="C135" i="34"/>
  <c r="D135" i="34"/>
  <c r="C136" i="34"/>
  <c r="D136" i="34"/>
  <c r="C137" i="34"/>
  <c r="D137" i="34"/>
  <c r="C18" i="1"/>
  <c r="D18" i="1"/>
  <c r="G18" i="1"/>
  <c r="G18" i="34" s="1"/>
  <c r="C19" i="1"/>
  <c r="D19" i="1"/>
  <c r="G19" i="1"/>
  <c r="G19" i="34" s="1"/>
  <c r="C20" i="1"/>
  <c r="D20" i="1"/>
  <c r="G20" i="1"/>
  <c r="G20" i="34" s="1"/>
  <c r="C21" i="1"/>
  <c r="D21" i="1"/>
  <c r="G21" i="1"/>
  <c r="G21" i="34" s="1"/>
  <c r="C22" i="1"/>
  <c r="D22" i="1"/>
  <c r="G22" i="1"/>
  <c r="G22" i="34" s="1"/>
  <c r="C23" i="1"/>
  <c r="D23" i="1"/>
  <c r="G23" i="1"/>
  <c r="G23" i="34" s="1"/>
  <c r="C24" i="1"/>
  <c r="D24" i="1"/>
  <c r="G24" i="1"/>
  <c r="G24" i="34" s="1"/>
  <c r="C25" i="1"/>
  <c r="D25" i="1"/>
  <c r="G25" i="1"/>
  <c r="G25" i="34" s="1"/>
  <c r="C26" i="1"/>
  <c r="D26" i="1"/>
  <c r="G26" i="1"/>
  <c r="G26" i="34" s="1"/>
  <c r="C27" i="1"/>
  <c r="D27" i="1"/>
  <c r="G27" i="1"/>
  <c r="G27" i="34" s="1"/>
  <c r="C28" i="1"/>
  <c r="D28" i="1"/>
  <c r="G28" i="1"/>
  <c r="G28" i="34" s="1"/>
  <c r="C29" i="1"/>
  <c r="D29" i="1"/>
  <c r="G29" i="1"/>
  <c r="G29" i="34" s="1"/>
  <c r="C30" i="1"/>
  <c r="D30" i="1"/>
  <c r="G30" i="1"/>
  <c r="G30" i="34" s="1"/>
  <c r="C31" i="1"/>
  <c r="D31" i="1"/>
  <c r="G31" i="1"/>
  <c r="G31" i="34" s="1"/>
  <c r="C32" i="1"/>
  <c r="D32" i="1"/>
  <c r="G32" i="1"/>
  <c r="G32" i="34" s="1"/>
  <c r="C33" i="1"/>
  <c r="D33" i="1"/>
  <c r="G33" i="1"/>
  <c r="G33" i="34" s="1"/>
  <c r="C34" i="1"/>
  <c r="D34" i="1"/>
  <c r="G34" i="1"/>
  <c r="G34" i="34" s="1"/>
  <c r="C35" i="1"/>
  <c r="D35" i="1"/>
  <c r="G35" i="1"/>
  <c r="G35" i="34" s="1"/>
  <c r="C36" i="1"/>
  <c r="D36" i="1"/>
  <c r="G36" i="1"/>
  <c r="G36" i="34" s="1"/>
  <c r="C37" i="1"/>
  <c r="D37" i="1"/>
  <c r="G37" i="1"/>
  <c r="G37" i="34" s="1"/>
  <c r="C38" i="1"/>
  <c r="D38" i="1"/>
  <c r="G38" i="1"/>
  <c r="G38" i="34" s="1"/>
  <c r="C39" i="1"/>
  <c r="D39" i="1"/>
  <c r="G39" i="1"/>
  <c r="G39" i="34" s="1"/>
  <c r="C40" i="1"/>
  <c r="D40" i="1"/>
  <c r="G40" i="1"/>
  <c r="G40" i="34" s="1"/>
  <c r="C41" i="1"/>
  <c r="D41" i="1"/>
  <c r="G41" i="1"/>
  <c r="G41" i="34" s="1"/>
  <c r="C42" i="1"/>
  <c r="D42" i="1"/>
  <c r="G42" i="1"/>
  <c r="G42" i="34" s="1"/>
  <c r="C43" i="1"/>
  <c r="D43" i="1"/>
  <c r="G43" i="1"/>
  <c r="G43" i="34" s="1"/>
  <c r="C44" i="1"/>
  <c r="D44" i="1"/>
  <c r="G44" i="1"/>
  <c r="G44" i="34" s="1"/>
  <c r="C45" i="1"/>
  <c r="D45" i="1"/>
  <c r="G45" i="1"/>
  <c r="G45" i="34" s="1"/>
  <c r="C46" i="1"/>
  <c r="D46" i="1"/>
  <c r="G46" i="1"/>
  <c r="G46" i="34" s="1"/>
  <c r="C47" i="1"/>
  <c r="D47" i="1"/>
  <c r="G47" i="1"/>
  <c r="G47" i="34" s="1"/>
  <c r="C48" i="1"/>
  <c r="D48" i="1"/>
  <c r="G48" i="1"/>
  <c r="G48" i="34" s="1"/>
  <c r="C49" i="1"/>
  <c r="D49" i="1"/>
  <c r="G49" i="1"/>
  <c r="G49" i="34" s="1"/>
  <c r="C50" i="1"/>
  <c r="D50" i="1"/>
  <c r="G50" i="1"/>
  <c r="G50" i="34" s="1"/>
  <c r="C51" i="1"/>
  <c r="D51" i="1"/>
  <c r="G51" i="1"/>
  <c r="G51" i="34" s="1"/>
  <c r="C52" i="1"/>
  <c r="D52" i="1"/>
  <c r="G52" i="1"/>
  <c r="G52" i="34" s="1"/>
  <c r="C53" i="1"/>
  <c r="D53" i="1"/>
  <c r="G53" i="1"/>
  <c r="G53" i="34" s="1"/>
  <c r="C54" i="1"/>
  <c r="D54" i="1"/>
  <c r="G54" i="1"/>
  <c r="G54" i="34" s="1"/>
  <c r="C55" i="1"/>
  <c r="D55" i="1"/>
  <c r="G55" i="1"/>
  <c r="G55" i="34" s="1"/>
  <c r="C56" i="1"/>
  <c r="D56" i="1"/>
  <c r="G56" i="1"/>
  <c r="G56" i="34" s="1"/>
  <c r="C57" i="1"/>
  <c r="D57" i="1"/>
  <c r="G57" i="1"/>
  <c r="G57" i="34" s="1"/>
  <c r="C58" i="1"/>
  <c r="D58" i="1"/>
  <c r="G58" i="1"/>
  <c r="G58" i="34" s="1"/>
  <c r="C59" i="1"/>
  <c r="D59" i="1"/>
  <c r="G59" i="1"/>
  <c r="G59" i="34" s="1"/>
  <c r="C60" i="1"/>
  <c r="D60" i="1"/>
  <c r="G60" i="1"/>
  <c r="G60" i="34" s="1"/>
  <c r="C61" i="1"/>
  <c r="D61" i="1"/>
  <c r="G61" i="1"/>
  <c r="G61" i="34" s="1"/>
  <c r="C62" i="1"/>
  <c r="D62" i="1"/>
  <c r="G62" i="1"/>
  <c r="G62" i="34" s="1"/>
  <c r="C63" i="1"/>
  <c r="D63" i="1"/>
  <c r="G63" i="1"/>
  <c r="G63" i="34" s="1"/>
  <c r="C64" i="1"/>
  <c r="D64" i="1"/>
  <c r="G64" i="1"/>
  <c r="G64" i="34" s="1"/>
  <c r="C65" i="1"/>
  <c r="D65" i="1"/>
  <c r="G65" i="1"/>
  <c r="G65" i="34" s="1"/>
  <c r="C66" i="1"/>
  <c r="D66" i="1"/>
  <c r="G66" i="1"/>
  <c r="G66" i="34" s="1"/>
  <c r="C67" i="1"/>
  <c r="D67" i="1"/>
  <c r="G67" i="1"/>
  <c r="G67" i="34" s="1"/>
  <c r="C68" i="1"/>
  <c r="D68" i="1"/>
  <c r="G68" i="1"/>
  <c r="G68" i="34" s="1"/>
  <c r="C69" i="1"/>
  <c r="D69" i="1"/>
  <c r="G69" i="1"/>
  <c r="G69" i="34" s="1"/>
  <c r="C70" i="1"/>
  <c r="D70" i="1"/>
  <c r="G70" i="1"/>
  <c r="G70" i="34" s="1"/>
  <c r="C71" i="1"/>
  <c r="D71" i="1"/>
  <c r="G71" i="1"/>
  <c r="G71" i="34" s="1"/>
  <c r="C72" i="1"/>
  <c r="D72" i="1"/>
  <c r="G72" i="1"/>
  <c r="G72" i="34" s="1"/>
  <c r="C73" i="1"/>
  <c r="D73" i="1"/>
  <c r="G73" i="1"/>
  <c r="G73" i="34" s="1"/>
  <c r="C74" i="1"/>
  <c r="D74" i="1"/>
  <c r="G74" i="1"/>
  <c r="G74" i="34" s="1"/>
  <c r="C75" i="1"/>
  <c r="D75" i="1"/>
  <c r="G75" i="1"/>
  <c r="G75" i="34" s="1"/>
  <c r="C76" i="1"/>
  <c r="D76" i="1"/>
  <c r="G76" i="1"/>
  <c r="G76" i="34" s="1"/>
  <c r="C77" i="1"/>
  <c r="D77" i="1"/>
  <c r="G77" i="1"/>
  <c r="G77" i="34" s="1"/>
  <c r="C78" i="1"/>
  <c r="D78" i="1"/>
  <c r="G78" i="1"/>
  <c r="G78" i="34" s="1"/>
  <c r="C79" i="1"/>
  <c r="D79" i="1"/>
  <c r="G79" i="1"/>
  <c r="G79" i="34" s="1"/>
  <c r="C80" i="1"/>
  <c r="D80" i="1"/>
  <c r="G80" i="1"/>
  <c r="G80" i="34" s="1"/>
  <c r="C81" i="1"/>
  <c r="D81" i="1"/>
  <c r="G81" i="1"/>
  <c r="G81" i="34" s="1"/>
  <c r="C82" i="1"/>
  <c r="D82" i="1"/>
  <c r="G82" i="1"/>
  <c r="G82" i="34" s="1"/>
  <c r="C83" i="1"/>
  <c r="D83" i="1"/>
  <c r="G83" i="1"/>
  <c r="G83" i="34" s="1"/>
  <c r="C84" i="1"/>
  <c r="D84" i="1"/>
  <c r="G84" i="1"/>
  <c r="G84" i="34" s="1"/>
  <c r="C85" i="1"/>
  <c r="D85" i="1"/>
  <c r="G85" i="1"/>
  <c r="G85" i="34" s="1"/>
  <c r="C86" i="1"/>
  <c r="D86" i="1"/>
  <c r="G86" i="1"/>
  <c r="G86" i="34" s="1"/>
  <c r="C87" i="1"/>
  <c r="D87" i="1"/>
  <c r="G87" i="1"/>
  <c r="G87" i="34" s="1"/>
  <c r="C88" i="1"/>
  <c r="D88" i="1"/>
  <c r="G88" i="1"/>
  <c r="G88" i="34" s="1"/>
  <c r="C89" i="1"/>
  <c r="D89" i="1"/>
  <c r="G89" i="1"/>
  <c r="G89" i="34" s="1"/>
  <c r="C90" i="1"/>
  <c r="D90" i="1"/>
  <c r="G90" i="1"/>
  <c r="G90" i="34" s="1"/>
  <c r="C91" i="1"/>
  <c r="D91" i="1"/>
  <c r="G91" i="1"/>
  <c r="G91" i="34" s="1"/>
  <c r="C92" i="1"/>
  <c r="D92" i="1"/>
  <c r="G92" i="1"/>
  <c r="G92" i="34" s="1"/>
  <c r="C93" i="1"/>
  <c r="D93" i="1"/>
  <c r="G93" i="1"/>
  <c r="G93" i="34" s="1"/>
  <c r="C94" i="1"/>
  <c r="D94" i="1"/>
  <c r="G94" i="1"/>
  <c r="G94" i="34" s="1"/>
  <c r="C95" i="1"/>
  <c r="D95" i="1"/>
  <c r="G95" i="1"/>
  <c r="G95" i="34" s="1"/>
  <c r="C96" i="1"/>
  <c r="D96" i="1"/>
  <c r="G96" i="1"/>
  <c r="G96" i="34" s="1"/>
  <c r="C97" i="1"/>
  <c r="D97" i="1"/>
  <c r="G97" i="1"/>
  <c r="G97" i="34" s="1"/>
  <c r="C98" i="1"/>
  <c r="D98" i="1"/>
  <c r="G98" i="1"/>
  <c r="G98" i="34" s="1"/>
  <c r="C99" i="1"/>
  <c r="D99" i="1"/>
  <c r="G99" i="1"/>
  <c r="G99" i="34" s="1"/>
  <c r="C100" i="1"/>
  <c r="D100" i="1"/>
  <c r="G100" i="1"/>
  <c r="G100" i="34" s="1"/>
  <c r="C101" i="1"/>
  <c r="D101" i="1"/>
  <c r="E101" i="1" s="1"/>
  <c r="F101" i="1" s="1"/>
  <c r="G101" i="1"/>
  <c r="G101" i="34" s="1"/>
  <c r="C102" i="1"/>
  <c r="D102" i="1"/>
  <c r="G102" i="1"/>
  <c r="G102" i="34" s="1"/>
  <c r="C103" i="1"/>
  <c r="D103" i="1"/>
  <c r="G103" i="1"/>
  <c r="G103" i="34" s="1"/>
  <c r="C104" i="1"/>
  <c r="D104" i="1"/>
  <c r="G104" i="1"/>
  <c r="G104" i="34" s="1"/>
  <c r="C105" i="1"/>
  <c r="D105" i="1"/>
  <c r="G105" i="1"/>
  <c r="G105" i="34" s="1"/>
  <c r="C106" i="1"/>
  <c r="D106" i="1"/>
  <c r="G106" i="1"/>
  <c r="G106" i="34" s="1"/>
  <c r="C107" i="1"/>
  <c r="D107" i="1"/>
  <c r="G107" i="1"/>
  <c r="G107" i="34" s="1"/>
  <c r="C108" i="1"/>
  <c r="D108" i="1"/>
  <c r="G108" i="1"/>
  <c r="G108" i="34" s="1"/>
  <c r="C109" i="1"/>
  <c r="D109" i="1"/>
  <c r="G109" i="1"/>
  <c r="G109" i="34" s="1"/>
  <c r="C110" i="1"/>
  <c r="D110" i="1"/>
  <c r="G110" i="1"/>
  <c r="G110" i="34" s="1"/>
  <c r="C111" i="1"/>
  <c r="D111" i="1"/>
  <c r="G111" i="1"/>
  <c r="G111" i="34" s="1"/>
  <c r="C112" i="1"/>
  <c r="D112" i="1"/>
  <c r="G112" i="1"/>
  <c r="G112" i="34" s="1"/>
  <c r="C113" i="1"/>
  <c r="D113" i="1"/>
  <c r="G113" i="1"/>
  <c r="G113" i="34" s="1"/>
  <c r="C114" i="1"/>
  <c r="D114" i="1"/>
  <c r="G114" i="1"/>
  <c r="G114" i="34" s="1"/>
  <c r="C115" i="1"/>
  <c r="D115" i="1"/>
  <c r="G115" i="1"/>
  <c r="G115" i="34" s="1"/>
  <c r="C116" i="1"/>
  <c r="D116" i="1"/>
  <c r="G116" i="1"/>
  <c r="G116" i="34" s="1"/>
  <c r="C117" i="1"/>
  <c r="D117" i="1"/>
  <c r="G117" i="1"/>
  <c r="G117" i="34" s="1"/>
  <c r="C118" i="1"/>
  <c r="D118" i="1"/>
  <c r="G118" i="1"/>
  <c r="G118" i="34" s="1"/>
  <c r="C119" i="1"/>
  <c r="D119" i="1"/>
  <c r="G119" i="1"/>
  <c r="G119" i="34" s="1"/>
  <c r="C120" i="1"/>
  <c r="D120" i="1"/>
  <c r="G120" i="1"/>
  <c r="G120" i="34" s="1"/>
  <c r="C121" i="1"/>
  <c r="D121" i="1"/>
  <c r="G121" i="1"/>
  <c r="G121" i="34" s="1"/>
  <c r="C122" i="1"/>
  <c r="D122" i="1"/>
  <c r="G122" i="1"/>
  <c r="G122" i="34" s="1"/>
  <c r="C123" i="1"/>
  <c r="D123" i="1"/>
  <c r="G123" i="1"/>
  <c r="G123" i="34" s="1"/>
  <c r="C124" i="1"/>
  <c r="D124" i="1"/>
  <c r="G124" i="1"/>
  <c r="G124" i="34" s="1"/>
  <c r="C125" i="1"/>
  <c r="D125" i="1"/>
  <c r="G125" i="1"/>
  <c r="G125" i="34" s="1"/>
  <c r="C126" i="1"/>
  <c r="D126" i="1"/>
  <c r="G126" i="1"/>
  <c r="G126" i="34" s="1"/>
  <c r="C127" i="1"/>
  <c r="D127" i="1"/>
  <c r="G127" i="1"/>
  <c r="G127" i="34" s="1"/>
  <c r="C128" i="1"/>
  <c r="D128" i="1"/>
  <c r="G128" i="1"/>
  <c r="G128" i="34" s="1"/>
  <c r="C129" i="1"/>
  <c r="D129" i="1"/>
  <c r="G129" i="1"/>
  <c r="G129" i="34" s="1"/>
  <c r="C130" i="1"/>
  <c r="D130" i="1"/>
  <c r="G130" i="1"/>
  <c r="G130" i="34" s="1"/>
  <c r="C131" i="1"/>
  <c r="D131" i="1"/>
  <c r="G131" i="1"/>
  <c r="G131" i="34" s="1"/>
  <c r="C132" i="1"/>
  <c r="D132" i="1"/>
  <c r="G132" i="1"/>
  <c r="G132" i="34" s="1"/>
  <c r="C133" i="1"/>
  <c r="D133" i="1"/>
  <c r="G133" i="1"/>
  <c r="G133" i="34" s="1"/>
  <c r="C134" i="1"/>
  <c r="D134" i="1"/>
  <c r="G134" i="1"/>
  <c r="G134" i="34" s="1"/>
  <c r="C135" i="1"/>
  <c r="D135" i="1"/>
  <c r="G135" i="1"/>
  <c r="G135" i="34" s="1"/>
  <c r="C136" i="1"/>
  <c r="D136" i="1"/>
  <c r="G136" i="1"/>
  <c r="G136" i="34" s="1"/>
  <c r="C137" i="1"/>
  <c r="D137" i="1"/>
  <c r="G137" i="1"/>
  <c r="G137" i="34" s="1"/>
  <c r="E127" i="1" l="1"/>
  <c r="F127" i="1" s="1"/>
  <c r="E19" i="1"/>
  <c r="F19" i="1" s="1"/>
  <c r="E113" i="34"/>
  <c r="F113" i="34" s="1"/>
  <c r="E25" i="34"/>
  <c r="F25" i="34" s="1"/>
  <c r="E57" i="34"/>
  <c r="F57" i="34" s="1"/>
  <c r="E53" i="34"/>
  <c r="F53" i="34" s="1"/>
  <c r="E126" i="1"/>
  <c r="F126" i="1" s="1"/>
  <c r="E112" i="34"/>
  <c r="F112" i="34" s="1"/>
  <c r="E64" i="34"/>
  <c r="F64" i="34" s="1"/>
  <c r="E40" i="34"/>
  <c r="F40" i="34" s="1"/>
  <c r="E77" i="34"/>
  <c r="F77" i="34" s="1"/>
  <c r="E33" i="34"/>
  <c r="F33" i="34" s="1"/>
  <c r="E128" i="1"/>
  <c r="F128" i="1" s="1"/>
  <c r="E65" i="34"/>
  <c r="F65" i="34" s="1"/>
  <c r="E26" i="1"/>
  <c r="F26" i="1" s="1"/>
  <c r="E114" i="34"/>
  <c r="F114" i="34" s="1"/>
  <c r="E66" i="34"/>
  <c r="F66" i="34" s="1"/>
  <c r="E46" i="34"/>
  <c r="F46" i="34" s="1"/>
  <c r="E34" i="34"/>
  <c r="F34" i="34" s="1"/>
  <c r="E18" i="34"/>
  <c r="F18" i="34" s="1"/>
  <c r="E70" i="1"/>
  <c r="F70" i="1" s="1"/>
  <c r="E127" i="34"/>
  <c r="F127" i="34" s="1"/>
  <c r="E36" i="1"/>
  <c r="F36" i="1" s="1"/>
  <c r="E125" i="34"/>
  <c r="F125" i="34" s="1"/>
  <c r="E105" i="1"/>
  <c r="F105" i="1" s="1"/>
  <c r="E97" i="1"/>
  <c r="F97" i="1" s="1"/>
  <c r="E73" i="1"/>
  <c r="F73" i="1" s="1"/>
  <c r="E65" i="1"/>
  <c r="F65" i="1" s="1"/>
  <c r="E54" i="1"/>
  <c r="F54" i="1" s="1"/>
  <c r="E46" i="1"/>
  <c r="F46" i="1" s="1"/>
  <c r="E38" i="1"/>
  <c r="F38" i="1" s="1"/>
  <c r="E112" i="1"/>
  <c r="F112" i="1" s="1"/>
  <c r="E72" i="1"/>
  <c r="F72" i="1" s="1"/>
  <c r="E64" i="1"/>
  <c r="F64" i="1" s="1"/>
  <c r="E24" i="1"/>
  <c r="F24" i="1" s="1"/>
  <c r="E123" i="34"/>
  <c r="F123" i="34" s="1"/>
  <c r="E53" i="1"/>
  <c r="F53" i="1" s="1"/>
  <c r="E45" i="1"/>
  <c r="F45" i="1" s="1"/>
  <c r="E55" i="34"/>
  <c r="F55" i="34" s="1"/>
  <c r="E51" i="34"/>
  <c r="F51" i="34" s="1"/>
  <c r="E35" i="34"/>
  <c r="F35" i="34" s="1"/>
  <c r="E23" i="34"/>
  <c r="F23" i="34" s="1"/>
  <c r="E19" i="34"/>
  <c r="F19" i="34" s="1"/>
  <c r="E23" i="1"/>
  <c r="F23" i="1" s="1"/>
  <c r="E124" i="1"/>
  <c r="F124" i="1" s="1"/>
  <c r="E68" i="1"/>
  <c r="F68" i="1" s="1"/>
  <c r="E63" i="1"/>
  <c r="F63" i="1" s="1"/>
  <c r="E55" i="1"/>
  <c r="F55" i="1" s="1"/>
  <c r="E50" i="1"/>
  <c r="F50" i="1" s="1"/>
  <c r="E39" i="1"/>
  <c r="F39" i="1" s="1"/>
  <c r="E37" i="1"/>
  <c r="F37" i="1" s="1"/>
  <c r="E29" i="1"/>
  <c r="F29" i="1" s="1"/>
  <c r="E21" i="1"/>
  <c r="F21" i="1" s="1"/>
  <c r="E135" i="34"/>
  <c r="F135" i="34" s="1"/>
  <c r="E131" i="34"/>
  <c r="F131" i="34" s="1"/>
  <c r="E73" i="34"/>
  <c r="F73" i="34" s="1"/>
  <c r="E47" i="34"/>
  <c r="F47" i="34" s="1"/>
  <c r="E39" i="34"/>
  <c r="F39" i="34" s="1"/>
  <c r="E31" i="34"/>
  <c r="F31" i="34" s="1"/>
  <c r="E52" i="1"/>
  <c r="F52" i="1" s="1"/>
  <c r="E123" i="1"/>
  <c r="F123" i="1" s="1"/>
  <c r="E67" i="1"/>
  <c r="F67" i="1" s="1"/>
  <c r="E27" i="34"/>
  <c r="F27" i="34" s="1"/>
  <c r="E25" i="1"/>
  <c r="F25" i="1" s="1"/>
  <c r="E71" i="34"/>
  <c r="F71" i="34" s="1"/>
  <c r="E56" i="34"/>
  <c r="F56" i="34" s="1"/>
  <c r="E117" i="1"/>
  <c r="F117" i="1" s="1"/>
  <c r="E56" i="1"/>
  <c r="F56" i="1" s="1"/>
  <c r="E51" i="1"/>
  <c r="F51" i="1" s="1"/>
  <c r="E26" i="34"/>
  <c r="F26" i="34" s="1"/>
  <c r="E111" i="1"/>
  <c r="F111" i="1" s="1"/>
  <c r="E66" i="1"/>
  <c r="F66" i="1" s="1"/>
  <c r="E61" i="1"/>
  <c r="F61" i="1" s="1"/>
  <c r="E40" i="1"/>
  <c r="F40" i="1" s="1"/>
  <c r="E35" i="1"/>
  <c r="F35" i="1" s="1"/>
  <c r="E128" i="34"/>
  <c r="F128" i="34" s="1"/>
  <c r="E124" i="34"/>
  <c r="F124" i="34" s="1"/>
  <c r="E133" i="1"/>
  <c r="F133" i="1" s="1"/>
  <c r="E113" i="1"/>
  <c r="F113" i="1" s="1"/>
  <c r="E84" i="1"/>
  <c r="F84" i="1" s="1"/>
  <c r="E48" i="1"/>
  <c r="F48" i="1" s="1"/>
  <c r="E33" i="1"/>
  <c r="F33" i="1" s="1"/>
  <c r="E30" i="1"/>
  <c r="F30" i="1" s="1"/>
  <c r="E137" i="34"/>
  <c r="F137" i="34" s="1"/>
  <c r="E91" i="34"/>
  <c r="F91" i="34" s="1"/>
  <c r="E79" i="34"/>
  <c r="F79" i="34" s="1"/>
  <c r="E70" i="34"/>
  <c r="F70" i="34" s="1"/>
  <c r="E49" i="34"/>
  <c r="F49" i="34" s="1"/>
  <c r="E20" i="1"/>
  <c r="F20" i="1" s="1"/>
  <c r="E134" i="34"/>
  <c r="F134" i="34" s="1"/>
  <c r="E121" i="34"/>
  <c r="F121" i="34" s="1"/>
  <c r="E115" i="34"/>
  <c r="F115" i="34" s="1"/>
  <c r="E72" i="34"/>
  <c r="F72" i="34" s="1"/>
  <c r="E67" i="34"/>
  <c r="F67" i="34" s="1"/>
  <c r="E59" i="34"/>
  <c r="F59" i="34" s="1"/>
  <c r="E54" i="34"/>
  <c r="F54" i="34" s="1"/>
  <c r="E130" i="1"/>
  <c r="F130" i="1" s="1"/>
  <c r="E115" i="1"/>
  <c r="F115" i="1" s="1"/>
  <c r="E102" i="1"/>
  <c r="F102" i="1" s="1"/>
  <c r="E135" i="1"/>
  <c r="F135" i="1" s="1"/>
  <c r="E125" i="1"/>
  <c r="F125" i="1" s="1"/>
  <c r="E99" i="1"/>
  <c r="F99" i="1" s="1"/>
  <c r="E96" i="1"/>
  <c r="F96" i="1" s="1"/>
  <c r="E91" i="1"/>
  <c r="F91" i="1" s="1"/>
  <c r="E88" i="1"/>
  <c r="F88" i="1" s="1"/>
  <c r="E57" i="1"/>
  <c r="F57" i="1" s="1"/>
  <c r="E42" i="1"/>
  <c r="F42" i="1" s="1"/>
  <c r="E32" i="1"/>
  <c r="F32" i="1" s="1"/>
  <c r="E27" i="1"/>
  <c r="F27" i="1" s="1"/>
  <c r="E133" i="34"/>
  <c r="F133" i="34" s="1"/>
  <c r="E126" i="34"/>
  <c r="F126" i="34" s="1"/>
  <c r="E117" i="34"/>
  <c r="F117" i="34" s="1"/>
  <c r="E102" i="34"/>
  <c r="F102" i="34" s="1"/>
  <c r="E74" i="34"/>
  <c r="F74" i="34" s="1"/>
  <c r="E61" i="34"/>
  <c r="F61" i="34" s="1"/>
  <c r="E48" i="34"/>
  <c r="F48" i="34" s="1"/>
  <c r="E43" i="34"/>
  <c r="F43" i="34" s="1"/>
  <c r="E38" i="34"/>
  <c r="F38" i="34" s="1"/>
  <c r="E137" i="1"/>
  <c r="F137" i="1" s="1"/>
  <c r="E114" i="1"/>
  <c r="F114" i="1" s="1"/>
  <c r="E109" i="1"/>
  <c r="F109" i="1" s="1"/>
  <c r="E82" i="1"/>
  <c r="F82" i="1" s="1"/>
  <c r="E69" i="1"/>
  <c r="F69" i="1" s="1"/>
  <c r="E59" i="1"/>
  <c r="F59" i="1" s="1"/>
  <c r="E49" i="1"/>
  <c r="F49" i="1" s="1"/>
  <c r="E44" i="1"/>
  <c r="F44" i="1" s="1"/>
  <c r="E34" i="1"/>
  <c r="F34" i="1" s="1"/>
  <c r="E130" i="34"/>
  <c r="F130" i="34" s="1"/>
  <c r="E116" i="34"/>
  <c r="F116" i="34" s="1"/>
  <c r="E111" i="34"/>
  <c r="F111" i="34" s="1"/>
  <c r="E50" i="34"/>
  <c r="F50" i="34" s="1"/>
  <c r="E45" i="34"/>
  <c r="F45" i="34" s="1"/>
  <c r="E32" i="34"/>
  <c r="F32" i="34" s="1"/>
  <c r="E24" i="34"/>
  <c r="F24" i="34" s="1"/>
  <c r="E79" i="1"/>
  <c r="F79" i="1" s="1"/>
  <c r="E71" i="1"/>
  <c r="F71" i="1" s="1"/>
  <c r="E42" i="34"/>
  <c r="F42" i="34" s="1"/>
  <c r="E29" i="34"/>
  <c r="F29" i="34" s="1"/>
  <c r="E21" i="34"/>
  <c r="F21" i="34" s="1"/>
  <c r="E131" i="1"/>
  <c r="F131" i="1" s="1"/>
  <c r="E116" i="1"/>
  <c r="F116" i="1" s="1"/>
  <c r="E28" i="1"/>
  <c r="F28" i="1" s="1"/>
  <c r="E30" i="34"/>
  <c r="F30" i="34" s="1"/>
  <c r="E41" i="1"/>
  <c r="F41" i="1" s="1"/>
  <c r="E41" i="34"/>
  <c r="F41" i="34" s="1"/>
  <c r="E37" i="34"/>
  <c r="F37" i="34" s="1"/>
  <c r="E43" i="1"/>
  <c r="F43" i="1" s="1"/>
  <c r="E60" i="1"/>
  <c r="F60" i="1" s="1"/>
  <c r="E63" i="34"/>
  <c r="F63" i="34" s="1"/>
  <c r="E62" i="34"/>
  <c r="F62" i="34" s="1"/>
  <c r="E62" i="1"/>
  <c r="F62" i="1" s="1"/>
  <c r="E69" i="34"/>
  <c r="F69" i="34" s="1"/>
  <c r="E119" i="34"/>
  <c r="F119" i="34" s="1"/>
  <c r="E118" i="1"/>
  <c r="F118" i="1" s="1"/>
  <c r="E136" i="1"/>
  <c r="F136" i="1" s="1"/>
  <c r="E136" i="34"/>
  <c r="F136" i="34" s="1"/>
  <c r="E134" i="1"/>
  <c r="F134" i="1" s="1"/>
  <c r="E132" i="1"/>
  <c r="F132" i="1" s="1"/>
  <c r="E129" i="1"/>
  <c r="F129" i="1" s="1"/>
  <c r="E129" i="34"/>
  <c r="F129" i="34" s="1"/>
  <c r="E122" i="34"/>
  <c r="F122" i="34" s="1"/>
  <c r="E122" i="1"/>
  <c r="F122" i="1" s="1"/>
  <c r="E121" i="1"/>
  <c r="F121" i="1" s="1"/>
  <c r="E120" i="1"/>
  <c r="F120" i="1" s="1"/>
  <c r="E120" i="34"/>
  <c r="F120" i="34" s="1"/>
  <c r="E118" i="34"/>
  <c r="F118" i="34" s="1"/>
  <c r="E58" i="34"/>
  <c r="F58" i="34" s="1"/>
  <c r="E58" i="1"/>
  <c r="F58" i="1" s="1"/>
  <c r="E18" i="1"/>
  <c r="F18" i="1" s="1"/>
  <c r="E22" i="1"/>
  <c r="F22" i="1" s="1"/>
  <c r="E22" i="34"/>
  <c r="F22" i="34" s="1"/>
  <c r="E110" i="1"/>
  <c r="F110" i="1" s="1"/>
  <c r="E110" i="34"/>
  <c r="F110" i="34" s="1"/>
  <c r="E109" i="34"/>
  <c r="F109" i="34" s="1"/>
  <c r="E108" i="1"/>
  <c r="F108" i="1" s="1"/>
  <c r="E107" i="1"/>
  <c r="F107" i="1" s="1"/>
  <c r="E107" i="34"/>
  <c r="F107" i="34" s="1"/>
  <c r="E106" i="34"/>
  <c r="F106" i="34" s="1"/>
  <c r="E105" i="34"/>
  <c r="F105" i="34" s="1"/>
  <c r="E104" i="1"/>
  <c r="F104" i="1" s="1"/>
  <c r="E104" i="34"/>
  <c r="F104" i="34" s="1"/>
  <c r="E103" i="34"/>
  <c r="F103" i="34" s="1"/>
  <c r="E101" i="34"/>
  <c r="F101" i="34" s="1"/>
  <c r="E100" i="1"/>
  <c r="F100" i="1" s="1"/>
  <c r="E99" i="34"/>
  <c r="F99" i="34" s="1"/>
  <c r="E98" i="34"/>
  <c r="F98" i="34" s="1"/>
  <c r="E97" i="34"/>
  <c r="F97" i="34" s="1"/>
  <c r="E96" i="34"/>
  <c r="F96" i="34" s="1"/>
  <c r="E95" i="34"/>
  <c r="F95" i="34" s="1"/>
  <c r="E94" i="1"/>
  <c r="F94" i="1" s="1"/>
  <c r="E94" i="34"/>
  <c r="F94" i="34" s="1"/>
  <c r="E93" i="1"/>
  <c r="F93" i="1" s="1"/>
  <c r="E93" i="34"/>
  <c r="F93" i="34" s="1"/>
  <c r="E92" i="1"/>
  <c r="F92" i="1" s="1"/>
  <c r="E88" i="34"/>
  <c r="F88" i="34" s="1"/>
  <c r="E90" i="34"/>
  <c r="F90" i="34" s="1"/>
  <c r="E86" i="1"/>
  <c r="F86" i="1" s="1"/>
  <c r="E87" i="34"/>
  <c r="F87" i="34" s="1"/>
  <c r="E89" i="34"/>
  <c r="F89" i="34" s="1"/>
  <c r="E86" i="34"/>
  <c r="F86" i="34" s="1"/>
  <c r="E89" i="1"/>
  <c r="F89" i="1" s="1"/>
  <c r="E95" i="1"/>
  <c r="F95" i="1" s="1"/>
  <c r="E92" i="34"/>
  <c r="F92" i="34" s="1"/>
  <c r="E87" i="1"/>
  <c r="F87" i="1" s="1"/>
  <c r="E85" i="1"/>
  <c r="F85" i="1" s="1"/>
  <c r="E85" i="34"/>
  <c r="F85" i="34" s="1"/>
  <c r="E119" i="1"/>
  <c r="F119" i="1" s="1"/>
  <c r="E90" i="1"/>
  <c r="F90" i="1" s="1"/>
  <c r="E31" i="1"/>
  <c r="F31" i="1" s="1"/>
  <c r="E84" i="34"/>
  <c r="F84" i="34" s="1"/>
  <c r="E60" i="34"/>
  <c r="F60" i="34" s="1"/>
  <c r="E44" i="34"/>
  <c r="F44" i="34" s="1"/>
  <c r="E28" i="34"/>
  <c r="F28" i="34" s="1"/>
  <c r="E74" i="1"/>
  <c r="F74" i="1" s="1"/>
  <c r="E132" i="34"/>
  <c r="F132" i="34" s="1"/>
  <c r="E47" i="1"/>
  <c r="F47" i="1" s="1"/>
  <c r="E68" i="34"/>
  <c r="F68" i="34" s="1"/>
  <c r="E52" i="34"/>
  <c r="F52" i="34" s="1"/>
  <c r="E36" i="34"/>
  <c r="F36" i="34" s="1"/>
  <c r="E20" i="34"/>
  <c r="F20" i="34" s="1"/>
  <c r="E75" i="34"/>
  <c r="F75" i="34" s="1"/>
  <c r="E75" i="1"/>
  <c r="F75" i="1" s="1"/>
  <c r="E76" i="1"/>
  <c r="F76" i="1" s="1"/>
  <c r="E77" i="1"/>
  <c r="F77" i="1" s="1"/>
  <c r="E83" i="34"/>
  <c r="F83" i="34" s="1"/>
  <c r="E83" i="1"/>
  <c r="F83" i="1" s="1"/>
  <c r="E82" i="34"/>
  <c r="F82" i="34" s="1"/>
  <c r="E80" i="34"/>
  <c r="F80" i="34" s="1"/>
  <c r="E81" i="1"/>
  <c r="F81" i="1" s="1"/>
  <c r="E81" i="34"/>
  <c r="F81" i="34" s="1"/>
  <c r="E80" i="1"/>
  <c r="F80" i="1" s="1"/>
  <c r="E76" i="34"/>
  <c r="F76" i="34" s="1"/>
  <c r="E78" i="1"/>
  <c r="F78" i="1" s="1"/>
  <c r="E78" i="34"/>
  <c r="F78" i="34" s="1"/>
  <c r="E100" i="34"/>
  <c r="F100" i="34" s="1"/>
  <c r="E106" i="1"/>
  <c r="F106" i="1" s="1"/>
  <c r="E108" i="34"/>
  <c r="F108" i="34" s="1"/>
  <c r="E103" i="1"/>
  <c r="F103" i="1" s="1"/>
  <c r="E98" i="1"/>
  <c r="F98" i="1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 s="1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H34" i="3"/>
  <c r="I34" i="3" s="1"/>
  <c r="E35" i="3"/>
  <c r="F35" i="3" s="1"/>
  <c r="H35" i="3"/>
  <c r="I35" i="3" s="1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39" i="3"/>
  <c r="F39" i="3" s="1"/>
  <c r="H39" i="3"/>
  <c r="I39" i="3" s="1"/>
  <c r="E40" i="3"/>
  <c r="F40" i="3" s="1"/>
  <c r="H40" i="3"/>
  <c r="I40" i="3" s="1"/>
  <c r="E41" i="3"/>
  <c r="F41" i="3" s="1"/>
  <c r="H41" i="3"/>
  <c r="I41" i="3" s="1"/>
  <c r="E42" i="3"/>
  <c r="F42" i="3" s="1"/>
  <c r="H42" i="3"/>
  <c r="I42" i="3" s="1"/>
  <c r="E43" i="3"/>
  <c r="F43" i="3" s="1"/>
  <c r="H43" i="3"/>
  <c r="I43" i="3" s="1"/>
  <c r="E44" i="3"/>
  <c r="F44" i="3" s="1"/>
  <c r="H44" i="3"/>
  <c r="I44" i="3" s="1"/>
  <c r="E45" i="3"/>
  <c r="F45" i="3" s="1"/>
  <c r="H45" i="3"/>
  <c r="I45" i="3" s="1"/>
  <c r="E46" i="3"/>
  <c r="F46" i="3" s="1"/>
  <c r="H46" i="3"/>
  <c r="I46" i="3" s="1"/>
  <c r="E47" i="3"/>
  <c r="F47" i="3" s="1"/>
  <c r="H47" i="3"/>
  <c r="I47" i="3" s="1"/>
  <c r="E48" i="3"/>
  <c r="F48" i="3" s="1"/>
  <c r="H48" i="3"/>
  <c r="I48" i="3" s="1"/>
  <c r="E49" i="3"/>
  <c r="F49" i="3" s="1"/>
  <c r="H49" i="3"/>
  <c r="I49" i="3" s="1"/>
  <c r="E50" i="3"/>
  <c r="F50" i="3" s="1"/>
  <c r="H50" i="3"/>
  <c r="I50" i="3" s="1"/>
  <c r="E51" i="3"/>
  <c r="F51" i="3" s="1"/>
  <c r="H51" i="3"/>
  <c r="I51" i="3" s="1"/>
  <c r="E52" i="3"/>
  <c r="F52" i="3" s="1"/>
  <c r="H52" i="3"/>
  <c r="I52" i="3" s="1"/>
  <c r="E53" i="3"/>
  <c r="F53" i="3" s="1"/>
  <c r="H53" i="3"/>
  <c r="I53" i="3" s="1"/>
  <c r="E54" i="3"/>
  <c r="F54" i="3" s="1"/>
  <c r="H54" i="3"/>
  <c r="I54" i="3" s="1"/>
  <c r="E55" i="3"/>
  <c r="F55" i="3" s="1"/>
  <c r="H55" i="3"/>
  <c r="I55" i="3" s="1"/>
  <c r="E56" i="3"/>
  <c r="F56" i="3" s="1"/>
  <c r="H56" i="3"/>
  <c r="I56" i="3" s="1"/>
  <c r="E57" i="3"/>
  <c r="F57" i="3" s="1"/>
  <c r="H57" i="3"/>
  <c r="I57" i="3" s="1"/>
  <c r="E58" i="3"/>
  <c r="F58" i="3" s="1"/>
  <c r="H58" i="3"/>
  <c r="I58" i="3" s="1"/>
  <c r="E59" i="3"/>
  <c r="F59" i="3" s="1"/>
  <c r="H59" i="3"/>
  <c r="I59" i="3" s="1"/>
  <c r="E60" i="3"/>
  <c r="F60" i="3" s="1"/>
  <c r="H60" i="3"/>
  <c r="I60" i="3" s="1"/>
  <c r="E61" i="3"/>
  <c r="F61" i="3" s="1"/>
  <c r="H61" i="3"/>
  <c r="I61" i="3" s="1"/>
  <c r="E62" i="3"/>
  <c r="F62" i="3" s="1"/>
  <c r="H62" i="3"/>
  <c r="I62" i="3" s="1"/>
  <c r="E63" i="3"/>
  <c r="F63" i="3" s="1"/>
  <c r="H63" i="3"/>
  <c r="I63" i="3" s="1"/>
  <c r="E64" i="3"/>
  <c r="F64" i="3" s="1"/>
  <c r="H64" i="3"/>
  <c r="I64" i="3" s="1"/>
  <c r="E65" i="3"/>
  <c r="F65" i="3" s="1"/>
  <c r="H65" i="3"/>
  <c r="I65" i="3" s="1"/>
  <c r="E66" i="3"/>
  <c r="F66" i="3" s="1"/>
  <c r="H66" i="3"/>
  <c r="I66" i="3" s="1"/>
  <c r="E67" i="3"/>
  <c r="F67" i="3" s="1"/>
  <c r="H67" i="3"/>
  <c r="I67" i="3" s="1"/>
  <c r="E68" i="3"/>
  <c r="F68" i="3" s="1"/>
  <c r="H68" i="3"/>
  <c r="I68" i="3" s="1"/>
  <c r="E69" i="3"/>
  <c r="F69" i="3" s="1"/>
  <c r="H69" i="3"/>
  <c r="I69" i="3" s="1"/>
  <c r="E70" i="3"/>
  <c r="F70" i="3" s="1"/>
  <c r="H70" i="3"/>
  <c r="I70" i="3" s="1"/>
  <c r="E71" i="3"/>
  <c r="F71" i="3" s="1"/>
  <c r="H71" i="3"/>
  <c r="I71" i="3" s="1"/>
  <c r="E72" i="3"/>
  <c r="F72" i="3" s="1"/>
  <c r="H72" i="3"/>
  <c r="I72" i="3" s="1"/>
  <c r="E73" i="3"/>
  <c r="F73" i="3" s="1"/>
  <c r="H73" i="3"/>
  <c r="I73" i="3" s="1"/>
  <c r="E74" i="3"/>
  <c r="F74" i="3" s="1"/>
  <c r="H74" i="3"/>
  <c r="I74" i="3" s="1"/>
  <c r="E75" i="3"/>
  <c r="F75" i="3" s="1"/>
  <c r="H75" i="3"/>
  <c r="F76" i="3"/>
  <c r="H76" i="3"/>
  <c r="E77" i="3"/>
  <c r="F77" i="3" s="1"/>
  <c r="H77" i="3"/>
  <c r="E78" i="3"/>
  <c r="F78" i="3" s="1"/>
  <c r="H78" i="3"/>
  <c r="E79" i="3"/>
  <c r="F79" i="3" s="1"/>
  <c r="H79" i="3"/>
  <c r="E80" i="3"/>
  <c r="F80" i="3" s="1"/>
  <c r="H80" i="3"/>
  <c r="E81" i="3"/>
  <c r="F81" i="3" s="1"/>
  <c r="H81" i="3"/>
  <c r="E82" i="3"/>
  <c r="F82" i="3" s="1"/>
  <c r="H82" i="3"/>
  <c r="E83" i="3"/>
  <c r="F83" i="3" s="1"/>
  <c r="H83" i="3"/>
  <c r="E84" i="3"/>
  <c r="F84" i="3" s="1"/>
  <c r="H84" i="3"/>
  <c r="E85" i="3"/>
  <c r="F85" i="3" s="1"/>
  <c r="H85" i="3"/>
  <c r="I85" i="3" s="1"/>
  <c r="E86" i="3"/>
  <c r="F86" i="3" s="1"/>
  <c r="H86" i="3"/>
  <c r="I86" i="3" s="1"/>
  <c r="E87" i="3"/>
  <c r="F87" i="3" s="1"/>
  <c r="H87" i="3"/>
  <c r="I87" i="3" s="1"/>
  <c r="E88" i="3"/>
  <c r="F88" i="3" s="1"/>
  <c r="H88" i="3"/>
  <c r="I88" i="3" s="1"/>
  <c r="E89" i="3"/>
  <c r="F89" i="3" s="1"/>
  <c r="H89" i="3"/>
  <c r="I89" i="3" s="1"/>
  <c r="E90" i="3"/>
  <c r="F90" i="3" s="1"/>
  <c r="H90" i="3"/>
  <c r="I90" i="3" s="1"/>
  <c r="E91" i="3"/>
  <c r="F91" i="3" s="1"/>
  <c r="H91" i="3"/>
  <c r="I91" i="3" s="1"/>
  <c r="E92" i="3"/>
  <c r="F92" i="3" s="1"/>
  <c r="H92" i="3"/>
  <c r="I92" i="3" s="1"/>
  <c r="E93" i="3"/>
  <c r="F93" i="3" s="1"/>
  <c r="H93" i="3"/>
  <c r="I93" i="3" s="1"/>
  <c r="E94" i="3"/>
  <c r="F94" i="3" s="1"/>
  <c r="H94" i="3"/>
  <c r="I94" i="3" s="1"/>
  <c r="E95" i="3"/>
  <c r="F95" i="3" s="1"/>
  <c r="H95" i="3"/>
  <c r="I95" i="3" s="1"/>
  <c r="E96" i="3"/>
  <c r="F96" i="3" s="1"/>
  <c r="H96" i="3"/>
  <c r="I96" i="3" s="1"/>
  <c r="E97" i="3"/>
  <c r="F97" i="3" s="1"/>
  <c r="H97" i="3"/>
  <c r="E98" i="3"/>
  <c r="F98" i="3" s="1"/>
  <c r="H98" i="3"/>
  <c r="E99" i="3"/>
  <c r="F99" i="3" s="1"/>
  <c r="H99" i="3"/>
  <c r="E100" i="3"/>
  <c r="F100" i="3" s="1"/>
  <c r="H100" i="3"/>
  <c r="E101" i="3"/>
  <c r="F101" i="3" s="1"/>
  <c r="H101" i="3"/>
  <c r="E102" i="3"/>
  <c r="F102" i="3" s="1"/>
  <c r="H102" i="3"/>
  <c r="E103" i="3"/>
  <c r="F103" i="3" s="1"/>
  <c r="H103" i="3"/>
  <c r="E104" i="3"/>
  <c r="F104" i="3" s="1"/>
  <c r="H104" i="3"/>
  <c r="E105" i="3"/>
  <c r="F105" i="3" s="1"/>
  <c r="H105" i="3"/>
  <c r="E106" i="3"/>
  <c r="F106" i="3" s="1"/>
  <c r="H106" i="3"/>
  <c r="E107" i="3"/>
  <c r="F107" i="3" s="1"/>
  <c r="H107" i="3"/>
  <c r="E108" i="3"/>
  <c r="F108" i="3" s="1"/>
  <c r="H108" i="3"/>
  <c r="E109" i="3"/>
  <c r="F109" i="3" s="1"/>
  <c r="H109" i="3"/>
  <c r="I109" i="3" s="1"/>
  <c r="E110" i="3"/>
  <c r="F110" i="3" s="1"/>
  <c r="H110" i="3"/>
  <c r="I110" i="3" s="1"/>
  <c r="E111" i="3"/>
  <c r="F111" i="3" s="1"/>
  <c r="H111" i="3"/>
  <c r="I111" i="3" s="1"/>
  <c r="E112" i="3"/>
  <c r="F112" i="3" s="1"/>
  <c r="H112" i="3"/>
  <c r="I112" i="3" s="1"/>
  <c r="E113" i="3"/>
  <c r="F113" i="3" s="1"/>
  <c r="H113" i="3"/>
  <c r="I113" i="3" s="1"/>
  <c r="E114" i="3"/>
  <c r="F114" i="3" s="1"/>
  <c r="H114" i="3"/>
  <c r="I114" i="3" s="1"/>
  <c r="E115" i="3"/>
  <c r="F115" i="3" s="1"/>
  <c r="H115" i="3"/>
  <c r="I115" i="3" s="1"/>
  <c r="E116" i="3"/>
  <c r="F116" i="3" s="1"/>
  <c r="H116" i="3"/>
  <c r="I116" i="3" s="1"/>
  <c r="E117" i="3"/>
  <c r="F117" i="3" s="1"/>
  <c r="H117" i="3"/>
  <c r="I117" i="3" s="1"/>
  <c r="E118" i="3"/>
  <c r="F118" i="3" s="1"/>
  <c r="H118" i="3"/>
  <c r="I118" i="3" s="1"/>
  <c r="E119" i="3"/>
  <c r="F119" i="3" s="1"/>
  <c r="H119" i="3"/>
  <c r="I119" i="3" s="1"/>
  <c r="E120" i="3"/>
  <c r="F120" i="3" s="1"/>
  <c r="H120" i="3"/>
  <c r="I120" i="3" s="1"/>
  <c r="E121" i="3"/>
  <c r="F121" i="3" s="1"/>
  <c r="H121" i="3"/>
  <c r="I121" i="3" s="1"/>
  <c r="E122" i="3"/>
  <c r="F122" i="3" s="1"/>
  <c r="H122" i="3"/>
  <c r="I122" i="3" s="1"/>
  <c r="E123" i="3"/>
  <c r="F123" i="3" s="1"/>
  <c r="H123" i="3"/>
  <c r="I123" i="3" s="1"/>
  <c r="E124" i="3"/>
  <c r="F124" i="3" s="1"/>
  <c r="H124" i="3"/>
  <c r="I124" i="3" s="1"/>
  <c r="E125" i="3"/>
  <c r="F125" i="3" s="1"/>
  <c r="H125" i="3"/>
  <c r="I125" i="3" s="1"/>
  <c r="E126" i="3"/>
  <c r="F126" i="3" s="1"/>
  <c r="H126" i="3"/>
  <c r="I126" i="3" s="1"/>
  <c r="E127" i="3"/>
  <c r="F127" i="3"/>
  <c r="H127" i="3"/>
  <c r="I127" i="3" s="1"/>
  <c r="E128" i="3"/>
  <c r="F128" i="3" s="1"/>
  <c r="H128" i="3"/>
  <c r="I128" i="3" s="1"/>
  <c r="E129" i="3"/>
  <c r="F129" i="3" s="1"/>
  <c r="H129" i="3"/>
  <c r="I129" i="3" s="1"/>
  <c r="E130" i="3"/>
  <c r="F130" i="3" s="1"/>
  <c r="H130" i="3"/>
  <c r="I130" i="3" s="1"/>
  <c r="E131" i="3"/>
  <c r="F131" i="3" s="1"/>
  <c r="H131" i="3"/>
  <c r="I131" i="3" s="1"/>
  <c r="E132" i="3"/>
  <c r="F132" i="3" s="1"/>
  <c r="H132" i="3"/>
  <c r="I132" i="3" s="1"/>
  <c r="E133" i="3"/>
  <c r="F133" i="3" s="1"/>
  <c r="H133" i="3"/>
  <c r="I133" i="3" s="1"/>
  <c r="E134" i="3"/>
  <c r="F134" i="3" s="1"/>
  <c r="H134" i="3"/>
  <c r="I134" i="3" s="1"/>
  <c r="E135" i="3"/>
  <c r="F135" i="3" s="1"/>
  <c r="H135" i="3"/>
  <c r="I135" i="3" s="1"/>
  <c r="E136" i="3"/>
  <c r="F136" i="3" s="1"/>
  <c r="H136" i="3"/>
  <c r="I136" i="3" s="1"/>
  <c r="E137" i="3"/>
  <c r="F137" i="3" s="1"/>
  <c r="H137" i="3"/>
  <c r="I137" i="3" s="1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H39" i="72"/>
  <c r="H40" i="72"/>
  <c r="H41" i="72"/>
  <c r="H42" i="72"/>
  <c r="H43" i="72"/>
  <c r="H44" i="72"/>
  <c r="H45" i="72"/>
  <c r="H46" i="72"/>
  <c r="H47" i="72"/>
  <c r="H48" i="72"/>
  <c r="H49" i="72"/>
  <c r="H50" i="72"/>
  <c r="H51" i="72"/>
  <c r="H52" i="72"/>
  <c r="H53" i="72"/>
  <c r="H54" i="72"/>
  <c r="H55" i="72"/>
  <c r="H56" i="72"/>
  <c r="H57" i="72"/>
  <c r="H58" i="72"/>
  <c r="H59" i="72"/>
  <c r="H60" i="72"/>
  <c r="H61" i="72"/>
  <c r="H62" i="72"/>
  <c r="H63" i="72"/>
  <c r="H64" i="72"/>
  <c r="H65" i="72"/>
  <c r="H66" i="72"/>
  <c r="H67" i="72"/>
  <c r="H68" i="72"/>
  <c r="H69" i="72"/>
  <c r="H70" i="72"/>
  <c r="H71" i="72"/>
  <c r="H72" i="72"/>
  <c r="H73" i="72"/>
  <c r="H74" i="72"/>
  <c r="H75" i="72"/>
  <c r="I75" i="72" s="1"/>
  <c r="H76" i="72"/>
  <c r="I76" i="72" s="1"/>
  <c r="H77" i="72"/>
  <c r="I77" i="72" s="1"/>
  <c r="H78" i="72"/>
  <c r="I78" i="72" s="1"/>
  <c r="H79" i="72"/>
  <c r="I79" i="72" s="1"/>
  <c r="H80" i="72"/>
  <c r="I80" i="72" s="1"/>
  <c r="H81" i="72"/>
  <c r="I81" i="72" s="1"/>
  <c r="H82" i="72"/>
  <c r="I82" i="72" s="1"/>
  <c r="H83" i="72"/>
  <c r="I83" i="72" s="1"/>
  <c r="H84" i="72"/>
  <c r="I84" i="72" s="1"/>
  <c r="H85" i="72"/>
  <c r="H86" i="72"/>
  <c r="H87" i="72"/>
  <c r="H88" i="72"/>
  <c r="H89" i="72"/>
  <c r="H90" i="72"/>
  <c r="H91" i="72"/>
  <c r="H92" i="72"/>
  <c r="H93" i="72"/>
  <c r="H94" i="72"/>
  <c r="H95" i="72"/>
  <c r="H96" i="72"/>
  <c r="H97" i="72"/>
  <c r="I97" i="72" s="1"/>
  <c r="H98" i="72"/>
  <c r="I98" i="72" s="1"/>
  <c r="H99" i="72"/>
  <c r="I99" i="72" s="1"/>
  <c r="H100" i="72"/>
  <c r="I100" i="72" s="1"/>
  <c r="H101" i="72"/>
  <c r="I101" i="72" s="1"/>
  <c r="H102" i="72"/>
  <c r="I102" i="72" s="1"/>
  <c r="H103" i="72"/>
  <c r="I103" i="72" s="1"/>
  <c r="H104" i="72"/>
  <c r="I104" i="72" s="1"/>
  <c r="H105" i="72"/>
  <c r="I105" i="72" s="1"/>
  <c r="H106" i="72"/>
  <c r="I106" i="72" s="1"/>
  <c r="H107" i="72"/>
  <c r="I107" i="72" s="1"/>
  <c r="H108" i="72"/>
  <c r="I108" i="72" s="1"/>
  <c r="H109" i="72"/>
  <c r="H110" i="72"/>
  <c r="H111" i="72"/>
  <c r="H112" i="72"/>
  <c r="H113" i="72"/>
  <c r="H114" i="72"/>
  <c r="H115" i="72"/>
  <c r="H116" i="72"/>
  <c r="H117" i="72"/>
  <c r="H118" i="72"/>
  <c r="H119" i="72"/>
  <c r="H120" i="72"/>
  <c r="H121" i="72"/>
  <c r="H122" i="72"/>
  <c r="H123" i="72"/>
  <c r="H124" i="72"/>
  <c r="H125" i="72"/>
  <c r="H126" i="72"/>
  <c r="H127" i="72"/>
  <c r="H128" i="72"/>
  <c r="H129" i="72"/>
  <c r="H130" i="72"/>
  <c r="H131" i="72"/>
  <c r="H132" i="72"/>
  <c r="H133" i="72"/>
  <c r="H134" i="72"/>
  <c r="H135" i="72"/>
  <c r="H136" i="72"/>
  <c r="H137" i="72"/>
  <c r="F26" i="72"/>
  <c r="F58" i="72"/>
  <c r="E22" i="72"/>
  <c r="F22" i="72" s="1"/>
  <c r="E23" i="72"/>
  <c r="F23" i="72" s="1"/>
  <c r="E24" i="72"/>
  <c r="F24" i="72" s="1"/>
  <c r="E25" i="72"/>
  <c r="F25" i="72" s="1"/>
  <c r="E26" i="72"/>
  <c r="E27" i="72"/>
  <c r="F27" i="72" s="1"/>
  <c r="E28" i="72"/>
  <c r="F28" i="72" s="1"/>
  <c r="E29" i="72"/>
  <c r="F29" i="72" s="1"/>
  <c r="E30" i="72"/>
  <c r="F30" i="72" s="1"/>
  <c r="E31" i="72"/>
  <c r="F31" i="72" s="1"/>
  <c r="E32" i="72"/>
  <c r="F32" i="72" s="1"/>
  <c r="E33" i="72"/>
  <c r="F33" i="72" s="1"/>
  <c r="E34" i="72"/>
  <c r="F34" i="72" s="1"/>
  <c r="E35" i="72"/>
  <c r="F35" i="72" s="1"/>
  <c r="E36" i="72"/>
  <c r="F36" i="72" s="1"/>
  <c r="E37" i="72"/>
  <c r="F37" i="72" s="1"/>
  <c r="E38" i="72"/>
  <c r="F38" i="72" s="1"/>
  <c r="E39" i="72"/>
  <c r="F39" i="72" s="1"/>
  <c r="E40" i="72"/>
  <c r="F40" i="72" s="1"/>
  <c r="E41" i="72"/>
  <c r="F41" i="72" s="1"/>
  <c r="E42" i="72"/>
  <c r="F42" i="72" s="1"/>
  <c r="E43" i="72"/>
  <c r="F43" i="72" s="1"/>
  <c r="E44" i="72"/>
  <c r="F44" i="72" s="1"/>
  <c r="E45" i="72"/>
  <c r="F45" i="72" s="1"/>
  <c r="E46" i="72"/>
  <c r="F46" i="72" s="1"/>
  <c r="E47" i="72"/>
  <c r="F47" i="72" s="1"/>
  <c r="E48" i="72"/>
  <c r="F48" i="72" s="1"/>
  <c r="E49" i="72"/>
  <c r="F49" i="72" s="1"/>
  <c r="E50" i="72"/>
  <c r="F50" i="72" s="1"/>
  <c r="E51" i="72"/>
  <c r="F51" i="72" s="1"/>
  <c r="E52" i="72"/>
  <c r="F52" i="72" s="1"/>
  <c r="E53" i="72"/>
  <c r="F53" i="72" s="1"/>
  <c r="E54" i="72"/>
  <c r="F54" i="72" s="1"/>
  <c r="E55" i="72"/>
  <c r="F55" i="72" s="1"/>
  <c r="E56" i="72"/>
  <c r="F56" i="72" s="1"/>
  <c r="E57" i="72"/>
  <c r="F57" i="72" s="1"/>
  <c r="E58" i="72"/>
  <c r="E59" i="72"/>
  <c r="F59" i="72" s="1"/>
  <c r="E60" i="72"/>
  <c r="F60" i="72" s="1"/>
  <c r="E61" i="72"/>
  <c r="F61" i="72" s="1"/>
  <c r="E62" i="72"/>
  <c r="F62" i="72" s="1"/>
  <c r="E63" i="72"/>
  <c r="F63" i="72" s="1"/>
  <c r="E64" i="72"/>
  <c r="F64" i="72" s="1"/>
  <c r="E65" i="72"/>
  <c r="F65" i="72" s="1"/>
  <c r="E66" i="72"/>
  <c r="F66" i="72" s="1"/>
  <c r="E67" i="72"/>
  <c r="F67" i="72" s="1"/>
  <c r="E68" i="72"/>
  <c r="F68" i="72" s="1"/>
  <c r="E69" i="72"/>
  <c r="F69" i="72" s="1"/>
  <c r="E70" i="72"/>
  <c r="F70" i="72" s="1"/>
  <c r="E71" i="72"/>
  <c r="F71" i="72" s="1"/>
  <c r="E72" i="72"/>
  <c r="F72" i="72" s="1"/>
  <c r="E73" i="72"/>
  <c r="F73" i="72" s="1"/>
  <c r="E74" i="72"/>
  <c r="F74" i="72" s="1"/>
  <c r="E75" i="72"/>
  <c r="F75" i="72" s="1"/>
  <c r="E76" i="72"/>
  <c r="F76" i="72" s="1"/>
  <c r="E77" i="72"/>
  <c r="F77" i="72" s="1"/>
  <c r="E78" i="72"/>
  <c r="F78" i="72" s="1"/>
  <c r="E79" i="72"/>
  <c r="F79" i="72" s="1"/>
  <c r="E80" i="72"/>
  <c r="F80" i="72" s="1"/>
  <c r="E81" i="72"/>
  <c r="F81" i="72" s="1"/>
  <c r="E82" i="72"/>
  <c r="F82" i="72" s="1"/>
  <c r="E83" i="72"/>
  <c r="F83" i="72" s="1"/>
  <c r="E84" i="72"/>
  <c r="F84" i="72" s="1"/>
  <c r="E85" i="72"/>
  <c r="F85" i="72" s="1"/>
  <c r="E86" i="72"/>
  <c r="F86" i="72" s="1"/>
  <c r="E87" i="72"/>
  <c r="F87" i="72" s="1"/>
  <c r="E88" i="72"/>
  <c r="F88" i="72" s="1"/>
  <c r="E89" i="72"/>
  <c r="F89" i="72" s="1"/>
  <c r="E90" i="72"/>
  <c r="F90" i="72" s="1"/>
  <c r="E91" i="72"/>
  <c r="F91" i="72" s="1"/>
  <c r="E92" i="72"/>
  <c r="F92" i="72" s="1"/>
  <c r="E93" i="72"/>
  <c r="F93" i="72" s="1"/>
  <c r="E94" i="72"/>
  <c r="F94" i="72" s="1"/>
  <c r="E95" i="72"/>
  <c r="F95" i="72" s="1"/>
  <c r="E96" i="72"/>
  <c r="F96" i="72" s="1"/>
  <c r="E97" i="72"/>
  <c r="F97" i="72" s="1"/>
  <c r="E98" i="72"/>
  <c r="F98" i="72" s="1"/>
  <c r="E99" i="72"/>
  <c r="F99" i="72" s="1"/>
  <c r="E100" i="72"/>
  <c r="F100" i="72" s="1"/>
  <c r="E101" i="72"/>
  <c r="F101" i="72" s="1"/>
  <c r="E102" i="72"/>
  <c r="F102" i="72" s="1"/>
  <c r="E103" i="72"/>
  <c r="F103" i="72" s="1"/>
  <c r="E104" i="72"/>
  <c r="F104" i="72" s="1"/>
  <c r="E105" i="72"/>
  <c r="F105" i="72" s="1"/>
  <c r="E106" i="72"/>
  <c r="F106" i="72" s="1"/>
  <c r="E107" i="72"/>
  <c r="F107" i="72" s="1"/>
  <c r="E108" i="72"/>
  <c r="F108" i="72" s="1"/>
  <c r="E109" i="72"/>
  <c r="F109" i="72" s="1"/>
  <c r="E110" i="72"/>
  <c r="F110" i="72" s="1"/>
  <c r="E111" i="72"/>
  <c r="F111" i="72" s="1"/>
  <c r="E112" i="72"/>
  <c r="F112" i="72" s="1"/>
  <c r="E113" i="72"/>
  <c r="F113" i="72" s="1"/>
  <c r="E114" i="72"/>
  <c r="F114" i="72" s="1"/>
  <c r="E115" i="72"/>
  <c r="F115" i="72" s="1"/>
  <c r="E116" i="72"/>
  <c r="F116" i="72" s="1"/>
  <c r="E117" i="72"/>
  <c r="F117" i="72" s="1"/>
  <c r="E118" i="72"/>
  <c r="F118" i="72" s="1"/>
  <c r="E119" i="72"/>
  <c r="F119" i="72" s="1"/>
  <c r="E120" i="72"/>
  <c r="F120" i="72" s="1"/>
  <c r="E121" i="72"/>
  <c r="F121" i="72" s="1"/>
  <c r="E122" i="72"/>
  <c r="F122" i="72" s="1"/>
  <c r="E123" i="72"/>
  <c r="F123" i="72" s="1"/>
  <c r="E124" i="72"/>
  <c r="F124" i="72" s="1"/>
  <c r="E125" i="72"/>
  <c r="F125" i="72" s="1"/>
  <c r="E126" i="72"/>
  <c r="F126" i="72" s="1"/>
  <c r="E127" i="72"/>
  <c r="F127" i="72" s="1"/>
  <c r="E128" i="72"/>
  <c r="F128" i="72" s="1"/>
  <c r="E129" i="72"/>
  <c r="F129" i="72" s="1"/>
  <c r="E130" i="72"/>
  <c r="F130" i="72" s="1"/>
  <c r="E131" i="72"/>
  <c r="F131" i="72" s="1"/>
  <c r="E132" i="72"/>
  <c r="F132" i="72" s="1"/>
  <c r="E133" i="72"/>
  <c r="F133" i="72" s="1"/>
  <c r="E134" i="72"/>
  <c r="F134" i="72" s="1"/>
  <c r="E135" i="72"/>
  <c r="F135" i="72" s="1"/>
  <c r="E136" i="72"/>
  <c r="F136" i="72" s="1"/>
  <c r="E137" i="72"/>
  <c r="F137" i="72" s="1"/>
  <c r="E21" i="72"/>
  <c r="F21" i="72" s="1"/>
  <c r="E18" i="72"/>
  <c r="F18" i="72" s="1"/>
  <c r="E19" i="72"/>
  <c r="F19" i="72" s="1"/>
  <c r="E20" i="72"/>
  <c r="F20" i="72" s="1"/>
  <c r="I136" i="72" l="1"/>
  <c r="H136" i="34"/>
  <c r="I136" i="34" s="1"/>
  <c r="H136" i="1"/>
  <c r="I136" i="1" s="1"/>
  <c r="I120" i="72"/>
  <c r="H120" i="34"/>
  <c r="I120" i="34" s="1"/>
  <c r="H120" i="1"/>
  <c r="I120" i="1" s="1"/>
  <c r="I112" i="72"/>
  <c r="H112" i="1"/>
  <c r="I112" i="1" s="1"/>
  <c r="H112" i="34"/>
  <c r="I112" i="34" s="1"/>
  <c r="I88" i="72"/>
  <c r="H88" i="1"/>
  <c r="I88" i="1" s="1"/>
  <c r="H88" i="34"/>
  <c r="I88" i="34" s="1"/>
  <c r="I72" i="72"/>
  <c r="H72" i="1"/>
  <c r="I72" i="1" s="1"/>
  <c r="H72" i="34"/>
  <c r="I72" i="34" s="1"/>
  <c r="H57" i="34"/>
  <c r="I57" i="34" s="1"/>
  <c r="H57" i="1"/>
  <c r="I57" i="1" s="1"/>
  <c r="I41" i="72"/>
  <c r="H41" i="34"/>
  <c r="I41" i="34" s="1"/>
  <c r="H41" i="1"/>
  <c r="I41" i="1" s="1"/>
  <c r="I18" i="72"/>
  <c r="H18" i="34"/>
  <c r="I18" i="34" s="1"/>
  <c r="H18" i="1"/>
  <c r="I18" i="1" s="1"/>
  <c r="I131" i="72"/>
  <c r="H131" i="34"/>
  <c r="I131" i="34" s="1"/>
  <c r="H131" i="1"/>
  <c r="I131" i="1" s="1"/>
  <c r="I123" i="72"/>
  <c r="H123" i="34"/>
  <c r="I123" i="34" s="1"/>
  <c r="H123" i="1"/>
  <c r="I123" i="1" s="1"/>
  <c r="I115" i="72"/>
  <c r="H115" i="34"/>
  <c r="I115" i="34" s="1"/>
  <c r="H115" i="1"/>
  <c r="I115" i="1" s="1"/>
  <c r="I91" i="72"/>
  <c r="H91" i="34"/>
  <c r="I91" i="34" s="1"/>
  <c r="H91" i="1"/>
  <c r="I91" i="1" s="1"/>
  <c r="I67" i="72"/>
  <c r="H67" i="1"/>
  <c r="I67" i="1" s="1"/>
  <c r="H67" i="34"/>
  <c r="I67" i="34" s="1"/>
  <c r="I59" i="72"/>
  <c r="H59" i="34"/>
  <c r="I59" i="34" s="1"/>
  <c r="H59" i="1"/>
  <c r="I59" i="1" s="1"/>
  <c r="I52" i="72"/>
  <c r="H52" i="34"/>
  <c r="I52" i="34" s="1"/>
  <c r="H52" i="1"/>
  <c r="I52" i="1" s="1"/>
  <c r="I44" i="72"/>
  <c r="H44" i="34"/>
  <c r="I44" i="34" s="1"/>
  <c r="H44" i="1"/>
  <c r="I44" i="1" s="1"/>
  <c r="I36" i="72"/>
  <c r="H36" i="34"/>
  <c r="I36" i="34" s="1"/>
  <c r="H36" i="1"/>
  <c r="I36" i="1" s="1"/>
  <c r="I28" i="72"/>
  <c r="H28" i="34"/>
  <c r="I28" i="34" s="1"/>
  <c r="H28" i="1"/>
  <c r="I28" i="1" s="1"/>
  <c r="H21" i="1"/>
  <c r="I21" i="1" s="1"/>
  <c r="H21" i="34"/>
  <c r="I21" i="34" s="1"/>
  <c r="I130" i="72"/>
  <c r="H130" i="34"/>
  <c r="I130" i="34" s="1"/>
  <c r="H130" i="1"/>
  <c r="I130" i="1" s="1"/>
  <c r="I122" i="72"/>
  <c r="H122" i="34"/>
  <c r="I122" i="34" s="1"/>
  <c r="H122" i="1"/>
  <c r="I122" i="1" s="1"/>
  <c r="I114" i="72"/>
  <c r="H114" i="34"/>
  <c r="I114" i="34" s="1"/>
  <c r="H114" i="1"/>
  <c r="I114" i="1" s="1"/>
  <c r="I90" i="72"/>
  <c r="H90" i="1"/>
  <c r="I90" i="1" s="1"/>
  <c r="H90" i="34"/>
  <c r="I90" i="34" s="1"/>
  <c r="I74" i="72"/>
  <c r="H74" i="34"/>
  <c r="I74" i="34" s="1"/>
  <c r="H74" i="1"/>
  <c r="I74" i="1" s="1"/>
  <c r="I66" i="72"/>
  <c r="H66" i="34"/>
  <c r="I66" i="34" s="1"/>
  <c r="H66" i="1"/>
  <c r="I66" i="1" s="1"/>
  <c r="I58" i="72"/>
  <c r="H58" i="34"/>
  <c r="I58" i="34" s="1"/>
  <c r="H58" i="1"/>
  <c r="I58" i="1" s="1"/>
  <c r="I51" i="72"/>
  <c r="H51" i="34"/>
  <c r="I51" i="34" s="1"/>
  <c r="H51" i="1"/>
  <c r="I51" i="1" s="1"/>
  <c r="I43" i="72"/>
  <c r="H43" i="34"/>
  <c r="I43" i="34" s="1"/>
  <c r="H43" i="1"/>
  <c r="I43" i="1" s="1"/>
  <c r="I35" i="72"/>
  <c r="H35" i="1"/>
  <c r="I35" i="1" s="1"/>
  <c r="H35" i="34"/>
  <c r="I35" i="34" s="1"/>
  <c r="I27" i="72"/>
  <c r="H27" i="1"/>
  <c r="I27" i="1" s="1"/>
  <c r="H27" i="34"/>
  <c r="I27" i="34" s="1"/>
  <c r="I137" i="72"/>
  <c r="H137" i="34"/>
  <c r="H137" i="1"/>
  <c r="I129" i="72"/>
  <c r="H129" i="1"/>
  <c r="I129" i="1" s="1"/>
  <c r="H129" i="34"/>
  <c r="I129" i="34" s="1"/>
  <c r="I121" i="72"/>
  <c r="H121" i="1"/>
  <c r="I121" i="1" s="1"/>
  <c r="H121" i="34"/>
  <c r="I121" i="34" s="1"/>
  <c r="I113" i="72"/>
  <c r="H113" i="1"/>
  <c r="I113" i="1" s="1"/>
  <c r="H113" i="34"/>
  <c r="I113" i="34" s="1"/>
  <c r="I89" i="72"/>
  <c r="H89" i="1"/>
  <c r="I89" i="1" s="1"/>
  <c r="H89" i="34"/>
  <c r="I89" i="34" s="1"/>
  <c r="I73" i="72"/>
  <c r="H73" i="34"/>
  <c r="I73" i="34" s="1"/>
  <c r="H73" i="1"/>
  <c r="I73" i="1" s="1"/>
  <c r="I65" i="72"/>
  <c r="H65" i="1"/>
  <c r="I65" i="1" s="1"/>
  <c r="H65" i="34"/>
  <c r="I65" i="34" s="1"/>
  <c r="I57" i="72"/>
  <c r="I50" i="72"/>
  <c r="H50" i="1"/>
  <c r="I50" i="1" s="1"/>
  <c r="H50" i="34"/>
  <c r="I50" i="34" s="1"/>
  <c r="I42" i="72"/>
  <c r="H42" i="1"/>
  <c r="I42" i="1" s="1"/>
  <c r="H42" i="34"/>
  <c r="I42" i="34" s="1"/>
  <c r="I34" i="72"/>
  <c r="H34" i="34"/>
  <c r="I34" i="34" s="1"/>
  <c r="H34" i="1"/>
  <c r="I34" i="1" s="1"/>
  <c r="I26" i="72"/>
  <c r="H26" i="34"/>
  <c r="I26" i="34" s="1"/>
  <c r="H26" i="1"/>
  <c r="I26" i="1" s="1"/>
  <c r="I19" i="72"/>
  <c r="H19" i="1"/>
  <c r="I19" i="1" s="1"/>
  <c r="H19" i="34"/>
  <c r="I19" i="34" s="1"/>
  <c r="I128" i="72"/>
  <c r="H128" i="34"/>
  <c r="I128" i="34" s="1"/>
  <c r="H128" i="1"/>
  <c r="I128" i="1" s="1"/>
  <c r="I96" i="72"/>
  <c r="H96" i="34"/>
  <c r="I96" i="34" s="1"/>
  <c r="H96" i="1"/>
  <c r="I96" i="1" s="1"/>
  <c r="I135" i="72"/>
  <c r="H135" i="34"/>
  <c r="I135" i="34" s="1"/>
  <c r="H135" i="1"/>
  <c r="I135" i="1" s="1"/>
  <c r="I127" i="72"/>
  <c r="H127" i="34"/>
  <c r="I127" i="34" s="1"/>
  <c r="H127" i="1"/>
  <c r="I127" i="1" s="1"/>
  <c r="I111" i="72"/>
  <c r="H111" i="1"/>
  <c r="I111" i="1" s="1"/>
  <c r="H111" i="34"/>
  <c r="I111" i="34" s="1"/>
  <c r="I95" i="72"/>
  <c r="H95" i="34"/>
  <c r="I95" i="34" s="1"/>
  <c r="H95" i="1"/>
  <c r="I95" i="1" s="1"/>
  <c r="I63" i="72"/>
  <c r="H63" i="34"/>
  <c r="I63" i="34" s="1"/>
  <c r="H63" i="1"/>
  <c r="I63" i="1" s="1"/>
  <c r="I48" i="72"/>
  <c r="H48" i="34"/>
  <c r="I48" i="34" s="1"/>
  <c r="H48" i="1"/>
  <c r="I48" i="1" s="1"/>
  <c r="I40" i="72"/>
  <c r="H40" i="1"/>
  <c r="I40" i="1" s="1"/>
  <c r="H40" i="34"/>
  <c r="I40" i="34" s="1"/>
  <c r="I32" i="72"/>
  <c r="H32" i="34"/>
  <c r="I32" i="34" s="1"/>
  <c r="H32" i="1"/>
  <c r="I32" i="1" s="1"/>
  <c r="I126" i="72"/>
  <c r="H126" i="1"/>
  <c r="I126" i="1" s="1"/>
  <c r="H126" i="34"/>
  <c r="I126" i="34" s="1"/>
  <c r="I47" i="72"/>
  <c r="H47" i="1"/>
  <c r="I47" i="1" s="1"/>
  <c r="H47" i="34"/>
  <c r="I47" i="34" s="1"/>
  <c r="I125" i="72"/>
  <c r="H125" i="34"/>
  <c r="I125" i="34" s="1"/>
  <c r="H125" i="1"/>
  <c r="I125" i="1" s="1"/>
  <c r="I117" i="72"/>
  <c r="H117" i="1"/>
  <c r="I117" i="1" s="1"/>
  <c r="H117" i="34"/>
  <c r="I117" i="34" s="1"/>
  <c r="I93" i="72"/>
  <c r="H93" i="1"/>
  <c r="I93" i="1" s="1"/>
  <c r="H93" i="34"/>
  <c r="I93" i="34" s="1"/>
  <c r="I85" i="72"/>
  <c r="H85" i="34"/>
  <c r="I85" i="34" s="1"/>
  <c r="H85" i="1"/>
  <c r="I85" i="1" s="1"/>
  <c r="I69" i="72"/>
  <c r="H69" i="1"/>
  <c r="I69" i="1" s="1"/>
  <c r="H69" i="34"/>
  <c r="I69" i="34" s="1"/>
  <c r="I61" i="72"/>
  <c r="H61" i="1"/>
  <c r="I61" i="1" s="1"/>
  <c r="H61" i="34"/>
  <c r="I61" i="34" s="1"/>
  <c r="I54" i="72"/>
  <c r="H54" i="1"/>
  <c r="I54" i="1" s="1"/>
  <c r="H54" i="34"/>
  <c r="I54" i="34" s="1"/>
  <c r="I38" i="72"/>
  <c r="H38" i="1"/>
  <c r="I38" i="1" s="1"/>
  <c r="H38" i="34"/>
  <c r="I38" i="34" s="1"/>
  <c r="I30" i="72"/>
  <c r="H30" i="1"/>
  <c r="I30" i="1" s="1"/>
  <c r="H30" i="34"/>
  <c r="I30" i="34" s="1"/>
  <c r="I22" i="72"/>
  <c r="H22" i="34"/>
  <c r="I22" i="34" s="1"/>
  <c r="H22" i="1"/>
  <c r="I22" i="1" s="1"/>
  <c r="I64" i="72"/>
  <c r="H64" i="34"/>
  <c r="I64" i="34" s="1"/>
  <c r="H64" i="1"/>
  <c r="I64" i="1" s="1"/>
  <c r="I49" i="72"/>
  <c r="H49" i="34"/>
  <c r="I49" i="34" s="1"/>
  <c r="H49" i="1"/>
  <c r="I49" i="1" s="1"/>
  <c r="I33" i="72"/>
  <c r="H33" i="34"/>
  <c r="I33" i="34" s="1"/>
  <c r="H33" i="1"/>
  <c r="I33" i="1" s="1"/>
  <c r="I25" i="72"/>
  <c r="H25" i="34"/>
  <c r="I25" i="34" s="1"/>
  <c r="H25" i="1"/>
  <c r="I25" i="1" s="1"/>
  <c r="I119" i="72"/>
  <c r="H119" i="1"/>
  <c r="I119" i="1" s="1"/>
  <c r="H119" i="34"/>
  <c r="I119" i="34" s="1"/>
  <c r="I87" i="72"/>
  <c r="H87" i="1"/>
  <c r="I87" i="1" s="1"/>
  <c r="H87" i="34"/>
  <c r="I87" i="34" s="1"/>
  <c r="I71" i="72"/>
  <c r="H71" i="34"/>
  <c r="I71" i="34" s="1"/>
  <c r="H71" i="1"/>
  <c r="I71" i="1" s="1"/>
  <c r="I56" i="72"/>
  <c r="H56" i="34"/>
  <c r="I56" i="34" s="1"/>
  <c r="H56" i="1"/>
  <c r="I56" i="1" s="1"/>
  <c r="I24" i="72"/>
  <c r="H24" i="34"/>
  <c r="I24" i="34" s="1"/>
  <c r="H24" i="1"/>
  <c r="I24" i="1" s="1"/>
  <c r="I134" i="72"/>
  <c r="H134" i="1"/>
  <c r="I134" i="1" s="1"/>
  <c r="H134" i="34"/>
  <c r="I134" i="34" s="1"/>
  <c r="I118" i="72"/>
  <c r="H118" i="34"/>
  <c r="I118" i="34" s="1"/>
  <c r="H118" i="1"/>
  <c r="I118" i="1" s="1"/>
  <c r="I110" i="72"/>
  <c r="H110" i="34"/>
  <c r="I110" i="34" s="1"/>
  <c r="H110" i="1"/>
  <c r="I110" i="1" s="1"/>
  <c r="I94" i="72"/>
  <c r="H94" i="34"/>
  <c r="I94" i="34" s="1"/>
  <c r="H94" i="1"/>
  <c r="I94" i="1" s="1"/>
  <c r="I86" i="72"/>
  <c r="H86" i="1"/>
  <c r="I86" i="1" s="1"/>
  <c r="H86" i="34"/>
  <c r="I86" i="34" s="1"/>
  <c r="I70" i="72"/>
  <c r="H70" i="1"/>
  <c r="I70" i="1" s="1"/>
  <c r="H70" i="34"/>
  <c r="I70" i="34" s="1"/>
  <c r="I62" i="72"/>
  <c r="H62" i="34"/>
  <c r="I62" i="34" s="1"/>
  <c r="H62" i="1"/>
  <c r="I62" i="1" s="1"/>
  <c r="I55" i="72"/>
  <c r="H55" i="34"/>
  <c r="I55" i="34" s="1"/>
  <c r="H55" i="1"/>
  <c r="I55" i="1" s="1"/>
  <c r="I39" i="72"/>
  <c r="H39" i="34"/>
  <c r="I39" i="34" s="1"/>
  <c r="H39" i="1"/>
  <c r="I39" i="1" s="1"/>
  <c r="I31" i="72"/>
  <c r="H31" i="34"/>
  <c r="I31" i="34" s="1"/>
  <c r="H31" i="1"/>
  <c r="I31" i="1" s="1"/>
  <c r="I23" i="72"/>
  <c r="H23" i="34"/>
  <c r="I23" i="34" s="1"/>
  <c r="H23" i="1"/>
  <c r="I23" i="1" s="1"/>
  <c r="I133" i="72"/>
  <c r="H133" i="34"/>
  <c r="I133" i="34" s="1"/>
  <c r="H133" i="1"/>
  <c r="I133" i="1" s="1"/>
  <c r="I109" i="72"/>
  <c r="H109" i="34"/>
  <c r="I109" i="34" s="1"/>
  <c r="H109" i="1"/>
  <c r="I109" i="1" s="1"/>
  <c r="I46" i="72"/>
  <c r="H46" i="34"/>
  <c r="I46" i="34" s="1"/>
  <c r="H46" i="1"/>
  <c r="I46" i="1" s="1"/>
  <c r="I132" i="72"/>
  <c r="H132" i="1"/>
  <c r="I132" i="1" s="1"/>
  <c r="H132" i="34"/>
  <c r="I132" i="34" s="1"/>
  <c r="I124" i="72"/>
  <c r="H124" i="1"/>
  <c r="I124" i="1" s="1"/>
  <c r="H124" i="34"/>
  <c r="I124" i="34" s="1"/>
  <c r="I116" i="72"/>
  <c r="H116" i="34"/>
  <c r="I116" i="34" s="1"/>
  <c r="H116" i="1"/>
  <c r="I116" i="1" s="1"/>
  <c r="I92" i="72"/>
  <c r="H92" i="34"/>
  <c r="I92" i="34" s="1"/>
  <c r="H92" i="1"/>
  <c r="I92" i="1" s="1"/>
  <c r="I68" i="72"/>
  <c r="H68" i="34"/>
  <c r="I68" i="34" s="1"/>
  <c r="H68" i="1"/>
  <c r="I68" i="1" s="1"/>
  <c r="I60" i="72"/>
  <c r="H60" i="1"/>
  <c r="I60" i="1" s="1"/>
  <c r="H60" i="34"/>
  <c r="I60" i="34" s="1"/>
  <c r="I53" i="72"/>
  <c r="H53" i="34"/>
  <c r="I53" i="34" s="1"/>
  <c r="H53" i="1"/>
  <c r="I53" i="1" s="1"/>
  <c r="I45" i="72"/>
  <c r="H45" i="1"/>
  <c r="I45" i="1" s="1"/>
  <c r="H45" i="34"/>
  <c r="I45" i="34" s="1"/>
  <c r="I37" i="72"/>
  <c r="H37" i="34"/>
  <c r="I37" i="34" s="1"/>
  <c r="H37" i="1"/>
  <c r="I37" i="1" s="1"/>
  <c r="I29" i="72"/>
  <c r="H29" i="1"/>
  <c r="I29" i="1" s="1"/>
  <c r="H29" i="34"/>
  <c r="I29" i="34" s="1"/>
  <c r="I21" i="72"/>
  <c r="I20" i="72"/>
  <c r="H20" i="1"/>
  <c r="I20" i="1" s="1"/>
  <c r="H20" i="34"/>
  <c r="I20" i="34" s="1"/>
  <c r="I83" i="3"/>
  <c r="H83" i="1"/>
  <c r="I83" i="1" s="1"/>
  <c r="H83" i="34"/>
  <c r="I83" i="34" s="1"/>
  <c r="I82" i="3"/>
  <c r="H82" i="1"/>
  <c r="I82" i="1" s="1"/>
  <c r="H82" i="34"/>
  <c r="I82" i="34" s="1"/>
  <c r="I84" i="3"/>
  <c r="H84" i="34"/>
  <c r="I84" i="34" s="1"/>
  <c r="H84" i="1"/>
  <c r="I84" i="1" s="1"/>
  <c r="I81" i="3"/>
  <c r="H81" i="1"/>
  <c r="I81" i="1" s="1"/>
  <c r="H81" i="34"/>
  <c r="I81" i="34" s="1"/>
  <c r="I80" i="3"/>
  <c r="H80" i="34"/>
  <c r="I80" i="34" s="1"/>
  <c r="H80" i="1"/>
  <c r="I80" i="1" s="1"/>
  <c r="I79" i="3"/>
  <c r="H79" i="1"/>
  <c r="I79" i="1" s="1"/>
  <c r="H79" i="34"/>
  <c r="I79" i="34" s="1"/>
  <c r="I76" i="3"/>
  <c r="H76" i="1"/>
  <c r="I76" i="1" s="1"/>
  <c r="H76" i="34"/>
  <c r="I76" i="34" s="1"/>
  <c r="I77" i="3"/>
  <c r="H77" i="34"/>
  <c r="I77" i="34" s="1"/>
  <c r="H77" i="1"/>
  <c r="I77" i="1" s="1"/>
  <c r="I78" i="3"/>
  <c r="H78" i="34"/>
  <c r="I78" i="34" s="1"/>
  <c r="H78" i="1"/>
  <c r="I78" i="1" s="1"/>
  <c r="I75" i="3"/>
  <c r="H75" i="1"/>
  <c r="I75" i="1" s="1"/>
  <c r="H75" i="34"/>
  <c r="I75" i="34" s="1"/>
  <c r="I97" i="3"/>
  <c r="H97" i="34"/>
  <c r="I97" i="34" s="1"/>
  <c r="H97" i="1"/>
  <c r="I97" i="1" s="1"/>
  <c r="I105" i="3"/>
  <c r="H105" i="34"/>
  <c r="I105" i="34" s="1"/>
  <c r="H105" i="1"/>
  <c r="I105" i="1" s="1"/>
  <c r="I101" i="3"/>
  <c r="H101" i="34"/>
  <c r="I101" i="34" s="1"/>
  <c r="H101" i="1"/>
  <c r="I101" i="1" s="1"/>
  <c r="I107" i="3"/>
  <c r="H107" i="34"/>
  <c r="I107" i="34" s="1"/>
  <c r="H107" i="1"/>
  <c r="I107" i="1" s="1"/>
  <c r="I103" i="3"/>
  <c r="H103" i="34"/>
  <c r="I103" i="34" s="1"/>
  <c r="H103" i="1"/>
  <c r="I103" i="1" s="1"/>
  <c r="I99" i="3"/>
  <c r="H99" i="34"/>
  <c r="I99" i="34" s="1"/>
  <c r="H99" i="1"/>
  <c r="I99" i="1" s="1"/>
  <c r="I108" i="3"/>
  <c r="H108" i="34"/>
  <c r="I108" i="34" s="1"/>
  <c r="H108" i="1"/>
  <c r="I108" i="1" s="1"/>
  <c r="I100" i="3"/>
  <c r="H100" i="1"/>
  <c r="I100" i="1" s="1"/>
  <c r="H100" i="34"/>
  <c r="I100" i="34" s="1"/>
  <c r="I106" i="3"/>
  <c r="H106" i="34"/>
  <c r="I106" i="34" s="1"/>
  <c r="H106" i="1"/>
  <c r="I106" i="1" s="1"/>
  <c r="I102" i="3"/>
  <c r="H102" i="34"/>
  <c r="I102" i="34" s="1"/>
  <c r="H102" i="1"/>
  <c r="I102" i="1" s="1"/>
  <c r="I98" i="3"/>
  <c r="H98" i="1"/>
  <c r="I98" i="1" s="1"/>
  <c r="H98" i="34"/>
  <c r="I98" i="34" s="1"/>
  <c r="I104" i="3"/>
  <c r="H104" i="34"/>
  <c r="I104" i="34" s="1"/>
  <c r="H104" i="1"/>
  <c r="I104" i="1" s="1"/>
  <c r="C16" i="30"/>
  <c r="E16" i="30" s="1"/>
  <c r="F16" i="30" s="1"/>
  <c r="D16" i="30"/>
  <c r="C17" i="30"/>
  <c r="D17" i="30"/>
  <c r="E17" i="30" s="1"/>
  <c r="F17" i="30" s="1"/>
  <c r="C16" i="29"/>
  <c r="E16" i="29" s="1"/>
  <c r="F16" i="29" s="1"/>
  <c r="D16" i="29"/>
  <c r="C17" i="29"/>
  <c r="D17" i="29"/>
  <c r="C16" i="18"/>
  <c r="E16" i="18" s="1"/>
  <c r="F16" i="18" s="1"/>
  <c r="D16" i="18"/>
  <c r="C17" i="18"/>
  <c r="E17" i="18" s="1"/>
  <c r="F17" i="18" s="1"/>
  <c r="D17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H16" i="4"/>
  <c r="I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E13" i="30" s="1"/>
  <c r="F13" i="30" s="1"/>
  <c r="D12" i="30"/>
  <c r="C12" i="30"/>
  <c r="E12" i="30" s="1"/>
  <c r="F12" i="30" s="1"/>
  <c r="D11" i="30"/>
  <c r="C11" i="30"/>
  <c r="E11" i="30" s="1"/>
  <c r="F11" i="30" s="1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E6" i="29" s="1"/>
  <c r="F6" i="29" s="1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H14" i="4"/>
  <c r="I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A1" i="4" a="1"/>
  <c r="A1" i="4" s="1"/>
  <c r="J2" i="3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J2" i="72"/>
  <c r="A1" i="72" a="1"/>
  <c r="A1" i="72" s="1"/>
  <c r="G4" i="34" l="1"/>
  <c r="E17" i="1"/>
  <c r="F17" i="1" s="1"/>
  <c r="E16" i="1"/>
  <c r="F16" i="1" s="1"/>
  <c r="E16" i="34"/>
  <c r="F16" i="34" s="1"/>
  <c r="E15" i="30"/>
  <c r="F15" i="30" s="1"/>
  <c r="D2" i="30"/>
  <c r="E5" i="30"/>
  <c r="F5" i="30" s="1"/>
  <c r="E6" i="30"/>
  <c r="F6" i="30" s="1"/>
  <c r="H16" i="30"/>
  <c r="I16" i="30" s="1"/>
  <c r="H6" i="30"/>
  <c r="I6" i="30" s="1"/>
  <c r="H17" i="30"/>
  <c r="I17" i="30" s="1"/>
  <c r="E4" i="30"/>
  <c r="F4" i="30" s="1"/>
  <c r="E17" i="29"/>
  <c r="F17" i="29" s="1"/>
  <c r="E13" i="29"/>
  <c r="F13" i="29" s="1"/>
  <c r="E14" i="29"/>
  <c r="F14" i="29" s="1"/>
  <c r="H9" i="29"/>
  <c r="I9" i="29" s="1"/>
  <c r="H6" i="29"/>
  <c r="I6" i="29" s="1"/>
  <c r="D2" i="29"/>
  <c r="E5" i="29"/>
  <c r="F5" i="29" s="1"/>
  <c r="E9" i="29"/>
  <c r="F9" i="29" s="1"/>
  <c r="H17" i="29"/>
  <c r="I17" i="29" s="1"/>
  <c r="H10" i="29"/>
  <c r="I10" i="29" s="1"/>
  <c r="H13" i="29"/>
  <c r="I13" i="29" s="1"/>
  <c r="E11" i="29"/>
  <c r="F11" i="29" s="1"/>
  <c r="E8" i="29"/>
  <c r="F8" i="29" s="1"/>
  <c r="E12" i="29"/>
  <c r="F12" i="29" s="1"/>
  <c r="H16" i="29"/>
  <c r="I16" i="29" s="1"/>
  <c r="E9" i="18"/>
  <c r="F9" i="18" s="1"/>
  <c r="E14" i="18"/>
  <c r="F14" i="18" s="1"/>
  <c r="E5" i="18"/>
  <c r="F5" i="18" s="1"/>
  <c r="E13" i="18"/>
  <c r="F13" i="18" s="1"/>
  <c r="H16" i="18"/>
  <c r="I16" i="18" s="1"/>
  <c r="D4" i="34"/>
  <c r="E7" i="18"/>
  <c r="F7" i="18" s="1"/>
  <c r="E11" i="18"/>
  <c r="F11" i="18" s="1"/>
  <c r="E15" i="18"/>
  <c r="F15" i="18" s="1"/>
  <c r="H17" i="18"/>
  <c r="I17" i="18" s="1"/>
  <c r="E4" i="18"/>
  <c r="F4" i="18" s="1"/>
  <c r="E8" i="18"/>
  <c r="F8" i="18" s="1"/>
  <c r="E12" i="18"/>
  <c r="F12" i="18" s="1"/>
  <c r="E17" i="34"/>
  <c r="F17" i="34" s="1"/>
  <c r="H17" i="1"/>
  <c r="I17" i="1" s="1"/>
  <c r="H17" i="34"/>
  <c r="I17" i="34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H2" i="34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tc={DF67D825-C883-44F2-8EA5-D891A5BC6DA2}</author>
    <author>tc={A315C444-F93F-4C05-92FF-4E51C72D0B9B}</author>
  </authors>
  <commentList>
    <comment ref="C81" authorId="0" shapeId="0" xr:uid="{DF67D825-C883-44F2-8EA5-D891A5BC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  <comment ref="C89" authorId="1" shapeId="0" xr:uid="{A315C444-F93F-4C05-92FF-4E51C72D0B9B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data is not available, energy values are taken from inverter.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<sst xmlns="http://schemas.openxmlformats.org/spreadsheetml/2006/main" count="1244" uniqueCount="544">
  <si>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</si>
  <si>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</si>
  <si>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</si>
  <si>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</si>
  <si>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</si>
  <si>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</si>
  <si>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</si>
  <si>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</si>
  <si>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</si>
  <si>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</si>
  <si>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</si>
  <si>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</si>
  <si>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</si>
  <si>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</si>
  <si>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</si>
  <si>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</si>
  <si>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</si>
  <si>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</si>
  <si>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</si>
  <si>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</si>
  <si>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</si>
  <si>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</si>
  <si>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</si>
  <si>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1.Inverter 1.1 is offline from 01/05 and back online on 01/17 at 10:45AM
2. Inverter 1.1 is offline from 07:00AM on 01/20 and back online at 11:00 on 01/22</t>
  </si>
  <si>
    <t>1.SR079991
2.SR080358</t>
  </si>
  <si>
    <t>1.Site did not started on 01/25 and started late on 01/27.</t>
  </si>
  <si>
    <t xml:space="preserve">1.SR080480	</t>
  </si>
  <si>
    <t>1. Inveter B did not started for production 1/15 and 1/24.</t>
  </si>
  <si>
    <t>1. SR080237</t>
  </si>
  <si>
    <t xml:space="preserve"> </t>
  </si>
  <si>
    <t>1. Site was offline on 1/22 at 15:30 and back online on 1/23 11:45.</t>
  </si>
  <si>
    <t>1. SR080401</t>
  </si>
  <si>
    <t>1. Site started production from 1/18</t>
  </si>
  <si>
    <t>1. SR079892</t>
  </si>
  <si>
    <t>1. Ongoing construction to the array on the roof. 70 percent of the array is offline for construction</t>
  </si>
  <si>
    <t>1. SR077214</t>
  </si>
  <si>
    <t>1. Inverter 1 primary unit offline on 01/19/2024 &amp; back online 01/25/2024 at 10:00.</t>
  </si>
  <si>
    <t>1. SR080472</t>
  </si>
  <si>
    <t>1. Site tripped offline on 01/11 at 8:15 and back online at 11:15,  but inverter 2 again tripped offline
2. Inverter 2 tripped offline on 01/11 at 11:45 and back online on 01/12</t>
  </si>
  <si>
    <t>1. SR080156
2. SR080165</t>
  </si>
  <si>
    <t>1. Inverter 4 tripped offline at 10:50 at 01/17 &amp; back online on 01/20/2024. 
2. Inverter 8 left unit offline on 01/07/2024 &amp; back online at 01/08/2024 and also left unit offline from 01/16 to 01/22</t>
  </si>
  <si>
    <t>1.SR080297
2.SR080299</t>
  </si>
  <si>
    <t xml:space="preserve">1. Inverter 3 primary unit is offline on 12/11/2024 &amp; back online on 01/02/2024. </t>
  </si>
  <si>
    <t xml:space="preserve"> 1. SR079120</t>
  </si>
  <si>
    <t xml:space="preserve">1. Inverter 3 left unit tripped offline on 01/10/2024.  </t>
  </si>
  <si>
    <t>1.SR080789</t>
  </si>
  <si>
    <t xml:space="preserve">1. Inverters 3 &amp; 4 are offline on 01/24/2024 &amp; back online on 01/29/2024. </t>
  </si>
  <si>
    <t>1.SR080430</t>
  </si>
  <si>
    <t>1. Site is offline due to transformer issue</t>
  </si>
  <si>
    <t>1. SR077239</t>
  </si>
  <si>
    <t>1. Inverter 3 right unit offline from 01/25 to 01/31.
2. Inverter 1 left unit offline from 01/25 to 01/31.</t>
  </si>
  <si>
    <t>1. SR080476.
2. SR080477</t>
  </si>
  <si>
    <t xml:space="preserve">1.Inverter 10 is offline on 01/23/2024 &amp; back onlline on 01/24/2024 at 10:00. </t>
  </si>
  <si>
    <t>1.SR080431</t>
  </si>
  <si>
    <t>1.Inverter 3 was offline on 01/04 and back online on 01/05
2. Inverter 3 was offline on 01/09 and back online on 01/11.
3. Inverter 3 is offline on 01/14 and started on 01/15 at 10:30</t>
  </si>
  <si>
    <t>1.SR079935
2.SR080108
3.SR080204</t>
  </si>
  <si>
    <t>1.Site is offline from 2:20pm and back online at 4:00pm on 01/14
2.Inverter 15 tripped offline on 01/15 at 13:15 and back online 01/17</t>
  </si>
  <si>
    <t>1. SR080213
2. SR080245</t>
  </si>
  <si>
    <t>1. Inverter 1 is offline on 01/18  at 9:45 AM and had multiple tripping on 01/19
2. inverter 1 is tripped offline on 01/30 and back online from afternoon.</t>
  </si>
  <si>
    <t>1. SR080313
2. SR080606</t>
  </si>
  <si>
    <t>1. Site was de-energized for meter work on 01/03 at 09:50 till 12:15 and again on 01/23 at 10:15 to 12:45.</t>
  </si>
  <si>
    <t>1. SR079733</t>
  </si>
  <si>
    <t>1. Meter removed for repair work, here the presented energy was inverter cummulative energy.
2. Inverter 1 tripped offline on 01/19 and self resolved next day</t>
  </si>
  <si>
    <t xml:space="preserve"> 1.SR079721
2. SR080323</t>
  </si>
  <si>
    <t>1. Inverter 2 is offline from 12/28/2023 to 01/09 till 10:20 AM.</t>
  </si>
  <si>
    <t xml:space="preserve"> 1.SR079785</t>
  </si>
  <si>
    <t>1.Inverter 2 is  started late on 01/01 at 13:45
2.Inverter 1 started late at 12:50, but inverter 2 is offline on 01/15 and back online on 01/18.
3.Inverter 1 tripped offline on 01/17 and back online at 14:05 and on 01/18
4. Inverter 1 tripped offline on 11:55 on 01/21 and back online on 01/22 at 11:45.</t>
  </si>
  <si>
    <t>1.SR079852
2.SR080228
3.SR080288
4.SR080372</t>
  </si>
  <si>
    <t>1.Inverter 2 tripped offline at 12:10 on 01/22 and back online 01/23</t>
  </si>
  <si>
    <t xml:space="preserve"> 1.SR080393</t>
  </si>
  <si>
    <t>1. Inverter 3 is tripped offline at 13:30 and 15:10 on 01/17
2.Inverter 4 has tripped offline at 14:00 to 15:40 on 01/18
3.Inverter 3 tripped offline at 13:15 on 01/21 and back online the next day.</t>
  </si>
  <si>
    <t>1.SR080300
2.SR080324
3.SR080374</t>
  </si>
  <si>
    <t>1.Inverter 1 tripped offline at 10:25 and back online at 15:35 on 01/13 and started late production at 12:45 on 01/17 and at 12:30 on 01/18 and back online on 01/19 at 15:40.
2. Inverter 2 tripped offline at 11:50 on 01/18 and back online on 01/19 at 15:40.
3. Inverter 1 is started late 12:40 on 01/24 and tripped offline at 09:35 to 14:40 on 01/30 and started late production on 01/31.</t>
  </si>
  <si>
    <t>1.SR080192
2.SR080319
3.SR080447</t>
  </si>
  <si>
    <t>1.Site tripped offline at 8:35am and back online at 16:55 on 01/17.</t>
  </si>
  <si>
    <t xml:space="preserve"> 1. SR080280	</t>
  </si>
  <si>
    <t>1.Inverter 4 started late production on 01/01 at 14:05.</t>
  </si>
  <si>
    <t xml:space="preserve"> 1.SR079788</t>
  </si>
  <si>
    <t>1. Site tripped offline on 01/03/2024 at 7:35 &amp; back online on 01/04/2024 at 16:25. 
2. Site tripped offline at 01/09/2024 at 18:20 &amp; back online on 01/10/2024 at 23:40.</t>
  </si>
  <si>
    <t>1. SR079887
2. SR080113</t>
  </si>
  <si>
    <t xml:space="preserve">1. Site tripped at 08:35 am on 01/17/2024 &amp; back online 01/18/2024 at 8:00. </t>
  </si>
  <si>
    <t>1. SR080284</t>
  </si>
  <si>
    <t xml:space="preserve">1. Site tripped offline on 01/13 at 11:00 &amp; back online at 14:20. 
2. Inverter 2 tripped offine on 01/14/2023 at 11:50 &amp; back online at 02/04/2024. </t>
  </si>
  <si>
    <t>1. SR080181
2. SR080203</t>
  </si>
  <si>
    <t>1. Site tripped offline on 01/9 at 20:50 and back onlineon 01/10 10:25</t>
  </si>
  <si>
    <t xml:space="preserve">1. SR080114 </t>
  </si>
  <si>
    <t>1. Site tripped offline on 01/20/2024 &amp; back online at 01/23/2024 at 12:40</t>
  </si>
  <si>
    <t>1. SR080356</t>
  </si>
  <si>
    <t xml:space="preserve">1. Inverter 3 tripped offline on 01/09/2023 at 11:00 &amp; back online at 01/11/2024 at 11:00  &amp; again offline on 01/12/2023 &amp; back online 13:00. 
</t>
  </si>
  <si>
    <t xml:space="preserve">1. SR080091. </t>
  </si>
  <si>
    <t>1. Site tripped offline on 01/04/2023 at 14:45 &amp; back online at EOD
2. Site tripped offline on 01/03 and back online at 10:40 AM</t>
  </si>
  <si>
    <t>1.SR079959
2. SR079882</t>
  </si>
  <si>
    <t>1. SR079960
2. SR079883</t>
  </si>
  <si>
    <t>1. Site offline due to transformer tripping issue  from 01/29   
2. Site tripped offline on 01/09 at 15:00 and back online 01/12 at 16:00.
3. Inverter 1 tripped offline due to ground fault multiples in this month.</t>
  </si>
  <si>
    <t>1. SR080591
2. SR080107
3. SR080268</t>
  </si>
  <si>
    <t>1. SR079957
2. SR079879</t>
  </si>
  <si>
    <t xml:space="preserve">1. SR079958
2. SR079880 </t>
  </si>
  <si>
    <t xml:space="preserve">1. Site was offline from 01/08/2024 &amp; back online on 01/09/2024 .
2. Site tripped offline 01/14/2024 at 12:55 and back online on 01/16/2024 </t>
  </si>
  <si>
    <t>1. 	SR079967 
2. SR080207</t>
  </si>
  <si>
    <t>1. 	SR079968
2. SR080210</t>
  </si>
  <si>
    <t>1. 	SR079969
2. SR080208</t>
  </si>
  <si>
    <t xml:space="preserve">1. Site was offline on 01/12/2024 at 09:00 &amp; back online at 15:00 
2. Site was offline on 01/25/2024 at 9:00 &amp; back online at 13:00. </t>
  </si>
  <si>
    <t xml:space="preserve">1. SR080167
2. SR080440
</t>
  </si>
  <si>
    <t>1. Planned outage from the sub contractor to replace transformer cover on 01/04 from 9:30 to 11:30</t>
  </si>
  <si>
    <t>1. SR079930</t>
  </si>
  <si>
    <t>1. Production data was not available for January month.</t>
  </si>
  <si>
    <t>1. Site was tripped offline due to utility outage on 01/09 at 13:00 and back online on 01/12 at 9:00</t>
  </si>
  <si>
    <t>1. SR080095</t>
  </si>
  <si>
    <t>1. Site tripped offline due to utility outage on 01/09 at 10:00 and back online on 01/12 at 9:00
2. Inverter 2 tripped on 01/05 at 13:00 and back online on 02/02 at 15:00
3. Site was taken offline to repair the utility recloser on 01/12 at 21:00 and back online on 01/26 at 11:00.</t>
  </si>
  <si>
    <t>1. SR080096
2. SR079987
3. SR080388</t>
  </si>
  <si>
    <t>1. Inverter 2 tripped on 08/07 and back online 01/10 but not communicating</t>
  </si>
  <si>
    <t xml:space="preserve"> 1. SR078114</t>
  </si>
  <si>
    <t>1.Inverter 2 was online only on 01/10,01/11 and 01/29</t>
  </si>
  <si>
    <t xml:space="preserve"> 1. SR078935</t>
  </si>
  <si>
    <t>1.Inverter 5 is offline on 01/24 and back online at 09:45 on 01/30</t>
  </si>
  <si>
    <t xml:space="preserve"> 1.SR080445</t>
  </si>
  <si>
    <t>1. Inverter 3 tripped offline on 12/14
2.Inverters 8 and 9 are offline since 08/17/2023 due to damage to the AC relay
3.Inverter 2 is offline on 01/21 and back online on 01/22 at 14:30
4. Inverter 2 and 15 are offline from 01/27</t>
  </si>
  <si>
    <t xml:space="preserve">1. SR079260
2. SR078106
3. SR080373
4. SR080525	</t>
  </si>
  <si>
    <t>1. Inverters 6,10,15, have been offline since the commencement of the site. SMA is RMAing the inverters
2.Inverter 13 was offline 09/09/2023 from  and back online on 01/17/2024
3.Inverter 16 was offline from 01/15.</t>
  </si>
  <si>
    <t>1. SR078111
2. SR079970
3. SR079971</t>
  </si>
  <si>
    <t>1.Inverter #3  had its three strings capped off</t>
  </si>
  <si>
    <t xml:space="preserve"> 1.SR079277</t>
  </si>
  <si>
    <t>1.Inverter 36 tripped offline on 01/03 11:00 and back online on 01/04 at 13:00</t>
  </si>
  <si>
    <t xml:space="preserve"> 1.SR079920</t>
  </si>
  <si>
    <t>February Actual v. Expected</t>
  </si>
  <si>
    <t>February Actual v. Forecasted</t>
  </si>
  <si>
    <t>1. Inverter was offline on 02/12 and back online on 02/13
2. The inverter was offline on 02/23 and came back online on 02/26.</t>
  </si>
  <si>
    <t>1. SR080937
2. SR081271</t>
  </si>
  <si>
    <t>1. The inverter 1.1 is offline on 02/08 and back online on 02/09.</t>
  </si>
  <si>
    <t>1. SR080873</t>
  </si>
  <si>
    <t>1. Site is offline on 02/07, 02/10, 02/14, 02/17, 02/21, 02/23 to 02/25</t>
  </si>
  <si>
    <t>1. SR081005</t>
  </si>
  <si>
    <t>1. Inverter 2 has been underperforming by 40kW compared to inverter 1 since 02/09.</t>
  </si>
  <si>
    <t>1. SR081066</t>
  </si>
  <si>
    <t>1. The site was offline on 02/13, and the technician reset the inverters' AC disconnects, bringing it back online on 02/22 at 13:00.
2. All the inverters tripped offline on 02/25, and the technician reset them, bringing them back online on 02/26 at 9:00.</t>
  </si>
  <si>
    <t>1. SR080401
2. SR081307</t>
  </si>
  <si>
    <t>1. The primary unit of Inverter 1 started late on 02/10, 02/23, 02/27, and 02/28.</t>
  </si>
  <si>
    <t>1. SR080914</t>
  </si>
  <si>
    <t>1. The inverter 3 is offline on 02/06 and back online on 02/12 at 12:00pm.
2. Site tripped offline on 02/12 at 08:00am and came back online at 12:00pm on the same day.</t>
  </si>
  <si>
    <t>1. SR080762
2. 	SR080934</t>
  </si>
  <si>
    <t>1. The inverter 10 center unit has been offline since 02/26.</t>
  </si>
  <si>
    <t>1. SR081412</t>
  </si>
  <si>
    <t xml:space="preserve">1. The left unit of Inverter 2 has been offline since 02/12 and came back online on 02/20.
</t>
  </si>
  <si>
    <t xml:space="preserve">1. SR080942
</t>
  </si>
  <si>
    <t>1. Inverter 2 (which is inverter 1 in PowerTrack) left unit is offline on 02/18 and back online on 02/26 at 10:30AM</t>
  </si>
  <si>
    <t>1.SR081106, SR081210</t>
  </si>
  <si>
    <t xml:space="preserve">1.Inverter 4 is offline due to an isolation fault on 02/23
</t>
  </si>
  <si>
    <t xml:space="preserve">1.SR081267
</t>
  </si>
  <si>
    <t>1.Inverter 3 left unit is offline from 02/01 and back online on 02/22 at 11:00</t>
  </si>
  <si>
    <t>1. Site was offline due to transformer issue.</t>
  </si>
  <si>
    <t xml:space="preserve">1.Inverter 1 central unit tripped offline on 02/06 at 15:00 and back online 02/16 at 07:00
2.Inverter 2 primary unit offline from 02/06 and back online on 02/16 at 07:00
3.Inverter 3 right unit tripped offline at 15:00 on 02/07 and back online on 02/16 at 11:00
4.Inverter 4 left unit is offline from 02/07 and back online on 02/16 at 11:00AM </t>
  </si>
  <si>
    <t>1.SR080835
2.SR080836
3.SR080476
4.SR080837</t>
  </si>
  <si>
    <t>1.Inverter 4 tripped offline on 02/09 at 15:15 and back online on 02/14 at 09:15 AM and gain tripped offline on 02/23 at 09:00AM and back online at 11:30AM while technician at site</t>
  </si>
  <si>
    <t>1.SR080913</t>
  </si>
  <si>
    <t>1.  Inverter 2 left unit is offline since 02/15</t>
  </si>
  <si>
    <t>1. SR081335</t>
  </si>
  <si>
    <t>1. Inverter 2 left unit is tripped offline on 02/01 at 12:00pm and back online on 02/16</t>
  </si>
  <si>
    <t>1. SR080859</t>
  </si>
  <si>
    <t>1.Inverter 1 tripped offline on 02/04 at 08:15 AM and back online on 02/05 at 11:30AM
   Inverter 1 started late on 02/07 at 12:00PM while PE is at site
   Inverter 1 again tripped offline on 02/09 at 09:00AM and back online on 02/10 at 11:30AM 
   Inverter 1 again tripped offline on 02/11 at 09:00AM and back online on 02/12 at 13:00
   Inverter 1 again tripped offline on 02/20 at 08:45AM and back online on 02/21 at 11:30AM
   Inverter 1 is offline on 02/22 at 08:15AM and back online at 13:15 on 02/22 due to PE at site 
   On 02/23 Inverter 1 started late at 09:15AM while PE is at site</t>
  </si>
  <si>
    <t>1.SR080711</t>
  </si>
  <si>
    <t>1. Inverter 2 tripped offline at 11:00 on 02/14 and back online at 13:30 on 02/15 but combiner box 5 is disconnected due to thermal damage</t>
  </si>
  <si>
    <t>1. SR080998</t>
  </si>
  <si>
    <t xml:space="preserve">1. Inverters 23,24,25,26,27 tripped offline at 10:10 on 02/05 and back online at 13:10 on 02/06.
    Inverters 23,24,25,26,27 tripped offline at 10:00 on 02/19 and back online at 12:30 on 02/20.
    Inverters again tripped offline at 14:00 on 02/22 and back online at 14:00 on 02/29.
2. Site had a brief outage from 10:15 to 10:55 am on 02/22. Inverter 15 was offline after site outage and back online at 07:00 am on 02/23
</t>
  </si>
  <si>
    <t>1. SR080730, SR081102,  SR081202
2. SR081184</t>
  </si>
  <si>
    <t>1. Inverter 11 tripped offline at 10:30 on 02/27 and back online at 08:30 on 02/28</t>
  </si>
  <si>
    <t>1. SR081363</t>
  </si>
  <si>
    <t>1. Inverter 1 is offline from 1/30 and back online at 12:30 on 02/02</t>
  </si>
  <si>
    <t>1. SR080606</t>
  </si>
  <si>
    <t>1. Site was offline from 13:00 to 14:00 on 02/16
2. Inverter 3 tripped offline at 12:10 PM on 02/25 and back online at 12:15 PM on 02/27</t>
  </si>
  <si>
    <t>1. SR081058
2. SR081316</t>
  </si>
  <si>
    <t>1. Expected energy is not populating from 01/19/2024 - awaiting GPM support</t>
  </si>
  <si>
    <t>1. Meter not reporting power from 02/01 to 02/22 till 15:30, added inverter generation since meter didn't capture enitre generation of this month</t>
  </si>
  <si>
    <t>1. SR080648</t>
  </si>
  <si>
    <t>1. Site tripped offline from 01/30 and back online at 15:30 on 02/06
2. Inverter 1 tripped offline at 13:00 on 02/18 and back online EOD on 02/19
3. Inverter 2 tripped offline on 02/17, back online on 02/18 morning and again tripped offline at 12:35pm on 02/18 due AC contactor fault  and back online EOD on 02/19
4.   Both inverters have tripped offline and reporting instantaneous over current fault on 02/20 and back online at 13:05pm</t>
  </si>
  <si>
    <t>1. 	SR080622
2. SR081089
3. SR081080
4.  SR081125</t>
  </si>
  <si>
    <t>1. Inverter 3 tripped multiple times in the month
2. Inverters 4 are offline multiple times in the month and back online by midday
3. Inverter 2 has tripped offline on  02/17</t>
  </si>
  <si>
    <t>1. SR081289
2. SR081073	
3. SR081072</t>
  </si>
  <si>
    <t>1. Inverter 1 was offline on 02/01 from 07:00 and back online at 13:00 on 02/01
2. Site tripped offline at 17:00 on 02/28 and back online at 16:00 on 03/01</t>
  </si>
  <si>
    <t>1. 	SR080447
2. SR081429</t>
  </si>
  <si>
    <t xml:space="preserve">1. Meter 1 is not reporting production from 02/14, meter 2 looks good. Added cumulative energy values of inverters 1 &amp; 2 since meter 1 is not reporting from 02/14 </t>
  </si>
  <si>
    <t>1. SR081032</t>
  </si>
  <si>
    <t>1. Inverter 3 tripped offline on 02/29/2024 at 04:40PM and back online on 03/01/2024 at 07:00AM.
2. Inverter 4 tripped offline on 02/29/2024 at 05:00PM and back online on 03/01/2024 at 07:00PM.</t>
  </si>
  <si>
    <t>1. SR081477
2. SR081478</t>
  </si>
  <si>
    <t>1. Inverter 5 tripped offline on 02/03/2024 at 12:00PM and back online on 02/06/2024 at 10:15AM.
2. Inverter 30 tripped offline on 02/06/2024 at 11:45PM and back online on 02/06/2024 at 13:15.</t>
  </si>
  <si>
    <t>1. SR080693
2. SR080773</t>
  </si>
  <si>
    <t>1. Site tripped offline on 02/01/2024 at 04:50PM and later back online on 02/02/2024 at 05:10PM.
2. Inverter 2 was offline from 02/03/2024 and later back online on 02/05/2024 at 02:10PM.</t>
  </si>
  <si>
    <t>1. SR080659
2. SR080203, 	SR080690</t>
  </si>
  <si>
    <t>1. Site tripped offline 02/08/2023 at 02:05PM and back online on 02/09/2024 at 03:20PM.</t>
  </si>
  <si>
    <t>1. SR080885</t>
  </si>
  <si>
    <t xml:space="preserve">1. Site tripped offline  from 02/28 at 21:15PM and back online on 03/01 at 11 am </t>
  </si>
  <si>
    <t>1. SR081431</t>
  </si>
  <si>
    <t>1.  Site tripped offline  from 02/28 at 21:15 and back online at 08:50AM on 2/29</t>
  </si>
  <si>
    <t>1.  SR081432</t>
  </si>
  <si>
    <t xml:space="preserve">1. Site tripped offline at 08:55AM on 02/06 and back online at 12:55
</t>
  </si>
  <si>
    <t>1. SR080763</t>
  </si>
  <si>
    <t>1. Site tripped offline at 08:55AM on 02/06 and back online at 12:55</t>
  </si>
  <si>
    <t>1.  	SR080764</t>
  </si>
  <si>
    <t>1. Inverter 1 is getting continuously tripping due to transformer pressure relief valve and it also causing communication outage for the entire site</t>
  </si>
  <si>
    <t>1. SR080591</t>
  </si>
  <si>
    <t>1. Site tripped offline on 02/06/2024 at 08:55am &amp; back online at 12:45pm</t>
  </si>
  <si>
    <t>1.SR080765</t>
  </si>
  <si>
    <t xml:space="preserve">1. Site tripped offline on 02/06/2024 at 08:55 &amp; back online at 12:45. </t>
  </si>
  <si>
    <t>2.SR080766</t>
  </si>
  <si>
    <t xml:space="preserve">1. Site is offline on 02/09/2024 while tech is on site 12:30 to 14:00, site is offline on 02/22/2024 while tech is on site from 12:00 to 15:35. 
2. Site was taken offline by tech while on site - 02/28/2024 at 13:15 to 14:00. </t>
  </si>
  <si>
    <t>1.SR079118
2.SR081218</t>
  </si>
  <si>
    <t>1. Inverter is offline most of the days, from 02/06 to 02/28</t>
  </si>
  <si>
    <t>1. SR080654, SR081286</t>
  </si>
  <si>
    <t xml:space="preserve">1. Site was taken offline on 02/16/2024 by EV Solar from 09:00 to 12:00. 
2. Site is offline from 02/29/2024 &amp; back online on 03/01/2024 at 17:50. </t>
  </si>
  <si>
    <t>1.SR078378
2.SR081435</t>
  </si>
  <si>
    <t>1. Site is offline on 02/20/2024 at 14:55 &amp; back online at 08:35AM on 02/21/2024. 
2. Site tripped offline 02/28/2024 at 19:15 &amp; back online on 03/01/2024 at 08:00</t>
  </si>
  <si>
    <t>1. SR081137
2. SR081430</t>
  </si>
  <si>
    <t>1. Site started production from 02/02.
Site is offline on 02/05/2024 &amp; back online at 15:35 on same day &amp; again tripped offline on 02/06/2024 at 08:10 &amp; back online on 02/07/2024 at 08:40. 
Inverter 2 tripped offline on 02/09/2024 at 7:35am &amp; back online at 13:50. 
Site was offline by EV Solar on 02/16/2024 at 08:00 to 15:00. 
Site was taken offline on 02/26/2024 at 10:55 &amp; site was back online at 02/28/2024 at 14:</t>
  </si>
  <si>
    <t>1.SR080731</t>
  </si>
  <si>
    <t>1. Inverter 1 is offline at 11:45AM and back online at 13:00 and Inverter 2 is offline at 13:15 to 14:30 while technician is onsite on 02/06
2. Site tripped offline due to utility outage on 02/22 at 11 am to 11:45 am.
3. Inverter 1 did not start up from 02/25</t>
  </si>
  <si>
    <t>1.SR080509
2.SR081185
3.SR081302</t>
  </si>
  <si>
    <t>1. Inverter 2 is back online on 02/02 at 14:30
2. Site is offline on 02/06 from 10:00AM to 10:45AM while tech is onsite to troubleshoot with trackers
3. Site tripped offline due to utility outage on 02/22 at 11 am to 11:45 am.
4. DC Zones (SA3) 1 tripped offline on 02/04 at 12:00pm and back online on 02/05</t>
  </si>
  <si>
    <t>1.SR079987
2.SR080739
3.SR081186
4.SR080721</t>
  </si>
  <si>
    <t>1.Inverter 11 tripped offline on 02/19 at 11:15AM and back online at 16:00</t>
  </si>
  <si>
    <t>1.SR081112</t>
  </si>
  <si>
    <t>1.Inverter 2 had an AC contactor fail on 02/27</t>
  </si>
  <si>
    <t>1.SR081366</t>
  </si>
  <si>
    <t>1. Inverter 5 is offline and reporting " Fault Current" from 02/11/2024</t>
  </si>
  <si>
    <t>1. SR080925</t>
  </si>
  <si>
    <t>1. Inverters 2 and 15 are offline and reporting "fault current" from 01/27/2024
2. Inverters 8 and 9 are offline since 08/17/2023 due to damage to the AC relay
3.  Inverter 3 tripped offline from 12/14  and reporting "Fault Current".</t>
  </si>
  <si>
    <t>1. SR080525
2. SR078106
3.  SR079260</t>
  </si>
  <si>
    <t>1. Inverters 6,10,15, have been offline since the commencement of the site. SMA is RMAing the inverters
2. Inverter 17 tripped offline on 02/23/2024 due to "electric arc detected" 
3. Inverter 16 was offline from 01/15.</t>
  </si>
  <si>
    <t>1. SR078111
2. SR081250
3. SR079971</t>
  </si>
  <si>
    <t>1. Inverter 5 did not start on 02/23/2024 &amp; 2/28/24</t>
  </si>
  <si>
    <t>1. SR081416</t>
  </si>
  <si>
    <t>1. Inverter 7 is derating due to a fan fault (production impact was minor and can be obseved from 02/08)</t>
  </si>
  <si>
    <t>1. SR081341</t>
  </si>
  <si>
    <t>1. SR082925</t>
  </si>
  <si>
    <t>1. Inverter 5 is offline on 02/13 due to "bus differential high" fault</t>
  </si>
  <si>
    <t>1. SR080961</t>
  </si>
  <si>
    <t>March Actual v. Expected</t>
  </si>
  <si>
    <t>March Actual v. Forecasted</t>
  </si>
  <si>
    <t>1. Inverter tripped offline on 03/28 at 17:00 and back online on 03/29 at 17:45
2. Inverter tripped offline on 03/30 at 14:30 and back online on 04/01 at 11:00</t>
  </si>
  <si>
    <t>1. SR082894
2. SR082942</t>
  </si>
  <si>
    <t>1. Site started late at 12:00pm on 03/25 and on 03/26 site was offline between 08:00am to 13:00</t>
  </si>
  <si>
    <t>1. SR082722</t>
  </si>
  <si>
    <t>1. Inverter 3 tripped offline on 03/14 at 13:00 and back online on 03/20 at 11:00</t>
  </si>
  <si>
    <t>1. SR081918</t>
  </si>
  <si>
    <t>1. Inverter B is offline on 03/20 and back online on 03/21 and inverter is again offline on 03/25 and backonline on 03/26</t>
  </si>
  <si>
    <t>1. SR082252</t>
  </si>
  <si>
    <t>1. Weather station 2 showing erroneous value for whole month.</t>
  </si>
  <si>
    <t>1. SR082250</t>
  </si>
  <si>
    <t>1. Inverter 2 tripped offline on 03/17 at 13:15 and back online on 03/18 and again tripped offline on 03/18 at 14:30.</t>
  </si>
  <si>
    <t>1.SR081975</t>
  </si>
  <si>
    <t>1. Inverter 2 central unit is offline on 03/08 and back online on 03/12</t>
  </si>
  <si>
    <t>1. SR081701</t>
  </si>
  <si>
    <t>1. Inverter tripped offline on 03/19 at 11:00 am and back online on 03/20. Right unit is RMA'd on 03/22.</t>
  </si>
  <si>
    <t>1.SR082110</t>
  </si>
  <si>
    <t>1. Inverter 2 is offline from 03/05 and being RMA'd</t>
  </si>
  <si>
    <t>1. SR075645</t>
  </si>
  <si>
    <t>1. Inverter 1 is underproducing due to multiple tripping on left and right unit from 03/21.</t>
  </si>
  <si>
    <t>1. SR082762</t>
  </si>
  <si>
    <t>1. Inverter 3 right unit is underproducing approximately 12kW  for whole month</t>
  </si>
  <si>
    <t>1. SR081580</t>
  </si>
  <si>
    <t>1. Site tripped offline on 03/01 and back online on 03/04 at 11am
2. Site is offline on 03/27 and back online on 03/28 at 14:30 and again the site is offline on 03/29 and back online at 13:00 on 03/29</t>
  </si>
  <si>
    <t>1. SR081486
2. SR082799</t>
  </si>
  <si>
    <t xml:space="preserve">1. Site was taken offline by the technician on 03/21 at 13:00 &amp; back online on 03/22 at 13:00. </t>
  </si>
  <si>
    <t>1.SR082347</t>
  </si>
  <si>
    <t>1. Site is offline throughout the month due to transformer issue.</t>
  </si>
  <si>
    <t>1.SR077239</t>
  </si>
  <si>
    <t xml:space="preserve">1. Inverter 2 left unit is offline from 02/15 &amp; continued till 03/15. </t>
  </si>
  <si>
    <t>1.SR081335</t>
  </si>
  <si>
    <t>1. Site was  on battery mod on 03/07 at 12:45 &amp; back online at 14:15. 
2. Site is offline on 03/27 &amp; continued throughout the month. 
3. Inverter 5 derated from 08:00 to 10:35 on 03/01/23024</t>
  </si>
  <si>
    <t>1.SR082874
2.SR082874
3. SR081494</t>
  </si>
  <si>
    <t>1. Inverter 2 CB 5 is offline for whole month.</t>
  </si>
  <si>
    <t xml:space="preserve">1. Inverter 12 tripped offline on 03/08 and back online on 03/11 
2. Inverter 12 again tripped offline on 03/12 at 10:35 and back online on 03/13 at 10:35
3. Inverter 7 tripped offline on 03/29 at 10:40 and back online on 04/01
4. Inverter 13 tripped offline on 03/29 17:25 and back online on 04/01 </t>
  </si>
  <si>
    <t>1. SR081708
2. SR081833
3. SR082896
4. SR082917</t>
  </si>
  <si>
    <t>1. Inverter 1 tripped offline at 16:40 on 03/24 &amp; back online on 03/25 at 14:15</t>
  </si>
  <si>
    <t>1.SR082613</t>
  </si>
  <si>
    <t xml:space="preserve">1. Site tripped offline at 14:00 on 03/04 &amp; back online at 12:55 on 03/08. 
2. Site is offline from 07:30 to 12:15 on 03/25. 
3. Site was taken offline by the technician 12:00 to 12:45 on 02/13. </t>
  </si>
  <si>
    <t>1. SR081561
2.SR082703
3. SR081848</t>
  </si>
  <si>
    <t xml:space="preserve">1. Inverter 1 tripped offline on 03/11 from 10:00 to 15:05. 
2. Site tripped offline on 03/12 from 11:00 to 14:00  </t>
  </si>
  <si>
    <t>1.SR081756
2.SR081804</t>
  </si>
  <si>
    <t>1. Inverter 3 is offline on 03/19, 03/21, 03/22, 03/25, 03/29 and 03/30 due to temperatur fault</t>
  </si>
  <si>
    <t>1. SR081289</t>
  </si>
  <si>
    <t>1. Site tripped offline on 02/28 at 18:15and back online on 03/01 at 16:05</t>
  </si>
  <si>
    <t>1. SR081429</t>
  </si>
  <si>
    <t>1. Inverter 1 CB 12.3 tripped offline on 03/04 and back online on 03/06
2. CB 02 is offline on 03/19 and back online on 03/20</t>
  </si>
  <si>
    <t>1. SR081550
2. SR082126</t>
  </si>
  <si>
    <t>1. CB 4 tripped offline on 3/18/24. Also there is a mislabeling issue between CBs 3 and 4 and back online at 11:35 on 03/22.</t>
  </si>
  <si>
    <t>1. SR082281</t>
  </si>
  <si>
    <t>1. Inverter 30 tripped offline on 14/03 and back online on 13/15
2. Inverters 1-20 are not started for production on 03/11 and started for production on 03/12 at 14:30  and data was backfilled.
3. Inverter 23  tripped offline 03/24 and being RMA'd</t>
  </si>
  <si>
    <t>1. SR081904
2. SR081770
3. SR082624</t>
  </si>
  <si>
    <t>1. Inverter 1 didn't started for production and reporting "Isolation fault" on 03/03 and later it started production at 10:45am on 03/03.
2. Site tripped offline at 3:35pm on 03/20 and back online on 03/23.</t>
  </si>
  <si>
    <t>1. SR081524
2. SR082282</t>
  </si>
  <si>
    <t xml:space="preserve">1.  Inverter 4 tripped offline at  12:20pm due to isolation fault on 03/09 and back online at 2:00pm on 03/09. and again tripped offline at 8:45am on 03/13 and back online at 09:10am on 03/13 and again tripped offline at 8:40am on 03/14 and back online at 9:05am on 03/14.
</t>
  </si>
  <si>
    <t>1. SR081717</t>
  </si>
  <si>
    <t>1.  Inverters 1,2 are tripped offline and reporting "Instantaneous over current fault" from  03/18.</t>
  </si>
  <si>
    <t>1. SR082000</t>
  </si>
  <si>
    <t>1. Site tripped offline at 06:35 AM, meter voltages dropped to zero on 03/22 and back online on 03/23 at 4:50pm.
2. Site tripped offline at 08:20am, meter voltages dropped to zero on 03/29  and came back online at 3:25pm on 03/29</t>
  </si>
  <si>
    <t>1. SR082362
2. SR082887</t>
  </si>
  <si>
    <t>1. Site is offline, meter voltages dropped to zero at 06:35am on 03/22 and back online on 03/23 at 4:45pm.
2. Site tripped offline at 08:20am, meter voltages dropped to zero on 03/29 and back online at  1:05pm on 03/29.</t>
  </si>
  <si>
    <t>1. SR082359
2. SR082888</t>
  </si>
  <si>
    <t>1. Site was offline from 03/12 to 03/18 due to utility planned outage.</t>
  </si>
  <si>
    <t>1. SR079967</t>
  </si>
  <si>
    <t>1. Site was offline from 03/12 to 03/18 due to utility planned outage.
2. Inverter tripped offline at 10:00am on 03/20 and back online at 11:00am on 03/20</t>
  </si>
  <si>
    <t>1. SR079968
2. SR082218</t>
  </si>
  <si>
    <t>1. SR079969</t>
  </si>
  <si>
    <t>1. Site tripped offline on 02/28 at 18:00 and back online on 03/01 at 17:50
2. Site tripped offline on 03/05 at 09:30am and back online on 03/06 at 18:40
3. Inverter 1 Combiner box 1 &amp; 2 are offline from 03/07 and back online on 03/08
4. Site tripped offline on 03/11 at 13:15pm and back online on 03/12 at 03:30am
5. Inverter 1 tripped offline on 03/12 at 13:35 and back online at 16:35
6. Site was taken offline by EV solar on 03/14 at 10:35am to 12:40pm and few combiners were left offline and site was again taken offline on 03/18, 03/19. Inverter 1 taken offline on 03/20 and re-energised on 03/21</t>
  </si>
  <si>
    <t>1. SR081435
2. SR081581
3. SR081633
4. SR081779
5. SR081817
6. SR081749</t>
  </si>
  <si>
    <t>1. Inverter is exceeding its max limit and sometimes derating at 2175kW
2. EV Solar taken site offline to install cable division on 03/12 between 08:10 to 11:30, 03/13 between 13:40 to 15:55 and on 03/14 between 08:50 to 09:30</t>
  </si>
  <si>
    <t xml:space="preserve">1. SR081137
2. SR081795, SR081846
</t>
  </si>
  <si>
    <t>1. EV Solar de-energized inverter 2 on 03/13 between 15:00 to 15:30 to replace hinge on main inverter door.</t>
  </si>
  <si>
    <t xml:space="preserve">1. SR081855 </t>
  </si>
  <si>
    <t>1. CB 1-09 is offline on 03/15 and back online on 03/19 at 9:15AM.
2. Inverter 1 did not start for production with error message "Faulty switching status of the DC on 02/25 and back online on 03/14</t>
  </si>
  <si>
    <t>1. SR081950
2. SR081302</t>
  </si>
  <si>
    <t>1. Inverter 11 tripped offline on 03/22 at 10:30AM and is being RMA'd</t>
  </si>
  <si>
    <t>1. SR081812</t>
  </si>
  <si>
    <t>1. Inverter 2 tripped offline at 15:00 on 03/14 and is back online at 8:30am on 03/15</t>
  </si>
  <si>
    <t>1. SR081921</t>
  </si>
  <si>
    <t>1. Inverter 5 is offline and reporting " Fault Current" from 03/28/2024</t>
  </si>
  <si>
    <t>1. SR082872</t>
  </si>
  <si>
    <t>1. Inverter 15 is offline from 01/27 and back online on 03/12 and again offline from 03/16 and back online at 10:00am on 03/26.
2. Inverter 25 is offline from 03/26
3. Inverter 2 is offline from 01/27 and back online on 03/12.
4.  Inverters 8 and 9 are offline since 08/17/2023 due to damage to the AC relay
5. Inverter 3 tripped offline  from 12/14 and reporting "Fault Current" and back online on 03/12.</t>
  </si>
  <si>
    <t>1. SR081958
2. SR082788
3. SR080525
4. SR078106
5. SR079260</t>
  </si>
  <si>
    <t>1. Inverter 16 is offline for whole month.
2. Inverter 15 did not start for production on 03/26 and later it started for production on 03/27.
3. Inverter 4 didn't start for the production on 03/27 and back online on 03/29.</t>
  </si>
  <si>
    <t>1. SR082659
2. SR082781
3. SR082814</t>
  </si>
  <si>
    <t xml:space="preserve">1. Inverter 7 is derating due to fan fault and fan being RAM'd 
2. Inverter 9 is derating due to fan fault and fan being RAM'd 
3. Inverter 5 is underperforming and fan being RAM'd </t>
  </si>
  <si>
    <t>1. SR081341
2. SR081548
3. SR081549</t>
  </si>
  <si>
    <t>1. Inverter 37 is offline on 03/30 and back online on 03/31 at 09:00am</t>
  </si>
  <si>
    <t>1. Inverter 5 is offline on 03/23 and back online on 03/24</t>
  </si>
  <si>
    <t>1. SR082600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</si>
  <si>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</si>
  <si>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</si>
  <si>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</si>
  <si>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</si>
  <si>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</si>
  <si>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</si>
  <si>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</si>
  <si>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</si>
  <si>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</si>
  <si>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</si>
  <si>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</si>
  <si>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</si>
  <si>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</si>
  <si>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</si>
  <si>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</si>
  <si>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</si>
  <si>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</si>
  <si>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</si>
  <si>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</si>
  <si>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Generate Capital</t>
  </si>
  <si>
    <t>Site DAS Name</t>
  </si>
  <si>
    <t>Update</t>
  </si>
  <si>
    <t>DAS</t>
  </si>
  <si>
    <t>ASU - Farmer</t>
  </si>
  <si>
    <t>Farmer</t>
  </si>
  <si>
    <t>AZ</t>
  </si>
  <si>
    <t>PowerTrack</t>
  </si>
  <si>
    <t>ASU - Fulton</t>
  </si>
  <si>
    <t>Fulton</t>
  </si>
  <si>
    <t>JFK Elementary</t>
  </si>
  <si>
    <t>ASU - Noble</t>
  </si>
  <si>
    <t>Noble</t>
  </si>
  <si>
    <t>ASU - Parking #3</t>
  </si>
  <si>
    <t>Parking 3</t>
  </si>
  <si>
    <t>ASU - PE East</t>
  </si>
  <si>
    <t>PE East</t>
  </si>
  <si>
    <t>ASU - Schwada</t>
  </si>
  <si>
    <t>Schwada</t>
  </si>
  <si>
    <t>Starshine</t>
  </si>
  <si>
    <t>Yuma Airport</t>
  </si>
  <si>
    <t>CV Kinsman</t>
  </si>
  <si>
    <t>Kinsman</t>
  </si>
  <si>
    <t>OH</t>
  </si>
  <si>
    <t>CV Wooster</t>
  </si>
  <si>
    <t>Wooster</t>
  </si>
  <si>
    <t>GCC Globe Solar PV</t>
  </si>
  <si>
    <t>Globe Gila CC</t>
  </si>
  <si>
    <t>GCC Payson Solar PV</t>
  </si>
  <si>
    <t>Payson Gila CC</t>
  </si>
  <si>
    <t>Southwest College Naturopathic Medicine</t>
  </si>
  <si>
    <t>SCNM</t>
  </si>
  <si>
    <t>Sequoia Charter School</t>
  </si>
  <si>
    <t>RCAB - Pastoral Center</t>
  </si>
  <si>
    <t>RCAB</t>
  </si>
  <si>
    <t>MA</t>
  </si>
  <si>
    <t>Claremont Flock</t>
  </si>
  <si>
    <t>Spectro Coatings</t>
  </si>
  <si>
    <t>K026</t>
  </si>
  <si>
    <t>NY</t>
  </si>
  <si>
    <t>K041</t>
  </si>
  <si>
    <t>K043 Brooklyn</t>
  </si>
  <si>
    <t>K043</t>
  </si>
  <si>
    <t>K058</t>
  </si>
  <si>
    <t>K115</t>
  </si>
  <si>
    <t>K152</t>
  </si>
  <si>
    <t>K166</t>
  </si>
  <si>
    <t>K206</t>
  </si>
  <si>
    <t>K251</t>
  </si>
  <si>
    <t>K269</t>
  </si>
  <si>
    <t>K273</t>
  </si>
  <si>
    <t>K287</t>
  </si>
  <si>
    <t>K298</t>
  </si>
  <si>
    <t>K335</t>
  </si>
  <si>
    <t>K345</t>
  </si>
  <si>
    <t>K445</t>
  </si>
  <si>
    <t>K495</t>
  </si>
  <si>
    <t>M020</t>
  </si>
  <si>
    <t>M092</t>
  </si>
  <si>
    <t>M143</t>
  </si>
  <si>
    <t>M144</t>
  </si>
  <si>
    <t>M167</t>
  </si>
  <si>
    <t>M188</t>
  </si>
  <si>
    <t>Elmhurst Hospital</t>
  </si>
  <si>
    <t>EMHC</t>
  </si>
  <si>
    <t>Q008</t>
  </si>
  <si>
    <t>Q018</t>
  </si>
  <si>
    <t>Q021</t>
  </si>
  <si>
    <t>Q025</t>
  </si>
  <si>
    <t>Q074</t>
  </si>
  <si>
    <t>Q115</t>
  </si>
  <si>
    <t>Q139</t>
  </si>
  <si>
    <t>Q157</t>
  </si>
  <si>
    <t>Q192</t>
  </si>
  <si>
    <t>Q210</t>
  </si>
  <si>
    <t>Q229</t>
  </si>
  <si>
    <t>Q231</t>
  </si>
  <si>
    <t>Q405</t>
  </si>
  <si>
    <t>Q435</t>
  </si>
  <si>
    <t>Q485</t>
  </si>
  <si>
    <t>Q490</t>
  </si>
  <si>
    <t>Q620</t>
  </si>
  <si>
    <t>Queens Museum of Art</t>
  </si>
  <si>
    <t>QMOA</t>
  </si>
  <si>
    <t>X024</t>
  </si>
  <si>
    <t>X026</t>
  </si>
  <si>
    <t>X090</t>
  </si>
  <si>
    <t>X117</t>
  </si>
  <si>
    <t>X125</t>
  </si>
  <si>
    <t>X134</t>
  </si>
  <si>
    <t>X135</t>
  </si>
  <si>
    <t>X-139  JHS 222</t>
  </si>
  <si>
    <t>X139 JHS 222</t>
  </si>
  <si>
    <t>X140</t>
  </si>
  <si>
    <t>X166</t>
  </si>
  <si>
    <t>Murphy (WaveSun)</t>
  </si>
  <si>
    <t>Murphy</t>
  </si>
  <si>
    <t>MN</t>
  </si>
  <si>
    <t>Terning (MontSun)</t>
  </si>
  <si>
    <t>Terning</t>
  </si>
  <si>
    <t>Boas Road 04</t>
  </si>
  <si>
    <t>GPM</t>
  </si>
  <si>
    <t>Kelly Bridge Farm</t>
  </si>
  <si>
    <t>Pool Brook Farm</t>
  </si>
  <si>
    <t>Pool Brook Road</t>
  </si>
  <si>
    <t>Sackett Lake Farm 1</t>
  </si>
  <si>
    <t>Sackett Lake</t>
  </si>
  <si>
    <t>Burritt Road</t>
  </si>
  <si>
    <t>Villa Roma 1</t>
  </si>
  <si>
    <t>Villa Roma 2</t>
  </si>
  <si>
    <t>Washington 1</t>
  </si>
  <si>
    <t>Washington 3</t>
  </si>
  <si>
    <t>Washington 4</t>
  </si>
  <si>
    <t>Big Tree</t>
  </si>
  <si>
    <t>Canoga</t>
  </si>
  <si>
    <t>County Route 84</t>
  </si>
  <si>
    <t>Donati</t>
  </si>
  <si>
    <t>Henrietta</t>
  </si>
  <si>
    <t>NY 70</t>
  </si>
  <si>
    <t>Reid (FFP)</t>
  </si>
  <si>
    <t>Reid</t>
  </si>
  <si>
    <t>Sangolqui</t>
  </si>
  <si>
    <t>State Highway 17B</t>
  </si>
  <si>
    <t>State Route 14A</t>
  </si>
  <si>
    <t>West Creek</t>
  </si>
  <si>
    <t>Wildflower</t>
  </si>
  <si>
    <t>Glen Mary 1</t>
  </si>
  <si>
    <t>Glen Mary 2</t>
  </si>
  <si>
    <t>Telegraph 1</t>
  </si>
  <si>
    <t>Telegraph 2</t>
  </si>
  <si>
    <t>Cafferty Hill</t>
  </si>
  <si>
    <t>Dunkleman</t>
  </si>
  <si>
    <t>Route 19 #1</t>
  </si>
  <si>
    <t>Route 19 1</t>
  </si>
  <si>
    <t>Route 19 #2</t>
  </si>
  <si>
    <t>Route 19 2</t>
  </si>
  <si>
    <t>Yellow Mills 1</t>
  </si>
  <si>
    <t>Yellow Mills 2</t>
  </si>
  <si>
    <t>Yellow Mills 3</t>
  </si>
  <si>
    <t>Catskill</t>
  </si>
  <si>
    <t>Eddy Ridge</t>
  </si>
  <si>
    <t>Ridgeway #1</t>
  </si>
  <si>
    <t>Rivard 1</t>
  </si>
  <si>
    <t>Rivard 2</t>
  </si>
  <si>
    <t>The Essex - DC</t>
  </si>
  <si>
    <t>Essex</t>
  </si>
  <si>
    <t>DC</t>
  </si>
  <si>
    <t>Temple Sinai</t>
  </si>
  <si>
    <t>Weinberg Commons #1</t>
  </si>
  <si>
    <t>Weinberg 1</t>
  </si>
  <si>
    <t>Weinberg Commons #2</t>
  </si>
  <si>
    <t>Weinberg 2</t>
  </si>
  <si>
    <t>Weinberg Commons #3</t>
  </si>
  <si>
    <t>Weinberg 3</t>
  </si>
  <si>
    <t>UD-John M.Clayton Hall</t>
  </si>
  <si>
    <t>Clayton Hall</t>
  </si>
  <si>
    <t>DE</t>
  </si>
  <si>
    <t>UD-Field House</t>
  </si>
  <si>
    <t>Field House</t>
  </si>
  <si>
    <t>UD-461 Wyoming Road</t>
  </si>
  <si>
    <t>Wyoming Road</t>
  </si>
  <si>
    <t>94-246 Leoku St. – PV Bldg E, F, G</t>
  </si>
  <si>
    <t>Leoku</t>
  </si>
  <si>
    <t>HI</t>
  </si>
  <si>
    <t>94-099 Waipahu St – PV</t>
  </si>
  <si>
    <t>Waipahu</t>
  </si>
  <si>
    <t>TES Bird in Hand</t>
  </si>
  <si>
    <t>Bird in Hand</t>
  </si>
  <si>
    <t>MD</t>
  </si>
  <si>
    <t>TES Shortal Solar LLC</t>
  </si>
  <si>
    <t>Shortal</t>
  </si>
  <si>
    <t>Coca Cola Aguadilla</t>
  </si>
  <si>
    <t>Aguadilla</t>
  </si>
  <si>
    <t>PR</t>
  </si>
  <si>
    <t>Coca Cola Bayamon</t>
  </si>
  <si>
    <t>Bayamon</t>
  </si>
  <si>
    <t>St Francis School</t>
  </si>
  <si>
    <t>St Francis</t>
  </si>
  <si>
    <t>645 Summer Street - (Seaport Solar)</t>
  </si>
  <si>
    <t>Seaport</t>
  </si>
  <si>
    <t>480 Sprague Street</t>
  </si>
  <si>
    <t>Sprague St</t>
  </si>
  <si>
    <t>647 Summer Street - (Summer Street Solar)</t>
  </si>
  <si>
    <t>Summer St</t>
  </si>
  <si>
    <t>Rochester Technical School (Wakefield Street)</t>
  </si>
  <si>
    <t>Brock St Vocational</t>
  </si>
  <si>
    <t>NH</t>
  </si>
  <si>
    <t>McLelland Elementary School (Brook Street)</t>
  </si>
  <si>
    <t>McClelland ES</t>
  </si>
  <si>
    <t>East Rochester School (Portland Street)</t>
  </si>
  <si>
    <t>Portland St</t>
  </si>
  <si>
    <t>Freshet Road - PHS</t>
  </si>
  <si>
    <t>Portsmouth HS</t>
  </si>
  <si>
    <t>Freshet Road - PWTP</t>
  </si>
  <si>
    <t>Portsmouth WTP</t>
  </si>
  <si>
    <t>Rochester Middle School (Brook Street)</t>
  </si>
  <si>
    <t>Rochester St</t>
  </si>
  <si>
    <t>Spaulding High School (Wakefield Street)</t>
  </si>
  <si>
    <t>Spaulding HS</t>
  </si>
  <si>
    <t>Ridgeway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</si>
</sst>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0" borderId="0" xfId="43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28" fillId="46" borderId="0" xfId="0" applyFont="1" applyFill="1" applyAlignment="1">
      <alignment horizontal="center" vertical="center"/>
    </xf>
    <xf numFmtId="0" fontId="29" fillId="46" borderId="0" xfId="0" applyFont="1" applyFill="1" applyAlignment="1">
      <alignment horizontal="center" vertical="center"/>
    </xf>
    <xf numFmtId="164" fontId="29" fillId="46" borderId="0" xfId="1" applyNumberFormat="1" applyFont="1" applyFill="1" applyBorder="1" applyAlignment="1">
      <alignment horizontal="center" vertical="center"/>
    </xf>
    <xf numFmtId="3" fontId="31" fillId="46" borderId="0" xfId="0" applyNumberFormat="1" applyFont="1" applyFill="1" applyAlignment="1">
      <alignment horizontal="right" vertical="center"/>
    </xf>
    <xf numFmtId="9" fontId="31" fillId="46" borderId="0" xfId="2" applyFont="1" applyFill="1" applyBorder="1" applyAlignment="1">
      <alignment horizontal="center" vertical="center"/>
    </xf>
    <xf numFmtId="3" fontId="31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45" borderId="1" xfId="0" applyFont="1" applyFill="1" applyBorder="1" applyAlignment="1">
      <alignment horizontal="left" vertical="top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164" fontId="29" fillId="47" borderId="0" xfId="1" applyNumberFormat="1" applyFont="1" applyFill="1" applyBorder="1" applyAlignment="1">
      <alignment horizontal="center" vertical="center"/>
    </xf>
    <xf numFmtId="49" fontId="38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1" fillId="46" borderId="0" xfId="0" applyNumberFormat="1" applyFont="1" applyFill="1" applyAlignment="1">
      <alignment horizontal="left" vertical="top" wrapText="1"/>
    </xf>
    <xf numFmtId="49" fontId="1" fillId="46" borderId="0" xfId="0" applyNumberFormat="1" applyFont="1" applyFill="1" applyAlignment="1">
      <alignment vertical="center" wrapText="1"/>
    </xf>
    <xf numFmtId="49" fontId="1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49" fontId="24" fillId="46" borderId="0" xfId="0" applyNumberFormat="1" applyFont="1" applyFill="1" applyAlignment="1">
      <alignment horizontal="left" vertical="top" wrapText="1"/>
    </xf>
    <xf numFmtId="49" fontId="31" fillId="38" borderId="0" xfId="2" applyNumberFormat="1" applyFont="1" applyFill="1" applyAlignment="1">
      <alignment vertical="top" wrapText="1"/>
    </xf>
    <xf numFmtId="49" fontId="31" fillId="46" borderId="0" xfId="2" applyNumberFormat="1" applyFont="1" applyFill="1" applyAlignment="1">
      <alignment vertical="top" wrapText="1"/>
    </xf>
    <xf numFmtId="0" fontId="24" fillId="0" borderId="0" xfId="0" applyFont="1" applyAlignment="1">
      <alignment wrapText="1"/>
    </xf>
    <xf numFmtId="4" fontId="24" fillId="0" borderId="0" xfId="0" applyNumberFormat="1" applyFont="1"/>
    <xf numFmtId="3" fontId="24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tin Bhoite [Libsys]" id="{867BCBE8-FECA-4FFD-8522-7D34F30E89C9}" userId="S::yatinb_libsysinc.com#ext#@ameresco.onmicrosoft.com::b4ffb4e5-d88f-4006-af80-b23c33f36b1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38" totalsRowShown="0">
  <autoFilter ref="A3:E1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1" dT="2024-03-04T13:50:49.99" personId="{867BCBE8-FECA-4FFD-8522-7D34F30E89C9}" id="{DF67D825-C883-44F2-8EA5-D891A5BC6DA2}">
    <text>Meter data is not available, energy values are taken from inverter.</text>
  </threadedComment>
  <threadedComment ref="C89" dT="2024-03-04T13:50:27.85" personId="{867BCBE8-FECA-4FFD-8522-7D34F30E89C9}" id="{A315C444-F93F-4C05-92FF-4E51C72D0B9B}">
    <text>Meter data is not available, energy values are taken from inverter.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42"/>
  <sheetViews>
    <sheetView workbookViewId="0">
      <pane xSplit="2" ySplit="3" topLeftCell="C131" activePane="bottomRight" state="frozen"/>
      <selection pane="bottomRight" activeCell="H138" sqref="H1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11" ht="19.5" customHeight="1">
      <c r="A2" s="78" t="s">
        <v>2</v>
      </c>
      <c r="B2" s="78"/>
      <c r="C2" s="6">
        <f>SUM(C4:C138)</f>
        <v>43321608.653466031</v>
      </c>
      <c r="D2" s="6">
        <f>SUM(D4:D138)</f>
        <v>18064132.094899997</v>
      </c>
      <c r="E2" s="6">
        <f>C2-D2</f>
        <v>25257476.558566034</v>
      </c>
      <c r="F2" s="7">
        <f>IFERROR(E2/D2, 0)</f>
        <v>1.3982114626861546</v>
      </c>
      <c r="G2" s="6">
        <f>SUM(G4:G138)</f>
        <v>34188211.908799991</v>
      </c>
      <c r="H2" s="8">
        <f>C2-G2</f>
        <v>9133396.7446660399</v>
      </c>
      <c r="I2" s="7">
        <f>IFERROR(H2/G2, 0)</f>
        <v>0.26715046604455844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>
        <f>SUM('1st Qtr'!C4, '2nd Qtr'!C4, '3rd Qtr'!C4, '4th Qtr'!C4)</f>
        <v>32706.293583600811</v>
      </c>
      <c r="D4" s="11">
        <f>SUM('1st Qtr'!D4, '2nd Qtr'!D4, '3rd Qtr'!D4, '4th Qtr'!D4)</f>
        <v>24705.273000000001</v>
      </c>
      <c r="E4" s="11">
        <f>IF(AND(ISNUMBER(C4),ISNUMBER(D4)), C4-D4, "")</f>
        <v>8001.0205836008099</v>
      </c>
      <c r="F4" s="12">
        <f>IFERROR(E4/D4, "")</f>
        <v>0.32385882089223661</v>
      </c>
      <c r="G4" s="13">
        <f>SUM('1st Qtr'!G4+'2nd Qtr'!G4+'3rd Qtr'!G4+'4th Qtr'!G4)</f>
        <v>33317.317000000003</v>
      </c>
      <c r="H4" s="13">
        <f>SUM('1st Qtr'!H4, '2nd Qtr'!H4, '3rd Qtr'!H4, '4th Qtr'!H4)</f>
        <v>-611.02341639919177</v>
      </c>
      <c r="I4" s="14">
        <f>IFERROR(H4/G4, "")</f>
        <v>-1.833951444527156E-2</v>
      </c>
      <c r="J4" s="38"/>
      <c r="K4" s="38"/>
    </row>
    <row r="5" spans="1:11" ht="15.75">
      <c r="A5" s="27" t="str">
        <v>Fulton</v>
      </c>
      <c r="B5" s="28" t="str">
        <v>AZ</v>
      </c>
      <c r="C5" s="10">
        <f>SUM(Jan!C5, Feb!C5, Mar!C5)</f>
        <v>107842</v>
      </c>
      <c r="D5" s="15">
        <f>SUM(Jan!D5, Feb!D5, Mar!D5)</f>
        <v>112159.54000000001</v>
      </c>
      <c r="E5" s="15">
        <f t="shared" ref="E5:E15" si="0">IF(AND(ISNUMBER(C5),ISNUMBER(D5)), C5-D5, "")</f>
        <v>-4317.5400000000081</v>
      </c>
      <c r="F5" s="16">
        <f>IFERROR(E5/D5, "")</f>
        <v>-3.8494630060002102E-2</v>
      </c>
      <c r="G5" s="17">
        <f>SUM('1st Qtr'!G5+'2nd Qtr'!G5+'3rd Qtr'!G5+'4th Qtr'!G5)</f>
        <v>138999.08000000002</v>
      </c>
      <c r="H5" s="17">
        <f>SUM(Jan!H5, Feb!H5, Mar!H5)</f>
        <v>-31157.08</v>
      </c>
      <c r="I5" s="16">
        <f>IFERROR(H5/G5, "")</f>
        <v>-0.22415313827976413</v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SUM(Jan!C6, Feb!C6, Mar!C6)</f>
        <v>52126.87</v>
      </c>
      <c r="D6" s="11">
        <f>SUM(Jan!D6, Feb!D6, Mar!D6)</f>
        <v>0</v>
      </c>
      <c r="E6" s="11">
        <f t="shared" si="0"/>
        <v>52126.87</v>
      </c>
      <c r="F6" s="12" t="str">
        <f t="shared" ref="F6:F15" si="1">IFERROR(E6/D6, "")</f>
        <v/>
      </c>
      <c r="G6" s="13">
        <f>SUM('1st Qtr'!G6+'2nd Qtr'!G6+'3rd Qtr'!G6+'4th Qtr'!G6)</f>
        <v>6126</v>
      </c>
      <c r="H6" s="13">
        <f>SUM(Jan!H6, Feb!H6, Mar!H6)</f>
        <v>46000.87</v>
      </c>
      <c r="I6" s="14">
        <f t="shared" ref="I6:I15" si="2">IFERROR(H6/G6, "")</f>
        <v>7.5091201436500166</v>
      </c>
      <c r="J6" s="38"/>
      <c r="K6" s="38"/>
    </row>
    <row r="7" spans="1:11" ht="15.75">
      <c r="A7" s="27" t="str">
        <v>Noble</v>
      </c>
      <c r="B7" s="28" t="str">
        <v>AZ</v>
      </c>
      <c r="C7" s="10">
        <f>SUM(Jan!C7, Feb!C7, Mar!C7)</f>
        <v>31148.242026522901</v>
      </c>
      <c r="D7" s="15">
        <f>SUM(Jan!D7, Feb!D7, Mar!D7)</f>
        <v>41886.080000000002</v>
      </c>
      <c r="E7" s="15">
        <f t="shared" si="0"/>
        <v>-10737.837973477101</v>
      </c>
      <c r="F7" s="16">
        <f t="shared" si="1"/>
        <v>-0.25635814985496613</v>
      </c>
      <c r="G7" s="17">
        <f>SUM('1st Qtr'!G7+'2nd Qtr'!G7+'3rd Qtr'!G7+'4th Qtr'!G7)</f>
        <v>36692.61</v>
      </c>
      <c r="H7" s="17">
        <f>SUM(Jan!H7, Feb!H7, Mar!H7)</f>
        <v>-5544.3679734771013</v>
      </c>
      <c r="I7" s="16">
        <f t="shared" si="2"/>
        <v>-0.1511031233122174</v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SUM(Jan!C8, Feb!C8, Mar!C8)</f>
        <v>72830.78</v>
      </c>
      <c r="D8" s="11">
        <f>SUM(Jan!D8, Feb!D8, Mar!D8)</f>
        <v>84541.3</v>
      </c>
      <c r="E8" s="11">
        <f t="shared" si="0"/>
        <v>-11710.520000000004</v>
      </c>
      <c r="F8" s="12">
        <f t="shared" si="1"/>
        <v>-0.1385183336428468</v>
      </c>
      <c r="G8" s="13">
        <f>SUM('1st Qtr'!G8+'2nd Qtr'!G8+'3rd Qtr'!G8+'4th Qtr'!G8)</f>
        <v>84122</v>
      </c>
      <c r="H8" s="13">
        <f>SUM(Jan!H8, Feb!H8, Mar!H8)</f>
        <v>-11291.220000000005</v>
      </c>
      <c r="I8" s="14">
        <f t="shared" si="2"/>
        <v>-0.13422434083830634</v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SUM(Jan!C9, Feb!C9, Mar!C9)</f>
        <v>74341.832213312213</v>
      </c>
      <c r="D9" s="15">
        <f>SUM(Jan!D9, Feb!D9, Mar!D9)</f>
        <v>57907.94</v>
      </c>
      <c r="E9" s="15">
        <f t="shared" si="0"/>
        <v>16433.892213312211</v>
      </c>
      <c r="F9" s="16">
        <f t="shared" si="1"/>
        <v>0.28379341785102719</v>
      </c>
      <c r="G9" s="17">
        <f>SUM('1st Qtr'!G9+'2nd Qtr'!G9+'3rd Qtr'!G9+'4th Qtr'!G9)</f>
        <v>80684.31</v>
      </c>
      <c r="H9" s="17">
        <f>SUM(Jan!H9, Feb!H9, Mar!H9)</f>
        <v>-6342.4777866877957</v>
      </c>
      <c r="I9" s="16">
        <f t="shared" si="2"/>
        <v>-7.8608564498944045E-2</v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SUM(Jan!C10, Feb!C10, Mar!C10)</f>
        <v>32098.550975245729</v>
      </c>
      <c r="D10" s="11">
        <f>SUM(Jan!D10, Feb!D10, Mar!D10)</f>
        <v>24254.970999999998</v>
      </c>
      <c r="E10" s="11">
        <f t="shared" si="0"/>
        <v>7843.5799752457315</v>
      </c>
      <c r="F10" s="12">
        <f t="shared" si="1"/>
        <v>0.3233803072881733</v>
      </c>
      <c r="G10" s="13">
        <f>SUM('1st Qtr'!G10+'2nd Qtr'!G10+'3rd Qtr'!G10+'4th Qtr'!G10)</f>
        <v>34500</v>
      </c>
      <c r="H10" s="13">
        <f>SUM(Jan!H10, Feb!H10, Mar!H10)</f>
        <v>-2401.4490247542708</v>
      </c>
      <c r="I10" s="14">
        <f t="shared" si="2"/>
        <v>-6.9607218108819438E-2</v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SUM(Jan!C11, Feb!C11, Mar!C11)</f>
        <v>14150.597000000002</v>
      </c>
      <c r="D11" s="15">
        <f>SUM(Jan!D11, Feb!D11, Mar!D11)</f>
        <v>0</v>
      </c>
      <c r="E11" s="15">
        <f t="shared" si="0"/>
        <v>14150.597000000002</v>
      </c>
      <c r="F11" s="16" t="str">
        <f t="shared" si="1"/>
        <v/>
      </c>
      <c r="G11" s="17">
        <f>SUM('1st Qtr'!G11+'2nd Qtr'!G11+'3rd Qtr'!G11+'4th Qtr'!G11)</f>
        <v>0</v>
      </c>
      <c r="H11" s="17">
        <f>SUM(Jan!H11, Feb!H11, Mar!H11)</f>
        <v>14150.597000000002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SUM(Jan!C12, Feb!C12, Mar!C12)</f>
        <v>197992</v>
      </c>
      <c r="D12" s="11">
        <f>SUM(Jan!D12, Feb!D12, Mar!D12)</f>
        <v>251330.95</v>
      </c>
      <c r="E12" s="11">
        <f t="shared" si="0"/>
        <v>-53338.950000000012</v>
      </c>
      <c r="F12" s="12">
        <f t="shared" si="1"/>
        <v>-0.2122259514795134</v>
      </c>
      <c r="G12" s="13">
        <f>SUM('1st Qtr'!G12+'2nd Qtr'!G12+'3rd Qtr'!G12+'4th Qtr'!G12)</f>
        <v>220637</v>
      </c>
      <c r="H12" s="13">
        <f>SUM(Jan!H12, Feb!H12, Mar!H12)</f>
        <v>-22645</v>
      </c>
      <c r="I12" s="14">
        <f t="shared" si="2"/>
        <v>-0.10263464423464785</v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SUM(Jan!C13, Feb!C13, Mar!C13)</f>
        <v>192799.109375</v>
      </c>
      <c r="D13" s="15">
        <f>SUM(Jan!D13, Feb!D13, Mar!D13)</f>
        <v>278939.84999999998</v>
      </c>
      <c r="E13" s="15">
        <f t="shared" si="0"/>
        <v>-86140.740624999977</v>
      </c>
      <c r="F13" s="16">
        <f t="shared" si="1"/>
        <v>-0.30881475208723308</v>
      </c>
      <c r="G13" s="17">
        <f>SUM('1st Qtr'!G13+'2nd Qtr'!G13+'3rd Qtr'!G13+'4th Qtr'!G13)</f>
        <v>217404</v>
      </c>
      <c r="H13" s="17">
        <f>SUM(Jan!H13, Feb!H13, Mar!H13)</f>
        <v>-24604.890625</v>
      </c>
      <c r="I13" s="16">
        <f t="shared" si="2"/>
        <v>-0.11317588740317565</v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SUM(Jan!C14, Feb!C14, Mar!C14)</f>
        <v>41860.5</v>
      </c>
      <c r="D14" s="11">
        <f>SUM(Jan!D14, Feb!D14, Mar!D14)</f>
        <v>0</v>
      </c>
      <c r="E14" s="11">
        <f t="shared" si="0"/>
        <v>41860.5</v>
      </c>
      <c r="F14" s="12" t="str">
        <f t="shared" si="1"/>
        <v/>
      </c>
      <c r="G14" s="13">
        <f>SUM('1st Qtr'!G14+'2nd Qtr'!G14+'3rd Qtr'!G14+'4th Qtr'!G14)</f>
        <v>49246</v>
      </c>
      <c r="H14" s="13">
        <f>SUM(Jan!H14, Feb!H14, Mar!H14)</f>
        <v>-7385.5</v>
      </c>
      <c r="I14" s="14">
        <f t="shared" si="2"/>
        <v>-0.14997157129513056</v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SUM(Jan!C15, Feb!C15, Mar!C15)</f>
        <v>37604.478668042902</v>
      </c>
      <c r="D15" s="15">
        <f>SUM(Jan!D15, Feb!D15, Mar!D15)</f>
        <v>0</v>
      </c>
      <c r="E15" s="15">
        <f t="shared" si="0"/>
        <v>37604.478668042902</v>
      </c>
      <c r="F15" s="16" t="str">
        <f t="shared" si="1"/>
        <v/>
      </c>
      <c r="G15" s="17">
        <f>SUM('1st Qtr'!G15+'2nd Qtr'!G15+'3rd Qtr'!G15+'4th Qtr'!G15)</f>
        <v>37905</v>
      </c>
      <c r="H15" s="17">
        <f>SUM(Jan!H15, Feb!H15, Mar!H15)</f>
        <v>-300.52133195709939</v>
      </c>
      <c r="I15" s="16">
        <f t="shared" si="2"/>
        <v>-7.9282767961245063E-3</v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SUM(Jan!C16, Feb!C16, Mar!C16)</f>
        <v>25234.533825875409</v>
      </c>
      <c r="D16" s="11">
        <f>SUM(Jan!D16, Feb!D16, Mar!D16)</f>
        <v>0</v>
      </c>
      <c r="E16" s="11">
        <f t="shared" ref="E16:E17" si="3">IF(AND(ISNUMBER(C16),ISNUMBER(D16)), C16-D16, "")</f>
        <v>25234.533825875409</v>
      </c>
      <c r="F16" s="12" t="str">
        <f t="shared" ref="F16:F17" si="4">IFERROR(E16/D16, "")</f>
        <v/>
      </c>
      <c r="G16" s="13">
        <f>SUM('1st Qtr'!G16+'2nd Qtr'!G16+'3rd Qtr'!G16+'4th Qtr'!G16)</f>
        <v>30379</v>
      </c>
      <c r="H16" s="13">
        <f>SUM(Jan!H16, Feb!H16, Mar!H16)</f>
        <v>-5144.4661741245909</v>
      </c>
      <c r="I16" s="14">
        <f t="shared" ref="I16:I17" si="5">IFERROR(H16/G16, "")</f>
        <v>-0.16934284124311502</v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SUM(Jan!C17, Feb!C17, Mar!C17)</f>
        <v>180959.88</v>
      </c>
      <c r="D17" s="15">
        <f>SUM(Jan!D17, Feb!D17, Mar!D17)</f>
        <v>0</v>
      </c>
      <c r="E17" s="15">
        <f t="shared" si="3"/>
        <v>180959.88</v>
      </c>
      <c r="F17" s="16" t="str">
        <f t="shared" si="4"/>
        <v/>
      </c>
      <c r="G17" s="17">
        <f>SUM('1st Qtr'!G17+'2nd Qtr'!G17+'3rd Qtr'!G17+'4th Qtr'!G17)</f>
        <v>97347</v>
      </c>
      <c r="H17" s="17">
        <f>SUM(Jan!H17, Feb!H17, Mar!H17)</f>
        <v>83612.88</v>
      </c>
      <c r="I17" s="16">
        <f t="shared" si="5"/>
        <v>0.85891583715985087</v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>
        <f>SUM(Jan!C18, Feb!C18, Mar!C18)</f>
        <v>81953</v>
      </c>
      <c r="D18" s="11">
        <f>SUM(Jan!D18, Feb!D18, Mar!D18)</f>
        <v>0</v>
      </c>
      <c r="E18" s="11">
        <f t="shared" ref="E18:E81" si="6">IF(AND(ISNUMBER(C18),ISNUMBER(D18)), C18-D18, "")</f>
        <v>81953</v>
      </c>
      <c r="F18" s="12" t="str">
        <f t="shared" ref="F18:F81" si="7">IFERROR(E18/D18, "")</f>
        <v/>
      </c>
      <c r="G18" s="13">
        <f>SUM('1st Qtr'!G18+'2nd Qtr'!G18+'3rd Qtr'!G18+'4th Qtr'!G18)</f>
        <v>28910</v>
      </c>
      <c r="H18" s="13">
        <f>SUM(Jan!H18, Feb!H18, Mar!H18)</f>
        <v>53043</v>
      </c>
      <c r="I18" s="14">
        <f t="shared" ref="I18:I81" si="8">IFERROR(H18/G18, "")</f>
        <v>1.834763057765479</v>
      </c>
      <c r="J18" s="38"/>
      <c r="K18" s="38"/>
    </row>
    <row r="19" spans="1:11" ht="15.75">
      <c r="A19" s="27" t="str">
        <v>RCAB</v>
      </c>
      <c r="B19" s="28" t="str">
        <v>MA</v>
      </c>
      <c r="C19" s="10">
        <f>SUM(Jan!C19, Feb!C19, Mar!C19)</f>
        <v>178095</v>
      </c>
      <c r="D19" s="15">
        <f>SUM(Jan!D19, Feb!D19, Mar!D19)</f>
        <v>227228.27000000002</v>
      </c>
      <c r="E19" s="15">
        <f t="shared" si="6"/>
        <v>-49133.270000000019</v>
      </c>
      <c r="F19" s="16">
        <f t="shared" si="7"/>
        <v>-0.21622868492551572</v>
      </c>
      <c r="G19" s="17">
        <f>SUM('1st Qtr'!G19+'2nd Qtr'!G19+'3rd Qtr'!G19+'4th Qtr'!G19)</f>
        <v>209313.56</v>
      </c>
      <c r="H19" s="17">
        <f>SUM(Jan!H19, Feb!H19, Mar!H19)</f>
        <v>-31218.560000000005</v>
      </c>
      <c r="I19" s="16">
        <f t="shared" si="8"/>
        <v>-0.14914733665606761</v>
      </c>
      <c r="J19" s="39"/>
      <c r="K19" s="40"/>
    </row>
    <row r="20" spans="1:11" ht="15.75">
      <c r="A20" s="25" t="str">
        <v>Spectro Coatings</v>
      </c>
      <c r="B20" s="26" t="str">
        <v>MA</v>
      </c>
      <c r="C20" s="21">
        <f>SUM(Jan!C20, Feb!C20, Mar!C20)</f>
        <v>40969.125</v>
      </c>
      <c r="D20" s="11">
        <f>SUM(Jan!D20, Feb!D20, Mar!D20)</f>
        <v>66169.3</v>
      </c>
      <c r="E20" s="11">
        <f t="shared" si="6"/>
        <v>-25200.175000000003</v>
      </c>
      <c r="F20" s="12">
        <f t="shared" si="7"/>
        <v>-0.38084391099800063</v>
      </c>
      <c r="G20" s="13">
        <f>SUM('1st Qtr'!G20+'2nd Qtr'!G20+'3rd Qtr'!G20+'4th Qtr'!G20)</f>
        <v>55906.33</v>
      </c>
      <c r="H20" s="13">
        <f>SUM(Jan!H20, Feb!H20, Mar!H20)</f>
        <v>-14937.205</v>
      </c>
      <c r="I20" s="14">
        <f t="shared" si="8"/>
        <v>-0.26718271437241542</v>
      </c>
      <c r="J20" s="38"/>
      <c r="K20" s="38"/>
    </row>
    <row r="21" spans="1:11" ht="15.75">
      <c r="A21" s="27" t="str">
        <v>K026</v>
      </c>
      <c r="B21" s="28" t="str">
        <v>NY</v>
      </c>
      <c r="C21" s="10">
        <f>SUM(Jan!C21, Feb!C21, Mar!C21)</f>
        <v>50357.9375</v>
      </c>
      <c r="D21" s="15">
        <f>SUM(Jan!D21, Feb!D21, Mar!D21)</f>
        <v>66333.48000000001</v>
      </c>
      <c r="E21" s="15">
        <f t="shared" si="6"/>
        <v>-15975.54250000001</v>
      </c>
      <c r="F21" s="16">
        <f t="shared" si="7"/>
        <v>-0.24083679161714427</v>
      </c>
      <c r="G21" s="17">
        <f>SUM('1st Qtr'!G21+'2nd Qtr'!G21+'3rd Qtr'!G21+'4th Qtr'!G21)</f>
        <v>75233.47</v>
      </c>
      <c r="H21" s="17">
        <f>SUM(Jan!H21, Feb!H21, Mar!H21)</f>
        <v>-24875.532500000001</v>
      </c>
      <c r="I21" s="16">
        <f t="shared" si="8"/>
        <v>-0.33064449240477678</v>
      </c>
      <c r="J21" s="39"/>
      <c r="K21" s="40"/>
    </row>
    <row r="22" spans="1:11" ht="15.75">
      <c r="A22" s="25" t="str">
        <v>K041</v>
      </c>
      <c r="B22" s="26" t="str">
        <v>NY</v>
      </c>
      <c r="C22" s="21">
        <f>SUM(Jan!C22, Feb!C22, Mar!C22)</f>
        <v>36306.770433593752</v>
      </c>
      <c r="D22" s="11">
        <f>SUM(Jan!D22, Feb!D22, Mar!D22)</f>
        <v>0</v>
      </c>
      <c r="E22" s="11">
        <f t="shared" si="6"/>
        <v>36306.770433593752</v>
      </c>
      <c r="F22" s="12" t="str">
        <f t="shared" si="7"/>
        <v/>
      </c>
      <c r="G22" s="13">
        <f>SUM('1st Qtr'!G22+'2nd Qtr'!G22+'3rd Qtr'!G22+'4th Qtr'!G22)</f>
        <v>0</v>
      </c>
      <c r="H22" s="13">
        <f>SUM(Jan!H22, Feb!H22, Mar!H22)</f>
        <v>36306.770433593752</v>
      </c>
      <c r="I22" s="14" t="str">
        <f t="shared" si="8"/>
        <v/>
      </c>
      <c r="J22" s="38"/>
      <c r="K22" s="38"/>
    </row>
    <row r="23" spans="1:11" ht="15.75">
      <c r="A23" s="27" t="str">
        <v>K043</v>
      </c>
      <c r="B23" s="28" t="str">
        <v>NY</v>
      </c>
      <c r="C23" s="10">
        <f>SUM(Jan!C23, Feb!C23, Mar!C23)</f>
        <v>45532.078125</v>
      </c>
      <c r="D23" s="15">
        <f>SUM(Jan!D23, Feb!D23, Mar!D23)</f>
        <v>56574.479999999996</v>
      </c>
      <c r="E23" s="15">
        <f t="shared" si="6"/>
        <v>-11042.401874999996</v>
      </c>
      <c r="F23" s="16">
        <f t="shared" si="7"/>
        <v>-0.1951834444611775</v>
      </c>
      <c r="G23" s="17">
        <f>SUM('1st Qtr'!G23+'2nd Qtr'!G23+'3rd Qtr'!G23+'4th Qtr'!G23)</f>
        <v>75760</v>
      </c>
      <c r="H23" s="17">
        <f>SUM(Jan!H23, Feb!H23, Mar!H23)</f>
        <v>-30227.921875</v>
      </c>
      <c r="I23" s="16">
        <f t="shared" si="8"/>
        <v>-0.3989958008843717</v>
      </c>
      <c r="J23" s="39"/>
      <c r="K23" s="40"/>
    </row>
    <row r="24" spans="1:11" ht="15.75">
      <c r="A24" s="25" t="str">
        <v>K058</v>
      </c>
      <c r="B24" s="26" t="str">
        <v>NY</v>
      </c>
      <c r="C24" s="21">
        <f>SUM(Jan!C24, Feb!C24, Mar!C24)</f>
        <v>37866.125</v>
      </c>
      <c r="D24" s="11">
        <f>SUM(Jan!D24, Feb!D24, Mar!D24)</f>
        <v>45918.432000000001</v>
      </c>
      <c r="E24" s="11">
        <f t="shared" si="6"/>
        <v>-8052.3070000000007</v>
      </c>
      <c r="F24" s="12">
        <f t="shared" si="7"/>
        <v>-0.17536110553600787</v>
      </c>
      <c r="G24" s="13">
        <f>SUM('1st Qtr'!G24+'2nd Qtr'!G24+'3rd Qtr'!G24+'4th Qtr'!G24)</f>
        <v>50048.6</v>
      </c>
      <c r="H24" s="13">
        <f>SUM(Jan!H24, Feb!H24, Mar!H24)</f>
        <v>-12182.474999999999</v>
      </c>
      <c r="I24" s="14">
        <f t="shared" si="8"/>
        <v>-0.24341290265861582</v>
      </c>
      <c r="J24" s="38"/>
      <c r="K24" s="38"/>
    </row>
    <row r="25" spans="1:11" ht="15.75">
      <c r="A25" s="27" t="str">
        <v>K115</v>
      </c>
      <c r="B25" s="28" t="str">
        <v>NY</v>
      </c>
      <c r="C25" s="10">
        <f>SUM(Jan!C25, Feb!C25, Mar!C25)</f>
        <v>9953.9140625</v>
      </c>
      <c r="D25" s="15">
        <f>SUM(Jan!D25, Feb!D25, Mar!D25)</f>
        <v>23326.995000000003</v>
      </c>
      <c r="E25" s="15">
        <f t="shared" si="6"/>
        <v>-13373.080937500003</v>
      </c>
      <c r="F25" s="16">
        <f t="shared" si="7"/>
        <v>-0.57328776970629958</v>
      </c>
      <c r="G25" s="17">
        <f>SUM('1st Qtr'!G25+'2nd Qtr'!G25+'3rd Qtr'!G25+'4th Qtr'!G25)</f>
        <v>17068.538999999997</v>
      </c>
      <c r="H25" s="17">
        <f>SUM(Jan!H25, Feb!H25, Mar!H25)</f>
        <v>-7114.6249374999998</v>
      </c>
      <c r="I25" s="16">
        <f t="shared" si="8"/>
        <v>-0.41682682609800409</v>
      </c>
      <c r="J25" s="39"/>
      <c r="K25" s="40"/>
    </row>
    <row r="26" spans="1:11" ht="15.75">
      <c r="A26" s="25" t="str">
        <v>K152</v>
      </c>
      <c r="B26" s="26" t="str">
        <v>NY</v>
      </c>
      <c r="C26" s="21">
        <f>SUM(Jan!C26, Feb!C26, Mar!C26)</f>
        <v>14706.625</v>
      </c>
      <c r="D26" s="11">
        <f>SUM(Jan!D26, Feb!D26, Mar!D26)</f>
        <v>16998.915000000001</v>
      </c>
      <c r="E26" s="11">
        <f t="shared" si="6"/>
        <v>-2292.2900000000009</v>
      </c>
      <c r="F26" s="12">
        <f t="shared" si="7"/>
        <v>-0.13484919478684379</v>
      </c>
      <c r="G26" s="13">
        <f>SUM('1st Qtr'!G26+'2nd Qtr'!G26+'3rd Qtr'!G26+'4th Qtr'!G26)</f>
        <v>3412</v>
      </c>
      <c r="H26" s="13">
        <f>SUM(Jan!H26, Feb!H26, Mar!H26)</f>
        <v>11294.625</v>
      </c>
      <c r="I26" s="14">
        <f t="shared" si="8"/>
        <v>3.3102652403282531</v>
      </c>
      <c r="J26" s="38"/>
      <c r="K26" s="38"/>
    </row>
    <row r="27" spans="1:11" ht="15.75">
      <c r="A27" s="27" t="str">
        <v>K166</v>
      </c>
      <c r="B27" s="28" t="str">
        <v>NY</v>
      </c>
      <c r="C27" s="10">
        <f>SUM(Jan!C27, Feb!C27, Mar!C27)</f>
        <v>52641.125</v>
      </c>
      <c r="D27" s="15">
        <f>SUM(Jan!D27, Feb!D27, Mar!D27)</f>
        <v>64986.3</v>
      </c>
      <c r="E27" s="15">
        <f t="shared" si="6"/>
        <v>-12345.175000000003</v>
      </c>
      <c r="F27" s="16">
        <f t="shared" si="7"/>
        <v>-0.18996580817803141</v>
      </c>
      <c r="G27" s="17">
        <f>SUM('1st Qtr'!G27+'2nd Qtr'!G27+'3rd Qtr'!G27+'4th Qtr'!G27)</f>
        <v>74326.09</v>
      </c>
      <c r="H27" s="17">
        <f>SUM(Jan!H27, Feb!H27, Mar!H27)</f>
        <v>-21684.965</v>
      </c>
      <c r="I27" s="16">
        <f t="shared" si="8"/>
        <v>-0.29175441624872239</v>
      </c>
      <c r="J27" s="39"/>
      <c r="K27" s="40"/>
    </row>
    <row r="28" spans="1:11" ht="15.75">
      <c r="A28" s="25" t="str">
        <v>K206</v>
      </c>
      <c r="B28" s="26" t="str">
        <v>NY</v>
      </c>
      <c r="C28" s="21">
        <f>SUM(Jan!C28, Feb!C28, Mar!C28)</f>
        <v>26688.33244390411</v>
      </c>
      <c r="D28" s="11">
        <f>SUM(Jan!D28, Feb!D28, Mar!D28)</f>
        <v>0</v>
      </c>
      <c r="E28" s="11">
        <f t="shared" si="6"/>
        <v>26688.33244390411</v>
      </c>
      <c r="F28" s="12" t="str">
        <f t="shared" si="7"/>
        <v/>
      </c>
      <c r="G28" s="13">
        <f>SUM('1st Qtr'!G28+'2nd Qtr'!G28+'3rd Qtr'!G28+'4th Qtr'!G28)</f>
        <v>0</v>
      </c>
      <c r="H28" s="13">
        <f>SUM(Jan!H28, Feb!H28, Mar!H28)</f>
        <v>26688.33244390411</v>
      </c>
      <c r="I28" s="14" t="str">
        <f t="shared" si="8"/>
        <v/>
      </c>
      <c r="J28" s="38"/>
      <c r="K28" s="38"/>
    </row>
    <row r="29" spans="1:11" ht="15.75">
      <c r="A29" s="27" t="str">
        <v>K251</v>
      </c>
      <c r="B29" s="28" t="str">
        <v>NY</v>
      </c>
      <c r="C29" s="10">
        <f>SUM(Jan!C29, Feb!C29, Mar!C29)</f>
        <v>30209.09375</v>
      </c>
      <c r="D29" s="15">
        <f>SUM(Jan!D29, Feb!D29, Mar!D29)</f>
        <v>40211.756999999998</v>
      </c>
      <c r="E29" s="15">
        <f t="shared" si="6"/>
        <v>-10002.663249999998</v>
      </c>
      <c r="F29" s="16">
        <f t="shared" si="7"/>
        <v>-0.24874971889440192</v>
      </c>
      <c r="G29" s="17">
        <f>SUM('1st Qtr'!G29+'2nd Qtr'!G29+'3rd Qtr'!G29+'4th Qtr'!G29)</f>
        <v>40870.197</v>
      </c>
      <c r="H29" s="17">
        <f>SUM(Jan!H29, Feb!H29, Mar!H29)</f>
        <v>-10661.10325</v>
      </c>
      <c r="I29" s="16">
        <f t="shared" si="8"/>
        <v>-0.26085274925393681</v>
      </c>
      <c r="J29" s="39"/>
      <c r="K29" s="39"/>
    </row>
    <row r="30" spans="1:11" ht="15.75">
      <c r="A30" s="25" t="str">
        <v>K269</v>
      </c>
      <c r="B30" s="26" t="str">
        <v>NY</v>
      </c>
      <c r="C30" s="21">
        <f>SUM(Jan!C30, Feb!C30, Mar!C30)</f>
        <v>31591.375</v>
      </c>
      <c r="D30" s="11">
        <f>SUM(Jan!D30, Feb!D30, Mar!D30)</f>
        <v>0</v>
      </c>
      <c r="E30" s="11">
        <f t="shared" si="6"/>
        <v>31591.375</v>
      </c>
      <c r="F30" s="12" t="str">
        <f t="shared" si="7"/>
        <v/>
      </c>
      <c r="G30" s="13">
        <f>SUM('1st Qtr'!G30+'2nd Qtr'!G30+'3rd Qtr'!G30+'4th Qtr'!G30)</f>
        <v>45748.119999999995</v>
      </c>
      <c r="H30" s="13">
        <f>SUM(Jan!H30, Feb!H30, Mar!H30)</f>
        <v>-14156.744999999999</v>
      </c>
      <c r="I30" s="14">
        <f t="shared" si="8"/>
        <v>-0.30944976536740748</v>
      </c>
      <c r="J30" s="38"/>
      <c r="K30" s="38"/>
    </row>
    <row r="31" spans="1:11" ht="15.75">
      <c r="A31" s="27" t="str">
        <v>K273</v>
      </c>
      <c r="B31" s="28" t="str">
        <v>NY</v>
      </c>
      <c r="C31" s="10">
        <f>SUM(Jan!C31, Feb!C31, Mar!C31)</f>
        <v>35721.53125</v>
      </c>
      <c r="D31" s="15">
        <f>SUM(Jan!D31, Feb!D31, Mar!D31)</f>
        <v>0</v>
      </c>
      <c r="E31" s="15">
        <f t="shared" si="6"/>
        <v>35721.53125</v>
      </c>
      <c r="F31" s="16" t="str">
        <f t="shared" si="7"/>
        <v/>
      </c>
      <c r="G31" s="17">
        <f>SUM('1st Qtr'!G31+'2nd Qtr'!G31+'3rd Qtr'!G31+'4th Qtr'!G31)</f>
        <v>46484</v>
      </c>
      <c r="H31" s="17">
        <f>SUM(Jan!H31, Feb!H31, Mar!H31)</f>
        <v>-10762.46875</v>
      </c>
      <c r="I31" s="16">
        <f t="shared" si="8"/>
        <v>-0.2315306073057396</v>
      </c>
      <c r="J31" s="39"/>
      <c r="K31" s="40"/>
    </row>
    <row r="32" spans="1:11" ht="15.75">
      <c r="A32" s="25" t="str">
        <v>K287</v>
      </c>
      <c r="B32" s="26" t="str">
        <v>NY</v>
      </c>
      <c r="C32" s="21">
        <f>SUM(Jan!C32, Feb!C32, Mar!C32)</f>
        <v>27908.328125</v>
      </c>
      <c r="D32" s="11">
        <f>SUM(Jan!D32, Feb!D32, Mar!D32)</f>
        <v>28572.155999999999</v>
      </c>
      <c r="E32" s="11">
        <f t="shared" si="6"/>
        <v>-663.82787499999904</v>
      </c>
      <c r="F32" s="12">
        <f t="shared" si="7"/>
        <v>-2.3233384103040704E-2</v>
      </c>
      <c r="G32" s="13">
        <f>SUM('1st Qtr'!G32+'2nd Qtr'!G32+'3rd Qtr'!G32+'4th Qtr'!G32)</f>
        <v>0</v>
      </c>
      <c r="H32" s="13">
        <f>SUM(Jan!H32, Feb!H32, Mar!H32)</f>
        <v>27908.328125</v>
      </c>
      <c r="I32" s="14" t="str">
        <f t="shared" si="8"/>
        <v/>
      </c>
      <c r="J32" s="38"/>
      <c r="K32" s="38"/>
    </row>
    <row r="33" spans="1:11" ht="15.75">
      <c r="A33" s="27" t="str">
        <v>K298</v>
      </c>
      <c r="B33" s="28" t="str">
        <v>NY</v>
      </c>
      <c r="C33" s="10">
        <f>SUM(Jan!C33, Feb!C33, Mar!C33)</f>
        <v>28084.875</v>
      </c>
      <c r="D33" s="15">
        <f>SUM(Jan!D33, Feb!D33, Mar!D33)</f>
        <v>37588.038</v>
      </c>
      <c r="E33" s="15">
        <f t="shared" si="6"/>
        <v>-9503.1630000000005</v>
      </c>
      <c r="F33" s="16">
        <f t="shared" si="7"/>
        <v>-0.25282412984684116</v>
      </c>
      <c r="G33" s="17">
        <f>SUM('1st Qtr'!G33+'2nd Qtr'!G33+'3rd Qtr'!G33+'4th Qtr'!G33)</f>
        <v>0</v>
      </c>
      <c r="H33" s="17">
        <f>SUM(Jan!H33, Feb!H33, Mar!H33)</f>
        <v>28084.875</v>
      </c>
      <c r="I33" s="16" t="str">
        <f t="shared" si="8"/>
        <v/>
      </c>
      <c r="J33" s="39"/>
      <c r="K33" s="40"/>
    </row>
    <row r="34" spans="1:11" ht="15.75">
      <c r="A34" s="25" t="str">
        <v>K335</v>
      </c>
      <c r="B34" s="26" t="str">
        <v>NY</v>
      </c>
      <c r="C34" s="21">
        <f>SUM(Jan!C34, Feb!C34, Mar!C34)</f>
        <v>29236.9375</v>
      </c>
      <c r="D34" s="11">
        <f>SUM(Jan!D34, Feb!D34, Mar!D34)</f>
        <v>39988.258999999998</v>
      </c>
      <c r="E34" s="11">
        <f t="shared" si="6"/>
        <v>-10751.321499999998</v>
      </c>
      <c r="F34" s="12">
        <f t="shared" si="7"/>
        <v>-0.26886195520540163</v>
      </c>
      <c r="G34" s="13">
        <f>SUM('1st Qtr'!G34+'2nd Qtr'!G34+'3rd Qtr'!G34+'4th Qtr'!G34)</f>
        <v>47334</v>
      </c>
      <c r="H34" s="13">
        <f>SUM(Jan!H34, Feb!H34, Mar!H34)</f>
        <v>-18097.0625</v>
      </c>
      <c r="I34" s="14">
        <f t="shared" si="8"/>
        <v>-0.38232692145181052</v>
      </c>
      <c r="J34" s="38"/>
      <c r="K34" s="38"/>
    </row>
    <row r="35" spans="1:11" ht="15.75">
      <c r="A35" s="27" t="str">
        <v>K345</v>
      </c>
      <c r="B35" s="28" t="str">
        <v>NY</v>
      </c>
      <c r="C35" s="10">
        <f>SUM(Jan!C35, Feb!C35, Mar!C35)</f>
        <v>32100.457187499953</v>
      </c>
      <c r="D35" s="15">
        <f>SUM(Jan!D35, Feb!D35, Mar!D35)</f>
        <v>21912.313999999998</v>
      </c>
      <c r="E35" s="15">
        <f t="shared" si="6"/>
        <v>10188.143187499954</v>
      </c>
      <c r="F35" s="16">
        <f t="shared" si="7"/>
        <v>0.46495058383610033</v>
      </c>
      <c r="G35" s="17">
        <f>SUM('1st Qtr'!G35+'2nd Qtr'!G35+'3rd Qtr'!G35+'4th Qtr'!G35)</f>
        <v>18513</v>
      </c>
      <c r="H35" s="17">
        <f>SUM(Jan!H35, Feb!H35, Mar!H35)</f>
        <v>13587.457187499951</v>
      </c>
      <c r="I35" s="16">
        <f t="shared" si="8"/>
        <v>0.7339414026629909</v>
      </c>
      <c r="J35" s="39"/>
      <c r="K35" s="40"/>
    </row>
    <row r="36" spans="1:11" ht="15.75">
      <c r="A36" s="25" t="str">
        <v>K445</v>
      </c>
      <c r="B36" s="26" t="str">
        <v>NY</v>
      </c>
      <c r="C36" s="21">
        <f>SUM(Jan!C36, Feb!C36, Mar!C36)</f>
        <v>30178.953693359381</v>
      </c>
      <c r="D36" s="11">
        <f>SUM(Jan!D36, Feb!D36, Mar!D36)</f>
        <v>17957.29</v>
      </c>
      <c r="E36" s="11">
        <f t="shared" si="6"/>
        <v>12221.66369335938</v>
      </c>
      <c r="F36" s="12">
        <f t="shared" si="7"/>
        <v>0.68059621988392338</v>
      </c>
      <c r="G36" s="13">
        <f>SUM('1st Qtr'!G36+'2nd Qtr'!G36+'3rd Qtr'!G36+'4th Qtr'!G36)</f>
        <v>20544.73</v>
      </c>
      <c r="H36" s="13">
        <f>SUM(Jan!H36, Feb!H36, Mar!H36)</f>
        <v>9634.2236933593813</v>
      </c>
      <c r="I36" s="14">
        <f t="shared" si="8"/>
        <v>0.46893892951425409</v>
      </c>
      <c r="J36" s="38"/>
      <c r="K36" s="38"/>
    </row>
    <row r="37" spans="1:11" ht="15.75">
      <c r="A37" s="27" t="str">
        <v>K495</v>
      </c>
      <c r="B37" s="28" t="str">
        <v>NY</v>
      </c>
      <c r="C37" s="10">
        <f>SUM(Jan!C37, Feb!C37, Mar!C37)</f>
        <v>122157.6875</v>
      </c>
      <c r="D37" s="15">
        <f>SUM(Jan!D37, Feb!D37, Mar!D37)</f>
        <v>0</v>
      </c>
      <c r="E37" s="15">
        <f t="shared" si="6"/>
        <v>122157.6875</v>
      </c>
      <c r="F37" s="16" t="str">
        <f t="shared" si="7"/>
        <v/>
      </c>
      <c r="G37" s="17">
        <f>SUM('1st Qtr'!G37+'2nd Qtr'!G37+'3rd Qtr'!G37+'4th Qtr'!G37)</f>
        <v>0</v>
      </c>
      <c r="H37" s="17">
        <f>SUM(Jan!H37, Feb!H37, Mar!H37)</f>
        <v>122157.6875</v>
      </c>
      <c r="I37" s="16" t="str">
        <f t="shared" si="8"/>
        <v/>
      </c>
      <c r="J37" s="39"/>
      <c r="K37" s="40"/>
    </row>
    <row r="38" spans="1:11" ht="15.75">
      <c r="A38" s="25" t="str">
        <v>M020</v>
      </c>
      <c r="B38" s="26" t="str">
        <v>NY</v>
      </c>
      <c r="C38" s="21">
        <f>SUM(Jan!C38, Feb!C38, Mar!C38)</f>
        <v>31129.9375</v>
      </c>
      <c r="D38" s="11">
        <f>SUM(Jan!D38, Feb!D38, Mar!D38)</f>
        <v>30547.896999999997</v>
      </c>
      <c r="E38" s="11">
        <f t="shared" si="6"/>
        <v>582.04050000000279</v>
      </c>
      <c r="F38" s="12">
        <f t="shared" si="7"/>
        <v>1.9053373788709672E-2</v>
      </c>
      <c r="G38" s="13">
        <f>SUM('1st Qtr'!G38+'2nd Qtr'!G38+'3rd Qtr'!G38+'4th Qtr'!G38)</f>
        <v>0</v>
      </c>
      <c r="H38" s="13">
        <f>SUM(Jan!H38, Feb!H38, Mar!H38)</f>
        <v>31129.9375</v>
      </c>
      <c r="I38" s="14" t="str">
        <f t="shared" si="8"/>
        <v/>
      </c>
      <c r="J38" s="38"/>
      <c r="K38" s="38"/>
    </row>
    <row r="39" spans="1:11" ht="15.75">
      <c r="A39" s="27" t="str">
        <v>M092</v>
      </c>
      <c r="B39" s="28" t="str">
        <v>NY</v>
      </c>
      <c r="C39" s="10">
        <f>SUM(Jan!C39, Feb!C39, Mar!C39)</f>
        <v>30203.25</v>
      </c>
      <c r="D39" s="15">
        <f>SUM(Jan!D39, Feb!D39, Mar!D39)</f>
        <v>38940.919000000002</v>
      </c>
      <c r="E39" s="15">
        <f t="shared" si="6"/>
        <v>-8737.6690000000017</v>
      </c>
      <c r="F39" s="16">
        <f t="shared" si="7"/>
        <v>-0.22438271166635798</v>
      </c>
      <c r="G39" s="17">
        <f>SUM('1st Qtr'!G39+'2nd Qtr'!G39+'3rd Qtr'!G39+'4th Qtr'!G39)</f>
        <v>45439.76</v>
      </c>
      <c r="H39" s="17">
        <f>SUM(Jan!H39, Feb!H39, Mar!H39)</f>
        <v>-15236.51</v>
      </c>
      <c r="I39" s="16">
        <f t="shared" si="8"/>
        <v>-0.33531229038181537</v>
      </c>
      <c r="J39" s="39"/>
      <c r="K39" s="40"/>
    </row>
    <row r="40" spans="1:11" ht="15.75">
      <c r="A40" s="25" t="str">
        <v>M143</v>
      </c>
      <c r="B40" s="26" t="str">
        <v>NY</v>
      </c>
      <c r="C40" s="21">
        <f>SUM(Jan!C40, Feb!C40, Mar!C40)</f>
        <v>35003.65625</v>
      </c>
      <c r="D40" s="11">
        <f>SUM(Jan!D40, Feb!D40, Mar!D40)</f>
        <v>45998.633999999998</v>
      </c>
      <c r="E40" s="11">
        <f t="shared" si="6"/>
        <v>-10994.977749999998</v>
      </c>
      <c r="F40" s="12">
        <f t="shared" si="7"/>
        <v>-0.23902835353762894</v>
      </c>
      <c r="G40" s="13">
        <f>SUM('1st Qtr'!G40+'2nd Qtr'!G40+'3rd Qtr'!G40+'4th Qtr'!G40)</f>
        <v>58656.05</v>
      </c>
      <c r="H40" s="13">
        <f>SUM(Jan!H40, Feb!H40, Mar!H40)</f>
        <v>-23652.393750000003</v>
      </c>
      <c r="I40" s="14">
        <f t="shared" si="8"/>
        <v>-0.40323877502832189</v>
      </c>
      <c r="J40" s="38"/>
      <c r="K40" s="38"/>
    </row>
    <row r="41" spans="1:11" ht="15.75">
      <c r="A41" s="27" t="str">
        <v>M144</v>
      </c>
      <c r="B41" s="28" t="str">
        <v>NY</v>
      </c>
      <c r="C41" s="10">
        <f>SUM(Jan!C41, Feb!C41, Mar!C41)</f>
        <v>50821.90625</v>
      </c>
      <c r="D41" s="15">
        <f>SUM(Jan!D41, Feb!D41, Mar!D41)</f>
        <v>0</v>
      </c>
      <c r="E41" s="15">
        <f t="shared" si="6"/>
        <v>50821.90625</v>
      </c>
      <c r="F41" s="16" t="str">
        <f t="shared" si="7"/>
        <v/>
      </c>
      <c r="G41" s="17">
        <f>SUM('1st Qtr'!G41+'2nd Qtr'!G41+'3rd Qtr'!G41+'4th Qtr'!G41)</f>
        <v>0</v>
      </c>
      <c r="H41" s="17">
        <f>SUM(Jan!H41, Feb!H41, Mar!H41)</f>
        <v>50821.90625</v>
      </c>
      <c r="I41" s="16" t="str">
        <f t="shared" si="8"/>
        <v/>
      </c>
      <c r="J41" s="39"/>
      <c r="K41" s="39"/>
    </row>
    <row r="42" spans="1:11" ht="15.75">
      <c r="A42" s="25" t="str">
        <v>M167</v>
      </c>
      <c r="B42" s="26" t="str">
        <v>NY</v>
      </c>
      <c r="C42" s="21">
        <f>SUM(Jan!C42, Feb!C42, Mar!C42)</f>
        <v>36408.467514648401</v>
      </c>
      <c r="D42" s="11">
        <f>SUM(Jan!D42, Feb!D42, Mar!D42)</f>
        <v>34228.5</v>
      </c>
      <c r="E42" s="11">
        <f t="shared" si="6"/>
        <v>2179.9675146484005</v>
      </c>
      <c r="F42" s="12">
        <f t="shared" si="7"/>
        <v>6.3688666305809508E-2</v>
      </c>
      <c r="G42" s="13">
        <f>SUM('1st Qtr'!G42+'2nd Qtr'!G42+'3rd Qtr'!G42+'4th Qtr'!G42)</f>
        <v>43728.47</v>
      </c>
      <c r="H42" s="13">
        <f>SUM(Jan!H42, Feb!H42, Mar!H42)</f>
        <v>-7320.0024853515988</v>
      </c>
      <c r="I42" s="14">
        <f t="shared" si="8"/>
        <v>-0.16739672084002935</v>
      </c>
      <c r="J42" s="38"/>
      <c r="K42" s="38"/>
    </row>
    <row r="43" spans="1:11" ht="15.75">
      <c r="A43" s="27" t="str">
        <v>M188</v>
      </c>
      <c r="B43" s="28" t="str">
        <v>NY</v>
      </c>
      <c r="C43" s="10">
        <f>SUM(Jan!C43, Feb!C43, Mar!C43)</f>
        <v>27839.046874999978</v>
      </c>
      <c r="D43" s="15">
        <f>SUM(Jan!D43, Feb!D43, Mar!D43)</f>
        <v>0</v>
      </c>
      <c r="E43" s="15">
        <f t="shared" si="6"/>
        <v>27839.046874999978</v>
      </c>
      <c r="F43" s="16" t="str">
        <f t="shared" si="7"/>
        <v/>
      </c>
      <c r="G43" s="17">
        <f>SUM('1st Qtr'!G43+'2nd Qtr'!G43+'3rd Qtr'!G43+'4th Qtr'!G43)</f>
        <v>0</v>
      </c>
      <c r="H43" s="17">
        <f>SUM(Jan!H43, Feb!H43, Mar!H43)</f>
        <v>27839.046874999978</v>
      </c>
      <c r="I43" s="16" t="str">
        <f t="shared" si="8"/>
        <v/>
      </c>
      <c r="J43" s="39"/>
      <c r="K43" s="40"/>
    </row>
    <row r="44" spans="1:11" ht="15.75">
      <c r="A44" s="25" t="str">
        <v>EMHC</v>
      </c>
      <c r="B44" s="26" t="str">
        <v>NY</v>
      </c>
      <c r="C44" s="21">
        <f>SUM(Jan!C44, Feb!C44, Mar!C44)</f>
        <v>7677.2293285768392</v>
      </c>
      <c r="D44" s="11">
        <f>SUM(Jan!D44, Feb!D44, Mar!D44)</f>
        <v>0</v>
      </c>
      <c r="E44" s="11">
        <f t="shared" si="6"/>
        <v>7677.2293285768392</v>
      </c>
      <c r="F44" s="12" t="str">
        <f t="shared" si="7"/>
        <v/>
      </c>
      <c r="G44" s="13">
        <f>SUM('1st Qtr'!G44+'2nd Qtr'!G44+'3rd Qtr'!G44+'4th Qtr'!G44)</f>
        <v>0</v>
      </c>
      <c r="H44" s="13">
        <f>SUM(Jan!H44, Feb!H44, Mar!H44)</f>
        <v>7677.2293285768392</v>
      </c>
      <c r="I44" s="14" t="str">
        <f t="shared" si="8"/>
        <v/>
      </c>
      <c r="J44" s="38"/>
      <c r="K44" s="38"/>
    </row>
    <row r="45" spans="1:11" ht="15.75">
      <c r="A45" s="27" t="str">
        <v>Q008</v>
      </c>
      <c r="B45" s="28" t="str">
        <v>NY</v>
      </c>
      <c r="C45" s="10">
        <f>SUM(Jan!C45, Feb!C45, Mar!C45)</f>
        <v>45368.6328125</v>
      </c>
      <c r="D45" s="15">
        <f>SUM(Jan!D45, Feb!D45, Mar!D45)</f>
        <v>50600.998999999996</v>
      </c>
      <c r="E45" s="15">
        <f t="shared" si="6"/>
        <v>-5232.3661874999962</v>
      </c>
      <c r="F45" s="16">
        <f t="shared" si="7"/>
        <v>-0.10340440487153221</v>
      </c>
      <c r="G45" s="17">
        <f>SUM('1st Qtr'!G45+'2nd Qtr'!G45+'3rd Qtr'!G45+'4th Qtr'!G45)</f>
        <v>58372</v>
      </c>
      <c r="H45" s="17">
        <f>SUM(Jan!H45, Feb!H45, Mar!H45)</f>
        <v>-13003.3671875</v>
      </c>
      <c r="I45" s="16">
        <f t="shared" si="8"/>
        <v>-0.22276720323956692</v>
      </c>
      <c r="J45" s="39"/>
      <c r="K45" s="40"/>
    </row>
    <row r="46" spans="1:11" ht="15.75">
      <c r="A46" s="25" t="str">
        <v>Q018</v>
      </c>
      <c r="B46" s="26" t="str">
        <v>NY</v>
      </c>
      <c r="C46" s="21">
        <f>SUM(Jan!C46, Feb!C46, Mar!C46)</f>
        <v>28670.125</v>
      </c>
      <c r="D46" s="11">
        <f>SUM(Jan!D46, Feb!D46, Mar!D46)</f>
        <v>33187.002999999997</v>
      </c>
      <c r="E46" s="11">
        <f t="shared" si="6"/>
        <v>-4516.877999999997</v>
      </c>
      <c r="F46" s="12">
        <f t="shared" si="7"/>
        <v>-0.13610382353597875</v>
      </c>
      <c r="G46" s="13">
        <f>SUM('1st Qtr'!G46+'2nd Qtr'!G46+'3rd Qtr'!G46+'4th Qtr'!G46)</f>
        <v>40523.796999999999</v>
      </c>
      <c r="H46" s="13">
        <f>SUM(Jan!H46, Feb!H46, Mar!H46)</f>
        <v>-11853.671999999999</v>
      </c>
      <c r="I46" s="14">
        <f t="shared" si="8"/>
        <v>-0.29251138534723187</v>
      </c>
      <c r="J46" s="38"/>
      <c r="K46" s="38"/>
    </row>
    <row r="47" spans="1:11" ht="15.75">
      <c r="A47" s="27" t="str">
        <v>Q021</v>
      </c>
      <c r="B47" s="28" t="str">
        <v>NY</v>
      </c>
      <c r="C47" s="10">
        <f>SUM(Jan!C47, Feb!C47, Mar!C47)</f>
        <v>22867.90625</v>
      </c>
      <c r="D47" s="15">
        <f>SUM(Jan!D47, Feb!D47, Mar!D47)</f>
        <v>29754.728000000003</v>
      </c>
      <c r="E47" s="15">
        <f t="shared" si="6"/>
        <v>-6886.8217500000028</v>
      </c>
      <c r="F47" s="16">
        <f t="shared" si="7"/>
        <v>-0.23145302319685135</v>
      </c>
      <c r="G47" s="17">
        <f>SUM('1st Qtr'!G47+'2nd Qtr'!G47+'3rd Qtr'!G47+'4th Qtr'!G47)</f>
        <v>17105.143</v>
      </c>
      <c r="H47" s="17">
        <f>SUM(Jan!H47, Feb!H47, Mar!H47)</f>
        <v>5762.7632500000009</v>
      </c>
      <c r="I47" s="16">
        <f t="shared" si="8"/>
        <v>0.33690237199420087</v>
      </c>
      <c r="J47" s="39"/>
      <c r="K47" s="40"/>
    </row>
    <row r="48" spans="1:11" ht="15.75">
      <c r="A48" s="25" t="str">
        <v>Q025</v>
      </c>
      <c r="B48" s="26" t="str">
        <v>NY</v>
      </c>
      <c r="C48" s="21">
        <f>SUM(Jan!C48, Feb!C48, Mar!C48)</f>
        <v>38308.5625</v>
      </c>
      <c r="D48" s="11">
        <f>SUM(Jan!D48, Feb!D48, Mar!D48)</f>
        <v>47791.360000000001</v>
      </c>
      <c r="E48" s="11">
        <f t="shared" si="6"/>
        <v>-9482.7975000000006</v>
      </c>
      <c r="F48" s="12">
        <f t="shared" si="7"/>
        <v>-0.19842075011048024</v>
      </c>
      <c r="G48" s="13">
        <f>SUM('1st Qtr'!G48+'2nd Qtr'!G48+'3rd Qtr'!G48+'4th Qtr'!G48)</f>
        <v>30045</v>
      </c>
      <c r="H48" s="13">
        <f>SUM(Jan!H48, Feb!H48, Mar!H48)</f>
        <v>8263.5625</v>
      </c>
      <c r="I48" s="14">
        <f t="shared" si="8"/>
        <v>0.27503952404726245</v>
      </c>
      <c r="J48" s="38"/>
      <c r="K48" s="38"/>
    </row>
    <row r="49" spans="1:11" ht="15.75">
      <c r="A49" s="27" t="str">
        <v>Q074</v>
      </c>
      <c r="B49" s="28" t="str">
        <v>NY</v>
      </c>
      <c r="C49" s="10">
        <f>SUM(Jan!C49, Feb!C49, Mar!C49)</f>
        <v>24363.46875</v>
      </c>
      <c r="D49" s="15">
        <f>SUM(Jan!D49, Feb!D49, Mar!D49)</f>
        <v>29540.1</v>
      </c>
      <c r="E49" s="15">
        <f t="shared" si="6"/>
        <v>-5176.6312499999985</v>
      </c>
      <c r="F49" s="16">
        <f t="shared" si="7"/>
        <v>-0.17524081672032252</v>
      </c>
      <c r="G49" s="17">
        <f>SUM('1st Qtr'!G49+'2nd Qtr'!G49+'3rd Qtr'!G49+'4th Qtr'!G49)</f>
        <v>32988.256000000001</v>
      </c>
      <c r="H49" s="17">
        <f>SUM(Jan!H49, Feb!H49, Mar!H49)</f>
        <v>-8624.7872499999976</v>
      </c>
      <c r="I49" s="16">
        <f t="shared" si="8"/>
        <v>-0.26145023398630096</v>
      </c>
      <c r="J49" s="39"/>
      <c r="K49" s="40"/>
    </row>
    <row r="50" spans="1:11" ht="15.75">
      <c r="A50" s="25" t="str">
        <v>Q115</v>
      </c>
      <c r="B50" s="26" t="str">
        <v>NY</v>
      </c>
      <c r="C50" s="21">
        <f>SUM(Jan!C50, Feb!C50, Mar!C50)</f>
        <v>32582.09375</v>
      </c>
      <c r="D50" s="11">
        <f>SUM(Jan!D50, Feb!D50, Mar!D50)</f>
        <v>42996.013999999996</v>
      </c>
      <c r="E50" s="11">
        <f t="shared" si="6"/>
        <v>-10413.920249999996</v>
      </c>
      <c r="F50" s="12">
        <f t="shared" si="7"/>
        <v>-0.24220664385307897</v>
      </c>
      <c r="G50" s="13">
        <f>SUM('1st Qtr'!G50+'2nd Qtr'!G50+'3rd Qtr'!G50+'4th Qtr'!G50)</f>
        <v>45957.75</v>
      </c>
      <c r="H50" s="13">
        <f>SUM(Jan!H50, Feb!H50, Mar!H50)</f>
        <v>-13375.656250000002</v>
      </c>
      <c r="I50" s="14">
        <f t="shared" si="8"/>
        <v>-0.29104245203474932</v>
      </c>
      <c r="J50" s="38"/>
      <c r="K50" s="38"/>
    </row>
    <row r="51" spans="1:11" ht="15.75">
      <c r="A51" s="27" t="str">
        <v>Q139</v>
      </c>
      <c r="B51" s="28" t="str">
        <v>NY</v>
      </c>
      <c r="C51" s="10">
        <f>SUM(Jan!C51, Feb!C51, Mar!C51)</f>
        <v>19681.21875</v>
      </c>
      <c r="D51" s="15">
        <f>SUM(Jan!D51, Feb!D51, Mar!D51)</f>
        <v>23615.078000000001</v>
      </c>
      <c r="E51" s="15">
        <f t="shared" si="6"/>
        <v>-3933.8592500000013</v>
      </c>
      <c r="F51" s="16">
        <f t="shared" si="7"/>
        <v>-0.16658252198023657</v>
      </c>
      <c r="G51" s="17">
        <f>SUM('1st Qtr'!G51+'2nd Qtr'!G51+'3rd Qtr'!G51+'4th Qtr'!G51)</f>
        <v>25496</v>
      </c>
      <c r="H51" s="17">
        <f>SUM(Jan!H51, Feb!H51, Mar!H51)</f>
        <v>-5814.78125</v>
      </c>
      <c r="I51" s="16">
        <f t="shared" si="8"/>
        <v>-0.2280664123784123</v>
      </c>
      <c r="J51" s="39"/>
      <c r="K51" s="40"/>
    </row>
    <row r="52" spans="1:11" ht="15.75">
      <c r="A52" s="25" t="str">
        <v>Q157</v>
      </c>
      <c r="B52" s="26" t="str">
        <v>NY</v>
      </c>
      <c r="C52" s="21">
        <f>SUM(Jan!C52, Feb!C52, Mar!C52)</f>
        <v>32711.75</v>
      </c>
      <c r="D52" s="11">
        <f>SUM(Jan!D52, Feb!D52, Mar!D52)</f>
        <v>45849.404999999999</v>
      </c>
      <c r="E52" s="11">
        <f t="shared" si="6"/>
        <v>-13137.654999999999</v>
      </c>
      <c r="F52" s="12">
        <f t="shared" si="7"/>
        <v>-0.28653926915736416</v>
      </c>
      <c r="G52" s="13">
        <f>SUM('1st Qtr'!G52+'2nd Qtr'!G52+'3rd Qtr'!G52+'4th Qtr'!G52)</f>
        <v>48279.4</v>
      </c>
      <c r="H52" s="13">
        <f>SUM(Jan!H52, Feb!H52, Mar!H52)</f>
        <v>-15567.650000000001</v>
      </c>
      <c r="I52" s="14">
        <f t="shared" si="8"/>
        <v>-0.322449119085987</v>
      </c>
      <c r="J52" s="38"/>
      <c r="K52" s="38"/>
    </row>
    <row r="53" spans="1:11" ht="15.75">
      <c r="A53" s="27" t="str">
        <v>Q192</v>
      </c>
      <c r="B53" s="28" t="str">
        <v>NY</v>
      </c>
      <c r="C53" s="10">
        <f>SUM(Jan!C53, Feb!C53, Mar!C53)</f>
        <v>54298.9375</v>
      </c>
      <c r="D53" s="15">
        <f>SUM(Jan!D53, Feb!D53, Mar!D53)</f>
        <v>70533.75</v>
      </c>
      <c r="E53" s="15">
        <f t="shared" si="6"/>
        <v>-16234.8125</v>
      </c>
      <c r="F53" s="16">
        <f t="shared" si="7"/>
        <v>-0.23017084020061318</v>
      </c>
      <c r="G53" s="17">
        <f>SUM('1st Qtr'!G53+'2nd Qtr'!G53+'3rd Qtr'!G53+'4th Qtr'!G53)</f>
        <v>69010.259999999995</v>
      </c>
      <c r="H53" s="17">
        <f>SUM(Jan!H53, Feb!H53, Mar!H53)</f>
        <v>-14711.322499999998</v>
      </c>
      <c r="I53" s="16">
        <f t="shared" si="8"/>
        <v>-0.21317587413813541</v>
      </c>
      <c r="J53" s="39"/>
      <c r="K53" s="39"/>
    </row>
    <row r="54" spans="1:11" ht="15.75">
      <c r="A54" s="25" t="str">
        <v>Q210</v>
      </c>
      <c r="B54" s="26" t="str">
        <v>NY</v>
      </c>
      <c r="C54" s="21">
        <f>SUM(Jan!C54, Feb!C54, Mar!C54)</f>
        <v>43295.25</v>
      </c>
      <c r="D54" s="11">
        <f>SUM(Jan!D54, Feb!D54, Mar!D54)</f>
        <v>50082.418000000005</v>
      </c>
      <c r="E54" s="11">
        <f t="shared" si="6"/>
        <v>-6787.1680000000051</v>
      </c>
      <c r="F54" s="12">
        <f t="shared" si="7"/>
        <v>-0.1355199742951709</v>
      </c>
      <c r="G54" s="13">
        <f>SUM('1st Qtr'!G54+'2nd Qtr'!G54+'3rd Qtr'!G54+'4th Qtr'!G54)</f>
        <v>56292</v>
      </c>
      <c r="H54" s="13">
        <f>SUM(Jan!H54, Feb!H54, Mar!H54)</f>
        <v>-12996.75</v>
      </c>
      <c r="I54" s="14">
        <f t="shared" si="8"/>
        <v>-0.23088094222980174</v>
      </c>
      <c r="J54" s="38"/>
      <c r="K54" s="38"/>
    </row>
    <row r="55" spans="1:11" ht="15.75">
      <c r="A55" s="27" t="str">
        <v>Q229</v>
      </c>
      <c r="B55" s="28" t="str">
        <v>NY</v>
      </c>
      <c r="C55" s="10">
        <f>SUM(Jan!C55, Feb!C55, Mar!C55)</f>
        <v>19268.65625</v>
      </c>
      <c r="D55" s="15">
        <f>SUM(Jan!D55, Feb!D55, Mar!D55)</f>
        <v>23192.663</v>
      </c>
      <c r="E55" s="15">
        <f t="shared" si="6"/>
        <v>-3924.0067500000005</v>
      </c>
      <c r="F55" s="16">
        <f t="shared" si="7"/>
        <v>-0.16919172886701284</v>
      </c>
      <c r="G55" s="17">
        <f>SUM('1st Qtr'!G55+'2nd Qtr'!G55+'3rd Qtr'!G55+'4th Qtr'!G55)</f>
        <v>28987.453000000001</v>
      </c>
      <c r="H55" s="17">
        <f>SUM(Jan!H55, Feb!H55, Mar!H55)</f>
        <v>-9718.7967500000013</v>
      </c>
      <c r="I55" s="16">
        <f t="shared" si="8"/>
        <v>-0.33527598130128927</v>
      </c>
      <c r="J55" s="39"/>
      <c r="K55" s="40"/>
    </row>
    <row r="56" spans="1:11" ht="15.75">
      <c r="A56" s="25" t="str">
        <v>Q231</v>
      </c>
      <c r="B56" s="26" t="str">
        <v>NY</v>
      </c>
      <c r="C56" s="21">
        <f>SUM(Jan!C56, Feb!C56, Mar!C56)</f>
        <v>72790.125</v>
      </c>
      <c r="D56" s="11">
        <f>SUM(Jan!D56, Feb!D56, Mar!D56)</f>
        <v>97152.989999999991</v>
      </c>
      <c r="E56" s="11">
        <f t="shared" si="6"/>
        <v>-24362.864999999991</v>
      </c>
      <c r="F56" s="12">
        <f t="shared" si="7"/>
        <v>-0.2507680412100543</v>
      </c>
      <c r="G56" s="13">
        <f>SUM('1st Qtr'!G56+'2nd Qtr'!G56+'3rd Qtr'!G56+'4th Qtr'!G56)</f>
        <v>0</v>
      </c>
      <c r="H56" s="13">
        <f>SUM(Jan!H56, Feb!H56, Mar!H56)</f>
        <v>72790.125</v>
      </c>
      <c r="I56" s="14" t="str">
        <f t="shared" si="8"/>
        <v/>
      </c>
      <c r="J56" s="38"/>
      <c r="K56" s="38"/>
    </row>
    <row r="57" spans="1:11" ht="15.75">
      <c r="A57" s="27" t="str">
        <v>Q405</v>
      </c>
      <c r="B57" s="28" t="str">
        <v>NY</v>
      </c>
      <c r="C57" s="10">
        <f>SUM(Jan!C57, Feb!C57, Mar!C57)</f>
        <v>80429.75</v>
      </c>
      <c r="D57" s="15">
        <f>SUM(Jan!D57, Feb!D57, Mar!D57)</f>
        <v>98573.890000000014</v>
      </c>
      <c r="E57" s="15">
        <f t="shared" si="6"/>
        <v>-18144.140000000014</v>
      </c>
      <c r="F57" s="16">
        <f t="shared" si="7"/>
        <v>-0.18406638918277457</v>
      </c>
      <c r="G57" s="17">
        <f>SUM('1st Qtr'!G57+'2nd Qtr'!G57+'3rd Qtr'!G57+'4th Qtr'!G57)</f>
        <v>85134.39</v>
      </c>
      <c r="H57" s="17">
        <f>SUM(Jan!H57, Feb!H57, Mar!H57)</f>
        <v>-4704.6399999999994</v>
      </c>
      <c r="I57" s="16">
        <f t="shared" si="8"/>
        <v>-5.5261334461901936E-2</v>
      </c>
      <c r="J57" s="39"/>
      <c r="K57" s="40"/>
    </row>
    <row r="58" spans="1:11" ht="15.75">
      <c r="A58" s="25" t="str">
        <v>Q435</v>
      </c>
      <c r="B58" s="26" t="str">
        <v>NY</v>
      </c>
      <c r="C58" s="21">
        <f>SUM(Jan!C58, Feb!C58, Mar!C58)</f>
        <v>0</v>
      </c>
      <c r="D58" s="11">
        <f>SUM(Jan!D58, Feb!D58, Mar!D58)</f>
        <v>0</v>
      </c>
      <c r="E58" s="11">
        <f t="shared" si="6"/>
        <v>0</v>
      </c>
      <c r="F58" s="12" t="str">
        <f t="shared" si="7"/>
        <v/>
      </c>
      <c r="G58" s="13">
        <f>SUM('1st Qtr'!G58+'2nd Qtr'!G58+'3rd Qtr'!G58+'4th Qtr'!G58)</f>
        <v>0</v>
      </c>
      <c r="H58" s="13">
        <f>SUM(Jan!H58, Feb!H58, Mar!H58)</f>
        <v>0</v>
      </c>
      <c r="I58" s="14" t="str">
        <f t="shared" si="8"/>
        <v/>
      </c>
      <c r="J58" s="38"/>
      <c r="K58" s="38"/>
    </row>
    <row r="59" spans="1:11" ht="15.75">
      <c r="A59" s="27" t="str">
        <v>Q485</v>
      </c>
      <c r="B59" s="28" t="str">
        <v>NY</v>
      </c>
      <c r="C59" s="10">
        <f>SUM(Jan!C59, Feb!C59, Mar!C59)</f>
        <v>89719.654335743195</v>
      </c>
      <c r="D59" s="15">
        <f>SUM(Jan!D59, Feb!D59, Mar!D59)</f>
        <v>79631.06</v>
      </c>
      <c r="E59" s="15">
        <f t="shared" si="6"/>
        <v>10088.594335743197</v>
      </c>
      <c r="F59" s="16">
        <f t="shared" si="7"/>
        <v>0.12669169964261681</v>
      </c>
      <c r="G59" s="17">
        <f>SUM('1st Qtr'!G59+'2nd Qtr'!G59+'3rd Qtr'!G59+'4th Qtr'!G59)</f>
        <v>103271.24</v>
      </c>
      <c r="H59" s="17">
        <f>SUM(Jan!H59, Feb!H59, Mar!H59)</f>
        <v>-13551.585664256803</v>
      </c>
      <c r="I59" s="16">
        <f t="shared" si="8"/>
        <v>-0.13122322985815607</v>
      </c>
      <c r="J59" s="39"/>
      <c r="K59" s="40"/>
    </row>
    <row r="60" spans="1:11" ht="15.75">
      <c r="A60" s="25" t="str">
        <v>Q490</v>
      </c>
      <c r="B60" s="26" t="str">
        <v>NY</v>
      </c>
      <c r="C60" s="21">
        <f>SUM(Jan!C60, Feb!C60, Mar!C60)</f>
        <v>68728.660312500098</v>
      </c>
      <c r="D60" s="11">
        <f>SUM(Jan!D60, Feb!D60, Mar!D60)</f>
        <v>0</v>
      </c>
      <c r="E60" s="11">
        <f t="shared" si="6"/>
        <v>68728.660312500098</v>
      </c>
      <c r="F60" s="12" t="str">
        <f t="shared" si="7"/>
        <v/>
      </c>
      <c r="G60" s="13">
        <f>SUM('1st Qtr'!G60+'2nd Qtr'!G60+'3rd Qtr'!G60+'4th Qtr'!G60)</f>
        <v>91074.73</v>
      </c>
      <c r="H60" s="13">
        <f>SUM(Jan!H60, Feb!H60, Mar!H60)</f>
        <v>-22346.069687499898</v>
      </c>
      <c r="I60" s="14">
        <f t="shared" si="8"/>
        <v>-0.2453597138031581</v>
      </c>
      <c r="J60" s="38"/>
      <c r="K60" s="38"/>
    </row>
    <row r="61" spans="1:11" ht="15.75">
      <c r="A61" s="27" t="str">
        <v>Q620</v>
      </c>
      <c r="B61" s="28" t="str">
        <v>NY</v>
      </c>
      <c r="C61" s="10">
        <f>SUM(Jan!C61, Feb!C61, Mar!C61)</f>
        <v>103122.625</v>
      </c>
      <c r="D61" s="15">
        <f>SUM(Jan!D61, Feb!D61, Mar!D61)</f>
        <v>126246.48000000001</v>
      </c>
      <c r="E61" s="15">
        <f t="shared" si="6"/>
        <v>-23123.85500000001</v>
      </c>
      <c r="F61" s="16">
        <f t="shared" si="7"/>
        <v>-0.18316435436457323</v>
      </c>
      <c r="G61" s="17">
        <f>SUM('1st Qtr'!G61+'2nd Qtr'!G61+'3rd Qtr'!G61+'4th Qtr'!G61)</f>
        <v>142146.81</v>
      </c>
      <c r="H61" s="17">
        <f>SUM(Jan!H61, Feb!H61, Mar!H61)</f>
        <v>-39024.184999999998</v>
      </c>
      <c r="I61" s="16">
        <f t="shared" si="8"/>
        <v>-0.27453437048640061</v>
      </c>
      <c r="J61" s="39"/>
      <c r="K61" s="40"/>
    </row>
    <row r="62" spans="1:11" ht="15.75">
      <c r="A62" s="25" t="str">
        <v>QMOA</v>
      </c>
      <c r="B62" s="26" t="str">
        <v>NY</v>
      </c>
      <c r="C62" s="21">
        <f>SUM(Jan!C62, Feb!C62, Mar!C62)</f>
        <v>9674.5999999999894</v>
      </c>
      <c r="D62" s="11">
        <f>SUM(Jan!D62, Feb!D62, Mar!D62)</f>
        <v>0</v>
      </c>
      <c r="E62" s="11">
        <f t="shared" si="6"/>
        <v>9674.5999999999894</v>
      </c>
      <c r="F62" s="12" t="str">
        <f t="shared" si="7"/>
        <v/>
      </c>
      <c r="G62" s="13">
        <f>SUM('1st Qtr'!G62+'2nd Qtr'!G62+'3rd Qtr'!G62+'4th Qtr'!G62)</f>
        <v>11837.222000000002</v>
      </c>
      <c r="H62" s="13">
        <f>SUM(Jan!H62, Feb!H62, Mar!H62)</f>
        <v>-2162.6220000000108</v>
      </c>
      <c r="I62" s="14">
        <f t="shared" si="8"/>
        <v>-0.18269675097755289</v>
      </c>
      <c r="J62" s="38"/>
      <c r="K62" s="38"/>
    </row>
    <row r="63" spans="1:11" ht="15.75">
      <c r="A63" s="27" t="str">
        <v>X024</v>
      </c>
      <c r="B63" s="28" t="str">
        <v>NY</v>
      </c>
      <c r="C63" s="10">
        <f>SUM(Jan!C63, Feb!C63, Mar!C63)</f>
        <v>38634.876000000004</v>
      </c>
      <c r="D63" s="15">
        <f>SUM(Jan!D63, Feb!D63, Mar!D63)</f>
        <v>0</v>
      </c>
      <c r="E63" s="15">
        <f t="shared" si="6"/>
        <v>38634.876000000004</v>
      </c>
      <c r="F63" s="16" t="str">
        <f t="shared" si="7"/>
        <v/>
      </c>
      <c r="G63" s="17">
        <f>SUM('1st Qtr'!G63+'2nd Qtr'!G63+'3rd Qtr'!G63+'4th Qtr'!G63)</f>
        <v>0</v>
      </c>
      <c r="H63" s="17">
        <f>SUM(Jan!H63, Feb!H63, Mar!H63)</f>
        <v>38634.876000000004</v>
      </c>
      <c r="I63" s="16" t="str">
        <f t="shared" si="8"/>
        <v/>
      </c>
      <c r="J63" s="39"/>
      <c r="K63" s="40"/>
    </row>
    <row r="64" spans="1:11" ht="15.75">
      <c r="A64" s="25" t="str">
        <v>X026</v>
      </c>
      <c r="B64" s="26" t="str">
        <v>NY</v>
      </c>
      <c r="C64" s="21">
        <f>SUM(Jan!C64, Feb!C64, Mar!C64)</f>
        <v>30231.200000000037</v>
      </c>
      <c r="D64" s="11">
        <f>SUM(Jan!D64, Feb!D64, Mar!D64)</f>
        <v>41023.509999999995</v>
      </c>
      <c r="E64" s="11">
        <f t="shared" si="6"/>
        <v>-10792.309999999958</v>
      </c>
      <c r="F64" s="12">
        <f t="shared" si="7"/>
        <v>-0.26307622141547515</v>
      </c>
      <c r="G64" s="13">
        <f>SUM('1st Qtr'!G64+'2nd Qtr'!G64+'3rd Qtr'!G64+'4th Qtr'!G64)</f>
        <v>53576.53</v>
      </c>
      <c r="H64" s="13">
        <f>SUM(Jan!H64, Feb!H64, Mar!H64)</f>
        <v>-23345.329999999962</v>
      </c>
      <c r="I64" s="14">
        <f t="shared" si="8"/>
        <v>-0.43573799945610442</v>
      </c>
      <c r="J64" s="38"/>
      <c r="K64" s="38"/>
    </row>
    <row r="65" spans="1:11" ht="15.75">
      <c r="A65" s="27" t="str">
        <v>X090</v>
      </c>
      <c r="B65" s="28" t="str">
        <v>NY</v>
      </c>
      <c r="C65" s="10">
        <f>SUM(Jan!C65, Feb!C65, Mar!C65)</f>
        <v>30633.6484375</v>
      </c>
      <c r="D65" s="15">
        <f>SUM(Jan!D65, Feb!D65, Mar!D65)</f>
        <v>27558.474000000002</v>
      </c>
      <c r="E65" s="15">
        <f t="shared" si="6"/>
        <v>3075.174437499998</v>
      </c>
      <c r="F65" s="16">
        <f t="shared" si="7"/>
        <v>0.11158725397857652</v>
      </c>
      <c r="G65" s="17">
        <f>SUM('1st Qtr'!G65+'2nd Qtr'!G65+'3rd Qtr'!G65+'4th Qtr'!G65)</f>
        <v>35328</v>
      </c>
      <c r="H65" s="17">
        <f>SUM(Jan!H65, Feb!H65, Mar!H65)</f>
        <v>-4694.3515624999991</v>
      </c>
      <c r="I65" s="16">
        <f t="shared" si="8"/>
        <v>-0.13287906370301175</v>
      </c>
      <c r="J65" s="39"/>
      <c r="K65" s="39"/>
    </row>
    <row r="66" spans="1:11" ht="15.75">
      <c r="A66" s="25" t="str">
        <v>X117</v>
      </c>
      <c r="B66" s="26" t="str">
        <v>NY</v>
      </c>
      <c r="C66" s="21">
        <f>SUM(Jan!C66, Feb!C66, Mar!C66)</f>
        <v>23648.800000000039</v>
      </c>
      <c r="D66" s="11">
        <f>SUM(Jan!D66, Feb!D66, Mar!D66)</f>
        <v>35151.578999999998</v>
      </c>
      <c r="E66" s="11">
        <f t="shared" si="6"/>
        <v>-11502.778999999959</v>
      </c>
      <c r="F66" s="12">
        <f t="shared" si="7"/>
        <v>-0.32723363579200693</v>
      </c>
      <c r="G66" s="13">
        <f>SUM('1st Qtr'!G66+'2nd Qtr'!G66+'3rd Qtr'!G66+'4th Qtr'!G66)</f>
        <v>59162.86</v>
      </c>
      <c r="H66" s="13">
        <f>SUM(Jan!H66, Feb!H66, Mar!H66)</f>
        <v>-35514.059999999961</v>
      </c>
      <c r="I66" s="14">
        <f t="shared" si="8"/>
        <v>-0.60027625439338061</v>
      </c>
      <c r="J66" s="38"/>
      <c r="K66" s="38"/>
    </row>
    <row r="67" spans="1:11" ht="15.75">
      <c r="A67" s="27" t="str">
        <v>X125</v>
      </c>
      <c r="B67" s="28" t="str">
        <v>NY</v>
      </c>
      <c r="C67" s="10">
        <f>SUM(Jan!C67, Feb!C67, Mar!C67)</f>
        <v>47490.21875</v>
      </c>
      <c r="D67" s="15">
        <f>SUM(Jan!D67, Feb!D67, Mar!D67)</f>
        <v>60381.86</v>
      </c>
      <c r="E67" s="15">
        <f t="shared" si="6"/>
        <v>-12891.641250000001</v>
      </c>
      <c r="F67" s="16">
        <f t="shared" si="7"/>
        <v>-0.21350189030281611</v>
      </c>
      <c r="G67" s="17">
        <f>SUM('1st Qtr'!G67+'2nd Qtr'!G67+'3rd Qtr'!G67+'4th Qtr'!G67)</f>
        <v>43137.520000000004</v>
      </c>
      <c r="H67" s="17">
        <f>SUM(Jan!H67, Feb!H67, Mar!H67)</f>
        <v>4352.6987499999996</v>
      </c>
      <c r="I67" s="16">
        <f t="shared" si="8"/>
        <v>0.10090285092884337</v>
      </c>
      <c r="J67" s="39"/>
      <c r="K67" s="40"/>
    </row>
    <row r="68" spans="1:11" ht="15.75">
      <c r="A68" s="25" t="str">
        <v>X134</v>
      </c>
      <c r="B68" s="26" t="str">
        <v>NY</v>
      </c>
      <c r="C68" s="21">
        <f>SUM(Jan!C68, Feb!C68, Mar!C68)</f>
        <v>44627.34375</v>
      </c>
      <c r="D68" s="11">
        <f>SUM(Jan!D68, Feb!D68, Mar!D68)</f>
        <v>0</v>
      </c>
      <c r="E68" s="11">
        <f t="shared" si="6"/>
        <v>44627.34375</v>
      </c>
      <c r="F68" s="12" t="str">
        <f t="shared" si="7"/>
        <v/>
      </c>
      <c r="G68" s="13">
        <f>SUM('1st Qtr'!G68+'2nd Qtr'!G68+'3rd Qtr'!G68+'4th Qtr'!G68)</f>
        <v>0</v>
      </c>
      <c r="H68" s="13">
        <f>SUM(Jan!H68, Feb!H68, Mar!H68)</f>
        <v>44627.34375</v>
      </c>
      <c r="I68" s="14" t="str">
        <f t="shared" si="8"/>
        <v/>
      </c>
      <c r="J68" s="38"/>
      <c r="K68" s="38"/>
    </row>
    <row r="69" spans="1:11" ht="15.75">
      <c r="A69" s="27" t="str">
        <v>X135</v>
      </c>
      <c r="B69" s="28" t="str">
        <v>NY</v>
      </c>
      <c r="C69" s="10">
        <f>SUM(Jan!C69, Feb!C69, Mar!C69)</f>
        <v>35026.578125</v>
      </c>
      <c r="D69" s="15">
        <f>SUM(Jan!D69, Feb!D69, Mar!D69)</f>
        <v>0</v>
      </c>
      <c r="E69" s="15">
        <f t="shared" si="6"/>
        <v>35026.578125</v>
      </c>
      <c r="F69" s="16" t="str">
        <f t="shared" si="7"/>
        <v/>
      </c>
      <c r="G69" s="17">
        <f>SUM('1st Qtr'!G69+'2nd Qtr'!G69+'3rd Qtr'!G69+'4th Qtr'!G69)</f>
        <v>0</v>
      </c>
      <c r="H69" s="17">
        <f>SUM(Jan!H69, Feb!H69, Mar!H69)</f>
        <v>35026.578125</v>
      </c>
      <c r="I69" s="16" t="str">
        <f t="shared" si="8"/>
        <v/>
      </c>
      <c r="J69" s="39"/>
      <c r="K69" s="40"/>
    </row>
    <row r="70" spans="1:11" ht="15.75">
      <c r="A70" s="25" t="str">
        <v>X139 JHS 222</v>
      </c>
      <c r="B70" s="26" t="str">
        <v>NY</v>
      </c>
      <c r="C70" s="21">
        <f>SUM(Jan!C70, Feb!C70, Mar!C70)</f>
        <v>57659.340530185567</v>
      </c>
      <c r="D70" s="11">
        <f>SUM(Jan!D70, Feb!D70, Mar!D70)</f>
        <v>67980.320000000007</v>
      </c>
      <c r="E70" s="11">
        <f t="shared" si="6"/>
        <v>-10320.97946981444</v>
      </c>
      <c r="F70" s="12">
        <f t="shared" si="7"/>
        <v>-0.15182304922681208</v>
      </c>
      <c r="G70" s="13">
        <f>SUM('1st Qtr'!G70+'2nd Qtr'!G70+'3rd Qtr'!G70+'4th Qtr'!G70)</f>
        <v>84940</v>
      </c>
      <c r="H70" s="13">
        <f>SUM(Jan!H70, Feb!H70, Mar!H70)</f>
        <v>-27280.659469814433</v>
      </c>
      <c r="I70" s="14">
        <f t="shared" si="8"/>
        <v>-0.32117564716051838</v>
      </c>
      <c r="J70" s="38"/>
      <c r="K70" s="38"/>
    </row>
    <row r="71" spans="1:11" ht="15.75">
      <c r="A71" s="27" t="str">
        <v>X140</v>
      </c>
      <c r="B71" s="28" t="str">
        <v>NY</v>
      </c>
      <c r="C71" s="10">
        <f>SUM(Jan!C71, Feb!C71, Mar!C71)</f>
        <v>31019.277999999998</v>
      </c>
      <c r="D71" s="15">
        <f>SUM(Jan!D71, Feb!D71, Mar!D71)</f>
        <v>32980.657999999996</v>
      </c>
      <c r="E71" s="15">
        <f t="shared" si="6"/>
        <v>-1961.3799999999974</v>
      </c>
      <c r="F71" s="16">
        <f t="shared" si="7"/>
        <v>-5.9470614564451615E-2</v>
      </c>
      <c r="G71" s="17">
        <f>SUM('1st Qtr'!G71+'2nd Qtr'!G71+'3rd Qtr'!G71+'4th Qtr'!G71)</f>
        <v>36841.069000000003</v>
      </c>
      <c r="H71" s="17">
        <f>SUM(Jan!H71, Feb!H71, Mar!H71)</f>
        <v>-5821.7909999999993</v>
      </c>
      <c r="I71" s="16">
        <f t="shared" si="8"/>
        <v>-0.15802448620586984</v>
      </c>
      <c r="J71" s="39"/>
      <c r="K71" s="40"/>
    </row>
    <row r="72" spans="1:11" ht="15.75">
      <c r="A72" s="25" t="str">
        <v>X166</v>
      </c>
      <c r="B72" s="26" t="str">
        <v>NY</v>
      </c>
      <c r="C72" s="21">
        <f>SUM(Jan!C72, Feb!C72, Mar!C72)</f>
        <v>34205.999999999971</v>
      </c>
      <c r="D72" s="11">
        <f>SUM(Jan!D72, Feb!D72, Mar!D72)</f>
        <v>40811.385999999999</v>
      </c>
      <c r="E72" s="11">
        <f t="shared" si="6"/>
        <v>-6605.3860000000277</v>
      </c>
      <c r="F72" s="12">
        <f t="shared" si="7"/>
        <v>-0.16185154799692489</v>
      </c>
      <c r="G72" s="13">
        <f>SUM('1st Qtr'!G72+'2nd Qtr'!G72+'3rd Qtr'!G72+'4th Qtr'!G72)</f>
        <v>0</v>
      </c>
      <c r="H72" s="13">
        <f>SUM(Jan!H72, Feb!H72, Mar!H72)</f>
        <v>34205.999999999971</v>
      </c>
      <c r="I72" s="14" t="str">
        <f t="shared" si="8"/>
        <v/>
      </c>
      <c r="J72" s="38"/>
      <c r="K72" s="38"/>
    </row>
    <row r="73" spans="1:11" ht="15.75">
      <c r="A73" s="27" t="str">
        <v>Murphy</v>
      </c>
      <c r="B73" s="28" t="str">
        <v>MN</v>
      </c>
      <c r="C73" s="10">
        <f>SUM(Jan!C73, Feb!C73, Mar!C73)</f>
        <v>1632440</v>
      </c>
      <c r="D73" s="15">
        <f>SUM(Jan!D73, Feb!D73, Mar!D73)</f>
        <v>1972653.5</v>
      </c>
      <c r="E73" s="15">
        <f t="shared" si="6"/>
        <v>-340213.5</v>
      </c>
      <c r="F73" s="16">
        <f t="shared" si="7"/>
        <v>-0.17246490577285875</v>
      </c>
      <c r="G73" s="17">
        <f>SUM('1st Qtr'!G73+'2nd Qtr'!G73+'3rd Qtr'!G73+'4th Qtr'!G73)</f>
        <v>2062650.4000000001</v>
      </c>
      <c r="H73" s="17">
        <f>SUM(Jan!H73, Feb!H73, Mar!H73)</f>
        <v>-430210.4</v>
      </c>
      <c r="I73" s="16">
        <f t="shared" si="8"/>
        <v>-0.20857165130843308</v>
      </c>
      <c r="J73" s="39"/>
      <c r="K73" s="40"/>
    </row>
    <row r="74" spans="1:11" ht="15.75">
      <c r="A74" s="25" t="str">
        <v>Terning</v>
      </c>
      <c r="B74" s="26" t="str">
        <v>MN</v>
      </c>
      <c r="C74" s="21">
        <f>SUM(Jan!C74, Feb!C74, Mar!C74)</f>
        <v>1735594</v>
      </c>
      <c r="D74" s="11">
        <f>SUM(Jan!D74, Feb!D74, Mar!D74)</f>
        <v>2080164.3</v>
      </c>
      <c r="E74" s="11">
        <f t="shared" si="6"/>
        <v>-344570.30000000005</v>
      </c>
      <c r="F74" s="12">
        <f t="shared" si="7"/>
        <v>-0.16564571365829134</v>
      </c>
      <c r="G74" s="13">
        <f>SUM('1st Qtr'!G74+'2nd Qtr'!G74+'3rd Qtr'!G74+'4th Qtr'!G74)</f>
        <v>1957114.3</v>
      </c>
      <c r="H74" s="13">
        <f>SUM(Jan!H74, Feb!H74, Mar!H74)</f>
        <v>-221520.3</v>
      </c>
      <c r="I74" s="14">
        <f t="shared" si="8"/>
        <v>-0.11318720628631654</v>
      </c>
      <c r="J74" s="38"/>
      <c r="K74" s="38"/>
    </row>
    <row r="75" spans="1:11" ht="15.75">
      <c r="A75" s="27" t="str">
        <v>Boas Road 04</v>
      </c>
      <c r="B75" s="28" t="str">
        <v>NY</v>
      </c>
      <c r="C75" s="10">
        <f>SUM(Jan!C75, Feb!C75, Mar!C75)</f>
        <v>494814</v>
      </c>
      <c r="D75" s="15">
        <f>SUM(Jan!D75, Feb!D75, Mar!D75)</f>
        <v>584293.79</v>
      </c>
      <c r="E75" s="15">
        <f t="shared" si="6"/>
        <v>-89479.790000000037</v>
      </c>
      <c r="F75" s="16">
        <f t="shared" si="7"/>
        <v>-0.15314177821400435</v>
      </c>
      <c r="G75" s="17">
        <f>SUM('1st Qtr'!G75+'2nd Qtr'!G75+'3rd Qtr'!G75+'4th Qtr'!G75)</f>
        <v>739603.56</v>
      </c>
      <c r="H75" s="17">
        <f>SUM(Jan!H75, Feb!H75, Mar!H75)</f>
        <v>-244789.56</v>
      </c>
      <c r="I75" s="16">
        <f t="shared" si="8"/>
        <v>-0.33097401532247894</v>
      </c>
      <c r="J75" s="39"/>
      <c r="K75" s="40"/>
    </row>
    <row r="76" spans="1:11" ht="15.75">
      <c r="A76" s="25" t="str">
        <v>Kelly Bridge Farm</v>
      </c>
      <c r="B76" s="26" t="str">
        <v>NY</v>
      </c>
      <c r="C76" s="21">
        <f>SUM(Jan!C76, Feb!C76, Mar!C76)</f>
        <v>558467</v>
      </c>
      <c r="D76" s="11">
        <f>SUM(Jan!D76, Feb!D76, Mar!D76)</f>
        <v>575148.26</v>
      </c>
      <c r="E76" s="11">
        <f t="shared" si="6"/>
        <v>-16681.260000000009</v>
      </c>
      <c r="F76" s="12">
        <f t="shared" si="7"/>
        <v>-2.9003408616762587E-2</v>
      </c>
      <c r="G76" s="13">
        <f>SUM('1st Qtr'!G76+'2nd Qtr'!G76+'3rd Qtr'!G76+'4th Qtr'!G76)</f>
        <v>749376.96</v>
      </c>
      <c r="H76" s="13">
        <f>SUM(Jan!H76, Feb!H76, Mar!H76)</f>
        <v>-190909.96000000002</v>
      </c>
      <c r="I76" s="14">
        <f t="shared" si="8"/>
        <v>-0.25475824610353648</v>
      </c>
      <c r="J76" s="38"/>
      <c r="K76" s="38"/>
    </row>
    <row r="77" spans="1:11" ht="15.75">
      <c r="A77" s="27" t="str">
        <v>Pool Brook Road</v>
      </c>
      <c r="B77" s="28" t="str">
        <v>NY</v>
      </c>
      <c r="C77" s="10">
        <f>SUM(Jan!C77, Feb!C77, Mar!C77)</f>
        <v>486761</v>
      </c>
      <c r="D77" s="15">
        <f>SUM(Jan!D77, Feb!D77, Mar!D77)</f>
        <v>499911.67</v>
      </c>
      <c r="E77" s="15">
        <f t="shared" si="6"/>
        <v>-13150.669999999984</v>
      </c>
      <c r="F77" s="16">
        <f t="shared" si="7"/>
        <v>-2.6305987215701494E-2</v>
      </c>
      <c r="G77" s="17">
        <f>SUM('1st Qtr'!G77+'2nd Qtr'!G77+'3rd Qtr'!G77+'4th Qtr'!G77)</f>
        <v>645779.92999999993</v>
      </c>
      <c r="H77" s="17">
        <f>SUM(Jan!H77, Feb!H77, Mar!H77)</f>
        <v>-159018.93</v>
      </c>
      <c r="I77" s="16">
        <f t="shared" si="8"/>
        <v>-0.24624322096848072</v>
      </c>
      <c r="J77" s="39"/>
      <c r="K77" s="39"/>
    </row>
    <row r="78" spans="1:11" ht="15.75">
      <c r="A78" s="25" t="str">
        <v>Sackett Lake</v>
      </c>
      <c r="B78" s="26" t="str">
        <v>NY</v>
      </c>
      <c r="C78" s="21">
        <f>SUM(Jan!C78, Feb!C78, Mar!C78)</f>
        <v>597618</v>
      </c>
      <c r="D78" s="11">
        <f>SUM(Jan!D78, Feb!D78, Mar!D78)</f>
        <v>597034.67000000004</v>
      </c>
      <c r="E78" s="11">
        <f t="shared" si="6"/>
        <v>583.32999999995809</v>
      </c>
      <c r="F78" s="12">
        <f t="shared" si="7"/>
        <v>9.77045436908979E-4</v>
      </c>
      <c r="G78" s="13">
        <f>SUM('1st Qtr'!G78+'2nd Qtr'!G78+'3rd Qtr'!G78+'4th Qtr'!G78)</f>
        <v>754908.37</v>
      </c>
      <c r="H78" s="13">
        <f>SUM(Jan!H78, Feb!H78, Mar!H78)</f>
        <v>-157290.37</v>
      </c>
      <c r="I78" s="14">
        <f t="shared" si="8"/>
        <v>-0.20835690297088638</v>
      </c>
      <c r="J78" s="38"/>
      <c r="K78" s="38"/>
    </row>
    <row r="79" spans="1:11" ht="15.75">
      <c r="A79" s="27" t="str">
        <v>Burritt Road</v>
      </c>
      <c r="B79" s="28" t="str">
        <v>NY</v>
      </c>
      <c r="C79" s="10">
        <f>SUM(Jan!C79, Feb!C79, Mar!C79)</f>
        <v>551570</v>
      </c>
      <c r="D79" s="15">
        <f>SUM(Jan!D79, Feb!D79, Mar!D79)</f>
        <v>563219.43999999994</v>
      </c>
      <c r="E79" s="15">
        <f t="shared" si="6"/>
        <v>-11649.439999999944</v>
      </c>
      <c r="F79" s="16">
        <f t="shared" si="7"/>
        <v>-2.0683661061130891E-2</v>
      </c>
      <c r="G79" s="17">
        <f>SUM('1st Qtr'!G79+'2nd Qtr'!G79+'3rd Qtr'!G79+'4th Qtr'!G79)</f>
        <v>548857.69999999995</v>
      </c>
      <c r="H79" s="17">
        <f>SUM(Jan!H79, Feb!H79, Mar!H79)</f>
        <v>2712.3000000000175</v>
      </c>
      <c r="I79" s="16">
        <f t="shared" si="8"/>
        <v>4.9417180445860878E-3</v>
      </c>
      <c r="J79" s="39"/>
      <c r="K79" s="40"/>
    </row>
    <row r="80" spans="1:11" ht="15.75">
      <c r="A80" s="25" t="str">
        <v>Villa Roma 1</v>
      </c>
      <c r="B80" s="26" t="str">
        <v>NY</v>
      </c>
      <c r="C80" s="21">
        <f>SUM(Jan!C80, Feb!C80, Mar!C80)</f>
        <v>487440</v>
      </c>
      <c r="D80" s="11">
        <f>SUM(Jan!D80, Feb!D80, Mar!D80)</f>
        <v>261798.13</v>
      </c>
      <c r="E80" s="11">
        <f t="shared" si="6"/>
        <v>225641.87</v>
      </c>
      <c r="F80" s="12">
        <f t="shared" si="7"/>
        <v>0.86189259640624627</v>
      </c>
      <c r="G80" s="13">
        <f>SUM('1st Qtr'!G80+'2nd Qtr'!G80+'3rd Qtr'!G80+'4th Qtr'!G80)</f>
        <v>502759.05000000005</v>
      </c>
      <c r="H80" s="13">
        <f>SUM(Jan!H80, Feb!H80, Mar!H80)</f>
        <v>-15319.049999999988</v>
      </c>
      <c r="I80" s="14">
        <f t="shared" si="8"/>
        <v>-3.0469963693343732E-2</v>
      </c>
      <c r="J80" s="38"/>
      <c r="K80" s="38"/>
    </row>
    <row r="81" spans="1:11" ht="15.75">
      <c r="A81" s="27" t="str">
        <v>Villa Roma 2</v>
      </c>
      <c r="B81" s="28" t="str">
        <v>NY</v>
      </c>
      <c r="C81" s="10">
        <f>SUM(Jan!C81, Feb!C81, Mar!C81)</f>
        <v>510400</v>
      </c>
      <c r="D81" s="15">
        <f>SUM(Jan!D81, Feb!D81, Mar!D81)</f>
        <v>611163.64</v>
      </c>
      <c r="E81" s="15">
        <f t="shared" si="6"/>
        <v>-100763.64000000001</v>
      </c>
      <c r="F81" s="16">
        <f t="shared" si="7"/>
        <v>-0.16487178458456725</v>
      </c>
      <c r="G81" s="17">
        <f>SUM('1st Qtr'!G81+'2nd Qtr'!G81+'3rd Qtr'!G81+'4th Qtr'!G81)</f>
        <v>487501.11</v>
      </c>
      <c r="H81" s="17">
        <f>SUM(Jan!H81, Feb!H81, Mar!H81)</f>
        <v>22898.889999999985</v>
      </c>
      <c r="I81" s="16">
        <f t="shared" si="8"/>
        <v>4.6971975099707949E-2</v>
      </c>
      <c r="J81" s="39"/>
      <c r="K81" s="40"/>
    </row>
    <row r="82" spans="1:11" ht="15.75">
      <c r="A82" s="25" t="str">
        <v>Washington 1</v>
      </c>
      <c r="B82" s="26" t="str">
        <v>NY</v>
      </c>
      <c r="C82" s="21">
        <f>SUM(Jan!C82, Feb!C82, Mar!C82)</f>
        <v>540070</v>
      </c>
      <c r="D82" s="11">
        <f>SUM(Jan!D82, Feb!D82, Mar!D82)</f>
        <v>662416.75</v>
      </c>
      <c r="E82" s="11">
        <f t="shared" ref="E82:E138" si="9">IF(AND(ISNUMBER(C82),ISNUMBER(D82)), C82-D82, "")</f>
        <v>-122346.75</v>
      </c>
      <c r="F82" s="12">
        <f t="shared" ref="F82:F138" si="10">IFERROR(E82/D82, "")</f>
        <v>-0.18469754878631919</v>
      </c>
      <c r="G82" s="13">
        <f>SUM('1st Qtr'!G82+'2nd Qtr'!G82+'3rd Qtr'!G82+'4th Qtr'!G82)</f>
        <v>538915.94999999995</v>
      </c>
      <c r="H82" s="13">
        <f>SUM(Jan!H82, Feb!H82, Mar!H82)</f>
        <v>1154.0500000000029</v>
      </c>
      <c r="I82" s="14">
        <f t="shared" ref="I82:I138" si="11">IFERROR(H82/G82, "")</f>
        <v>2.1414285474386182E-3</v>
      </c>
      <c r="J82" s="38"/>
      <c r="K82" s="38"/>
    </row>
    <row r="83" spans="1:11" ht="15.75">
      <c r="A83" s="27" t="str">
        <v>Washington 3</v>
      </c>
      <c r="B83" s="28" t="str">
        <v>NY</v>
      </c>
      <c r="C83" s="10">
        <f>SUM(Jan!C83, Feb!C83, Mar!C83)</f>
        <v>515380</v>
      </c>
      <c r="D83" s="15">
        <f>SUM(Jan!D83, Feb!D83, Mar!D83)</f>
        <v>672395.84</v>
      </c>
      <c r="E83" s="15">
        <f t="shared" si="9"/>
        <v>-157015.83999999997</v>
      </c>
      <c r="F83" s="16">
        <f t="shared" si="10"/>
        <v>-0.23351697119363496</v>
      </c>
      <c r="G83" s="17">
        <f>SUM('1st Qtr'!G83+'2nd Qtr'!G83+'3rd Qtr'!G83+'4th Qtr'!G83)</f>
        <v>656728.39</v>
      </c>
      <c r="H83" s="17">
        <f>SUM(Jan!H83, Feb!H83, Mar!H83)</f>
        <v>-141348.39000000001</v>
      </c>
      <c r="I83" s="16">
        <f t="shared" si="11"/>
        <v>-0.21523112469677153</v>
      </c>
      <c r="J83" s="39"/>
      <c r="K83" s="40"/>
    </row>
    <row r="84" spans="1:11" ht="15.75">
      <c r="A84" s="25" t="str">
        <v>Washington 4</v>
      </c>
      <c r="B84" s="26" t="str">
        <v>NY</v>
      </c>
      <c r="C84" s="21">
        <f>SUM(Jan!C84, Feb!C84, Mar!C84)</f>
        <v>662420</v>
      </c>
      <c r="D84" s="11">
        <f>SUM(Jan!D84, Feb!D84, Mar!D84)</f>
        <v>0</v>
      </c>
      <c r="E84" s="11">
        <f t="shared" si="9"/>
        <v>662420</v>
      </c>
      <c r="F84" s="12" t="str">
        <f t="shared" si="10"/>
        <v/>
      </c>
      <c r="G84" s="13">
        <f>SUM('1st Qtr'!G84+'2nd Qtr'!G84+'3rd Qtr'!G84+'4th Qtr'!G84)</f>
        <v>658801.46</v>
      </c>
      <c r="H84" s="13">
        <f>SUM(Jan!H84, Feb!H84, Mar!H84)</f>
        <v>3618.5400000000081</v>
      </c>
      <c r="I84" s="14">
        <f t="shared" si="11"/>
        <v>5.49261077836714E-3</v>
      </c>
      <c r="J84" s="38"/>
      <c r="K84" s="38"/>
    </row>
    <row r="85" spans="1:11" ht="15.75">
      <c r="A85" s="27" t="str">
        <v>Big Tree</v>
      </c>
      <c r="B85" s="28" t="str">
        <v>NY</v>
      </c>
      <c r="C85" s="10">
        <f>SUM(Jan!C85, Feb!C85, Mar!C85)</f>
        <v>473991</v>
      </c>
      <c r="D85" s="15">
        <f>SUM(Jan!D85, Feb!D85, Mar!D85)</f>
        <v>0</v>
      </c>
      <c r="E85" s="15">
        <f t="shared" si="9"/>
        <v>473991</v>
      </c>
      <c r="F85" s="16" t="str">
        <f t="shared" si="10"/>
        <v/>
      </c>
      <c r="G85" s="17">
        <f>SUM('1st Qtr'!G85+'2nd Qtr'!G85+'3rd Qtr'!G85+'4th Qtr'!G85)</f>
        <v>316787</v>
      </c>
      <c r="H85" s="17">
        <f>SUM(Jan!H85, Feb!H85, Mar!H85)</f>
        <v>157204</v>
      </c>
      <c r="I85" s="16">
        <f t="shared" si="11"/>
        <v>0.49624511106832037</v>
      </c>
      <c r="J85" s="39"/>
      <c r="K85" s="40"/>
    </row>
    <row r="86" spans="1:11" ht="15.75">
      <c r="A86" s="25" t="str">
        <v>Canoga</v>
      </c>
      <c r="B86" s="26" t="str">
        <v>NY</v>
      </c>
      <c r="C86" s="21">
        <f>SUM(Jan!C86, Feb!C86, Mar!C86)</f>
        <v>1516743</v>
      </c>
      <c r="D86" s="11">
        <f>SUM(Jan!D86, Feb!D86, Mar!D86)</f>
        <v>0</v>
      </c>
      <c r="E86" s="11">
        <f t="shared" si="9"/>
        <v>1516743</v>
      </c>
      <c r="F86" s="12" t="str">
        <f t="shared" si="10"/>
        <v/>
      </c>
      <c r="G86" s="13">
        <f>SUM('1st Qtr'!G86+'2nd Qtr'!G86+'3rd Qtr'!G86+'4th Qtr'!G86)</f>
        <v>898049</v>
      </c>
      <c r="H86" s="13">
        <f>SUM(Jan!H86, Feb!H86, Mar!H86)</f>
        <v>618694</v>
      </c>
      <c r="I86" s="14">
        <f t="shared" si="11"/>
        <v>0.68893122758335013</v>
      </c>
      <c r="J86" s="38"/>
      <c r="K86" s="38"/>
    </row>
    <row r="87" spans="1:11" ht="15.75">
      <c r="A87" s="27" t="str">
        <v>County Route 84</v>
      </c>
      <c r="B87" s="28" t="str">
        <v>NY</v>
      </c>
      <c r="C87" s="10">
        <f>SUM(Jan!C87, Feb!C87, Mar!C87)</f>
        <v>1546079</v>
      </c>
      <c r="D87" s="15">
        <f>SUM(Jan!D87, Feb!D87, Mar!D87)</f>
        <v>0</v>
      </c>
      <c r="E87" s="15">
        <f t="shared" si="9"/>
        <v>1546079</v>
      </c>
      <c r="F87" s="16" t="str">
        <f t="shared" si="10"/>
        <v/>
      </c>
      <c r="G87" s="17">
        <f>SUM('1st Qtr'!G87+'2nd Qtr'!G87+'3rd Qtr'!G87+'4th Qtr'!G87)</f>
        <v>1107070</v>
      </c>
      <c r="H87" s="17">
        <f>SUM(Jan!H87, Feb!H87, Mar!H87)</f>
        <v>439009</v>
      </c>
      <c r="I87" s="16">
        <f t="shared" si="11"/>
        <v>0.39655035363617475</v>
      </c>
      <c r="J87" s="39"/>
      <c r="K87" s="40"/>
    </row>
    <row r="88" spans="1:11" ht="15.75">
      <c r="A88" s="25" t="str">
        <v>Donati</v>
      </c>
      <c r="B88" s="26" t="str">
        <v>NY</v>
      </c>
      <c r="C88" s="21">
        <f>SUM(Jan!C88, Feb!C88, Mar!C88)</f>
        <v>628993</v>
      </c>
      <c r="D88" s="11">
        <f>SUM(Jan!D88, Feb!D88, Mar!D88)</f>
        <v>0</v>
      </c>
      <c r="E88" s="11">
        <f t="shared" si="9"/>
        <v>628993</v>
      </c>
      <c r="F88" s="12" t="str">
        <f t="shared" si="10"/>
        <v/>
      </c>
      <c r="G88" s="13">
        <f>SUM('1st Qtr'!G88+'2nd Qtr'!G88+'3rd Qtr'!G88+'4th Qtr'!G88)</f>
        <v>353431</v>
      </c>
      <c r="H88" s="13">
        <f>SUM(Jan!H88, Feb!H88, Mar!H88)</f>
        <v>275562</v>
      </c>
      <c r="I88" s="14">
        <f t="shared" si="11"/>
        <v>0.77967693835571861</v>
      </c>
      <c r="J88" s="38"/>
      <c r="K88" s="38"/>
    </row>
    <row r="89" spans="1:11" ht="15.75">
      <c r="A89" s="27" t="str">
        <v>Henrietta</v>
      </c>
      <c r="B89" s="28" t="str">
        <v>NY</v>
      </c>
      <c r="C89" s="10">
        <f>SUM(Jan!C89, Feb!C89, Mar!C89)</f>
        <v>1355444</v>
      </c>
      <c r="D89" s="15">
        <f>SUM(Jan!D89, Feb!D89, Mar!D89)</f>
        <v>0</v>
      </c>
      <c r="E89" s="15">
        <f t="shared" si="9"/>
        <v>1355444</v>
      </c>
      <c r="F89" s="16" t="str">
        <f t="shared" si="10"/>
        <v/>
      </c>
      <c r="G89" s="17">
        <f>SUM('1st Qtr'!G89+'2nd Qtr'!G89+'3rd Qtr'!G89+'4th Qtr'!G89)</f>
        <v>680573</v>
      </c>
      <c r="H89" s="17">
        <f>SUM(Jan!H89, Feb!H89, Mar!H89)</f>
        <v>674871</v>
      </c>
      <c r="I89" s="16">
        <f t="shared" si="11"/>
        <v>0.9916217657767793</v>
      </c>
      <c r="J89" s="39"/>
      <c r="K89" s="39"/>
    </row>
    <row r="90" spans="1:11" ht="15.75">
      <c r="A90" s="25" t="str">
        <v>NY 70</v>
      </c>
      <c r="B90" s="26" t="str">
        <v>NY</v>
      </c>
      <c r="C90" s="21">
        <f>SUM(Jan!C90, Feb!C90, Mar!C90)</f>
        <v>1485125</v>
      </c>
      <c r="D90" s="11">
        <f>SUM(Jan!D90, Feb!D90, Mar!D90)</f>
        <v>0</v>
      </c>
      <c r="E90" s="11">
        <f t="shared" si="9"/>
        <v>1485125</v>
      </c>
      <c r="F90" s="12" t="str">
        <f t="shared" si="10"/>
        <v/>
      </c>
      <c r="G90" s="13">
        <f>SUM('1st Qtr'!G90+'2nd Qtr'!G90+'3rd Qtr'!G90+'4th Qtr'!G90)</f>
        <v>1087372</v>
      </c>
      <c r="H90" s="13">
        <f>SUM(Jan!H90, Feb!H90, Mar!H90)</f>
        <v>397753</v>
      </c>
      <c r="I90" s="14">
        <f t="shared" si="11"/>
        <v>0.36579293930687934</v>
      </c>
      <c r="J90" s="38"/>
      <c r="K90" s="38"/>
    </row>
    <row r="91" spans="1:11" ht="15.75">
      <c r="A91" s="27" t="str">
        <v>Reid</v>
      </c>
      <c r="B91" s="28" t="str">
        <v>NY</v>
      </c>
      <c r="C91" s="10">
        <f>SUM(Jan!C91, Feb!C91, Mar!C91)</f>
        <v>1247680.8498402531</v>
      </c>
      <c r="D91" s="15">
        <f>SUM(Jan!D91, Feb!D91, Mar!D91)</f>
        <v>1326149.3</v>
      </c>
      <c r="E91" s="15">
        <f t="shared" si="9"/>
        <v>-78468.450159746921</v>
      </c>
      <c r="F91" s="16">
        <f t="shared" si="10"/>
        <v>-5.9170147855710453E-2</v>
      </c>
      <c r="G91" s="17">
        <f>SUM('1st Qtr'!G91+'2nd Qtr'!G91+'3rd Qtr'!G91+'4th Qtr'!G91)</f>
        <v>1569672</v>
      </c>
      <c r="H91" s="17">
        <f>SUM(Jan!H91, Feb!H91, Mar!H91)</f>
        <v>-321991.15015974699</v>
      </c>
      <c r="I91" s="16">
        <f t="shared" si="11"/>
        <v>-0.20513276032174046</v>
      </c>
      <c r="J91" s="39"/>
      <c r="K91" s="40"/>
    </row>
    <row r="92" spans="1:11" ht="15.75">
      <c r="A92" s="25" t="str">
        <v>Sangolqui</v>
      </c>
      <c r="B92" s="26" t="str">
        <v>NY</v>
      </c>
      <c r="C92" s="21">
        <f>SUM(Jan!C92, Feb!C92, Mar!C92)</f>
        <v>602093</v>
      </c>
      <c r="D92" s="11">
        <f>SUM(Jan!D92, Feb!D92, Mar!D92)</f>
        <v>0</v>
      </c>
      <c r="E92" s="11">
        <f t="shared" si="9"/>
        <v>602093</v>
      </c>
      <c r="F92" s="12" t="str">
        <f t="shared" si="10"/>
        <v/>
      </c>
      <c r="G92" s="13">
        <f>SUM('1st Qtr'!G92+'2nd Qtr'!G92+'3rd Qtr'!G92+'4th Qtr'!G92)</f>
        <v>344668</v>
      </c>
      <c r="H92" s="13">
        <f>SUM(Jan!H92, Feb!H92, Mar!H92)</f>
        <v>257425</v>
      </c>
      <c r="I92" s="14">
        <f t="shared" si="11"/>
        <v>0.74687815521023126</v>
      </c>
      <c r="J92" s="38"/>
      <c r="K92" s="38"/>
    </row>
    <row r="93" spans="1:11" ht="15.75">
      <c r="A93" s="27" t="str">
        <v>State Highway 17B</v>
      </c>
      <c r="B93" s="28" t="str">
        <v>NY</v>
      </c>
      <c r="C93" s="10">
        <f>SUM(Jan!C93, Feb!C93, Mar!C93)</f>
        <v>1377802</v>
      </c>
      <c r="D93" s="15">
        <f>SUM(Jan!D93, Feb!D93, Mar!D93)</f>
        <v>0</v>
      </c>
      <c r="E93" s="15">
        <f t="shared" si="9"/>
        <v>1377802</v>
      </c>
      <c r="F93" s="16" t="str">
        <f t="shared" si="10"/>
        <v/>
      </c>
      <c r="G93" s="17">
        <f>SUM('1st Qtr'!G93+'2nd Qtr'!G93+'3rd Qtr'!G93+'4th Qtr'!G93)</f>
        <v>950364.16999999993</v>
      </c>
      <c r="H93" s="17">
        <f>SUM(Jan!H93, Feb!H93, Mar!H93)</f>
        <v>427437.83</v>
      </c>
      <c r="I93" s="16">
        <f t="shared" si="11"/>
        <v>0.44976214749341831</v>
      </c>
      <c r="J93" s="39"/>
      <c r="K93" s="40"/>
    </row>
    <row r="94" spans="1:11" ht="15.75">
      <c r="A94" s="25" t="str">
        <v>State Route 14A</v>
      </c>
      <c r="B94" s="26" t="str">
        <v>NY</v>
      </c>
      <c r="C94" s="21">
        <f>SUM(Jan!C94, Feb!C94, Mar!C94)</f>
        <v>1534328</v>
      </c>
      <c r="D94" s="11">
        <f>SUM(Jan!D94, Feb!D94, Mar!D94)</f>
        <v>0</v>
      </c>
      <c r="E94" s="11">
        <f t="shared" si="9"/>
        <v>1534328</v>
      </c>
      <c r="F94" s="12" t="str">
        <f t="shared" si="10"/>
        <v/>
      </c>
      <c r="G94" s="13">
        <f>SUM('1st Qtr'!G94+'2nd Qtr'!G94+'3rd Qtr'!G94+'4th Qtr'!G94)</f>
        <v>1020343</v>
      </c>
      <c r="H94" s="13">
        <f>SUM(Jan!H94, Feb!H94, Mar!H94)</f>
        <v>513985</v>
      </c>
      <c r="I94" s="14">
        <f t="shared" si="11"/>
        <v>0.50373746867474956</v>
      </c>
      <c r="J94" s="38"/>
      <c r="K94" s="38"/>
    </row>
    <row r="95" spans="1:11" ht="15.75">
      <c r="A95" s="27" t="str">
        <v>West Creek</v>
      </c>
      <c r="B95" s="28" t="str">
        <v>NY</v>
      </c>
      <c r="C95" s="10">
        <f>SUM(Jan!C95, Feb!C95, Mar!C95)</f>
        <v>1501233</v>
      </c>
      <c r="D95" s="15">
        <f>SUM(Jan!D95, Feb!D95, Mar!D95)</f>
        <v>0</v>
      </c>
      <c r="E95" s="15">
        <f t="shared" si="9"/>
        <v>1501233</v>
      </c>
      <c r="F95" s="16" t="str">
        <f t="shared" si="10"/>
        <v/>
      </c>
      <c r="G95" s="17">
        <f>SUM('1st Qtr'!G95+'2nd Qtr'!G95+'3rd Qtr'!G95+'4th Qtr'!G95)</f>
        <v>876014.45</v>
      </c>
      <c r="H95" s="17">
        <f>SUM(Jan!H95, Feb!H95, Mar!H95)</f>
        <v>625218.55000000005</v>
      </c>
      <c r="I95" s="16">
        <f t="shared" si="11"/>
        <v>0.71370803301246921</v>
      </c>
      <c r="J95" s="39"/>
      <c r="K95" s="40"/>
    </row>
    <row r="96" spans="1:11" ht="15.75">
      <c r="A96" s="25" t="str">
        <v>Wildflower</v>
      </c>
      <c r="B96" s="26" t="str">
        <v>NY</v>
      </c>
      <c r="C96" s="21">
        <f>SUM(Jan!C96, Feb!C96, Mar!C96)</f>
        <v>1341726</v>
      </c>
      <c r="D96" s="11">
        <f>SUM(Jan!D96, Feb!D96, Mar!D96)</f>
        <v>0</v>
      </c>
      <c r="E96" s="11">
        <f t="shared" si="9"/>
        <v>1341726</v>
      </c>
      <c r="F96" s="12" t="str">
        <f t="shared" si="10"/>
        <v/>
      </c>
      <c r="G96" s="13">
        <f>SUM('1st Qtr'!G96+'2nd Qtr'!G96+'3rd Qtr'!G96+'4th Qtr'!G96)</f>
        <v>1194494.27</v>
      </c>
      <c r="H96" s="13">
        <f>SUM(Jan!H96, Feb!H96, Mar!H96)</f>
        <v>147231.72999999998</v>
      </c>
      <c r="I96" s="14">
        <f t="shared" si="11"/>
        <v>0.12325863229130432</v>
      </c>
      <c r="J96" s="38"/>
      <c r="K96" s="38"/>
    </row>
    <row r="97" spans="1:11" ht="15.75">
      <c r="A97" s="27" t="str">
        <v>Glen Mary 1</v>
      </c>
      <c r="B97" s="28" t="str">
        <v>NY</v>
      </c>
      <c r="C97" s="10">
        <f>SUM(Jan!C97, Feb!C97, Mar!C97)</f>
        <v>1313134</v>
      </c>
      <c r="D97" s="15">
        <f>SUM(Jan!D97, Feb!D97, Mar!D97)</f>
        <v>0</v>
      </c>
      <c r="E97" s="15">
        <f t="shared" si="9"/>
        <v>1313134</v>
      </c>
      <c r="F97" s="16" t="str">
        <f t="shared" si="10"/>
        <v/>
      </c>
      <c r="G97" s="17">
        <f>SUM('1st Qtr'!G97+'2nd Qtr'!G97+'3rd Qtr'!G97+'4th Qtr'!G97)</f>
        <v>754916</v>
      </c>
      <c r="H97" s="17">
        <f>SUM(Jan!H97, Feb!H97, Mar!H97)</f>
        <v>558218</v>
      </c>
      <c r="I97" s="16">
        <f t="shared" si="11"/>
        <v>0.73944385865447282</v>
      </c>
      <c r="J97" s="39"/>
      <c r="K97" s="40"/>
    </row>
    <row r="98" spans="1:11" ht="15.75">
      <c r="A98" s="25" t="str">
        <v>Glen Mary 2</v>
      </c>
      <c r="B98" s="26" t="str">
        <v>NY</v>
      </c>
      <c r="C98" s="21">
        <f>SUM(Jan!C98, Feb!C98, Mar!C98)</f>
        <v>592486</v>
      </c>
      <c r="D98" s="11">
        <f>SUM(Jan!D98, Feb!D98, Mar!D98)</f>
        <v>0</v>
      </c>
      <c r="E98" s="11">
        <f t="shared" si="9"/>
        <v>592486</v>
      </c>
      <c r="F98" s="12" t="str">
        <f t="shared" si="10"/>
        <v/>
      </c>
      <c r="G98" s="13">
        <f>SUM('1st Qtr'!G98+'2nd Qtr'!G98+'3rd Qtr'!G98+'4th Qtr'!G98)</f>
        <v>467346</v>
      </c>
      <c r="H98" s="13">
        <f>SUM(Jan!H98, Feb!H98, Mar!H98)</f>
        <v>125140</v>
      </c>
      <c r="I98" s="14">
        <f t="shared" si="11"/>
        <v>0.26776735010035391</v>
      </c>
      <c r="J98" s="38"/>
      <c r="K98" s="38"/>
    </row>
    <row r="99" spans="1:11" ht="15.75">
      <c r="A99" s="27" t="str">
        <v>Telegraph 1</v>
      </c>
      <c r="B99" s="28" t="str">
        <v>NY</v>
      </c>
      <c r="C99" s="10">
        <f>SUM(Jan!C99, Feb!C99, Mar!C99)</f>
        <v>983099</v>
      </c>
      <c r="D99" s="15">
        <f>SUM(Jan!D99, Feb!D99, Mar!D99)</f>
        <v>0</v>
      </c>
      <c r="E99" s="15">
        <f t="shared" si="9"/>
        <v>983099</v>
      </c>
      <c r="F99" s="16" t="str">
        <f t="shared" si="10"/>
        <v/>
      </c>
      <c r="G99" s="17">
        <f>SUM('1st Qtr'!G99+'2nd Qtr'!G99+'3rd Qtr'!G99+'4th Qtr'!G99)</f>
        <v>738814.59</v>
      </c>
      <c r="H99" s="17">
        <f>SUM(Jan!H99, Feb!H99, Mar!H99)</f>
        <v>244284.41</v>
      </c>
      <c r="I99" s="16">
        <f t="shared" si="11"/>
        <v>0.33064372754198046</v>
      </c>
      <c r="J99" s="39"/>
      <c r="K99" s="40"/>
    </row>
    <row r="100" spans="1:11" ht="15.75">
      <c r="A100" s="25" t="str">
        <v>Telegraph 2</v>
      </c>
      <c r="B100" s="26" t="str">
        <v>NY</v>
      </c>
      <c r="C100" s="21">
        <f>SUM(Jan!C100, Feb!C100, Mar!C100)</f>
        <v>525390</v>
      </c>
      <c r="D100" s="11">
        <f>SUM(Jan!D100, Feb!D100, Mar!D100)</f>
        <v>0</v>
      </c>
      <c r="E100" s="11">
        <f t="shared" si="9"/>
        <v>525390</v>
      </c>
      <c r="F100" s="12" t="str">
        <f t="shared" si="10"/>
        <v/>
      </c>
      <c r="G100" s="13">
        <f>SUM('1st Qtr'!G100+'2nd Qtr'!G100+'3rd Qtr'!G100+'4th Qtr'!G100)</f>
        <v>469509.12</v>
      </c>
      <c r="H100" s="13">
        <f>SUM(Jan!H100, Feb!H100, Mar!H100)</f>
        <v>55880.880000000005</v>
      </c>
      <c r="I100" s="14">
        <f t="shared" si="11"/>
        <v>0.11901979667615403</v>
      </c>
      <c r="J100" s="38"/>
      <c r="K100" s="38"/>
    </row>
    <row r="101" spans="1:11" ht="15.75">
      <c r="A101" s="27" t="str">
        <v>Cafferty Hill</v>
      </c>
      <c r="B101" s="28" t="str">
        <v>NY</v>
      </c>
      <c r="C101" s="10">
        <f>SUM(Jan!C101, Feb!C101, Mar!C101)</f>
        <v>1426883</v>
      </c>
      <c r="D101" s="15">
        <f>SUM(Jan!D101, Feb!D101, Mar!D101)</f>
        <v>0</v>
      </c>
      <c r="E101" s="15">
        <f t="shared" si="9"/>
        <v>1426883</v>
      </c>
      <c r="F101" s="16" t="str">
        <f t="shared" si="10"/>
        <v/>
      </c>
      <c r="G101" s="17">
        <f>SUM('1st Qtr'!G101+'2nd Qtr'!G101+'3rd Qtr'!G101+'4th Qtr'!G101)</f>
        <v>916860</v>
      </c>
      <c r="H101" s="17">
        <f>SUM(Jan!H101, Feb!H101, Mar!H101)</f>
        <v>510023</v>
      </c>
      <c r="I101" s="16">
        <f t="shared" si="11"/>
        <v>0.55627140457648927</v>
      </c>
      <c r="J101" s="39"/>
      <c r="K101" s="39"/>
    </row>
    <row r="102" spans="1:11" ht="15.75">
      <c r="A102" s="25" t="str">
        <v>Dunkleman</v>
      </c>
      <c r="B102" s="26" t="str">
        <v>NY</v>
      </c>
      <c r="C102" s="21">
        <f>SUM(Jan!C102, Feb!C102, Mar!C102)</f>
        <v>899081</v>
      </c>
      <c r="D102" s="11">
        <f>SUM(Jan!D102, Feb!D102, Mar!D102)</f>
        <v>0</v>
      </c>
      <c r="E102" s="11">
        <f t="shared" si="9"/>
        <v>899081</v>
      </c>
      <c r="F102" s="12" t="str">
        <f t="shared" si="10"/>
        <v/>
      </c>
      <c r="G102" s="13">
        <f>SUM('1st Qtr'!G102+'2nd Qtr'!G102+'3rd Qtr'!G102+'4th Qtr'!G102)</f>
        <v>632903</v>
      </c>
      <c r="H102" s="13">
        <f>SUM(Jan!H102, Feb!H102, Mar!H102)</f>
        <v>266178</v>
      </c>
      <c r="I102" s="14">
        <f t="shared" si="11"/>
        <v>0.42056681671598967</v>
      </c>
      <c r="J102" s="38"/>
      <c r="K102" s="38"/>
    </row>
    <row r="103" spans="1:11" ht="15.75">
      <c r="A103" s="27" t="str">
        <v>Route 19 1</v>
      </c>
      <c r="B103" s="28" t="str">
        <v>NY</v>
      </c>
      <c r="C103" s="10">
        <v>333346</v>
      </c>
      <c r="D103" s="15">
        <f>SUM(Jan!D103, Feb!D103, Mar!D103)</f>
        <v>0</v>
      </c>
      <c r="E103" s="15">
        <f t="shared" si="9"/>
        <v>333346</v>
      </c>
      <c r="F103" s="16" t="str">
        <f t="shared" si="10"/>
        <v/>
      </c>
      <c r="G103" s="17">
        <f>SUM('1st Qtr'!G103+'2nd Qtr'!G103+'3rd Qtr'!G103+'4th Qtr'!G103)</f>
        <v>489983.11</v>
      </c>
      <c r="H103" s="17">
        <f>SUM(Jan!H103, Feb!H103, Mar!H103)</f>
        <v>109310.89000000001</v>
      </c>
      <c r="I103" s="16">
        <f t="shared" si="11"/>
        <v>0.22309113879455972</v>
      </c>
      <c r="J103" s="39"/>
      <c r="K103" s="40"/>
    </row>
    <row r="104" spans="1:11" ht="15.75">
      <c r="A104" s="25" t="str">
        <v>Route 19 2</v>
      </c>
      <c r="B104" s="26" t="str">
        <v>NY</v>
      </c>
      <c r="C104" s="21">
        <f>SUM(Jan!C104, Feb!C104, Mar!C104)</f>
        <v>1425120</v>
      </c>
      <c r="D104" s="11">
        <f>SUM(Jan!D104, Feb!D104, Mar!D104)</f>
        <v>0</v>
      </c>
      <c r="E104" s="11">
        <f t="shared" si="9"/>
        <v>1425120</v>
      </c>
      <c r="F104" s="12" t="str">
        <f t="shared" si="10"/>
        <v/>
      </c>
      <c r="G104" s="13">
        <f>SUM('1st Qtr'!G104+'2nd Qtr'!G104+'3rd Qtr'!G104+'4th Qtr'!G104)</f>
        <v>1060293</v>
      </c>
      <c r="H104" s="13">
        <f>SUM(Jan!H104, Feb!H104, Mar!H104)</f>
        <v>364827</v>
      </c>
      <c r="I104" s="14">
        <f t="shared" si="11"/>
        <v>0.34408130582772872</v>
      </c>
      <c r="J104" s="38"/>
      <c r="K104" s="38"/>
    </row>
    <row r="105" spans="1:11" ht="15.75">
      <c r="A105" s="27" t="str">
        <v>Yellow Mills 1</v>
      </c>
      <c r="B105" s="28" t="str">
        <v>NY</v>
      </c>
      <c r="C105" s="10">
        <f>SUM(Jan!C105, Feb!C105, Mar!C105)</f>
        <v>491612</v>
      </c>
      <c r="D105" s="15">
        <f>SUM(Jan!D105, Feb!D105, Mar!D105)</f>
        <v>0</v>
      </c>
      <c r="E105" s="15">
        <f t="shared" si="9"/>
        <v>491612</v>
      </c>
      <c r="F105" s="16" t="str">
        <f t="shared" si="10"/>
        <v/>
      </c>
      <c r="G105" s="17">
        <f>SUM('1st Qtr'!G105+'2nd Qtr'!G105+'3rd Qtr'!G105+'4th Qtr'!G105)</f>
        <v>0</v>
      </c>
      <c r="H105" s="17">
        <f>SUM(Jan!H105, Feb!H105, Mar!H105)</f>
        <v>491612</v>
      </c>
      <c r="I105" s="16" t="str">
        <f t="shared" si="11"/>
        <v/>
      </c>
      <c r="J105" s="39"/>
      <c r="K105" s="40"/>
    </row>
    <row r="106" spans="1:11" ht="15.75">
      <c r="A106" s="25" t="str">
        <v>Yellow Mills 2</v>
      </c>
      <c r="B106" s="26" t="str">
        <v>NY</v>
      </c>
      <c r="C106" s="21">
        <f>SUM(Jan!C106, Feb!C106, Mar!C106)</f>
        <v>470773</v>
      </c>
      <c r="D106" s="11">
        <f>SUM(Jan!D106, Feb!D106, Mar!D106)</f>
        <v>0</v>
      </c>
      <c r="E106" s="11">
        <f t="shared" si="9"/>
        <v>470773</v>
      </c>
      <c r="F106" s="12" t="str">
        <f t="shared" si="10"/>
        <v/>
      </c>
      <c r="G106" s="13">
        <f>SUM('1st Qtr'!G106+'2nd Qtr'!G106+'3rd Qtr'!G106+'4th Qtr'!G106)</f>
        <v>0</v>
      </c>
      <c r="H106" s="13">
        <f>SUM(Jan!H106, Feb!H106, Mar!H106)</f>
        <v>470773</v>
      </c>
      <c r="I106" s="14" t="str">
        <f t="shared" si="11"/>
        <v/>
      </c>
      <c r="J106" s="38"/>
      <c r="K106" s="38"/>
    </row>
    <row r="107" spans="1:11" ht="15.75">
      <c r="A107" s="27" t="str">
        <v>Yellow Mills 3</v>
      </c>
      <c r="B107" s="28" t="str">
        <v>NY</v>
      </c>
      <c r="C107" s="10">
        <f>SUM(Jan!C107, Feb!C107, Mar!C107)</f>
        <v>331379</v>
      </c>
      <c r="D107" s="15">
        <f>SUM(Jan!D107, Feb!D107, Mar!D107)</f>
        <v>0</v>
      </c>
      <c r="E107" s="15">
        <f t="shared" si="9"/>
        <v>331379</v>
      </c>
      <c r="F107" s="16" t="str">
        <f t="shared" si="10"/>
        <v/>
      </c>
      <c r="G107" s="17">
        <f>SUM('1st Qtr'!G107+'2nd Qtr'!G107+'3rd Qtr'!G107+'4th Qtr'!G107)</f>
        <v>0</v>
      </c>
      <c r="H107" s="17">
        <f>SUM(Jan!H107, Feb!H107, Mar!H107)</f>
        <v>331379</v>
      </c>
      <c r="I107" s="16" t="str">
        <f t="shared" si="11"/>
        <v/>
      </c>
      <c r="J107" s="39"/>
      <c r="K107" s="40"/>
    </row>
    <row r="108" spans="1:11" ht="15.75">
      <c r="A108" s="25" t="str">
        <v>Catskill</v>
      </c>
      <c r="B108" s="26" t="str">
        <v>NY</v>
      </c>
      <c r="C108" s="21">
        <f>SUM(Jan!C108, Feb!C108, Mar!C108)</f>
        <v>1002137</v>
      </c>
      <c r="D108" s="11">
        <f>SUM(Jan!D108, Feb!D108, Mar!D108)</f>
        <v>0</v>
      </c>
      <c r="E108" s="11">
        <f t="shared" si="9"/>
        <v>1002137</v>
      </c>
      <c r="F108" s="12" t="str">
        <f t="shared" si="10"/>
        <v/>
      </c>
      <c r="G108" s="13">
        <f>SUM('1st Qtr'!G108+'2nd Qtr'!G108+'3rd Qtr'!G108+'4th Qtr'!G108)</f>
        <v>0</v>
      </c>
      <c r="H108" s="13">
        <f>SUM(Jan!H108, Feb!H108, Mar!H108)</f>
        <v>1002137</v>
      </c>
      <c r="I108" s="14" t="str">
        <f t="shared" si="11"/>
        <v/>
      </c>
      <c r="J108" s="38"/>
      <c r="K108" s="38"/>
    </row>
    <row r="109" spans="1:11" ht="15.75">
      <c r="A109" s="27" t="str">
        <v>Eddy Ridge</v>
      </c>
      <c r="B109" s="28" t="str">
        <v>NY</v>
      </c>
      <c r="C109" s="10">
        <f>SUM(Jan!C109, Feb!C109, Mar!C109)</f>
        <v>769772.39999999991</v>
      </c>
      <c r="D109" s="15">
        <f>SUM(Jan!D109, Feb!D109, Mar!D109)</f>
        <v>0</v>
      </c>
      <c r="E109" s="15">
        <f t="shared" si="9"/>
        <v>769772.39999999991</v>
      </c>
      <c r="F109" s="16" t="str">
        <f t="shared" si="10"/>
        <v/>
      </c>
      <c r="G109" s="17">
        <f>SUM('1st Qtr'!G109+'2nd Qtr'!G109+'3rd Qtr'!G109+'4th Qtr'!G109)</f>
        <v>0</v>
      </c>
      <c r="H109" s="17">
        <f>SUM(Jan!H109, Feb!H109, Mar!H109)</f>
        <v>769772.39999999991</v>
      </c>
      <c r="I109" s="16" t="str">
        <f t="shared" si="11"/>
        <v/>
      </c>
      <c r="J109" s="39"/>
      <c r="K109" s="40"/>
    </row>
    <row r="110" spans="1:11" ht="15.75">
      <c r="A110" s="25" t="str">
        <v>Ridgeway #1</v>
      </c>
      <c r="B110" s="26" t="str">
        <v>NY</v>
      </c>
      <c r="C110" s="21">
        <f>SUM(Jan!C110, Feb!C110, Mar!C110)</f>
        <v>1270162.99</v>
      </c>
      <c r="D110" s="11">
        <f>SUM(Jan!D110, Feb!D110, Mar!D110)</f>
        <v>0</v>
      </c>
      <c r="E110" s="11">
        <f t="shared" si="9"/>
        <v>1270162.99</v>
      </c>
      <c r="F110" s="12" t="str">
        <f t="shared" si="10"/>
        <v/>
      </c>
      <c r="G110" s="13">
        <f>SUM('1st Qtr'!G110+'2nd Qtr'!G110+'3rd Qtr'!G110+'4th Qtr'!G110)</f>
        <v>0</v>
      </c>
      <c r="H110" s="13">
        <f>SUM(Jan!H110, Feb!H110, Mar!H110)</f>
        <v>1270162.99</v>
      </c>
      <c r="I110" s="14" t="str">
        <f t="shared" si="11"/>
        <v/>
      </c>
      <c r="J110" s="38"/>
      <c r="K110" s="38"/>
    </row>
    <row r="111" spans="1:11" ht="15.75">
      <c r="A111" s="27" t="str">
        <v>Rivard 1</v>
      </c>
      <c r="B111" s="28" t="str">
        <v>NY</v>
      </c>
      <c r="C111" s="10">
        <f>SUM(Jan!C111, Feb!C111, Mar!C111)</f>
        <v>941588.15577889397</v>
      </c>
      <c r="D111" s="15">
        <f>SUM(Jan!D111, Feb!D111, Mar!D111)</f>
        <v>1249640.1000000001</v>
      </c>
      <c r="E111" s="15">
        <f t="shared" si="9"/>
        <v>-308051.94422110613</v>
      </c>
      <c r="F111" s="16">
        <f t="shared" si="10"/>
        <v>-0.24651253126488668</v>
      </c>
      <c r="G111" s="17">
        <f>SUM('1st Qtr'!G111+'2nd Qtr'!G111+'3rd Qtr'!G111+'4th Qtr'!G111)</f>
        <v>1376850.1</v>
      </c>
      <c r="H111" s="17">
        <f>SUM(Jan!H111, Feb!H111, Mar!H111)</f>
        <v>-435261.94422110595</v>
      </c>
      <c r="I111" s="16">
        <f t="shared" si="11"/>
        <v>-0.31612878135470662</v>
      </c>
      <c r="J111" s="39"/>
      <c r="K111" s="40"/>
    </row>
    <row r="112" spans="1:11" ht="15.75">
      <c r="A112" s="25" t="str">
        <v>Rivard 2</v>
      </c>
      <c r="B112" s="26" t="str">
        <v>NY</v>
      </c>
      <c r="C112" s="21">
        <f>SUM(Jan!C112, Feb!C112, Mar!C112)</f>
        <v>959263.48258706462</v>
      </c>
      <c r="D112" s="11">
        <f>SUM(Jan!D112, Feb!D112, Mar!D112)</f>
        <v>985279.19</v>
      </c>
      <c r="E112" s="11">
        <f t="shared" si="9"/>
        <v>-26015.707412935328</v>
      </c>
      <c r="F112" s="12">
        <f t="shared" si="10"/>
        <v>-2.6404401591933885E-2</v>
      </c>
      <c r="G112" s="13">
        <f>SUM('1st Qtr'!G112+'2nd Qtr'!G112+'3rd Qtr'!G112+'4th Qtr'!G112)</f>
        <v>1320455.3</v>
      </c>
      <c r="H112" s="13">
        <f>SUM(Jan!H112, Feb!H112, Mar!H112)</f>
        <v>-361191.81741293531</v>
      </c>
      <c r="I112" s="14">
        <f t="shared" si="11"/>
        <v>-0.27353581557280682</v>
      </c>
      <c r="J112" s="38"/>
      <c r="K112" s="38"/>
    </row>
    <row r="113" spans="1:11" ht="15.75">
      <c r="A113" s="27" t="str">
        <v>Essex</v>
      </c>
      <c r="B113" s="28" t="str">
        <v>DC</v>
      </c>
      <c r="C113" s="10">
        <f>SUM(Jan!C113, Feb!C113, Mar!C113)</f>
        <v>6245</v>
      </c>
      <c r="D113" s="15">
        <f>SUM(Jan!D113, Feb!D113, Mar!D113)</f>
        <v>8634.9429999999993</v>
      </c>
      <c r="E113" s="15">
        <f t="shared" si="9"/>
        <v>-2389.9429999999993</v>
      </c>
      <c r="F113" s="16">
        <f t="shared" si="10"/>
        <v>-0.27677577026275674</v>
      </c>
      <c r="G113" s="17">
        <f>SUM('1st Qtr'!G113+'2nd Qtr'!G113+'3rd Qtr'!G113+'4th Qtr'!G113)</f>
        <v>8848.01</v>
      </c>
      <c r="H113" s="17">
        <f>SUM(Jan!H113, Feb!H113, Mar!H113)</f>
        <v>-2603.0100000000002</v>
      </c>
      <c r="I113" s="16">
        <f t="shared" si="11"/>
        <v>-0.29419157528076939</v>
      </c>
      <c r="J113" s="39"/>
      <c r="K113" s="39"/>
    </row>
    <row r="114" spans="1:11" ht="15.75">
      <c r="A114" s="25" t="str">
        <v>Temple Sinai</v>
      </c>
      <c r="B114" s="26" t="str">
        <v>DC</v>
      </c>
      <c r="C114" s="21">
        <f>SUM(Jan!C114, Feb!C114, Mar!C114)</f>
        <v>17354.939999999937</v>
      </c>
      <c r="D114" s="11">
        <f>SUM(Jan!D114, Feb!D114, Mar!D114)</f>
        <v>24595.676999999996</v>
      </c>
      <c r="E114" s="11">
        <f t="shared" si="9"/>
        <v>-7240.7370000000592</v>
      </c>
      <c r="F114" s="12">
        <f t="shared" si="10"/>
        <v>-0.29439063620814587</v>
      </c>
      <c r="G114" s="13">
        <f>SUM('1st Qtr'!G114+'2nd Qtr'!G114+'3rd Qtr'!G114+'4th Qtr'!G114)</f>
        <v>21407.258999999998</v>
      </c>
      <c r="H114" s="13">
        <f>SUM(Jan!H114, Feb!H114, Mar!H114)</f>
        <v>-4052.3190000000614</v>
      </c>
      <c r="I114" s="14">
        <f t="shared" si="11"/>
        <v>-0.18929649050352787</v>
      </c>
      <c r="J114" s="38"/>
      <c r="K114" s="38"/>
    </row>
    <row r="115" spans="1:11" ht="15.75">
      <c r="A115" s="27" t="str">
        <v>Weinberg 1</v>
      </c>
      <c r="B115" s="28" t="str">
        <v>DC</v>
      </c>
      <c r="C115" s="10">
        <f>SUM(Jan!C115, Feb!C115, Mar!C115)</f>
        <v>2696</v>
      </c>
      <c r="D115" s="15">
        <f>SUM(Jan!D115, Feb!D115, Mar!D115)</f>
        <v>2967.9681</v>
      </c>
      <c r="E115" s="15">
        <f t="shared" si="9"/>
        <v>-271.96810000000005</v>
      </c>
      <c r="F115" s="16">
        <f t="shared" si="10"/>
        <v>-9.1634441758319446E-2</v>
      </c>
      <c r="G115" s="17">
        <f>SUM('1st Qtr'!G115+'2nd Qtr'!G115+'3rd Qtr'!G115+'4th Qtr'!G115)</f>
        <v>3280.6661000000004</v>
      </c>
      <c r="H115" s="17">
        <f>SUM(Jan!H115, Feb!H115, Mar!H115)</f>
        <v>-584.66610000000003</v>
      </c>
      <c r="I115" s="16">
        <f t="shared" si="11"/>
        <v>-0.17821566784867254</v>
      </c>
      <c r="J115" s="39"/>
      <c r="K115" s="40"/>
    </row>
    <row r="116" spans="1:11" ht="15.75">
      <c r="A116" s="25" t="str">
        <v>Weinberg 2</v>
      </c>
      <c r="B116" s="26" t="str">
        <v>DC</v>
      </c>
      <c r="C116" s="21">
        <f>SUM(Jan!C116, Feb!C116, Mar!C116)</f>
        <v>2697</v>
      </c>
      <c r="D116" s="11">
        <f>SUM(Jan!D116, Feb!D116, Mar!D116)</f>
        <v>2846.9925000000003</v>
      </c>
      <c r="E116" s="11">
        <f t="shared" si="9"/>
        <v>-149.99250000000029</v>
      </c>
      <c r="F116" s="12">
        <f t="shared" si="10"/>
        <v>-5.2684543426089206E-2</v>
      </c>
      <c r="G116" s="13">
        <f>SUM('1st Qtr'!G116+'2nd Qtr'!G116+'3rd Qtr'!G116+'4th Qtr'!G116)</f>
        <v>3415.7696999999998</v>
      </c>
      <c r="H116" s="13">
        <f>SUM(Jan!H116, Feb!H116, Mar!H116)</f>
        <v>-718.76970000000006</v>
      </c>
      <c r="I116" s="14">
        <f t="shared" si="11"/>
        <v>-0.21042686220912379</v>
      </c>
      <c r="J116" s="38"/>
      <c r="K116" s="38"/>
    </row>
    <row r="117" spans="1:11" ht="15.75">
      <c r="A117" s="27" t="str">
        <v>Weinberg 3</v>
      </c>
      <c r="B117" s="28" t="str">
        <v>DC</v>
      </c>
      <c r="C117" s="10">
        <f>SUM(Jan!C117, Feb!C117, Mar!C117)</f>
        <v>3146</v>
      </c>
      <c r="D117" s="15">
        <f>SUM(Jan!D117, Feb!D117, Mar!D117)</f>
        <v>2951.1472999999996</v>
      </c>
      <c r="E117" s="15">
        <f t="shared" si="9"/>
        <v>194.85270000000037</v>
      </c>
      <c r="F117" s="16">
        <f t="shared" si="10"/>
        <v>6.6026084160556942E-2</v>
      </c>
      <c r="G117" s="17">
        <f>SUM('1st Qtr'!G117+'2nd Qtr'!G117+'3rd Qtr'!G117+'4th Qtr'!G117)</f>
        <v>3540</v>
      </c>
      <c r="H117" s="17">
        <f>SUM(Jan!H117, Feb!H117, Mar!H117)</f>
        <v>-394</v>
      </c>
      <c r="I117" s="16">
        <f t="shared" si="11"/>
        <v>-0.11129943502824859</v>
      </c>
      <c r="J117" s="39"/>
      <c r="K117" s="40"/>
    </row>
    <row r="118" spans="1:11" ht="15.75">
      <c r="A118" s="25" t="str">
        <v>Clayton Hall</v>
      </c>
      <c r="B118" s="26" t="str">
        <v>DE</v>
      </c>
      <c r="C118" s="21">
        <f>SUM(Jan!C118, Feb!C118, Mar!C118)</f>
        <v>25105</v>
      </c>
      <c r="D118" s="11">
        <f>SUM(Jan!D118, Feb!D118, Mar!D118)</f>
        <v>36553.423999999999</v>
      </c>
      <c r="E118" s="11">
        <f t="shared" si="9"/>
        <v>-11448.423999999999</v>
      </c>
      <c r="F118" s="12">
        <f t="shared" si="10"/>
        <v>-0.3131970345650793</v>
      </c>
      <c r="G118" s="13">
        <f>SUM('1st Qtr'!G118+'2nd Qtr'!G118+'3rd Qtr'!G118+'4th Qtr'!G118)</f>
        <v>10039.31</v>
      </c>
      <c r="H118" s="13">
        <f>SUM(Jan!H118, Feb!H118, Mar!H118)</f>
        <v>15065.69</v>
      </c>
      <c r="I118" s="14">
        <f t="shared" si="11"/>
        <v>1.500669866753791</v>
      </c>
      <c r="J118" s="38"/>
      <c r="K118" s="38"/>
    </row>
    <row r="119" spans="1:11" ht="15.75">
      <c r="A119" s="27" t="str">
        <v>Field House</v>
      </c>
      <c r="B119" s="28" t="str">
        <v>DE</v>
      </c>
      <c r="C119" s="10">
        <f>SUM(Jan!C119, Feb!C119, Mar!C119)</f>
        <v>106485</v>
      </c>
      <c r="D119" s="15">
        <f>SUM(Jan!D119, Feb!D119, Mar!D119)</f>
        <v>0</v>
      </c>
      <c r="E119" s="15">
        <f t="shared" si="9"/>
        <v>106485</v>
      </c>
      <c r="F119" s="16" t="str">
        <f t="shared" si="10"/>
        <v/>
      </c>
      <c r="G119" s="17">
        <f>SUM('1st Qtr'!G119+'2nd Qtr'!G119+'3rd Qtr'!G119+'4th Qtr'!G119)</f>
        <v>107061.084</v>
      </c>
      <c r="H119" s="17">
        <f>SUM(Jan!H119, Feb!H119, Mar!H119)</f>
        <v>-576.08400000000256</v>
      </c>
      <c r="I119" s="16">
        <f t="shared" si="11"/>
        <v>-5.3808907819390519E-3</v>
      </c>
      <c r="J119" s="39"/>
      <c r="K119" s="40"/>
    </row>
    <row r="120" spans="1:11" ht="15.75">
      <c r="A120" s="25" t="str">
        <v>Wyoming Road</v>
      </c>
      <c r="B120" s="26" t="str">
        <v>DE</v>
      </c>
      <c r="C120" s="21">
        <f>SUM(Jan!C120, Feb!C120, Mar!C120)</f>
        <v>56880</v>
      </c>
      <c r="D120" s="11">
        <f>SUM(Jan!D120, Feb!D120, Mar!D120)</f>
        <v>58303.716</v>
      </c>
      <c r="E120" s="11">
        <f t="shared" si="9"/>
        <v>-1423.7160000000003</v>
      </c>
      <c r="F120" s="12">
        <f t="shared" si="10"/>
        <v>-2.4418958132960175E-2</v>
      </c>
      <c r="G120" s="13">
        <f>SUM('1st Qtr'!G120+'2nd Qtr'!G120+'3rd Qtr'!G120+'4th Qtr'!G120)</f>
        <v>69238.645000000004</v>
      </c>
      <c r="H120" s="13">
        <f>SUM(Jan!H120, Feb!H120, Mar!H120)</f>
        <v>-12358.645</v>
      </c>
      <c r="I120" s="14">
        <f t="shared" si="11"/>
        <v>-0.17849345549728768</v>
      </c>
      <c r="J120" s="38"/>
      <c r="K120" s="38"/>
    </row>
    <row r="121" spans="1:11" ht="15.75">
      <c r="A121" s="27" t="str">
        <v>Leoku</v>
      </c>
      <c r="B121" s="28" t="str">
        <v>HI</v>
      </c>
      <c r="C121" s="10">
        <f>SUM(Jan!C121, Feb!C121, Mar!C121)</f>
        <v>29758</v>
      </c>
      <c r="D121" s="15">
        <f>SUM(Jan!D121, Feb!D121, Mar!D121)</f>
        <v>28633.201000000001</v>
      </c>
      <c r="E121" s="15">
        <f t="shared" si="9"/>
        <v>1124.7989999999991</v>
      </c>
      <c r="F121" s="16">
        <f t="shared" si="10"/>
        <v>3.9283033706220938E-2</v>
      </c>
      <c r="G121" s="17">
        <f>SUM('1st Qtr'!G121+'2nd Qtr'!G121+'3rd Qtr'!G121+'4th Qtr'!G121)</f>
        <v>33916.923000000003</v>
      </c>
      <c r="H121" s="17">
        <f>SUM(Jan!H121, Feb!H121, Mar!H121)</f>
        <v>-4158.9230000000007</v>
      </c>
      <c r="I121" s="16">
        <f t="shared" si="11"/>
        <v>-0.12262088161712076</v>
      </c>
      <c r="J121" s="39"/>
      <c r="K121" s="40"/>
    </row>
    <row r="122" spans="1:11" ht="15.75">
      <c r="A122" s="25" t="str">
        <v>Waipahu</v>
      </c>
      <c r="B122" s="26" t="str">
        <v>HI</v>
      </c>
      <c r="C122" s="21">
        <f>SUM(Jan!C122, Feb!C122, Mar!C122)</f>
        <v>30605</v>
      </c>
      <c r="D122" s="11">
        <f>SUM(Jan!D122, Feb!D122, Mar!D122)</f>
        <v>27019.078000000001</v>
      </c>
      <c r="E122" s="11">
        <f t="shared" si="9"/>
        <v>3585.9219999999987</v>
      </c>
      <c r="F122" s="12">
        <f t="shared" si="10"/>
        <v>0.13271814826545889</v>
      </c>
      <c r="G122" s="13">
        <f>SUM('1st Qtr'!G122+'2nd Qtr'!G122+'3rd Qtr'!G122+'4th Qtr'!G122)</f>
        <v>33916.923000000003</v>
      </c>
      <c r="H122" s="13">
        <f>SUM(Jan!H122, Feb!H122, Mar!H122)</f>
        <v>-3311.9230000000007</v>
      </c>
      <c r="I122" s="14">
        <f t="shared" si="11"/>
        <v>-9.7648097381947074E-2</v>
      </c>
      <c r="J122" s="38"/>
      <c r="K122" s="38"/>
    </row>
    <row r="123" spans="1:11" ht="15.75">
      <c r="A123" s="27" t="str">
        <v>Bird in Hand</v>
      </c>
      <c r="B123" s="28" t="str">
        <v>MD</v>
      </c>
      <c r="C123" s="10">
        <f>SUM(Jan!C123, Feb!C123, Mar!C123)</f>
        <v>380425</v>
      </c>
      <c r="D123" s="15">
        <f>SUM(Jan!D123, Feb!D123, Mar!D123)</f>
        <v>393526.28</v>
      </c>
      <c r="E123" s="15">
        <f t="shared" si="9"/>
        <v>-13101.280000000028</v>
      </c>
      <c r="F123" s="16">
        <f t="shared" si="10"/>
        <v>-3.329200784252586E-2</v>
      </c>
      <c r="G123" s="17">
        <f>SUM('1st Qtr'!G123+'2nd Qtr'!G123+'3rd Qtr'!G123+'4th Qtr'!G123)</f>
        <v>417619</v>
      </c>
      <c r="H123" s="17">
        <f>SUM(Jan!H123, Feb!H123, Mar!H123)</f>
        <v>-37193.999999999985</v>
      </c>
      <c r="I123" s="16">
        <f t="shared" si="11"/>
        <v>-8.9062039801828904E-2</v>
      </c>
      <c r="J123" s="39"/>
      <c r="K123" s="40"/>
    </row>
    <row r="124" spans="1:11" ht="15.75">
      <c r="A124" s="25" t="str">
        <v>Shortal</v>
      </c>
      <c r="B124" s="26" t="str">
        <v>MD</v>
      </c>
      <c r="C124" s="21">
        <f>SUM(Jan!C124, Feb!C124, Mar!C124)</f>
        <v>397546</v>
      </c>
      <c r="D124" s="11">
        <f>SUM(Jan!D124, Feb!D124, Mar!D124)</f>
        <v>307184.92</v>
      </c>
      <c r="E124" s="11">
        <f t="shared" si="9"/>
        <v>90361.080000000016</v>
      </c>
      <c r="F124" s="12">
        <f t="shared" si="10"/>
        <v>0.29415858044073262</v>
      </c>
      <c r="G124" s="13">
        <f>SUM('1st Qtr'!G124+'2nd Qtr'!G124+'3rd Qtr'!G124+'4th Qtr'!G124)</f>
        <v>23223.040000000001</v>
      </c>
      <c r="H124" s="13">
        <f>SUM(Jan!H124, Feb!H124, Mar!H124)</f>
        <v>374322.95999999996</v>
      </c>
      <c r="I124" s="14">
        <f t="shared" si="11"/>
        <v>16.118602904701536</v>
      </c>
      <c r="J124" s="38"/>
      <c r="K124" s="38"/>
    </row>
    <row r="125" spans="1:11" ht="15.75">
      <c r="A125" s="27" t="str">
        <v>Aguadilla</v>
      </c>
      <c r="B125" s="28" t="str">
        <v>PR</v>
      </c>
      <c r="C125" s="10">
        <f>SUM(Jan!C125, Feb!C125, Mar!C125)</f>
        <v>53615</v>
      </c>
      <c r="D125" s="15">
        <f>SUM(Jan!D125, Feb!D125, Mar!D125)</f>
        <v>49146.22</v>
      </c>
      <c r="E125" s="15">
        <f t="shared" si="9"/>
        <v>4468.7799999999988</v>
      </c>
      <c r="F125" s="16">
        <f t="shared" si="10"/>
        <v>9.0928254502584308E-2</v>
      </c>
      <c r="G125" s="17">
        <f>SUM('1st Qtr'!G125+'2nd Qtr'!G125+'3rd Qtr'!G125+'4th Qtr'!G125)</f>
        <v>58462</v>
      </c>
      <c r="H125" s="17">
        <f>SUM(Jan!H125, Feb!H125, Mar!H125)</f>
        <v>-4847</v>
      </c>
      <c r="I125" s="16">
        <f t="shared" si="11"/>
        <v>-8.2908555985084328E-2</v>
      </c>
      <c r="J125" s="39"/>
      <c r="K125" s="39"/>
    </row>
    <row r="126" spans="1:11" ht="15.75">
      <c r="A126" s="25" t="str">
        <v>Bayamon</v>
      </c>
      <c r="B126" s="26" t="str">
        <v>PR</v>
      </c>
      <c r="C126" s="21">
        <f>SUM(Jan!C126, Feb!C126, Mar!C126)</f>
        <v>170812</v>
      </c>
      <c r="D126" s="11">
        <f>SUM(Jan!D126, Feb!D126, Mar!D126)</f>
        <v>197474.13</v>
      </c>
      <c r="E126" s="11">
        <f t="shared" si="9"/>
        <v>-26662.130000000005</v>
      </c>
      <c r="F126" s="12">
        <f t="shared" si="10"/>
        <v>-0.13501581194458234</v>
      </c>
      <c r="G126" s="13">
        <f>SUM('1st Qtr'!G126+'2nd Qtr'!G126+'3rd Qtr'!G126+'4th Qtr'!G126)</f>
        <v>0</v>
      </c>
      <c r="H126" s="13">
        <f>SUM(Jan!H126, Feb!H126, Mar!H126)</f>
        <v>170812</v>
      </c>
      <c r="I126" s="14" t="str">
        <f t="shared" si="11"/>
        <v/>
      </c>
      <c r="J126" s="38"/>
      <c r="K126" s="38"/>
    </row>
    <row r="127" spans="1:11" ht="15.75">
      <c r="A127" s="27" t="str">
        <v>St Francis</v>
      </c>
      <c r="B127" s="28" t="str">
        <v>PR</v>
      </c>
      <c r="C127" s="10">
        <f>SUM(Jan!C127, Feb!C127, Mar!C127)</f>
        <v>47781.119999999901</v>
      </c>
      <c r="D127" s="15">
        <f>SUM(Jan!D127, Feb!D127, Mar!D127)</f>
        <v>123066.12</v>
      </c>
      <c r="E127" s="15">
        <f t="shared" si="9"/>
        <v>-75285.000000000087</v>
      </c>
      <c r="F127" s="16">
        <f t="shared" si="10"/>
        <v>-0.61174432085776398</v>
      </c>
      <c r="G127" s="17">
        <f>SUM('1st Qtr'!G127+'2nd Qtr'!G127+'3rd Qtr'!G127+'4th Qtr'!G127)</f>
        <v>78976</v>
      </c>
      <c r="H127" s="17">
        <f>SUM(Jan!H127, Feb!H127, Mar!H127)</f>
        <v>-31194.880000000099</v>
      </c>
      <c r="I127" s="16">
        <f t="shared" si="11"/>
        <v>-0.39499189627228648</v>
      </c>
      <c r="J127" s="39"/>
      <c r="K127" s="40"/>
    </row>
    <row r="128" spans="1:11" ht="15.75">
      <c r="A128" s="25" t="str">
        <v>Seaport</v>
      </c>
      <c r="B128" s="26" t="str">
        <v>MA</v>
      </c>
      <c r="C128" s="21">
        <f>SUM(Jan!C128, Feb!C128, Mar!C128)</f>
        <v>111279.5</v>
      </c>
      <c r="D128" s="11">
        <f>SUM(Jan!D128, Feb!D128, Mar!D128)</f>
        <v>101768.45000000001</v>
      </c>
      <c r="E128" s="11">
        <f t="shared" si="9"/>
        <v>9511.0499999999884</v>
      </c>
      <c r="F128" s="12">
        <f t="shared" si="10"/>
        <v>9.3457746482333057E-2</v>
      </c>
      <c r="G128" s="13">
        <f>SUM('1st Qtr'!G128+'2nd Qtr'!G128+'3rd Qtr'!G128+'4th Qtr'!G128)</f>
        <v>115470.66</v>
      </c>
      <c r="H128" s="13">
        <f>SUM(Jan!H128, Feb!H128, Mar!H128)</f>
        <v>-4191.1599999999962</v>
      </c>
      <c r="I128" s="14">
        <f t="shared" si="11"/>
        <v>-3.6296319775083956E-2</v>
      </c>
      <c r="J128" s="38"/>
      <c r="K128" s="38"/>
    </row>
    <row r="129" spans="1:11" ht="15.75">
      <c r="A129" s="27" t="str">
        <v>Sprague St</v>
      </c>
      <c r="B129" s="28" t="str">
        <v>MA</v>
      </c>
      <c r="C129" s="10">
        <f>SUM(Jan!C129, Feb!C129, Mar!C129)</f>
        <v>247636</v>
      </c>
      <c r="D129" s="15">
        <f>SUM(Jan!D129, Feb!D129, Mar!D129)</f>
        <v>262632.73800000001</v>
      </c>
      <c r="E129" s="15">
        <f t="shared" si="9"/>
        <v>-14996.738000000012</v>
      </c>
      <c r="F129" s="16">
        <f t="shared" si="10"/>
        <v>-5.7101556013934608E-2</v>
      </c>
      <c r="G129" s="17">
        <f>SUM('1st Qtr'!G129+'2nd Qtr'!G129+'3rd Qtr'!G129+'4th Qtr'!G129)</f>
        <v>242031.261</v>
      </c>
      <c r="H129" s="17">
        <f>SUM(Jan!H129, Feb!H129, Mar!H129)</f>
        <v>5604.7390000000087</v>
      </c>
      <c r="I129" s="16">
        <f t="shared" si="11"/>
        <v>2.3157087133467476E-2</v>
      </c>
      <c r="J129" s="39"/>
      <c r="K129" s="40"/>
    </row>
    <row r="130" spans="1:11" ht="15.75">
      <c r="A130" s="25" t="str">
        <v>Summer St</v>
      </c>
      <c r="B130" s="26" t="str">
        <v>MA</v>
      </c>
      <c r="C130" s="21">
        <f>SUM(Jan!C130, Feb!C130, Mar!C130)</f>
        <v>529870</v>
      </c>
      <c r="D130" s="11">
        <f>SUM(Jan!D130, Feb!D130, Mar!D130)</f>
        <v>557299.4</v>
      </c>
      <c r="E130" s="11">
        <f t="shared" si="9"/>
        <v>-27429.400000000023</v>
      </c>
      <c r="F130" s="12">
        <f t="shared" si="10"/>
        <v>-4.9218427294197738E-2</v>
      </c>
      <c r="G130" s="13">
        <f>SUM('1st Qtr'!G130+'2nd Qtr'!G130+'3rd Qtr'!G130+'4th Qtr'!G130)</f>
        <v>568013.5</v>
      </c>
      <c r="H130" s="13">
        <f>SUM(Jan!H130, Feb!H130, Mar!H130)</f>
        <v>-38143.5</v>
      </c>
      <c r="I130" s="14">
        <f t="shared" si="11"/>
        <v>-6.7152453242748628E-2</v>
      </c>
      <c r="J130" s="38"/>
      <c r="K130" s="38"/>
    </row>
    <row r="131" spans="1:11" ht="15.75">
      <c r="A131" s="27" t="str">
        <v>Brock St Vocational</v>
      </c>
      <c r="B131" s="28" t="str">
        <v>NH</v>
      </c>
      <c r="C131" s="10">
        <f>SUM(Jan!C131, Feb!C131, Mar!C131)</f>
        <v>19595.816968769897</v>
      </c>
      <c r="D131" s="15">
        <f>SUM(Jan!D131, Feb!D131, Mar!D131)</f>
        <v>25198.262000000002</v>
      </c>
      <c r="E131" s="15">
        <f t="shared" si="9"/>
        <v>-5602.4450312301051</v>
      </c>
      <c r="F131" s="16">
        <f t="shared" si="10"/>
        <v>-0.22233458129890485</v>
      </c>
      <c r="G131" s="17">
        <f>SUM('1st Qtr'!G131+'2nd Qtr'!G131+'3rd Qtr'!G131+'4th Qtr'!G131)</f>
        <v>23232.199999999997</v>
      </c>
      <c r="H131" s="17">
        <f>SUM(Jan!H131, Feb!H131, Mar!H131)</f>
        <v>-3636.3830312301011</v>
      </c>
      <c r="I131" s="16">
        <f t="shared" si="11"/>
        <v>-0.1565234042075267</v>
      </c>
      <c r="J131" s="39"/>
      <c r="K131" s="40"/>
    </row>
    <row r="132" spans="1:11" ht="15.75">
      <c r="A132" s="25" t="str">
        <v>McClelland ES</v>
      </c>
      <c r="B132" s="26" t="str">
        <v>NH</v>
      </c>
      <c r="C132" s="21">
        <f>SUM(Jan!C132, Feb!C132, Mar!C132)</f>
        <v>15729.00031033286</v>
      </c>
      <c r="D132" s="11">
        <f>SUM(Jan!D132, Feb!D132, Mar!D132)</f>
        <v>25624.478999999999</v>
      </c>
      <c r="E132" s="11">
        <f t="shared" si="9"/>
        <v>-9895.4786896671394</v>
      </c>
      <c r="F132" s="12">
        <f t="shared" si="10"/>
        <v>-0.38617287358963043</v>
      </c>
      <c r="G132" s="13">
        <f>SUM('1st Qtr'!G132+'2nd Qtr'!G132+'3rd Qtr'!G132+'4th Qtr'!G132)</f>
        <v>17369.260000000002</v>
      </c>
      <c r="H132" s="13">
        <f>SUM(Jan!H132, Feb!H132, Mar!H132)</f>
        <v>-1640.2596896671405</v>
      </c>
      <c r="I132" s="14">
        <f t="shared" si="11"/>
        <v>-9.4434632774634056E-2</v>
      </c>
      <c r="J132" s="38"/>
      <c r="K132" s="38"/>
    </row>
    <row r="133" spans="1:11" ht="15.75">
      <c r="A133" s="27" t="str">
        <v>Portland St</v>
      </c>
      <c r="B133" s="28" t="str">
        <v>NH</v>
      </c>
      <c r="C133" s="10">
        <f>SUM(Jan!C133, Feb!C133, Mar!C133)</f>
        <v>12428.221</v>
      </c>
      <c r="D133" s="15">
        <f>SUM(Jan!D133, Feb!D133, Mar!D133)</f>
        <v>13688.41</v>
      </c>
      <c r="E133" s="15">
        <f t="shared" si="9"/>
        <v>-1260.1890000000003</v>
      </c>
      <c r="F133" s="16">
        <f t="shared" si="10"/>
        <v>-9.2062482055987535E-2</v>
      </c>
      <c r="G133" s="17">
        <f>SUM('1st Qtr'!G133+'2nd Qtr'!G133+'3rd Qtr'!G133+'4th Qtr'!G133)</f>
        <v>17765.41</v>
      </c>
      <c r="H133" s="17">
        <f>SUM(Jan!H133, Feb!H133, Mar!H133)</f>
        <v>-5337.1890000000003</v>
      </c>
      <c r="I133" s="16">
        <f t="shared" si="11"/>
        <v>-0.30042588378202362</v>
      </c>
      <c r="J133" s="39"/>
      <c r="K133" s="40"/>
    </row>
    <row r="134" spans="1:11" ht="15.75">
      <c r="A134" s="25" t="str">
        <v>Portsmouth HS</v>
      </c>
      <c r="B134" s="26" t="str">
        <v>NH</v>
      </c>
      <c r="C134" s="21">
        <f>SUM(Jan!C134, Feb!C134, Mar!C134)</f>
        <v>56740.25</v>
      </c>
      <c r="D134" s="11">
        <f>SUM(Jan!D134, Feb!D134, Mar!D134)</f>
        <v>62020.486999999994</v>
      </c>
      <c r="E134" s="11">
        <f t="shared" si="9"/>
        <v>-5280.2369999999937</v>
      </c>
      <c r="F134" s="12">
        <f t="shared" si="10"/>
        <v>-8.5136980623837968E-2</v>
      </c>
      <c r="G134" s="13">
        <f>SUM('1st Qtr'!G134+'2nd Qtr'!G134+'3rd Qtr'!G134+'4th Qtr'!G134)</f>
        <v>31508.546000000002</v>
      </c>
      <c r="H134" s="13">
        <f>SUM(Jan!H134, Feb!H134, Mar!H134)</f>
        <v>25231.703999999998</v>
      </c>
      <c r="I134" s="14">
        <f t="shared" si="11"/>
        <v>0.80078922080377801</v>
      </c>
      <c r="J134" s="38"/>
      <c r="K134" s="38"/>
    </row>
    <row r="135" spans="1:11" ht="15.75">
      <c r="A135" s="27" t="str">
        <v>Portsmouth WTP</v>
      </c>
      <c r="B135" s="28" t="str">
        <v>NH</v>
      </c>
      <c r="C135" s="10">
        <f>SUM(Jan!C135, Feb!C135, Mar!C135)</f>
        <v>60077.75</v>
      </c>
      <c r="D135" s="15">
        <f>SUM(Jan!D135, Feb!D135, Mar!D135)</f>
        <v>73421.509999999995</v>
      </c>
      <c r="E135" s="15">
        <f t="shared" si="9"/>
        <v>-13343.759999999995</v>
      </c>
      <c r="F135" s="16">
        <f t="shared" si="10"/>
        <v>-0.18174183560103838</v>
      </c>
      <c r="G135" s="17">
        <f>SUM('1st Qtr'!G135+'2nd Qtr'!G135+'3rd Qtr'!G135+'4th Qtr'!G135)</f>
        <v>64735.020000000004</v>
      </c>
      <c r="H135" s="17">
        <f>SUM(Jan!H135, Feb!H135, Mar!H135)</f>
        <v>-4657.2700000000004</v>
      </c>
      <c r="I135" s="16">
        <f t="shared" si="11"/>
        <v>-7.1943594054655433E-2</v>
      </c>
      <c r="J135" s="39"/>
      <c r="K135" s="40"/>
    </row>
    <row r="136" spans="1:11" ht="15.75">
      <c r="A136" s="25" t="str">
        <v>Rochester St</v>
      </c>
      <c r="B136" s="26" t="str">
        <v>NH</v>
      </c>
      <c r="C136" s="21">
        <f>SUM(Jan!C136, Feb!C136, Mar!C136)</f>
        <v>49282.502999999997</v>
      </c>
      <c r="D136" s="11">
        <f>SUM(Jan!D136, Feb!D136, Mar!D136)</f>
        <v>73398.569000000003</v>
      </c>
      <c r="E136" s="11">
        <f t="shared" si="9"/>
        <v>-24116.066000000006</v>
      </c>
      <c r="F136" s="12">
        <f t="shared" si="10"/>
        <v>-0.32856316313196793</v>
      </c>
      <c r="G136" s="13">
        <f>SUM('1st Qtr'!G136+'2nd Qtr'!G136+'3rd Qtr'!G136+'4th Qtr'!G136)</f>
        <v>54830.673999999999</v>
      </c>
      <c r="H136" s="13">
        <f>SUM(Jan!H136, Feb!H136, Mar!H136)</f>
        <v>-5548.1709999999985</v>
      </c>
      <c r="I136" s="14">
        <f t="shared" si="11"/>
        <v>-0.10118735728107224</v>
      </c>
      <c r="J136" s="38"/>
      <c r="K136" s="38"/>
    </row>
    <row r="137" spans="1:11" ht="15.75">
      <c r="A137" s="27" t="str">
        <v>Spaulding HS</v>
      </c>
      <c r="B137" s="28" t="str">
        <v>NH</v>
      </c>
      <c r="C137" s="10">
        <f>SUM(Jan!C137, Feb!C137, Mar!C137)</f>
        <v>23504.9412206099</v>
      </c>
      <c r="D137" s="15">
        <f>SUM(Jan!D137, Feb!D137, Mar!D137)</f>
        <v>31063.828000000001</v>
      </c>
      <c r="E137" s="15">
        <f t="shared" si="9"/>
        <v>-7558.8867793901009</v>
      </c>
      <c r="F137" s="16">
        <f t="shared" si="10"/>
        <v>-0.24333404045985899</v>
      </c>
      <c r="G137" s="17">
        <f>SUM('1st Qtr'!G137+'2nd Qtr'!G137+'3rd Qtr'!G137+'4th Qtr'!G137)</f>
        <v>26381.794999999998</v>
      </c>
      <c r="H137" s="17">
        <f>SUM(Jan!H137, Feb!H137, Mar!H137)</f>
        <v>-2876.8537793900991</v>
      </c>
      <c r="I137" s="16">
        <f t="shared" si="11"/>
        <v>-0.10904693101398519</v>
      </c>
      <c r="J137" s="39"/>
      <c r="K137" s="40"/>
    </row>
    <row r="138" spans="1:11" ht="15.75">
      <c r="A138" s="25" t="str">
        <v>Ridgeway #2</v>
      </c>
      <c r="B138" s="26" t="str">
        <v>NY</v>
      </c>
      <c r="C138" s="10">
        <f>SUM(Jan!C138, Feb!C138, Mar!C138)</f>
        <v>330777</v>
      </c>
      <c r="D138" s="15">
        <f>SUM(Jan!D138, Feb!D138, Mar!D138)</f>
        <v>0</v>
      </c>
      <c r="E138" s="15">
        <f t="shared" si="9"/>
        <v>330777</v>
      </c>
      <c r="F138" s="16" t="str">
        <f t="shared" si="10"/>
        <v/>
      </c>
      <c r="G138" s="17">
        <f>SUM('1st Qtr'!G138+'2nd Qtr'!G138+'3rd Qtr'!G138+'4th Qtr'!G138)</f>
        <v>0</v>
      </c>
      <c r="H138" s="17">
        <f>SUM(Jan!H138, Feb!H138, Mar!H138)</f>
        <v>330777</v>
      </c>
      <c r="I138" s="16" t="str">
        <f t="shared" si="11"/>
        <v/>
      </c>
    </row>
    <row r="139" spans="1:11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>
      <c r="A342" s="18"/>
      <c r="B342" s="18"/>
      <c r="C342" s="18"/>
      <c r="D342" s="18"/>
      <c r="E342" s="18"/>
      <c r="F342" s="19"/>
      <c r="G342" s="18"/>
      <c r="H342" s="18"/>
      <c r="I342" s="1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8" priority="5" stopIfTrue="1" operator="lessThanOrEqual">
      <formula>-0.1</formula>
    </cfRule>
    <cfRule type="expression" dxfId="67" priority="6">
      <formula>AND(ISNUMBER(F2), F2&gt;=0.1)</formula>
    </cfRule>
  </conditionalFormatting>
  <conditionalFormatting sqref="F4:F138 I4:I138">
    <cfRule type="cellIs" dxfId="66" priority="1" stopIfTrue="1" operator="lessThanOrEqual">
      <formula>-0.1</formula>
    </cfRule>
    <cfRule type="expression" dxfId="6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42"/>
  <sheetViews>
    <sheetView workbookViewId="0">
      <pane xSplit="2" ySplit="3" topLeftCell="C136" activePane="bottomRight" state="frozen"/>
      <selection pane="bottomRight" activeCell="G3" sqref="G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11" ht="19.5" customHeight="1">
      <c r="A2" s="78" t="s">
        <v>2</v>
      </c>
      <c r="B2" s="78"/>
      <c r="C2" s="6">
        <f>SUM(C4:C138)</f>
        <v>43587556.653466031</v>
      </c>
      <c r="D2" s="6">
        <f>SUM(D4:D138)</f>
        <v>18064132.094899997</v>
      </c>
      <c r="E2" s="6">
        <f>C2-D2</f>
        <v>25523424.558566034</v>
      </c>
      <c r="F2" s="7">
        <f>IFERROR(E2/D2, 0)</f>
        <v>1.412933897099435</v>
      </c>
      <c r="G2" s="6">
        <f>SUM(G4:G138)</f>
        <v>34188211.908799991</v>
      </c>
      <c r="H2" s="8">
        <f>C2-G2</f>
        <v>9399344.7446660399</v>
      </c>
      <c r="I2" s="7">
        <f>IFERROR(H2/G2, 0)</f>
        <v>0.27492940460705007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>
        <f>SUM(Jan!C4, Feb!C4, Mar!C4)</f>
        <v>32706.293583600811</v>
      </c>
      <c r="D4" s="11">
        <f>SUM(Jan!D4, Feb!D4, Mar!D4)</f>
        <v>24705.273000000001</v>
      </c>
      <c r="E4" s="11">
        <f>IF(AND(ISNUMBER(C4),ISNUMBER(D4)), C4-D4, "")</f>
        <v>8001.0205836008099</v>
      </c>
      <c r="F4" s="12">
        <f>IFERROR(E4/D4, "")</f>
        <v>0.32385882089223661</v>
      </c>
      <c r="G4" s="13">
        <f>SUM(Jan!G4, Feb!G4, Mar!G4)</f>
        <v>33317.317000000003</v>
      </c>
      <c r="H4" s="13">
        <f>SUM(Jan!H4, Feb!H4, Mar!H4)</f>
        <v>-611.02341639919177</v>
      </c>
      <c r="I4" s="14">
        <f>IFERROR(H4/G4, "")</f>
        <v>-1.833951444527156E-2</v>
      </c>
      <c r="J4" s="38"/>
      <c r="K4" s="38"/>
    </row>
    <row r="5" spans="1:11" ht="15.75">
      <c r="A5" s="27" t="str">
        <v>Fulton</v>
      </c>
      <c r="B5" s="28" t="str">
        <v>AZ</v>
      </c>
      <c r="C5" s="10">
        <f>SUM(Jan!C5, Feb!C5, Mar!C5)</f>
        <v>107842</v>
      </c>
      <c r="D5" s="15">
        <f>SUM(Jan!D5, Feb!D5, Mar!D5)</f>
        <v>112159.54000000001</v>
      </c>
      <c r="E5" s="15">
        <f t="shared" ref="E5:E15" si="0">IF(AND(ISNUMBER(C5),ISNUMBER(D5)), C5-D5, "")</f>
        <v>-4317.5400000000081</v>
      </c>
      <c r="F5" s="16">
        <f>IFERROR(E5/D5, "")</f>
        <v>-3.8494630060002102E-2</v>
      </c>
      <c r="G5" s="17">
        <f>SUM(Jan!G5, Feb!G5, Mar!G5)</f>
        <v>138999.08000000002</v>
      </c>
      <c r="H5" s="17">
        <f>SUM(Jan!H5, Feb!H5, Mar!H5)</f>
        <v>-31157.08</v>
      </c>
      <c r="I5" s="16">
        <f>IFERROR(H5/G5, "")</f>
        <v>-0.22415313827976413</v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SUM(Jan!C6, Feb!C6, Mar!C6)</f>
        <v>52126.87</v>
      </c>
      <c r="D6" s="11">
        <f>SUM(Jan!D6, Feb!D6, Mar!D6)</f>
        <v>0</v>
      </c>
      <c r="E6" s="11">
        <f t="shared" si="0"/>
        <v>52126.87</v>
      </c>
      <c r="F6" s="12" t="str">
        <f t="shared" ref="F6:F15" si="1">IFERROR(E6/D6, "")</f>
        <v/>
      </c>
      <c r="G6" s="13">
        <f>SUM(Jan!G6, Feb!G6, Mar!G6)</f>
        <v>6126</v>
      </c>
      <c r="H6" s="13">
        <f>SUM(Jan!H6, Feb!H6, Mar!H6)</f>
        <v>46000.87</v>
      </c>
      <c r="I6" s="14">
        <f t="shared" ref="I6:I15" si="2">IFERROR(H6/G6, "")</f>
        <v>7.5091201436500166</v>
      </c>
      <c r="J6" s="38"/>
      <c r="K6" s="38"/>
    </row>
    <row r="7" spans="1:11" ht="15.75">
      <c r="A7" s="27" t="str">
        <v>Noble</v>
      </c>
      <c r="B7" s="28" t="str">
        <v>AZ</v>
      </c>
      <c r="C7" s="10">
        <f>SUM(Jan!C7, Feb!C7, Mar!C7)</f>
        <v>31148.242026522901</v>
      </c>
      <c r="D7" s="15">
        <f>SUM(Jan!D7, Feb!D7, Mar!D7)</f>
        <v>41886.080000000002</v>
      </c>
      <c r="E7" s="15">
        <f t="shared" si="0"/>
        <v>-10737.837973477101</v>
      </c>
      <c r="F7" s="16">
        <f t="shared" si="1"/>
        <v>-0.25635814985496613</v>
      </c>
      <c r="G7" s="17">
        <f>SUM(Jan!G7, Feb!G7, Mar!G7)</f>
        <v>36692.61</v>
      </c>
      <c r="H7" s="17">
        <f>SUM(Jan!H7, Feb!H7, Mar!H7)</f>
        <v>-5544.3679734771013</v>
      </c>
      <c r="I7" s="16">
        <f t="shared" si="2"/>
        <v>-0.1511031233122174</v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SUM(Jan!C8, Feb!C8, Mar!C8)</f>
        <v>72830.78</v>
      </c>
      <c r="D8" s="11">
        <f>SUM(Jan!D8, Feb!D8, Mar!D8)</f>
        <v>84541.3</v>
      </c>
      <c r="E8" s="11">
        <f t="shared" si="0"/>
        <v>-11710.520000000004</v>
      </c>
      <c r="F8" s="12">
        <f t="shared" si="1"/>
        <v>-0.1385183336428468</v>
      </c>
      <c r="G8" s="13">
        <f>SUM(Jan!G8, Feb!G8, Mar!G8)</f>
        <v>84122</v>
      </c>
      <c r="H8" s="13">
        <f>SUM(Jan!H8, Feb!H8, Mar!H8)</f>
        <v>-11291.220000000005</v>
      </c>
      <c r="I8" s="14">
        <f t="shared" si="2"/>
        <v>-0.13422434083830634</v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SUM(Jan!C9, Feb!C9, Mar!C9)</f>
        <v>74341.832213312213</v>
      </c>
      <c r="D9" s="15">
        <f>SUM(Jan!D9, Feb!D9, Mar!D9)</f>
        <v>57907.94</v>
      </c>
      <c r="E9" s="15">
        <f t="shared" si="0"/>
        <v>16433.892213312211</v>
      </c>
      <c r="F9" s="16">
        <f t="shared" si="1"/>
        <v>0.28379341785102719</v>
      </c>
      <c r="G9" s="17">
        <f>SUM(Jan!G9, Feb!G9, Mar!G9)</f>
        <v>80684.31</v>
      </c>
      <c r="H9" s="17">
        <f>SUM(Jan!H9, Feb!H9, Mar!H9)</f>
        <v>-6342.4777866877957</v>
      </c>
      <c r="I9" s="16">
        <f t="shared" si="2"/>
        <v>-7.8608564498944045E-2</v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SUM(Jan!C10, Feb!C10, Mar!C10)</f>
        <v>32098.550975245729</v>
      </c>
      <c r="D10" s="11">
        <f>SUM(Jan!D10, Feb!D10, Mar!D10)</f>
        <v>24254.970999999998</v>
      </c>
      <c r="E10" s="11">
        <f t="shared" si="0"/>
        <v>7843.5799752457315</v>
      </c>
      <c r="F10" s="12">
        <f t="shared" si="1"/>
        <v>0.3233803072881733</v>
      </c>
      <c r="G10" s="13">
        <f>SUM(Jan!G10, Feb!G10, Mar!G10)</f>
        <v>34500</v>
      </c>
      <c r="H10" s="13">
        <f>SUM(Jan!H10, Feb!H10, Mar!H10)</f>
        <v>-2401.4490247542708</v>
      </c>
      <c r="I10" s="14">
        <f t="shared" si="2"/>
        <v>-6.9607218108819438E-2</v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SUM(Jan!C11, Feb!C11, Mar!C11)</f>
        <v>14150.597000000002</v>
      </c>
      <c r="D11" s="15">
        <f>SUM(Jan!D11, Feb!D11, Mar!D11)</f>
        <v>0</v>
      </c>
      <c r="E11" s="15">
        <f t="shared" si="0"/>
        <v>14150.597000000002</v>
      </c>
      <c r="F11" s="16" t="str">
        <f t="shared" si="1"/>
        <v/>
      </c>
      <c r="G11" s="17">
        <f>SUM(Jan!G11, Feb!G11, Mar!G11)</f>
        <v>0</v>
      </c>
      <c r="H11" s="17">
        <f>SUM(Jan!H11, Feb!H11, Mar!H11)</f>
        <v>14150.597000000002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SUM(Jan!C12, Feb!C12, Mar!C12)</f>
        <v>197992</v>
      </c>
      <c r="D12" s="11">
        <f>SUM(Jan!D12, Feb!D12, Mar!D12)</f>
        <v>251330.95</v>
      </c>
      <c r="E12" s="11">
        <f t="shared" si="0"/>
        <v>-53338.950000000012</v>
      </c>
      <c r="F12" s="12">
        <f t="shared" si="1"/>
        <v>-0.2122259514795134</v>
      </c>
      <c r="G12" s="13">
        <f>SUM(Jan!G12, Feb!G12, Mar!G12)</f>
        <v>220637</v>
      </c>
      <c r="H12" s="13">
        <f>SUM(Jan!H12, Feb!H12, Mar!H12)</f>
        <v>-22645</v>
      </c>
      <c r="I12" s="14">
        <f t="shared" si="2"/>
        <v>-0.10263464423464785</v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SUM(Jan!C13, Feb!C13, Mar!C13)</f>
        <v>192799.109375</v>
      </c>
      <c r="D13" s="15">
        <f>SUM(Jan!D13, Feb!D13, Mar!D13)</f>
        <v>278939.84999999998</v>
      </c>
      <c r="E13" s="15">
        <f t="shared" si="0"/>
        <v>-86140.740624999977</v>
      </c>
      <c r="F13" s="16">
        <f t="shared" si="1"/>
        <v>-0.30881475208723308</v>
      </c>
      <c r="G13" s="17">
        <f>SUM(Jan!G13, Feb!G13, Mar!G13)</f>
        <v>217404</v>
      </c>
      <c r="H13" s="17">
        <f>SUM(Jan!H13, Feb!H13, Mar!H13)</f>
        <v>-24604.890625</v>
      </c>
      <c r="I13" s="16">
        <f t="shared" si="2"/>
        <v>-0.11317588740317565</v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SUM(Jan!C14, Feb!C14, Mar!C14)</f>
        <v>41860.5</v>
      </c>
      <c r="D14" s="11">
        <f>SUM(Jan!D14, Feb!D14, Mar!D14)</f>
        <v>0</v>
      </c>
      <c r="E14" s="11">
        <f t="shared" si="0"/>
        <v>41860.5</v>
      </c>
      <c r="F14" s="12" t="str">
        <f t="shared" si="1"/>
        <v/>
      </c>
      <c r="G14" s="13">
        <f>SUM(Jan!G14, Feb!G14, Mar!G14)</f>
        <v>49246</v>
      </c>
      <c r="H14" s="13">
        <f>SUM(Jan!H14, Feb!H14, Mar!H14)</f>
        <v>-7385.5</v>
      </c>
      <c r="I14" s="14">
        <f t="shared" si="2"/>
        <v>-0.14997157129513056</v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SUM(Jan!C15, Feb!C15, Mar!C15)</f>
        <v>37604.478668042902</v>
      </c>
      <c r="D15" s="15">
        <f>SUM(Jan!D15, Feb!D15, Mar!D15)</f>
        <v>0</v>
      </c>
      <c r="E15" s="15">
        <f t="shared" si="0"/>
        <v>37604.478668042902</v>
      </c>
      <c r="F15" s="16" t="str">
        <f t="shared" si="1"/>
        <v/>
      </c>
      <c r="G15" s="17">
        <f>SUM(Jan!G15, Feb!G15, Mar!G15)</f>
        <v>37905</v>
      </c>
      <c r="H15" s="17">
        <f>SUM(Jan!H15, Feb!H15, Mar!H15)</f>
        <v>-300.52133195709939</v>
      </c>
      <c r="I15" s="16">
        <f t="shared" si="2"/>
        <v>-7.9282767961245063E-3</v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SUM(Jan!C16, Feb!C16, Mar!C16)</f>
        <v>25234.533825875409</v>
      </c>
      <c r="D16" s="11">
        <f>SUM(Jan!D16, Feb!D16, Mar!D16)</f>
        <v>0</v>
      </c>
      <c r="E16" s="11">
        <f t="shared" ref="E16:E17" si="3">IF(AND(ISNUMBER(C16),ISNUMBER(D16)), C16-D16, "")</f>
        <v>25234.533825875409</v>
      </c>
      <c r="F16" s="12" t="str">
        <f t="shared" ref="F16:F17" si="4">IFERROR(E16/D16, "")</f>
        <v/>
      </c>
      <c r="G16" s="13">
        <f>SUM(Jan!G16, Feb!G16, Mar!G16)</f>
        <v>30379</v>
      </c>
      <c r="H16" s="13">
        <f>SUM(Jan!H16, Feb!H16, Mar!H16)</f>
        <v>-5144.4661741245909</v>
      </c>
      <c r="I16" s="14">
        <f t="shared" ref="I16:I17" si="5">IFERROR(H16/G16, "")</f>
        <v>-0.16934284124311502</v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SUM(Jan!C17, Feb!C17, Mar!C17)</f>
        <v>180959.88</v>
      </c>
      <c r="D17" s="15">
        <f>SUM(Jan!D17, Feb!D17, Mar!D17)</f>
        <v>0</v>
      </c>
      <c r="E17" s="15">
        <f t="shared" si="3"/>
        <v>180959.88</v>
      </c>
      <c r="F17" s="16" t="str">
        <f t="shared" si="4"/>
        <v/>
      </c>
      <c r="G17" s="17">
        <f>SUM(Jan!G17, Feb!G17, Mar!G17)</f>
        <v>97347</v>
      </c>
      <c r="H17" s="17">
        <f>SUM(Jan!H17, Feb!H17, Mar!H17)</f>
        <v>83612.88</v>
      </c>
      <c r="I17" s="16">
        <f t="shared" si="5"/>
        <v>0.85891583715985087</v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>
        <f>SUM(Jan!C18, Feb!C18, Mar!C18)</f>
        <v>81953</v>
      </c>
      <c r="D18" s="11">
        <f>SUM(Jan!D18, Feb!D18, Mar!D18)</f>
        <v>0</v>
      </c>
      <c r="E18" s="11">
        <f t="shared" ref="E18:E81" si="6">IF(AND(ISNUMBER(C18),ISNUMBER(D18)), C18-D18, "")</f>
        <v>81953</v>
      </c>
      <c r="F18" s="12" t="str">
        <f t="shared" ref="F18:F81" si="7">IFERROR(E18/D18, "")</f>
        <v/>
      </c>
      <c r="G18" s="13">
        <f>SUM(Jan!G18, Feb!G18, Mar!G18)</f>
        <v>28910</v>
      </c>
      <c r="H18" s="13">
        <f>SUM(Jan!H18, Feb!H18, Mar!H18)</f>
        <v>53043</v>
      </c>
      <c r="I18" s="14">
        <f t="shared" ref="I18:I81" si="8">IFERROR(H18/G18, "")</f>
        <v>1.834763057765479</v>
      </c>
      <c r="J18" s="38"/>
      <c r="K18" s="38"/>
    </row>
    <row r="19" spans="1:11" ht="15.75">
      <c r="A19" s="27" t="str">
        <v>RCAB</v>
      </c>
      <c r="B19" s="28" t="str">
        <v>MA</v>
      </c>
      <c r="C19" s="10">
        <f>SUM(Jan!C19, Feb!C19, Mar!C19)</f>
        <v>178095</v>
      </c>
      <c r="D19" s="15">
        <f>SUM(Jan!D19, Feb!D19, Mar!D19)</f>
        <v>227228.27000000002</v>
      </c>
      <c r="E19" s="15">
        <f t="shared" si="6"/>
        <v>-49133.270000000019</v>
      </c>
      <c r="F19" s="16">
        <f t="shared" si="7"/>
        <v>-0.21622868492551572</v>
      </c>
      <c r="G19" s="17">
        <f>SUM(Jan!G19, Feb!G19, Mar!G19)</f>
        <v>209313.56</v>
      </c>
      <c r="H19" s="17">
        <f>SUM(Jan!H19, Feb!H19, Mar!H19)</f>
        <v>-31218.560000000005</v>
      </c>
      <c r="I19" s="16">
        <f t="shared" si="8"/>
        <v>-0.14914733665606761</v>
      </c>
      <c r="J19" s="39"/>
      <c r="K19" s="40"/>
    </row>
    <row r="20" spans="1:11" ht="15.75">
      <c r="A20" s="25" t="str">
        <v>Spectro Coatings</v>
      </c>
      <c r="B20" s="26" t="str">
        <v>MA</v>
      </c>
      <c r="C20" s="21">
        <f>SUM(Jan!C20, Feb!C20, Mar!C20)</f>
        <v>40969.125</v>
      </c>
      <c r="D20" s="11">
        <f>SUM(Jan!D20, Feb!D20, Mar!D20)</f>
        <v>66169.3</v>
      </c>
      <c r="E20" s="11">
        <f t="shared" si="6"/>
        <v>-25200.175000000003</v>
      </c>
      <c r="F20" s="12">
        <f t="shared" si="7"/>
        <v>-0.38084391099800063</v>
      </c>
      <c r="G20" s="13">
        <f>SUM(Jan!G20, Feb!G20, Mar!G20)</f>
        <v>55906.33</v>
      </c>
      <c r="H20" s="13">
        <f>SUM(Jan!H20, Feb!H20, Mar!H20)</f>
        <v>-14937.205</v>
      </c>
      <c r="I20" s="14">
        <f t="shared" si="8"/>
        <v>-0.26718271437241542</v>
      </c>
      <c r="J20" s="38"/>
      <c r="K20" s="38"/>
    </row>
    <row r="21" spans="1:11" ht="15.75">
      <c r="A21" s="27" t="str">
        <v>K026</v>
      </c>
      <c r="B21" s="28" t="str">
        <v>NY</v>
      </c>
      <c r="C21" s="10">
        <f>SUM(Jan!C21, Feb!C21, Mar!C21)</f>
        <v>50357.9375</v>
      </c>
      <c r="D21" s="15">
        <f>SUM(Jan!D21, Feb!D21, Mar!D21)</f>
        <v>66333.48000000001</v>
      </c>
      <c r="E21" s="15">
        <f t="shared" si="6"/>
        <v>-15975.54250000001</v>
      </c>
      <c r="F21" s="16">
        <f t="shared" si="7"/>
        <v>-0.24083679161714427</v>
      </c>
      <c r="G21" s="17">
        <f>SUM(Jan!G21, Feb!G21, Mar!G21)</f>
        <v>75233.47</v>
      </c>
      <c r="H21" s="17">
        <f>SUM(Jan!H21, Feb!H21, Mar!H21)</f>
        <v>-24875.532500000001</v>
      </c>
      <c r="I21" s="16">
        <f t="shared" si="8"/>
        <v>-0.33064449240477678</v>
      </c>
      <c r="J21" s="39"/>
      <c r="K21" s="40"/>
    </row>
    <row r="22" spans="1:11" ht="15.75">
      <c r="A22" s="25" t="str">
        <v>K041</v>
      </c>
      <c r="B22" s="26" t="str">
        <v>NY</v>
      </c>
      <c r="C22" s="21">
        <f>SUM(Jan!C22, Feb!C22, Mar!C22)</f>
        <v>36306.770433593752</v>
      </c>
      <c r="D22" s="11">
        <f>SUM(Jan!D22, Feb!D22, Mar!D22)</f>
        <v>0</v>
      </c>
      <c r="E22" s="11">
        <f t="shared" si="6"/>
        <v>36306.770433593752</v>
      </c>
      <c r="F22" s="12" t="str">
        <f t="shared" si="7"/>
        <v/>
      </c>
      <c r="G22" s="13">
        <f>SUM(Jan!G22, Feb!G22, Mar!G22)</f>
        <v>0</v>
      </c>
      <c r="H22" s="13">
        <f>SUM(Jan!H22, Feb!H22, Mar!H22)</f>
        <v>36306.770433593752</v>
      </c>
      <c r="I22" s="14" t="str">
        <f t="shared" si="8"/>
        <v/>
      </c>
      <c r="J22" s="38"/>
      <c r="K22" s="38"/>
    </row>
    <row r="23" spans="1:11" ht="15.75">
      <c r="A23" s="27" t="str">
        <v>K043</v>
      </c>
      <c r="B23" s="28" t="str">
        <v>NY</v>
      </c>
      <c r="C23" s="10">
        <f>SUM(Jan!C23, Feb!C23, Mar!C23)</f>
        <v>45532.078125</v>
      </c>
      <c r="D23" s="15">
        <f>SUM(Jan!D23, Feb!D23, Mar!D23)</f>
        <v>56574.479999999996</v>
      </c>
      <c r="E23" s="15">
        <f t="shared" si="6"/>
        <v>-11042.401874999996</v>
      </c>
      <c r="F23" s="16">
        <f t="shared" si="7"/>
        <v>-0.1951834444611775</v>
      </c>
      <c r="G23" s="17">
        <f>SUM(Jan!G23, Feb!G23, Mar!G23)</f>
        <v>75760</v>
      </c>
      <c r="H23" s="17">
        <f>SUM(Jan!H23, Feb!H23, Mar!H23)</f>
        <v>-30227.921875</v>
      </c>
      <c r="I23" s="16">
        <f t="shared" si="8"/>
        <v>-0.3989958008843717</v>
      </c>
      <c r="J23" s="39"/>
      <c r="K23" s="40"/>
    </row>
    <row r="24" spans="1:11" ht="15.75">
      <c r="A24" s="25" t="str">
        <v>K058</v>
      </c>
      <c r="B24" s="26" t="str">
        <v>NY</v>
      </c>
      <c r="C24" s="21">
        <f>SUM(Jan!C24, Feb!C24, Mar!C24)</f>
        <v>37866.125</v>
      </c>
      <c r="D24" s="11">
        <f>SUM(Jan!D24, Feb!D24, Mar!D24)</f>
        <v>45918.432000000001</v>
      </c>
      <c r="E24" s="11">
        <f t="shared" si="6"/>
        <v>-8052.3070000000007</v>
      </c>
      <c r="F24" s="12">
        <f t="shared" si="7"/>
        <v>-0.17536110553600787</v>
      </c>
      <c r="G24" s="13">
        <f>SUM(Jan!G24, Feb!G24, Mar!G24)</f>
        <v>50048.6</v>
      </c>
      <c r="H24" s="13">
        <f>SUM(Jan!H24, Feb!H24, Mar!H24)</f>
        <v>-12182.474999999999</v>
      </c>
      <c r="I24" s="14">
        <f t="shared" si="8"/>
        <v>-0.24341290265861582</v>
      </c>
      <c r="J24" s="38"/>
      <c r="K24" s="38"/>
    </row>
    <row r="25" spans="1:11" ht="15.75">
      <c r="A25" s="27" t="str">
        <v>K115</v>
      </c>
      <c r="B25" s="28" t="str">
        <v>NY</v>
      </c>
      <c r="C25" s="10">
        <f>SUM(Jan!C25, Feb!C25, Mar!C25)</f>
        <v>9953.9140625</v>
      </c>
      <c r="D25" s="15">
        <f>SUM(Jan!D25, Feb!D25, Mar!D25)</f>
        <v>23326.995000000003</v>
      </c>
      <c r="E25" s="15">
        <f t="shared" si="6"/>
        <v>-13373.080937500003</v>
      </c>
      <c r="F25" s="16">
        <f t="shared" si="7"/>
        <v>-0.57328776970629958</v>
      </c>
      <c r="G25" s="17">
        <f>SUM(Jan!G25, Feb!G25, Mar!G25)</f>
        <v>17068.538999999997</v>
      </c>
      <c r="H25" s="17">
        <f>SUM(Jan!H25, Feb!H25, Mar!H25)</f>
        <v>-7114.6249374999998</v>
      </c>
      <c r="I25" s="16">
        <f t="shared" si="8"/>
        <v>-0.41682682609800409</v>
      </c>
      <c r="J25" s="39"/>
      <c r="K25" s="40"/>
    </row>
    <row r="26" spans="1:11" ht="15.75">
      <c r="A26" s="25" t="str">
        <v>K152</v>
      </c>
      <c r="B26" s="26" t="str">
        <v>NY</v>
      </c>
      <c r="C26" s="21">
        <f>SUM(Jan!C26, Feb!C26, Mar!C26)</f>
        <v>14706.625</v>
      </c>
      <c r="D26" s="11">
        <f>SUM(Jan!D26, Feb!D26, Mar!D26)</f>
        <v>16998.915000000001</v>
      </c>
      <c r="E26" s="11">
        <f t="shared" si="6"/>
        <v>-2292.2900000000009</v>
      </c>
      <c r="F26" s="12">
        <f t="shared" si="7"/>
        <v>-0.13484919478684379</v>
      </c>
      <c r="G26" s="13">
        <f>SUM(Jan!G26, Feb!G26, Mar!G26)</f>
        <v>3412</v>
      </c>
      <c r="H26" s="13">
        <f>SUM(Jan!H26, Feb!H26, Mar!H26)</f>
        <v>11294.625</v>
      </c>
      <c r="I26" s="14">
        <f t="shared" si="8"/>
        <v>3.3102652403282531</v>
      </c>
      <c r="J26" s="38"/>
      <c r="K26" s="38"/>
    </row>
    <row r="27" spans="1:11" ht="15.75">
      <c r="A27" s="27" t="str">
        <v>K166</v>
      </c>
      <c r="B27" s="28" t="str">
        <v>NY</v>
      </c>
      <c r="C27" s="10">
        <f>SUM(Jan!C27, Feb!C27, Mar!C27)</f>
        <v>52641.125</v>
      </c>
      <c r="D27" s="15">
        <f>SUM(Jan!D27, Feb!D27, Mar!D27)</f>
        <v>64986.3</v>
      </c>
      <c r="E27" s="15">
        <f t="shared" si="6"/>
        <v>-12345.175000000003</v>
      </c>
      <c r="F27" s="16">
        <f t="shared" si="7"/>
        <v>-0.18996580817803141</v>
      </c>
      <c r="G27" s="17">
        <f>SUM(Jan!G27, Feb!G27, Mar!G27)</f>
        <v>74326.09</v>
      </c>
      <c r="H27" s="17">
        <f>SUM(Jan!H27, Feb!H27, Mar!H27)</f>
        <v>-21684.965</v>
      </c>
      <c r="I27" s="16">
        <f t="shared" si="8"/>
        <v>-0.29175441624872239</v>
      </c>
      <c r="J27" s="39"/>
      <c r="K27" s="40"/>
    </row>
    <row r="28" spans="1:11" ht="15.75">
      <c r="A28" s="25" t="str">
        <v>K206</v>
      </c>
      <c r="B28" s="26" t="str">
        <v>NY</v>
      </c>
      <c r="C28" s="21">
        <f>SUM(Jan!C28, Feb!C28, Mar!C28)</f>
        <v>26688.33244390411</v>
      </c>
      <c r="D28" s="11">
        <f>SUM(Jan!D28, Feb!D28, Mar!D28)</f>
        <v>0</v>
      </c>
      <c r="E28" s="11">
        <f t="shared" si="6"/>
        <v>26688.33244390411</v>
      </c>
      <c r="F28" s="12" t="str">
        <f t="shared" si="7"/>
        <v/>
      </c>
      <c r="G28" s="13">
        <f>SUM(Jan!G28, Feb!G28, Mar!G28)</f>
        <v>0</v>
      </c>
      <c r="H28" s="13">
        <f>SUM(Jan!H28, Feb!H28, Mar!H28)</f>
        <v>26688.33244390411</v>
      </c>
      <c r="I28" s="14" t="str">
        <f t="shared" si="8"/>
        <v/>
      </c>
      <c r="J28" s="38"/>
      <c r="K28" s="38"/>
    </row>
    <row r="29" spans="1:11" ht="15.75">
      <c r="A29" s="27" t="str">
        <v>K251</v>
      </c>
      <c r="B29" s="28" t="str">
        <v>NY</v>
      </c>
      <c r="C29" s="10">
        <f>SUM(Jan!C29, Feb!C29, Mar!C29)</f>
        <v>30209.09375</v>
      </c>
      <c r="D29" s="15">
        <f>SUM(Jan!D29, Feb!D29, Mar!D29)</f>
        <v>40211.756999999998</v>
      </c>
      <c r="E29" s="15">
        <f t="shared" si="6"/>
        <v>-10002.663249999998</v>
      </c>
      <c r="F29" s="16">
        <f t="shared" si="7"/>
        <v>-0.24874971889440192</v>
      </c>
      <c r="G29" s="17">
        <f>SUM(Jan!G29, Feb!G29, Mar!G29)</f>
        <v>40870.197</v>
      </c>
      <c r="H29" s="17">
        <f>SUM(Jan!H29, Feb!H29, Mar!H29)</f>
        <v>-10661.10325</v>
      </c>
      <c r="I29" s="16">
        <f t="shared" si="8"/>
        <v>-0.26085274925393681</v>
      </c>
      <c r="J29" s="39"/>
      <c r="K29" s="39"/>
    </row>
    <row r="30" spans="1:11" ht="15.75">
      <c r="A30" s="25" t="str">
        <v>K269</v>
      </c>
      <c r="B30" s="26" t="str">
        <v>NY</v>
      </c>
      <c r="C30" s="21">
        <f>SUM(Jan!C30, Feb!C30, Mar!C30)</f>
        <v>31591.375</v>
      </c>
      <c r="D30" s="11">
        <f>SUM(Jan!D30, Feb!D30, Mar!D30)</f>
        <v>0</v>
      </c>
      <c r="E30" s="11">
        <f t="shared" si="6"/>
        <v>31591.375</v>
      </c>
      <c r="F30" s="12" t="str">
        <f t="shared" si="7"/>
        <v/>
      </c>
      <c r="G30" s="13">
        <f>SUM(Jan!G30, Feb!G30, Mar!G30)</f>
        <v>45748.119999999995</v>
      </c>
      <c r="H30" s="13">
        <f>SUM(Jan!H30, Feb!H30, Mar!H30)</f>
        <v>-14156.744999999999</v>
      </c>
      <c r="I30" s="14">
        <f t="shared" si="8"/>
        <v>-0.30944976536740748</v>
      </c>
      <c r="J30" s="38"/>
      <c r="K30" s="38"/>
    </row>
    <row r="31" spans="1:11" ht="15.75">
      <c r="A31" s="27" t="str">
        <v>K273</v>
      </c>
      <c r="B31" s="28" t="str">
        <v>NY</v>
      </c>
      <c r="C31" s="10">
        <f>SUM(Jan!C31, Feb!C31, Mar!C31)</f>
        <v>35721.53125</v>
      </c>
      <c r="D31" s="15">
        <f>SUM(Jan!D31, Feb!D31, Mar!D31)</f>
        <v>0</v>
      </c>
      <c r="E31" s="15">
        <f t="shared" si="6"/>
        <v>35721.53125</v>
      </c>
      <c r="F31" s="16" t="str">
        <f t="shared" si="7"/>
        <v/>
      </c>
      <c r="G31" s="17">
        <f>SUM(Jan!G31, Feb!G31, Mar!G31)</f>
        <v>46484</v>
      </c>
      <c r="H31" s="17">
        <f>SUM(Jan!H31, Feb!H31, Mar!H31)</f>
        <v>-10762.46875</v>
      </c>
      <c r="I31" s="16">
        <f t="shared" si="8"/>
        <v>-0.2315306073057396</v>
      </c>
      <c r="J31" s="39"/>
      <c r="K31" s="40"/>
    </row>
    <row r="32" spans="1:11" ht="15.75">
      <c r="A32" s="25" t="str">
        <v>K287</v>
      </c>
      <c r="B32" s="26" t="str">
        <v>NY</v>
      </c>
      <c r="C32" s="21">
        <f>SUM(Jan!C32, Feb!C32, Mar!C32)</f>
        <v>27908.328125</v>
      </c>
      <c r="D32" s="11">
        <f>SUM(Jan!D32, Feb!D32, Mar!D32)</f>
        <v>28572.155999999999</v>
      </c>
      <c r="E32" s="11">
        <f t="shared" si="6"/>
        <v>-663.82787499999904</v>
      </c>
      <c r="F32" s="12">
        <f t="shared" si="7"/>
        <v>-2.3233384103040704E-2</v>
      </c>
      <c r="G32" s="13">
        <f>SUM(Jan!G32, Feb!G32, Mar!G32)</f>
        <v>0</v>
      </c>
      <c r="H32" s="13">
        <f>SUM(Jan!H32, Feb!H32, Mar!H32)</f>
        <v>27908.328125</v>
      </c>
      <c r="I32" s="14" t="str">
        <f t="shared" si="8"/>
        <v/>
      </c>
      <c r="J32" s="38"/>
      <c r="K32" s="38"/>
    </row>
    <row r="33" spans="1:11" ht="15.75">
      <c r="A33" s="27" t="str">
        <v>K298</v>
      </c>
      <c r="B33" s="28" t="str">
        <v>NY</v>
      </c>
      <c r="C33" s="10">
        <f>SUM(Jan!C33, Feb!C33, Mar!C33)</f>
        <v>28084.875</v>
      </c>
      <c r="D33" s="15">
        <f>SUM(Jan!D33, Feb!D33, Mar!D33)</f>
        <v>37588.038</v>
      </c>
      <c r="E33" s="15">
        <f t="shared" si="6"/>
        <v>-9503.1630000000005</v>
      </c>
      <c r="F33" s="16">
        <f t="shared" si="7"/>
        <v>-0.25282412984684116</v>
      </c>
      <c r="G33" s="17">
        <f>SUM(Jan!G33, Feb!G33, Mar!G33)</f>
        <v>0</v>
      </c>
      <c r="H33" s="17">
        <f>SUM(Jan!H33, Feb!H33, Mar!H33)</f>
        <v>28084.875</v>
      </c>
      <c r="I33" s="16" t="str">
        <f t="shared" si="8"/>
        <v/>
      </c>
      <c r="J33" s="39"/>
      <c r="K33" s="40"/>
    </row>
    <row r="34" spans="1:11" ht="15.75">
      <c r="A34" s="25" t="str">
        <v>K335</v>
      </c>
      <c r="B34" s="26" t="str">
        <v>NY</v>
      </c>
      <c r="C34" s="21">
        <f>SUM(Jan!C34, Feb!C34, Mar!C34)</f>
        <v>29236.9375</v>
      </c>
      <c r="D34" s="11">
        <f>SUM(Jan!D34, Feb!D34, Mar!D34)</f>
        <v>39988.258999999998</v>
      </c>
      <c r="E34" s="11">
        <f t="shared" si="6"/>
        <v>-10751.321499999998</v>
      </c>
      <c r="F34" s="12">
        <f t="shared" si="7"/>
        <v>-0.26886195520540163</v>
      </c>
      <c r="G34" s="13">
        <f>SUM(Jan!G34, Feb!G34, Mar!G34)</f>
        <v>47334</v>
      </c>
      <c r="H34" s="13">
        <f>SUM(Jan!H34, Feb!H34, Mar!H34)</f>
        <v>-18097.0625</v>
      </c>
      <c r="I34" s="14">
        <f t="shared" si="8"/>
        <v>-0.38232692145181052</v>
      </c>
      <c r="J34" s="38"/>
      <c r="K34" s="38"/>
    </row>
    <row r="35" spans="1:11" ht="15.75">
      <c r="A35" s="27" t="str">
        <v>K345</v>
      </c>
      <c r="B35" s="28" t="str">
        <v>NY</v>
      </c>
      <c r="C35" s="10">
        <f>SUM(Jan!C35, Feb!C35, Mar!C35)</f>
        <v>32100.457187499953</v>
      </c>
      <c r="D35" s="15">
        <f>SUM(Jan!D35, Feb!D35, Mar!D35)</f>
        <v>21912.313999999998</v>
      </c>
      <c r="E35" s="15">
        <f t="shared" si="6"/>
        <v>10188.143187499954</v>
      </c>
      <c r="F35" s="16">
        <f t="shared" si="7"/>
        <v>0.46495058383610033</v>
      </c>
      <c r="G35" s="17">
        <f>SUM(Jan!G35, Feb!G35, Mar!G35)</f>
        <v>18513</v>
      </c>
      <c r="H35" s="17">
        <f>SUM(Jan!H35, Feb!H35, Mar!H35)</f>
        <v>13587.457187499951</v>
      </c>
      <c r="I35" s="16">
        <f t="shared" si="8"/>
        <v>0.7339414026629909</v>
      </c>
      <c r="J35" s="39"/>
      <c r="K35" s="40"/>
    </row>
    <row r="36" spans="1:11" ht="15.75">
      <c r="A36" s="25" t="str">
        <v>K445</v>
      </c>
      <c r="B36" s="26" t="str">
        <v>NY</v>
      </c>
      <c r="C36" s="21">
        <f>SUM(Jan!C36, Feb!C36, Mar!C36)</f>
        <v>30178.953693359381</v>
      </c>
      <c r="D36" s="11">
        <f>SUM(Jan!D36, Feb!D36, Mar!D36)</f>
        <v>17957.29</v>
      </c>
      <c r="E36" s="11">
        <f t="shared" si="6"/>
        <v>12221.66369335938</v>
      </c>
      <c r="F36" s="12">
        <f t="shared" si="7"/>
        <v>0.68059621988392338</v>
      </c>
      <c r="G36" s="13">
        <f>SUM(Jan!G36, Feb!G36, Mar!G36)</f>
        <v>20544.73</v>
      </c>
      <c r="H36" s="13">
        <f>SUM(Jan!H36, Feb!H36, Mar!H36)</f>
        <v>9634.2236933593813</v>
      </c>
      <c r="I36" s="14">
        <f t="shared" si="8"/>
        <v>0.46893892951425409</v>
      </c>
      <c r="J36" s="38"/>
      <c r="K36" s="38"/>
    </row>
    <row r="37" spans="1:11" ht="15.75">
      <c r="A37" s="27" t="str">
        <v>K495</v>
      </c>
      <c r="B37" s="28" t="str">
        <v>NY</v>
      </c>
      <c r="C37" s="10">
        <f>SUM(Jan!C37, Feb!C37, Mar!C37)</f>
        <v>122157.6875</v>
      </c>
      <c r="D37" s="15">
        <f>SUM(Jan!D37, Feb!D37, Mar!D37)</f>
        <v>0</v>
      </c>
      <c r="E37" s="15">
        <f t="shared" si="6"/>
        <v>122157.6875</v>
      </c>
      <c r="F37" s="16" t="str">
        <f t="shared" si="7"/>
        <v/>
      </c>
      <c r="G37" s="17">
        <f>SUM(Jan!G37, Feb!G37, Mar!G37)</f>
        <v>0</v>
      </c>
      <c r="H37" s="17">
        <f>SUM(Jan!H37, Feb!H37, Mar!H37)</f>
        <v>122157.6875</v>
      </c>
      <c r="I37" s="16" t="str">
        <f t="shared" si="8"/>
        <v/>
      </c>
      <c r="J37" s="39"/>
      <c r="K37" s="40"/>
    </row>
    <row r="38" spans="1:11" ht="15.75">
      <c r="A38" s="25" t="str">
        <v>M020</v>
      </c>
      <c r="B38" s="26" t="str">
        <v>NY</v>
      </c>
      <c r="C38" s="21">
        <f>SUM(Jan!C38, Feb!C38, Mar!C38)</f>
        <v>31129.9375</v>
      </c>
      <c r="D38" s="11">
        <f>SUM(Jan!D38, Feb!D38, Mar!D38)</f>
        <v>30547.896999999997</v>
      </c>
      <c r="E38" s="11">
        <f t="shared" si="6"/>
        <v>582.04050000000279</v>
      </c>
      <c r="F38" s="12">
        <f t="shared" si="7"/>
        <v>1.9053373788709672E-2</v>
      </c>
      <c r="G38" s="13">
        <f>SUM(Jan!G38, Feb!G38, Mar!G38)</f>
        <v>0</v>
      </c>
      <c r="H38" s="13">
        <f>SUM(Jan!H38, Feb!H38, Mar!H38)</f>
        <v>31129.9375</v>
      </c>
      <c r="I38" s="14" t="str">
        <f t="shared" si="8"/>
        <v/>
      </c>
      <c r="J38" s="38"/>
      <c r="K38" s="38"/>
    </row>
    <row r="39" spans="1:11" ht="15.75">
      <c r="A39" s="27" t="str">
        <v>M092</v>
      </c>
      <c r="B39" s="28" t="str">
        <v>NY</v>
      </c>
      <c r="C39" s="10">
        <f>SUM(Jan!C39, Feb!C39, Mar!C39)</f>
        <v>30203.25</v>
      </c>
      <c r="D39" s="15">
        <f>SUM(Jan!D39, Feb!D39, Mar!D39)</f>
        <v>38940.919000000002</v>
      </c>
      <c r="E39" s="15">
        <f t="shared" si="6"/>
        <v>-8737.6690000000017</v>
      </c>
      <c r="F39" s="16">
        <f t="shared" si="7"/>
        <v>-0.22438271166635798</v>
      </c>
      <c r="G39" s="17">
        <f>SUM(Jan!G39, Feb!G39, Mar!G39)</f>
        <v>45439.76</v>
      </c>
      <c r="H39" s="17">
        <f>SUM(Jan!H39, Feb!H39, Mar!H39)</f>
        <v>-15236.51</v>
      </c>
      <c r="I39" s="16">
        <f t="shared" si="8"/>
        <v>-0.33531229038181537</v>
      </c>
      <c r="J39" s="39"/>
      <c r="K39" s="40"/>
    </row>
    <row r="40" spans="1:11" ht="15.75">
      <c r="A40" s="25" t="str">
        <v>M143</v>
      </c>
      <c r="B40" s="26" t="str">
        <v>NY</v>
      </c>
      <c r="C40" s="21">
        <f>SUM(Jan!C40, Feb!C40, Mar!C40)</f>
        <v>35003.65625</v>
      </c>
      <c r="D40" s="11">
        <f>SUM(Jan!D40, Feb!D40, Mar!D40)</f>
        <v>45998.633999999998</v>
      </c>
      <c r="E40" s="11">
        <f t="shared" si="6"/>
        <v>-10994.977749999998</v>
      </c>
      <c r="F40" s="12">
        <f t="shared" si="7"/>
        <v>-0.23902835353762894</v>
      </c>
      <c r="G40" s="13">
        <f>SUM(Jan!G40, Feb!G40, Mar!G40)</f>
        <v>58656.05</v>
      </c>
      <c r="H40" s="13">
        <f>SUM(Jan!H40, Feb!H40, Mar!H40)</f>
        <v>-23652.393750000003</v>
      </c>
      <c r="I40" s="14">
        <f t="shared" si="8"/>
        <v>-0.40323877502832189</v>
      </c>
      <c r="J40" s="38"/>
      <c r="K40" s="38"/>
    </row>
    <row r="41" spans="1:11" ht="15.75">
      <c r="A41" s="27" t="str">
        <v>M144</v>
      </c>
      <c r="B41" s="28" t="str">
        <v>NY</v>
      </c>
      <c r="C41" s="10">
        <f>SUM(Jan!C41, Feb!C41, Mar!C41)</f>
        <v>50821.90625</v>
      </c>
      <c r="D41" s="15">
        <f>SUM(Jan!D41, Feb!D41, Mar!D41)</f>
        <v>0</v>
      </c>
      <c r="E41" s="15">
        <f t="shared" si="6"/>
        <v>50821.90625</v>
      </c>
      <c r="F41" s="16" t="str">
        <f t="shared" si="7"/>
        <v/>
      </c>
      <c r="G41" s="17">
        <f>SUM(Jan!G41, Feb!G41, Mar!G41)</f>
        <v>0</v>
      </c>
      <c r="H41" s="17">
        <f>SUM(Jan!H41, Feb!H41, Mar!H41)</f>
        <v>50821.90625</v>
      </c>
      <c r="I41" s="16" t="str">
        <f t="shared" si="8"/>
        <v/>
      </c>
      <c r="J41" s="39"/>
      <c r="K41" s="39"/>
    </row>
    <row r="42" spans="1:11" ht="15.75">
      <c r="A42" s="25" t="str">
        <v>M167</v>
      </c>
      <c r="B42" s="26" t="str">
        <v>NY</v>
      </c>
      <c r="C42" s="21">
        <f>SUM(Jan!C42, Feb!C42, Mar!C42)</f>
        <v>36408.467514648401</v>
      </c>
      <c r="D42" s="11">
        <f>SUM(Jan!D42, Feb!D42, Mar!D42)</f>
        <v>34228.5</v>
      </c>
      <c r="E42" s="11">
        <f t="shared" si="6"/>
        <v>2179.9675146484005</v>
      </c>
      <c r="F42" s="12">
        <f t="shared" si="7"/>
        <v>6.3688666305809508E-2</v>
      </c>
      <c r="G42" s="13">
        <f>SUM(Jan!G42, Feb!G42, Mar!G42)</f>
        <v>43728.47</v>
      </c>
      <c r="H42" s="13">
        <f>SUM(Jan!H42, Feb!H42, Mar!H42)</f>
        <v>-7320.0024853515988</v>
      </c>
      <c r="I42" s="14">
        <f t="shared" si="8"/>
        <v>-0.16739672084002935</v>
      </c>
      <c r="J42" s="38"/>
      <c r="K42" s="38"/>
    </row>
    <row r="43" spans="1:11" ht="15.75">
      <c r="A43" s="27" t="str">
        <v>M188</v>
      </c>
      <c r="B43" s="28" t="str">
        <v>NY</v>
      </c>
      <c r="C43" s="10">
        <f>SUM(Jan!C43, Feb!C43, Mar!C43)</f>
        <v>27839.046874999978</v>
      </c>
      <c r="D43" s="15">
        <f>SUM(Jan!D43, Feb!D43, Mar!D43)</f>
        <v>0</v>
      </c>
      <c r="E43" s="15">
        <f t="shared" si="6"/>
        <v>27839.046874999978</v>
      </c>
      <c r="F43" s="16" t="str">
        <f t="shared" si="7"/>
        <v/>
      </c>
      <c r="G43" s="17">
        <f>SUM(Jan!G43, Feb!G43, Mar!G43)</f>
        <v>0</v>
      </c>
      <c r="H43" s="17">
        <f>SUM(Jan!H43, Feb!H43, Mar!H43)</f>
        <v>27839.046874999978</v>
      </c>
      <c r="I43" s="16" t="str">
        <f t="shared" si="8"/>
        <v/>
      </c>
      <c r="J43" s="39"/>
      <c r="K43" s="40"/>
    </row>
    <row r="44" spans="1:11" ht="15.75">
      <c r="A44" s="25" t="str">
        <v>EMHC</v>
      </c>
      <c r="B44" s="26" t="str">
        <v>NY</v>
      </c>
      <c r="C44" s="21">
        <f>SUM(Jan!C44, Feb!C44, Mar!C44)</f>
        <v>7677.2293285768392</v>
      </c>
      <c r="D44" s="11">
        <f>SUM(Jan!D44, Feb!D44, Mar!D44)</f>
        <v>0</v>
      </c>
      <c r="E44" s="11">
        <f t="shared" si="6"/>
        <v>7677.2293285768392</v>
      </c>
      <c r="F44" s="12" t="str">
        <f t="shared" si="7"/>
        <v/>
      </c>
      <c r="G44" s="13">
        <f>SUM(Jan!G44, Feb!G44, Mar!G44)</f>
        <v>0</v>
      </c>
      <c r="H44" s="13">
        <f>SUM(Jan!H44, Feb!H44, Mar!H44)</f>
        <v>7677.2293285768392</v>
      </c>
      <c r="I44" s="14" t="str">
        <f t="shared" si="8"/>
        <v/>
      </c>
      <c r="J44" s="38"/>
      <c r="K44" s="38"/>
    </row>
    <row r="45" spans="1:11" ht="15.75">
      <c r="A45" s="27" t="str">
        <v>Q008</v>
      </c>
      <c r="B45" s="28" t="str">
        <v>NY</v>
      </c>
      <c r="C45" s="10">
        <f>SUM(Jan!C45, Feb!C45, Mar!C45)</f>
        <v>45368.6328125</v>
      </c>
      <c r="D45" s="15">
        <f>SUM(Jan!D45, Feb!D45, Mar!D45)</f>
        <v>50600.998999999996</v>
      </c>
      <c r="E45" s="15">
        <f t="shared" si="6"/>
        <v>-5232.3661874999962</v>
      </c>
      <c r="F45" s="16">
        <f t="shared" si="7"/>
        <v>-0.10340440487153221</v>
      </c>
      <c r="G45" s="17">
        <f>SUM(Jan!G45, Feb!G45, Mar!G45)</f>
        <v>58372</v>
      </c>
      <c r="H45" s="17">
        <f>SUM(Jan!H45, Feb!H45, Mar!H45)</f>
        <v>-13003.3671875</v>
      </c>
      <c r="I45" s="16">
        <f t="shared" si="8"/>
        <v>-0.22276720323956692</v>
      </c>
      <c r="J45" s="39"/>
      <c r="K45" s="40"/>
    </row>
    <row r="46" spans="1:11" ht="15.75">
      <c r="A46" s="25" t="str">
        <v>Q018</v>
      </c>
      <c r="B46" s="26" t="str">
        <v>NY</v>
      </c>
      <c r="C46" s="21">
        <f>SUM(Jan!C46, Feb!C46, Mar!C46)</f>
        <v>28670.125</v>
      </c>
      <c r="D46" s="11">
        <f>SUM(Jan!D46, Feb!D46, Mar!D46)</f>
        <v>33187.002999999997</v>
      </c>
      <c r="E46" s="11">
        <f t="shared" si="6"/>
        <v>-4516.877999999997</v>
      </c>
      <c r="F46" s="12">
        <f t="shared" si="7"/>
        <v>-0.13610382353597875</v>
      </c>
      <c r="G46" s="13">
        <f>SUM(Jan!G46, Feb!G46, Mar!G46)</f>
        <v>40523.796999999999</v>
      </c>
      <c r="H46" s="13">
        <f>SUM(Jan!H46, Feb!H46, Mar!H46)</f>
        <v>-11853.671999999999</v>
      </c>
      <c r="I46" s="14">
        <f t="shared" si="8"/>
        <v>-0.29251138534723187</v>
      </c>
      <c r="J46" s="38"/>
      <c r="K46" s="38"/>
    </row>
    <row r="47" spans="1:11" ht="15.75">
      <c r="A47" s="27" t="str">
        <v>Q021</v>
      </c>
      <c r="B47" s="28" t="str">
        <v>NY</v>
      </c>
      <c r="C47" s="10">
        <f>SUM(Jan!C47, Feb!C47, Mar!C47)</f>
        <v>22867.90625</v>
      </c>
      <c r="D47" s="15">
        <f>SUM(Jan!D47, Feb!D47, Mar!D47)</f>
        <v>29754.728000000003</v>
      </c>
      <c r="E47" s="15">
        <f t="shared" si="6"/>
        <v>-6886.8217500000028</v>
      </c>
      <c r="F47" s="16">
        <f t="shared" si="7"/>
        <v>-0.23145302319685135</v>
      </c>
      <c r="G47" s="17">
        <f>SUM(Jan!G47, Feb!G47, Mar!G47)</f>
        <v>17105.143</v>
      </c>
      <c r="H47" s="17">
        <f>SUM(Jan!H47, Feb!H47, Mar!H47)</f>
        <v>5762.7632500000009</v>
      </c>
      <c r="I47" s="16">
        <f t="shared" si="8"/>
        <v>0.33690237199420087</v>
      </c>
      <c r="J47" s="39"/>
      <c r="K47" s="40"/>
    </row>
    <row r="48" spans="1:11" ht="15.75">
      <c r="A48" s="25" t="str">
        <v>Q025</v>
      </c>
      <c r="B48" s="26" t="str">
        <v>NY</v>
      </c>
      <c r="C48" s="21">
        <f>SUM(Jan!C48, Feb!C48, Mar!C48)</f>
        <v>38308.5625</v>
      </c>
      <c r="D48" s="11">
        <f>SUM(Jan!D48, Feb!D48, Mar!D48)</f>
        <v>47791.360000000001</v>
      </c>
      <c r="E48" s="11">
        <f t="shared" si="6"/>
        <v>-9482.7975000000006</v>
      </c>
      <c r="F48" s="12">
        <f t="shared" si="7"/>
        <v>-0.19842075011048024</v>
      </c>
      <c r="G48" s="13">
        <f>SUM(Jan!G48, Feb!G48, Mar!G48)</f>
        <v>30045</v>
      </c>
      <c r="H48" s="13">
        <f>SUM(Jan!H48, Feb!H48, Mar!H48)</f>
        <v>8263.5625</v>
      </c>
      <c r="I48" s="14">
        <f t="shared" si="8"/>
        <v>0.27503952404726245</v>
      </c>
      <c r="J48" s="38"/>
      <c r="K48" s="38"/>
    </row>
    <row r="49" spans="1:11" ht="15.75">
      <c r="A49" s="27" t="str">
        <v>Q074</v>
      </c>
      <c r="B49" s="28" t="str">
        <v>NY</v>
      </c>
      <c r="C49" s="10">
        <f>SUM(Jan!C49, Feb!C49, Mar!C49)</f>
        <v>24363.46875</v>
      </c>
      <c r="D49" s="15">
        <f>SUM(Jan!D49, Feb!D49, Mar!D49)</f>
        <v>29540.1</v>
      </c>
      <c r="E49" s="15">
        <f t="shared" si="6"/>
        <v>-5176.6312499999985</v>
      </c>
      <c r="F49" s="16">
        <f t="shared" si="7"/>
        <v>-0.17524081672032252</v>
      </c>
      <c r="G49" s="17">
        <f>SUM(Jan!G49, Feb!G49, Mar!G49)</f>
        <v>32988.256000000001</v>
      </c>
      <c r="H49" s="17">
        <f>SUM(Jan!H49, Feb!H49, Mar!H49)</f>
        <v>-8624.7872499999976</v>
      </c>
      <c r="I49" s="16">
        <f t="shared" si="8"/>
        <v>-0.26145023398630096</v>
      </c>
      <c r="J49" s="39"/>
      <c r="K49" s="40"/>
    </row>
    <row r="50" spans="1:11" ht="15.75">
      <c r="A50" s="25" t="str">
        <v>Q115</v>
      </c>
      <c r="B50" s="26" t="str">
        <v>NY</v>
      </c>
      <c r="C50" s="21">
        <f>SUM(Jan!C50, Feb!C50, Mar!C50)</f>
        <v>32582.09375</v>
      </c>
      <c r="D50" s="11">
        <f>SUM(Jan!D50, Feb!D50, Mar!D50)</f>
        <v>42996.013999999996</v>
      </c>
      <c r="E50" s="11">
        <f t="shared" si="6"/>
        <v>-10413.920249999996</v>
      </c>
      <c r="F50" s="12">
        <f t="shared" si="7"/>
        <v>-0.24220664385307897</v>
      </c>
      <c r="G50" s="13">
        <f>SUM(Jan!G50, Feb!G50, Mar!G50)</f>
        <v>45957.75</v>
      </c>
      <c r="H50" s="13">
        <f>SUM(Jan!H50, Feb!H50, Mar!H50)</f>
        <v>-13375.656250000002</v>
      </c>
      <c r="I50" s="14">
        <f t="shared" si="8"/>
        <v>-0.29104245203474932</v>
      </c>
      <c r="J50" s="38"/>
      <c r="K50" s="38"/>
    </row>
    <row r="51" spans="1:11" ht="15.75">
      <c r="A51" s="27" t="str">
        <v>Q139</v>
      </c>
      <c r="B51" s="28" t="str">
        <v>NY</v>
      </c>
      <c r="C51" s="10">
        <f>SUM(Jan!C51, Feb!C51, Mar!C51)</f>
        <v>19681.21875</v>
      </c>
      <c r="D51" s="15">
        <f>SUM(Jan!D51, Feb!D51, Mar!D51)</f>
        <v>23615.078000000001</v>
      </c>
      <c r="E51" s="15">
        <f t="shared" si="6"/>
        <v>-3933.8592500000013</v>
      </c>
      <c r="F51" s="16">
        <f t="shared" si="7"/>
        <v>-0.16658252198023657</v>
      </c>
      <c r="G51" s="17">
        <f>SUM(Jan!G51, Feb!G51, Mar!G51)</f>
        <v>25496</v>
      </c>
      <c r="H51" s="17">
        <f>SUM(Jan!H51, Feb!H51, Mar!H51)</f>
        <v>-5814.78125</v>
      </c>
      <c r="I51" s="16">
        <f t="shared" si="8"/>
        <v>-0.2280664123784123</v>
      </c>
      <c r="J51" s="39"/>
      <c r="K51" s="40"/>
    </row>
    <row r="52" spans="1:11" ht="15.75">
      <c r="A52" s="25" t="str">
        <v>Q157</v>
      </c>
      <c r="B52" s="26" t="str">
        <v>NY</v>
      </c>
      <c r="C52" s="21">
        <f>SUM(Jan!C52, Feb!C52, Mar!C52)</f>
        <v>32711.75</v>
      </c>
      <c r="D52" s="11">
        <f>SUM(Jan!D52, Feb!D52, Mar!D52)</f>
        <v>45849.404999999999</v>
      </c>
      <c r="E52" s="11">
        <f t="shared" si="6"/>
        <v>-13137.654999999999</v>
      </c>
      <c r="F52" s="12">
        <f t="shared" si="7"/>
        <v>-0.28653926915736416</v>
      </c>
      <c r="G52" s="13">
        <f>SUM(Jan!G52, Feb!G52, Mar!G52)</f>
        <v>48279.4</v>
      </c>
      <c r="H52" s="13">
        <f>SUM(Jan!H52, Feb!H52, Mar!H52)</f>
        <v>-15567.650000000001</v>
      </c>
      <c r="I52" s="14">
        <f t="shared" si="8"/>
        <v>-0.322449119085987</v>
      </c>
      <c r="J52" s="38"/>
      <c r="K52" s="38"/>
    </row>
    <row r="53" spans="1:11" ht="15.75">
      <c r="A53" s="27" t="str">
        <v>Q192</v>
      </c>
      <c r="B53" s="28" t="str">
        <v>NY</v>
      </c>
      <c r="C53" s="10">
        <f>SUM(Jan!C53, Feb!C53, Mar!C53)</f>
        <v>54298.9375</v>
      </c>
      <c r="D53" s="15">
        <f>SUM(Jan!D53, Feb!D53, Mar!D53)</f>
        <v>70533.75</v>
      </c>
      <c r="E53" s="15">
        <f t="shared" si="6"/>
        <v>-16234.8125</v>
      </c>
      <c r="F53" s="16">
        <f t="shared" si="7"/>
        <v>-0.23017084020061318</v>
      </c>
      <c r="G53" s="17">
        <f>SUM(Jan!G53, Feb!G53, Mar!G53)</f>
        <v>69010.259999999995</v>
      </c>
      <c r="H53" s="17">
        <f>SUM(Jan!H53, Feb!H53, Mar!H53)</f>
        <v>-14711.322499999998</v>
      </c>
      <c r="I53" s="16">
        <f t="shared" si="8"/>
        <v>-0.21317587413813541</v>
      </c>
      <c r="J53" s="39"/>
      <c r="K53" s="39"/>
    </row>
    <row r="54" spans="1:11" ht="15.75">
      <c r="A54" s="25" t="str">
        <v>Q210</v>
      </c>
      <c r="B54" s="26" t="str">
        <v>NY</v>
      </c>
      <c r="C54" s="21">
        <f>SUM(Jan!C54, Feb!C54, Mar!C54)</f>
        <v>43295.25</v>
      </c>
      <c r="D54" s="11">
        <f>SUM(Jan!D54, Feb!D54, Mar!D54)</f>
        <v>50082.418000000005</v>
      </c>
      <c r="E54" s="11">
        <f t="shared" si="6"/>
        <v>-6787.1680000000051</v>
      </c>
      <c r="F54" s="12">
        <f t="shared" si="7"/>
        <v>-0.1355199742951709</v>
      </c>
      <c r="G54" s="13">
        <f>SUM(Jan!G54, Feb!G54, Mar!G54)</f>
        <v>56292</v>
      </c>
      <c r="H54" s="13">
        <f>SUM(Jan!H54, Feb!H54, Mar!H54)</f>
        <v>-12996.75</v>
      </c>
      <c r="I54" s="14">
        <f t="shared" si="8"/>
        <v>-0.23088094222980174</v>
      </c>
      <c r="J54" s="38"/>
      <c r="K54" s="38"/>
    </row>
    <row r="55" spans="1:11" ht="15.75">
      <c r="A55" s="27" t="str">
        <v>Q229</v>
      </c>
      <c r="B55" s="28" t="str">
        <v>NY</v>
      </c>
      <c r="C55" s="10">
        <f>SUM(Jan!C55, Feb!C55, Mar!C55)</f>
        <v>19268.65625</v>
      </c>
      <c r="D55" s="15">
        <f>SUM(Jan!D55, Feb!D55, Mar!D55)</f>
        <v>23192.663</v>
      </c>
      <c r="E55" s="15">
        <f t="shared" si="6"/>
        <v>-3924.0067500000005</v>
      </c>
      <c r="F55" s="16">
        <f t="shared" si="7"/>
        <v>-0.16919172886701284</v>
      </c>
      <c r="G55" s="17">
        <f>SUM(Jan!G55, Feb!G55, Mar!G55)</f>
        <v>28987.453000000001</v>
      </c>
      <c r="H55" s="17">
        <f>SUM(Jan!H55, Feb!H55, Mar!H55)</f>
        <v>-9718.7967500000013</v>
      </c>
      <c r="I55" s="16">
        <f t="shared" si="8"/>
        <v>-0.33527598130128927</v>
      </c>
      <c r="J55" s="39"/>
      <c r="K55" s="40"/>
    </row>
    <row r="56" spans="1:11" ht="15.75">
      <c r="A56" s="25" t="str">
        <v>Q231</v>
      </c>
      <c r="B56" s="26" t="str">
        <v>NY</v>
      </c>
      <c r="C56" s="21">
        <f>SUM(Jan!C56, Feb!C56, Mar!C56)</f>
        <v>72790.125</v>
      </c>
      <c r="D56" s="11">
        <f>SUM(Jan!D56, Feb!D56, Mar!D56)</f>
        <v>97152.989999999991</v>
      </c>
      <c r="E56" s="11">
        <f t="shared" si="6"/>
        <v>-24362.864999999991</v>
      </c>
      <c r="F56" s="12">
        <f t="shared" si="7"/>
        <v>-0.2507680412100543</v>
      </c>
      <c r="G56" s="13">
        <f>SUM(Jan!G56, Feb!G56, Mar!G56)</f>
        <v>0</v>
      </c>
      <c r="H56" s="13">
        <f>SUM(Jan!H56, Feb!H56, Mar!H56)</f>
        <v>72790.125</v>
      </c>
      <c r="I56" s="14" t="str">
        <f t="shared" si="8"/>
        <v/>
      </c>
      <c r="J56" s="38"/>
      <c r="K56" s="38"/>
    </row>
    <row r="57" spans="1:11" ht="15.75">
      <c r="A57" s="27" t="str">
        <v>Q405</v>
      </c>
      <c r="B57" s="28" t="str">
        <v>NY</v>
      </c>
      <c r="C57" s="10">
        <f>SUM(Jan!C57, Feb!C57, Mar!C57)</f>
        <v>80429.75</v>
      </c>
      <c r="D57" s="15">
        <f>SUM(Jan!D57, Feb!D57, Mar!D57)</f>
        <v>98573.890000000014</v>
      </c>
      <c r="E57" s="15">
        <f t="shared" si="6"/>
        <v>-18144.140000000014</v>
      </c>
      <c r="F57" s="16">
        <f t="shared" si="7"/>
        <v>-0.18406638918277457</v>
      </c>
      <c r="G57" s="17">
        <f>SUM(Jan!G57, Feb!G57, Mar!G57)</f>
        <v>85134.39</v>
      </c>
      <c r="H57" s="17">
        <f>SUM(Jan!H57, Feb!H57, Mar!H57)</f>
        <v>-4704.6399999999994</v>
      </c>
      <c r="I57" s="16">
        <f t="shared" si="8"/>
        <v>-5.5261334461901936E-2</v>
      </c>
      <c r="J57" s="39"/>
      <c r="K57" s="40"/>
    </row>
    <row r="58" spans="1:11" ht="15.75">
      <c r="A58" s="25" t="str">
        <v>Q435</v>
      </c>
      <c r="B58" s="26" t="str">
        <v>NY</v>
      </c>
      <c r="C58" s="21">
        <f>SUM(Jan!C58, Feb!C58, Mar!C58)</f>
        <v>0</v>
      </c>
      <c r="D58" s="11">
        <f>SUM(Jan!D58, Feb!D58, Mar!D58)</f>
        <v>0</v>
      </c>
      <c r="E58" s="11">
        <f t="shared" si="6"/>
        <v>0</v>
      </c>
      <c r="F58" s="12" t="str">
        <f t="shared" si="7"/>
        <v/>
      </c>
      <c r="G58" s="13">
        <f>SUM(Jan!G58, Feb!G58, Mar!G58)</f>
        <v>0</v>
      </c>
      <c r="H58" s="13">
        <f>SUM(Jan!H58, Feb!H58, Mar!H58)</f>
        <v>0</v>
      </c>
      <c r="I58" s="14" t="str">
        <f t="shared" si="8"/>
        <v/>
      </c>
      <c r="J58" s="38"/>
      <c r="K58" s="38"/>
    </row>
    <row r="59" spans="1:11" ht="15.75">
      <c r="A59" s="27" t="str">
        <v>Q485</v>
      </c>
      <c r="B59" s="28" t="str">
        <v>NY</v>
      </c>
      <c r="C59" s="10">
        <f>SUM(Jan!C59, Feb!C59, Mar!C59)</f>
        <v>89719.654335743195</v>
      </c>
      <c r="D59" s="15">
        <f>SUM(Jan!D59, Feb!D59, Mar!D59)</f>
        <v>79631.06</v>
      </c>
      <c r="E59" s="15">
        <f t="shared" si="6"/>
        <v>10088.594335743197</v>
      </c>
      <c r="F59" s="16">
        <f t="shared" si="7"/>
        <v>0.12669169964261681</v>
      </c>
      <c r="G59" s="17">
        <f>SUM(Jan!G59, Feb!G59, Mar!G59)</f>
        <v>103271.24</v>
      </c>
      <c r="H59" s="17">
        <f>SUM(Jan!H59, Feb!H59, Mar!H59)</f>
        <v>-13551.585664256803</v>
      </c>
      <c r="I59" s="16">
        <f t="shared" si="8"/>
        <v>-0.13122322985815607</v>
      </c>
      <c r="J59" s="39"/>
      <c r="K59" s="40"/>
    </row>
    <row r="60" spans="1:11" ht="15.75">
      <c r="A60" s="25" t="str">
        <v>Q490</v>
      </c>
      <c r="B60" s="26" t="str">
        <v>NY</v>
      </c>
      <c r="C60" s="21">
        <f>SUM(Jan!C60, Feb!C60, Mar!C60)</f>
        <v>68728.660312500098</v>
      </c>
      <c r="D60" s="11">
        <f>SUM(Jan!D60, Feb!D60, Mar!D60)</f>
        <v>0</v>
      </c>
      <c r="E60" s="11">
        <f t="shared" si="6"/>
        <v>68728.660312500098</v>
      </c>
      <c r="F60" s="12" t="str">
        <f t="shared" si="7"/>
        <v/>
      </c>
      <c r="G60" s="13">
        <f>SUM(Jan!G60, Feb!G60, Mar!G60)</f>
        <v>91074.73</v>
      </c>
      <c r="H60" s="13">
        <f>SUM(Jan!H60, Feb!H60, Mar!H60)</f>
        <v>-22346.069687499898</v>
      </c>
      <c r="I60" s="14">
        <f t="shared" si="8"/>
        <v>-0.2453597138031581</v>
      </c>
      <c r="J60" s="38"/>
      <c r="K60" s="38"/>
    </row>
    <row r="61" spans="1:11" ht="15.75">
      <c r="A61" s="27" t="str">
        <v>Q620</v>
      </c>
      <c r="B61" s="28" t="str">
        <v>NY</v>
      </c>
      <c r="C61" s="10">
        <f>SUM(Jan!C61, Feb!C61, Mar!C61)</f>
        <v>103122.625</v>
      </c>
      <c r="D61" s="15">
        <f>SUM(Jan!D61, Feb!D61, Mar!D61)</f>
        <v>126246.48000000001</v>
      </c>
      <c r="E61" s="15">
        <f t="shared" si="6"/>
        <v>-23123.85500000001</v>
      </c>
      <c r="F61" s="16">
        <f t="shared" si="7"/>
        <v>-0.18316435436457323</v>
      </c>
      <c r="G61" s="17">
        <f>SUM(Jan!G61, Feb!G61, Mar!G61)</f>
        <v>142146.81</v>
      </c>
      <c r="H61" s="17">
        <f>SUM(Jan!H61, Feb!H61, Mar!H61)</f>
        <v>-39024.184999999998</v>
      </c>
      <c r="I61" s="16">
        <f t="shared" si="8"/>
        <v>-0.27453437048640061</v>
      </c>
      <c r="J61" s="39"/>
      <c r="K61" s="40"/>
    </row>
    <row r="62" spans="1:11" ht="15.75">
      <c r="A62" s="25" t="str">
        <v>QMOA</v>
      </c>
      <c r="B62" s="26" t="str">
        <v>NY</v>
      </c>
      <c r="C62" s="21">
        <f>SUM(Jan!C62, Feb!C62, Mar!C62)</f>
        <v>9674.5999999999894</v>
      </c>
      <c r="D62" s="11">
        <f>SUM(Jan!D62, Feb!D62, Mar!D62)</f>
        <v>0</v>
      </c>
      <c r="E62" s="11">
        <f t="shared" si="6"/>
        <v>9674.5999999999894</v>
      </c>
      <c r="F62" s="12" t="str">
        <f t="shared" si="7"/>
        <v/>
      </c>
      <c r="G62" s="13">
        <f>SUM(Jan!G62, Feb!G62, Mar!G62)</f>
        <v>11837.222000000002</v>
      </c>
      <c r="H62" s="13">
        <f>SUM(Jan!H62, Feb!H62, Mar!H62)</f>
        <v>-2162.6220000000108</v>
      </c>
      <c r="I62" s="14">
        <f t="shared" si="8"/>
        <v>-0.18269675097755289</v>
      </c>
      <c r="J62" s="38"/>
      <c r="K62" s="38"/>
    </row>
    <row r="63" spans="1:11" ht="15.75">
      <c r="A63" s="27" t="str">
        <v>X024</v>
      </c>
      <c r="B63" s="28" t="str">
        <v>NY</v>
      </c>
      <c r="C63" s="10">
        <f>SUM(Jan!C63, Feb!C63, Mar!C63)</f>
        <v>38634.876000000004</v>
      </c>
      <c r="D63" s="15">
        <f>SUM(Jan!D63, Feb!D63, Mar!D63)</f>
        <v>0</v>
      </c>
      <c r="E63" s="15">
        <f t="shared" si="6"/>
        <v>38634.876000000004</v>
      </c>
      <c r="F63" s="16" t="str">
        <f t="shared" si="7"/>
        <v/>
      </c>
      <c r="G63" s="17">
        <f>SUM(Jan!G63, Feb!G63, Mar!G63)</f>
        <v>0</v>
      </c>
      <c r="H63" s="17">
        <f>SUM(Jan!H63, Feb!H63, Mar!H63)</f>
        <v>38634.876000000004</v>
      </c>
      <c r="I63" s="16" t="str">
        <f t="shared" si="8"/>
        <v/>
      </c>
      <c r="J63" s="39"/>
      <c r="K63" s="40"/>
    </row>
    <row r="64" spans="1:11" ht="15.75">
      <c r="A64" s="25" t="str">
        <v>X026</v>
      </c>
      <c r="B64" s="26" t="str">
        <v>NY</v>
      </c>
      <c r="C64" s="21">
        <f>SUM(Jan!C64, Feb!C64, Mar!C64)</f>
        <v>30231.200000000037</v>
      </c>
      <c r="D64" s="11">
        <f>SUM(Jan!D64, Feb!D64, Mar!D64)</f>
        <v>41023.509999999995</v>
      </c>
      <c r="E64" s="11">
        <f t="shared" si="6"/>
        <v>-10792.309999999958</v>
      </c>
      <c r="F64" s="12">
        <f t="shared" si="7"/>
        <v>-0.26307622141547515</v>
      </c>
      <c r="G64" s="13">
        <f>SUM(Jan!G64, Feb!G64, Mar!G64)</f>
        <v>53576.53</v>
      </c>
      <c r="H64" s="13">
        <f>SUM(Jan!H64, Feb!H64, Mar!H64)</f>
        <v>-23345.329999999962</v>
      </c>
      <c r="I64" s="14">
        <f t="shared" si="8"/>
        <v>-0.43573799945610442</v>
      </c>
      <c r="J64" s="38"/>
      <c r="K64" s="38"/>
    </row>
    <row r="65" spans="1:11" ht="15.75">
      <c r="A65" s="27" t="str">
        <v>X090</v>
      </c>
      <c r="B65" s="28" t="str">
        <v>NY</v>
      </c>
      <c r="C65" s="10">
        <f>SUM(Jan!C65, Feb!C65, Mar!C65)</f>
        <v>30633.6484375</v>
      </c>
      <c r="D65" s="15">
        <f>SUM(Jan!D65, Feb!D65, Mar!D65)</f>
        <v>27558.474000000002</v>
      </c>
      <c r="E65" s="15">
        <f t="shared" si="6"/>
        <v>3075.174437499998</v>
      </c>
      <c r="F65" s="16">
        <f t="shared" si="7"/>
        <v>0.11158725397857652</v>
      </c>
      <c r="G65" s="17">
        <f>SUM(Jan!G65, Feb!G65, Mar!G65)</f>
        <v>35328</v>
      </c>
      <c r="H65" s="17">
        <f>SUM(Jan!H65, Feb!H65, Mar!H65)</f>
        <v>-4694.3515624999991</v>
      </c>
      <c r="I65" s="16">
        <f t="shared" si="8"/>
        <v>-0.13287906370301175</v>
      </c>
      <c r="J65" s="39"/>
      <c r="K65" s="39"/>
    </row>
    <row r="66" spans="1:11" ht="15.75">
      <c r="A66" s="25" t="str">
        <v>X117</v>
      </c>
      <c r="B66" s="26" t="str">
        <v>NY</v>
      </c>
      <c r="C66" s="21">
        <f>SUM(Jan!C66, Feb!C66, Mar!C66)</f>
        <v>23648.800000000039</v>
      </c>
      <c r="D66" s="11">
        <f>SUM(Jan!D66, Feb!D66, Mar!D66)</f>
        <v>35151.578999999998</v>
      </c>
      <c r="E66" s="11">
        <f t="shared" si="6"/>
        <v>-11502.778999999959</v>
      </c>
      <c r="F66" s="12">
        <f t="shared" si="7"/>
        <v>-0.32723363579200693</v>
      </c>
      <c r="G66" s="13">
        <f>SUM(Jan!G66, Feb!G66, Mar!G66)</f>
        <v>59162.86</v>
      </c>
      <c r="H66" s="13">
        <f>SUM(Jan!H66, Feb!H66, Mar!H66)</f>
        <v>-35514.059999999961</v>
      </c>
      <c r="I66" s="14">
        <f t="shared" si="8"/>
        <v>-0.60027625439338061</v>
      </c>
      <c r="J66" s="38"/>
      <c r="K66" s="38"/>
    </row>
    <row r="67" spans="1:11" ht="15.75">
      <c r="A67" s="27" t="str">
        <v>X125</v>
      </c>
      <c r="B67" s="28" t="str">
        <v>NY</v>
      </c>
      <c r="C67" s="10">
        <f>SUM(Jan!C67, Feb!C67, Mar!C67)</f>
        <v>47490.21875</v>
      </c>
      <c r="D67" s="15">
        <f>SUM(Jan!D67, Feb!D67, Mar!D67)</f>
        <v>60381.86</v>
      </c>
      <c r="E67" s="15">
        <f t="shared" si="6"/>
        <v>-12891.641250000001</v>
      </c>
      <c r="F67" s="16">
        <f t="shared" si="7"/>
        <v>-0.21350189030281611</v>
      </c>
      <c r="G67" s="17">
        <f>SUM(Jan!G67, Feb!G67, Mar!G67)</f>
        <v>43137.520000000004</v>
      </c>
      <c r="H67" s="17">
        <f>SUM(Jan!H67, Feb!H67, Mar!H67)</f>
        <v>4352.6987499999996</v>
      </c>
      <c r="I67" s="16">
        <f t="shared" si="8"/>
        <v>0.10090285092884337</v>
      </c>
      <c r="J67" s="39"/>
      <c r="K67" s="40"/>
    </row>
    <row r="68" spans="1:11" ht="15.75">
      <c r="A68" s="25" t="str">
        <v>X134</v>
      </c>
      <c r="B68" s="26" t="str">
        <v>NY</v>
      </c>
      <c r="C68" s="21">
        <f>SUM(Jan!C68, Feb!C68, Mar!C68)</f>
        <v>44627.34375</v>
      </c>
      <c r="D68" s="11">
        <f>SUM(Jan!D68, Feb!D68, Mar!D68)</f>
        <v>0</v>
      </c>
      <c r="E68" s="11">
        <f t="shared" si="6"/>
        <v>44627.34375</v>
      </c>
      <c r="F68" s="12" t="str">
        <f t="shared" si="7"/>
        <v/>
      </c>
      <c r="G68" s="13">
        <f>SUM(Jan!G68, Feb!G68, Mar!G68)</f>
        <v>0</v>
      </c>
      <c r="H68" s="13">
        <f>SUM(Jan!H68, Feb!H68, Mar!H68)</f>
        <v>44627.34375</v>
      </c>
      <c r="I68" s="14" t="str">
        <f t="shared" si="8"/>
        <v/>
      </c>
      <c r="J68" s="38"/>
      <c r="K68" s="38"/>
    </row>
    <row r="69" spans="1:11" ht="15.75">
      <c r="A69" s="27" t="str">
        <v>X135</v>
      </c>
      <c r="B69" s="28" t="str">
        <v>NY</v>
      </c>
      <c r="C69" s="10">
        <f>SUM(Jan!C69, Feb!C69, Mar!C69)</f>
        <v>35026.578125</v>
      </c>
      <c r="D69" s="15">
        <f>SUM(Jan!D69, Feb!D69, Mar!D69)</f>
        <v>0</v>
      </c>
      <c r="E69" s="15">
        <f t="shared" si="6"/>
        <v>35026.578125</v>
      </c>
      <c r="F69" s="16" t="str">
        <f t="shared" si="7"/>
        <v/>
      </c>
      <c r="G69" s="17">
        <f>SUM(Jan!G69, Feb!G69, Mar!G69)</f>
        <v>0</v>
      </c>
      <c r="H69" s="17">
        <f>SUM(Jan!H69, Feb!H69, Mar!H69)</f>
        <v>35026.578125</v>
      </c>
      <c r="I69" s="16" t="str">
        <f t="shared" si="8"/>
        <v/>
      </c>
      <c r="J69" s="39"/>
      <c r="K69" s="40"/>
    </row>
    <row r="70" spans="1:11" ht="15.75">
      <c r="A70" s="25" t="str">
        <v>X139 JHS 222</v>
      </c>
      <c r="B70" s="26" t="str">
        <v>NY</v>
      </c>
      <c r="C70" s="21">
        <f>SUM(Jan!C70, Feb!C70, Mar!C70)</f>
        <v>57659.340530185567</v>
      </c>
      <c r="D70" s="11">
        <f>SUM(Jan!D70, Feb!D70, Mar!D70)</f>
        <v>67980.320000000007</v>
      </c>
      <c r="E70" s="11">
        <f t="shared" si="6"/>
        <v>-10320.97946981444</v>
      </c>
      <c r="F70" s="12">
        <f t="shared" si="7"/>
        <v>-0.15182304922681208</v>
      </c>
      <c r="G70" s="13">
        <f>SUM(Jan!G70, Feb!G70, Mar!G70)</f>
        <v>84940</v>
      </c>
      <c r="H70" s="13">
        <f>SUM(Jan!H70, Feb!H70, Mar!H70)</f>
        <v>-27280.659469814433</v>
      </c>
      <c r="I70" s="14">
        <f t="shared" si="8"/>
        <v>-0.32117564716051838</v>
      </c>
      <c r="J70" s="38"/>
      <c r="K70" s="38"/>
    </row>
    <row r="71" spans="1:11" ht="15.75">
      <c r="A71" s="27" t="str">
        <v>X140</v>
      </c>
      <c r="B71" s="28" t="str">
        <v>NY</v>
      </c>
      <c r="C71" s="10">
        <f>SUM(Jan!C71, Feb!C71, Mar!C71)</f>
        <v>31019.277999999998</v>
      </c>
      <c r="D71" s="15">
        <f>SUM(Jan!D71, Feb!D71, Mar!D71)</f>
        <v>32980.657999999996</v>
      </c>
      <c r="E71" s="15">
        <f t="shared" si="6"/>
        <v>-1961.3799999999974</v>
      </c>
      <c r="F71" s="16">
        <f t="shared" si="7"/>
        <v>-5.9470614564451615E-2</v>
      </c>
      <c r="G71" s="17">
        <f>SUM(Jan!G71, Feb!G71, Mar!G71)</f>
        <v>36841.069000000003</v>
      </c>
      <c r="H71" s="17">
        <f>SUM(Jan!H71, Feb!H71, Mar!H71)</f>
        <v>-5821.7909999999993</v>
      </c>
      <c r="I71" s="16">
        <f t="shared" si="8"/>
        <v>-0.15802448620586984</v>
      </c>
      <c r="J71" s="39"/>
      <c r="K71" s="40"/>
    </row>
    <row r="72" spans="1:11" ht="15.75">
      <c r="A72" s="25" t="str">
        <v>X166</v>
      </c>
      <c r="B72" s="26" t="str">
        <v>NY</v>
      </c>
      <c r="C72" s="21">
        <f>SUM(Jan!C72, Feb!C72, Mar!C72)</f>
        <v>34205.999999999971</v>
      </c>
      <c r="D72" s="11">
        <f>SUM(Jan!D72, Feb!D72, Mar!D72)</f>
        <v>40811.385999999999</v>
      </c>
      <c r="E72" s="11">
        <f t="shared" si="6"/>
        <v>-6605.3860000000277</v>
      </c>
      <c r="F72" s="12">
        <f t="shared" si="7"/>
        <v>-0.16185154799692489</v>
      </c>
      <c r="G72" s="13">
        <f>SUM(Jan!G72, Feb!G72, Mar!G72)</f>
        <v>0</v>
      </c>
      <c r="H72" s="13">
        <f>SUM(Jan!H72, Feb!H72, Mar!H72)</f>
        <v>34205.999999999971</v>
      </c>
      <c r="I72" s="14" t="str">
        <f t="shared" si="8"/>
        <v/>
      </c>
      <c r="J72" s="38"/>
      <c r="K72" s="38"/>
    </row>
    <row r="73" spans="1:11" ht="15.75">
      <c r="A73" s="27" t="str">
        <v>Murphy</v>
      </c>
      <c r="B73" s="28" t="str">
        <v>MN</v>
      </c>
      <c r="C73" s="10">
        <f>SUM(Jan!C73, Feb!C73, Mar!C73)</f>
        <v>1632440</v>
      </c>
      <c r="D73" s="15">
        <f>SUM(Jan!D73, Feb!D73, Mar!D73)</f>
        <v>1972653.5</v>
      </c>
      <c r="E73" s="15">
        <f t="shared" si="6"/>
        <v>-340213.5</v>
      </c>
      <c r="F73" s="16">
        <f t="shared" si="7"/>
        <v>-0.17246490577285875</v>
      </c>
      <c r="G73" s="17">
        <f>SUM(Jan!G73, Feb!G73, Mar!G73)</f>
        <v>2062650.4000000001</v>
      </c>
      <c r="H73" s="17">
        <f>SUM(Jan!H73, Feb!H73, Mar!H73)</f>
        <v>-430210.4</v>
      </c>
      <c r="I73" s="16">
        <f t="shared" si="8"/>
        <v>-0.20857165130843308</v>
      </c>
      <c r="J73" s="39"/>
      <c r="K73" s="40"/>
    </row>
    <row r="74" spans="1:11" ht="15.75">
      <c r="A74" s="25" t="str">
        <v>Terning</v>
      </c>
      <c r="B74" s="26" t="str">
        <v>MN</v>
      </c>
      <c r="C74" s="21">
        <f>SUM(Jan!C74, Feb!C74, Mar!C74)</f>
        <v>1735594</v>
      </c>
      <c r="D74" s="11">
        <f>SUM(Jan!D74, Feb!D74, Mar!D74)</f>
        <v>2080164.3</v>
      </c>
      <c r="E74" s="11">
        <f t="shared" si="6"/>
        <v>-344570.30000000005</v>
      </c>
      <c r="F74" s="12">
        <f t="shared" si="7"/>
        <v>-0.16564571365829134</v>
      </c>
      <c r="G74" s="13">
        <f>SUM(Jan!G74, Feb!G74, Mar!G74)</f>
        <v>1957114.3</v>
      </c>
      <c r="H74" s="13">
        <f>SUM(Jan!H74, Feb!H74, Mar!H74)</f>
        <v>-221520.3</v>
      </c>
      <c r="I74" s="14">
        <f t="shared" si="8"/>
        <v>-0.11318720628631654</v>
      </c>
      <c r="J74" s="38"/>
      <c r="K74" s="38"/>
    </row>
    <row r="75" spans="1:11" ht="15.75">
      <c r="A75" s="27" t="str">
        <v>Boas Road 04</v>
      </c>
      <c r="B75" s="28" t="str">
        <v>NY</v>
      </c>
      <c r="C75" s="10">
        <f>SUM(Jan!C75, Feb!C75, Mar!C75)</f>
        <v>494814</v>
      </c>
      <c r="D75" s="15">
        <f>SUM(Jan!D75, Feb!D75, Mar!D75)</f>
        <v>584293.79</v>
      </c>
      <c r="E75" s="15">
        <f t="shared" si="6"/>
        <v>-89479.790000000037</v>
      </c>
      <c r="F75" s="16">
        <f t="shared" si="7"/>
        <v>-0.15314177821400435</v>
      </c>
      <c r="G75" s="17">
        <f>SUM(Jan!G75, Feb!G75, Mar!G75)</f>
        <v>739603.56</v>
      </c>
      <c r="H75" s="17">
        <f>SUM(Jan!H75, Feb!H75, Mar!H75)</f>
        <v>-244789.56</v>
      </c>
      <c r="I75" s="16">
        <f t="shared" si="8"/>
        <v>-0.33097401532247894</v>
      </c>
      <c r="J75" s="39"/>
      <c r="K75" s="40"/>
    </row>
    <row r="76" spans="1:11" ht="15.75">
      <c r="A76" s="25" t="str">
        <v>Kelly Bridge Farm</v>
      </c>
      <c r="B76" s="26" t="str">
        <v>NY</v>
      </c>
      <c r="C76" s="21">
        <f>SUM(Jan!C76, Feb!C76, Mar!C76)</f>
        <v>558467</v>
      </c>
      <c r="D76" s="11">
        <f>SUM(Jan!D76, Feb!D76, Mar!D76)</f>
        <v>575148.26</v>
      </c>
      <c r="E76" s="11">
        <f t="shared" si="6"/>
        <v>-16681.260000000009</v>
      </c>
      <c r="F76" s="12">
        <f t="shared" si="7"/>
        <v>-2.9003408616762587E-2</v>
      </c>
      <c r="G76" s="13">
        <f>SUM(Jan!G76, Feb!G76, Mar!G76)</f>
        <v>749376.96</v>
      </c>
      <c r="H76" s="13">
        <f>SUM(Jan!H76, Feb!H76, Mar!H76)</f>
        <v>-190909.96000000002</v>
      </c>
      <c r="I76" s="14">
        <f t="shared" si="8"/>
        <v>-0.25475824610353648</v>
      </c>
      <c r="J76" s="38"/>
      <c r="K76" s="38"/>
    </row>
    <row r="77" spans="1:11" ht="15.75">
      <c r="A77" s="27" t="str">
        <v>Pool Brook Road</v>
      </c>
      <c r="B77" s="28" t="str">
        <v>NY</v>
      </c>
      <c r="C77" s="10">
        <f>SUM(Jan!C77, Feb!C77, Mar!C77)</f>
        <v>486761</v>
      </c>
      <c r="D77" s="15">
        <f>SUM(Jan!D77, Feb!D77, Mar!D77)</f>
        <v>499911.67</v>
      </c>
      <c r="E77" s="15">
        <f t="shared" si="6"/>
        <v>-13150.669999999984</v>
      </c>
      <c r="F77" s="16">
        <f t="shared" si="7"/>
        <v>-2.6305987215701494E-2</v>
      </c>
      <c r="G77" s="17">
        <f>SUM(Jan!G77, Feb!G77, Mar!G77)</f>
        <v>645779.92999999993</v>
      </c>
      <c r="H77" s="17">
        <f>SUM(Jan!H77, Feb!H77, Mar!H77)</f>
        <v>-159018.93</v>
      </c>
      <c r="I77" s="16">
        <f t="shared" si="8"/>
        <v>-0.24624322096848072</v>
      </c>
      <c r="J77" s="39"/>
      <c r="K77" s="39"/>
    </row>
    <row r="78" spans="1:11" ht="15.75">
      <c r="A78" s="25" t="str">
        <v>Sackett Lake</v>
      </c>
      <c r="B78" s="26" t="str">
        <v>NY</v>
      </c>
      <c r="C78" s="21">
        <f>SUM(Jan!C78, Feb!C78, Mar!C78)</f>
        <v>597618</v>
      </c>
      <c r="D78" s="11">
        <f>SUM(Jan!D78, Feb!D78, Mar!D78)</f>
        <v>597034.67000000004</v>
      </c>
      <c r="E78" s="11">
        <f t="shared" si="6"/>
        <v>583.32999999995809</v>
      </c>
      <c r="F78" s="12">
        <f t="shared" si="7"/>
        <v>9.77045436908979E-4</v>
      </c>
      <c r="G78" s="13">
        <f>SUM(Jan!G78, Feb!G78, Mar!G78)</f>
        <v>754908.37</v>
      </c>
      <c r="H78" s="13">
        <f>SUM(Jan!H78, Feb!H78, Mar!H78)</f>
        <v>-157290.37</v>
      </c>
      <c r="I78" s="14">
        <f t="shared" si="8"/>
        <v>-0.20835690297088638</v>
      </c>
      <c r="J78" s="38"/>
      <c r="K78" s="38"/>
    </row>
    <row r="79" spans="1:11" ht="15.75">
      <c r="A79" s="27" t="str">
        <v>Burritt Road</v>
      </c>
      <c r="B79" s="28" t="str">
        <v>NY</v>
      </c>
      <c r="C79" s="10">
        <f>SUM(Jan!C79, Feb!C79, Mar!C79)</f>
        <v>551570</v>
      </c>
      <c r="D79" s="15">
        <f>SUM(Jan!D79, Feb!D79, Mar!D79)</f>
        <v>563219.43999999994</v>
      </c>
      <c r="E79" s="15">
        <f t="shared" si="6"/>
        <v>-11649.439999999944</v>
      </c>
      <c r="F79" s="16">
        <f t="shared" si="7"/>
        <v>-2.0683661061130891E-2</v>
      </c>
      <c r="G79" s="17">
        <f>SUM(Jan!G79, Feb!G79, Mar!G79)</f>
        <v>548857.69999999995</v>
      </c>
      <c r="H79" s="17">
        <f>SUM(Jan!H79, Feb!H79, Mar!H79)</f>
        <v>2712.3000000000175</v>
      </c>
      <c r="I79" s="16">
        <f t="shared" si="8"/>
        <v>4.9417180445860878E-3</v>
      </c>
      <c r="J79" s="39"/>
      <c r="K79" s="40"/>
    </row>
    <row r="80" spans="1:11" ht="15.75">
      <c r="A80" s="25" t="str">
        <v>Villa Roma 1</v>
      </c>
      <c r="B80" s="26" t="str">
        <v>NY</v>
      </c>
      <c r="C80" s="21">
        <f>SUM(Jan!C80, Feb!C80, Mar!C80)</f>
        <v>487440</v>
      </c>
      <c r="D80" s="11">
        <f>SUM(Jan!D80, Feb!D80, Mar!D80)</f>
        <v>261798.13</v>
      </c>
      <c r="E80" s="11">
        <f t="shared" si="6"/>
        <v>225641.87</v>
      </c>
      <c r="F80" s="12">
        <f t="shared" si="7"/>
        <v>0.86189259640624627</v>
      </c>
      <c r="G80" s="13">
        <f>SUM(Jan!G80, Feb!G80, Mar!G80)</f>
        <v>502759.05000000005</v>
      </c>
      <c r="H80" s="13">
        <f>SUM(Jan!H80, Feb!H80, Mar!H80)</f>
        <v>-15319.049999999988</v>
      </c>
      <c r="I80" s="14">
        <f t="shared" si="8"/>
        <v>-3.0469963693343732E-2</v>
      </c>
      <c r="J80" s="38"/>
      <c r="K80" s="38"/>
    </row>
    <row r="81" spans="1:11" ht="15.75">
      <c r="A81" s="27" t="str">
        <v>Villa Roma 2</v>
      </c>
      <c r="B81" s="28" t="str">
        <v>NY</v>
      </c>
      <c r="C81" s="10">
        <f>SUM(Jan!C81, Feb!C81, Mar!C81)</f>
        <v>510400</v>
      </c>
      <c r="D81" s="15">
        <f>SUM(Jan!D81, Feb!D81, Mar!D81)</f>
        <v>611163.64</v>
      </c>
      <c r="E81" s="15">
        <f t="shared" si="6"/>
        <v>-100763.64000000001</v>
      </c>
      <c r="F81" s="16">
        <f t="shared" si="7"/>
        <v>-0.16487178458456725</v>
      </c>
      <c r="G81" s="17">
        <f>SUM(Jan!G81, Feb!G81, Mar!G81)</f>
        <v>487501.11</v>
      </c>
      <c r="H81" s="17">
        <f>SUM(Jan!H81, Feb!H81, Mar!H81)</f>
        <v>22898.889999999985</v>
      </c>
      <c r="I81" s="16">
        <f t="shared" si="8"/>
        <v>4.6971975099707949E-2</v>
      </c>
      <c r="J81" s="39"/>
      <c r="K81" s="40"/>
    </row>
    <row r="82" spans="1:11" ht="15.75">
      <c r="A82" s="25" t="str">
        <v>Washington 1</v>
      </c>
      <c r="B82" s="26" t="str">
        <v>NY</v>
      </c>
      <c r="C82" s="21">
        <f>SUM(Jan!C82, Feb!C82, Mar!C82)</f>
        <v>540070</v>
      </c>
      <c r="D82" s="11">
        <f>SUM(Jan!D82, Feb!D82, Mar!D82)</f>
        <v>662416.75</v>
      </c>
      <c r="E82" s="11">
        <f t="shared" ref="E82:E138" si="9">IF(AND(ISNUMBER(C82),ISNUMBER(D82)), C82-D82, "")</f>
        <v>-122346.75</v>
      </c>
      <c r="F82" s="12">
        <f t="shared" ref="F82:F138" si="10">IFERROR(E82/D82, "")</f>
        <v>-0.18469754878631919</v>
      </c>
      <c r="G82" s="13">
        <f>SUM(Jan!G82, Feb!G82, Mar!G82)</f>
        <v>538915.94999999995</v>
      </c>
      <c r="H82" s="13">
        <f>SUM(Jan!H82, Feb!H82, Mar!H82)</f>
        <v>1154.0500000000029</v>
      </c>
      <c r="I82" s="14">
        <f t="shared" ref="I82:I138" si="11">IFERROR(H82/G82, "")</f>
        <v>2.1414285474386182E-3</v>
      </c>
      <c r="J82" s="38"/>
      <c r="K82" s="38"/>
    </row>
    <row r="83" spans="1:11" ht="15.75">
      <c r="A83" s="27" t="str">
        <v>Washington 3</v>
      </c>
      <c r="B83" s="28" t="str">
        <v>NY</v>
      </c>
      <c r="C83" s="10">
        <f>SUM(Jan!C83, Feb!C83, Mar!C83)</f>
        <v>515380</v>
      </c>
      <c r="D83" s="15">
        <f>SUM(Jan!D83, Feb!D83, Mar!D83)</f>
        <v>672395.84</v>
      </c>
      <c r="E83" s="15">
        <f t="shared" si="9"/>
        <v>-157015.83999999997</v>
      </c>
      <c r="F83" s="16">
        <f t="shared" si="10"/>
        <v>-0.23351697119363496</v>
      </c>
      <c r="G83" s="17">
        <f>SUM(Jan!G83, Feb!G83, Mar!G83)</f>
        <v>656728.39</v>
      </c>
      <c r="H83" s="17">
        <f>SUM(Jan!H83, Feb!H83, Mar!H83)</f>
        <v>-141348.39000000001</v>
      </c>
      <c r="I83" s="16">
        <f t="shared" si="11"/>
        <v>-0.21523112469677153</v>
      </c>
      <c r="J83" s="39"/>
      <c r="K83" s="40"/>
    </row>
    <row r="84" spans="1:11" ht="15.75">
      <c r="A84" s="25" t="str">
        <v>Washington 4</v>
      </c>
      <c r="B84" s="26" t="str">
        <v>NY</v>
      </c>
      <c r="C84" s="21">
        <f>SUM(Jan!C84, Feb!C84, Mar!C84)</f>
        <v>662420</v>
      </c>
      <c r="D84" s="11">
        <f>SUM(Jan!D84, Feb!D84, Mar!D84)</f>
        <v>0</v>
      </c>
      <c r="E84" s="11">
        <f t="shared" si="9"/>
        <v>662420</v>
      </c>
      <c r="F84" s="12" t="str">
        <f t="shared" si="10"/>
        <v/>
      </c>
      <c r="G84" s="13">
        <f>SUM(Jan!G84, Feb!G84, Mar!G84)</f>
        <v>658801.46</v>
      </c>
      <c r="H84" s="13">
        <f>SUM(Jan!H84, Feb!H84, Mar!H84)</f>
        <v>3618.5400000000081</v>
      </c>
      <c r="I84" s="14">
        <f t="shared" si="11"/>
        <v>5.49261077836714E-3</v>
      </c>
      <c r="J84" s="38"/>
      <c r="K84" s="38"/>
    </row>
    <row r="85" spans="1:11" ht="15.75">
      <c r="A85" s="27" t="str">
        <v>Big Tree</v>
      </c>
      <c r="B85" s="28" t="str">
        <v>NY</v>
      </c>
      <c r="C85" s="10">
        <f>SUM(Jan!C85, Feb!C85, Mar!C85)</f>
        <v>473991</v>
      </c>
      <c r="D85" s="15">
        <f>SUM(Jan!D85, Feb!D85, Mar!D85)</f>
        <v>0</v>
      </c>
      <c r="E85" s="15">
        <f t="shared" si="9"/>
        <v>473991</v>
      </c>
      <c r="F85" s="16" t="str">
        <f t="shared" si="10"/>
        <v/>
      </c>
      <c r="G85" s="17">
        <f>SUM(Jan!G85, Feb!G85, Mar!G85)</f>
        <v>316787</v>
      </c>
      <c r="H85" s="17">
        <f>SUM(Jan!H85, Feb!H85, Mar!H85)</f>
        <v>157204</v>
      </c>
      <c r="I85" s="16">
        <f t="shared" si="11"/>
        <v>0.49624511106832037</v>
      </c>
      <c r="J85" s="39"/>
      <c r="K85" s="40"/>
    </row>
    <row r="86" spans="1:11" ht="15.75">
      <c r="A86" s="25" t="str">
        <v>Canoga</v>
      </c>
      <c r="B86" s="26" t="str">
        <v>NY</v>
      </c>
      <c r="C86" s="21">
        <f>SUM(Jan!C86, Feb!C86, Mar!C86)</f>
        <v>1516743</v>
      </c>
      <c r="D86" s="11">
        <f>SUM(Jan!D86, Feb!D86, Mar!D86)</f>
        <v>0</v>
      </c>
      <c r="E86" s="11">
        <f t="shared" si="9"/>
        <v>1516743</v>
      </c>
      <c r="F86" s="12" t="str">
        <f t="shared" si="10"/>
        <v/>
      </c>
      <c r="G86" s="13">
        <f>SUM(Jan!G86, Feb!G86, Mar!G86)</f>
        <v>898049</v>
      </c>
      <c r="H86" s="13">
        <f>SUM(Jan!H86, Feb!H86, Mar!H86)</f>
        <v>618694</v>
      </c>
      <c r="I86" s="14">
        <f t="shared" si="11"/>
        <v>0.68893122758335013</v>
      </c>
      <c r="J86" s="38"/>
      <c r="K86" s="38"/>
    </row>
    <row r="87" spans="1:11" ht="15.75">
      <c r="A87" s="27" t="str">
        <v>County Route 84</v>
      </c>
      <c r="B87" s="28" t="str">
        <v>NY</v>
      </c>
      <c r="C87" s="10">
        <f>SUM(Jan!C87, Feb!C87, Mar!C87)</f>
        <v>1546079</v>
      </c>
      <c r="D87" s="15">
        <f>SUM(Jan!D87, Feb!D87, Mar!D87)</f>
        <v>0</v>
      </c>
      <c r="E87" s="15">
        <f t="shared" si="9"/>
        <v>1546079</v>
      </c>
      <c r="F87" s="16" t="str">
        <f t="shared" si="10"/>
        <v/>
      </c>
      <c r="G87" s="17">
        <f>SUM(Jan!G87, Feb!G87, Mar!G87)</f>
        <v>1107070</v>
      </c>
      <c r="H87" s="17">
        <f>SUM(Jan!H87, Feb!H87, Mar!H87)</f>
        <v>439009</v>
      </c>
      <c r="I87" s="16">
        <f t="shared" si="11"/>
        <v>0.39655035363617475</v>
      </c>
      <c r="J87" s="39"/>
      <c r="K87" s="40"/>
    </row>
    <row r="88" spans="1:11" ht="15.75">
      <c r="A88" s="25" t="str">
        <v>Donati</v>
      </c>
      <c r="B88" s="26" t="str">
        <v>NY</v>
      </c>
      <c r="C88" s="21">
        <f>SUM(Jan!C88, Feb!C88, Mar!C88)</f>
        <v>628993</v>
      </c>
      <c r="D88" s="11">
        <f>SUM(Jan!D88, Feb!D88, Mar!D88)</f>
        <v>0</v>
      </c>
      <c r="E88" s="11">
        <f t="shared" si="9"/>
        <v>628993</v>
      </c>
      <c r="F88" s="12" t="str">
        <f t="shared" si="10"/>
        <v/>
      </c>
      <c r="G88" s="13">
        <f>SUM(Jan!G88, Feb!G88, Mar!G88)</f>
        <v>353431</v>
      </c>
      <c r="H88" s="13">
        <f>SUM(Jan!H88, Feb!H88, Mar!H88)</f>
        <v>275562</v>
      </c>
      <c r="I88" s="14">
        <f t="shared" si="11"/>
        <v>0.77967693835571861</v>
      </c>
      <c r="J88" s="38"/>
      <c r="K88" s="38"/>
    </row>
    <row r="89" spans="1:11" ht="15.75">
      <c r="A89" s="27" t="str">
        <v>Henrietta</v>
      </c>
      <c r="B89" s="28" t="str">
        <v>NY</v>
      </c>
      <c r="C89" s="10">
        <f>SUM(Jan!C89, Feb!C89, Mar!C89)</f>
        <v>1355444</v>
      </c>
      <c r="D89" s="15">
        <f>SUM(Jan!D89, Feb!D89, Mar!D89)</f>
        <v>0</v>
      </c>
      <c r="E89" s="15">
        <f t="shared" si="9"/>
        <v>1355444</v>
      </c>
      <c r="F89" s="16" t="str">
        <f t="shared" si="10"/>
        <v/>
      </c>
      <c r="G89" s="17">
        <f>SUM(Jan!G89, Feb!G89, Mar!G89)</f>
        <v>680573</v>
      </c>
      <c r="H89" s="17">
        <f>SUM(Jan!H89, Feb!H89, Mar!H89)</f>
        <v>674871</v>
      </c>
      <c r="I89" s="16">
        <f t="shared" si="11"/>
        <v>0.9916217657767793</v>
      </c>
      <c r="J89" s="39"/>
      <c r="K89" s="39"/>
    </row>
    <row r="90" spans="1:11" ht="15.75">
      <c r="A90" s="25" t="str">
        <v>NY 70</v>
      </c>
      <c r="B90" s="26" t="str">
        <v>NY</v>
      </c>
      <c r="C90" s="21">
        <f>SUM(Jan!C90, Feb!C90, Mar!C90)</f>
        <v>1485125</v>
      </c>
      <c r="D90" s="11">
        <f>SUM(Jan!D90, Feb!D90, Mar!D90)</f>
        <v>0</v>
      </c>
      <c r="E90" s="11">
        <f t="shared" si="9"/>
        <v>1485125</v>
      </c>
      <c r="F90" s="12" t="str">
        <f t="shared" si="10"/>
        <v/>
      </c>
      <c r="G90" s="13">
        <f>SUM(Jan!G90, Feb!G90, Mar!G90)</f>
        <v>1087372</v>
      </c>
      <c r="H90" s="13">
        <f>SUM(Jan!H90, Feb!H90, Mar!H90)</f>
        <v>397753</v>
      </c>
      <c r="I90" s="14">
        <f t="shared" si="11"/>
        <v>0.36579293930687934</v>
      </c>
      <c r="J90" s="38"/>
      <c r="K90" s="38"/>
    </row>
    <row r="91" spans="1:11" ht="15.75">
      <c r="A91" s="27" t="str">
        <v>Reid</v>
      </c>
      <c r="B91" s="28" t="str">
        <v>NY</v>
      </c>
      <c r="C91" s="10">
        <f>SUM(Jan!C91, Feb!C91, Mar!C91)</f>
        <v>1247680.8498402531</v>
      </c>
      <c r="D91" s="15">
        <f>SUM(Jan!D91, Feb!D91, Mar!D91)</f>
        <v>1326149.3</v>
      </c>
      <c r="E91" s="15">
        <f t="shared" si="9"/>
        <v>-78468.450159746921</v>
      </c>
      <c r="F91" s="16">
        <f t="shared" si="10"/>
        <v>-5.9170147855710453E-2</v>
      </c>
      <c r="G91" s="17">
        <f>SUM(Jan!G91, Feb!G91, Mar!G91)</f>
        <v>1569672</v>
      </c>
      <c r="H91" s="17">
        <f>SUM(Jan!H91, Feb!H91, Mar!H91)</f>
        <v>-321991.15015974699</v>
      </c>
      <c r="I91" s="16">
        <f t="shared" si="11"/>
        <v>-0.20513276032174046</v>
      </c>
      <c r="J91" s="39"/>
      <c r="K91" s="40"/>
    </row>
    <row r="92" spans="1:11" ht="15.75">
      <c r="A92" s="25" t="str">
        <v>Sangolqui</v>
      </c>
      <c r="B92" s="26" t="str">
        <v>NY</v>
      </c>
      <c r="C92" s="21">
        <f>SUM(Jan!C92, Feb!C92, Mar!C92)</f>
        <v>602093</v>
      </c>
      <c r="D92" s="11">
        <f>SUM(Jan!D92, Feb!D92, Mar!D92)</f>
        <v>0</v>
      </c>
      <c r="E92" s="11">
        <f t="shared" si="9"/>
        <v>602093</v>
      </c>
      <c r="F92" s="12" t="str">
        <f t="shared" si="10"/>
        <v/>
      </c>
      <c r="G92" s="13">
        <f>SUM(Jan!G92, Feb!G92, Mar!G92)</f>
        <v>344668</v>
      </c>
      <c r="H92" s="13">
        <f>SUM(Jan!H92, Feb!H92, Mar!H92)</f>
        <v>257425</v>
      </c>
      <c r="I92" s="14">
        <f t="shared" si="11"/>
        <v>0.74687815521023126</v>
      </c>
      <c r="J92" s="38"/>
      <c r="K92" s="38"/>
    </row>
    <row r="93" spans="1:11" ht="15.75">
      <c r="A93" s="27" t="str">
        <v>State Highway 17B</v>
      </c>
      <c r="B93" s="28" t="str">
        <v>NY</v>
      </c>
      <c r="C93" s="10">
        <f>SUM(Jan!C93, Feb!C93, Mar!C93)</f>
        <v>1377802</v>
      </c>
      <c r="D93" s="15">
        <f>SUM(Jan!D93, Feb!D93, Mar!D93)</f>
        <v>0</v>
      </c>
      <c r="E93" s="15">
        <f t="shared" si="9"/>
        <v>1377802</v>
      </c>
      <c r="F93" s="16" t="str">
        <f t="shared" si="10"/>
        <v/>
      </c>
      <c r="G93" s="17">
        <f>SUM(Jan!G93, Feb!G93, Mar!G93)</f>
        <v>950364.16999999993</v>
      </c>
      <c r="H93" s="17">
        <f>SUM(Jan!H93, Feb!H93, Mar!H93)</f>
        <v>427437.83</v>
      </c>
      <c r="I93" s="16">
        <f t="shared" si="11"/>
        <v>0.44976214749341831</v>
      </c>
      <c r="J93" s="39"/>
      <c r="K93" s="40"/>
    </row>
    <row r="94" spans="1:11" ht="15.75">
      <c r="A94" s="25" t="str">
        <v>State Route 14A</v>
      </c>
      <c r="B94" s="26" t="str">
        <v>NY</v>
      </c>
      <c r="C94" s="21">
        <f>SUM(Jan!C94, Feb!C94, Mar!C94)</f>
        <v>1534328</v>
      </c>
      <c r="D94" s="11">
        <f>SUM(Jan!D94, Feb!D94, Mar!D94)</f>
        <v>0</v>
      </c>
      <c r="E94" s="11">
        <f t="shared" si="9"/>
        <v>1534328</v>
      </c>
      <c r="F94" s="12" t="str">
        <f t="shared" si="10"/>
        <v/>
      </c>
      <c r="G94" s="13">
        <f>SUM(Jan!G94, Feb!G94, Mar!G94)</f>
        <v>1020343</v>
      </c>
      <c r="H94" s="13">
        <f>SUM(Jan!H94, Feb!H94, Mar!H94)</f>
        <v>513985</v>
      </c>
      <c r="I94" s="14">
        <f t="shared" si="11"/>
        <v>0.50373746867474956</v>
      </c>
      <c r="J94" s="38"/>
      <c r="K94" s="38"/>
    </row>
    <row r="95" spans="1:11" ht="15.75">
      <c r="A95" s="27" t="str">
        <v>West Creek</v>
      </c>
      <c r="B95" s="28" t="str">
        <v>NY</v>
      </c>
      <c r="C95" s="10">
        <f>SUM(Jan!C95, Feb!C95, Mar!C95)</f>
        <v>1501233</v>
      </c>
      <c r="D95" s="15">
        <f>SUM(Jan!D95, Feb!D95, Mar!D95)</f>
        <v>0</v>
      </c>
      <c r="E95" s="15">
        <f t="shared" si="9"/>
        <v>1501233</v>
      </c>
      <c r="F95" s="16" t="str">
        <f t="shared" si="10"/>
        <v/>
      </c>
      <c r="G95" s="17">
        <f>SUM(Jan!G95, Feb!G95, Mar!G95)</f>
        <v>876014.45</v>
      </c>
      <c r="H95" s="17">
        <f>SUM(Jan!H95, Feb!H95, Mar!H95)</f>
        <v>625218.55000000005</v>
      </c>
      <c r="I95" s="16">
        <f t="shared" si="11"/>
        <v>0.71370803301246921</v>
      </c>
      <c r="J95" s="39"/>
      <c r="K95" s="40"/>
    </row>
    <row r="96" spans="1:11" ht="15.75">
      <c r="A96" s="25" t="str">
        <v>Wildflower</v>
      </c>
      <c r="B96" s="26" t="str">
        <v>NY</v>
      </c>
      <c r="C96" s="21">
        <f>SUM(Jan!C96, Feb!C96, Mar!C96)</f>
        <v>1341726</v>
      </c>
      <c r="D96" s="11">
        <f>SUM(Jan!D96, Feb!D96, Mar!D96)</f>
        <v>0</v>
      </c>
      <c r="E96" s="11">
        <f t="shared" si="9"/>
        <v>1341726</v>
      </c>
      <c r="F96" s="12" t="str">
        <f t="shared" si="10"/>
        <v/>
      </c>
      <c r="G96" s="13">
        <f>SUM(Jan!G96, Feb!G96, Mar!G96)</f>
        <v>1194494.27</v>
      </c>
      <c r="H96" s="13">
        <f>SUM(Jan!H96, Feb!H96, Mar!H96)</f>
        <v>147231.72999999998</v>
      </c>
      <c r="I96" s="14">
        <f t="shared" si="11"/>
        <v>0.12325863229130432</v>
      </c>
      <c r="J96" s="38"/>
      <c r="K96" s="38"/>
    </row>
    <row r="97" spans="1:11" ht="15.75">
      <c r="A97" s="27" t="str">
        <v>Glen Mary 1</v>
      </c>
      <c r="B97" s="28" t="str">
        <v>NY</v>
      </c>
      <c r="C97" s="10">
        <f>SUM(Jan!C97, Feb!C97, Mar!C97)</f>
        <v>1313134</v>
      </c>
      <c r="D97" s="15">
        <f>SUM(Jan!D97, Feb!D97, Mar!D97)</f>
        <v>0</v>
      </c>
      <c r="E97" s="15">
        <f t="shared" si="9"/>
        <v>1313134</v>
      </c>
      <c r="F97" s="16" t="str">
        <f t="shared" si="10"/>
        <v/>
      </c>
      <c r="G97" s="17">
        <f>SUM(Jan!G97, Feb!G97, Mar!G97)</f>
        <v>754916</v>
      </c>
      <c r="H97" s="17">
        <f>SUM(Jan!H97, Feb!H97, Mar!H97)</f>
        <v>558218</v>
      </c>
      <c r="I97" s="16">
        <f t="shared" si="11"/>
        <v>0.73944385865447282</v>
      </c>
      <c r="J97" s="39"/>
      <c r="K97" s="40"/>
    </row>
    <row r="98" spans="1:11" ht="15.75">
      <c r="A98" s="25" t="str">
        <v>Glen Mary 2</v>
      </c>
      <c r="B98" s="26" t="str">
        <v>NY</v>
      </c>
      <c r="C98" s="21">
        <f>SUM(Jan!C98, Feb!C98, Mar!C98)</f>
        <v>592486</v>
      </c>
      <c r="D98" s="11">
        <f>SUM(Jan!D98, Feb!D98, Mar!D98)</f>
        <v>0</v>
      </c>
      <c r="E98" s="11">
        <f t="shared" si="9"/>
        <v>592486</v>
      </c>
      <c r="F98" s="12" t="str">
        <f t="shared" si="10"/>
        <v/>
      </c>
      <c r="G98" s="13">
        <f>SUM(Jan!G98, Feb!G98, Mar!G98)</f>
        <v>467346</v>
      </c>
      <c r="H98" s="13">
        <f>SUM(Jan!H98, Feb!H98, Mar!H98)</f>
        <v>125140</v>
      </c>
      <c r="I98" s="14">
        <f t="shared" si="11"/>
        <v>0.26776735010035391</v>
      </c>
      <c r="J98" s="38"/>
      <c r="K98" s="38"/>
    </row>
    <row r="99" spans="1:11" ht="15.75">
      <c r="A99" s="27" t="str">
        <v>Telegraph 1</v>
      </c>
      <c r="B99" s="28" t="str">
        <v>NY</v>
      </c>
      <c r="C99" s="10">
        <f>SUM(Jan!C99, Feb!C99, Mar!C99)</f>
        <v>983099</v>
      </c>
      <c r="D99" s="15">
        <f>SUM(Jan!D99, Feb!D99, Mar!D99)</f>
        <v>0</v>
      </c>
      <c r="E99" s="15">
        <f t="shared" si="9"/>
        <v>983099</v>
      </c>
      <c r="F99" s="16" t="str">
        <f t="shared" si="10"/>
        <v/>
      </c>
      <c r="G99" s="17">
        <f>SUM(Jan!G99, Feb!G99, Mar!G99)</f>
        <v>738814.59</v>
      </c>
      <c r="H99" s="17">
        <f>SUM(Jan!H99, Feb!H99, Mar!H99)</f>
        <v>244284.41</v>
      </c>
      <c r="I99" s="16">
        <f t="shared" si="11"/>
        <v>0.33064372754198046</v>
      </c>
      <c r="J99" s="39"/>
      <c r="K99" s="40"/>
    </row>
    <row r="100" spans="1:11" ht="15.75">
      <c r="A100" s="25" t="str">
        <v>Telegraph 2</v>
      </c>
      <c r="B100" s="26" t="str">
        <v>NY</v>
      </c>
      <c r="C100" s="21">
        <f>SUM(Jan!C100, Feb!C100, Mar!C100)</f>
        <v>525390</v>
      </c>
      <c r="D100" s="11">
        <f>SUM(Jan!D100, Feb!D100, Mar!D100)</f>
        <v>0</v>
      </c>
      <c r="E100" s="11">
        <f t="shared" si="9"/>
        <v>525390</v>
      </c>
      <c r="F100" s="12" t="str">
        <f t="shared" si="10"/>
        <v/>
      </c>
      <c r="G100" s="13">
        <f>SUM(Jan!G100, Feb!G100, Mar!G100)</f>
        <v>469509.12</v>
      </c>
      <c r="H100" s="13">
        <f>SUM(Jan!H100, Feb!H100, Mar!H100)</f>
        <v>55880.880000000005</v>
      </c>
      <c r="I100" s="14">
        <f t="shared" si="11"/>
        <v>0.11901979667615403</v>
      </c>
      <c r="J100" s="38"/>
      <c r="K100" s="38"/>
    </row>
    <row r="101" spans="1:11" ht="15.75">
      <c r="A101" s="27" t="str">
        <v>Cafferty Hill</v>
      </c>
      <c r="B101" s="28" t="str">
        <v>NY</v>
      </c>
      <c r="C101" s="10">
        <f>SUM(Jan!C101, Feb!C101, Mar!C101)</f>
        <v>1426883</v>
      </c>
      <c r="D101" s="15">
        <f>SUM(Jan!D101, Feb!D101, Mar!D101)</f>
        <v>0</v>
      </c>
      <c r="E101" s="15">
        <f t="shared" si="9"/>
        <v>1426883</v>
      </c>
      <c r="F101" s="16" t="str">
        <f t="shared" si="10"/>
        <v/>
      </c>
      <c r="G101" s="17">
        <f>SUM(Jan!G101, Feb!G101, Mar!G101)</f>
        <v>916860</v>
      </c>
      <c r="H101" s="17">
        <f>SUM(Jan!H101, Feb!H101, Mar!H101)</f>
        <v>510023</v>
      </c>
      <c r="I101" s="16">
        <f t="shared" si="11"/>
        <v>0.55627140457648927</v>
      </c>
      <c r="J101" s="39"/>
      <c r="K101" s="39"/>
    </row>
    <row r="102" spans="1:11" ht="15.75">
      <c r="A102" s="25" t="str">
        <v>Dunkleman</v>
      </c>
      <c r="B102" s="26" t="str">
        <v>NY</v>
      </c>
      <c r="C102" s="21">
        <f>SUM(Jan!C102, Feb!C102, Mar!C102)</f>
        <v>899081</v>
      </c>
      <c r="D102" s="11">
        <f>SUM(Jan!D102, Feb!D102, Mar!D102)</f>
        <v>0</v>
      </c>
      <c r="E102" s="11">
        <f t="shared" si="9"/>
        <v>899081</v>
      </c>
      <c r="F102" s="12" t="str">
        <f t="shared" si="10"/>
        <v/>
      </c>
      <c r="G102" s="13">
        <f>SUM(Jan!G102, Feb!G102, Mar!G102)</f>
        <v>632903</v>
      </c>
      <c r="H102" s="13">
        <f>SUM(Jan!H102, Feb!H102, Mar!H102)</f>
        <v>266178</v>
      </c>
      <c r="I102" s="14">
        <f t="shared" si="11"/>
        <v>0.42056681671598967</v>
      </c>
      <c r="J102" s="38"/>
      <c r="K102" s="38"/>
    </row>
    <row r="103" spans="1:11" ht="15.75">
      <c r="A103" s="27" t="str">
        <v>Route 19 1</v>
      </c>
      <c r="B103" s="28" t="str">
        <v>NY</v>
      </c>
      <c r="C103" s="10">
        <f>SUM(Jan!C103, Feb!C103, Mar!C103)</f>
        <v>599294</v>
      </c>
      <c r="D103" s="15">
        <f>SUM(Jan!D103, Feb!D103, Mar!D103)</f>
        <v>0</v>
      </c>
      <c r="E103" s="15">
        <f t="shared" si="9"/>
        <v>599294</v>
      </c>
      <c r="F103" s="16" t="str">
        <f t="shared" si="10"/>
        <v/>
      </c>
      <c r="G103" s="17">
        <f>SUM(Jan!G103, Feb!G103, Mar!G103)</f>
        <v>489983.11</v>
      </c>
      <c r="H103" s="17">
        <f>SUM(Jan!H103, Feb!H103, Mar!H103)</f>
        <v>109310.89000000001</v>
      </c>
      <c r="I103" s="16">
        <f t="shared" si="11"/>
        <v>0.22309113879455972</v>
      </c>
      <c r="J103" s="39"/>
      <c r="K103" s="40"/>
    </row>
    <row r="104" spans="1:11" ht="15.75">
      <c r="A104" s="25" t="str">
        <v>Route 19 2</v>
      </c>
      <c r="B104" s="26" t="str">
        <v>NY</v>
      </c>
      <c r="C104" s="21">
        <f>SUM(Jan!C104, Feb!C104, Mar!C104)</f>
        <v>1425120</v>
      </c>
      <c r="D104" s="11">
        <f>SUM(Jan!D104, Feb!D104, Mar!D104)</f>
        <v>0</v>
      </c>
      <c r="E104" s="11">
        <f t="shared" si="9"/>
        <v>1425120</v>
      </c>
      <c r="F104" s="12" t="str">
        <f t="shared" si="10"/>
        <v/>
      </c>
      <c r="G104" s="13">
        <f>SUM(Jan!G104, Feb!G104, Mar!G104)</f>
        <v>1060293</v>
      </c>
      <c r="H104" s="13">
        <f>SUM(Jan!H104, Feb!H104, Mar!H104)</f>
        <v>364827</v>
      </c>
      <c r="I104" s="14">
        <f t="shared" si="11"/>
        <v>0.34408130582772872</v>
      </c>
      <c r="J104" s="38"/>
      <c r="K104" s="38"/>
    </row>
    <row r="105" spans="1:11" ht="15.75">
      <c r="A105" s="27" t="str">
        <v>Yellow Mills 1</v>
      </c>
      <c r="B105" s="28" t="str">
        <v>NY</v>
      </c>
      <c r="C105" s="10">
        <f>SUM(Jan!C105, Feb!C105, Mar!C105)</f>
        <v>491612</v>
      </c>
      <c r="D105" s="15">
        <f>SUM(Jan!D105, Feb!D105, Mar!D105)</f>
        <v>0</v>
      </c>
      <c r="E105" s="15">
        <f t="shared" si="9"/>
        <v>491612</v>
      </c>
      <c r="F105" s="16" t="str">
        <f t="shared" si="10"/>
        <v/>
      </c>
      <c r="G105" s="17">
        <f>SUM(Jan!G105, Feb!G105, Mar!G105)</f>
        <v>0</v>
      </c>
      <c r="H105" s="17">
        <f>SUM(Jan!H105, Feb!H105, Mar!H105)</f>
        <v>491612</v>
      </c>
      <c r="I105" s="16" t="str">
        <f t="shared" si="11"/>
        <v/>
      </c>
      <c r="J105" s="39"/>
      <c r="K105" s="40"/>
    </row>
    <row r="106" spans="1:11" ht="15.75">
      <c r="A106" s="25" t="str">
        <v>Yellow Mills 2</v>
      </c>
      <c r="B106" s="26" t="str">
        <v>NY</v>
      </c>
      <c r="C106" s="21">
        <f>SUM(Jan!C106, Feb!C106, Mar!C106)</f>
        <v>470773</v>
      </c>
      <c r="D106" s="11">
        <f>SUM(Jan!D106, Feb!D106, Mar!D106)</f>
        <v>0</v>
      </c>
      <c r="E106" s="11">
        <f t="shared" si="9"/>
        <v>470773</v>
      </c>
      <c r="F106" s="12" t="str">
        <f t="shared" si="10"/>
        <v/>
      </c>
      <c r="G106" s="13">
        <f>SUM(Jan!G106, Feb!G106, Mar!G106)</f>
        <v>0</v>
      </c>
      <c r="H106" s="13">
        <f>SUM(Jan!H106, Feb!H106, Mar!H106)</f>
        <v>470773</v>
      </c>
      <c r="I106" s="14" t="str">
        <f t="shared" si="11"/>
        <v/>
      </c>
      <c r="J106" s="38"/>
      <c r="K106" s="38"/>
    </row>
    <row r="107" spans="1:11" ht="15.75">
      <c r="A107" s="27" t="str">
        <v>Yellow Mills 3</v>
      </c>
      <c r="B107" s="28" t="str">
        <v>NY</v>
      </c>
      <c r="C107" s="10">
        <f>SUM(Jan!C107, Feb!C107, Mar!C107)</f>
        <v>331379</v>
      </c>
      <c r="D107" s="15">
        <f>SUM(Jan!D107, Feb!D107, Mar!D107)</f>
        <v>0</v>
      </c>
      <c r="E107" s="15">
        <f t="shared" si="9"/>
        <v>331379</v>
      </c>
      <c r="F107" s="16" t="str">
        <f t="shared" si="10"/>
        <v/>
      </c>
      <c r="G107" s="17">
        <f>SUM(Jan!G107, Feb!G107, Mar!G107)</f>
        <v>0</v>
      </c>
      <c r="H107" s="17">
        <f>SUM(Jan!H107, Feb!H107, Mar!H107)</f>
        <v>331379</v>
      </c>
      <c r="I107" s="16" t="str">
        <f t="shared" si="11"/>
        <v/>
      </c>
      <c r="J107" s="39"/>
      <c r="K107" s="40"/>
    </row>
    <row r="108" spans="1:11" ht="15.75">
      <c r="A108" s="25" t="str">
        <v>Catskill</v>
      </c>
      <c r="B108" s="26" t="str">
        <v>NY</v>
      </c>
      <c r="C108" s="21">
        <f>SUM(Jan!C108, Feb!C108, Mar!C108)</f>
        <v>1002137</v>
      </c>
      <c r="D108" s="11">
        <f>SUM(Jan!D108, Feb!D108, Mar!D108)</f>
        <v>0</v>
      </c>
      <c r="E108" s="11">
        <f t="shared" si="9"/>
        <v>1002137</v>
      </c>
      <c r="F108" s="12" t="str">
        <f t="shared" si="10"/>
        <v/>
      </c>
      <c r="G108" s="13">
        <f>SUM(Jan!G108, Feb!G108, Mar!G108)</f>
        <v>0</v>
      </c>
      <c r="H108" s="13">
        <f>SUM(Jan!H108, Feb!H108, Mar!H108)</f>
        <v>1002137</v>
      </c>
      <c r="I108" s="14" t="str">
        <f t="shared" si="11"/>
        <v/>
      </c>
      <c r="J108" s="38"/>
      <c r="K108" s="38"/>
    </row>
    <row r="109" spans="1:11" ht="15.75">
      <c r="A109" s="27" t="str">
        <v>Eddy Ridge</v>
      </c>
      <c r="B109" s="28" t="str">
        <v>NY</v>
      </c>
      <c r="C109" s="10">
        <f>SUM(Jan!C109, Feb!C109, Mar!C109)</f>
        <v>769772.39999999991</v>
      </c>
      <c r="D109" s="15">
        <f>SUM(Jan!D109, Feb!D109, Mar!D109)</f>
        <v>0</v>
      </c>
      <c r="E109" s="15">
        <f t="shared" si="9"/>
        <v>769772.39999999991</v>
      </c>
      <c r="F109" s="16" t="str">
        <f t="shared" si="10"/>
        <v/>
      </c>
      <c r="G109" s="17">
        <f>SUM(Jan!G109, Feb!G109, Mar!G109)</f>
        <v>0</v>
      </c>
      <c r="H109" s="17">
        <f>SUM(Jan!H109, Feb!H109, Mar!H109)</f>
        <v>769772.39999999991</v>
      </c>
      <c r="I109" s="16" t="str">
        <f t="shared" si="11"/>
        <v/>
      </c>
      <c r="J109" s="39"/>
      <c r="K109" s="40"/>
    </row>
    <row r="110" spans="1:11" ht="15.75">
      <c r="A110" s="25" t="str">
        <v>Ridgeway #1</v>
      </c>
      <c r="B110" s="26" t="str">
        <v>NY</v>
      </c>
      <c r="C110" s="21">
        <f>SUM(Jan!C110, Feb!C110, Mar!C110)</f>
        <v>1270162.99</v>
      </c>
      <c r="D110" s="11">
        <f>SUM(Jan!D110, Feb!D110, Mar!D110)</f>
        <v>0</v>
      </c>
      <c r="E110" s="11">
        <f t="shared" si="9"/>
        <v>1270162.99</v>
      </c>
      <c r="F110" s="12" t="str">
        <f t="shared" si="10"/>
        <v/>
      </c>
      <c r="G110" s="13">
        <f>SUM(Jan!G110, Feb!G110, Mar!G110)</f>
        <v>0</v>
      </c>
      <c r="H110" s="13">
        <f>SUM(Jan!H110, Feb!H110, Mar!H110)</f>
        <v>1270162.99</v>
      </c>
      <c r="I110" s="14" t="str">
        <f t="shared" si="11"/>
        <v/>
      </c>
      <c r="J110" s="38"/>
      <c r="K110" s="38"/>
    </row>
    <row r="111" spans="1:11" ht="15.75">
      <c r="A111" s="27" t="str">
        <v>Rivard 1</v>
      </c>
      <c r="B111" s="28" t="str">
        <v>NY</v>
      </c>
      <c r="C111" s="10">
        <f>SUM(Jan!C111, Feb!C111, Mar!C111)</f>
        <v>941588.15577889397</v>
      </c>
      <c r="D111" s="15">
        <f>SUM(Jan!D111, Feb!D111, Mar!D111)</f>
        <v>1249640.1000000001</v>
      </c>
      <c r="E111" s="15">
        <f t="shared" si="9"/>
        <v>-308051.94422110613</v>
      </c>
      <c r="F111" s="16">
        <f t="shared" si="10"/>
        <v>-0.24651253126488668</v>
      </c>
      <c r="G111" s="17">
        <f>SUM(Jan!G111, Feb!G111, Mar!G111)</f>
        <v>1376850.1</v>
      </c>
      <c r="H111" s="17">
        <f>SUM(Jan!H111, Feb!H111, Mar!H111)</f>
        <v>-435261.94422110595</v>
      </c>
      <c r="I111" s="16">
        <f t="shared" si="11"/>
        <v>-0.31612878135470662</v>
      </c>
      <c r="J111" s="39"/>
      <c r="K111" s="40"/>
    </row>
    <row r="112" spans="1:11" ht="15.75">
      <c r="A112" s="25" t="str">
        <v>Rivard 2</v>
      </c>
      <c r="B112" s="26" t="str">
        <v>NY</v>
      </c>
      <c r="C112" s="21">
        <f>SUM(Jan!C112, Feb!C112, Mar!C112)</f>
        <v>959263.48258706462</v>
      </c>
      <c r="D112" s="11">
        <f>SUM(Jan!D112, Feb!D112, Mar!D112)</f>
        <v>985279.19</v>
      </c>
      <c r="E112" s="11">
        <f t="shared" si="9"/>
        <v>-26015.707412935328</v>
      </c>
      <c r="F112" s="12">
        <f t="shared" si="10"/>
        <v>-2.6404401591933885E-2</v>
      </c>
      <c r="G112" s="13">
        <f>SUM(Jan!G112, Feb!G112, Mar!G112)</f>
        <v>1320455.3</v>
      </c>
      <c r="H112" s="13">
        <f>SUM(Jan!H112, Feb!H112, Mar!H112)</f>
        <v>-361191.81741293531</v>
      </c>
      <c r="I112" s="14">
        <f t="shared" si="11"/>
        <v>-0.27353581557280682</v>
      </c>
      <c r="J112" s="38"/>
      <c r="K112" s="38"/>
    </row>
    <row r="113" spans="1:11" ht="15.75">
      <c r="A113" s="27" t="str">
        <v>Essex</v>
      </c>
      <c r="B113" s="28" t="str">
        <v>DC</v>
      </c>
      <c r="C113" s="10">
        <f>SUM(Jan!C113, Feb!C113, Mar!C113)</f>
        <v>6245</v>
      </c>
      <c r="D113" s="15">
        <f>SUM(Jan!D113, Feb!D113, Mar!D113)</f>
        <v>8634.9429999999993</v>
      </c>
      <c r="E113" s="15">
        <f t="shared" si="9"/>
        <v>-2389.9429999999993</v>
      </c>
      <c r="F113" s="16">
        <f t="shared" si="10"/>
        <v>-0.27677577026275674</v>
      </c>
      <c r="G113" s="17">
        <f>SUM(Jan!G113, Feb!G113, Mar!G113)</f>
        <v>8848.01</v>
      </c>
      <c r="H113" s="17">
        <f>SUM(Jan!H113, Feb!H113, Mar!H113)</f>
        <v>-2603.0100000000002</v>
      </c>
      <c r="I113" s="16">
        <f t="shared" si="11"/>
        <v>-0.29419157528076939</v>
      </c>
      <c r="J113" s="39"/>
      <c r="K113" s="39"/>
    </row>
    <row r="114" spans="1:11" ht="15.75">
      <c r="A114" s="25" t="str">
        <v>Temple Sinai</v>
      </c>
      <c r="B114" s="26" t="str">
        <v>DC</v>
      </c>
      <c r="C114" s="21">
        <f>SUM(Jan!C114, Feb!C114, Mar!C114)</f>
        <v>17354.939999999937</v>
      </c>
      <c r="D114" s="11">
        <f>SUM(Jan!D114, Feb!D114, Mar!D114)</f>
        <v>24595.676999999996</v>
      </c>
      <c r="E114" s="11">
        <f t="shared" si="9"/>
        <v>-7240.7370000000592</v>
      </c>
      <c r="F114" s="12">
        <f t="shared" si="10"/>
        <v>-0.29439063620814587</v>
      </c>
      <c r="G114" s="13">
        <f>SUM(Jan!G114, Feb!G114, Mar!G114)</f>
        <v>21407.258999999998</v>
      </c>
      <c r="H114" s="13">
        <f>SUM(Jan!H114, Feb!H114, Mar!H114)</f>
        <v>-4052.3190000000614</v>
      </c>
      <c r="I114" s="14">
        <f t="shared" si="11"/>
        <v>-0.18929649050352787</v>
      </c>
      <c r="J114" s="38"/>
      <c r="K114" s="38"/>
    </row>
    <row r="115" spans="1:11" ht="15.75">
      <c r="A115" s="27" t="str">
        <v>Weinberg 1</v>
      </c>
      <c r="B115" s="28" t="str">
        <v>DC</v>
      </c>
      <c r="C115" s="10">
        <f>SUM(Jan!C115, Feb!C115, Mar!C115)</f>
        <v>2696</v>
      </c>
      <c r="D115" s="15">
        <f>SUM(Jan!D115, Feb!D115, Mar!D115)</f>
        <v>2967.9681</v>
      </c>
      <c r="E115" s="15">
        <f t="shared" si="9"/>
        <v>-271.96810000000005</v>
      </c>
      <c r="F115" s="16">
        <f t="shared" si="10"/>
        <v>-9.1634441758319446E-2</v>
      </c>
      <c r="G115" s="17">
        <f>SUM(Jan!G115, Feb!G115, Mar!G115)</f>
        <v>3280.6661000000004</v>
      </c>
      <c r="H115" s="17">
        <f>SUM(Jan!H115, Feb!H115, Mar!H115)</f>
        <v>-584.66610000000003</v>
      </c>
      <c r="I115" s="16">
        <f t="shared" si="11"/>
        <v>-0.17821566784867254</v>
      </c>
      <c r="J115" s="39"/>
      <c r="K115" s="40"/>
    </row>
    <row r="116" spans="1:11" ht="15.75">
      <c r="A116" s="25" t="str">
        <v>Weinberg 2</v>
      </c>
      <c r="B116" s="26" t="str">
        <v>DC</v>
      </c>
      <c r="C116" s="21">
        <f>SUM(Jan!C116, Feb!C116, Mar!C116)</f>
        <v>2697</v>
      </c>
      <c r="D116" s="11">
        <f>SUM(Jan!D116, Feb!D116, Mar!D116)</f>
        <v>2846.9925000000003</v>
      </c>
      <c r="E116" s="11">
        <f t="shared" si="9"/>
        <v>-149.99250000000029</v>
      </c>
      <c r="F116" s="12">
        <f t="shared" si="10"/>
        <v>-5.2684543426089206E-2</v>
      </c>
      <c r="G116" s="13">
        <f>SUM(Jan!G116, Feb!G116, Mar!G116)</f>
        <v>3415.7696999999998</v>
      </c>
      <c r="H116" s="13">
        <f>SUM(Jan!H116, Feb!H116, Mar!H116)</f>
        <v>-718.76970000000006</v>
      </c>
      <c r="I116" s="14">
        <f t="shared" si="11"/>
        <v>-0.21042686220912379</v>
      </c>
      <c r="J116" s="38"/>
      <c r="K116" s="38"/>
    </row>
    <row r="117" spans="1:11" ht="15.75">
      <c r="A117" s="27" t="str">
        <v>Weinberg 3</v>
      </c>
      <c r="B117" s="28" t="str">
        <v>DC</v>
      </c>
      <c r="C117" s="10">
        <f>SUM(Jan!C117, Feb!C117, Mar!C117)</f>
        <v>3146</v>
      </c>
      <c r="D117" s="15">
        <f>SUM(Jan!D117, Feb!D117, Mar!D117)</f>
        <v>2951.1472999999996</v>
      </c>
      <c r="E117" s="15">
        <f t="shared" si="9"/>
        <v>194.85270000000037</v>
      </c>
      <c r="F117" s="16">
        <f t="shared" si="10"/>
        <v>6.6026084160556942E-2</v>
      </c>
      <c r="G117" s="17">
        <f>SUM(Jan!G117, Feb!G117, Mar!G117)</f>
        <v>3540</v>
      </c>
      <c r="H117" s="17">
        <f>SUM(Jan!H117, Feb!H117, Mar!H117)</f>
        <v>-394</v>
      </c>
      <c r="I117" s="16">
        <f t="shared" si="11"/>
        <v>-0.11129943502824859</v>
      </c>
      <c r="J117" s="39"/>
      <c r="K117" s="40"/>
    </row>
    <row r="118" spans="1:11" ht="15.75">
      <c r="A118" s="25" t="str">
        <v>Clayton Hall</v>
      </c>
      <c r="B118" s="26" t="str">
        <v>DE</v>
      </c>
      <c r="C118" s="21">
        <f>SUM(Jan!C118, Feb!C118, Mar!C118)</f>
        <v>25105</v>
      </c>
      <c r="D118" s="11">
        <f>SUM(Jan!D118, Feb!D118, Mar!D118)</f>
        <v>36553.423999999999</v>
      </c>
      <c r="E118" s="11">
        <f t="shared" si="9"/>
        <v>-11448.423999999999</v>
      </c>
      <c r="F118" s="12">
        <f t="shared" si="10"/>
        <v>-0.3131970345650793</v>
      </c>
      <c r="G118" s="13">
        <f>SUM(Jan!G118, Feb!G118, Mar!G118)</f>
        <v>10039.31</v>
      </c>
      <c r="H118" s="13">
        <f>SUM(Jan!H118, Feb!H118, Mar!H118)</f>
        <v>15065.69</v>
      </c>
      <c r="I118" s="14">
        <f t="shared" si="11"/>
        <v>1.500669866753791</v>
      </c>
      <c r="J118" s="38"/>
      <c r="K118" s="38"/>
    </row>
    <row r="119" spans="1:11" ht="15.75">
      <c r="A119" s="27" t="str">
        <v>Field House</v>
      </c>
      <c r="B119" s="28" t="str">
        <v>DE</v>
      </c>
      <c r="C119" s="10">
        <f>SUM(Jan!C119, Feb!C119, Mar!C119)</f>
        <v>106485</v>
      </c>
      <c r="D119" s="15">
        <f>SUM(Jan!D119, Feb!D119, Mar!D119)</f>
        <v>0</v>
      </c>
      <c r="E119" s="15">
        <f t="shared" si="9"/>
        <v>106485</v>
      </c>
      <c r="F119" s="16" t="str">
        <f t="shared" si="10"/>
        <v/>
      </c>
      <c r="G119" s="17">
        <f>SUM(Jan!G119, Feb!G119, Mar!G119)</f>
        <v>107061.084</v>
      </c>
      <c r="H119" s="17">
        <f>SUM(Jan!H119, Feb!H119, Mar!H119)</f>
        <v>-576.08400000000256</v>
      </c>
      <c r="I119" s="16">
        <f t="shared" si="11"/>
        <v>-5.3808907819390519E-3</v>
      </c>
      <c r="J119" s="39"/>
      <c r="K119" s="40"/>
    </row>
    <row r="120" spans="1:11" ht="15.75">
      <c r="A120" s="25" t="str">
        <v>Wyoming Road</v>
      </c>
      <c r="B120" s="26" t="str">
        <v>DE</v>
      </c>
      <c r="C120" s="21">
        <f>SUM(Jan!C120, Feb!C120, Mar!C120)</f>
        <v>56880</v>
      </c>
      <c r="D120" s="11">
        <f>SUM(Jan!D120, Feb!D120, Mar!D120)</f>
        <v>58303.716</v>
      </c>
      <c r="E120" s="11">
        <f t="shared" si="9"/>
        <v>-1423.7160000000003</v>
      </c>
      <c r="F120" s="12">
        <f t="shared" si="10"/>
        <v>-2.4418958132960175E-2</v>
      </c>
      <c r="G120" s="13">
        <f>SUM(Jan!G120, Feb!G120, Mar!G120)</f>
        <v>69238.645000000004</v>
      </c>
      <c r="H120" s="13">
        <f>SUM(Jan!H120, Feb!H120, Mar!H120)</f>
        <v>-12358.645</v>
      </c>
      <c r="I120" s="14">
        <f t="shared" si="11"/>
        <v>-0.17849345549728768</v>
      </c>
      <c r="J120" s="38"/>
      <c r="K120" s="38"/>
    </row>
    <row r="121" spans="1:11" ht="15.75">
      <c r="A121" s="27" t="str">
        <v>Leoku</v>
      </c>
      <c r="B121" s="28" t="str">
        <v>HI</v>
      </c>
      <c r="C121" s="10">
        <f>SUM(Jan!C121, Feb!C121, Mar!C121)</f>
        <v>29758</v>
      </c>
      <c r="D121" s="15">
        <f>SUM(Jan!D121, Feb!D121, Mar!D121)</f>
        <v>28633.201000000001</v>
      </c>
      <c r="E121" s="15">
        <f t="shared" si="9"/>
        <v>1124.7989999999991</v>
      </c>
      <c r="F121" s="16">
        <f t="shared" si="10"/>
        <v>3.9283033706220938E-2</v>
      </c>
      <c r="G121" s="17">
        <f>SUM(Jan!G121, Feb!G121, Mar!G121)</f>
        <v>33916.923000000003</v>
      </c>
      <c r="H121" s="17">
        <f>SUM(Jan!H121, Feb!H121, Mar!H121)</f>
        <v>-4158.9230000000007</v>
      </c>
      <c r="I121" s="16">
        <f t="shared" si="11"/>
        <v>-0.12262088161712076</v>
      </c>
      <c r="J121" s="39"/>
      <c r="K121" s="40"/>
    </row>
    <row r="122" spans="1:11" ht="15.75">
      <c r="A122" s="25" t="str">
        <v>Waipahu</v>
      </c>
      <c r="B122" s="26" t="str">
        <v>HI</v>
      </c>
      <c r="C122" s="21">
        <f>SUM(Jan!C122, Feb!C122, Mar!C122)</f>
        <v>30605</v>
      </c>
      <c r="D122" s="11">
        <f>SUM(Jan!D122, Feb!D122, Mar!D122)</f>
        <v>27019.078000000001</v>
      </c>
      <c r="E122" s="11">
        <f t="shared" si="9"/>
        <v>3585.9219999999987</v>
      </c>
      <c r="F122" s="12">
        <f t="shared" si="10"/>
        <v>0.13271814826545889</v>
      </c>
      <c r="G122" s="13">
        <f>SUM(Jan!G122, Feb!G122, Mar!G122)</f>
        <v>33916.923000000003</v>
      </c>
      <c r="H122" s="13">
        <f>SUM(Jan!H122, Feb!H122, Mar!H122)</f>
        <v>-3311.9230000000007</v>
      </c>
      <c r="I122" s="14">
        <f t="shared" si="11"/>
        <v>-9.7648097381947074E-2</v>
      </c>
      <c r="J122" s="38"/>
      <c r="K122" s="38"/>
    </row>
    <row r="123" spans="1:11" ht="15.75">
      <c r="A123" s="27" t="str">
        <v>Bird in Hand</v>
      </c>
      <c r="B123" s="28" t="str">
        <v>MD</v>
      </c>
      <c r="C123" s="10">
        <f>SUM(Jan!C123, Feb!C123, Mar!C123)</f>
        <v>380425</v>
      </c>
      <c r="D123" s="15">
        <f>SUM(Jan!D123, Feb!D123, Mar!D123)</f>
        <v>393526.28</v>
      </c>
      <c r="E123" s="15">
        <f t="shared" si="9"/>
        <v>-13101.280000000028</v>
      </c>
      <c r="F123" s="16">
        <f t="shared" si="10"/>
        <v>-3.329200784252586E-2</v>
      </c>
      <c r="G123" s="17">
        <f>SUM(Jan!G123, Feb!G123, Mar!G123)</f>
        <v>417619</v>
      </c>
      <c r="H123" s="17">
        <f>SUM(Jan!H123, Feb!H123, Mar!H123)</f>
        <v>-37193.999999999985</v>
      </c>
      <c r="I123" s="16">
        <f t="shared" si="11"/>
        <v>-8.9062039801828904E-2</v>
      </c>
      <c r="J123" s="39"/>
      <c r="K123" s="40"/>
    </row>
    <row r="124" spans="1:11" ht="15.75">
      <c r="A124" s="25" t="str">
        <v>Shortal</v>
      </c>
      <c r="B124" s="26" t="str">
        <v>MD</v>
      </c>
      <c r="C124" s="21">
        <f>SUM(Jan!C124, Feb!C124, Mar!C124)</f>
        <v>397546</v>
      </c>
      <c r="D124" s="11">
        <f>SUM(Jan!D124, Feb!D124, Mar!D124)</f>
        <v>307184.92</v>
      </c>
      <c r="E124" s="11">
        <f t="shared" si="9"/>
        <v>90361.080000000016</v>
      </c>
      <c r="F124" s="12">
        <f t="shared" si="10"/>
        <v>0.29415858044073262</v>
      </c>
      <c r="G124" s="13">
        <f>SUM(Jan!G124, Feb!G124, Mar!G124)</f>
        <v>23223.040000000001</v>
      </c>
      <c r="H124" s="13">
        <f>SUM(Jan!H124, Feb!H124, Mar!H124)</f>
        <v>374322.95999999996</v>
      </c>
      <c r="I124" s="14">
        <f t="shared" si="11"/>
        <v>16.118602904701536</v>
      </c>
      <c r="J124" s="38"/>
      <c r="K124" s="38"/>
    </row>
    <row r="125" spans="1:11" ht="15.75">
      <c r="A125" s="27" t="str">
        <v>Aguadilla</v>
      </c>
      <c r="B125" s="28" t="str">
        <v>PR</v>
      </c>
      <c r="C125" s="10">
        <f>SUM(Jan!C125, Feb!C125, Mar!C125)</f>
        <v>53615</v>
      </c>
      <c r="D125" s="15">
        <f>SUM(Jan!D125, Feb!D125, Mar!D125)</f>
        <v>49146.22</v>
      </c>
      <c r="E125" s="15">
        <f t="shared" si="9"/>
        <v>4468.7799999999988</v>
      </c>
      <c r="F125" s="16">
        <f t="shared" si="10"/>
        <v>9.0928254502584308E-2</v>
      </c>
      <c r="G125" s="17">
        <f>SUM(Jan!G125, Feb!G125, Mar!G125)</f>
        <v>58462</v>
      </c>
      <c r="H125" s="17">
        <f>SUM(Jan!H125, Feb!H125, Mar!H125)</f>
        <v>-4847</v>
      </c>
      <c r="I125" s="16">
        <f t="shared" si="11"/>
        <v>-8.2908555985084328E-2</v>
      </c>
      <c r="J125" s="39"/>
      <c r="K125" s="39"/>
    </row>
    <row r="126" spans="1:11" ht="15.75">
      <c r="A126" s="25" t="str">
        <v>Bayamon</v>
      </c>
      <c r="B126" s="26" t="str">
        <v>PR</v>
      </c>
      <c r="C126" s="21">
        <f>SUM(Jan!C126, Feb!C126, Mar!C126)</f>
        <v>170812</v>
      </c>
      <c r="D126" s="11">
        <f>SUM(Jan!D126, Feb!D126, Mar!D126)</f>
        <v>197474.13</v>
      </c>
      <c r="E126" s="11">
        <f t="shared" si="9"/>
        <v>-26662.130000000005</v>
      </c>
      <c r="F126" s="12">
        <f t="shared" si="10"/>
        <v>-0.13501581194458234</v>
      </c>
      <c r="G126" s="13">
        <f>SUM(Jan!G126, Feb!G126, Mar!G126)</f>
        <v>0</v>
      </c>
      <c r="H126" s="13">
        <f>SUM(Jan!H126, Feb!H126, Mar!H126)</f>
        <v>170812</v>
      </c>
      <c r="I126" s="14" t="str">
        <f t="shared" si="11"/>
        <v/>
      </c>
      <c r="J126" s="38"/>
      <c r="K126" s="38"/>
    </row>
    <row r="127" spans="1:11" ht="15.75">
      <c r="A127" s="27" t="str">
        <v>St Francis</v>
      </c>
      <c r="B127" s="28" t="str">
        <v>PR</v>
      </c>
      <c r="C127" s="10">
        <f>SUM(Jan!C127, Feb!C127, Mar!C127)</f>
        <v>47781.119999999901</v>
      </c>
      <c r="D127" s="15">
        <f>SUM(Jan!D127, Feb!D127, Mar!D127)</f>
        <v>123066.12</v>
      </c>
      <c r="E127" s="15">
        <f t="shared" si="9"/>
        <v>-75285.000000000087</v>
      </c>
      <c r="F127" s="16">
        <f t="shared" si="10"/>
        <v>-0.61174432085776398</v>
      </c>
      <c r="G127" s="17">
        <f>SUM(Jan!G127, Feb!G127, Mar!G127)</f>
        <v>78976</v>
      </c>
      <c r="H127" s="17">
        <f>SUM(Jan!H127, Feb!H127, Mar!H127)</f>
        <v>-31194.880000000099</v>
      </c>
      <c r="I127" s="16">
        <f t="shared" si="11"/>
        <v>-0.39499189627228648</v>
      </c>
      <c r="J127" s="39"/>
      <c r="K127" s="40"/>
    </row>
    <row r="128" spans="1:11" ht="15.75">
      <c r="A128" s="25" t="str">
        <v>Seaport</v>
      </c>
      <c r="B128" s="26" t="str">
        <v>MA</v>
      </c>
      <c r="C128" s="21">
        <f>SUM(Jan!C128, Feb!C128, Mar!C128)</f>
        <v>111279.5</v>
      </c>
      <c r="D128" s="11">
        <f>SUM(Jan!D128, Feb!D128, Mar!D128)</f>
        <v>101768.45000000001</v>
      </c>
      <c r="E128" s="11">
        <f t="shared" si="9"/>
        <v>9511.0499999999884</v>
      </c>
      <c r="F128" s="12">
        <f t="shared" si="10"/>
        <v>9.3457746482333057E-2</v>
      </c>
      <c r="G128" s="13">
        <f>SUM(Jan!G128, Feb!G128, Mar!G128)</f>
        <v>115470.66</v>
      </c>
      <c r="H128" s="13">
        <f>SUM(Jan!H128, Feb!H128, Mar!H128)</f>
        <v>-4191.1599999999962</v>
      </c>
      <c r="I128" s="14">
        <f t="shared" si="11"/>
        <v>-3.6296319775083956E-2</v>
      </c>
      <c r="J128" s="38"/>
      <c r="K128" s="38"/>
    </row>
    <row r="129" spans="1:11" ht="15.75">
      <c r="A129" s="27" t="str">
        <v>Sprague St</v>
      </c>
      <c r="B129" s="28" t="str">
        <v>MA</v>
      </c>
      <c r="C129" s="10">
        <f>SUM(Jan!C129, Feb!C129, Mar!C129)</f>
        <v>247636</v>
      </c>
      <c r="D129" s="15">
        <f>SUM(Jan!D129, Feb!D129, Mar!D129)</f>
        <v>262632.73800000001</v>
      </c>
      <c r="E129" s="15">
        <f t="shared" si="9"/>
        <v>-14996.738000000012</v>
      </c>
      <c r="F129" s="16">
        <f t="shared" si="10"/>
        <v>-5.7101556013934608E-2</v>
      </c>
      <c r="G129" s="17">
        <f>SUM(Jan!G129, Feb!G129, Mar!G129)</f>
        <v>242031.261</v>
      </c>
      <c r="H129" s="17">
        <f>SUM(Jan!H129, Feb!H129, Mar!H129)</f>
        <v>5604.7390000000087</v>
      </c>
      <c r="I129" s="16">
        <f t="shared" si="11"/>
        <v>2.3157087133467476E-2</v>
      </c>
      <c r="J129" s="39"/>
      <c r="K129" s="40"/>
    </row>
    <row r="130" spans="1:11" ht="15.75">
      <c r="A130" s="25" t="str">
        <v>Summer St</v>
      </c>
      <c r="B130" s="26" t="str">
        <v>MA</v>
      </c>
      <c r="C130" s="21">
        <f>SUM(Jan!C130, Feb!C130, Mar!C130)</f>
        <v>529870</v>
      </c>
      <c r="D130" s="11">
        <f>SUM(Jan!D130, Feb!D130, Mar!D130)</f>
        <v>557299.4</v>
      </c>
      <c r="E130" s="11">
        <f t="shared" si="9"/>
        <v>-27429.400000000023</v>
      </c>
      <c r="F130" s="12">
        <f t="shared" si="10"/>
        <v>-4.9218427294197738E-2</v>
      </c>
      <c r="G130" s="13">
        <f>SUM(Jan!G130, Feb!G130, Mar!G130)</f>
        <v>568013.5</v>
      </c>
      <c r="H130" s="13">
        <f>SUM(Jan!H130, Feb!H130, Mar!H130)</f>
        <v>-38143.5</v>
      </c>
      <c r="I130" s="14">
        <f t="shared" si="11"/>
        <v>-6.7152453242748628E-2</v>
      </c>
      <c r="J130" s="38"/>
      <c r="K130" s="38"/>
    </row>
    <row r="131" spans="1:11" ht="15.75">
      <c r="A131" s="27" t="str">
        <v>Brock St Vocational</v>
      </c>
      <c r="B131" s="28" t="str">
        <v>NH</v>
      </c>
      <c r="C131" s="10">
        <f>SUM(Jan!C131, Feb!C131, Mar!C131)</f>
        <v>19595.816968769897</v>
      </c>
      <c r="D131" s="15">
        <f>SUM(Jan!D131, Feb!D131, Mar!D131)</f>
        <v>25198.262000000002</v>
      </c>
      <c r="E131" s="15">
        <f t="shared" si="9"/>
        <v>-5602.4450312301051</v>
      </c>
      <c r="F131" s="16">
        <f t="shared" si="10"/>
        <v>-0.22233458129890485</v>
      </c>
      <c r="G131" s="17">
        <f>SUM(Jan!G131, Feb!G131, Mar!G131)</f>
        <v>23232.199999999997</v>
      </c>
      <c r="H131" s="17">
        <f>SUM(Jan!H131, Feb!H131, Mar!H131)</f>
        <v>-3636.3830312301011</v>
      </c>
      <c r="I131" s="16">
        <f t="shared" si="11"/>
        <v>-0.1565234042075267</v>
      </c>
      <c r="J131" s="39"/>
      <c r="K131" s="40"/>
    </row>
    <row r="132" spans="1:11" ht="15.75">
      <c r="A132" s="25" t="str">
        <v>McClelland ES</v>
      </c>
      <c r="B132" s="26" t="str">
        <v>NH</v>
      </c>
      <c r="C132" s="21">
        <f>SUM(Jan!C132, Feb!C132, Mar!C132)</f>
        <v>15729.00031033286</v>
      </c>
      <c r="D132" s="11">
        <f>SUM(Jan!D132, Feb!D132, Mar!D132)</f>
        <v>25624.478999999999</v>
      </c>
      <c r="E132" s="11">
        <f t="shared" si="9"/>
        <v>-9895.4786896671394</v>
      </c>
      <c r="F132" s="12">
        <f t="shared" si="10"/>
        <v>-0.38617287358963043</v>
      </c>
      <c r="G132" s="13">
        <f>SUM(Jan!G132, Feb!G132, Mar!G132)</f>
        <v>17369.260000000002</v>
      </c>
      <c r="H132" s="13">
        <f>SUM(Jan!H132, Feb!H132, Mar!H132)</f>
        <v>-1640.2596896671405</v>
      </c>
      <c r="I132" s="14">
        <f t="shared" si="11"/>
        <v>-9.4434632774634056E-2</v>
      </c>
      <c r="J132" s="38"/>
      <c r="K132" s="38"/>
    </row>
    <row r="133" spans="1:11" ht="15.75">
      <c r="A133" s="27" t="str">
        <v>Portland St</v>
      </c>
      <c r="B133" s="28" t="str">
        <v>NH</v>
      </c>
      <c r="C133" s="10">
        <f>SUM(Jan!C133, Feb!C133, Mar!C133)</f>
        <v>12428.221</v>
      </c>
      <c r="D133" s="15">
        <f>SUM(Jan!D133, Feb!D133, Mar!D133)</f>
        <v>13688.41</v>
      </c>
      <c r="E133" s="15">
        <f t="shared" si="9"/>
        <v>-1260.1890000000003</v>
      </c>
      <c r="F133" s="16">
        <f t="shared" si="10"/>
        <v>-9.2062482055987535E-2</v>
      </c>
      <c r="G133" s="17">
        <f>SUM(Jan!G133, Feb!G133, Mar!G133)</f>
        <v>17765.41</v>
      </c>
      <c r="H133" s="17">
        <f>SUM(Jan!H133, Feb!H133, Mar!H133)</f>
        <v>-5337.1890000000003</v>
      </c>
      <c r="I133" s="16">
        <f t="shared" si="11"/>
        <v>-0.30042588378202362</v>
      </c>
      <c r="J133" s="39"/>
      <c r="K133" s="40"/>
    </row>
    <row r="134" spans="1:11" ht="15.75">
      <c r="A134" s="25" t="str">
        <v>Portsmouth HS</v>
      </c>
      <c r="B134" s="26" t="str">
        <v>NH</v>
      </c>
      <c r="C134" s="21">
        <f>SUM(Jan!C134, Feb!C134, Mar!C134)</f>
        <v>56740.25</v>
      </c>
      <c r="D134" s="11">
        <f>SUM(Jan!D134, Feb!D134, Mar!D134)</f>
        <v>62020.486999999994</v>
      </c>
      <c r="E134" s="11">
        <f t="shared" si="9"/>
        <v>-5280.2369999999937</v>
      </c>
      <c r="F134" s="12">
        <f t="shared" si="10"/>
        <v>-8.5136980623837968E-2</v>
      </c>
      <c r="G134" s="13">
        <f>SUM(Jan!G134, Feb!G134, Mar!G134)</f>
        <v>31508.546000000002</v>
      </c>
      <c r="H134" s="13">
        <f>SUM(Jan!H134, Feb!H134, Mar!H134)</f>
        <v>25231.703999999998</v>
      </c>
      <c r="I134" s="14">
        <f t="shared" si="11"/>
        <v>0.80078922080377801</v>
      </c>
      <c r="J134" s="38"/>
      <c r="K134" s="38"/>
    </row>
    <row r="135" spans="1:11" ht="15.75">
      <c r="A135" s="27" t="str">
        <v>Portsmouth WTP</v>
      </c>
      <c r="B135" s="28" t="str">
        <v>NH</v>
      </c>
      <c r="C135" s="10">
        <f>SUM(Jan!C135, Feb!C135, Mar!C135)</f>
        <v>60077.75</v>
      </c>
      <c r="D135" s="15">
        <f>SUM(Jan!D135, Feb!D135, Mar!D135)</f>
        <v>73421.509999999995</v>
      </c>
      <c r="E135" s="15">
        <f t="shared" si="9"/>
        <v>-13343.759999999995</v>
      </c>
      <c r="F135" s="16">
        <f t="shared" si="10"/>
        <v>-0.18174183560103838</v>
      </c>
      <c r="G135" s="17">
        <f>SUM(Jan!G135, Feb!G135, Mar!G135)</f>
        <v>64735.020000000004</v>
      </c>
      <c r="H135" s="17">
        <f>SUM(Jan!H135, Feb!H135, Mar!H135)</f>
        <v>-4657.2700000000004</v>
      </c>
      <c r="I135" s="16">
        <f t="shared" si="11"/>
        <v>-7.1943594054655433E-2</v>
      </c>
      <c r="J135" s="39"/>
      <c r="K135" s="40"/>
    </row>
    <row r="136" spans="1:11" ht="15.75">
      <c r="A136" s="25" t="str">
        <v>Rochester St</v>
      </c>
      <c r="B136" s="26" t="str">
        <v>NH</v>
      </c>
      <c r="C136" s="21">
        <f>SUM(Jan!C136, Feb!C136, Mar!C136)</f>
        <v>49282.502999999997</v>
      </c>
      <c r="D136" s="11">
        <f>SUM(Jan!D136, Feb!D136, Mar!D136)</f>
        <v>73398.569000000003</v>
      </c>
      <c r="E136" s="11">
        <f t="shared" si="9"/>
        <v>-24116.066000000006</v>
      </c>
      <c r="F136" s="12">
        <f t="shared" si="10"/>
        <v>-0.32856316313196793</v>
      </c>
      <c r="G136" s="13">
        <f>SUM(Jan!G136, Feb!G136, Mar!G136)</f>
        <v>54830.673999999999</v>
      </c>
      <c r="H136" s="13">
        <f>SUM(Jan!H136, Feb!H136, Mar!H136)</f>
        <v>-5548.1709999999985</v>
      </c>
      <c r="I136" s="14">
        <f t="shared" si="11"/>
        <v>-0.10118735728107224</v>
      </c>
      <c r="J136" s="38"/>
      <c r="K136" s="38"/>
    </row>
    <row r="137" spans="1:11" ht="15.75">
      <c r="A137" s="27" t="str">
        <v>Spaulding HS</v>
      </c>
      <c r="B137" s="28" t="str">
        <v>NH</v>
      </c>
      <c r="C137" s="10">
        <f>SUM(Jan!C137, Feb!C137, Mar!C137)</f>
        <v>23504.9412206099</v>
      </c>
      <c r="D137" s="15">
        <f>SUM(Jan!D137, Feb!D137, Mar!D137)</f>
        <v>31063.828000000001</v>
      </c>
      <c r="E137" s="15">
        <f t="shared" si="9"/>
        <v>-7558.8867793901009</v>
      </c>
      <c r="F137" s="16">
        <f t="shared" si="10"/>
        <v>-0.24333404045985899</v>
      </c>
      <c r="G137" s="17">
        <f>SUM(Jan!G137, Feb!G137, Mar!G137)</f>
        <v>26381.794999999998</v>
      </c>
      <c r="H137" s="17">
        <f>SUM(Jan!H137, Feb!H137, Mar!H137)</f>
        <v>-2876.8537793900991</v>
      </c>
      <c r="I137" s="16">
        <f t="shared" si="11"/>
        <v>-0.10904693101398519</v>
      </c>
      <c r="J137" s="39"/>
      <c r="K137" s="40"/>
    </row>
    <row r="138" spans="1:11" ht="15.75">
      <c r="A138" s="25" t="str">
        <v>Ridgeway #2</v>
      </c>
      <c r="B138" s="26" t="str">
        <v>NY</v>
      </c>
      <c r="C138" s="10">
        <f>SUM(Jan!C138, Feb!C138, Mar!C138)</f>
        <v>330777</v>
      </c>
      <c r="D138" s="15">
        <f>SUM(Jan!D138, Feb!D138, Mar!D138)</f>
        <v>0</v>
      </c>
      <c r="E138" s="15">
        <f t="shared" si="9"/>
        <v>330777</v>
      </c>
      <c r="F138" s="16" t="str">
        <f t="shared" si="10"/>
        <v/>
      </c>
      <c r="G138" s="17">
        <f>SUM(Jan!G138, Feb!G138, Mar!G138)</f>
        <v>0</v>
      </c>
      <c r="H138" s="17">
        <f>SUM(Jan!H138, Feb!H138, Mar!H138)</f>
        <v>330777</v>
      </c>
      <c r="I138" s="16" t="str">
        <f t="shared" si="11"/>
        <v/>
      </c>
    </row>
    <row r="139" spans="1:11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>
      <c r="A342" s="18"/>
      <c r="B342" s="18"/>
      <c r="C342" s="18"/>
      <c r="D342" s="18"/>
      <c r="E342" s="18"/>
      <c r="F342" s="19"/>
      <c r="G342" s="18"/>
      <c r="H342" s="18"/>
      <c r="I342" s="1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4" priority="5" stopIfTrue="1" operator="lessThanOrEqual">
      <formula>-0.1</formula>
    </cfRule>
    <cfRule type="expression" dxfId="63" priority="6">
      <formula>AND(ISNUMBER(F2), F2&gt;=0.1)</formula>
    </cfRule>
  </conditionalFormatting>
  <conditionalFormatting sqref="F4:F138 I4:I138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342"/>
  <sheetViews>
    <sheetView workbookViewId="0">
      <pane xSplit="2" ySplit="3" topLeftCell="C124" activePane="bottomRight" state="frozen"/>
      <selection pane="bottomRight" activeCell="D139" sqref="D139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>
        <f>SUM(Apr!C5, May!C5, Jun!C5)</f>
        <v>0</v>
      </c>
      <c r="D5" s="15">
        <f>SUM(Apr!D5, May!D5, Jun!D5)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/>
      <c r="H5" s="17">
        <f>SUM(Apr!H5, May!H5, Jun!H5)</f>
        <v>0</v>
      </c>
      <c r="I5" s="16" t="str">
        <f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SUM(Apr!C6, May!C6, Jun!C6)</f>
        <v>0</v>
      </c>
      <c r="D6" s="11">
        <f>SUM(Apr!D6, May!D6, Jun!D6)</f>
        <v>0</v>
      </c>
      <c r="E6" s="11">
        <f t="shared" si="0"/>
        <v>0</v>
      </c>
      <c r="F6" s="12" t="str">
        <f t="shared" ref="F6:F15" si="1">IFERROR(E6/D6, "")</f>
        <v/>
      </c>
      <c r="G6" s="13"/>
      <c r="H6" s="13">
        <f>SUM(Apr!H6, May!H6, Jun!H6)</f>
        <v>0</v>
      </c>
      <c r="I6" s="14" t="str">
        <f t="shared" ref="I6:I15" si="2">IFERROR(H6/G6, "")</f>
        <v/>
      </c>
      <c r="J6" s="38"/>
      <c r="K6" s="38"/>
    </row>
    <row r="7" spans="1:11" ht="15.75">
      <c r="A7" s="27" t="str">
        <v>Noble</v>
      </c>
      <c r="B7" s="28" t="str">
        <v>AZ</v>
      </c>
      <c r="C7" s="10">
        <f>SUM(Apr!C7, May!C7, Jun!C7)</f>
        <v>0</v>
      </c>
      <c r="D7" s="15">
        <f>SUM(Apr!D7, May!D7, Jun!D7)</f>
        <v>0</v>
      </c>
      <c r="E7" s="15">
        <f t="shared" si="0"/>
        <v>0</v>
      </c>
      <c r="F7" s="16" t="str">
        <f t="shared" si="1"/>
        <v/>
      </c>
      <c r="G7" s="17"/>
      <c r="H7" s="17">
        <f>SUM(Apr!H7, May!H7, Jun!H7)</f>
        <v>0</v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SUM(Apr!C8, May!C8, Jun!C8)</f>
        <v>0</v>
      </c>
      <c r="D8" s="11">
        <f>SUM(Apr!D8, May!D8, Jun!D8)</f>
        <v>0</v>
      </c>
      <c r="E8" s="11">
        <f t="shared" si="0"/>
        <v>0</v>
      </c>
      <c r="F8" s="12" t="str">
        <f t="shared" si="1"/>
        <v/>
      </c>
      <c r="G8" s="13"/>
      <c r="H8" s="13">
        <f>SUM(Apr!H8, May!H8, Jun!H8)</f>
        <v>0</v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SUM(Apr!C9, May!C9, Jun!C9)</f>
        <v>0</v>
      </c>
      <c r="D9" s="15">
        <f>SUM(Apr!D9, May!D9, Jun!D9)</f>
        <v>0</v>
      </c>
      <c r="E9" s="15">
        <f t="shared" si="0"/>
        <v>0</v>
      </c>
      <c r="F9" s="16" t="str">
        <f t="shared" si="1"/>
        <v/>
      </c>
      <c r="G9" s="17"/>
      <c r="H9" s="17">
        <f>SUM(Apr!H9, May!H9, Jun!H9)</f>
        <v>0</v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SUM(Apr!C10, May!C10, Jun!C10)</f>
        <v>0</v>
      </c>
      <c r="D10" s="11">
        <f>SUM(Apr!D10, May!D10, Jun!D10)</f>
        <v>0</v>
      </c>
      <c r="E10" s="11">
        <f t="shared" si="0"/>
        <v>0</v>
      </c>
      <c r="F10" s="12" t="str">
        <f t="shared" si="1"/>
        <v/>
      </c>
      <c r="G10" s="13"/>
      <c r="H10" s="13">
        <f>SUM(Apr!H10, May!H10, Jun!H10)</f>
        <v>0</v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SUM(Apr!C11, May!C11, Jun!C11)</f>
        <v>0</v>
      </c>
      <c r="D11" s="15">
        <f>SUM(Apr!D11, May!D11, Jun!D11)</f>
        <v>0</v>
      </c>
      <c r="E11" s="15">
        <f t="shared" si="0"/>
        <v>0</v>
      </c>
      <c r="F11" s="16" t="str">
        <f t="shared" si="1"/>
        <v/>
      </c>
      <c r="G11" s="17"/>
      <c r="H11" s="17">
        <f>SUM(Apr!H11, May!H11, Jun!H11)</f>
        <v>0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SUM(Apr!C12, May!C12, Jun!C12)</f>
        <v>0</v>
      </c>
      <c r="D12" s="11">
        <f>SUM(Apr!D12, May!D12, Jun!D12)</f>
        <v>0</v>
      </c>
      <c r="E12" s="11">
        <f t="shared" si="0"/>
        <v>0</v>
      </c>
      <c r="F12" s="12" t="str">
        <f t="shared" si="1"/>
        <v/>
      </c>
      <c r="G12" s="13"/>
      <c r="H12" s="13">
        <f>SUM(Apr!H12, May!H12, Jun!H12)</f>
        <v>0</v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SUM(Apr!C13, May!C13, Jun!C13)</f>
        <v>0</v>
      </c>
      <c r="D13" s="15">
        <f>SUM(Apr!D13, May!D13, Jun!D13)</f>
        <v>0</v>
      </c>
      <c r="E13" s="15">
        <f t="shared" si="0"/>
        <v>0</v>
      </c>
      <c r="F13" s="16" t="str">
        <f t="shared" si="1"/>
        <v/>
      </c>
      <c r="G13" s="17"/>
      <c r="H13" s="17">
        <f>SUM(Apr!H13, May!H13, Jun!H13)</f>
        <v>0</v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SUM(Apr!C14, May!C14, Jun!C14)</f>
        <v>0</v>
      </c>
      <c r="D14" s="11">
        <f>SUM(Apr!D14, May!D14, Jun!D14)</f>
        <v>0</v>
      </c>
      <c r="E14" s="11">
        <f t="shared" si="0"/>
        <v>0</v>
      </c>
      <c r="F14" s="12" t="str">
        <f t="shared" si="1"/>
        <v/>
      </c>
      <c r="G14" s="13"/>
      <c r="H14" s="13">
        <f>SUM(Apr!H14, May!H14, Jun!H14)</f>
        <v>0</v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SUM(Apr!C15, May!C15, Jun!C15)</f>
        <v>0</v>
      </c>
      <c r="D15" s="15">
        <f>SUM(Apr!D15, May!D15, Jun!D15)</f>
        <v>0</v>
      </c>
      <c r="E15" s="15">
        <f t="shared" si="0"/>
        <v>0</v>
      </c>
      <c r="F15" s="16" t="str">
        <f t="shared" si="1"/>
        <v/>
      </c>
      <c r="G15" s="17"/>
      <c r="H15" s="17">
        <f>SUM(Apr!H15, May!H15, Jun!H15)</f>
        <v>0</v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SUM(Apr!C16, May!C16, Jun!C16)</f>
        <v>0</v>
      </c>
      <c r="D16" s="11">
        <f>SUM(Apr!D16, May!D16, Jun!D16)</f>
        <v>0</v>
      </c>
      <c r="E16" s="11">
        <f t="shared" ref="E16:E17" si="3">IF(AND(ISNUMBER(C16),ISNUMBER(D16)), C16-D16, "")</f>
        <v>0</v>
      </c>
      <c r="F16" s="12" t="str">
        <f t="shared" ref="F16:F17" si="4">IFERROR(E16/D16, "")</f>
        <v/>
      </c>
      <c r="G16" s="13"/>
      <c r="H16" s="13">
        <f>SUM(Apr!H16, May!H16, Jun!H16)</f>
        <v>0</v>
      </c>
      <c r="I16" s="14" t="str">
        <f t="shared" ref="I16:I17" si="5">IFERROR(H16/G16, "")</f>
        <v/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SUM(Apr!C17, May!C17, Jun!C17)</f>
        <v>0</v>
      </c>
      <c r="D17" s="15">
        <f>SUM(Apr!D17, May!D17, Jun!D17)</f>
        <v>0</v>
      </c>
      <c r="E17" s="15">
        <f t="shared" si="3"/>
        <v>0</v>
      </c>
      <c r="F17" s="16" t="str">
        <f t="shared" si="4"/>
        <v/>
      </c>
      <c r="G17" s="17"/>
      <c r="H17" s="17">
        <f>SUM(Apr!H17, May!H17, Jun!H17)</f>
        <v>0</v>
      </c>
      <c r="I17" s="16" t="str">
        <f t="shared" si="5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67">
        <f>SUM(Apr!C18, May!C18, Jun!C18)</f>
        <v>0</v>
      </c>
      <c r="D18" s="11">
        <f>SUM(Apr!D18, May!D18, Jun!D18)</f>
        <v>0</v>
      </c>
      <c r="E18" s="11">
        <f t="shared" ref="E18:E49" si="6">IF(AND(ISNUMBER(C18),ISNUMBER(D18)), C18-D18, "")</f>
        <v>0</v>
      </c>
      <c r="F18" s="68" t="str">
        <f t="shared" ref="F18:F49" si="7">IFERROR(E18/D18, "")</f>
        <v/>
      </c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>
        <f>SUM(Apr!C19, May!C19, Jun!C19)</f>
        <v>0</v>
      </c>
      <c r="D19" s="15">
        <f>SUM(Apr!D19, May!D19, Jun!D19)</f>
        <v>0</v>
      </c>
      <c r="E19" s="15">
        <f t="shared" si="6"/>
        <v>0</v>
      </c>
      <c r="F19" s="16" t="str">
        <f t="shared" si="7"/>
        <v/>
      </c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67">
        <f>SUM(Apr!C20, May!C20, Jun!C20)</f>
        <v>0</v>
      </c>
      <c r="D20" s="11">
        <f>SUM(Apr!D20, May!D20, Jun!D20)</f>
        <v>0</v>
      </c>
      <c r="E20" s="11">
        <f t="shared" si="6"/>
        <v>0</v>
      </c>
      <c r="F20" s="68" t="str">
        <f t="shared" si="7"/>
        <v/>
      </c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>
        <f>SUM(Apr!C21, May!C21, Jun!C21)</f>
        <v>0</v>
      </c>
      <c r="D21" s="15">
        <f>SUM(Apr!D21, May!D21, Jun!D21)</f>
        <v>0</v>
      </c>
      <c r="E21" s="15">
        <f t="shared" si="6"/>
        <v>0</v>
      </c>
      <c r="F21" s="16" t="str">
        <f t="shared" si="7"/>
        <v/>
      </c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67">
        <f>SUM(Apr!C22, May!C22, Jun!C22)</f>
        <v>0</v>
      </c>
      <c r="D22" s="11">
        <f>SUM(Apr!D22, May!D22, Jun!D22)</f>
        <v>0</v>
      </c>
      <c r="E22" s="11">
        <f t="shared" si="6"/>
        <v>0</v>
      </c>
      <c r="F22" s="68" t="str">
        <f t="shared" si="7"/>
        <v/>
      </c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>
        <f>SUM(Apr!C23, May!C23, Jun!C23)</f>
        <v>0</v>
      </c>
      <c r="D23" s="15">
        <f>SUM(Apr!D23, May!D23, Jun!D23)</f>
        <v>0</v>
      </c>
      <c r="E23" s="15">
        <f t="shared" si="6"/>
        <v>0</v>
      </c>
      <c r="F23" s="16" t="str">
        <f t="shared" si="7"/>
        <v/>
      </c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67">
        <f>SUM(Apr!C24, May!C24, Jun!C24)</f>
        <v>0</v>
      </c>
      <c r="D24" s="11">
        <f>SUM(Apr!D24, May!D24, Jun!D24)</f>
        <v>0</v>
      </c>
      <c r="E24" s="11">
        <f t="shared" si="6"/>
        <v>0</v>
      </c>
      <c r="F24" s="68" t="str">
        <f t="shared" si="7"/>
        <v/>
      </c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>
        <f>SUM(Apr!C25, May!C25, Jun!C25)</f>
        <v>0</v>
      </c>
      <c r="D25" s="15">
        <f>SUM(Apr!D25, May!D25, Jun!D25)</f>
        <v>0</v>
      </c>
      <c r="E25" s="15">
        <f t="shared" si="6"/>
        <v>0</v>
      </c>
      <c r="F25" s="16" t="str">
        <f t="shared" si="7"/>
        <v/>
      </c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67">
        <f>SUM(Apr!C26, May!C26, Jun!C26)</f>
        <v>0</v>
      </c>
      <c r="D26" s="11">
        <f>SUM(Apr!D26, May!D26, Jun!D26)</f>
        <v>0</v>
      </c>
      <c r="E26" s="11">
        <f t="shared" si="6"/>
        <v>0</v>
      </c>
      <c r="F26" s="68" t="str">
        <f t="shared" si="7"/>
        <v/>
      </c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>
        <f>SUM(Apr!C27, May!C27, Jun!C27)</f>
        <v>0</v>
      </c>
      <c r="D27" s="15">
        <f>SUM(Apr!D27, May!D27, Jun!D27)</f>
        <v>0</v>
      </c>
      <c r="E27" s="15">
        <f t="shared" si="6"/>
        <v>0</v>
      </c>
      <c r="F27" s="16" t="str">
        <f t="shared" si="7"/>
        <v/>
      </c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67">
        <f>SUM(Apr!C28, May!C28, Jun!C28)</f>
        <v>0</v>
      </c>
      <c r="D28" s="11">
        <f>SUM(Apr!D28, May!D28, Jun!D28)</f>
        <v>0</v>
      </c>
      <c r="E28" s="11">
        <f t="shared" si="6"/>
        <v>0</v>
      </c>
      <c r="F28" s="68" t="str">
        <f t="shared" si="7"/>
        <v/>
      </c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>
        <f>SUM(Apr!C29, May!C29, Jun!C29)</f>
        <v>0</v>
      </c>
      <c r="D29" s="15">
        <f>SUM(Apr!D29, May!D29, Jun!D29)</f>
        <v>0</v>
      </c>
      <c r="E29" s="15">
        <f t="shared" si="6"/>
        <v>0</v>
      </c>
      <c r="F29" s="16" t="str">
        <f t="shared" si="7"/>
        <v/>
      </c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67">
        <f>SUM(Apr!C30, May!C30, Jun!C30)</f>
        <v>0</v>
      </c>
      <c r="D30" s="11">
        <f>SUM(Apr!D30, May!D30, Jun!D30)</f>
        <v>0</v>
      </c>
      <c r="E30" s="11">
        <f t="shared" si="6"/>
        <v>0</v>
      </c>
      <c r="F30" s="68" t="str">
        <f t="shared" si="7"/>
        <v/>
      </c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>
        <f>SUM(Apr!C31, May!C31, Jun!C31)</f>
        <v>0</v>
      </c>
      <c r="D31" s="15">
        <f>SUM(Apr!D31, May!D31, Jun!D31)</f>
        <v>0</v>
      </c>
      <c r="E31" s="15">
        <f t="shared" si="6"/>
        <v>0</v>
      </c>
      <c r="F31" s="16" t="str">
        <f t="shared" si="7"/>
        <v/>
      </c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67">
        <f>SUM(Apr!C32, May!C32, Jun!C32)</f>
        <v>0</v>
      </c>
      <c r="D32" s="11">
        <f>SUM(Apr!D32, May!D32, Jun!D32)</f>
        <v>0</v>
      </c>
      <c r="E32" s="11">
        <f t="shared" si="6"/>
        <v>0</v>
      </c>
      <c r="F32" s="68" t="str">
        <f t="shared" si="7"/>
        <v/>
      </c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>
        <f>SUM(Apr!C33, May!C33, Jun!C33)</f>
        <v>0</v>
      </c>
      <c r="D33" s="15">
        <f>SUM(Apr!D33, May!D33, Jun!D33)</f>
        <v>0</v>
      </c>
      <c r="E33" s="15">
        <f t="shared" si="6"/>
        <v>0</v>
      </c>
      <c r="F33" s="16" t="str">
        <f t="shared" si="7"/>
        <v/>
      </c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67">
        <f>SUM(Apr!C34, May!C34, Jun!C34)</f>
        <v>0</v>
      </c>
      <c r="D34" s="11">
        <f>SUM(Apr!D34, May!D34, Jun!D34)</f>
        <v>0</v>
      </c>
      <c r="E34" s="11">
        <f t="shared" si="6"/>
        <v>0</v>
      </c>
      <c r="F34" s="68" t="str">
        <f t="shared" si="7"/>
        <v/>
      </c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>
        <f>SUM(Apr!C35, May!C35, Jun!C35)</f>
        <v>0</v>
      </c>
      <c r="D35" s="15">
        <f>SUM(Apr!D35, May!D35, Jun!D35)</f>
        <v>0</v>
      </c>
      <c r="E35" s="15">
        <f t="shared" si="6"/>
        <v>0</v>
      </c>
      <c r="F35" s="16" t="str">
        <f t="shared" si="7"/>
        <v/>
      </c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67">
        <f>SUM(Apr!C36, May!C36, Jun!C36)</f>
        <v>0</v>
      </c>
      <c r="D36" s="11">
        <f>SUM(Apr!D36, May!D36, Jun!D36)</f>
        <v>0</v>
      </c>
      <c r="E36" s="11">
        <f t="shared" si="6"/>
        <v>0</v>
      </c>
      <c r="F36" s="68" t="str">
        <f t="shared" si="7"/>
        <v/>
      </c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>
        <f>SUM(Apr!C37, May!C37, Jun!C37)</f>
        <v>0</v>
      </c>
      <c r="D37" s="15">
        <f>SUM(Apr!D37, May!D37, Jun!D37)</f>
        <v>0</v>
      </c>
      <c r="E37" s="15">
        <f t="shared" si="6"/>
        <v>0</v>
      </c>
      <c r="F37" s="16" t="str">
        <f t="shared" si="7"/>
        <v/>
      </c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67">
        <f>SUM(Apr!C38, May!C38, Jun!C38)</f>
        <v>0</v>
      </c>
      <c r="D38" s="11">
        <f>SUM(Apr!D38, May!D38, Jun!D38)</f>
        <v>0</v>
      </c>
      <c r="E38" s="11">
        <f t="shared" si="6"/>
        <v>0</v>
      </c>
      <c r="F38" s="68" t="str">
        <f t="shared" si="7"/>
        <v/>
      </c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>
        <f>SUM(Apr!C39, May!C39, Jun!C39)</f>
        <v>0</v>
      </c>
      <c r="D39" s="15">
        <f>SUM(Apr!D39, May!D39, Jun!D39)</f>
        <v>0</v>
      </c>
      <c r="E39" s="15">
        <f t="shared" si="6"/>
        <v>0</v>
      </c>
      <c r="F39" s="16" t="str">
        <f t="shared" si="7"/>
        <v/>
      </c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67">
        <f>SUM(Apr!C40, May!C40, Jun!C40)</f>
        <v>0</v>
      </c>
      <c r="D40" s="11">
        <f>SUM(Apr!D40, May!D40, Jun!D40)</f>
        <v>0</v>
      </c>
      <c r="E40" s="11">
        <f t="shared" si="6"/>
        <v>0</v>
      </c>
      <c r="F40" s="68" t="str">
        <f t="shared" si="7"/>
        <v/>
      </c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>
        <f>SUM(Apr!C41, May!C41, Jun!C41)</f>
        <v>0</v>
      </c>
      <c r="D41" s="15">
        <f>SUM(Apr!D41, May!D41, Jun!D41)</f>
        <v>0</v>
      </c>
      <c r="E41" s="15">
        <f t="shared" si="6"/>
        <v>0</v>
      </c>
      <c r="F41" s="16" t="str">
        <f t="shared" si="7"/>
        <v/>
      </c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67">
        <f>SUM(Apr!C42, May!C42, Jun!C42)</f>
        <v>0</v>
      </c>
      <c r="D42" s="11">
        <f>SUM(Apr!D42, May!D42, Jun!D42)</f>
        <v>0</v>
      </c>
      <c r="E42" s="11">
        <f t="shared" si="6"/>
        <v>0</v>
      </c>
      <c r="F42" s="68" t="str">
        <f t="shared" si="7"/>
        <v/>
      </c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>
        <f>SUM(Apr!C43, May!C43, Jun!C43)</f>
        <v>0</v>
      </c>
      <c r="D43" s="15">
        <f>SUM(Apr!D43, May!D43, Jun!D43)</f>
        <v>0</v>
      </c>
      <c r="E43" s="15">
        <f t="shared" si="6"/>
        <v>0</v>
      </c>
      <c r="F43" s="16" t="str">
        <f t="shared" si="7"/>
        <v/>
      </c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67">
        <f>SUM(Apr!C44, May!C44, Jun!C44)</f>
        <v>0</v>
      </c>
      <c r="D44" s="11">
        <f>SUM(Apr!D44, May!D44, Jun!D44)</f>
        <v>0</v>
      </c>
      <c r="E44" s="11">
        <f t="shared" si="6"/>
        <v>0</v>
      </c>
      <c r="F44" s="68" t="str">
        <f t="shared" si="7"/>
        <v/>
      </c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>
        <f>SUM(Apr!C45, May!C45, Jun!C45)</f>
        <v>0</v>
      </c>
      <c r="D45" s="15">
        <f>SUM(Apr!D45, May!D45, Jun!D45)</f>
        <v>0</v>
      </c>
      <c r="E45" s="15">
        <f t="shared" si="6"/>
        <v>0</v>
      </c>
      <c r="F45" s="16" t="str">
        <f t="shared" si="7"/>
        <v/>
      </c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67">
        <f>SUM(Apr!C46, May!C46, Jun!C46)</f>
        <v>0</v>
      </c>
      <c r="D46" s="11">
        <f>SUM(Apr!D46, May!D46, Jun!D46)</f>
        <v>0</v>
      </c>
      <c r="E46" s="11">
        <f t="shared" si="6"/>
        <v>0</v>
      </c>
      <c r="F46" s="68" t="str">
        <f t="shared" si="7"/>
        <v/>
      </c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>
        <f>SUM(Apr!C47, May!C47, Jun!C47)</f>
        <v>0</v>
      </c>
      <c r="D47" s="15">
        <f>SUM(Apr!D47, May!D47, Jun!D47)</f>
        <v>0</v>
      </c>
      <c r="E47" s="15">
        <f t="shared" si="6"/>
        <v>0</v>
      </c>
      <c r="F47" s="16" t="str">
        <f t="shared" si="7"/>
        <v/>
      </c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67">
        <f>SUM(Apr!C48, May!C48, Jun!C48)</f>
        <v>0</v>
      </c>
      <c r="D48" s="11">
        <f>SUM(Apr!D48, May!D48, Jun!D48)</f>
        <v>0</v>
      </c>
      <c r="E48" s="11">
        <f t="shared" si="6"/>
        <v>0</v>
      </c>
      <c r="F48" s="68" t="str">
        <f t="shared" si="7"/>
        <v/>
      </c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>
        <f>SUM(Apr!C49, May!C49, Jun!C49)</f>
        <v>0</v>
      </c>
      <c r="D49" s="15">
        <f>SUM(Apr!D49, May!D49, Jun!D49)</f>
        <v>0</v>
      </c>
      <c r="E49" s="15">
        <f t="shared" si="6"/>
        <v>0</v>
      </c>
      <c r="F49" s="16" t="str">
        <f t="shared" si="7"/>
        <v/>
      </c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67">
        <f>SUM(Apr!C50, May!C50, Jun!C50)</f>
        <v>0</v>
      </c>
      <c r="D50" s="11">
        <f>SUM(Apr!D50, May!D50, Jun!D50)</f>
        <v>0</v>
      </c>
      <c r="E50" s="11">
        <f t="shared" ref="E50:E81" si="8">IF(AND(ISNUMBER(C50),ISNUMBER(D50)), C50-D50, "")</f>
        <v>0</v>
      </c>
      <c r="F50" s="68" t="str">
        <f t="shared" ref="F50:F81" si="9">IFERROR(E50/D50, "")</f>
        <v/>
      </c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>
        <f>SUM(Apr!C51, May!C51, Jun!C51)</f>
        <v>0</v>
      </c>
      <c r="D51" s="15">
        <f>SUM(Apr!D51, May!D51, Jun!D51)</f>
        <v>0</v>
      </c>
      <c r="E51" s="15">
        <f t="shared" si="8"/>
        <v>0</v>
      </c>
      <c r="F51" s="16" t="str">
        <f t="shared" si="9"/>
        <v/>
      </c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67">
        <f>SUM(Apr!C52, May!C52, Jun!C52)</f>
        <v>0</v>
      </c>
      <c r="D52" s="11">
        <f>SUM(Apr!D52, May!D52, Jun!D52)</f>
        <v>0</v>
      </c>
      <c r="E52" s="11">
        <f t="shared" si="8"/>
        <v>0</v>
      </c>
      <c r="F52" s="68" t="str">
        <f t="shared" si="9"/>
        <v/>
      </c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>
        <f>SUM(Apr!C53, May!C53, Jun!C53)</f>
        <v>0</v>
      </c>
      <c r="D53" s="15">
        <f>SUM(Apr!D53, May!D53, Jun!D53)</f>
        <v>0</v>
      </c>
      <c r="E53" s="15">
        <f t="shared" si="8"/>
        <v>0</v>
      </c>
      <c r="F53" s="16" t="str">
        <f t="shared" si="9"/>
        <v/>
      </c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67">
        <f>SUM(Apr!C54, May!C54, Jun!C54)</f>
        <v>0</v>
      </c>
      <c r="D54" s="11">
        <f>SUM(Apr!D54, May!D54, Jun!D54)</f>
        <v>0</v>
      </c>
      <c r="E54" s="11">
        <f t="shared" si="8"/>
        <v>0</v>
      </c>
      <c r="F54" s="68" t="str">
        <f t="shared" si="9"/>
        <v/>
      </c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>
        <f>SUM(Apr!C55, May!C55, Jun!C55)</f>
        <v>0</v>
      </c>
      <c r="D55" s="15">
        <f>SUM(Apr!D55, May!D55, Jun!D55)</f>
        <v>0</v>
      </c>
      <c r="E55" s="15">
        <f t="shared" si="8"/>
        <v>0</v>
      </c>
      <c r="F55" s="16" t="str">
        <f t="shared" si="9"/>
        <v/>
      </c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67">
        <f>SUM(Apr!C56, May!C56, Jun!C56)</f>
        <v>0</v>
      </c>
      <c r="D56" s="11">
        <f>SUM(Apr!D56, May!D56, Jun!D56)</f>
        <v>0</v>
      </c>
      <c r="E56" s="11">
        <f t="shared" si="8"/>
        <v>0</v>
      </c>
      <c r="F56" s="68" t="str">
        <f t="shared" si="9"/>
        <v/>
      </c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>
        <f>SUM(Apr!C57, May!C57, Jun!C57)</f>
        <v>0</v>
      </c>
      <c r="D57" s="15">
        <f>SUM(Apr!D57, May!D57, Jun!D57)</f>
        <v>0</v>
      </c>
      <c r="E57" s="15">
        <f t="shared" si="8"/>
        <v>0</v>
      </c>
      <c r="F57" s="16" t="str">
        <f t="shared" si="9"/>
        <v/>
      </c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67">
        <f>SUM(Apr!C58, May!C58, Jun!C58)</f>
        <v>0</v>
      </c>
      <c r="D58" s="11">
        <f>SUM(Apr!D58, May!D58, Jun!D58)</f>
        <v>0</v>
      </c>
      <c r="E58" s="11">
        <f t="shared" si="8"/>
        <v>0</v>
      </c>
      <c r="F58" s="68" t="str">
        <f t="shared" si="9"/>
        <v/>
      </c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>
        <f>SUM(Apr!C59, May!C59, Jun!C59)</f>
        <v>0</v>
      </c>
      <c r="D59" s="15">
        <f>SUM(Apr!D59, May!D59, Jun!D59)</f>
        <v>0</v>
      </c>
      <c r="E59" s="15">
        <f t="shared" si="8"/>
        <v>0</v>
      </c>
      <c r="F59" s="16" t="str">
        <f t="shared" si="9"/>
        <v/>
      </c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67">
        <f>SUM(Apr!C60, May!C60, Jun!C60)</f>
        <v>0</v>
      </c>
      <c r="D60" s="11">
        <f>SUM(Apr!D60, May!D60, Jun!D60)</f>
        <v>0</v>
      </c>
      <c r="E60" s="11">
        <f t="shared" si="8"/>
        <v>0</v>
      </c>
      <c r="F60" s="68" t="str">
        <f t="shared" si="9"/>
        <v/>
      </c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>
        <f>SUM(Apr!C61, May!C61, Jun!C61)</f>
        <v>0</v>
      </c>
      <c r="D61" s="15">
        <f>SUM(Apr!D61, May!D61, Jun!D61)</f>
        <v>0</v>
      </c>
      <c r="E61" s="15">
        <f t="shared" si="8"/>
        <v>0</v>
      </c>
      <c r="F61" s="16" t="str">
        <f t="shared" si="9"/>
        <v/>
      </c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67">
        <f>SUM(Apr!C62, May!C62, Jun!C62)</f>
        <v>0</v>
      </c>
      <c r="D62" s="11">
        <f>SUM(Apr!D62, May!D62, Jun!D62)</f>
        <v>0</v>
      </c>
      <c r="E62" s="11">
        <f t="shared" si="8"/>
        <v>0</v>
      </c>
      <c r="F62" s="68" t="str">
        <f t="shared" si="9"/>
        <v/>
      </c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>
        <f>SUM(Apr!C63, May!C63, Jun!C63)</f>
        <v>0</v>
      </c>
      <c r="D63" s="15">
        <f>SUM(Apr!D63, May!D63, Jun!D63)</f>
        <v>0</v>
      </c>
      <c r="E63" s="15">
        <f t="shared" si="8"/>
        <v>0</v>
      </c>
      <c r="F63" s="16" t="str">
        <f t="shared" si="9"/>
        <v/>
      </c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67">
        <f>SUM(Apr!C64, May!C64, Jun!C64)</f>
        <v>0</v>
      </c>
      <c r="D64" s="11">
        <f>SUM(Apr!D64, May!D64, Jun!D64)</f>
        <v>0</v>
      </c>
      <c r="E64" s="11">
        <f t="shared" si="8"/>
        <v>0</v>
      </c>
      <c r="F64" s="68" t="str">
        <f t="shared" si="9"/>
        <v/>
      </c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>
        <f>SUM(Apr!C65, May!C65, Jun!C65)</f>
        <v>0</v>
      </c>
      <c r="D65" s="15">
        <f>SUM(Apr!D65, May!D65, Jun!D65)</f>
        <v>0</v>
      </c>
      <c r="E65" s="15">
        <f t="shared" si="8"/>
        <v>0</v>
      </c>
      <c r="F65" s="16" t="str">
        <f t="shared" si="9"/>
        <v/>
      </c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67">
        <f>SUM(Apr!C66, May!C66, Jun!C66)</f>
        <v>0</v>
      </c>
      <c r="D66" s="11">
        <f>SUM(Apr!D66, May!D66, Jun!D66)</f>
        <v>0</v>
      </c>
      <c r="E66" s="11">
        <f t="shared" si="8"/>
        <v>0</v>
      </c>
      <c r="F66" s="68" t="str">
        <f t="shared" si="9"/>
        <v/>
      </c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>
        <f>SUM(Apr!C67, May!C67, Jun!C67)</f>
        <v>0</v>
      </c>
      <c r="D67" s="15">
        <f>SUM(Apr!D67, May!D67, Jun!D67)</f>
        <v>0</v>
      </c>
      <c r="E67" s="15">
        <f t="shared" si="8"/>
        <v>0</v>
      </c>
      <c r="F67" s="16" t="str">
        <f t="shared" si="9"/>
        <v/>
      </c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67">
        <f>SUM(Apr!C68, May!C68, Jun!C68)</f>
        <v>0</v>
      </c>
      <c r="D68" s="11">
        <f>SUM(Apr!D68, May!D68, Jun!D68)</f>
        <v>0</v>
      </c>
      <c r="E68" s="11">
        <f t="shared" si="8"/>
        <v>0</v>
      </c>
      <c r="F68" s="68" t="str">
        <f t="shared" si="9"/>
        <v/>
      </c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>
        <f>SUM(Apr!C69, May!C69, Jun!C69)</f>
        <v>0</v>
      </c>
      <c r="D69" s="15">
        <f>SUM(Apr!D69, May!D69, Jun!D69)</f>
        <v>0</v>
      </c>
      <c r="E69" s="15">
        <f t="shared" si="8"/>
        <v>0</v>
      </c>
      <c r="F69" s="16" t="str">
        <f t="shared" si="9"/>
        <v/>
      </c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67">
        <f>SUM(Apr!C70, May!C70, Jun!C70)</f>
        <v>0</v>
      </c>
      <c r="D70" s="11">
        <f>SUM(Apr!D70, May!D70, Jun!D70)</f>
        <v>0</v>
      </c>
      <c r="E70" s="11">
        <f t="shared" si="8"/>
        <v>0</v>
      </c>
      <c r="F70" s="68" t="str">
        <f t="shared" si="9"/>
        <v/>
      </c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>
        <f>SUM(Apr!C71, May!C71, Jun!C71)</f>
        <v>0</v>
      </c>
      <c r="D71" s="15">
        <f>SUM(Apr!D71, May!D71, Jun!D71)</f>
        <v>0</v>
      </c>
      <c r="E71" s="15">
        <f t="shared" si="8"/>
        <v>0</v>
      </c>
      <c r="F71" s="16" t="str">
        <f t="shared" si="9"/>
        <v/>
      </c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67">
        <f>SUM(Apr!C72, May!C72, Jun!C72)</f>
        <v>0</v>
      </c>
      <c r="D72" s="11">
        <f>SUM(Apr!D72, May!D72, Jun!D72)</f>
        <v>0</v>
      </c>
      <c r="E72" s="11">
        <f t="shared" si="8"/>
        <v>0</v>
      </c>
      <c r="F72" s="68" t="str">
        <f t="shared" si="9"/>
        <v/>
      </c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>
        <f>SUM(Apr!C73, May!C73, Jun!C73)</f>
        <v>0</v>
      </c>
      <c r="D73" s="15">
        <f>SUM(Apr!D73, May!D73, Jun!D73)</f>
        <v>0</v>
      </c>
      <c r="E73" s="15">
        <f t="shared" si="8"/>
        <v>0</v>
      </c>
      <c r="F73" s="16" t="str">
        <f t="shared" si="9"/>
        <v/>
      </c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67">
        <f>SUM(Apr!C74, May!C74, Jun!C74)</f>
        <v>0</v>
      </c>
      <c r="D74" s="11">
        <f>SUM(Apr!D74, May!D74, Jun!D74)</f>
        <v>0</v>
      </c>
      <c r="E74" s="11">
        <f t="shared" si="8"/>
        <v>0</v>
      </c>
      <c r="F74" s="68" t="str">
        <f t="shared" si="9"/>
        <v/>
      </c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>
        <f>SUM(Apr!C75, May!C75, Jun!C75)</f>
        <v>0</v>
      </c>
      <c r="D75" s="15">
        <f>SUM(Apr!D75, May!D75, Jun!D75)</f>
        <v>0</v>
      </c>
      <c r="E75" s="15">
        <f t="shared" si="8"/>
        <v>0</v>
      </c>
      <c r="F75" s="16" t="str">
        <f t="shared" si="9"/>
        <v/>
      </c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67">
        <f>SUM(Apr!C76, May!C76, Jun!C76)</f>
        <v>0</v>
      </c>
      <c r="D76" s="11">
        <f>SUM(Apr!D76, May!D76, Jun!D76)</f>
        <v>0</v>
      </c>
      <c r="E76" s="11">
        <f t="shared" si="8"/>
        <v>0</v>
      </c>
      <c r="F76" s="68" t="str">
        <f t="shared" si="9"/>
        <v/>
      </c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>
        <f>SUM(Apr!C77, May!C77, Jun!C77)</f>
        <v>0</v>
      </c>
      <c r="D77" s="15">
        <f>SUM(Apr!D77, May!D77, Jun!D77)</f>
        <v>0</v>
      </c>
      <c r="E77" s="15">
        <f t="shared" si="8"/>
        <v>0</v>
      </c>
      <c r="F77" s="16" t="str">
        <f t="shared" si="9"/>
        <v/>
      </c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67">
        <f>SUM(Apr!C78, May!C78, Jun!C78)</f>
        <v>0</v>
      </c>
      <c r="D78" s="11">
        <f>SUM(Apr!D78, May!D78, Jun!D78)</f>
        <v>0</v>
      </c>
      <c r="E78" s="11">
        <f t="shared" si="8"/>
        <v>0</v>
      </c>
      <c r="F78" s="68" t="str">
        <f t="shared" si="9"/>
        <v/>
      </c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>
        <f>SUM(Apr!C79, May!C79, Jun!C79)</f>
        <v>0</v>
      </c>
      <c r="D79" s="15">
        <f>SUM(Apr!D79, May!D79, Jun!D79)</f>
        <v>0</v>
      </c>
      <c r="E79" s="15">
        <f t="shared" si="8"/>
        <v>0</v>
      </c>
      <c r="F79" s="16" t="str">
        <f t="shared" si="9"/>
        <v/>
      </c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67">
        <f>SUM(Apr!C80, May!C80, Jun!C80)</f>
        <v>0</v>
      </c>
      <c r="D80" s="11">
        <f>SUM(Apr!D80, May!D80, Jun!D80)</f>
        <v>0</v>
      </c>
      <c r="E80" s="11">
        <f t="shared" si="8"/>
        <v>0</v>
      </c>
      <c r="F80" s="68" t="str">
        <f t="shared" si="9"/>
        <v/>
      </c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>
        <f>SUM(Apr!C81, May!C81, Jun!C81)</f>
        <v>0</v>
      </c>
      <c r="D81" s="15">
        <f>SUM(Apr!D81, May!D81, Jun!D81)</f>
        <v>0</v>
      </c>
      <c r="E81" s="15">
        <f t="shared" si="8"/>
        <v>0</v>
      </c>
      <c r="F81" s="16" t="str">
        <f t="shared" si="9"/>
        <v/>
      </c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67">
        <f>SUM(Apr!C82, May!C82, Jun!C82)</f>
        <v>0</v>
      </c>
      <c r="D82" s="11">
        <f>SUM(Apr!D82, May!D82, Jun!D82)</f>
        <v>0</v>
      </c>
      <c r="E82" s="11">
        <f t="shared" ref="E82:E113" si="10">IF(AND(ISNUMBER(C82),ISNUMBER(D82)), C82-D82, "")</f>
        <v>0</v>
      </c>
      <c r="F82" s="68" t="str">
        <f t="shared" ref="F82:F113" si="11">IFERROR(E82/D82, "")</f>
        <v/>
      </c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>
        <f>SUM(Apr!C83, May!C83, Jun!C83)</f>
        <v>0</v>
      </c>
      <c r="D83" s="15">
        <f>SUM(Apr!D83, May!D83, Jun!D83)</f>
        <v>0</v>
      </c>
      <c r="E83" s="15">
        <f t="shared" si="10"/>
        <v>0</v>
      </c>
      <c r="F83" s="16" t="str">
        <f t="shared" si="11"/>
        <v/>
      </c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67">
        <f>SUM(Apr!C84, May!C84, Jun!C84)</f>
        <v>0</v>
      </c>
      <c r="D84" s="11">
        <f>SUM(Apr!D84, May!D84, Jun!D84)</f>
        <v>0</v>
      </c>
      <c r="E84" s="11">
        <f t="shared" si="10"/>
        <v>0</v>
      </c>
      <c r="F84" s="68" t="str">
        <f t="shared" si="11"/>
        <v/>
      </c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>
        <f>SUM(Apr!C85, May!C85, Jun!C85)</f>
        <v>0</v>
      </c>
      <c r="D85" s="15">
        <f>SUM(Apr!D85, May!D85, Jun!D85)</f>
        <v>0</v>
      </c>
      <c r="E85" s="15">
        <f t="shared" si="10"/>
        <v>0</v>
      </c>
      <c r="F85" s="16" t="str">
        <f t="shared" si="11"/>
        <v/>
      </c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67">
        <f>SUM(Apr!C86, May!C86, Jun!C86)</f>
        <v>0</v>
      </c>
      <c r="D86" s="11">
        <f>SUM(Apr!D86, May!D86, Jun!D86)</f>
        <v>0</v>
      </c>
      <c r="E86" s="11">
        <f t="shared" si="10"/>
        <v>0</v>
      </c>
      <c r="F86" s="68" t="str">
        <f t="shared" si="11"/>
        <v/>
      </c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>
        <f>SUM(Apr!C87, May!C87, Jun!C87)</f>
        <v>0</v>
      </c>
      <c r="D87" s="15">
        <f>SUM(Apr!D87, May!D87, Jun!D87)</f>
        <v>0</v>
      </c>
      <c r="E87" s="15">
        <f t="shared" si="10"/>
        <v>0</v>
      </c>
      <c r="F87" s="16" t="str">
        <f t="shared" si="11"/>
        <v/>
      </c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67">
        <f>SUM(Apr!C88, May!C88, Jun!C88)</f>
        <v>0</v>
      </c>
      <c r="D88" s="11">
        <f>SUM(Apr!D88, May!D88, Jun!D88)</f>
        <v>0</v>
      </c>
      <c r="E88" s="11">
        <f t="shared" si="10"/>
        <v>0</v>
      </c>
      <c r="F88" s="68" t="str">
        <f t="shared" si="11"/>
        <v/>
      </c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>
        <f>SUM(Apr!C89, May!C89, Jun!C89)</f>
        <v>0</v>
      </c>
      <c r="D89" s="15">
        <f>SUM(Apr!D89, May!D89, Jun!D89)</f>
        <v>0</v>
      </c>
      <c r="E89" s="15">
        <f t="shared" si="10"/>
        <v>0</v>
      </c>
      <c r="F89" s="16" t="str">
        <f t="shared" si="11"/>
        <v/>
      </c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67">
        <f>SUM(Apr!C90, May!C90, Jun!C90)</f>
        <v>0</v>
      </c>
      <c r="D90" s="11">
        <f>SUM(Apr!D90, May!D90, Jun!D90)</f>
        <v>0</v>
      </c>
      <c r="E90" s="11">
        <f t="shared" si="10"/>
        <v>0</v>
      </c>
      <c r="F90" s="68" t="str">
        <f t="shared" si="11"/>
        <v/>
      </c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>
        <f>SUM(Apr!C91, May!C91, Jun!C91)</f>
        <v>0</v>
      </c>
      <c r="D91" s="15">
        <f>SUM(Apr!D91, May!D91, Jun!D91)</f>
        <v>0</v>
      </c>
      <c r="E91" s="15">
        <f t="shared" si="10"/>
        <v>0</v>
      </c>
      <c r="F91" s="16" t="str">
        <f t="shared" si="11"/>
        <v/>
      </c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67">
        <f>SUM(Apr!C92, May!C92, Jun!C92)</f>
        <v>0</v>
      </c>
      <c r="D92" s="11">
        <f>SUM(Apr!D92, May!D92, Jun!D92)</f>
        <v>0</v>
      </c>
      <c r="E92" s="11">
        <f t="shared" si="10"/>
        <v>0</v>
      </c>
      <c r="F92" s="68" t="str">
        <f t="shared" si="11"/>
        <v/>
      </c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>
        <f>SUM(Apr!C93, May!C93, Jun!C93)</f>
        <v>0</v>
      </c>
      <c r="D93" s="15">
        <f>SUM(Apr!D93, May!D93, Jun!D93)</f>
        <v>0</v>
      </c>
      <c r="E93" s="15">
        <f t="shared" si="10"/>
        <v>0</v>
      </c>
      <c r="F93" s="16" t="str">
        <f t="shared" si="11"/>
        <v/>
      </c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67">
        <f>SUM(Apr!C94, May!C94, Jun!C94)</f>
        <v>0</v>
      </c>
      <c r="D94" s="11">
        <f>SUM(Apr!D94, May!D94, Jun!D94)</f>
        <v>0</v>
      </c>
      <c r="E94" s="11">
        <f t="shared" si="10"/>
        <v>0</v>
      </c>
      <c r="F94" s="68" t="str">
        <f t="shared" si="11"/>
        <v/>
      </c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>
        <f>SUM(Apr!C95, May!C95, Jun!C95)</f>
        <v>0</v>
      </c>
      <c r="D95" s="15">
        <f>SUM(Apr!D95, May!D95, Jun!D95)</f>
        <v>0</v>
      </c>
      <c r="E95" s="15">
        <f t="shared" si="10"/>
        <v>0</v>
      </c>
      <c r="F95" s="16" t="str">
        <f t="shared" si="11"/>
        <v/>
      </c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67">
        <f>SUM(Apr!C96, May!C96, Jun!C96)</f>
        <v>0</v>
      </c>
      <c r="D96" s="11">
        <f>SUM(Apr!D96, May!D96, Jun!D96)</f>
        <v>0</v>
      </c>
      <c r="E96" s="11">
        <f t="shared" si="10"/>
        <v>0</v>
      </c>
      <c r="F96" s="68" t="str">
        <f t="shared" si="11"/>
        <v/>
      </c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>
        <f>SUM(Apr!C97, May!C97, Jun!C97)</f>
        <v>0</v>
      </c>
      <c r="D97" s="15">
        <f>SUM(Apr!D97, May!D97, Jun!D97)</f>
        <v>0</v>
      </c>
      <c r="E97" s="15">
        <f t="shared" si="10"/>
        <v>0</v>
      </c>
      <c r="F97" s="16" t="str">
        <f t="shared" si="11"/>
        <v/>
      </c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67">
        <f>SUM(Apr!C98, May!C98, Jun!C98)</f>
        <v>0</v>
      </c>
      <c r="D98" s="11">
        <f>SUM(Apr!D98, May!D98, Jun!D98)</f>
        <v>0</v>
      </c>
      <c r="E98" s="11">
        <f t="shared" si="10"/>
        <v>0</v>
      </c>
      <c r="F98" s="68" t="str">
        <f t="shared" si="11"/>
        <v/>
      </c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>
        <f>SUM(Apr!C99, May!C99, Jun!C99)</f>
        <v>0</v>
      </c>
      <c r="D99" s="15">
        <f>SUM(Apr!D99, May!D99, Jun!D99)</f>
        <v>0</v>
      </c>
      <c r="E99" s="15">
        <f t="shared" si="10"/>
        <v>0</v>
      </c>
      <c r="F99" s="16" t="str">
        <f t="shared" si="11"/>
        <v/>
      </c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67">
        <f>SUM(Apr!C100, May!C100, Jun!C100)</f>
        <v>0</v>
      </c>
      <c r="D100" s="11">
        <f>SUM(Apr!D100, May!D100, Jun!D100)</f>
        <v>0</v>
      </c>
      <c r="E100" s="11">
        <f t="shared" si="10"/>
        <v>0</v>
      </c>
      <c r="F100" s="68" t="str">
        <f t="shared" si="11"/>
        <v/>
      </c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>
        <f>SUM(Apr!C101, May!C101, Jun!C101)</f>
        <v>0</v>
      </c>
      <c r="D101" s="15">
        <f>SUM(Apr!D101, May!D101, Jun!D101)</f>
        <v>0</v>
      </c>
      <c r="E101" s="15">
        <f t="shared" si="10"/>
        <v>0</v>
      </c>
      <c r="F101" s="16" t="str">
        <f t="shared" si="11"/>
        <v/>
      </c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67">
        <f>SUM(Apr!C102, May!C102, Jun!C102)</f>
        <v>0</v>
      </c>
      <c r="D102" s="11">
        <f>SUM(Apr!D102, May!D102, Jun!D102)</f>
        <v>0</v>
      </c>
      <c r="E102" s="11">
        <f t="shared" si="10"/>
        <v>0</v>
      </c>
      <c r="F102" s="68" t="str">
        <f t="shared" si="11"/>
        <v/>
      </c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>
        <f>SUM(Apr!C103, May!C103, Jun!C103)</f>
        <v>0</v>
      </c>
      <c r="D103" s="15">
        <f>SUM(Apr!D103, May!D103, Jun!D103)</f>
        <v>0</v>
      </c>
      <c r="E103" s="15">
        <f t="shared" si="10"/>
        <v>0</v>
      </c>
      <c r="F103" s="16" t="str">
        <f t="shared" si="11"/>
        <v/>
      </c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67">
        <f>SUM(Apr!C104, May!C104, Jun!C104)</f>
        <v>0</v>
      </c>
      <c r="D104" s="11">
        <f>SUM(Apr!D104, May!D104, Jun!D104)</f>
        <v>0</v>
      </c>
      <c r="E104" s="11">
        <f t="shared" si="10"/>
        <v>0</v>
      </c>
      <c r="F104" s="68" t="str">
        <f t="shared" si="11"/>
        <v/>
      </c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>
        <f>SUM(Apr!C105, May!C105, Jun!C105)</f>
        <v>0</v>
      </c>
      <c r="D105" s="15">
        <f>SUM(Apr!D105, May!D105, Jun!D105)</f>
        <v>0</v>
      </c>
      <c r="E105" s="15">
        <f t="shared" si="10"/>
        <v>0</v>
      </c>
      <c r="F105" s="16" t="str">
        <f t="shared" si="11"/>
        <v/>
      </c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67">
        <f>SUM(Apr!C106, May!C106, Jun!C106)</f>
        <v>0</v>
      </c>
      <c r="D106" s="11">
        <f>SUM(Apr!D106, May!D106, Jun!D106)</f>
        <v>0</v>
      </c>
      <c r="E106" s="11">
        <f t="shared" si="10"/>
        <v>0</v>
      </c>
      <c r="F106" s="68" t="str">
        <f t="shared" si="11"/>
        <v/>
      </c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>
        <f>SUM(Apr!C107, May!C107, Jun!C107)</f>
        <v>0</v>
      </c>
      <c r="D107" s="15">
        <f>SUM(Apr!D107, May!D107, Jun!D107)</f>
        <v>0</v>
      </c>
      <c r="E107" s="15">
        <f t="shared" si="10"/>
        <v>0</v>
      </c>
      <c r="F107" s="16" t="str">
        <f t="shared" si="11"/>
        <v/>
      </c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67">
        <f>SUM(Apr!C108, May!C108, Jun!C108)</f>
        <v>0</v>
      </c>
      <c r="D108" s="11">
        <f>SUM(Apr!D108, May!D108, Jun!D108)</f>
        <v>0</v>
      </c>
      <c r="E108" s="11">
        <f t="shared" si="10"/>
        <v>0</v>
      </c>
      <c r="F108" s="68" t="str">
        <f t="shared" si="11"/>
        <v/>
      </c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>
        <f>SUM(Apr!C109, May!C109, Jun!C109)</f>
        <v>0</v>
      </c>
      <c r="D109" s="15">
        <f>SUM(Apr!D109, May!D109, Jun!D109)</f>
        <v>0</v>
      </c>
      <c r="E109" s="15">
        <f t="shared" si="10"/>
        <v>0</v>
      </c>
      <c r="F109" s="16" t="str">
        <f t="shared" si="11"/>
        <v/>
      </c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67">
        <f>SUM(Apr!C110, May!C110, Jun!C110)</f>
        <v>0</v>
      </c>
      <c r="D110" s="11">
        <f>SUM(Apr!D110, May!D110, Jun!D110)</f>
        <v>0</v>
      </c>
      <c r="E110" s="11">
        <f t="shared" si="10"/>
        <v>0</v>
      </c>
      <c r="F110" s="68" t="str">
        <f t="shared" si="11"/>
        <v/>
      </c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>
        <f>SUM(Apr!C111, May!C111, Jun!C111)</f>
        <v>0</v>
      </c>
      <c r="D111" s="15">
        <f>SUM(Apr!D111, May!D111, Jun!D111)</f>
        <v>0</v>
      </c>
      <c r="E111" s="15">
        <f t="shared" si="10"/>
        <v>0</v>
      </c>
      <c r="F111" s="16" t="str">
        <f t="shared" si="11"/>
        <v/>
      </c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67">
        <f>SUM(Apr!C112, May!C112, Jun!C112)</f>
        <v>0</v>
      </c>
      <c r="D112" s="11">
        <f>SUM(Apr!D112, May!D112, Jun!D112)</f>
        <v>0</v>
      </c>
      <c r="E112" s="11">
        <f t="shared" si="10"/>
        <v>0</v>
      </c>
      <c r="F112" s="68" t="str">
        <f t="shared" si="11"/>
        <v/>
      </c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>
        <f>SUM(Apr!C113, May!C113, Jun!C113)</f>
        <v>0</v>
      </c>
      <c r="D113" s="15">
        <f>SUM(Apr!D113, May!D113, Jun!D113)</f>
        <v>0</v>
      </c>
      <c r="E113" s="15">
        <f t="shared" si="10"/>
        <v>0</v>
      </c>
      <c r="F113" s="16" t="str">
        <f t="shared" si="11"/>
        <v/>
      </c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67">
        <f>SUM(Apr!C114, May!C114, Jun!C114)</f>
        <v>0</v>
      </c>
      <c r="D114" s="11">
        <f>SUM(Apr!D114, May!D114, Jun!D114)</f>
        <v>0</v>
      </c>
      <c r="E114" s="11">
        <f t="shared" ref="E114:E137" si="12">IF(AND(ISNUMBER(C114),ISNUMBER(D114)), C114-D114, "")</f>
        <v>0</v>
      </c>
      <c r="F114" s="68" t="str">
        <f t="shared" ref="F114:F137" si="13">IFERROR(E114/D114, "")</f>
        <v/>
      </c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>
        <f>SUM(Apr!C115, May!C115, Jun!C115)</f>
        <v>0</v>
      </c>
      <c r="D115" s="15">
        <f>SUM(Apr!D115, May!D115, Jun!D115)</f>
        <v>0</v>
      </c>
      <c r="E115" s="15">
        <f t="shared" si="12"/>
        <v>0</v>
      </c>
      <c r="F115" s="16" t="str">
        <f t="shared" si="13"/>
        <v/>
      </c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67">
        <f>SUM(Apr!C116, May!C116, Jun!C116)</f>
        <v>0</v>
      </c>
      <c r="D116" s="11">
        <f>SUM(Apr!D116, May!D116, Jun!D116)</f>
        <v>0</v>
      </c>
      <c r="E116" s="11">
        <f t="shared" si="12"/>
        <v>0</v>
      </c>
      <c r="F116" s="68" t="str">
        <f t="shared" si="13"/>
        <v/>
      </c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>
        <f>SUM(Apr!C117, May!C117, Jun!C117)</f>
        <v>0</v>
      </c>
      <c r="D117" s="15">
        <f>SUM(Apr!D117, May!D117, Jun!D117)</f>
        <v>0</v>
      </c>
      <c r="E117" s="15">
        <f t="shared" si="12"/>
        <v>0</v>
      </c>
      <c r="F117" s="16" t="str">
        <f t="shared" si="13"/>
        <v/>
      </c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67">
        <f>SUM(Apr!C118, May!C118, Jun!C118)</f>
        <v>0</v>
      </c>
      <c r="D118" s="11">
        <f>SUM(Apr!D118, May!D118, Jun!D118)</f>
        <v>0</v>
      </c>
      <c r="E118" s="11">
        <f t="shared" si="12"/>
        <v>0</v>
      </c>
      <c r="F118" s="68" t="str">
        <f t="shared" si="13"/>
        <v/>
      </c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>
        <f>SUM(Apr!C119, May!C119, Jun!C119)</f>
        <v>0</v>
      </c>
      <c r="D119" s="15">
        <f>SUM(Apr!D119, May!D119, Jun!D119)</f>
        <v>0</v>
      </c>
      <c r="E119" s="15">
        <f t="shared" si="12"/>
        <v>0</v>
      </c>
      <c r="F119" s="16" t="str">
        <f t="shared" si="13"/>
        <v/>
      </c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67">
        <f>SUM(Apr!C120, May!C120, Jun!C120)</f>
        <v>0</v>
      </c>
      <c r="D120" s="11">
        <f>SUM(Apr!D120, May!D120, Jun!D120)</f>
        <v>0</v>
      </c>
      <c r="E120" s="11">
        <f t="shared" si="12"/>
        <v>0</v>
      </c>
      <c r="F120" s="68" t="str">
        <f t="shared" si="13"/>
        <v/>
      </c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>
        <f>SUM(Apr!C121, May!C121, Jun!C121)</f>
        <v>0</v>
      </c>
      <c r="D121" s="15">
        <f>SUM(Apr!D121, May!D121, Jun!D121)</f>
        <v>0</v>
      </c>
      <c r="E121" s="15">
        <f t="shared" si="12"/>
        <v>0</v>
      </c>
      <c r="F121" s="16" t="str">
        <f t="shared" si="13"/>
        <v/>
      </c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67">
        <f>SUM(Apr!C122, May!C122, Jun!C122)</f>
        <v>0</v>
      </c>
      <c r="D122" s="11">
        <f>SUM(Apr!D122, May!D122, Jun!D122)</f>
        <v>0</v>
      </c>
      <c r="E122" s="11">
        <f t="shared" si="12"/>
        <v>0</v>
      </c>
      <c r="F122" s="68" t="str">
        <f t="shared" si="13"/>
        <v/>
      </c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>
        <f>SUM(Apr!C123, May!C123, Jun!C123)</f>
        <v>0</v>
      </c>
      <c r="D123" s="15">
        <f>SUM(Apr!D123, May!D123, Jun!D123)</f>
        <v>0</v>
      </c>
      <c r="E123" s="15">
        <f t="shared" si="12"/>
        <v>0</v>
      </c>
      <c r="F123" s="16" t="str">
        <f t="shared" si="13"/>
        <v/>
      </c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67">
        <f>SUM(Apr!C124, May!C124, Jun!C124)</f>
        <v>0</v>
      </c>
      <c r="D124" s="11">
        <f>SUM(Apr!D124, May!D124, Jun!D124)</f>
        <v>0</v>
      </c>
      <c r="E124" s="11">
        <f t="shared" si="12"/>
        <v>0</v>
      </c>
      <c r="F124" s="68" t="str">
        <f t="shared" si="13"/>
        <v/>
      </c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>
        <f>SUM(Apr!C125, May!C125, Jun!C125)</f>
        <v>0</v>
      </c>
      <c r="D125" s="15">
        <f>SUM(Apr!D125, May!D125, Jun!D125)</f>
        <v>0</v>
      </c>
      <c r="E125" s="15">
        <f t="shared" si="12"/>
        <v>0</v>
      </c>
      <c r="F125" s="16" t="str">
        <f t="shared" si="13"/>
        <v/>
      </c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67">
        <f>SUM(Apr!C126, May!C126, Jun!C126)</f>
        <v>0</v>
      </c>
      <c r="D126" s="11">
        <f>SUM(Apr!D126, May!D126, Jun!D126)</f>
        <v>0</v>
      </c>
      <c r="E126" s="11">
        <f t="shared" si="12"/>
        <v>0</v>
      </c>
      <c r="F126" s="68" t="str">
        <f t="shared" si="13"/>
        <v/>
      </c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>
        <f>SUM(Apr!C127, May!C127, Jun!C127)</f>
        <v>0</v>
      </c>
      <c r="D127" s="15">
        <f>SUM(Apr!D127, May!D127, Jun!D127)</f>
        <v>0</v>
      </c>
      <c r="E127" s="15">
        <f t="shared" si="12"/>
        <v>0</v>
      </c>
      <c r="F127" s="16" t="str">
        <f t="shared" si="13"/>
        <v/>
      </c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67">
        <f>SUM(Apr!C128, May!C128, Jun!C128)</f>
        <v>0</v>
      </c>
      <c r="D128" s="11">
        <f>SUM(Apr!D128, May!D128, Jun!D128)</f>
        <v>0</v>
      </c>
      <c r="E128" s="11">
        <f t="shared" si="12"/>
        <v>0</v>
      </c>
      <c r="F128" s="68" t="str">
        <f t="shared" si="13"/>
        <v/>
      </c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>
        <f>SUM(Apr!C129, May!C129, Jun!C129)</f>
        <v>0</v>
      </c>
      <c r="D129" s="15">
        <f>SUM(Apr!D129, May!D129, Jun!D129)</f>
        <v>0</v>
      </c>
      <c r="E129" s="15">
        <f t="shared" si="12"/>
        <v>0</v>
      </c>
      <c r="F129" s="16" t="str">
        <f t="shared" si="13"/>
        <v/>
      </c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67">
        <f>SUM(Apr!C130, May!C130, Jun!C130)</f>
        <v>0</v>
      </c>
      <c r="D130" s="11">
        <f>SUM(Apr!D130, May!D130, Jun!D130)</f>
        <v>0</v>
      </c>
      <c r="E130" s="11">
        <f t="shared" si="12"/>
        <v>0</v>
      </c>
      <c r="F130" s="68" t="str">
        <f t="shared" si="13"/>
        <v/>
      </c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>
        <f>SUM(Apr!C131, May!C131, Jun!C131)</f>
        <v>0</v>
      </c>
      <c r="D131" s="15">
        <f>SUM(Apr!D131, May!D131, Jun!D131)</f>
        <v>0</v>
      </c>
      <c r="E131" s="15">
        <f t="shared" si="12"/>
        <v>0</v>
      </c>
      <c r="F131" s="16" t="str">
        <f t="shared" si="13"/>
        <v/>
      </c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67">
        <f>SUM(Apr!C132, May!C132, Jun!C132)</f>
        <v>0</v>
      </c>
      <c r="D132" s="11">
        <f>SUM(Apr!D132, May!D132, Jun!D132)</f>
        <v>0</v>
      </c>
      <c r="E132" s="11">
        <f t="shared" si="12"/>
        <v>0</v>
      </c>
      <c r="F132" s="68" t="str">
        <f t="shared" si="13"/>
        <v/>
      </c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>
        <f>SUM(Apr!C133, May!C133, Jun!C133)</f>
        <v>0</v>
      </c>
      <c r="D133" s="15">
        <f>SUM(Apr!D133, May!D133, Jun!D133)</f>
        <v>0</v>
      </c>
      <c r="E133" s="15">
        <f t="shared" si="12"/>
        <v>0</v>
      </c>
      <c r="F133" s="16" t="str">
        <f t="shared" si="13"/>
        <v/>
      </c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67">
        <f>SUM(Apr!C134, May!C134, Jun!C134)</f>
        <v>0</v>
      </c>
      <c r="D134" s="11">
        <f>SUM(Apr!D134, May!D134, Jun!D134)</f>
        <v>0</v>
      </c>
      <c r="E134" s="11">
        <f t="shared" si="12"/>
        <v>0</v>
      </c>
      <c r="F134" s="68" t="str">
        <f t="shared" si="13"/>
        <v/>
      </c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>
        <f>SUM(Apr!C135, May!C135, Jun!C135)</f>
        <v>0</v>
      </c>
      <c r="D135" s="15">
        <f>SUM(Apr!D135, May!D135, Jun!D135)</f>
        <v>0</v>
      </c>
      <c r="E135" s="15">
        <f t="shared" si="12"/>
        <v>0</v>
      </c>
      <c r="F135" s="16" t="str">
        <f t="shared" si="13"/>
        <v/>
      </c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67">
        <f>SUM(Apr!C136, May!C136, Jun!C136)</f>
        <v>0</v>
      </c>
      <c r="D136" s="11">
        <f>SUM(Apr!D136, May!D136, Jun!D136)</f>
        <v>0</v>
      </c>
      <c r="E136" s="11">
        <f t="shared" si="12"/>
        <v>0</v>
      </c>
      <c r="F136" s="68" t="str">
        <f t="shared" si="13"/>
        <v/>
      </c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>
        <f>SUM(Apr!C137, May!C137, Jun!C137)</f>
        <v>0</v>
      </c>
      <c r="D137" s="15">
        <f>SUM(Apr!D137, May!D137, Jun!D137)</f>
        <v>0</v>
      </c>
      <c r="E137" s="15">
        <f t="shared" si="12"/>
        <v>0</v>
      </c>
      <c r="F137" s="16" t="str">
        <f t="shared" si="13"/>
        <v/>
      </c>
      <c r="G137" s="17"/>
      <c r="H137" s="17"/>
      <c r="I137" s="16"/>
      <c r="J137" s="39"/>
      <c r="K137" s="40"/>
    </row>
    <row r="138" spans="1:11" ht="15.75">
      <c r="A138" s="25" t="str">
        <v>Ridgeway #2</v>
      </c>
      <c r="B138" s="26" t="str">
        <v>NY</v>
      </c>
      <c r="C138" s="67"/>
      <c r="D138" s="11"/>
      <c r="E138" s="11"/>
      <c r="F138" s="68"/>
      <c r="G138" s="13"/>
      <c r="H138" s="13"/>
      <c r="I138" s="14"/>
    </row>
    <row r="139" spans="1:11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>
      <c r="A342" s="18"/>
      <c r="B342" s="18"/>
      <c r="C342" s="18"/>
      <c r="D342" s="18"/>
      <c r="E342" s="18"/>
      <c r="F342" s="19"/>
      <c r="G342" s="18"/>
      <c r="H342" s="18"/>
      <c r="I342" s="1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138 I4:I138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42"/>
  <sheetViews>
    <sheetView workbookViewId="0">
      <pane xSplit="2" ySplit="3" topLeftCell="C133" activePane="bottomRight" state="frozen"/>
      <selection pane="bottomRight" activeCell="D145" sqref="D145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>
        <f>SUM(Jul!C5, Aug!C5, Sep!C5)</f>
        <v>0</v>
      </c>
      <c r="D5" s="15">
        <f>SUM(Jul!D5, Aug!D5, Sep!D5)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/>
      <c r="H5" s="17">
        <f>SUM(Jul!H5, Aug!H5, Sep!H5)</f>
        <v>0</v>
      </c>
      <c r="I5" s="16" t="str">
        <f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SUM(Jul!C6, Aug!C6, Sep!C6)</f>
        <v>0</v>
      </c>
      <c r="D6" s="11">
        <f>SUM(Jul!D6, Aug!D6, Sep!D6)</f>
        <v>0</v>
      </c>
      <c r="E6" s="11">
        <f t="shared" si="0"/>
        <v>0</v>
      </c>
      <c r="F6" s="12" t="str">
        <f t="shared" ref="F6:F15" si="1">IFERROR(E6/D6, "")</f>
        <v/>
      </c>
      <c r="G6" s="13"/>
      <c r="H6" s="13">
        <f>SUM(Jul!H6, Aug!H6, Sep!H6)</f>
        <v>0</v>
      </c>
      <c r="I6" s="14" t="str">
        <f t="shared" ref="I6:I15" si="2">IFERROR(H6/G6, "")</f>
        <v/>
      </c>
      <c r="J6" s="38"/>
      <c r="K6" s="38"/>
    </row>
    <row r="7" spans="1:11" ht="15.75">
      <c r="A7" s="27" t="str">
        <v>Noble</v>
      </c>
      <c r="B7" s="28" t="str">
        <v>AZ</v>
      </c>
      <c r="C7" s="10">
        <f>SUM(Jul!C7, Aug!C7, Sep!C7)</f>
        <v>0</v>
      </c>
      <c r="D7" s="15">
        <f>SUM(Jul!D7, Aug!D7, Sep!D7)</f>
        <v>0</v>
      </c>
      <c r="E7" s="15">
        <f t="shared" si="0"/>
        <v>0</v>
      </c>
      <c r="F7" s="16" t="str">
        <f t="shared" si="1"/>
        <v/>
      </c>
      <c r="G7" s="17"/>
      <c r="H7" s="17">
        <f>SUM(Jul!H7, Aug!H7, Sep!H7)</f>
        <v>0</v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SUM(Jul!C8, Aug!C8, Sep!C8)</f>
        <v>0</v>
      </c>
      <c r="D8" s="11">
        <f>SUM(Jul!D8, Aug!D8, Sep!D8)</f>
        <v>0</v>
      </c>
      <c r="E8" s="11">
        <f t="shared" si="0"/>
        <v>0</v>
      </c>
      <c r="F8" s="12" t="str">
        <f t="shared" si="1"/>
        <v/>
      </c>
      <c r="G8" s="13"/>
      <c r="H8" s="13">
        <f>SUM(Jul!H8, Aug!H8, Sep!H8)</f>
        <v>0</v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SUM(Jul!C9, Aug!C9, Sep!C9)</f>
        <v>0</v>
      </c>
      <c r="D9" s="15">
        <f>SUM(Jul!D9, Aug!D9, Sep!D9)</f>
        <v>0</v>
      </c>
      <c r="E9" s="15">
        <f t="shared" si="0"/>
        <v>0</v>
      </c>
      <c r="F9" s="16" t="str">
        <f t="shared" si="1"/>
        <v/>
      </c>
      <c r="G9" s="17"/>
      <c r="H9" s="17">
        <f>SUM(Jul!H9, Aug!H9, Sep!H9)</f>
        <v>0</v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SUM(Jul!C10, Aug!C10, Sep!C10)</f>
        <v>0</v>
      </c>
      <c r="D10" s="11">
        <f>SUM(Jul!D10, Aug!D10, Sep!D10)</f>
        <v>0</v>
      </c>
      <c r="E10" s="11">
        <f t="shared" si="0"/>
        <v>0</v>
      </c>
      <c r="F10" s="12" t="str">
        <f t="shared" si="1"/>
        <v/>
      </c>
      <c r="G10" s="13"/>
      <c r="H10" s="13">
        <f>SUM(Jul!H10, Aug!H10, Sep!H10)</f>
        <v>0</v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SUM(Jul!C11, Aug!C11, Sep!C11)</f>
        <v>0</v>
      </c>
      <c r="D11" s="15">
        <f>SUM(Jul!D11, Aug!D11, Sep!D11)</f>
        <v>0</v>
      </c>
      <c r="E11" s="15">
        <f t="shared" si="0"/>
        <v>0</v>
      </c>
      <c r="F11" s="16" t="str">
        <f t="shared" si="1"/>
        <v/>
      </c>
      <c r="G11" s="17"/>
      <c r="H11" s="17">
        <f>SUM(Jul!H11, Aug!H11, Sep!H11)</f>
        <v>0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SUM(Jul!C12, Aug!C12, Sep!C12)</f>
        <v>0</v>
      </c>
      <c r="D12" s="11">
        <f>SUM(Jul!D12, Aug!D12, Sep!D12)</f>
        <v>0</v>
      </c>
      <c r="E12" s="11">
        <f t="shared" si="0"/>
        <v>0</v>
      </c>
      <c r="F12" s="12" t="str">
        <f t="shared" si="1"/>
        <v/>
      </c>
      <c r="G12" s="13"/>
      <c r="H12" s="13">
        <f>SUM(Jul!H12, Aug!H12, Sep!H12)</f>
        <v>0</v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SUM(Jul!C13, Aug!C13, Sep!C13)</f>
        <v>0</v>
      </c>
      <c r="D13" s="15">
        <f>SUM(Jul!D13, Aug!D13, Sep!D13)</f>
        <v>0</v>
      </c>
      <c r="E13" s="15">
        <f t="shared" si="0"/>
        <v>0</v>
      </c>
      <c r="F13" s="16" t="str">
        <f t="shared" si="1"/>
        <v/>
      </c>
      <c r="G13" s="17"/>
      <c r="H13" s="17">
        <f>SUM(Jul!H13, Aug!H13, Sep!H13)</f>
        <v>0</v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SUM(Jul!C14, Aug!C14, Sep!C14)</f>
        <v>0</v>
      </c>
      <c r="D14" s="11">
        <f>SUM(Jul!D14, Aug!D14, Sep!D14)</f>
        <v>0</v>
      </c>
      <c r="E14" s="11">
        <f t="shared" si="0"/>
        <v>0</v>
      </c>
      <c r="F14" s="12" t="str">
        <f t="shared" si="1"/>
        <v/>
      </c>
      <c r="G14" s="13"/>
      <c r="H14" s="13">
        <f>SUM(Jul!H14, Aug!H14, Sep!H14)</f>
        <v>0</v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SUM(Jul!C15, Aug!C15, Sep!C15)</f>
        <v>0</v>
      </c>
      <c r="D15" s="15">
        <f>SUM(Jul!D15, Aug!D15, Sep!D15)</f>
        <v>0</v>
      </c>
      <c r="E15" s="15">
        <f t="shared" si="0"/>
        <v>0</v>
      </c>
      <c r="F15" s="16" t="str">
        <f t="shared" si="1"/>
        <v/>
      </c>
      <c r="G15" s="17"/>
      <c r="H15" s="17">
        <f>SUM(Jul!H15, Aug!H15, Sep!H15)</f>
        <v>0</v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SUM(Jul!C16, Aug!C16, Sep!C16)</f>
        <v>0</v>
      </c>
      <c r="D16" s="11">
        <f>SUM(Jul!D16, Aug!D16, Sep!D16)</f>
        <v>0</v>
      </c>
      <c r="E16" s="11">
        <f t="shared" ref="E16:E17" si="3">IF(AND(ISNUMBER(C16),ISNUMBER(D16)), C16-D16, "")</f>
        <v>0</v>
      </c>
      <c r="F16" s="12" t="str">
        <f t="shared" ref="F16:F17" si="4">IFERROR(E16/D16, "")</f>
        <v/>
      </c>
      <c r="G16" s="13"/>
      <c r="H16" s="13">
        <f>SUM(Jul!H16, Aug!H16, Sep!H16)</f>
        <v>0</v>
      </c>
      <c r="I16" s="14" t="str">
        <f t="shared" ref="I16:I17" si="5">IFERROR(H16/G16, "")</f>
        <v/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SUM(Jul!C17, Aug!C17, Sep!C17)</f>
        <v>0</v>
      </c>
      <c r="D17" s="15">
        <f>SUM(Jul!D17, Aug!D17, Sep!D17)</f>
        <v>0</v>
      </c>
      <c r="E17" s="15">
        <f t="shared" si="3"/>
        <v>0</v>
      </c>
      <c r="F17" s="16" t="str">
        <f t="shared" si="4"/>
        <v/>
      </c>
      <c r="G17" s="17"/>
      <c r="H17" s="17">
        <f>SUM(Jul!H17, Aug!H17, Sep!H17)</f>
        <v>0</v>
      </c>
      <c r="I17" s="16" t="str">
        <f t="shared" si="5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.75">
      <c r="A138" s="25" t="str">
        <v>Ridgeway #2</v>
      </c>
      <c r="B138" s="26" t="str">
        <v>NY</v>
      </c>
      <c r="C138" s="21"/>
      <c r="D138" s="11"/>
      <c r="E138" s="11"/>
      <c r="F138" s="12"/>
      <c r="G138" s="13"/>
      <c r="H138" s="13"/>
      <c r="I138" s="14"/>
    </row>
    <row r="139" spans="1:11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>
      <c r="A342" s="18"/>
      <c r="B342" s="18"/>
      <c r="C342" s="18"/>
      <c r="D342" s="18"/>
      <c r="E342" s="18"/>
      <c r="F342" s="19"/>
      <c r="G342" s="18"/>
      <c r="H342" s="18"/>
      <c r="I342" s="19"/>
    </row>
  </sheetData>
  <mergeCells count="4">
    <mergeCell ref="G1:I1"/>
    <mergeCell ref="A1:C1"/>
    <mergeCell ref="D1:F1"/>
    <mergeCell ref="A2:B2"/>
  </mergeCells>
  <conditionalFormatting sqref="F2 I2">
    <cfRule type="cellIs" dxfId="56" priority="3" stopIfTrue="1" operator="lessThanOrEqual">
      <formula>-0.1</formula>
    </cfRule>
    <cfRule type="expression" dxfId="55" priority="4">
      <formula>AND(ISNUMBER(F2), F2&gt;=0.1)</formula>
    </cfRule>
  </conditionalFormatting>
  <conditionalFormatting sqref="F4:F138 I4:I138">
    <cfRule type="cellIs" dxfId="54" priority="1" stopIfTrue="1" operator="lessThanOrEqual">
      <formula>-0.1</formula>
    </cfRule>
    <cfRule type="expression" dxfId="5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342"/>
  <sheetViews>
    <sheetView workbookViewId="0">
      <pane xSplit="2" ySplit="3" topLeftCell="F139" activePane="bottomRight" state="frozen"/>
      <selection pane="bottomRight" activeCell="F140" sqref="F140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>
        <f>SUM(Oct!C5, Nov!C5, Dec!C5)</f>
        <v>0</v>
      </c>
      <c r="D5" s="15">
        <f>SUM(Oct!D5, Nov!D5, Dec!D5)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/>
      <c r="H5" s="17">
        <f>SUM(Oct!H5, Nov!H5, Dec!H5)</f>
        <v>0</v>
      </c>
      <c r="I5" s="16" t="str">
        <f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>
        <f>SUM(Oct!C6, Nov!C6, Dec!C6)</f>
        <v>0</v>
      </c>
      <c r="D6" s="11">
        <f>SUM(Oct!D6, Nov!D6, Dec!D6)</f>
        <v>0</v>
      </c>
      <c r="E6" s="11">
        <f t="shared" si="0"/>
        <v>0</v>
      </c>
      <c r="F6" s="12" t="str">
        <f t="shared" ref="F6:F15" si="1">IFERROR(E6/D6, "")</f>
        <v/>
      </c>
      <c r="G6" s="13"/>
      <c r="H6" s="13">
        <f>SUM(Oct!H6, Nov!H6, Dec!H6)</f>
        <v>0</v>
      </c>
      <c r="I6" s="14" t="str">
        <f t="shared" ref="I6:I15" si="2">IFERROR(H6/G6, "")</f>
        <v/>
      </c>
      <c r="J6" s="38"/>
      <c r="K6" s="38"/>
    </row>
    <row r="7" spans="1:11" ht="15.75">
      <c r="A7" s="27" t="str">
        <v>Noble</v>
      </c>
      <c r="B7" s="28" t="str">
        <v>AZ</v>
      </c>
      <c r="C7" s="10">
        <f>SUM(Oct!C7, Nov!C7, Dec!C7)</f>
        <v>0</v>
      </c>
      <c r="D7" s="15">
        <f>SUM(Oct!D7, Nov!D7, Dec!D7)</f>
        <v>0</v>
      </c>
      <c r="E7" s="15">
        <f t="shared" si="0"/>
        <v>0</v>
      </c>
      <c r="F7" s="16" t="str">
        <f t="shared" si="1"/>
        <v/>
      </c>
      <c r="G7" s="17"/>
      <c r="H7" s="17">
        <f>SUM(Oct!H7, Nov!H7, Dec!H7)</f>
        <v>0</v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>
        <f>SUM(Oct!C8, Nov!C8, Dec!C8)</f>
        <v>0</v>
      </c>
      <c r="D8" s="11">
        <f>SUM(Oct!D8, Nov!D8, Dec!D8)</f>
        <v>0</v>
      </c>
      <c r="E8" s="11">
        <f t="shared" si="0"/>
        <v>0</v>
      </c>
      <c r="F8" s="12" t="str">
        <f t="shared" si="1"/>
        <v/>
      </c>
      <c r="G8" s="13"/>
      <c r="H8" s="13">
        <f>SUM(Oct!H8, Nov!H8, Dec!H8)</f>
        <v>0</v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>
        <f>SUM(Oct!C9, Nov!C9, Dec!C9)</f>
        <v>0</v>
      </c>
      <c r="D9" s="15">
        <f>SUM(Oct!D9, Nov!D9, Dec!D9)</f>
        <v>0</v>
      </c>
      <c r="E9" s="15">
        <f t="shared" si="0"/>
        <v>0</v>
      </c>
      <c r="F9" s="16" t="str">
        <f t="shared" si="1"/>
        <v/>
      </c>
      <c r="G9" s="17"/>
      <c r="H9" s="17">
        <f>SUM(Oct!H9, Nov!H9, Dec!H9)</f>
        <v>0</v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>
        <f>SUM(Oct!C10, Nov!C10, Dec!C10)</f>
        <v>0</v>
      </c>
      <c r="D10" s="11">
        <f>SUM(Oct!D10, Nov!D10, Dec!D10)</f>
        <v>0</v>
      </c>
      <c r="E10" s="11">
        <f t="shared" si="0"/>
        <v>0</v>
      </c>
      <c r="F10" s="12" t="str">
        <f t="shared" si="1"/>
        <v/>
      </c>
      <c r="G10" s="13"/>
      <c r="H10" s="13">
        <f>SUM(Oct!H10, Nov!H10, Dec!H10)</f>
        <v>0</v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>
        <f>SUM(Oct!C11, Nov!C11, Dec!C11)</f>
        <v>0</v>
      </c>
      <c r="D11" s="15">
        <f>SUM(Oct!D11, Nov!D11, Dec!D11)</f>
        <v>0</v>
      </c>
      <c r="E11" s="15">
        <f t="shared" si="0"/>
        <v>0</v>
      </c>
      <c r="F11" s="16" t="str">
        <f t="shared" si="1"/>
        <v/>
      </c>
      <c r="G11" s="17"/>
      <c r="H11" s="17">
        <f>SUM(Oct!H11, Nov!H11, Dec!H11)</f>
        <v>0</v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>
        <f>SUM(Oct!C12, Nov!C12, Dec!C12)</f>
        <v>0</v>
      </c>
      <c r="D12" s="11">
        <f>SUM(Oct!D12, Nov!D12, Dec!D12)</f>
        <v>0</v>
      </c>
      <c r="E12" s="11">
        <f t="shared" si="0"/>
        <v>0</v>
      </c>
      <c r="F12" s="12" t="str">
        <f t="shared" si="1"/>
        <v/>
      </c>
      <c r="G12" s="13"/>
      <c r="H12" s="13">
        <f>SUM(Oct!H12, Nov!H12, Dec!H12)</f>
        <v>0</v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>
        <f>SUM(Oct!C13, Nov!C13, Dec!C13)</f>
        <v>0</v>
      </c>
      <c r="D13" s="15">
        <f>SUM(Oct!D13, Nov!D13, Dec!D13)</f>
        <v>0</v>
      </c>
      <c r="E13" s="15">
        <f t="shared" si="0"/>
        <v>0</v>
      </c>
      <c r="F13" s="16" t="str">
        <f t="shared" si="1"/>
        <v/>
      </c>
      <c r="G13" s="17"/>
      <c r="H13" s="17">
        <f>SUM(Oct!H13, Nov!H13, Dec!H13)</f>
        <v>0</v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>
        <f>SUM(Oct!C14, Nov!C14, Dec!C14)</f>
        <v>0</v>
      </c>
      <c r="D14" s="11">
        <f>SUM(Oct!D14, Nov!D14, Dec!D14)</f>
        <v>0</v>
      </c>
      <c r="E14" s="11">
        <f t="shared" si="0"/>
        <v>0</v>
      </c>
      <c r="F14" s="12" t="str">
        <f t="shared" si="1"/>
        <v/>
      </c>
      <c r="G14" s="13"/>
      <c r="H14" s="13">
        <f>SUM(Oct!H14, Nov!H14, Dec!H14)</f>
        <v>0</v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f>SUM(Oct!C15, Nov!C15, Dec!C15)</f>
        <v>0</v>
      </c>
      <c r="D15" s="15">
        <f>SUM(Oct!D15, Nov!D15, Dec!D15)</f>
        <v>0</v>
      </c>
      <c r="E15" s="15">
        <f t="shared" si="0"/>
        <v>0</v>
      </c>
      <c r="F15" s="16" t="str">
        <f t="shared" si="1"/>
        <v/>
      </c>
      <c r="G15" s="17"/>
      <c r="H15" s="17">
        <f>SUM(Oct!H15, Nov!H15, Dec!H15)</f>
        <v>0</v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f>SUM(Oct!C16, Nov!C16, Dec!C16)</f>
        <v>0</v>
      </c>
      <c r="D16" s="11">
        <f>SUM(Oct!D16, Nov!D16, Dec!D16)</f>
        <v>0</v>
      </c>
      <c r="E16" s="11">
        <f t="shared" ref="E16:E17" si="3">IF(AND(ISNUMBER(C16),ISNUMBER(D16)), C16-D16, "")</f>
        <v>0</v>
      </c>
      <c r="F16" s="12" t="str">
        <f t="shared" ref="F16:F17" si="4">IFERROR(E16/D16, "")</f>
        <v/>
      </c>
      <c r="G16" s="13"/>
      <c r="H16" s="13">
        <f>SUM(Oct!H16, Nov!H16, Dec!H16)</f>
        <v>0</v>
      </c>
      <c r="I16" s="14" t="str">
        <f t="shared" ref="I16:I17" si="5">IFERROR(H16/G16, "")</f>
        <v/>
      </c>
      <c r="J16" s="38"/>
      <c r="K16" s="38"/>
    </row>
    <row r="17" spans="1:11" ht="15.75">
      <c r="A17" s="27" t="str">
        <v>SCNM</v>
      </c>
      <c r="B17" s="28" t="str">
        <v>AZ</v>
      </c>
      <c r="C17" s="10">
        <f>SUM(Oct!C17, Nov!C17, Dec!C17)</f>
        <v>0</v>
      </c>
      <c r="D17" s="15">
        <f>SUM(Oct!D17, Nov!D17, Dec!D17)</f>
        <v>0</v>
      </c>
      <c r="E17" s="15">
        <f t="shared" si="3"/>
        <v>0</v>
      </c>
      <c r="F17" s="16" t="str">
        <f t="shared" si="4"/>
        <v/>
      </c>
      <c r="G17" s="17"/>
      <c r="H17" s="17">
        <f>SUM(Oct!H17, Nov!H17, Dec!H17)</f>
        <v>0</v>
      </c>
      <c r="I17" s="16" t="str">
        <f t="shared" si="5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.75">
      <c r="A138" s="25" t="str">
        <v>Ridgeway #2</v>
      </c>
      <c r="B138" s="26" t="str">
        <v>NY</v>
      </c>
      <c r="C138" s="21"/>
      <c r="D138" s="11"/>
      <c r="E138" s="11"/>
      <c r="F138" s="12"/>
      <c r="G138" s="13"/>
      <c r="H138" s="13"/>
      <c r="I138" s="14"/>
      <c r="J138" s="38"/>
      <c r="K138" s="38"/>
    </row>
    <row r="139" spans="1:11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11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11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11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11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11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18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18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18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18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18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18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18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18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18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18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18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18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18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18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18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18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18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18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18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18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18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18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18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18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18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18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18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18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18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18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18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18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18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18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18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18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18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18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18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18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18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18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18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18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18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18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18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18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18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18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18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18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18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18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18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18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18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18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18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18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18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18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18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18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18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18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18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18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18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18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18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18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18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18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18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18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18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18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18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18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18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18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18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18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18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18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18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18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18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18"/>
      <c r="C331" s="18"/>
      <c r="D331" s="18"/>
      <c r="E331" s="18"/>
      <c r="F331" s="19"/>
      <c r="G331" s="18"/>
      <c r="H331" s="18"/>
      <c r="I331" s="19"/>
    </row>
    <row r="332" spans="1:9">
      <c r="A332" s="18"/>
      <c r="B332" s="18"/>
      <c r="C332" s="18"/>
      <c r="D332" s="18"/>
      <c r="E332" s="18"/>
      <c r="F332" s="19"/>
      <c r="G332" s="18"/>
      <c r="H332" s="18"/>
      <c r="I332" s="19"/>
    </row>
    <row r="333" spans="1:9">
      <c r="A333" s="18"/>
      <c r="B333" s="18"/>
      <c r="C333" s="18"/>
      <c r="D333" s="18"/>
      <c r="E333" s="18"/>
      <c r="F333" s="19"/>
      <c r="G333" s="18"/>
      <c r="H333" s="18"/>
      <c r="I333" s="19"/>
    </row>
    <row r="334" spans="1:9">
      <c r="A334" s="18"/>
      <c r="B334" s="18"/>
      <c r="C334" s="18"/>
      <c r="D334" s="18"/>
      <c r="E334" s="18"/>
      <c r="F334" s="19"/>
      <c r="G334" s="18"/>
      <c r="H334" s="18"/>
      <c r="I334" s="19"/>
    </row>
    <row r="335" spans="1:9">
      <c r="A335" s="18"/>
      <c r="B335" s="18"/>
      <c r="C335" s="18"/>
      <c r="D335" s="18"/>
      <c r="E335" s="18"/>
      <c r="F335" s="19"/>
      <c r="G335" s="18"/>
      <c r="H335" s="18"/>
      <c r="I335" s="19"/>
    </row>
    <row r="336" spans="1:9">
      <c r="A336" s="18"/>
      <c r="B336" s="18"/>
      <c r="C336" s="18"/>
      <c r="D336" s="18"/>
      <c r="E336" s="18"/>
      <c r="F336" s="19"/>
      <c r="G336" s="18"/>
      <c r="H336" s="18"/>
      <c r="I336" s="19"/>
    </row>
    <row r="337" spans="1:9">
      <c r="A337" s="18"/>
      <c r="B337" s="18"/>
      <c r="C337" s="18"/>
      <c r="D337" s="18"/>
      <c r="E337" s="18"/>
      <c r="F337" s="19"/>
      <c r="G337" s="18"/>
      <c r="H337" s="18"/>
      <c r="I337" s="19"/>
    </row>
    <row r="338" spans="1:9">
      <c r="A338" s="18"/>
      <c r="B338" s="18"/>
      <c r="C338" s="18"/>
      <c r="D338" s="18"/>
      <c r="E338" s="18"/>
      <c r="F338" s="19"/>
      <c r="G338" s="18"/>
      <c r="H338" s="18"/>
      <c r="I338" s="19"/>
    </row>
    <row r="339" spans="1:9">
      <c r="A339" s="18"/>
      <c r="B339" s="18"/>
      <c r="C339" s="18"/>
      <c r="D339" s="18"/>
      <c r="E339" s="18"/>
      <c r="F339" s="19"/>
      <c r="G339" s="18"/>
      <c r="H339" s="18"/>
      <c r="I339" s="19"/>
    </row>
    <row r="340" spans="1:9">
      <c r="A340" s="18"/>
      <c r="B340" s="18"/>
      <c r="C340" s="18"/>
      <c r="D340" s="18"/>
      <c r="E340" s="18"/>
      <c r="F340" s="19"/>
      <c r="G340" s="18"/>
      <c r="H340" s="18"/>
      <c r="I340" s="19"/>
    </row>
    <row r="341" spans="1:9">
      <c r="A341" s="18"/>
      <c r="B341" s="18"/>
      <c r="C341" s="18"/>
      <c r="D341" s="18"/>
      <c r="E341" s="18"/>
      <c r="F341" s="19"/>
      <c r="G341" s="18"/>
      <c r="H341" s="18"/>
      <c r="I341" s="19"/>
    </row>
    <row r="342" spans="1:9">
      <c r="A342" s="18"/>
      <c r="B342" s="18"/>
      <c r="C342" s="18"/>
      <c r="D342" s="18"/>
      <c r="E342" s="18"/>
      <c r="F342" s="19"/>
      <c r="G342" s="18"/>
      <c r="H342" s="18"/>
      <c r="I342" s="19"/>
    </row>
  </sheetData>
  <mergeCells count="4">
    <mergeCell ref="G1:I1"/>
    <mergeCell ref="A1:C1"/>
    <mergeCell ref="D1:F1"/>
    <mergeCell ref="A2:B2"/>
  </mergeCells>
  <conditionalFormatting sqref="F2 I2">
    <cfRule type="cellIs" dxfId="52" priority="3" stopIfTrue="1" operator="lessThanOrEqual">
      <formula>-0.1</formula>
    </cfRule>
    <cfRule type="expression" dxfId="51" priority="4">
      <formula>AND(ISNUMBER(F2), F2&gt;=0.1)</formula>
    </cfRule>
  </conditionalFormatting>
  <conditionalFormatting sqref="F4:F138 I4:I138">
    <cfRule type="cellIs" dxfId="50" priority="1" stopIfTrue="1" operator="lessThanOrEqual">
      <formula>-0.1</formula>
    </cfRule>
    <cfRule type="expression" dxfId="4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tabSelected="1" zoomScale="90" zoomScaleNormal="90" workbookViewId="0">
      <pane xSplit="2" ySplit="3" topLeftCell="C99" activePane="bottomRight" state="frozen"/>
      <selection pane="bottomRight" activeCell="A18" sqref="A18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SUM(C4:C137)</f>
        <v>5231538.1062812647</v>
      </c>
      <c r="D2" s="6">
        <f>SUM(D4:D137)</f>
        <v>2888612.5548000005</v>
      </c>
      <c r="E2" s="6">
        <f>C2-D2</f>
        <v>2342925.5514812642</v>
      </c>
      <c r="F2" s="7">
        <f>IFERROR(E2/D2, 0)</f>
        <v>0.81109027501387487</v>
      </c>
      <c r="G2" s="6">
        <f>SUM(G4:G137)</f>
        <v>9202509.7462000009</v>
      </c>
      <c r="H2" s="8">
        <f>C2-G2</f>
        <v>-3970971.6399187362</v>
      </c>
      <c r="I2" s="7">
        <f>IFERROR(H2/G2, 0)</f>
        <v>-0.43150963698337536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4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7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>
        <v>9019.8055667054105</v>
      </c>
      <c r="D4" s="11">
        <v>7182.884</v>
      </c>
      <c r="E4" s="11">
        <f>IF(AND(ISNUMBER(C4),ISNUMBER(D4)), C4-D4, "")</f>
        <v>1836.9215667054104</v>
      </c>
      <c r="F4" s="12">
        <f>IFERROR(E4/D4, "")</f>
        <v>0.25573593652708443</v>
      </c>
      <c r="G4" s="13">
        <v>9612.777</v>
      </c>
      <c r="H4" s="13">
        <f>IF(AND(ISNUMBER(C4),ISNUMBER(G4)), C4-G4, "")</f>
        <v>-592.97143329458959</v>
      </c>
      <c r="I4" s="14">
        <f>IFERROR(H4/G4, "")</f>
        <v>-6.1685757746652144E-2</v>
      </c>
      <c r="J4" s="38" t="s">
        <v>22</v>
      </c>
      <c r="K4" s="38" t="s">
        <v>22</v>
      </c>
    </row>
    <row r="5" spans="1:11" ht="15.75">
      <c r="A5" s="27" t="str">
        <v>Fulton</v>
      </c>
      <c r="B5" s="28" t="str">
        <v>AZ</v>
      </c>
      <c r="C5" s="10">
        <v>29434.75</v>
      </c>
      <c r="D5" s="15">
        <v>28981.22</v>
      </c>
      <c r="E5" s="15">
        <f t="shared" ref="E5:E15" si="0">IF(AND(ISNUMBER(C5),ISNUMBER(D5)), C5-D5, "")</f>
        <v>453.52999999999884</v>
      </c>
      <c r="F5" s="16">
        <f>IFERROR(E5/D5, "")</f>
        <v>1.5649099658330425E-2</v>
      </c>
      <c r="G5" s="17">
        <v>39673.79</v>
      </c>
      <c r="H5" s="17">
        <f t="shared" ref="H5:H6" si="1">IF(AND(ISNUMBER(C5),ISNUMBER(G5)), C5-G5, "")</f>
        <v>-10239.040000000001</v>
      </c>
      <c r="I5" s="16">
        <f t="shared" ref="I5:I6" si="2">IFERROR(H5/G5, "")</f>
        <v>-0.25808071273251182</v>
      </c>
      <c r="J5" s="39" t="s">
        <v>22</v>
      </c>
      <c r="K5" s="39" t="s">
        <v>22</v>
      </c>
    </row>
    <row r="6" spans="1:11" ht="15.75">
      <c r="A6" s="25" t="str">
        <v>JFK Elementary</v>
      </c>
      <c r="B6" s="26" t="str">
        <v>AZ</v>
      </c>
      <c r="C6" s="21">
        <v>15656.69</v>
      </c>
      <c r="D6" s="11">
        <v>0</v>
      </c>
      <c r="E6" s="11">
        <f t="shared" si="0"/>
        <v>15656.69</v>
      </c>
      <c r="F6" s="12" t="str">
        <f t="shared" ref="F6:F15" si="3">IFERROR(E6/D6, "")</f>
        <v/>
      </c>
      <c r="G6" s="13">
        <v>1973</v>
      </c>
      <c r="H6" s="13">
        <f t="shared" si="1"/>
        <v>13683.69</v>
      </c>
      <c r="I6" s="14">
        <f t="shared" si="2"/>
        <v>6.9354738976178414</v>
      </c>
      <c r="J6" s="38" t="s">
        <v>22</v>
      </c>
      <c r="K6" s="38" t="s">
        <v>22</v>
      </c>
    </row>
    <row r="7" spans="1:11" ht="15.75">
      <c r="A7" s="27" t="str">
        <v>Noble</v>
      </c>
      <c r="B7" s="28" t="str">
        <v>AZ</v>
      </c>
      <c r="C7" s="10">
        <v>8806.2478459322592</v>
      </c>
      <c r="D7" s="15">
        <v>12098.42</v>
      </c>
      <c r="E7" s="15">
        <f t="shared" si="0"/>
        <v>-3292.1721540677408</v>
      </c>
      <c r="F7" s="16">
        <f t="shared" si="3"/>
        <v>-0.27211587579764474</v>
      </c>
      <c r="G7" s="17">
        <v>11218.66</v>
      </c>
      <c r="H7" s="17">
        <f t="shared" ref="H7:H15" si="4">IF(AND(ISNUMBER(C7),ISNUMBER(G7)), C7-G7, "")</f>
        <v>-2412.4121540677406</v>
      </c>
      <c r="I7" s="16">
        <f t="shared" ref="I7:I15" si="5">IFERROR(H7/G7, "")</f>
        <v>-0.21503567752902225</v>
      </c>
      <c r="J7" s="39" t="s">
        <v>22</v>
      </c>
      <c r="K7" s="40" t="s">
        <v>22</v>
      </c>
    </row>
    <row r="8" spans="1:11" ht="45">
      <c r="A8" s="25" t="str">
        <v>Parking 3</v>
      </c>
      <c r="B8" s="26" t="str">
        <v>AZ</v>
      </c>
      <c r="C8" s="21">
        <v>16586.8</v>
      </c>
      <c r="D8" s="11">
        <v>24366.89</v>
      </c>
      <c r="E8" s="11">
        <f t="shared" si="0"/>
        <v>-7780.09</v>
      </c>
      <c r="F8" s="12">
        <f t="shared" si="3"/>
        <v>-0.31928941280565554</v>
      </c>
      <c r="G8" s="13">
        <v>24201.63</v>
      </c>
      <c r="H8" s="13">
        <f t="shared" si="4"/>
        <v>-7614.8300000000017</v>
      </c>
      <c r="I8" s="14">
        <f t="shared" si="5"/>
        <v>-0.31464120391890965</v>
      </c>
      <c r="J8" s="38" t="s">
        <v>23</v>
      </c>
      <c r="K8" s="38" t="s">
        <v>24</v>
      </c>
    </row>
    <row r="9" spans="1:11" ht="15.75">
      <c r="A9" s="27" t="str">
        <v>PE East</v>
      </c>
      <c r="B9" s="28" t="str">
        <v>AZ</v>
      </c>
      <c r="C9" s="10">
        <v>20730.183365017401</v>
      </c>
      <c r="D9" s="15">
        <v>16836.22</v>
      </c>
      <c r="E9" s="15">
        <f t="shared" si="0"/>
        <v>3893.9633650174001</v>
      </c>
      <c r="F9" s="16">
        <f t="shared" si="3"/>
        <v>0.23128489441319963</v>
      </c>
      <c r="G9" s="17">
        <v>24326.73</v>
      </c>
      <c r="H9" s="17">
        <f t="shared" si="4"/>
        <v>-3596.5466349825983</v>
      </c>
      <c r="I9" s="16">
        <f t="shared" si="5"/>
        <v>-0.14784340661414824</v>
      </c>
      <c r="J9" s="39" t="s">
        <v>22</v>
      </c>
      <c r="K9" s="40" t="s">
        <v>22</v>
      </c>
    </row>
    <row r="10" spans="1:11" ht="15.75">
      <c r="A10" s="25" t="str">
        <v>Schwada</v>
      </c>
      <c r="B10" s="26" t="str">
        <v>AZ</v>
      </c>
      <c r="C10" s="21">
        <v>8912.9887629654295</v>
      </c>
      <c r="D10" s="11">
        <v>7118.6189999999997</v>
      </c>
      <c r="E10" s="11">
        <f t="shared" si="0"/>
        <v>1794.3697629654298</v>
      </c>
      <c r="F10" s="12">
        <f t="shared" si="3"/>
        <v>0.25206711624339356</v>
      </c>
      <c r="G10" s="13">
        <v>10705</v>
      </c>
      <c r="H10" s="13">
        <f t="shared" si="4"/>
        <v>-1792.0112370345705</v>
      </c>
      <c r="I10" s="14">
        <f t="shared" si="5"/>
        <v>-0.16739946165666236</v>
      </c>
      <c r="J10" s="38" t="s">
        <v>22</v>
      </c>
      <c r="K10" s="38" t="s">
        <v>22</v>
      </c>
    </row>
    <row r="11" spans="1:11" ht="15.75">
      <c r="A11" s="27" t="str">
        <v>Starshine</v>
      </c>
      <c r="B11" s="28" t="str">
        <v>AZ</v>
      </c>
      <c r="C11" s="10">
        <v>3747.203</v>
      </c>
      <c r="D11" s="15">
        <v>0</v>
      </c>
      <c r="E11" s="15">
        <f t="shared" si="0"/>
        <v>3747.203</v>
      </c>
      <c r="F11" s="16" t="str">
        <f t="shared" si="3"/>
        <v/>
      </c>
      <c r="G11" s="17">
        <v>0</v>
      </c>
      <c r="H11" s="17">
        <f t="shared" si="4"/>
        <v>3747.203</v>
      </c>
      <c r="I11" s="16" t="str">
        <f t="shared" si="5"/>
        <v/>
      </c>
      <c r="J11" s="39" t="s">
        <v>25</v>
      </c>
      <c r="K11" s="40" t="s">
        <v>26</v>
      </c>
    </row>
    <row r="12" spans="1:11" ht="15.75">
      <c r="A12" s="25" t="str">
        <v>Yuma Airport</v>
      </c>
      <c r="B12" s="26" t="str">
        <v>AZ</v>
      </c>
      <c r="C12" s="21">
        <v>52995</v>
      </c>
      <c r="D12" s="11">
        <v>74566.16</v>
      </c>
      <c r="E12" s="11">
        <f t="shared" si="0"/>
        <v>-21571.160000000003</v>
      </c>
      <c r="F12" s="12">
        <f t="shared" si="3"/>
        <v>-0.28928886776521684</v>
      </c>
      <c r="G12" s="13">
        <v>67067</v>
      </c>
      <c r="H12" s="13">
        <f t="shared" si="4"/>
        <v>-14072</v>
      </c>
      <c r="I12" s="14">
        <f t="shared" si="5"/>
        <v>-0.20982003071555311</v>
      </c>
      <c r="J12" s="38" t="s">
        <v>22</v>
      </c>
      <c r="K12" s="38" t="s">
        <v>22</v>
      </c>
    </row>
    <row r="13" spans="1:11" ht="15.75">
      <c r="A13" s="27" t="str">
        <v>Kinsman</v>
      </c>
      <c r="B13" s="28" t="str">
        <v>OH</v>
      </c>
      <c r="C13" s="10">
        <v>20047.7890625</v>
      </c>
      <c r="D13" s="15">
        <v>40688.25</v>
      </c>
      <c r="E13" s="15">
        <f t="shared" si="0"/>
        <v>-20640.4609375</v>
      </c>
      <c r="F13" s="16">
        <f t="shared" si="3"/>
        <v>-0.50728308387556609</v>
      </c>
      <c r="G13" s="17">
        <v>55531</v>
      </c>
      <c r="H13" s="17">
        <f t="shared" si="4"/>
        <v>-35483.2109375</v>
      </c>
      <c r="I13" s="16">
        <f t="shared" si="5"/>
        <v>-0.63898022613495165</v>
      </c>
      <c r="J13" s="39" t="s">
        <v>27</v>
      </c>
      <c r="K13" s="40" t="s">
        <v>28</v>
      </c>
    </row>
    <row r="14" spans="1:11" ht="15.75">
      <c r="A14" s="25" t="str">
        <v>Wooster</v>
      </c>
      <c r="B14" s="26" t="str">
        <v>OH</v>
      </c>
      <c r="C14" s="21">
        <v>6323.25</v>
      </c>
      <c r="D14" s="11">
        <v>0</v>
      </c>
      <c r="E14" s="11">
        <f t="shared" si="0"/>
        <v>6323.25</v>
      </c>
      <c r="F14" s="12" t="str">
        <f t="shared" si="3"/>
        <v/>
      </c>
      <c r="G14" s="13">
        <v>12400</v>
      </c>
      <c r="H14" s="13">
        <f t="shared" si="4"/>
        <v>-6076.75</v>
      </c>
      <c r="I14" s="14">
        <f t="shared" si="5"/>
        <v>-0.49006048387096773</v>
      </c>
      <c r="J14" s="38" t="s">
        <v>22</v>
      </c>
      <c r="K14" s="38" t="s">
        <v>29</v>
      </c>
    </row>
    <row r="15" spans="1:11" ht="15.75">
      <c r="A15" s="27" t="str">
        <v>Globe Gila CC</v>
      </c>
      <c r="B15" s="28" t="str">
        <v>AZ</v>
      </c>
      <c r="C15" s="10">
        <v>10382.7778156565</v>
      </c>
      <c r="D15" s="15">
        <v>0</v>
      </c>
      <c r="E15" s="15">
        <f t="shared" si="0"/>
        <v>10382.7778156565</v>
      </c>
      <c r="F15" s="16" t="str">
        <f t="shared" si="3"/>
        <v/>
      </c>
      <c r="G15" s="17">
        <v>11007</v>
      </c>
      <c r="H15" s="17">
        <f t="shared" si="4"/>
        <v>-624.22218434349998</v>
      </c>
      <c r="I15" s="16">
        <f t="shared" si="5"/>
        <v>-5.6711382242527482E-2</v>
      </c>
      <c r="J15" s="39" t="s">
        <v>22</v>
      </c>
      <c r="K15" s="40" t="s">
        <v>29</v>
      </c>
    </row>
    <row r="16" spans="1:11" ht="15.75">
      <c r="A16" s="25" t="str">
        <v>Payson Gila CC</v>
      </c>
      <c r="B16" s="26" t="str">
        <v>AZ</v>
      </c>
      <c r="C16" s="21">
        <v>6804.58081607043</v>
      </c>
      <c r="D16" s="11">
        <v>0</v>
      </c>
      <c r="E16" s="11">
        <f t="shared" ref="E16:E79" si="6">IF(AND(ISNUMBER(C16),ISNUMBER(D16)), C16-D16, "")</f>
        <v>6804.58081607043</v>
      </c>
      <c r="F16" s="12" t="str">
        <f t="shared" ref="F16:F79" si="7">IFERROR(E16/D16, "")</f>
        <v/>
      </c>
      <c r="G16" s="13">
        <v>8517</v>
      </c>
      <c r="H16" s="13">
        <f t="shared" ref="H16:H17" si="8">IF(AND(ISNUMBER(C16),ISNUMBER(G16)), C16-G16, "")</f>
        <v>-1712.41918392957</v>
      </c>
      <c r="I16" s="14">
        <f t="shared" ref="I16:I17" si="9">IFERROR(H16/G16, "")</f>
        <v>-0.20105896253722788</v>
      </c>
      <c r="J16" s="38" t="s">
        <v>22</v>
      </c>
      <c r="K16" s="38" t="s">
        <v>29</v>
      </c>
    </row>
    <row r="17" spans="1:11" ht="15.75">
      <c r="A17" s="27" t="str">
        <v>SCNM</v>
      </c>
      <c r="B17" s="28" t="str">
        <v>AZ</v>
      </c>
      <c r="C17" s="10">
        <v>51680.32</v>
      </c>
      <c r="D17" s="15">
        <v>0</v>
      </c>
      <c r="E17" s="15">
        <f t="shared" si="6"/>
        <v>51680.32</v>
      </c>
      <c r="F17" s="16" t="str">
        <f t="shared" si="7"/>
        <v/>
      </c>
      <c r="G17" s="17">
        <v>28849</v>
      </c>
      <c r="H17" s="17">
        <f t="shared" si="8"/>
        <v>22831.32</v>
      </c>
      <c r="I17" s="16">
        <f t="shared" si="9"/>
        <v>0.79140767444278826</v>
      </c>
      <c r="J17" s="39" t="s">
        <v>22</v>
      </c>
      <c r="K17" s="39" t="s">
        <v>29</v>
      </c>
    </row>
    <row r="18" spans="1:11" ht="15.75">
      <c r="A18" s="25" t="str">
        <v>Sequoia Charter School</v>
      </c>
      <c r="B18" s="26" t="str">
        <v>AZ</v>
      </c>
      <c r="C18" s="21">
        <v>20768</v>
      </c>
      <c r="D18" s="11">
        <v>0</v>
      </c>
      <c r="E18" s="11">
        <f t="shared" si="6"/>
        <v>20768</v>
      </c>
      <c r="F18" s="12" t="str">
        <f t="shared" si="7"/>
        <v/>
      </c>
      <c r="G18" s="13">
        <v>8180</v>
      </c>
      <c r="H18" s="13">
        <f t="shared" ref="H18:H81" si="10">IF(AND(ISNUMBER(C18),ISNUMBER(G18)), C18-G18, "")</f>
        <v>12588</v>
      </c>
      <c r="I18" s="14">
        <f t="shared" ref="I18:I81" si="11">IFERROR(H18/G18, "")</f>
        <v>1.5388753056234719</v>
      </c>
      <c r="J18" s="38" t="s">
        <v>22</v>
      </c>
      <c r="K18" s="38" t="s">
        <v>29</v>
      </c>
    </row>
    <row r="19" spans="1:11" ht="15.75">
      <c r="A19" s="27" t="str">
        <v>RCAB</v>
      </c>
      <c r="B19" s="28" t="str">
        <v>MA</v>
      </c>
      <c r="C19" s="10">
        <v>23135</v>
      </c>
      <c r="D19" s="15">
        <v>43481.120000000003</v>
      </c>
      <c r="E19" s="15">
        <f t="shared" si="6"/>
        <v>-20346.120000000003</v>
      </c>
      <c r="F19" s="16">
        <f t="shared" si="7"/>
        <v>-0.4679299889239284</v>
      </c>
      <c r="G19" s="17">
        <v>47410.87</v>
      </c>
      <c r="H19" s="17">
        <f t="shared" si="10"/>
        <v>-24275.870000000003</v>
      </c>
      <c r="I19" s="16">
        <f t="shared" si="11"/>
        <v>-0.51203173449464234</v>
      </c>
      <c r="J19" s="39" t="s">
        <v>22</v>
      </c>
      <c r="K19" s="40" t="s">
        <v>29</v>
      </c>
    </row>
    <row r="20" spans="1:11" ht="15.75">
      <c r="A20" s="25" t="str">
        <v>Spectro Coatings</v>
      </c>
      <c r="B20" s="26" t="str">
        <v>MA</v>
      </c>
      <c r="C20" s="21">
        <v>5510.625</v>
      </c>
      <c r="D20" s="11">
        <v>12146.73</v>
      </c>
      <c r="E20" s="11">
        <f t="shared" si="6"/>
        <v>-6636.1049999999996</v>
      </c>
      <c r="F20" s="12">
        <f t="shared" si="7"/>
        <v>-0.54632851804559746</v>
      </c>
      <c r="G20" s="13">
        <v>11789.76</v>
      </c>
      <c r="H20" s="13">
        <f t="shared" si="10"/>
        <v>-6279.1350000000002</v>
      </c>
      <c r="I20" s="14">
        <f t="shared" si="11"/>
        <v>-0.53259226650924196</v>
      </c>
      <c r="J20" s="38" t="s">
        <v>30</v>
      </c>
      <c r="K20" s="38" t="s">
        <v>31</v>
      </c>
    </row>
    <row r="21" spans="1:11" ht="15.75">
      <c r="A21" s="27" t="str">
        <v>K026</v>
      </c>
      <c r="B21" s="28" t="str">
        <v>NY</v>
      </c>
      <c r="C21" s="10">
        <v>7049.125</v>
      </c>
      <c r="D21" s="15">
        <v>12398.04</v>
      </c>
      <c r="E21" s="15">
        <f t="shared" si="6"/>
        <v>-5348.9150000000009</v>
      </c>
      <c r="F21" s="16">
        <f t="shared" si="7"/>
        <v>-0.43143230704208091</v>
      </c>
      <c r="G21" s="17">
        <v>18592.650000000001</v>
      </c>
      <c r="H21" s="17">
        <f t="shared" si="10"/>
        <v>-11543.525000000001</v>
      </c>
      <c r="I21" s="16">
        <f t="shared" si="11"/>
        <v>-0.62086496545678005</v>
      </c>
      <c r="J21" s="39" t="s">
        <v>22</v>
      </c>
      <c r="K21" s="40" t="s">
        <v>22</v>
      </c>
    </row>
    <row r="22" spans="1:11" ht="15.75">
      <c r="A22" s="25" t="str">
        <v>K041</v>
      </c>
      <c r="B22" s="26" t="str">
        <v>NY</v>
      </c>
      <c r="C22" s="21">
        <v>2400.5965820312499</v>
      </c>
      <c r="D22" s="11">
        <v>0</v>
      </c>
      <c r="E22" s="11">
        <f t="shared" si="6"/>
        <v>2400.5965820312499</v>
      </c>
      <c r="F22" s="12" t="str">
        <f t="shared" si="7"/>
        <v/>
      </c>
      <c r="G22" s="13">
        <v>0</v>
      </c>
      <c r="H22" s="13">
        <f t="shared" si="10"/>
        <v>2400.5965820312499</v>
      </c>
      <c r="I22" s="14" t="str">
        <f t="shared" si="11"/>
        <v/>
      </c>
      <c r="J22" s="38" t="s">
        <v>32</v>
      </c>
      <c r="K22" s="38" t="s">
        <v>33</v>
      </c>
    </row>
    <row r="23" spans="1:11" ht="15.75">
      <c r="A23" s="27" t="str">
        <v>K043</v>
      </c>
      <c r="B23" s="28" t="str">
        <v>NY</v>
      </c>
      <c r="C23" s="10">
        <v>7037.328125</v>
      </c>
      <c r="D23" s="15">
        <v>10909.38</v>
      </c>
      <c r="E23" s="15">
        <f t="shared" si="6"/>
        <v>-3872.0518749999992</v>
      </c>
      <c r="F23" s="16">
        <f t="shared" si="7"/>
        <v>-0.35492868293156893</v>
      </c>
      <c r="G23" s="17">
        <v>20258</v>
      </c>
      <c r="H23" s="17">
        <f t="shared" si="10"/>
        <v>-13220.671875</v>
      </c>
      <c r="I23" s="16">
        <f t="shared" si="11"/>
        <v>-0.65261486202981533</v>
      </c>
      <c r="J23" s="39" t="s">
        <v>22</v>
      </c>
      <c r="K23" s="40" t="s">
        <v>29</v>
      </c>
    </row>
    <row r="24" spans="1:11" ht="15.75">
      <c r="A24" s="25" t="str">
        <v>K058</v>
      </c>
      <c r="B24" s="26" t="str">
        <v>NY</v>
      </c>
      <c r="C24" s="21">
        <v>5262.6875</v>
      </c>
      <c r="D24" s="11">
        <v>8705.5619999999999</v>
      </c>
      <c r="E24" s="11">
        <f t="shared" si="6"/>
        <v>-3442.8744999999999</v>
      </c>
      <c r="F24" s="12">
        <f t="shared" si="7"/>
        <v>-0.39547986677942215</v>
      </c>
      <c r="G24" s="13">
        <v>13134.4</v>
      </c>
      <c r="H24" s="13">
        <f t="shared" si="10"/>
        <v>-7871.7124999999996</v>
      </c>
      <c r="I24" s="14">
        <f t="shared" si="11"/>
        <v>-0.59932029632111095</v>
      </c>
      <c r="J24" s="38" t="s">
        <v>22</v>
      </c>
      <c r="K24" s="38" t="s">
        <v>29</v>
      </c>
    </row>
    <row r="25" spans="1:11" ht="30">
      <c r="A25" s="27" t="str">
        <v>K115</v>
      </c>
      <c r="B25" s="28" t="str">
        <v>NY</v>
      </c>
      <c r="C25" s="10">
        <v>1496.6525963930401</v>
      </c>
      <c r="D25" s="15">
        <v>5139.6459999999997</v>
      </c>
      <c r="E25" s="15">
        <f t="shared" si="6"/>
        <v>-3642.9934036069599</v>
      </c>
      <c r="F25" s="16">
        <f t="shared" si="7"/>
        <v>-0.70880239682012347</v>
      </c>
      <c r="G25" s="17">
        <v>4549.33</v>
      </c>
      <c r="H25" s="17">
        <f t="shared" si="10"/>
        <v>-3052.6774036069601</v>
      </c>
      <c r="I25" s="16">
        <f t="shared" si="11"/>
        <v>-0.67101691976773725</v>
      </c>
      <c r="J25" s="39" t="s">
        <v>34</v>
      </c>
      <c r="K25" s="40" t="s">
        <v>35</v>
      </c>
    </row>
    <row r="26" spans="1:11" ht="15.75">
      <c r="A26" s="25" t="str">
        <v>K152</v>
      </c>
      <c r="B26" s="26" t="str">
        <v>NY</v>
      </c>
      <c r="C26" s="21">
        <v>1927.1875</v>
      </c>
      <c r="D26" s="11">
        <v>3008.1570000000002</v>
      </c>
      <c r="E26" s="11">
        <f t="shared" si="6"/>
        <v>-1080.9695000000002</v>
      </c>
      <c r="F26" s="12">
        <f t="shared" si="7"/>
        <v>-0.3593461046082369</v>
      </c>
      <c r="G26" s="13">
        <v>798</v>
      </c>
      <c r="H26" s="13">
        <f t="shared" si="10"/>
        <v>1129.1875</v>
      </c>
      <c r="I26" s="14">
        <f t="shared" si="11"/>
        <v>1.4150219298245614</v>
      </c>
      <c r="J26" s="38" t="s">
        <v>22</v>
      </c>
      <c r="K26" s="38" t="s">
        <v>29</v>
      </c>
    </row>
    <row r="27" spans="1:11" ht="15.75">
      <c r="A27" s="27" t="str">
        <v>K166</v>
      </c>
      <c r="B27" s="28" t="str">
        <v>NY</v>
      </c>
      <c r="C27" s="10">
        <v>7390.625</v>
      </c>
      <c r="D27" s="15">
        <v>11891.79</v>
      </c>
      <c r="E27" s="15">
        <f t="shared" si="6"/>
        <v>-4501.1650000000009</v>
      </c>
      <c r="F27" s="16">
        <f t="shared" si="7"/>
        <v>-0.37851029996325203</v>
      </c>
      <c r="G27" s="17">
        <v>18302.04</v>
      </c>
      <c r="H27" s="17">
        <f t="shared" si="10"/>
        <v>-10911.415000000001</v>
      </c>
      <c r="I27" s="16">
        <f t="shared" si="11"/>
        <v>-0.59618572574423401</v>
      </c>
      <c r="J27" s="39" t="s">
        <v>22</v>
      </c>
      <c r="K27" s="40" t="s">
        <v>29</v>
      </c>
    </row>
    <row r="28" spans="1:11" ht="15.75">
      <c r="A28" s="25" t="str">
        <v>K206</v>
      </c>
      <c r="B28" s="26" t="str">
        <v>NY</v>
      </c>
      <c r="C28" s="21">
        <v>4600.7732192947096</v>
      </c>
      <c r="D28" s="11">
        <v>0</v>
      </c>
      <c r="E28" s="11">
        <f t="shared" si="6"/>
        <v>4600.7732192947096</v>
      </c>
      <c r="F28" s="12" t="str">
        <f t="shared" si="7"/>
        <v/>
      </c>
      <c r="G28" s="13">
        <v>0</v>
      </c>
      <c r="H28" s="13">
        <f t="shared" si="10"/>
        <v>4600.7732192947096</v>
      </c>
      <c r="I28" s="14" t="str">
        <f t="shared" si="11"/>
        <v/>
      </c>
      <c r="J28" s="38" t="s">
        <v>22</v>
      </c>
      <c r="K28" s="38" t="s">
        <v>29</v>
      </c>
    </row>
    <row r="29" spans="1:11" ht="15.75">
      <c r="A29" s="27" t="str">
        <v>K251</v>
      </c>
      <c r="B29" s="28" t="str">
        <v>NY</v>
      </c>
      <c r="C29" s="10">
        <v>4966.375</v>
      </c>
      <c r="D29" s="15">
        <v>7470.1769999999997</v>
      </c>
      <c r="E29" s="15">
        <f t="shared" si="6"/>
        <v>-2503.8019999999997</v>
      </c>
      <c r="F29" s="16">
        <f t="shared" si="7"/>
        <v>-0.33517304877782678</v>
      </c>
      <c r="G29" s="17">
        <v>9815.6869999999999</v>
      </c>
      <c r="H29" s="17">
        <f t="shared" si="10"/>
        <v>-4849.3119999999999</v>
      </c>
      <c r="I29" s="16">
        <f t="shared" si="11"/>
        <v>-0.49403694310953478</v>
      </c>
      <c r="J29" s="39" t="s">
        <v>22</v>
      </c>
      <c r="K29" s="39" t="s">
        <v>29</v>
      </c>
    </row>
    <row r="30" spans="1:11" ht="15.75">
      <c r="A30" s="25" t="str">
        <v>K269</v>
      </c>
      <c r="B30" s="26" t="str">
        <v>NY</v>
      </c>
      <c r="C30" s="21">
        <v>4328.3125</v>
      </c>
      <c r="D30" s="11">
        <v>0</v>
      </c>
      <c r="E30" s="11">
        <f t="shared" si="6"/>
        <v>4328.3125</v>
      </c>
      <c r="F30" s="12" t="str">
        <f t="shared" si="7"/>
        <v/>
      </c>
      <c r="G30" s="13">
        <v>10978.73</v>
      </c>
      <c r="H30" s="13">
        <f t="shared" si="10"/>
        <v>-6650.4174999999996</v>
      </c>
      <c r="I30" s="14">
        <f t="shared" si="11"/>
        <v>-0.60575471844193274</v>
      </c>
      <c r="J30" s="38" t="s">
        <v>22</v>
      </c>
      <c r="K30" s="38" t="s">
        <v>29</v>
      </c>
    </row>
    <row r="31" spans="1:11" ht="15.75">
      <c r="A31" s="27" t="str">
        <v>K273</v>
      </c>
      <c r="B31" s="28" t="str">
        <v>NY</v>
      </c>
      <c r="C31" s="10">
        <v>5062.03125</v>
      </c>
      <c r="D31" s="15">
        <v>0</v>
      </c>
      <c r="E31" s="15">
        <f t="shared" si="6"/>
        <v>5062.03125</v>
      </c>
      <c r="F31" s="16" t="str">
        <f t="shared" si="7"/>
        <v/>
      </c>
      <c r="G31" s="17">
        <v>11224</v>
      </c>
      <c r="H31" s="17">
        <f t="shared" si="10"/>
        <v>-6161.96875</v>
      </c>
      <c r="I31" s="16">
        <f t="shared" si="11"/>
        <v>-0.54899935406272271</v>
      </c>
      <c r="J31" s="39" t="s">
        <v>22</v>
      </c>
      <c r="K31" s="40" t="s">
        <v>29</v>
      </c>
    </row>
    <row r="32" spans="1:11" ht="15.75">
      <c r="A32" s="25" t="str">
        <v>K287</v>
      </c>
      <c r="B32" s="26" t="str">
        <v>NY</v>
      </c>
      <c r="C32" s="21">
        <v>3720.0499218750001</v>
      </c>
      <c r="D32" s="11">
        <v>5487.5860000000002</v>
      </c>
      <c r="E32" s="11">
        <f t="shared" si="6"/>
        <v>-1767.5360781250001</v>
      </c>
      <c r="F32" s="12">
        <f t="shared" si="7"/>
        <v>-0.32209719868171544</v>
      </c>
      <c r="G32" s="13">
        <v>0</v>
      </c>
      <c r="H32" s="13">
        <f t="shared" si="10"/>
        <v>3720.0499218750001</v>
      </c>
      <c r="I32" s="14" t="str">
        <f t="shared" si="11"/>
        <v/>
      </c>
      <c r="J32" s="38" t="s">
        <v>22</v>
      </c>
      <c r="K32" s="38" t="s">
        <v>29</v>
      </c>
    </row>
    <row r="33" spans="1:11" ht="44.25" customHeight="1">
      <c r="A33" s="27" t="str">
        <v>K298</v>
      </c>
      <c r="B33" s="28" t="str">
        <v>NY</v>
      </c>
      <c r="C33" s="10">
        <v>3421.078125</v>
      </c>
      <c r="D33" s="15">
        <v>7008.5879999999997</v>
      </c>
      <c r="E33" s="15">
        <f t="shared" si="6"/>
        <v>-3587.5098749999997</v>
      </c>
      <c r="F33" s="16">
        <f t="shared" si="7"/>
        <v>-0.51187341515865958</v>
      </c>
      <c r="G33" s="17">
        <v>0</v>
      </c>
      <c r="H33" s="17">
        <f t="shared" si="10"/>
        <v>3421.078125</v>
      </c>
      <c r="I33" s="16" t="str">
        <f t="shared" si="11"/>
        <v/>
      </c>
      <c r="J33" s="39" t="s">
        <v>36</v>
      </c>
      <c r="K33" s="40" t="s">
        <v>37</v>
      </c>
    </row>
    <row r="34" spans="1:11" ht="15.75">
      <c r="A34" s="25" t="str">
        <v>K335</v>
      </c>
      <c r="B34" s="26" t="str">
        <v>NY</v>
      </c>
      <c r="C34" s="21">
        <v>4100.5625</v>
      </c>
      <c r="D34" s="11">
        <v>7358.259</v>
      </c>
      <c r="E34" s="11">
        <f t="shared" si="6"/>
        <v>-3257.6965</v>
      </c>
      <c r="F34" s="12">
        <f t="shared" si="7"/>
        <v>-0.44272653354550306</v>
      </c>
      <c r="G34" s="13">
        <v>11610</v>
      </c>
      <c r="H34" s="13">
        <f t="shared" si="10"/>
        <v>-7509.4375</v>
      </c>
      <c r="I34" s="14">
        <f t="shared" si="11"/>
        <v>-0.64680770887166239</v>
      </c>
      <c r="J34" s="38" t="s">
        <v>22</v>
      </c>
      <c r="K34" s="38" t="s">
        <v>29</v>
      </c>
    </row>
    <row r="35" spans="1:11" ht="45">
      <c r="A35" s="27" t="str">
        <v>K345</v>
      </c>
      <c r="B35" s="28" t="str">
        <v>NY</v>
      </c>
      <c r="C35" s="10">
        <v>4561.296875</v>
      </c>
      <c r="D35" s="15">
        <v>0</v>
      </c>
      <c r="E35" s="15">
        <f t="shared" si="6"/>
        <v>4561.296875</v>
      </c>
      <c r="F35" s="16" t="str">
        <f t="shared" si="7"/>
        <v/>
      </c>
      <c r="G35" s="17">
        <v>0</v>
      </c>
      <c r="H35" s="17">
        <f t="shared" si="10"/>
        <v>4561.296875</v>
      </c>
      <c r="I35" s="16" t="str">
        <f t="shared" si="11"/>
        <v/>
      </c>
      <c r="J35" s="39" t="s">
        <v>38</v>
      </c>
      <c r="K35" s="40" t="s">
        <v>39</v>
      </c>
    </row>
    <row r="36" spans="1:11" ht="15.75">
      <c r="A36" s="25" t="str">
        <v>K445</v>
      </c>
      <c r="B36" s="26" t="str">
        <v>NY</v>
      </c>
      <c r="C36" s="21">
        <v>4488.8050683593801</v>
      </c>
      <c r="D36" s="11">
        <v>0</v>
      </c>
      <c r="E36" s="11">
        <f t="shared" si="6"/>
        <v>4488.8050683593801</v>
      </c>
      <c r="F36" s="12" t="str">
        <f t="shared" si="7"/>
        <v/>
      </c>
      <c r="G36" s="13">
        <v>0</v>
      </c>
      <c r="H36" s="13">
        <f t="shared" si="10"/>
        <v>4488.8050683593801</v>
      </c>
      <c r="I36" s="14" t="str">
        <f t="shared" si="11"/>
        <v/>
      </c>
      <c r="J36" s="38" t="s">
        <v>22</v>
      </c>
      <c r="K36" s="38" t="s">
        <v>29</v>
      </c>
    </row>
    <row r="37" spans="1:11" ht="45">
      <c r="A37" s="27" t="str">
        <v>K495</v>
      </c>
      <c r="B37" s="28" t="str">
        <v>NY</v>
      </c>
      <c r="C37" s="10">
        <v>20449.1875</v>
      </c>
      <c r="D37" s="15">
        <v>0</v>
      </c>
      <c r="E37" s="15">
        <f t="shared" si="6"/>
        <v>20449.1875</v>
      </c>
      <c r="F37" s="16" t="str">
        <f t="shared" si="7"/>
        <v/>
      </c>
      <c r="G37" s="17">
        <v>0</v>
      </c>
      <c r="H37" s="17">
        <f t="shared" si="10"/>
        <v>20449.1875</v>
      </c>
      <c r="I37" s="16" t="str">
        <f t="shared" si="11"/>
        <v/>
      </c>
      <c r="J37" s="39" t="s">
        <v>40</v>
      </c>
      <c r="K37" s="40" t="s">
        <v>41</v>
      </c>
    </row>
    <row r="38" spans="1:11" ht="15.75">
      <c r="A38" s="25" t="str">
        <v>M020</v>
      </c>
      <c r="B38" s="26" t="str">
        <v>NY</v>
      </c>
      <c r="C38" s="21">
        <v>4382.65625</v>
      </c>
      <c r="D38" s="11">
        <v>7052.3590000000004</v>
      </c>
      <c r="E38" s="11">
        <f t="shared" si="6"/>
        <v>-2669.7027500000004</v>
      </c>
      <c r="F38" s="12">
        <f t="shared" si="7"/>
        <v>-0.37855457301592277</v>
      </c>
      <c r="G38" s="13">
        <v>0</v>
      </c>
      <c r="H38" s="13">
        <f t="shared" si="10"/>
        <v>4382.65625</v>
      </c>
      <c r="I38" s="14" t="str">
        <f t="shared" si="11"/>
        <v/>
      </c>
      <c r="J38" s="38" t="s">
        <v>22</v>
      </c>
      <c r="K38" s="38" t="s">
        <v>29</v>
      </c>
    </row>
    <row r="39" spans="1:11" ht="15.75">
      <c r="A39" s="27" t="str">
        <v>M092</v>
      </c>
      <c r="B39" s="28" t="str">
        <v>NY</v>
      </c>
      <c r="C39" s="10">
        <v>4470.75</v>
      </c>
      <c r="D39" s="15">
        <v>7217.8190000000004</v>
      </c>
      <c r="E39" s="15">
        <f t="shared" si="6"/>
        <v>-2747.0690000000004</v>
      </c>
      <c r="F39" s="16">
        <f t="shared" si="7"/>
        <v>-0.38059544025695302</v>
      </c>
      <c r="G39" s="17">
        <v>11299.41</v>
      </c>
      <c r="H39" s="17">
        <f t="shared" si="10"/>
        <v>-6828.66</v>
      </c>
      <c r="I39" s="16">
        <f t="shared" si="11"/>
        <v>-0.60433774860811318</v>
      </c>
      <c r="J39" s="39" t="s">
        <v>22</v>
      </c>
      <c r="K39" s="40" t="s">
        <v>29</v>
      </c>
    </row>
    <row r="40" spans="1:11" ht="15.75">
      <c r="A40" s="25" t="str">
        <v>M143</v>
      </c>
      <c r="B40" s="26" t="str">
        <v>NY</v>
      </c>
      <c r="C40" s="21">
        <v>4964.5</v>
      </c>
      <c r="D40" s="11">
        <v>7892.9740000000002</v>
      </c>
      <c r="E40" s="11">
        <f t="shared" si="6"/>
        <v>-2928.4740000000002</v>
      </c>
      <c r="F40" s="12">
        <f t="shared" si="7"/>
        <v>-0.37102288693716717</v>
      </c>
      <c r="G40" s="13">
        <v>15533.26</v>
      </c>
      <c r="H40" s="13">
        <f t="shared" si="10"/>
        <v>-10568.76</v>
      </c>
      <c r="I40" s="14">
        <f t="shared" si="11"/>
        <v>-0.6803954868456461</v>
      </c>
      <c r="J40" s="38" t="s">
        <v>22</v>
      </c>
      <c r="K40" s="38" t="s">
        <v>29</v>
      </c>
    </row>
    <row r="41" spans="1:11" ht="15.75">
      <c r="A41" s="27" t="str">
        <v>M144</v>
      </c>
      <c r="B41" s="28" t="str">
        <v>NY</v>
      </c>
      <c r="C41" s="10">
        <v>7482.359375</v>
      </c>
      <c r="D41" s="15">
        <v>0</v>
      </c>
      <c r="E41" s="15">
        <f t="shared" si="6"/>
        <v>7482.359375</v>
      </c>
      <c r="F41" s="16" t="str">
        <f t="shared" si="7"/>
        <v/>
      </c>
      <c r="G41" s="17">
        <v>0</v>
      </c>
      <c r="H41" s="17">
        <f t="shared" si="10"/>
        <v>7482.359375</v>
      </c>
      <c r="I41" s="16" t="str">
        <f t="shared" si="11"/>
        <v/>
      </c>
      <c r="J41" s="39" t="s">
        <v>22</v>
      </c>
      <c r="K41" s="39" t="s">
        <v>29</v>
      </c>
    </row>
    <row r="42" spans="1:11" ht="15.75">
      <c r="A42" s="25" t="str">
        <v>M167</v>
      </c>
      <c r="B42" s="26" t="str">
        <v>NY</v>
      </c>
      <c r="C42" s="21">
        <v>4434</v>
      </c>
      <c r="D42" s="11">
        <v>5657</v>
      </c>
      <c r="E42" s="11">
        <f t="shared" si="6"/>
        <v>-1223</v>
      </c>
      <c r="F42" s="12">
        <f t="shared" si="7"/>
        <v>-0.21619232808909317</v>
      </c>
      <c r="G42" s="13">
        <v>10982</v>
      </c>
      <c r="H42" s="13">
        <f t="shared" si="10"/>
        <v>-6548</v>
      </c>
      <c r="I42" s="14">
        <f t="shared" si="11"/>
        <v>-0.59624840648333632</v>
      </c>
      <c r="J42" s="38" t="s">
        <v>22</v>
      </c>
      <c r="K42" s="38" t="s">
        <v>29</v>
      </c>
    </row>
    <row r="43" spans="1:11" ht="15.75">
      <c r="A43" s="27" t="str">
        <v>M188</v>
      </c>
      <c r="B43" s="28" t="str">
        <v>NY</v>
      </c>
      <c r="C43" s="10">
        <v>3879.9296875</v>
      </c>
      <c r="D43" s="15">
        <v>0</v>
      </c>
      <c r="E43" s="15">
        <f t="shared" si="6"/>
        <v>3879.9296875</v>
      </c>
      <c r="F43" s="16" t="str">
        <f t="shared" si="7"/>
        <v/>
      </c>
      <c r="G43" s="17">
        <v>0</v>
      </c>
      <c r="H43" s="17">
        <f t="shared" si="10"/>
        <v>3879.9296875</v>
      </c>
      <c r="I43" s="16" t="str">
        <f t="shared" si="11"/>
        <v/>
      </c>
      <c r="J43" s="39" t="s">
        <v>22</v>
      </c>
      <c r="K43" s="40" t="s">
        <v>29</v>
      </c>
    </row>
    <row r="44" spans="1:11" ht="15.75">
      <c r="A44" s="25" t="str">
        <v>EMHC</v>
      </c>
      <c r="B44" s="26" t="str">
        <v>NY</v>
      </c>
      <c r="C44" s="21">
        <v>911</v>
      </c>
      <c r="D44" s="11">
        <v>0</v>
      </c>
      <c r="E44" s="11">
        <f t="shared" si="6"/>
        <v>911</v>
      </c>
      <c r="F44" s="12" t="str">
        <f t="shared" si="7"/>
        <v/>
      </c>
      <c r="G44" s="13">
        <v>0</v>
      </c>
      <c r="H44" s="13">
        <f t="shared" si="10"/>
        <v>911</v>
      </c>
      <c r="I44" s="14" t="str">
        <f t="shared" si="11"/>
        <v/>
      </c>
      <c r="J44" s="38" t="s">
        <v>22</v>
      </c>
      <c r="K44" s="38" t="s">
        <v>29</v>
      </c>
    </row>
    <row r="45" spans="1:11" ht="15.75">
      <c r="A45" s="27" t="str">
        <v>Q008</v>
      </c>
      <c r="B45" s="28" t="str">
        <v>NY</v>
      </c>
      <c r="C45" s="10">
        <v>6839.03125</v>
      </c>
      <c r="D45" s="15">
        <v>9522.7690000000002</v>
      </c>
      <c r="E45" s="15">
        <f t="shared" si="6"/>
        <v>-2683.7377500000002</v>
      </c>
      <c r="F45" s="16">
        <f t="shared" si="7"/>
        <v>-0.281823254349654</v>
      </c>
      <c r="G45" s="17">
        <v>15253</v>
      </c>
      <c r="H45" s="17">
        <f t="shared" si="10"/>
        <v>-8413.96875</v>
      </c>
      <c r="I45" s="16">
        <f t="shared" si="11"/>
        <v>-0.55162713892349047</v>
      </c>
      <c r="J45" s="39" t="s">
        <v>22</v>
      </c>
      <c r="K45" s="40" t="s">
        <v>29</v>
      </c>
    </row>
    <row r="46" spans="1:11" ht="15.75">
      <c r="A46" s="25" t="str">
        <v>Q018</v>
      </c>
      <c r="B46" s="26" t="str">
        <v>NY</v>
      </c>
      <c r="C46" s="21">
        <v>4357.5</v>
      </c>
      <c r="D46" s="11">
        <v>5639.9430000000002</v>
      </c>
      <c r="E46" s="11">
        <f t="shared" si="6"/>
        <v>-1282.4430000000002</v>
      </c>
      <c r="F46" s="12">
        <f t="shared" si="7"/>
        <v>-0.2273858086863644</v>
      </c>
      <c r="G46" s="13">
        <v>9568.2369999999992</v>
      </c>
      <c r="H46" s="13">
        <f t="shared" si="10"/>
        <v>-5210.7369999999992</v>
      </c>
      <c r="I46" s="14">
        <f t="shared" si="11"/>
        <v>-0.54458694950804409</v>
      </c>
      <c r="J46" s="38" t="s">
        <v>22</v>
      </c>
      <c r="K46" s="38" t="s">
        <v>29</v>
      </c>
    </row>
    <row r="47" spans="1:11" ht="15.75">
      <c r="A47" s="27" t="str">
        <v>Q021</v>
      </c>
      <c r="B47" s="28" t="str">
        <v>NY</v>
      </c>
      <c r="C47" s="10">
        <v>3435.6875</v>
      </c>
      <c r="D47" s="15">
        <v>6008.808</v>
      </c>
      <c r="E47" s="15">
        <f t="shared" si="6"/>
        <v>-2573.1205</v>
      </c>
      <c r="F47" s="16">
        <f t="shared" si="7"/>
        <v>-0.42822478268568409</v>
      </c>
      <c r="G47" s="17">
        <v>4290.74</v>
      </c>
      <c r="H47" s="17">
        <f t="shared" si="10"/>
        <v>-855.05249999999978</v>
      </c>
      <c r="I47" s="16">
        <f t="shared" si="11"/>
        <v>-0.19927856267217306</v>
      </c>
      <c r="J47" s="39" t="s">
        <v>22</v>
      </c>
      <c r="K47" s="40" t="s">
        <v>29</v>
      </c>
    </row>
    <row r="48" spans="1:11" ht="15.75">
      <c r="A48" s="25" t="str">
        <v>Q025</v>
      </c>
      <c r="B48" s="26" t="str">
        <v>NY</v>
      </c>
      <c r="C48" s="21">
        <v>6042.5</v>
      </c>
      <c r="D48" s="11">
        <v>9148.84</v>
      </c>
      <c r="E48" s="11">
        <f t="shared" si="6"/>
        <v>-3106.34</v>
      </c>
      <c r="F48" s="12">
        <f t="shared" si="7"/>
        <v>-0.33953375509900707</v>
      </c>
      <c r="G48" s="13">
        <v>7767</v>
      </c>
      <c r="H48" s="13">
        <f t="shared" si="10"/>
        <v>-1724.5</v>
      </c>
      <c r="I48" s="14">
        <f t="shared" si="11"/>
        <v>-0.22202909746362817</v>
      </c>
      <c r="J48" s="38" t="s">
        <v>22</v>
      </c>
      <c r="K48" s="38" t="s">
        <v>29</v>
      </c>
    </row>
    <row r="49" spans="1:11" ht="15.75">
      <c r="A49" s="27" t="str">
        <v>Q074</v>
      </c>
      <c r="B49" s="28" t="str">
        <v>NY</v>
      </c>
      <c r="C49" s="10">
        <v>3737.71875</v>
      </c>
      <c r="D49" s="15">
        <v>5120.8</v>
      </c>
      <c r="E49" s="15">
        <f t="shared" si="6"/>
        <v>-1383.0812500000002</v>
      </c>
      <c r="F49" s="16">
        <f t="shared" si="7"/>
        <v>-0.27009085494453994</v>
      </c>
      <c r="G49" s="17">
        <v>8043.3059999999996</v>
      </c>
      <c r="H49" s="17">
        <f t="shared" si="10"/>
        <v>-4305.5872499999996</v>
      </c>
      <c r="I49" s="16">
        <f t="shared" si="11"/>
        <v>-0.53530068979098888</v>
      </c>
      <c r="J49" s="39" t="s">
        <v>22</v>
      </c>
      <c r="K49" s="40" t="s">
        <v>29</v>
      </c>
    </row>
    <row r="50" spans="1:11" ht="15.75">
      <c r="A50" s="25" t="str">
        <v>Q115</v>
      </c>
      <c r="B50" s="26" t="str">
        <v>NY</v>
      </c>
      <c r="C50" s="21">
        <v>4955.0625</v>
      </c>
      <c r="D50" s="11">
        <v>8344.5239999999994</v>
      </c>
      <c r="E50" s="11">
        <f t="shared" si="6"/>
        <v>-3389.4614999999994</v>
      </c>
      <c r="F50" s="12">
        <f t="shared" si="7"/>
        <v>-0.40618991568602353</v>
      </c>
      <c r="G50" s="13">
        <v>11121.22</v>
      </c>
      <c r="H50" s="13">
        <f t="shared" si="10"/>
        <v>-6166.1574999999993</v>
      </c>
      <c r="I50" s="14">
        <f t="shared" si="11"/>
        <v>-0.55444973662961439</v>
      </c>
      <c r="J50" s="38" t="s">
        <v>22</v>
      </c>
      <c r="K50" s="38" t="s">
        <v>29</v>
      </c>
    </row>
    <row r="51" spans="1:11" ht="15.75">
      <c r="A51" s="27" t="str">
        <v>Q139</v>
      </c>
      <c r="B51" s="28" t="str">
        <v>NY</v>
      </c>
      <c r="C51" s="10">
        <v>2925.8125</v>
      </c>
      <c r="D51" s="15">
        <v>4425.3320000000003</v>
      </c>
      <c r="E51" s="15">
        <f t="shared" si="6"/>
        <v>-1499.5195000000003</v>
      </c>
      <c r="F51" s="16">
        <f t="shared" si="7"/>
        <v>-0.33884904002682742</v>
      </c>
      <c r="G51" s="17">
        <v>6324</v>
      </c>
      <c r="H51" s="17">
        <f t="shared" si="10"/>
        <v>-3398.1875</v>
      </c>
      <c r="I51" s="16">
        <f t="shared" si="11"/>
        <v>-0.53734780202403543</v>
      </c>
      <c r="J51" s="39" t="s">
        <v>22</v>
      </c>
      <c r="K51" s="40" t="s">
        <v>29</v>
      </c>
    </row>
    <row r="52" spans="1:11" ht="15.75">
      <c r="A52" s="25" t="str">
        <v>Q157</v>
      </c>
      <c r="B52" s="26" t="str">
        <v>NY</v>
      </c>
      <c r="C52" s="21">
        <v>4902.4375</v>
      </c>
      <c r="D52" s="11">
        <v>8720.9449999999997</v>
      </c>
      <c r="E52" s="11">
        <f t="shared" si="6"/>
        <v>-3818.5074999999997</v>
      </c>
      <c r="F52" s="12">
        <f t="shared" si="7"/>
        <v>-0.43785478523256366</v>
      </c>
      <c r="G52" s="13">
        <v>11481.79</v>
      </c>
      <c r="H52" s="13">
        <f t="shared" si="10"/>
        <v>-6579.3525000000009</v>
      </c>
      <c r="I52" s="14">
        <f t="shared" si="11"/>
        <v>-0.57302498129647039</v>
      </c>
      <c r="J52" s="38" t="s">
        <v>22</v>
      </c>
      <c r="K52" s="38" t="s">
        <v>29</v>
      </c>
    </row>
    <row r="53" spans="1:11" ht="30">
      <c r="A53" s="27" t="str">
        <v>Q192</v>
      </c>
      <c r="B53" s="28" t="str">
        <v>NY</v>
      </c>
      <c r="C53" s="10">
        <v>8347.5</v>
      </c>
      <c r="D53" s="15">
        <v>13350</v>
      </c>
      <c r="E53" s="15">
        <f t="shared" si="6"/>
        <v>-5002.5</v>
      </c>
      <c r="F53" s="16">
        <f t="shared" si="7"/>
        <v>-0.37471910112359552</v>
      </c>
      <c r="G53" s="17">
        <v>16384.009999999998</v>
      </c>
      <c r="H53" s="17">
        <f t="shared" si="10"/>
        <v>-8036.5099999999984</v>
      </c>
      <c r="I53" s="16">
        <f t="shared" si="11"/>
        <v>-0.49050934417154279</v>
      </c>
      <c r="J53" s="39" t="s">
        <v>42</v>
      </c>
      <c r="K53" s="39" t="s">
        <v>43</v>
      </c>
    </row>
    <row r="54" spans="1:11" ht="15.75">
      <c r="A54" s="25" t="str">
        <v>Q210</v>
      </c>
      <c r="B54" s="26" t="str">
        <v>NY</v>
      </c>
      <c r="C54" s="21">
        <v>6315.875</v>
      </c>
      <c r="D54" s="11">
        <v>9204.3379999999997</v>
      </c>
      <c r="E54" s="11">
        <f t="shared" si="6"/>
        <v>-2888.4629999999997</v>
      </c>
      <c r="F54" s="12">
        <f t="shared" si="7"/>
        <v>-0.31381539878261749</v>
      </c>
      <c r="G54" s="13">
        <v>15624</v>
      </c>
      <c r="H54" s="13">
        <f t="shared" si="10"/>
        <v>-9308.125</v>
      </c>
      <c r="I54" s="14">
        <f t="shared" si="11"/>
        <v>-0.59575812852022525</v>
      </c>
      <c r="J54" s="38" t="s">
        <v>44</v>
      </c>
      <c r="K54" s="38" t="s">
        <v>45</v>
      </c>
    </row>
    <row r="55" spans="1:11" ht="15.75">
      <c r="A55" s="27" t="str">
        <v>Q229</v>
      </c>
      <c r="B55" s="28" t="str">
        <v>NY</v>
      </c>
      <c r="C55" s="10">
        <v>2660.53125000006</v>
      </c>
      <c r="D55" s="15">
        <v>3950.5940000000001</v>
      </c>
      <c r="E55" s="15">
        <f t="shared" si="6"/>
        <v>-1290.06274999994</v>
      </c>
      <c r="F55" s="16">
        <f t="shared" si="7"/>
        <v>-0.32654905819224656</v>
      </c>
      <c r="G55" s="17">
        <v>7281.06</v>
      </c>
      <c r="H55" s="17">
        <f t="shared" si="10"/>
        <v>-4620.5287499999404</v>
      </c>
      <c r="I55" s="16">
        <f t="shared" si="11"/>
        <v>-0.63459561519887764</v>
      </c>
      <c r="J55" s="39" t="s">
        <v>22</v>
      </c>
      <c r="K55" s="40" t="s">
        <v>29</v>
      </c>
    </row>
    <row r="56" spans="1:11" ht="15.75">
      <c r="A56" s="25" t="str">
        <v>Q231</v>
      </c>
      <c r="B56" s="26" t="str">
        <v>NY</v>
      </c>
      <c r="C56" s="21">
        <v>11460.875</v>
      </c>
      <c r="D56" s="11">
        <v>21002.59</v>
      </c>
      <c r="E56" s="11">
        <f t="shared" si="6"/>
        <v>-9541.7150000000001</v>
      </c>
      <c r="F56" s="12">
        <f t="shared" si="7"/>
        <v>-0.4543113492193106</v>
      </c>
      <c r="G56" s="13">
        <v>0</v>
      </c>
      <c r="H56" s="13">
        <f t="shared" si="10"/>
        <v>11460.875</v>
      </c>
      <c r="I56" s="14" t="str">
        <f t="shared" si="11"/>
        <v/>
      </c>
      <c r="J56" s="38" t="s">
        <v>22</v>
      </c>
      <c r="K56" s="38" t="s">
        <v>22</v>
      </c>
    </row>
    <row r="57" spans="1:11" ht="15.75">
      <c r="A57" s="27" t="str">
        <v>Q405</v>
      </c>
      <c r="B57" s="28" t="str">
        <v>NY</v>
      </c>
      <c r="C57" s="10">
        <v>12294.25</v>
      </c>
      <c r="D57" s="15">
        <v>18722.73</v>
      </c>
      <c r="E57" s="15">
        <f t="shared" si="6"/>
        <v>-6428.48</v>
      </c>
      <c r="F57" s="16">
        <f t="shared" si="7"/>
        <v>-0.34335163728793822</v>
      </c>
      <c r="G57" s="17">
        <v>20486.32</v>
      </c>
      <c r="H57" s="17">
        <f t="shared" si="10"/>
        <v>-8192.07</v>
      </c>
      <c r="I57" s="16">
        <f t="shared" si="11"/>
        <v>-0.39988001749460128</v>
      </c>
      <c r="J57" s="39" t="s">
        <v>46</v>
      </c>
      <c r="K57" s="40" t="s">
        <v>47</v>
      </c>
    </row>
    <row r="58" spans="1:11" ht="15.75">
      <c r="A58" s="25" t="str">
        <v>Q435</v>
      </c>
      <c r="B58" s="26" t="str">
        <v>NY</v>
      </c>
      <c r="C58" s="21">
        <v>0</v>
      </c>
      <c r="D58" s="11">
        <v>0</v>
      </c>
      <c r="E58" s="11">
        <f t="shared" si="6"/>
        <v>0</v>
      </c>
      <c r="F58" s="12" t="str">
        <f t="shared" si="7"/>
        <v/>
      </c>
      <c r="G58" s="13">
        <v>0</v>
      </c>
      <c r="H58" s="13">
        <f t="shared" si="10"/>
        <v>0</v>
      </c>
      <c r="I58" s="14" t="str">
        <f t="shared" si="11"/>
        <v/>
      </c>
      <c r="J58" s="38" t="s">
        <v>48</v>
      </c>
      <c r="K58" s="38" t="s">
        <v>49</v>
      </c>
    </row>
    <row r="59" spans="1:11" ht="31.5">
      <c r="A59" s="27" t="str">
        <v>Q485</v>
      </c>
      <c r="B59" s="28" t="str">
        <v>NY</v>
      </c>
      <c r="C59" s="10">
        <v>12481.4388279307</v>
      </c>
      <c r="D59" s="15">
        <v>12754.8</v>
      </c>
      <c r="E59" s="15">
        <f t="shared" si="6"/>
        <v>-273.36117206929885</v>
      </c>
      <c r="F59" s="16">
        <f t="shared" si="7"/>
        <v>-2.1432023400547156E-2</v>
      </c>
      <c r="G59" s="17">
        <v>27674.85</v>
      </c>
      <c r="H59" s="17">
        <f t="shared" si="10"/>
        <v>-15193.411172069298</v>
      </c>
      <c r="I59" s="16">
        <f t="shared" si="11"/>
        <v>-0.5489970558853724</v>
      </c>
      <c r="J59" s="39" t="s">
        <v>50</v>
      </c>
      <c r="K59" s="40" t="s">
        <v>51</v>
      </c>
    </row>
    <row r="60" spans="1:11" ht="15.75">
      <c r="A60" s="25" t="str">
        <v>Q490</v>
      </c>
      <c r="B60" s="26" t="str">
        <v>NY</v>
      </c>
      <c r="C60" s="21">
        <v>10238.1439808419</v>
      </c>
      <c r="D60" s="11">
        <v>0</v>
      </c>
      <c r="E60" s="11">
        <f t="shared" si="6"/>
        <v>10238.1439808419</v>
      </c>
      <c r="F60" s="12" t="str">
        <f t="shared" si="7"/>
        <v/>
      </c>
      <c r="G60" s="13">
        <v>21505.42</v>
      </c>
      <c r="H60" s="13">
        <f t="shared" si="10"/>
        <v>-11267.276019158098</v>
      </c>
      <c r="I60" s="14">
        <f t="shared" si="11"/>
        <v>-0.52392727131849082</v>
      </c>
      <c r="J60" s="38" t="s">
        <v>52</v>
      </c>
      <c r="K60" s="38" t="s">
        <v>53</v>
      </c>
    </row>
    <row r="61" spans="1:11" ht="15.75">
      <c r="A61" s="27" t="str">
        <v>Q620</v>
      </c>
      <c r="B61" s="28" t="str">
        <v>NY</v>
      </c>
      <c r="C61" s="10">
        <v>15903</v>
      </c>
      <c r="D61" s="15">
        <v>23742.06</v>
      </c>
      <c r="E61" s="15">
        <f t="shared" si="6"/>
        <v>-7839.0600000000013</v>
      </c>
      <c r="F61" s="16">
        <f t="shared" si="7"/>
        <v>-0.33017606728312543</v>
      </c>
      <c r="G61" s="17">
        <v>34544.519999999997</v>
      </c>
      <c r="H61" s="17">
        <f t="shared" si="10"/>
        <v>-18641.519999999997</v>
      </c>
      <c r="I61" s="16">
        <f t="shared" si="11"/>
        <v>-0.53963754598413871</v>
      </c>
      <c r="J61" s="39" t="s">
        <v>22</v>
      </c>
      <c r="K61" s="40" t="s">
        <v>29</v>
      </c>
    </row>
    <row r="62" spans="1:11" ht="15.75">
      <c r="A62" s="25" t="str">
        <v>QMOA</v>
      </c>
      <c r="B62" s="26" t="str">
        <v>NY</v>
      </c>
      <c r="C62" s="21">
        <v>1546.0999999999899</v>
      </c>
      <c r="D62" s="11">
        <v>0</v>
      </c>
      <c r="E62" s="11">
        <f t="shared" si="6"/>
        <v>1546.0999999999899</v>
      </c>
      <c r="F62" s="12" t="str">
        <f t="shared" si="7"/>
        <v/>
      </c>
      <c r="G62" s="13">
        <v>2946.8270000000002</v>
      </c>
      <c r="H62" s="13">
        <f t="shared" si="10"/>
        <v>-1400.7270000000103</v>
      </c>
      <c r="I62" s="14">
        <f t="shared" si="11"/>
        <v>-0.47533397786840226</v>
      </c>
      <c r="J62" s="38" t="s">
        <v>22</v>
      </c>
      <c r="K62" s="38" t="s">
        <v>29</v>
      </c>
    </row>
    <row r="63" spans="1:11" ht="15.75">
      <c r="A63" s="27" t="str">
        <v>X024</v>
      </c>
      <c r="B63" s="28" t="str">
        <v>NY</v>
      </c>
      <c r="C63" s="10">
        <v>5421</v>
      </c>
      <c r="D63" s="15">
        <v>0</v>
      </c>
      <c r="E63" s="15">
        <f t="shared" si="6"/>
        <v>5421</v>
      </c>
      <c r="F63" s="16" t="str">
        <f t="shared" si="7"/>
        <v/>
      </c>
      <c r="G63" s="17">
        <v>0</v>
      </c>
      <c r="H63" s="17">
        <f t="shared" si="10"/>
        <v>5421</v>
      </c>
      <c r="I63" s="16" t="str">
        <f t="shared" si="11"/>
        <v/>
      </c>
      <c r="J63" s="39" t="s">
        <v>22</v>
      </c>
      <c r="K63" s="40" t="s">
        <v>29</v>
      </c>
    </row>
    <row r="64" spans="1:11" ht="15.75">
      <c r="A64" s="25" t="str">
        <v>X026</v>
      </c>
      <c r="B64" s="26" t="str">
        <v>NY</v>
      </c>
      <c r="C64" s="21">
        <v>4766.8999999999696</v>
      </c>
      <c r="D64" s="11">
        <v>7713.94</v>
      </c>
      <c r="E64" s="11">
        <f t="shared" si="6"/>
        <v>-2947.04000000003</v>
      </c>
      <c r="F64" s="12">
        <f t="shared" si="7"/>
        <v>-0.38204082479252238</v>
      </c>
      <c r="G64" s="13">
        <v>14664.49</v>
      </c>
      <c r="H64" s="13">
        <f t="shared" si="10"/>
        <v>-9897.5900000000292</v>
      </c>
      <c r="I64" s="14">
        <f t="shared" si="11"/>
        <v>-0.67493584843387189</v>
      </c>
      <c r="J64" s="38" t="s">
        <v>22</v>
      </c>
      <c r="K64" s="38" t="s">
        <v>29</v>
      </c>
    </row>
    <row r="65" spans="1:11" ht="15.75">
      <c r="A65" s="27" t="str">
        <v>X090</v>
      </c>
      <c r="B65" s="28" t="str">
        <v>NY</v>
      </c>
      <c r="C65" s="10">
        <v>4671.94531250001</v>
      </c>
      <c r="D65" s="15">
        <v>4641.6970000000001</v>
      </c>
      <c r="E65" s="15">
        <f t="shared" si="6"/>
        <v>30.248312500009888</v>
      </c>
      <c r="F65" s="16">
        <f t="shared" si="7"/>
        <v>6.5166495141776573E-3</v>
      </c>
      <c r="G65" s="17">
        <v>9177</v>
      </c>
      <c r="H65" s="17">
        <f t="shared" si="10"/>
        <v>-4505.05468749999</v>
      </c>
      <c r="I65" s="16">
        <f t="shared" si="11"/>
        <v>-0.49090712514983004</v>
      </c>
      <c r="J65" s="39" t="s">
        <v>22</v>
      </c>
      <c r="K65" s="39" t="s">
        <v>29</v>
      </c>
    </row>
    <row r="66" spans="1:11" ht="15.75">
      <c r="A66" s="25" t="str">
        <v>X117</v>
      </c>
      <c r="B66" s="26" t="str">
        <v>NY</v>
      </c>
      <c r="C66" s="21">
        <v>3429.2000000000098</v>
      </c>
      <c r="D66" s="11">
        <v>6689.2290000000003</v>
      </c>
      <c r="E66" s="11">
        <f t="shared" si="6"/>
        <v>-3260.0289999999904</v>
      </c>
      <c r="F66" s="12">
        <f t="shared" si="7"/>
        <v>-0.48735497020657992</v>
      </c>
      <c r="G66" s="13">
        <v>16899.22</v>
      </c>
      <c r="H66" s="13">
        <f t="shared" si="10"/>
        <v>-13470.019999999991</v>
      </c>
      <c r="I66" s="14">
        <f t="shared" si="11"/>
        <v>-0.79707939182991816</v>
      </c>
      <c r="J66" s="38" t="s">
        <v>22</v>
      </c>
      <c r="K66" s="38" t="s">
        <v>29</v>
      </c>
    </row>
    <row r="67" spans="1:11" ht="15.75">
      <c r="A67" s="27" t="str">
        <v>X125</v>
      </c>
      <c r="B67" s="28" t="str">
        <v>NY</v>
      </c>
      <c r="C67" s="10">
        <v>7318.96875</v>
      </c>
      <c r="D67" s="15">
        <v>11623.7</v>
      </c>
      <c r="E67" s="15">
        <f t="shared" si="6"/>
        <v>-4304.7312500000007</v>
      </c>
      <c r="F67" s="16">
        <f t="shared" si="7"/>
        <v>-0.37034087682923683</v>
      </c>
      <c r="G67" s="17">
        <v>10537.29</v>
      </c>
      <c r="H67" s="17">
        <f t="shared" si="10"/>
        <v>-3218.3212500000009</v>
      </c>
      <c r="I67" s="16">
        <f t="shared" si="11"/>
        <v>-0.30542210093866645</v>
      </c>
      <c r="J67" s="39" t="s">
        <v>22</v>
      </c>
      <c r="K67" s="40" t="s">
        <v>29</v>
      </c>
    </row>
    <row r="68" spans="1:11" ht="15.75">
      <c r="A68" s="25" t="str">
        <v>X134</v>
      </c>
      <c r="B68" s="26" t="str">
        <v>NY</v>
      </c>
      <c r="C68" s="21">
        <v>6696.25</v>
      </c>
      <c r="D68" s="11">
        <v>0</v>
      </c>
      <c r="E68" s="11">
        <f t="shared" si="6"/>
        <v>6696.25</v>
      </c>
      <c r="F68" s="12" t="str">
        <f t="shared" si="7"/>
        <v/>
      </c>
      <c r="G68" s="13">
        <v>0</v>
      </c>
      <c r="H68" s="13">
        <f t="shared" si="10"/>
        <v>6696.25</v>
      </c>
      <c r="I68" s="14" t="str">
        <f t="shared" si="11"/>
        <v/>
      </c>
      <c r="J68" s="38" t="s">
        <v>22</v>
      </c>
      <c r="K68" s="38" t="s">
        <v>29</v>
      </c>
    </row>
    <row r="69" spans="1:11" ht="15.75">
      <c r="A69" s="27" t="str">
        <v>X135</v>
      </c>
      <c r="B69" s="28" t="str">
        <v>NY</v>
      </c>
      <c r="C69" s="10">
        <v>5327.84375</v>
      </c>
      <c r="D69" s="15">
        <v>0</v>
      </c>
      <c r="E69" s="15">
        <f t="shared" si="6"/>
        <v>5327.84375</v>
      </c>
      <c r="F69" s="16" t="str">
        <f t="shared" si="7"/>
        <v/>
      </c>
      <c r="G69" s="17">
        <v>0</v>
      </c>
      <c r="H69" s="17">
        <f t="shared" si="10"/>
        <v>5327.84375</v>
      </c>
      <c r="I69" s="16" t="str">
        <f t="shared" si="11"/>
        <v/>
      </c>
      <c r="J69" s="39" t="s">
        <v>22</v>
      </c>
      <c r="K69" s="40" t="s">
        <v>29</v>
      </c>
    </row>
    <row r="70" spans="1:11" ht="15.75">
      <c r="A70" s="25" t="str">
        <v>X139 JHS 222</v>
      </c>
      <c r="B70" s="26" t="str">
        <v>NY</v>
      </c>
      <c r="C70" s="21">
        <v>8332.7036999624706</v>
      </c>
      <c r="D70" s="11">
        <v>11815.57</v>
      </c>
      <c r="E70" s="11">
        <f t="shared" si="6"/>
        <v>-3482.8663000375291</v>
      </c>
      <c r="F70" s="12">
        <f t="shared" si="7"/>
        <v>-0.29476921553827107</v>
      </c>
      <c r="G70" s="13">
        <v>22550</v>
      </c>
      <c r="H70" s="13">
        <f t="shared" si="10"/>
        <v>-14217.296300037529</v>
      </c>
      <c r="I70" s="14">
        <f t="shared" si="11"/>
        <v>-0.63047877162028954</v>
      </c>
      <c r="J70" s="38" t="s">
        <v>22</v>
      </c>
      <c r="K70" s="38" t="s">
        <v>29</v>
      </c>
    </row>
    <row r="71" spans="1:11" ht="15.75">
      <c r="A71" s="27" t="str">
        <v>X140</v>
      </c>
      <c r="B71" s="28" t="str">
        <v>NY</v>
      </c>
      <c r="C71" s="10">
        <v>3985</v>
      </c>
      <c r="D71" s="15">
        <v>5753</v>
      </c>
      <c r="E71" s="15">
        <f t="shared" si="6"/>
        <v>-1768</v>
      </c>
      <c r="F71" s="16">
        <f t="shared" si="7"/>
        <v>-0.3073179210846515</v>
      </c>
      <c r="G71" s="17">
        <v>9034</v>
      </c>
      <c r="H71" s="17">
        <f t="shared" si="10"/>
        <v>-5049</v>
      </c>
      <c r="I71" s="16">
        <f t="shared" si="11"/>
        <v>-0.55888864290458273</v>
      </c>
      <c r="J71" s="39" t="s">
        <v>22</v>
      </c>
      <c r="K71" s="40" t="s">
        <v>29</v>
      </c>
    </row>
    <row r="72" spans="1:11" ht="15.75">
      <c r="A72" s="25" t="str">
        <v>X166</v>
      </c>
      <c r="B72" s="26" t="str">
        <v>NY</v>
      </c>
      <c r="C72" s="21">
        <v>5046.3999999999696</v>
      </c>
      <c r="D72" s="11">
        <v>7824.4260000000004</v>
      </c>
      <c r="E72" s="11">
        <f t="shared" si="6"/>
        <v>-2778.0260000000308</v>
      </c>
      <c r="F72" s="12">
        <f t="shared" si="7"/>
        <v>-0.35504534134517096</v>
      </c>
      <c r="G72" s="13">
        <v>0</v>
      </c>
      <c r="H72" s="13">
        <f t="shared" si="10"/>
        <v>5046.3999999999696</v>
      </c>
      <c r="I72" s="14" t="str">
        <f t="shared" si="11"/>
        <v/>
      </c>
      <c r="J72" s="38" t="s">
        <v>22</v>
      </c>
      <c r="K72" s="38" t="s">
        <v>29</v>
      </c>
    </row>
    <row r="73" spans="1:11" ht="47.25">
      <c r="A73" s="27" t="str">
        <v>Murphy</v>
      </c>
      <c r="B73" s="28" t="str">
        <v>MN</v>
      </c>
      <c r="C73" s="10">
        <v>286090</v>
      </c>
      <c r="D73" s="15">
        <v>414785.1</v>
      </c>
      <c r="E73" s="15">
        <f t="shared" si="6"/>
        <v>-128695.09999999998</v>
      </c>
      <c r="F73" s="16">
        <f t="shared" si="7"/>
        <v>-0.31026934188330291</v>
      </c>
      <c r="G73" s="17">
        <v>533246.5</v>
      </c>
      <c r="H73" s="17">
        <f t="shared" si="10"/>
        <v>-247156.5</v>
      </c>
      <c r="I73" s="16">
        <f t="shared" si="11"/>
        <v>-0.46349390010061015</v>
      </c>
      <c r="J73" s="39" t="s">
        <v>54</v>
      </c>
      <c r="K73" s="40" t="s">
        <v>55</v>
      </c>
    </row>
    <row r="74" spans="1:11" ht="15.75">
      <c r="A74" s="25" t="str">
        <v>Terning</v>
      </c>
      <c r="B74" s="26" t="str">
        <v>MN</v>
      </c>
      <c r="C74" s="21">
        <v>283485</v>
      </c>
      <c r="D74" s="11">
        <v>410301.4</v>
      </c>
      <c r="E74" s="11">
        <f t="shared" si="6"/>
        <v>-126816.40000000002</v>
      </c>
      <c r="F74" s="12">
        <f t="shared" si="7"/>
        <v>-0.30908108039602111</v>
      </c>
      <c r="G74" s="13">
        <v>483171.2</v>
      </c>
      <c r="H74" s="13">
        <f t="shared" si="10"/>
        <v>-199686.2</v>
      </c>
      <c r="I74" s="14">
        <f t="shared" si="11"/>
        <v>-0.41328249697001812</v>
      </c>
      <c r="J74" s="38" t="s">
        <v>22</v>
      </c>
      <c r="K74" s="38" t="s">
        <v>29</v>
      </c>
    </row>
    <row r="75" spans="1:11" ht="15.75">
      <c r="A75" s="27" t="str">
        <v>Boas Road 04</v>
      </c>
      <c r="B75" s="28" t="str">
        <v>NY</v>
      </c>
      <c r="C75" s="10">
        <v>33560</v>
      </c>
      <c r="D75" s="15">
        <v>0</v>
      </c>
      <c r="E75" s="15">
        <f t="shared" si="6"/>
        <v>33560</v>
      </c>
      <c r="F75" s="16" t="str">
        <f t="shared" si="7"/>
        <v/>
      </c>
      <c r="G75" s="17">
        <v>220064.68</v>
      </c>
      <c r="H75" s="17">
        <f t="shared" si="10"/>
        <v>-186504.68</v>
      </c>
      <c r="I75" s="16">
        <f t="shared" si="11"/>
        <v>-0.84749938063663832</v>
      </c>
      <c r="J75" s="39" t="s">
        <v>22</v>
      </c>
      <c r="K75" s="40" t="s">
        <v>29</v>
      </c>
    </row>
    <row r="76" spans="1:11" ht="30">
      <c r="A76" s="25" t="str">
        <v>Kelly Bridge Farm</v>
      </c>
      <c r="B76" s="26" t="str">
        <v>NY</v>
      </c>
      <c r="C76" s="21">
        <v>39040</v>
      </c>
      <c r="D76" s="11">
        <v>0</v>
      </c>
      <c r="E76" s="11">
        <f t="shared" si="6"/>
        <v>39040</v>
      </c>
      <c r="F76" s="12" t="str">
        <f t="shared" si="7"/>
        <v/>
      </c>
      <c r="G76" s="13">
        <v>209445.59</v>
      </c>
      <c r="H76" s="13">
        <f t="shared" si="10"/>
        <v>-170405.59</v>
      </c>
      <c r="I76" s="14">
        <f t="shared" si="11"/>
        <v>-0.81360314151279101</v>
      </c>
      <c r="J76" s="38" t="s">
        <v>56</v>
      </c>
      <c r="K76" s="38" t="s">
        <v>57</v>
      </c>
    </row>
    <row r="77" spans="1:11" ht="15.75">
      <c r="A77" s="27" t="str">
        <v>Pool Brook Road</v>
      </c>
      <c r="B77" s="28" t="str">
        <v>NY</v>
      </c>
      <c r="C77" s="10">
        <v>35247</v>
      </c>
      <c r="D77" s="15">
        <v>0</v>
      </c>
      <c r="E77" s="15">
        <f t="shared" si="6"/>
        <v>35247</v>
      </c>
      <c r="F77" s="16" t="str">
        <f t="shared" si="7"/>
        <v/>
      </c>
      <c r="G77" s="17">
        <v>194874.12</v>
      </c>
      <c r="H77" s="17">
        <f t="shared" si="10"/>
        <v>-159627.12</v>
      </c>
      <c r="I77" s="16">
        <f t="shared" si="11"/>
        <v>-0.81912939491400905</v>
      </c>
      <c r="J77" s="39" t="s">
        <v>22</v>
      </c>
      <c r="K77" s="39" t="s">
        <v>29</v>
      </c>
    </row>
    <row r="78" spans="1:11" ht="30">
      <c r="A78" s="25" t="str">
        <v>Sackett Lake</v>
      </c>
      <c r="B78" s="26" t="str">
        <v>NY</v>
      </c>
      <c r="C78" s="21">
        <v>43312</v>
      </c>
      <c r="D78" s="11">
        <v>0</v>
      </c>
      <c r="E78" s="11">
        <f t="shared" si="6"/>
        <v>43312</v>
      </c>
      <c r="F78" s="12" t="str">
        <f t="shared" si="7"/>
        <v/>
      </c>
      <c r="G78" s="13">
        <v>223309.11</v>
      </c>
      <c r="H78" s="13">
        <f t="shared" si="10"/>
        <v>-179997.11</v>
      </c>
      <c r="I78" s="14">
        <f t="shared" si="11"/>
        <v>-0.80604463472179888</v>
      </c>
      <c r="J78" s="38" t="s">
        <v>58</v>
      </c>
      <c r="K78" s="38" t="s">
        <v>59</v>
      </c>
    </row>
    <row r="79" spans="1:11" ht="15.75">
      <c r="A79" s="27" t="str">
        <v>Burritt Road</v>
      </c>
      <c r="B79" s="28" t="str">
        <v>NY</v>
      </c>
      <c r="C79" s="10">
        <v>72810</v>
      </c>
      <c r="D79" s="15">
        <v>97923.36</v>
      </c>
      <c r="E79" s="15">
        <f t="shared" si="6"/>
        <v>-25113.360000000001</v>
      </c>
      <c r="F79" s="16">
        <f t="shared" si="7"/>
        <v>-0.25645933717960656</v>
      </c>
      <c r="G79" s="17">
        <v>111632.62</v>
      </c>
      <c r="H79" s="17">
        <f t="shared" si="10"/>
        <v>-38822.619999999995</v>
      </c>
      <c r="I79" s="16">
        <f t="shared" si="11"/>
        <v>-0.34777128763975973</v>
      </c>
      <c r="J79" s="39" t="s">
        <v>22</v>
      </c>
      <c r="K79" s="40" t="s">
        <v>29</v>
      </c>
    </row>
    <row r="80" spans="1:11" ht="30">
      <c r="A80" s="25" t="str">
        <v>Villa Roma 1</v>
      </c>
      <c r="B80" s="26" t="str">
        <v>NY</v>
      </c>
      <c r="C80" s="21">
        <v>8879</v>
      </c>
      <c r="D80" s="11">
        <v>74159.11</v>
      </c>
      <c r="E80" s="11">
        <f t="shared" ref="E80:E137" si="12">IF(AND(ISNUMBER(C80),ISNUMBER(D80)), C80-D80, "")</f>
        <v>-65280.11</v>
      </c>
      <c r="F80" s="12">
        <f t="shared" ref="F80:F137" si="13">IFERROR(E80/D80, "")</f>
        <v>-0.88027094715672827</v>
      </c>
      <c r="G80" s="13">
        <v>118883.5</v>
      </c>
      <c r="H80" s="13">
        <f t="shared" si="10"/>
        <v>-110004.5</v>
      </c>
      <c r="I80" s="14">
        <f t="shared" si="11"/>
        <v>-0.92531343710439207</v>
      </c>
      <c r="J80" s="38" t="s">
        <v>60</v>
      </c>
      <c r="K80" s="38" t="s">
        <v>61</v>
      </c>
    </row>
    <row r="81" spans="1:11" ht="45">
      <c r="A81" s="27" t="str">
        <v>Villa Roma 2</v>
      </c>
      <c r="B81" s="28" t="str">
        <v>NY</v>
      </c>
      <c r="C81" s="10">
        <v>67057</v>
      </c>
      <c r="D81" s="15">
        <v>110773.82</v>
      </c>
      <c r="E81" s="15">
        <f t="shared" si="12"/>
        <v>-43716.820000000007</v>
      </c>
      <c r="F81" s="16">
        <f t="shared" si="13"/>
        <v>-0.39464938556781742</v>
      </c>
      <c r="G81" s="17">
        <v>115878.35</v>
      </c>
      <c r="H81" s="17">
        <f t="shared" si="10"/>
        <v>-48821.350000000006</v>
      </c>
      <c r="I81" s="16">
        <f t="shared" si="11"/>
        <v>-0.42131554341255295</v>
      </c>
      <c r="J81" s="39" t="s">
        <v>62</v>
      </c>
      <c r="K81" s="40" t="s">
        <v>63</v>
      </c>
    </row>
    <row r="82" spans="1:11" ht="15.75">
      <c r="A82" s="25" t="str">
        <v>Washington 1</v>
      </c>
      <c r="B82" s="26" t="str">
        <v>NY</v>
      </c>
      <c r="C82" s="21">
        <v>55740</v>
      </c>
      <c r="D82" s="11">
        <v>109395.46</v>
      </c>
      <c r="E82" s="11">
        <f t="shared" si="12"/>
        <v>-53655.460000000006</v>
      </c>
      <c r="F82" s="12">
        <f t="shared" si="13"/>
        <v>-0.49047245653521637</v>
      </c>
      <c r="G82" s="13">
        <v>107420.17</v>
      </c>
      <c r="H82" s="13">
        <f t="shared" ref="H82:H137" si="14">IF(AND(ISNUMBER(C82),ISNUMBER(G82)), C82-G82, "")</f>
        <v>-51680.17</v>
      </c>
      <c r="I82" s="14">
        <f t="shared" ref="I82:I137" si="15">IFERROR(H82/G82, "")</f>
        <v>-0.4811030367946727</v>
      </c>
      <c r="J82" s="38" t="s">
        <v>64</v>
      </c>
      <c r="K82" s="38" t="s">
        <v>65</v>
      </c>
    </row>
    <row r="83" spans="1:11" ht="90">
      <c r="A83" s="27" t="str">
        <v>Washington 3</v>
      </c>
      <c r="B83" s="28" t="str">
        <v>NY</v>
      </c>
      <c r="C83" s="10">
        <v>48791</v>
      </c>
      <c r="D83" s="15">
        <v>117227.81</v>
      </c>
      <c r="E83" s="15">
        <f t="shared" si="12"/>
        <v>-68436.81</v>
      </c>
      <c r="F83" s="16">
        <f t="shared" si="13"/>
        <v>-0.58379329955920867</v>
      </c>
      <c r="G83" s="17">
        <v>130931.08</v>
      </c>
      <c r="H83" s="17">
        <f t="shared" si="14"/>
        <v>-82140.08</v>
      </c>
      <c r="I83" s="16">
        <f t="shared" si="15"/>
        <v>-0.6273535664717651</v>
      </c>
      <c r="J83" s="39" t="s">
        <v>66</v>
      </c>
      <c r="K83" s="40" t="s">
        <v>67</v>
      </c>
    </row>
    <row r="84" spans="1:11" ht="15.75">
      <c r="A84" s="25" t="str">
        <v>Washington 4</v>
      </c>
      <c r="B84" s="26" t="str">
        <v>NY</v>
      </c>
      <c r="C84" s="21">
        <v>81604</v>
      </c>
      <c r="D84" s="11">
        <v>0</v>
      </c>
      <c r="E84" s="11">
        <f t="shared" si="12"/>
        <v>81604</v>
      </c>
      <c r="F84" s="12" t="str">
        <f t="shared" si="13"/>
        <v/>
      </c>
      <c r="G84" s="13">
        <v>131400.47</v>
      </c>
      <c r="H84" s="13">
        <f t="shared" si="14"/>
        <v>-49796.47</v>
      </c>
      <c r="I84" s="14">
        <f t="shared" si="15"/>
        <v>-0.37896721373979864</v>
      </c>
      <c r="J84" s="38" t="s">
        <v>68</v>
      </c>
      <c r="K84" s="38" t="s">
        <v>69</v>
      </c>
    </row>
    <row r="85" spans="1:11" ht="15.75">
      <c r="A85" s="27" t="str">
        <v>Big Tree</v>
      </c>
      <c r="B85" s="28" t="str">
        <v>NY</v>
      </c>
      <c r="C85" s="10">
        <v>32655</v>
      </c>
      <c r="D85" s="15">
        <v>0</v>
      </c>
      <c r="E85" s="15">
        <f t="shared" si="12"/>
        <v>32655</v>
      </c>
      <c r="F85" s="16" t="str">
        <f t="shared" si="13"/>
        <v/>
      </c>
      <c r="G85" s="17">
        <v>107924</v>
      </c>
      <c r="H85" s="17">
        <f t="shared" si="14"/>
        <v>-75269</v>
      </c>
      <c r="I85" s="16">
        <f t="shared" si="15"/>
        <v>-0.69742596642081467</v>
      </c>
      <c r="J85" s="39" t="s">
        <v>22</v>
      </c>
      <c r="K85" s="40" t="s">
        <v>29</v>
      </c>
    </row>
    <row r="86" spans="1:11" ht="45">
      <c r="A86" s="25" t="str">
        <v>Canoga</v>
      </c>
      <c r="B86" s="26" t="str">
        <v>NY</v>
      </c>
      <c r="C86" s="21">
        <v>219933</v>
      </c>
      <c r="D86" s="11">
        <v>0</v>
      </c>
      <c r="E86" s="11">
        <f t="shared" si="12"/>
        <v>219933</v>
      </c>
      <c r="F86" s="12" t="str">
        <f t="shared" si="13"/>
        <v/>
      </c>
      <c r="G86" s="13">
        <v>305951</v>
      </c>
      <c r="H86" s="13">
        <f t="shared" si="14"/>
        <v>-86018</v>
      </c>
      <c r="I86" s="14">
        <f t="shared" si="15"/>
        <v>-0.2811495958503159</v>
      </c>
      <c r="J86" s="38" t="s">
        <v>70</v>
      </c>
      <c r="K86" s="38" t="s">
        <v>71</v>
      </c>
    </row>
    <row r="87" spans="1:11" ht="105">
      <c r="A87" s="27" t="str">
        <v>County Route 84</v>
      </c>
      <c r="B87" s="28" t="str">
        <v>NY</v>
      </c>
      <c r="C87" s="10">
        <v>240973</v>
      </c>
      <c r="D87" s="15">
        <v>0</v>
      </c>
      <c r="E87" s="15">
        <f t="shared" si="12"/>
        <v>240973</v>
      </c>
      <c r="F87" s="16" t="str">
        <f t="shared" si="13"/>
        <v/>
      </c>
      <c r="G87" s="17">
        <v>377147</v>
      </c>
      <c r="H87" s="17">
        <f t="shared" si="14"/>
        <v>-136174</v>
      </c>
      <c r="I87" s="16">
        <f t="shared" si="15"/>
        <v>-0.36106345801504452</v>
      </c>
      <c r="J87" s="39" t="s">
        <v>72</v>
      </c>
      <c r="K87" s="40" t="s">
        <v>73</v>
      </c>
    </row>
    <row r="88" spans="1:11" ht="15.75">
      <c r="A88" s="25" t="str">
        <v>Donati</v>
      </c>
      <c r="B88" s="26" t="str">
        <v>NY</v>
      </c>
      <c r="C88" s="21">
        <v>82618</v>
      </c>
      <c r="D88" s="11">
        <v>0</v>
      </c>
      <c r="E88" s="11">
        <f t="shared" si="12"/>
        <v>82618</v>
      </c>
      <c r="F88" s="12" t="str">
        <f t="shared" si="13"/>
        <v/>
      </c>
      <c r="G88" s="13">
        <v>120408</v>
      </c>
      <c r="H88" s="13">
        <f t="shared" si="14"/>
        <v>-37790</v>
      </c>
      <c r="I88" s="14">
        <f t="shared" si="15"/>
        <v>-0.31384957810112285</v>
      </c>
      <c r="J88" s="38" t="s">
        <v>74</v>
      </c>
      <c r="K88" s="38" t="s">
        <v>75</v>
      </c>
    </row>
    <row r="89" spans="1:11" ht="15.75">
      <c r="A89" s="27" t="str">
        <v>Henrietta</v>
      </c>
      <c r="B89" s="28" t="str">
        <v>NY</v>
      </c>
      <c r="C89" s="10">
        <v>149508</v>
      </c>
      <c r="D89" s="15">
        <v>0</v>
      </c>
      <c r="E89" s="15">
        <f t="shared" si="12"/>
        <v>149508</v>
      </c>
      <c r="F89" s="16" t="str">
        <f t="shared" si="13"/>
        <v/>
      </c>
      <c r="G89" s="17">
        <v>231860</v>
      </c>
      <c r="H89" s="17">
        <f t="shared" si="14"/>
        <v>-82352</v>
      </c>
      <c r="I89" s="16">
        <f t="shared" si="15"/>
        <v>-0.35517984990942808</v>
      </c>
      <c r="J89" s="39" t="s">
        <v>76</v>
      </c>
      <c r="K89" s="39" t="s">
        <v>77</v>
      </c>
    </row>
    <row r="90" spans="1:11" ht="60">
      <c r="A90" s="25" t="str">
        <v>NY 70</v>
      </c>
      <c r="B90" s="26" t="str">
        <v>NY</v>
      </c>
      <c r="C90" s="21">
        <v>202299</v>
      </c>
      <c r="D90" s="11">
        <v>0</v>
      </c>
      <c r="E90" s="11">
        <f t="shared" si="12"/>
        <v>202299</v>
      </c>
      <c r="F90" s="12" t="str">
        <f t="shared" si="13"/>
        <v/>
      </c>
      <c r="G90" s="13">
        <v>360230</v>
      </c>
      <c r="H90" s="13">
        <f t="shared" si="14"/>
        <v>-157931</v>
      </c>
      <c r="I90" s="14">
        <f t="shared" si="15"/>
        <v>-0.43841712239402603</v>
      </c>
      <c r="J90" s="38" t="s">
        <v>78</v>
      </c>
      <c r="K90" s="38" t="s">
        <v>79</v>
      </c>
    </row>
    <row r="91" spans="1:11" ht="15.75">
      <c r="A91" s="27" t="str">
        <v>Reid</v>
      </c>
      <c r="B91" s="28" t="str">
        <v>NY</v>
      </c>
      <c r="C91" s="10">
        <v>161556.07105237199</v>
      </c>
      <c r="D91" s="15">
        <v>184058</v>
      </c>
      <c r="E91" s="15">
        <f t="shared" si="12"/>
        <v>-22501.92894762801</v>
      </c>
      <c r="F91" s="16">
        <f t="shared" si="13"/>
        <v>-0.12225455534466315</v>
      </c>
      <c r="G91" s="17">
        <v>380016</v>
      </c>
      <c r="H91" s="17">
        <f t="shared" si="14"/>
        <v>-218459.92894762801</v>
      </c>
      <c r="I91" s="16">
        <f t="shared" si="15"/>
        <v>-0.57487034479502974</v>
      </c>
      <c r="J91" s="39" t="s">
        <v>22</v>
      </c>
      <c r="K91" s="40" t="s">
        <v>29</v>
      </c>
    </row>
    <row r="92" spans="1:11" ht="15.75">
      <c r="A92" s="25" t="str">
        <v>Sangolqui</v>
      </c>
      <c r="B92" s="26" t="str">
        <v>NY</v>
      </c>
      <c r="C92" s="21">
        <v>76404</v>
      </c>
      <c r="D92" s="11">
        <v>0</v>
      </c>
      <c r="E92" s="11">
        <f t="shared" si="12"/>
        <v>76404</v>
      </c>
      <c r="F92" s="12" t="str">
        <f t="shared" si="13"/>
        <v/>
      </c>
      <c r="G92" s="13">
        <v>117423</v>
      </c>
      <c r="H92" s="13">
        <f t="shared" si="14"/>
        <v>-41019</v>
      </c>
      <c r="I92" s="14">
        <f t="shared" si="15"/>
        <v>-0.34932679287703433</v>
      </c>
      <c r="J92" s="38" t="s">
        <v>80</v>
      </c>
      <c r="K92" s="38" t="s">
        <v>81</v>
      </c>
    </row>
    <row r="93" spans="1:11" ht="45">
      <c r="A93" s="27" t="str">
        <v>State Highway 17B</v>
      </c>
      <c r="B93" s="28" t="str">
        <v>NY</v>
      </c>
      <c r="C93" s="10">
        <v>175181</v>
      </c>
      <c r="D93" s="15">
        <v>0</v>
      </c>
      <c r="E93" s="15">
        <f t="shared" si="12"/>
        <v>175181</v>
      </c>
      <c r="F93" s="16" t="str">
        <f t="shared" si="13"/>
        <v/>
      </c>
      <c r="G93" s="17">
        <v>323774</v>
      </c>
      <c r="H93" s="17">
        <f t="shared" si="14"/>
        <v>-148593</v>
      </c>
      <c r="I93" s="16">
        <f t="shared" si="15"/>
        <v>-0.45894049553083321</v>
      </c>
      <c r="J93" s="39" t="s">
        <v>82</v>
      </c>
      <c r="K93" s="40" t="s">
        <v>83</v>
      </c>
    </row>
    <row r="94" spans="1:11" ht="15.75">
      <c r="A94" s="25" t="str">
        <v>State Route 14A</v>
      </c>
      <c r="B94" s="26" t="str">
        <v>NY</v>
      </c>
      <c r="C94" s="21">
        <v>251217</v>
      </c>
      <c r="D94" s="11">
        <v>0</v>
      </c>
      <c r="E94" s="11">
        <f t="shared" si="12"/>
        <v>251217</v>
      </c>
      <c r="F94" s="12" t="str">
        <f t="shared" si="13"/>
        <v/>
      </c>
      <c r="G94" s="13">
        <v>347615</v>
      </c>
      <c r="H94" s="13">
        <f t="shared" si="14"/>
        <v>-96398</v>
      </c>
      <c r="I94" s="14">
        <f t="shared" si="15"/>
        <v>-0.27731254405017047</v>
      </c>
      <c r="J94" s="38" t="s">
        <v>84</v>
      </c>
      <c r="K94" s="38" t="s">
        <v>85</v>
      </c>
    </row>
    <row r="95" spans="1:11" ht="15.75">
      <c r="A95" s="27" t="str">
        <v>West Creek</v>
      </c>
      <c r="B95" s="28" t="str">
        <v>NY</v>
      </c>
      <c r="C95" s="10">
        <v>204956</v>
      </c>
      <c r="D95" s="15">
        <v>0</v>
      </c>
      <c r="E95" s="15">
        <f t="shared" si="12"/>
        <v>204956</v>
      </c>
      <c r="F95" s="16" t="str">
        <f t="shared" si="13"/>
        <v/>
      </c>
      <c r="G95" s="17">
        <v>298444</v>
      </c>
      <c r="H95" s="17">
        <f t="shared" si="14"/>
        <v>-93488</v>
      </c>
      <c r="I95" s="16">
        <f t="shared" si="15"/>
        <v>-0.3132513972470547</v>
      </c>
      <c r="J95" s="39" t="s">
        <v>86</v>
      </c>
      <c r="K95" s="40" t="s">
        <v>87</v>
      </c>
    </row>
    <row r="96" spans="1:11" ht="45">
      <c r="A96" s="25" t="str">
        <v>Wildflower</v>
      </c>
      <c r="B96" s="26" t="str">
        <v>NY</v>
      </c>
      <c r="C96" s="21">
        <v>222902</v>
      </c>
      <c r="D96" s="11">
        <v>0</v>
      </c>
      <c r="E96" s="11">
        <f t="shared" si="12"/>
        <v>222902</v>
      </c>
      <c r="F96" s="12" t="str">
        <f t="shared" si="13"/>
        <v/>
      </c>
      <c r="G96" s="13">
        <v>406945</v>
      </c>
      <c r="H96" s="13">
        <f t="shared" si="14"/>
        <v>-184043</v>
      </c>
      <c r="I96" s="14">
        <f t="shared" si="15"/>
        <v>-0.45225521876420649</v>
      </c>
      <c r="J96" s="38" t="s">
        <v>88</v>
      </c>
      <c r="K96" s="38" t="s">
        <v>89</v>
      </c>
    </row>
    <row r="97" spans="1:11" ht="15.75">
      <c r="A97" s="27" t="str">
        <v>Glen Mary 1</v>
      </c>
      <c r="B97" s="28" t="str">
        <v>NY</v>
      </c>
      <c r="C97" s="10">
        <v>90965</v>
      </c>
      <c r="D97" s="15">
        <v>0</v>
      </c>
      <c r="E97" s="15">
        <f t="shared" si="12"/>
        <v>90965</v>
      </c>
      <c r="F97" s="16" t="str">
        <f t="shared" si="13"/>
        <v/>
      </c>
      <c r="G97" s="17">
        <v>0</v>
      </c>
      <c r="H97" s="17">
        <f t="shared" si="14"/>
        <v>90965</v>
      </c>
      <c r="I97" s="16" t="str">
        <f t="shared" si="15"/>
        <v/>
      </c>
      <c r="J97" s="39" t="s">
        <v>22</v>
      </c>
      <c r="K97" s="40" t="s">
        <v>29</v>
      </c>
    </row>
    <row r="98" spans="1:11" ht="15.75">
      <c r="A98" s="25" t="str">
        <v>Glen Mary 2</v>
      </c>
      <c r="B98" s="26" t="str">
        <v>NY</v>
      </c>
      <c r="C98" s="21">
        <v>39864</v>
      </c>
      <c r="D98" s="11">
        <v>0</v>
      </c>
      <c r="E98" s="11">
        <f t="shared" si="12"/>
        <v>39864</v>
      </c>
      <c r="F98" s="12" t="str">
        <f t="shared" si="13"/>
        <v/>
      </c>
      <c r="G98" s="13">
        <v>159217</v>
      </c>
      <c r="H98" s="13">
        <f t="shared" si="14"/>
        <v>-119353</v>
      </c>
      <c r="I98" s="14">
        <f t="shared" si="15"/>
        <v>-0.74962472600287655</v>
      </c>
      <c r="J98" s="38" t="s">
        <v>22</v>
      </c>
      <c r="K98" s="38" t="s">
        <v>29</v>
      </c>
    </row>
    <row r="99" spans="1:11" ht="31.5">
      <c r="A99" s="27" t="str">
        <v>Telegraph 1</v>
      </c>
      <c r="B99" s="28" t="str">
        <v>NY</v>
      </c>
      <c r="C99" s="10">
        <v>54564</v>
      </c>
      <c r="D99" s="15">
        <v>0</v>
      </c>
      <c r="E99" s="15">
        <f t="shared" si="12"/>
        <v>54564</v>
      </c>
      <c r="F99" s="16" t="str">
        <f t="shared" si="13"/>
        <v/>
      </c>
      <c r="G99" s="17">
        <v>264699</v>
      </c>
      <c r="H99" s="17">
        <f t="shared" si="14"/>
        <v>-210135</v>
      </c>
      <c r="I99" s="16">
        <f t="shared" si="15"/>
        <v>-0.79386397379665208</v>
      </c>
      <c r="J99" s="39" t="s">
        <v>90</v>
      </c>
      <c r="K99" s="40" t="s">
        <v>91</v>
      </c>
    </row>
    <row r="100" spans="1:11" ht="30">
      <c r="A100" s="25" t="str">
        <v>Telegraph 2</v>
      </c>
      <c r="B100" s="26" t="str">
        <v>NY</v>
      </c>
      <c r="C100" s="21">
        <v>29393</v>
      </c>
      <c r="D100" s="11">
        <v>0</v>
      </c>
      <c r="E100" s="11">
        <f t="shared" si="12"/>
        <v>29393</v>
      </c>
      <c r="F100" s="12" t="str">
        <f t="shared" si="13"/>
        <v/>
      </c>
      <c r="G100" s="13">
        <v>137325</v>
      </c>
      <c r="H100" s="13">
        <f t="shared" si="14"/>
        <v>-107932</v>
      </c>
      <c r="I100" s="14">
        <f t="shared" si="15"/>
        <v>-0.78596031312579651</v>
      </c>
      <c r="J100" s="38" t="s">
        <v>90</v>
      </c>
      <c r="K100" s="38" t="s">
        <v>92</v>
      </c>
    </row>
    <row r="101" spans="1:11" ht="15.75">
      <c r="A101" s="27" t="str">
        <v>Cafferty Hill</v>
      </c>
      <c r="B101" s="28" t="str">
        <v>NY</v>
      </c>
      <c r="C101" s="10">
        <v>100252</v>
      </c>
      <c r="D101" s="15">
        <v>0</v>
      </c>
      <c r="E101" s="15">
        <f t="shared" si="12"/>
        <v>100252</v>
      </c>
      <c r="F101" s="16" t="str">
        <f t="shared" si="13"/>
        <v/>
      </c>
      <c r="G101" s="17">
        <v>312360</v>
      </c>
      <c r="H101" s="17">
        <f t="shared" si="14"/>
        <v>-212108</v>
      </c>
      <c r="I101" s="16">
        <f t="shared" si="15"/>
        <v>-0.67904981431681388</v>
      </c>
      <c r="J101" s="39" t="s">
        <v>22</v>
      </c>
      <c r="K101" s="39" t="s">
        <v>22</v>
      </c>
    </row>
    <row r="102" spans="1:11" ht="45">
      <c r="A102" s="25" t="str">
        <v>Dunkleman</v>
      </c>
      <c r="B102" s="26" t="str">
        <v>NY</v>
      </c>
      <c r="C102" s="21">
        <v>83950</v>
      </c>
      <c r="D102" s="11">
        <v>0</v>
      </c>
      <c r="E102" s="11">
        <f t="shared" si="12"/>
        <v>83950</v>
      </c>
      <c r="F102" s="12" t="str">
        <f t="shared" si="13"/>
        <v/>
      </c>
      <c r="G102" s="13">
        <v>0</v>
      </c>
      <c r="H102" s="13">
        <f t="shared" si="14"/>
        <v>83950</v>
      </c>
      <c r="I102" s="14" t="str">
        <f t="shared" si="15"/>
        <v/>
      </c>
      <c r="J102" s="38" t="s">
        <v>93</v>
      </c>
      <c r="K102" s="38" t="s">
        <v>94</v>
      </c>
    </row>
    <row r="103" spans="1:11" ht="31.5">
      <c r="A103" s="27" t="str">
        <v>Route 19 1</v>
      </c>
      <c r="B103" s="28" t="str">
        <v>NY</v>
      </c>
      <c r="C103" s="10">
        <v>29341</v>
      </c>
      <c r="D103" s="15">
        <v>0</v>
      </c>
      <c r="E103" s="15">
        <f t="shared" si="12"/>
        <v>29341</v>
      </c>
      <c r="F103" s="16" t="str">
        <f t="shared" si="13"/>
        <v/>
      </c>
      <c r="G103" s="17">
        <v>133344</v>
      </c>
      <c r="H103" s="17">
        <f t="shared" si="14"/>
        <v>-104003</v>
      </c>
      <c r="I103" s="16">
        <f t="shared" si="15"/>
        <v>-0.77996010319174469</v>
      </c>
      <c r="J103" s="39" t="s">
        <v>90</v>
      </c>
      <c r="K103" s="40" t="s">
        <v>95</v>
      </c>
    </row>
    <row r="104" spans="1:11" ht="30">
      <c r="A104" s="25" t="str">
        <v>Route 19 2</v>
      </c>
      <c r="B104" s="26" t="str">
        <v>NY</v>
      </c>
      <c r="C104" s="21">
        <v>66472</v>
      </c>
      <c r="D104" s="11">
        <v>0</v>
      </c>
      <c r="E104" s="11">
        <f t="shared" si="12"/>
        <v>66472</v>
      </c>
      <c r="F104" s="12" t="str">
        <f t="shared" si="13"/>
        <v/>
      </c>
      <c r="G104" s="13">
        <v>361225</v>
      </c>
      <c r="H104" s="13">
        <f t="shared" si="14"/>
        <v>-294753</v>
      </c>
      <c r="I104" s="14">
        <f t="shared" si="15"/>
        <v>-0.81598172883936604</v>
      </c>
      <c r="J104" s="38" t="s">
        <v>90</v>
      </c>
      <c r="K104" s="38" t="s">
        <v>96</v>
      </c>
    </row>
    <row r="105" spans="1:11" ht="31.5">
      <c r="A105" s="27" t="str">
        <v>Yellow Mills 1</v>
      </c>
      <c r="B105" s="28" t="str">
        <v>NY</v>
      </c>
      <c r="C105" s="10">
        <v>31915</v>
      </c>
      <c r="D105" s="15">
        <v>0</v>
      </c>
      <c r="E105" s="15">
        <f t="shared" si="12"/>
        <v>31915</v>
      </c>
      <c r="F105" s="16" t="str">
        <f t="shared" si="13"/>
        <v/>
      </c>
      <c r="G105" s="17">
        <v>0</v>
      </c>
      <c r="H105" s="17">
        <f t="shared" si="14"/>
        <v>31915</v>
      </c>
      <c r="I105" s="16" t="str">
        <f t="shared" si="15"/>
        <v/>
      </c>
      <c r="J105" s="39" t="s">
        <v>97</v>
      </c>
      <c r="K105" s="40" t="s">
        <v>98</v>
      </c>
    </row>
    <row r="106" spans="1:11" ht="30">
      <c r="A106" s="25" t="str">
        <v>Yellow Mills 2</v>
      </c>
      <c r="B106" s="26" t="str">
        <v>NY</v>
      </c>
      <c r="C106" s="21">
        <v>31675</v>
      </c>
      <c r="D106" s="11">
        <v>0</v>
      </c>
      <c r="E106" s="11">
        <f t="shared" si="12"/>
        <v>31675</v>
      </c>
      <c r="F106" s="12" t="str">
        <f t="shared" si="13"/>
        <v/>
      </c>
      <c r="G106" s="13">
        <v>0</v>
      </c>
      <c r="H106" s="13">
        <f t="shared" si="14"/>
        <v>31675</v>
      </c>
      <c r="I106" s="14" t="str">
        <f t="shared" si="15"/>
        <v/>
      </c>
      <c r="J106" s="38" t="s">
        <v>97</v>
      </c>
      <c r="K106" s="38" t="s">
        <v>99</v>
      </c>
    </row>
    <row r="107" spans="1:11" ht="31.5">
      <c r="A107" s="27" t="str">
        <v>Yellow Mills 3</v>
      </c>
      <c r="B107" s="28" t="str">
        <v>NY</v>
      </c>
      <c r="C107" s="10">
        <v>68145</v>
      </c>
      <c r="D107" s="15">
        <v>0</v>
      </c>
      <c r="E107" s="15">
        <f t="shared" si="12"/>
        <v>68145</v>
      </c>
      <c r="F107" s="16" t="str">
        <f t="shared" si="13"/>
        <v/>
      </c>
      <c r="G107" s="17">
        <v>0</v>
      </c>
      <c r="H107" s="17">
        <f t="shared" si="14"/>
        <v>68145</v>
      </c>
      <c r="I107" s="16" t="str">
        <f t="shared" si="15"/>
        <v/>
      </c>
      <c r="J107" s="39" t="s">
        <v>97</v>
      </c>
      <c r="K107" s="40" t="s">
        <v>100</v>
      </c>
    </row>
    <row r="108" spans="1:11" ht="45">
      <c r="A108" s="25" t="str">
        <v>Catskill</v>
      </c>
      <c r="B108" s="26" t="str">
        <v>NY</v>
      </c>
      <c r="C108" s="21">
        <v>186426</v>
      </c>
      <c r="D108" s="11">
        <v>0</v>
      </c>
      <c r="E108" s="11">
        <f t="shared" si="12"/>
        <v>186426</v>
      </c>
      <c r="F108" s="12" t="str">
        <f t="shared" si="13"/>
        <v/>
      </c>
      <c r="G108" s="13">
        <v>0</v>
      </c>
      <c r="H108" s="13">
        <f t="shared" si="14"/>
        <v>186426</v>
      </c>
      <c r="I108" s="14" t="str">
        <f t="shared" si="15"/>
        <v/>
      </c>
      <c r="J108" s="38" t="s">
        <v>101</v>
      </c>
      <c r="K108" s="38" t="s">
        <v>102</v>
      </c>
    </row>
    <row r="109" spans="1:11" ht="30">
      <c r="A109" s="27" t="str">
        <v>Eddy Ridge</v>
      </c>
      <c r="B109" s="28" t="str">
        <v>NY</v>
      </c>
      <c r="C109" s="10">
        <v>108825</v>
      </c>
      <c r="D109" s="15">
        <v>0</v>
      </c>
      <c r="E109" s="15">
        <f t="shared" si="12"/>
        <v>108825</v>
      </c>
      <c r="F109" s="16" t="str">
        <f t="shared" si="13"/>
        <v/>
      </c>
      <c r="G109" s="17">
        <v>0</v>
      </c>
      <c r="H109" s="17">
        <f t="shared" si="14"/>
        <v>108825</v>
      </c>
      <c r="I109" s="16" t="str">
        <f t="shared" si="15"/>
        <v/>
      </c>
      <c r="J109" s="39" t="s">
        <v>103</v>
      </c>
      <c r="K109" s="40" t="s">
        <v>104</v>
      </c>
    </row>
    <row r="110" spans="1:11" ht="15.75">
      <c r="A110" s="25" t="str">
        <v>Ridgeway #1</v>
      </c>
      <c r="B110" s="26" t="str">
        <v>NY</v>
      </c>
      <c r="C110" s="21">
        <v>0</v>
      </c>
      <c r="D110" s="11">
        <v>0</v>
      </c>
      <c r="E110" s="11">
        <f t="shared" si="12"/>
        <v>0</v>
      </c>
      <c r="F110" s="12" t="str">
        <f t="shared" si="13"/>
        <v/>
      </c>
      <c r="G110" s="13">
        <v>0</v>
      </c>
      <c r="H110" s="13">
        <f t="shared" si="14"/>
        <v>0</v>
      </c>
      <c r="I110" s="14" t="str">
        <f t="shared" si="15"/>
        <v/>
      </c>
      <c r="J110" s="38" t="s">
        <v>105</v>
      </c>
      <c r="K110" s="38" t="s">
        <v>22</v>
      </c>
    </row>
    <row r="111" spans="1:11" ht="30">
      <c r="A111" s="27" t="str">
        <v>Rivard 1</v>
      </c>
      <c r="B111" s="28" t="str">
        <v>NY</v>
      </c>
      <c r="C111" s="10">
        <v>148695.250778894</v>
      </c>
      <c r="D111" s="15">
        <v>188962.4</v>
      </c>
      <c r="E111" s="15">
        <f t="shared" si="12"/>
        <v>-40267.149221105996</v>
      </c>
      <c r="F111" s="16">
        <f t="shared" si="13"/>
        <v>-0.21309609330272053</v>
      </c>
      <c r="G111" s="17">
        <v>269901.7</v>
      </c>
      <c r="H111" s="17">
        <f t="shared" si="14"/>
        <v>-121206.44922110601</v>
      </c>
      <c r="I111" s="16">
        <f t="shared" si="15"/>
        <v>-0.44907627192087346</v>
      </c>
      <c r="J111" s="39" t="s">
        <v>106</v>
      </c>
      <c r="K111" s="40" t="s">
        <v>107</v>
      </c>
    </row>
    <row r="112" spans="1:11" ht="75">
      <c r="A112" s="25" t="str">
        <v>Rivard 2</v>
      </c>
      <c r="B112" s="26" t="str">
        <v>NY</v>
      </c>
      <c r="C112" s="21">
        <v>28249.4825870647</v>
      </c>
      <c r="D112" s="11">
        <v>48018.29</v>
      </c>
      <c r="E112" s="11">
        <f t="shared" si="12"/>
        <v>-19768.807412935301</v>
      </c>
      <c r="F112" s="12">
        <f t="shared" si="13"/>
        <v>-0.41169328214176931</v>
      </c>
      <c r="G112" s="13">
        <v>258654.9</v>
      </c>
      <c r="H112" s="13">
        <f t="shared" si="14"/>
        <v>-230405.41741293529</v>
      </c>
      <c r="I112" s="14">
        <f t="shared" si="15"/>
        <v>-0.89078311453962522</v>
      </c>
      <c r="J112" s="38" t="s">
        <v>108</v>
      </c>
      <c r="K112" s="38" t="s">
        <v>109</v>
      </c>
    </row>
    <row r="113" spans="1:11" ht="15.75">
      <c r="A113" s="27" t="str">
        <v>Essex</v>
      </c>
      <c r="B113" s="28" t="str">
        <v>DC</v>
      </c>
      <c r="C113" s="10">
        <v>870</v>
      </c>
      <c r="D113" s="15">
        <v>1507.5250000000001</v>
      </c>
      <c r="E113" s="15">
        <f t="shared" si="12"/>
        <v>-637.52500000000009</v>
      </c>
      <c r="F113" s="16">
        <f t="shared" si="13"/>
        <v>-0.42289514270078443</v>
      </c>
      <c r="G113" s="17">
        <v>2164.9670000000001</v>
      </c>
      <c r="H113" s="17">
        <f t="shared" si="14"/>
        <v>-1294.9670000000001</v>
      </c>
      <c r="I113" s="16">
        <f t="shared" si="15"/>
        <v>-0.59814629968955646</v>
      </c>
      <c r="J113" s="39" t="s">
        <v>22</v>
      </c>
      <c r="K113" s="39" t="s">
        <v>29</v>
      </c>
    </row>
    <row r="114" spans="1:11" ht="15.75">
      <c r="A114" s="25" t="str">
        <v>Temple Sinai</v>
      </c>
      <c r="B114" s="26" t="str">
        <v>DC</v>
      </c>
      <c r="C114" s="21">
        <v>2505.62</v>
      </c>
      <c r="D114" s="11">
        <v>4293.1019999999999</v>
      </c>
      <c r="E114" s="11">
        <f t="shared" si="12"/>
        <v>-1787.482</v>
      </c>
      <c r="F114" s="12">
        <f t="shared" si="13"/>
        <v>-0.41636140953557593</v>
      </c>
      <c r="G114" s="13">
        <v>5237.6580000000004</v>
      </c>
      <c r="H114" s="13">
        <f t="shared" si="14"/>
        <v>-2732.0380000000005</v>
      </c>
      <c r="I114" s="14">
        <f t="shared" si="15"/>
        <v>-0.52161443148827213</v>
      </c>
      <c r="J114" s="38" t="s">
        <v>22</v>
      </c>
      <c r="K114" s="38" t="s">
        <v>29</v>
      </c>
    </row>
    <row r="115" spans="1:11" ht="15.75">
      <c r="A115" s="27" t="str">
        <v>Weinberg 1</v>
      </c>
      <c r="B115" s="28" t="str">
        <v>DC</v>
      </c>
      <c r="C115" s="10">
        <v>385</v>
      </c>
      <c r="D115" s="15">
        <v>590.59410000000003</v>
      </c>
      <c r="E115" s="15">
        <f t="shared" si="12"/>
        <v>-205.59410000000003</v>
      </c>
      <c r="F115" s="16">
        <f t="shared" si="13"/>
        <v>-0.34811404313046812</v>
      </c>
      <c r="G115" s="17">
        <v>808.99249999999995</v>
      </c>
      <c r="H115" s="17">
        <f t="shared" si="14"/>
        <v>-423.99249999999995</v>
      </c>
      <c r="I115" s="16">
        <f t="shared" si="15"/>
        <v>-0.52409941995753972</v>
      </c>
      <c r="J115" s="39" t="s">
        <v>22</v>
      </c>
      <c r="K115" s="40" t="s">
        <v>29</v>
      </c>
    </row>
    <row r="116" spans="1:11" ht="15.75">
      <c r="A116" s="25" t="str">
        <v>Weinberg 2</v>
      </c>
      <c r="B116" s="26" t="str">
        <v>DC</v>
      </c>
      <c r="C116" s="21">
        <v>398</v>
      </c>
      <c r="D116" s="11">
        <v>563.71370000000002</v>
      </c>
      <c r="E116" s="11">
        <f t="shared" si="12"/>
        <v>-165.71370000000002</v>
      </c>
      <c r="F116" s="12">
        <f t="shared" si="13"/>
        <v>-0.2939678421865568</v>
      </c>
      <c r="G116" s="13">
        <v>862.08870000000002</v>
      </c>
      <c r="H116" s="13">
        <f t="shared" si="14"/>
        <v>-464.08870000000002</v>
      </c>
      <c r="I116" s="14">
        <f t="shared" si="15"/>
        <v>-0.53833056853662509</v>
      </c>
      <c r="J116" s="38" t="s">
        <v>22</v>
      </c>
      <c r="K116" s="38" t="s">
        <v>29</v>
      </c>
    </row>
    <row r="117" spans="1:11" ht="15.75">
      <c r="A117" s="27" t="str">
        <v>Weinberg 3</v>
      </c>
      <c r="B117" s="28" t="str">
        <v>DC</v>
      </c>
      <c r="C117" s="10">
        <v>464</v>
      </c>
      <c r="D117" s="15">
        <v>551.17399999999998</v>
      </c>
      <c r="E117" s="15">
        <f t="shared" si="12"/>
        <v>-87.173999999999978</v>
      </c>
      <c r="F117" s="16">
        <f t="shared" si="13"/>
        <v>-0.15816058086919918</v>
      </c>
      <c r="G117" s="17">
        <v>893</v>
      </c>
      <c r="H117" s="17">
        <f t="shared" si="14"/>
        <v>-429</v>
      </c>
      <c r="I117" s="16">
        <f t="shared" si="15"/>
        <v>-0.48040313549832026</v>
      </c>
      <c r="J117" s="39" t="s">
        <v>22</v>
      </c>
      <c r="K117" s="40" t="s">
        <v>29</v>
      </c>
    </row>
    <row r="118" spans="1:11" ht="15.75">
      <c r="A118" s="25" t="str">
        <v>Clayton Hall</v>
      </c>
      <c r="B118" s="26" t="str">
        <v>DE</v>
      </c>
      <c r="C118" s="21">
        <v>3000</v>
      </c>
      <c r="D118" s="11">
        <v>5979.6080000000002</v>
      </c>
      <c r="E118" s="11">
        <f t="shared" si="12"/>
        <v>-2979.6080000000002</v>
      </c>
      <c r="F118" s="12">
        <f t="shared" si="13"/>
        <v>-0.4982948715032825</v>
      </c>
      <c r="G118" s="13">
        <v>2819</v>
      </c>
      <c r="H118" s="13">
        <f t="shared" si="14"/>
        <v>181</v>
      </c>
      <c r="I118" s="14">
        <f t="shared" si="15"/>
        <v>6.4207165661582119E-2</v>
      </c>
      <c r="J118" s="38" t="s">
        <v>22</v>
      </c>
      <c r="K118" s="38" t="s">
        <v>29</v>
      </c>
    </row>
    <row r="119" spans="1:11" ht="15.75">
      <c r="A119" s="27" t="str">
        <v>Field House</v>
      </c>
      <c r="B119" s="28" t="str">
        <v>DE</v>
      </c>
      <c r="C119" s="10">
        <v>17646</v>
      </c>
      <c r="D119" s="15">
        <v>0</v>
      </c>
      <c r="E119" s="15">
        <f t="shared" si="12"/>
        <v>17646</v>
      </c>
      <c r="F119" s="16" t="str">
        <f t="shared" si="13"/>
        <v/>
      </c>
      <c r="G119" s="17">
        <v>28692</v>
      </c>
      <c r="H119" s="17">
        <f t="shared" si="14"/>
        <v>-11046</v>
      </c>
      <c r="I119" s="16">
        <f t="shared" si="15"/>
        <v>-0.3849853617733166</v>
      </c>
      <c r="J119" s="39" t="s">
        <v>22</v>
      </c>
      <c r="K119" s="40" t="s">
        <v>29</v>
      </c>
    </row>
    <row r="120" spans="1:11" ht="15.75">
      <c r="A120" s="25" t="str">
        <v>Wyoming Road</v>
      </c>
      <c r="B120" s="26" t="str">
        <v>DE</v>
      </c>
      <c r="C120" s="21">
        <v>7263</v>
      </c>
      <c r="D120" s="11">
        <v>10662</v>
      </c>
      <c r="E120" s="11">
        <f t="shared" si="12"/>
        <v>-3399</v>
      </c>
      <c r="F120" s="12">
        <f t="shared" si="13"/>
        <v>-0.31879572312886889</v>
      </c>
      <c r="G120" s="13">
        <v>16720</v>
      </c>
      <c r="H120" s="13">
        <f t="shared" si="14"/>
        <v>-9457</v>
      </c>
      <c r="I120" s="14">
        <f t="shared" si="15"/>
        <v>-0.56561004784688995</v>
      </c>
      <c r="J120" s="38" t="s">
        <v>22</v>
      </c>
      <c r="K120" s="38" t="s">
        <v>29</v>
      </c>
    </row>
    <row r="121" spans="1:11" ht="15.75">
      <c r="A121" s="27" t="str">
        <v>Leoku</v>
      </c>
      <c r="B121" s="28" t="str">
        <v>HI</v>
      </c>
      <c r="C121" s="10">
        <v>8344</v>
      </c>
      <c r="D121" s="15">
        <v>7977.7489999999998</v>
      </c>
      <c r="E121" s="15">
        <f t="shared" si="12"/>
        <v>366.2510000000002</v>
      </c>
      <c r="F121" s="16">
        <f t="shared" si="13"/>
        <v>4.5909065326572726E-2</v>
      </c>
      <c r="G121" s="17">
        <v>10288</v>
      </c>
      <c r="H121" s="17">
        <f t="shared" si="14"/>
        <v>-1944</v>
      </c>
      <c r="I121" s="16">
        <f t="shared" si="15"/>
        <v>-0.18895800933125972</v>
      </c>
      <c r="J121" s="39" t="s">
        <v>110</v>
      </c>
      <c r="K121" s="40" t="s">
        <v>111</v>
      </c>
    </row>
    <row r="122" spans="1:11" ht="15.75">
      <c r="A122" s="25" t="str">
        <v>Waipahu</v>
      </c>
      <c r="B122" s="26" t="str">
        <v>HI</v>
      </c>
      <c r="C122" s="21">
        <v>7031</v>
      </c>
      <c r="D122" s="11">
        <v>7601.15</v>
      </c>
      <c r="E122" s="11">
        <f t="shared" si="12"/>
        <v>-570.14999999999964</v>
      </c>
      <c r="F122" s="12">
        <f t="shared" si="13"/>
        <v>-7.5008386888825995E-2</v>
      </c>
      <c r="G122" s="13">
        <v>10288</v>
      </c>
      <c r="H122" s="13">
        <f t="shared" si="14"/>
        <v>-3257</v>
      </c>
      <c r="I122" s="14">
        <f t="shared" si="15"/>
        <v>-0.31658242612752724</v>
      </c>
      <c r="J122" s="38" t="s">
        <v>112</v>
      </c>
      <c r="K122" s="38" t="s">
        <v>113</v>
      </c>
    </row>
    <row r="123" spans="1:11" ht="15.75">
      <c r="A123" s="27" t="str">
        <v>Bird in Hand</v>
      </c>
      <c r="B123" s="28" t="str">
        <v>MD</v>
      </c>
      <c r="C123" s="10">
        <v>82202</v>
      </c>
      <c r="D123" s="15">
        <v>92318.48</v>
      </c>
      <c r="E123" s="15">
        <f t="shared" si="12"/>
        <v>-10116.479999999996</v>
      </c>
      <c r="F123" s="16">
        <f t="shared" si="13"/>
        <v>-0.10958239347094965</v>
      </c>
      <c r="G123" s="17">
        <v>127325.2</v>
      </c>
      <c r="H123" s="17">
        <f t="shared" si="14"/>
        <v>-45123.199999999997</v>
      </c>
      <c r="I123" s="16">
        <f t="shared" si="15"/>
        <v>-0.35439331726948003</v>
      </c>
      <c r="J123" s="39" t="s">
        <v>22</v>
      </c>
      <c r="K123" s="40" t="s">
        <v>29</v>
      </c>
    </row>
    <row r="124" spans="1:11" ht="15.75">
      <c r="A124" s="25" t="str">
        <v>Shortal</v>
      </c>
      <c r="B124" s="26" t="str">
        <v>MD</v>
      </c>
      <c r="C124" s="21">
        <v>86841</v>
      </c>
      <c r="D124" s="11">
        <v>66423.12</v>
      </c>
      <c r="E124" s="11">
        <f t="shared" si="12"/>
        <v>20417.880000000005</v>
      </c>
      <c r="F124" s="12">
        <f t="shared" si="13"/>
        <v>0.30739116139079292</v>
      </c>
      <c r="G124" s="13">
        <v>6278.299</v>
      </c>
      <c r="H124" s="13">
        <f t="shared" si="14"/>
        <v>80562.701000000001</v>
      </c>
      <c r="I124" s="14">
        <f t="shared" si="15"/>
        <v>12.831931228506321</v>
      </c>
      <c r="J124" s="38" t="s">
        <v>22</v>
      </c>
      <c r="K124" s="38" t="s">
        <v>29</v>
      </c>
    </row>
    <row r="125" spans="1:11" ht="15.75">
      <c r="A125" s="27" t="str">
        <v>Aguadilla</v>
      </c>
      <c r="B125" s="28" t="str">
        <v>PR</v>
      </c>
      <c r="C125" s="10">
        <v>17577</v>
      </c>
      <c r="D125" s="15">
        <v>15476.68</v>
      </c>
      <c r="E125" s="15">
        <f t="shared" si="12"/>
        <v>2100.3199999999997</v>
      </c>
      <c r="F125" s="16">
        <f t="shared" si="13"/>
        <v>0.13570869204506392</v>
      </c>
      <c r="G125" s="17">
        <v>18224</v>
      </c>
      <c r="H125" s="17">
        <f t="shared" si="14"/>
        <v>-647</v>
      </c>
      <c r="I125" s="16">
        <f t="shared" si="15"/>
        <v>-3.5502633889376647E-2</v>
      </c>
      <c r="J125" s="39" t="s">
        <v>114</v>
      </c>
      <c r="K125" s="39" t="s">
        <v>115</v>
      </c>
    </row>
    <row r="126" spans="1:11" ht="60">
      <c r="A126" s="25" t="str">
        <v>Bayamon</v>
      </c>
      <c r="B126" s="26" t="str">
        <v>PR</v>
      </c>
      <c r="C126" s="21">
        <v>52498</v>
      </c>
      <c r="D126" s="11">
        <v>58863.74</v>
      </c>
      <c r="E126" s="11">
        <f t="shared" si="12"/>
        <v>-6365.739999999998</v>
      </c>
      <c r="F126" s="12">
        <f t="shared" si="13"/>
        <v>-0.10814365516020556</v>
      </c>
      <c r="G126" s="13">
        <v>0</v>
      </c>
      <c r="H126" s="13">
        <f t="shared" si="14"/>
        <v>52498</v>
      </c>
      <c r="I126" s="14" t="str">
        <f t="shared" si="15"/>
        <v/>
      </c>
      <c r="J126" s="38" t="s">
        <v>116</v>
      </c>
      <c r="K126" s="38" t="s">
        <v>117</v>
      </c>
    </row>
    <row r="127" spans="1:11" ht="60">
      <c r="A127" s="27" t="str">
        <v>St Francis</v>
      </c>
      <c r="B127" s="28" t="str">
        <v>PR</v>
      </c>
      <c r="C127" s="10">
        <v>13494</v>
      </c>
      <c r="D127" s="15">
        <v>34760.43</v>
      </c>
      <c r="E127" s="15">
        <f t="shared" si="12"/>
        <v>-21266.43</v>
      </c>
      <c r="F127" s="16">
        <f t="shared" si="13"/>
        <v>-0.61179996910279877</v>
      </c>
      <c r="G127" s="17">
        <v>23239</v>
      </c>
      <c r="H127" s="17">
        <f t="shared" si="14"/>
        <v>-9745</v>
      </c>
      <c r="I127" s="16">
        <f t="shared" si="15"/>
        <v>-0.41933818150522828</v>
      </c>
      <c r="J127" s="39" t="s">
        <v>118</v>
      </c>
      <c r="K127" s="39" t="s">
        <v>119</v>
      </c>
    </row>
    <row r="128" spans="1:11" ht="15.75">
      <c r="A128" s="25" t="str">
        <v>Seaport</v>
      </c>
      <c r="B128" s="26" t="str">
        <v>MA</v>
      </c>
      <c r="C128" s="21">
        <v>15979.5</v>
      </c>
      <c r="D128" s="11">
        <v>16624.46</v>
      </c>
      <c r="E128" s="11">
        <f t="shared" si="12"/>
        <v>-644.95999999999913</v>
      </c>
      <c r="F128" s="12">
        <f t="shared" si="13"/>
        <v>-3.8795846601934691E-2</v>
      </c>
      <c r="G128" s="13">
        <v>23841.21</v>
      </c>
      <c r="H128" s="13">
        <f t="shared" si="14"/>
        <v>-7861.7099999999991</v>
      </c>
      <c r="I128" s="14">
        <f t="shared" si="15"/>
        <v>-0.32975297814162952</v>
      </c>
      <c r="J128" s="38" t="s">
        <v>120</v>
      </c>
      <c r="K128" s="38" t="s">
        <v>121</v>
      </c>
    </row>
    <row r="129" spans="1:11" ht="15.75">
      <c r="A129" s="27" t="str">
        <v>Sprague St</v>
      </c>
      <c r="B129" s="28" t="str">
        <v>MA</v>
      </c>
      <c r="C129" s="10">
        <v>32699.5</v>
      </c>
      <c r="D129" s="15">
        <v>50419.89</v>
      </c>
      <c r="E129" s="15">
        <f t="shared" si="12"/>
        <v>-17720.39</v>
      </c>
      <c r="F129" s="16">
        <f t="shared" si="13"/>
        <v>-0.35145633994838149</v>
      </c>
      <c r="G129" s="17">
        <v>52949.27</v>
      </c>
      <c r="H129" s="17">
        <f t="shared" si="14"/>
        <v>-20249.769999999997</v>
      </c>
      <c r="I129" s="16">
        <f t="shared" si="15"/>
        <v>-0.38243718940789928</v>
      </c>
      <c r="J129" s="39" t="s">
        <v>22</v>
      </c>
      <c r="K129" s="40" t="s">
        <v>29</v>
      </c>
    </row>
    <row r="130" spans="1:11" ht="15.75">
      <c r="A130" s="25" t="str">
        <v>Summer St</v>
      </c>
      <c r="B130" s="26" t="str">
        <v>MA</v>
      </c>
      <c r="C130" s="21">
        <v>74644</v>
      </c>
      <c r="D130" s="11">
        <v>104933.8</v>
      </c>
      <c r="E130" s="11">
        <f t="shared" si="12"/>
        <v>-30289.800000000003</v>
      </c>
      <c r="F130" s="12">
        <f t="shared" si="13"/>
        <v>-0.28865627662392862</v>
      </c>
      <c r="G130" s="13">
        <v>132017.60000000001</v>
      </c>
      <c r="H130" s="13">
        <f t="shared" si="14"/>
        <v>-57373.600000000006</v>
      </c>
      <c r="I130" s="14">
        <f t="shared" si="15"/>
        <v>-0.43459053944322579</v>
      </c>
      <c r="J130" s="38" t="s">
        <v>122</v>
      </c>
      <c r="K130" s="38" t="s">
        <v>123</v>
      </c>
    </row>
    <row r="131" spans="1:11" ht="15.75">
      <c r="A131" s="27" t="str">
        <v>Brock St Vocational</v>
      </c>
      <c r="B131" s="28" t="str">
        <v>NH</v>
      </c>
      <c r="C131" s="10">
        <v>1820.4686795321199</v>
      </c>
      <c r="D131" s="15">
        <v>4815.5290000000005</v>
      </c>
      <c r="E131" s="15">
        <f t="shared" si="12"/>
        <v>-2995.0603204678805</v>
      </c>
      <c r="F131" s="16">
        <f t="shared" si="13"/>
        <v>-0.62195873401818991</v>
      </c>
      <c r="G131" s="17">
        <v>4801.3860000000004</v>
      </c>
      <c r="H131" s="17">
        <f t="shared" si="14"/>
        <v>-2980.9173204678805</v>
      </c>
      <c r="I131" s="16">
        <f t="shared" si="15"/>
        <v>-0.62084517272051865</v>
      </c>
      <c r="J131" s="39" t="s">
        <v>22</v>
      </c>
      <c r="K131" s="40" t="s">
        <v>29</v>
      </c>
    </row>
    <row r="132" spans="1:11" ht="15.75">
      <c r="A132" s="25" t="str">
        <v>McClelland ES</v>
      </c>
      <c r="B132" s="26" t="str">
        <v>NH</v>
      </c>
      <c r="C132" s="21">
        <v>1822.9083103328601</v>
      </c>
      <c r="D132" s="11">
        <v>5664.0169999999998</v>
      </c>
      <c r="E132" s="11">
        <f t="shared" si="12"/>
        <v>-3841.1086896671395</v>
      </c>
      <c r="F132" s="12">
        <f t="shared" si="13"/>
        <v>-0.67815980948982668</v>
      </c>
      <c r="G132" s="13">
        <v>3544.0749999999998</v>
      </c>
      <c r="H132" s="13">
        <f t="shared" si="14"/>
        <v>-1721.1666896671397</v>
      </c>
      <c r="I132" s="14">
        <f t="shared" si="15"/>
        <v>-0.48564623764089071</v>
      </c>
      <c r="J132" s="38" t="s">
        <v>22</v>
      </c>
      <c r="K132" s="38" t="s">
        <v>29</v>
      </c>
    </row>
    <row r="133" spans="1:11" ht="15.75">
      <c r="A133" s="27" t="str">
        <v>Portland St</v>
      </c>
      <c r="B133" s="28" t="str">
        <v>NH</v>
      </c>
      <c r="C133" s="10">
        <v>1250</v>
      </c>
      <c r="D133" s="15">
        <v>2762</v>
      </c>
      <c r="E133" s="15">
        <f t="shared" si="12"/>
        <v>-1512</v>
      </c>
      <c r="F133" s="16">
        <f t="shared" si="13"/>
        <v>-0.54742939898624188</v>
      </c>
      <c r="G133" s="17">
        <v>4395</v>
      </c>
      <c r="H133" s="17">
        <f t="shared" si="14"/>
        <v>-3145</v>
      </c>
      <c r="I133" s="16">
        <f t="shared" si="15"/>
        <v>-0.71558589306029574</v>
      </c>
      <c r="J133" s="39" t="s">
        <v>22</v>
      </c>
      <c r="K133" s="40" t="s">
        <v>29</v>
      </c>
    </row>
    <row r="134" spans="1:11" ht="15.75">
      <c r="A134" s="25" t="str">
        <v>Portsmouth HS</v>
      </c>
      <c r="B134" s="26" t="str">
        <v>NH</v>
      </c>
      <c r="C134" s="21">
        <v>6169.25</v>
      </c>
      <c r="D134" s="11">
        <v>11780.96</v>
      </c>
      <c r="E134" s="11">
        <f t="shared" si="12"/>
        <v>-5611.7099999999991</v>
      </c>
      <c r="F134" s="12">
        <f t="shared" si="13"/>
        <v>-0.47633724246580922</v>
      </c>
      <c r="G134" s="13">
        <v>7989.4369999999999</v>
      </c>
      <c r="H134" s="13">
        <f t="shared" si="14"/>
        <v>-1820.1869999999999</v>
      </c>
      <c r="I134" s="14">
        <f t="shared" si="15"/>
        <v>-0.2278241883627094</v>
      </c>
      <c r="J134" s="38" t="s">
        <v>22</v>
      </c>
      <c r="K134" s="38" t="s">
        <v>29</v>
      </c>
    </row>
    <row r="135" spans="1:11" ht="15.75">
      <c r="A135" s="27" t="str">
        <v>Portsmouth WTP</v>
      </c>
      <c r="B135" s="28" t="str">
        <v>NH</v>
      </c>
      <c r="C135" s="10">
        <v>7384.75</v>
      </c>
      <c r="D135" s="15">
        <v>15101.21</v>
      </c>
      <c r="E135" s="15">
        <f t="shared" si="12"/>
        <v>-7716.4599999999991</v>
      </c>
      <c r="F135" s="16">
        <f t="shared" si="13"/>
        <v>-0.51098289474816916</v>
      </c>
      <c r="G135" s="17">
        <v>14831.87</v>
      </c>
      <c r="H135" s="17">
        <f t="shared" si="14"/>
        <v>-7447.1200000000008</v>
      </c>
      <c r="I135" s="16">
        <f t="shared" si="15"/>
        <v>-0.50210256697233735</v>
      </c>
      <c r="J135" s="39" t="s">
        <v>22</v>
      </c>
      <c r="K135" s="40" t="s">
        <v>29</v>
      </c>
    </row>
    <row r="136" spans="1:11" ht="15.75">
      <c r="A136" s="25" t="str">
        <v>Rochester St</v>
      </c>
      <c r="B136" s="26" t="str">
        <v>NH</v>
      </c>
      <c r="C136" s="21">
        <v>5444.625</v>
      </c>
      <c r="D136" s="11">
        <v>16420.68</v>
      </c>
      <c r="E136" s="11">
        <f t="shared" si="12"/>
        <v>-10976.055</v>
      </c>
      <c r="F136" s="12">
        <f t="shared" si="13"/>
        <v>-0.66842877396063993</v>
      </c>
      <c r="G136" s="13">
        <v>11432.38</v>
      </c>
      <c r="H136" s="13">
        <f t="shared" si="14"/>
        <v>-5987.7549999999992</v>
      </c>
      <c r="I136" s="14">
        <f t="shared" si="15"/>
        <v>-0.52375402147234429</v>
      </c>
      <c r="J136" s="38" t="s">
        <v>22</v>
      </c>
      <c r="K136" s="38" t="s">
        <v>29</v>
      </c>
    </row>
    <row r="137" spans="1:11" ht="15.75">
      <c r="A137" s="27" t="str">
        <v>Spaulding HS</v>
      </c>
      <c r="B137" s="28" t="str">
        <v>NH</v>
      </c>
      <c r="C137" s="10">
        <v>2486.1234915329801</v>
      </c>
      <c r="D137" s="15">
        <v>6531.7079999999996</v>
      </c>
      <c r="E137" s="15">
        <f t="shared" si="12"/>
        <v>-4045.5845084670195</v>
      </c>
      <c r="F137" s="16">
        <f t="shared" si="13"/>
        <v>-0.61937620427413775</v>
      </c>
      <c r="G137" s="17">
        <v>5447.299</v>
      </c>
      <c r="H137" s="17">
        <f t="shared" si="14"/>
        <v>-2961.1755084670199</v>
      </c>
      <c r="I137" s="16">
        <f t="shared" si="15"/>
        <v>-0.54360436400994694</v>
      </c>
      <c r="J137" s="39" t="s">
        <v>22</v>
      </c>
      <c r="K137" s="40" t="s">
        <v>29</v>
      </c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D1:F1"/>
    <mergeCell ref="A1:C1"/>
    <mergeCell ref="G1:I1"/>
    <mergeCell ref="A2:B2"/>
  </mergeCells>
  <conditionalFormatting sqref="F2 I2">
    <cfRule type="cellIs" dxfId="48" priority="8" stopIfTrue="1" operator="lessThanOrEqual">
      <formula>-0.1</formula>
    </cfRule>
    <cfRule type="expression" dxfId="47" priority="9">
      <formula>AND(ISNUMBER(F2), F2&gt;=0.1)</formula>
    </cfRule>
  </conditionalFormatting>
  <conditionalFormatting sqref="F4:F137 I4:I137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Normal="100" workbookViewId="0">
      <pane xSplit="2" ySplit="3" topLeftCell="C4" activePane="bottomRight" state="frozen"/>
      <selection pane="bottomRight" activeCell="D81" sqref="D81"/>
      <selection pane="bottomLeft"/>
      <selection pane="topRight"/>
    </sheetView>
  </sheetViews>
  <sheetFormatPr defaultRowHeight="1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110.28515625" style="55" customWidth="1"/>
    <col min="11" max="11" width="30.42578125" customWidth="1"/>
  </cols>
  <sheetData>
    <row r="1" spans="1:11" ht="15.75">
      <c r="A1" s="76" t="str" cm="1">
        <f t="array" ref="A1">portfolio</f>
        <v>Generate Capital</v>
      </c>
      <c r="B1" s="76"/>
      <c r="C1" s="76"/>
      <c r="D1" s="77" t="s">
        <v>124</v>
      </c>
      <c r="E1" s="77"/>
      <c r="F1" s="77"/>
      <c r="G1" s="75" t="s">
        <v>125</v>
      </c>
      <c r="H1" s="75"/>
      <c r="I1" s="75"/>
      <c r="J1" s="51"/>
      <c r="K1" s="5"/>
    </row>
    <row r="2" spans="1:11" ht="15.75">
      <c r="A2" s="78" t="s">
        <v>2</v>
      </c>
      <c r="B2" s="78"/>
      <c r="C2" s="6">
        <f>SUM(C4:C137)</f>
        <v>16791596.324729182</v>
      </c>
      <c r="D2" s="6">
        <f>SUM(D4:D137)</f>
        <v>6681816.9851000011</v>
      </c>
      <c r="E2" s="6">
        <f>C2-D2</f>
        <v>10109779.339629181</v>
      </c>
      <c r="F2" s="7">
        <f>IFERROR(E2/D2, 0)</f>
        <v>1.5130284714731492</v>
      </c>
      <c r="G2" s="6">
        <f>SUM(G4:G137)</f>
        <v>11065785.448600005</v>
      </c>
      <c r="H2" s="8">
        <f>C2-G2</f>
        <v>5725810.8761291765</v>
      </c>
      <c r="I2" s="7">
        <f>IFERROR(H2/G2, 0)</f>
        <v>0.51743375133426073</v>
      </c>
      <c r="J2" s="52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5.75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53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>
        <v>10378.094243421099</v>
      </c>
      <c r="D4" s="11">
        <v>7847.527</v>
      </c>
      <c r="E4" s="11">
        <f>IF(AND(ISNUMBER(C4),ISNUMBER(D4)), C4-D4, "")</f>
        <v>2530.5672434210992</v>
      </c>
      <c r="F4" s="12">
        <f>IFERROR(E4/D4, "")</f>
        <v>0.32246684126363617</v>
      </c>
      <c r="G4" s="13">
        <v>10339.17</v>
      </c>
      <c r="H4" s="13">
        <f>IF(AND(ISNUMBER(C4),ISNUMBER(G4)), C4-G4, "")</f>
        <v>38.924243421099163</v>
      </c>
      <c r="I4" s="14">
        <f>IFERROR(H4/G4, "")</f>
        <v>3.7647357980475382E-3</v>
      </c>
      <c r="J4" s="54"/>
      <c r="K4" s="38"/>
    </row>
    <row r="5" spans="1:11" ht="30">
      <c r="A5" s="27" t="str">
        <v>Fulton</v>
      </c>
      <c r="B5" s="28" t="str">
        <v>AZ</v>
      </c>
      <c r="C5" s="10">
        <v>30613.5</v>
      </c>
      <c r="D5" s="15">
        <v>35548.239999999998</v>
      </c>
      <c r="E5" s="15">
        <f t="shared" ref="E5:E15" si="0">IF(AND(ISNUMBER(C5),ISNUMBER(D5)), C5-D5, "")</f>
        <v>-4934.739999999998</v>
      </c>
      <c r="F5" s="16">
        <f>IFERROR(E5/D5, "")</f>
        <v>-0.13881812432908067</v>
      </c>
      <c r="G5" s="17">
        <v>40290</v>
      </c>
      <c r="H5" s="17">
        <f t="shared" ref="H5:H15" si="1">IF(AND(ISNUMBER(C5),ISNUMBER(G5)), C5-G5, "")</f>
        <v>-9676.5</v>
      </c>
      <c r="I5" s="16">
        <f t="shared" ref="I5:I15" si="2">IFERROR(H5/G5, "")</f>
        <v>-0.24017125837676842</v>
      </c>
      <c r="J5" s="59" t="s">
        <v>126</v>
      </c>
      <c r="K5" s="59" t="s">
        <v>127</v>
      </c>
    </row>
    <row r="6" spans="1:11" ht="15.75">
      <c r="A6" s="25" t="str">
        <v>JFK Elementary</v>
      </c>
      <c r="B6" s="26" t="str">
        <v>AZ</v>
      </c>
      <c r="C6" s="21">
        <v>16543.18</v>
      </c>
      <c r="D6" s="11">
        <v>0</v>
      </c>
      <c r="E6" s="11">
        <f t="shared" si="0"/>
        <v>16543.18</v>
      </c>
      <c r="F6" s="12" t="str">
        <f t="shared" ref="F6:F15" si="3">IFERROR(E6/D6, "")</f>
        <v/>
      </c>
      <c r="G6" s="13">
        <v>1876</v>
      </c>
      <c r="H6" s="13">
        <f t="shared" si="1"/>
        <v>14667.18</v>
      </c>
      <c r="I6" s="14">
        <f t="shared" si="2"/>
        <v>7.8183262260127933</v>
      </c>
      <c r="J6" s="54"/>
      <c r="K6" s="57"/>
    </row>
    <row r="7" spans="1:11" ht="15.75">
      <c r="A7" s="27" t="str">
        <v>Noble</v>
      </c>
      <c r="B7" s="28" t="str">
        <v>AZ</v>
      </c>
      <c r="C7" s="10">
        <v>9896.6511571287392</v>
      </c>
      <c r="D7" s="15">
        <v>13290.27</v>
      </c>
      <c r="E7" s="15">
        <f t="shared" si="0"/>
        <v>-3393.6188428712612</v>
      </c>
      <c r="F7" s="16">
        <f t="shared" si="3"/>
        <v>-0.25534611733781637</v>
      </c>
      <c r="G7" s="17">
        <v>10566.75</v>
      </c>
      <c r="H7" s="17">
        <f t="shared" si="1"/>
        <v>-670.09884287126079</v>
      </c>
      <c r="I7" s="16">
        <f t="shared" si="2"/>
        <v>-6.3415794153477728E-2</v>
      </c>
      <c r="J7" s="59"/>
      <c r="K7" s="60"/>
    </row>
    <row r="8" spans="1:11" ht="15.75">
      <c r="A8" s="25" t="str">
        <v>Parking 3</v>
      </c>
      <c r="B8" s="26" t="str">
        <v>AZ</v>
      </c>
      <c r="C8" s="21">
        <v>24635.19</v>
      </c>
      <c r="D8" s="11">
        <v>26794.79</v>
      </c>
      <c r="E8" s="11">
        <f t="shared" si="0"/>
        <v>-2159.6000000000022</v>
      </c>
      <c r="F8" s="12">
        <f t="shared" si="3"/>
        <v>-8.0597757996983821E-2</v>
      </c>
      <c r="G8" s="13">
        <v>25826.39</v>
      </c>
      <c r="H8" s="13">
        <f t="shared" si="1"/>
        <v>-1191.2000000000007</v>
      </c>
      <c r="I8" s="14">
        <f t="shared" si="2"/>
        <v>-4.6123364512035976E-2</v>
      </c>
      <c r="J8" s="54" t="s">
        <v>128</v>
      </c>
      <c r="K8" s="57" t="s">
        <v>129</v>
      </c>
    </row>
    <row r="9" spans="1:11" ht="15.75">
      <c r="A9" s="27" t="str">
        <v>PE East</v>
      </c>
      <c r="B9" s="28" t="str">
        <v>AZ</v>
      </c>
      <c r="C9" s="10">
        <v>23621.417332634799</v>
      </c>
      <c r="D9" s="15">
        <v>18394.21</v>
      </c>
      <c r="E9" s="15">
        <f t="shared" si="0"/>
        <v>5227.2073326348</v>
      </c>
      <c r="F9" s="16">
        <f t="shared" si="3"/>
        <v>0.28417677805324609</v>
      </c>
      <c r="G9" s="17">
        <v>24794.87</v>
      </c>
      <c r="H9" s="17">
        <f t="shared" si="1"/>
        <v>-1173.4526673651999</v>
      </c>
      <c r="I9" s="16">
        <f t="shared" si="2"/>
        <v>-4.7326429514056738E-2</v>
      </c>
      <c r="J9" s="59"/>
      <c r="K9" s="60"/>
    </row>
    <row r="10" spans="1:11" ht="15.75">
      <c r="A10" s="25" t="str">
        <v>Schwada</v>
      </c>
      <c r="B10" s="26" t="str">
        <v>AZ</v>
      </c>
      <c r="C10" s="21">
        <v>10153.304277221199</v>
      </c>
      <c r="D10" s="11">
        <v>7717.9830000000002</v>
      </c>
      <c r="E10" s="11">
        <f t="shared" si="0"/>
        <v>2435.3212772211991</v>
      </c>
      <c r="F10" s="12">
        <f t="shared" si="3"/>
        <v>0.31553856457330876</v>
      </c>
      <c r="G10" s="13">
        <v>10882</v>
      </c>
      <c r="H10" s="13">
        <f t="shared" si="1"/>
        <v>-728.6957227788007</v>
      </c>
      <c r="I10" s="14">
        <f t="shared" si="2"/>
        <v>-6.6963400365631379E-2</v>
      </c>
      <c r="J10" s="54"/>
      <c r="K10" s="57"/>
    </row>
    <row r="11" spans="1:11" s="50" customFormat="1" ht="15.75">
      <c r="A11" s="44" t="str">
        <v>Starshine</v>
      </c>
      <c r="B11" s="45" t="str">
        <v>AZ</v>
      </c>
      <c r="C11" s="46">
        <v>3146.5940000000001</v>
      </c>
      <c r="D11" s="47">
        <v>0</v>
      </c>
      <c r="E11" s="47">
        <f t="shared" si="0"/>
        <v>3146.5940000000001</v>
      </c>
      <c r="F11" s="48" t="str">
        <f t="shared" si="3"/>
        <v/>
      </c>
      <c r="G11" s="49">
        <v>0</v>
      </c>
      <c r="H11" s="49">
        <f t="shared" si="1"/>
        <v>3146.5940000000001</v>
      </c>
      <c r="I11" s="48" t="str">
        <f t="shared" si="2"/>
        <v/>
      </c>
      <c r="J11" s="63" t="s">
        <v>130</v>
      </c>
      <c r="K11" s="64" t="s">
        <v>131</v>
      </c>
    </row>
    <row r="12" spans="1:11" ht="15.75">
      <c r="A12" s="25" t="str">
        <v>Yuma Airport</v>
      </c>
      <c r="B12" s="26" t="str">
        <v>AZ</v>
      </c>
      <c r="C12" s="21">
        <v>64193</v>
      </c>
      <c r="D12" s="11">
        <v>78368.52</v>
      </c>
      <c r="E12" s="11">
        <f t="shared" si="0"/>
        <v>-14175.520000000004</v>
      </c>
      <c r="F12" s="12">
        <f t="shared" si="3"/>
        <v>-0.18088283407674413</v>
      </c>
      <c r="G12" s="13">
        <v>63360</v>
      </c>
      <c r="H12" s="13">
        <f t="shared" si="1"/>
        <v>833</v>
      </c>
      <c r="I12" s="14">
        <f t="shared" si="2"/>
        <v>1.3147095959595959E-2</v>
      </c>
      <c r="J12" s="54"/>
      <c r="K12" s="57"/>
    </row>
    <row r="13" spans="1:11" ht="15.75">
      <c r="A13" s="27" t="str">
        <v>Kinsman</v>
      </c>
      <c r="B13" s="28" t="str">
        <v>OH</v>
      </c>
      <c r="C13" s="10">
        <v>84185.890625</v>
      </c>
      <c r="D13" s="15">
        <v>115574.5</v>
      </c>
      <c r="E13" s="15">
        <f t="shared" si="0"/>
        <v>-31388.609375</v>
      </c>
      <c r="F13" s="16">
        <f t="shared" si="3"/>
        <v>-0.27158767180476662</v>
      </c>
      <c r="G13" s="17">
        <v>65827</v>
      </c>
      <c r="H13" s="17">
        <f t="shared" si="1"/>
        <v>18358.890625</v>
      </c>
      <c r="I13" s="16">
        <f t="shared" si="2"/>
        <v>0.27889605519011956</v>
      </c>
      <c r="J13" s="59"/>
      <c r="K13" s="60"/>
    </row>
    <row r="14" spans="1:11" ht="15.75">
      <c r="A14" s="25" t="str">
        <v>Wooster</v>
      </c>
      <c r="B14" s="26" t="str">
        <v>OH</v>
      </c>
      <c r="C14" s="21">
        <v>16957.75</v>
      </c>
      <c r="D14" s="11">
        <v>0</v>
      </c>
      <c r="E14" s="11">
        <f t="shared" si="0"/>
        <v>16957.75</v>
      </c>
      <c r="F14" s="12" t="str">
        <f t="shared" si="3"/>
        <v/>
      </c>
      <c r="G14" s="13">
        <v>14218</v>
      </c>
      <c r="H14" s="13">
        <f t="shared" si="1"/>
        <v>2739.75</v>
      </c>
      <c r="I14" s="14">
        <f t="shared" si="2"/>
        <v>0.19269587846391897</v>
      </c>
      <c r="J14" s="54"/>
      <c r="K14" s="57"/>
    </row>
    <row r="15" spans="1:11" ht="15.75">
      <c r="A15" s="27" t="str">
        <v>Globe Gila CC</v>
      </c>
      <c r="B15" s="28" t="str">
        <v>AZ</v>
      </c>
      <c r="C15" s="10">
        <v>11714.4420394031</v>
      </c>
      <c r="D15" s="15">
        <v>0</v>
      </c>
      <c r="E15" s="15">
        <f t="shared" si="0"/>
        <v>11714.4420394031</v>
      </c>
      <c r="F15" s="16" t="str">
        <f t="shared" si="3"/>
        <v/>
      </c>
      <c r="G15" s="17">
        <v>10665</v>
      </c>
      <c r="H15" s="17">
        <f t="shared" si="1"/>
        <v>1049.4420394031004</v>
      </c>
      <c r="I15" s="16">
        <f t="shared" si="2"/>
        <v>9.8400566282522306E-2</v>
      </c>
      <c r="J15" s="59"/>
      <c r="K15" s="60"/>
    </row>
    <row r="16" spans="1:11" ht="15.75">
      <c r="A16" s="25" t="str">
        <v>Payson Gila CC</v>
      </c>
      <c r="B16" s="26" t="str">
        <v>AZ</v>
      </c>
      <c r="C16" s="21">
        <v>7699.9745473954799</v>
      </c>
      <c r="D16" s="11">
        <v>0</v>
      </c>
      <c r="E16" s="11">
        <f t="shared" ref="E16:E17" si="4">IF(AND(ISNUMBER(C16),ISNUMBER(D16)), C16-D16, "")</f>
        <v>7699.9745473954799</v>
      </c>
      <c r="F16" s="12" t="str">
        <f t="shared" ref="F16:F17" si="5">IFERROR(E16/D16, "")</f>
        <v/>
      </c>
      <c r="G16" s="13">
        <v>9141</v>
      </c>
      <c r="H16" s="13">
        <f t="shared" ref="H16:H17" si="6">IF(AND(ISNUMBER(C16),ISNUMBER(G16)), C16-G16, "")</f>
        <v>-1441.0254526045201</v>
      </c>
      <c r="I16" s="14">
        <f t="shared" ref="I16:I17" si="7">IFERROR(H16/G16, "")</f>
        <v>-0.15764418035275354</v>
      </c>
      <c r="J16" s="54"/>
      <c r="K16" s="57"/>
    </row>
    <row r="17" spans="1:11" ht="15.75">
      <c r="A17" s="27" t="str">
        <v>SCNM</v>
      </c>
      <c r="B17" s="28" t="str">
        <v>AZ</v>
      </c>
      <c r="C17" s="10">
        <v>56041.06</v>
      </c>
      <c r="D17" s="15">
        <v>0</v>
      </c>
      <c r="E17" s="15">
        <f t="shared" si="4"/>
        <v>56041.06</v>
      </c>
      <c r="F17" s="16" t="str">
        <f t="shared" si="5"/>
        <v/>
      </c>
      <c r="G17" s="17">
        <v>27038</v>
      </c>
      <c r="H17" s="17">
        <f t="shared" si="6"/>
        <v>29003.059999999998</v>
      </c>
      <c r="I17" s="16">
        <f t="shared" si="7"/>
        <v>1.0726777128485834</v>
      </c>
      <c r="J17" s="59" t="s">
        <v>132</v>
      </c>
      <c r="K17" s="60" t="s">
        <v>133</v>
      </c>
    </row>
    <row r="18" spans="1:11" ht="15.75">
      <c r="A18" s="25" t="str">
        <v>Sequoia Charter School</v>
      </c>
      <c r="B18" s="26" t="str">
        <v>AZ</v>
      </c>
      <c r="C18" s="21">
        <v>25607.37</v>
      </c>
      <c r="D18" s="11">
        <v>0</v>
      </c>
      <c r="E18" s="11">
        <f t="shared" ref="E18:E81" si="8">IF(AND(ISNUMBER(C18),ISNUMBER(D18)), C18-D18, "")</f>
        <v>25607.37</v>
      </c>
      <c r="F18" s="12" t="str">
        <f t="shared" ref="F18:F81" si="9">IFERROR(E18/D18, "")</f>
        <v/>
      </c>
      <c r="G18" s="13">
        <v>8900</v>
      </c>
      <c r="H18" s="13">
        <f t="shared" ref="H18:H81" si="10">IF(AND(ISNUMBER(C18),ISNUMBER(G18)), C18-G18, "")</f>
        <v>16707.37</v>
      </c>
      <c r="I18" s="14">
        <f t="shared" ref="I18:I81" si="11">IFERROR(H18/G18, "")</f>
        <v>1.8772325842696629</v>
      </c>
      <c r="J18" s="54"/>
      <c r="K18" s="57"/>
    </row>
    <row r="19" spans="1:11" ht="15.75">
      <c r="A19" s="27" t="str">
        <v>RCAB</v>
      </c>
      <c r="B19" s="28" t="str">
        <v>MA</v>
      </c>
      <c r="C19" s="10">
        <v>63236</v>
      </c>
      <c r="D19" s="15">
        <v>78953.95</v>
      </c>
      <c r="E19" s="15">
        <f t="shared" si="8"/>
        <v>-15717.949999999997</v>
      </c>
      <c r="F19" s="16">
        <f t="shared" si="9"/>
        <v>-0.19907743691100949</v>
      </c>
      <c r="G19" s="17">
        <v>64151.06</v>
      </c>
      <c r="H19" s="17">
        <f t="shared" si="10"/>
        <v>-915.05999999999767</v>
      </c>
      <c r="I19" s="16">
        <f t="shared" si="11"/>
        <v>-1.4264144661054669E-2</v>
      </c>
      <c r="J19" s="59"/>
      <c r="K19" s="60"/>
    </row>
    <row r="20" spans="1:11" ht="45">
      <c r="A20" s="25" t="str">
        <v>Spectro Coatings</v>
      </c>
      <c r="B20" s="26" t="str">
        <v>MA</v>
      </c>
      <c r="C20" s="21">
        <v>11878.5</v>
      </c>
      <c r="D20" s="11">
        <v>25057.18</v>
      </c>
      <c r="E20" s="11">
        <f t="shared" si="8"/>
        <v>-13178.68</v>
      </c>
      <c r="F20" s="12">
        <f t="shared" si="9"/>
        <v>-0.52594426028786956</v>
      </c>
      <c r="G20" s="13">
        <v>16839.5</v>
      </c>
      <c r="H20" s="13">
        <f t="shared" si="10"/>
        <v>-4961</v>
      </c>
      <c r="I20" s="14">
        <f t="shared" si="11"/>
        <v>-0.29460494670269305</v>
      </c>
      <c r="J20" s="54" t="s">
        <v>134</v>
      </c>
      <c r="K20" s="57" t="s">
        <v>135</v>
      </c>
    </row>
    <row r="21" spans="1:11" ht="15.75">
      <c r="A21" s="27" t="str">
        <v>K026</v>
      </c>
      <c r="B21" s="28" t="str">
        <v>NY</v>
      </c>
      <c r="C21" s="10">
        <v>14883.333433014501</v>
      </c>
      <c r="D21" s="15">
        <v>23285.08</v>
      </c>
      <c r="E21" s="15">
        <f t="shared" si="8"/>
        <v>-8401.746566985501</v>
      </c>
      <c r="F21" s="16">
        <f t="shared" si="9"/>
        <v>-0.36082103076242383</v>
      </c>
      <c r="G21" s="17">
        <v>23184.85</v>
      </c>
      <c r="H21" s="17">
        <f t="shared" si="10"/>
        <v>-8301.5165669854978</v>
      </c>
      <c r="I21" s="16">
        <f t="shared" si="11"/>
        <v>-0.35805780787822644</v>
      </c>
      <c r="J21" s="59"/>
      <c r="K21" s="60"/>
    </row>
    <row r="22" spans="1:11" ht="15.75">
      <c r="A22" s="25" t="str">
        <v>K041</v>
      </c>
      <c r="B22" s="26" t="str">
        <v>NY</v>
      </c>
      <c r="C22" s="21">
        <v>12699.726000000001</v>
      </c>
      <c r="D22" s="11">
        <v>0</v>
      </c>
      <c r="E22" s="11">
        <f t="shared" si="8"/>
        <v>12699.726000000001</v>
      </c>
      <c r="F22" s="12" t="str">
        <f t="shared" si="9"/>
        <v/>
      </c>
      <c r="G22" s="13">
        <v>0</v>
      </c>
      <c r="H22" s="13">
        <f t="shared" si="10"/>
        <v>12699.726000000001</v>
      </c>
      <c r="I22" s="14" t="str">
        <f t="shared" si="11"/>
        <v/>
      </c>
      <c r="J22" s="54"/>
      <c r="K22" s="57"/>
    </row>
    <row r="23" spans="1:11" ht="15.75">
      <c r="A23" s="27" t="str">
        <v>K043</v>
      </c>
      <c r="B23" s="28" t="str">
        <v>NY</v>
      </c>
      <c r="C23" s="10">
        <v>13738.875</v>
      </c>
      <c r="D23" s="15">
        <v>19314.28</v>
      </c>
      <c r="E23" s="15">
        <f t="shared" si="8"/>
        <v>-5575.4049999999988</v>
      </c>
      <c r="F23" s="16">
        <f t="shared" si="9"/>
        <v>-0.28866750404364022</v>
      </c>
      <c r="G23" s="17">
        <v>24182</v>
      </c>
      <c r="H23" s="17">
        <f t="shared" si="10"/>
        <v>-10443.125</v>
      </c>
      <c r="I23" s="16">
        <f t="shared" si="11"/>
        <v>-0.43185530559920604</v>
      </c>
      <c r="J23" s="59"/>
      <c r="K23" s="60"/>
    </row>
    <row r="24" spans="1:11" ht="15.75">
      <c r="A24" s="25" t="str">
        <v>K058</v>
      </c>
      <c r="B24" s="26" t="str">
        <v>NY</v>
      </c>
      <c r="C24" s="21">
        <v>11751.8125</v>
      </c>
      <c r="D24" s="11">
        <v>16058.48</v>
      </c>
      <c r="E24" s="11">
        <f t="shared" si="8"/>
        <v>-4306.6674999999996</v>
      </c>
      <c r="F24" s="12">
        <f t="shared" si="9"/>
        <v>-0.26818649710308817</v>
      </c>
      <c r="G24" s="13">
        <v>15926.33</v>
      </c>
      <c r="H24" s="13">
        <f t="shared" si="10"/>
        <v>-4174.5174999999999</v>
      </c>
      <c r="I24" s="14">
        <f t="shared" si="11"/>
        <v>-0.26211421589280143</v>
      </c>
      <c r="J24" s="54"/>
      <c r="K24" s="57"/>
    </row>
    <row r="25" spans="1:11" ht="15.75">
      <c r="A25" s="27" t="str">
        <v>K115</v>
      </c>
      <c r="B25" s="28" t="str">
        <v>NY</v>
      </c>
      <c r="C25" s="10">
        <v>2969.1286536069601</v>
      </c>
      <c r="D25" s="15">
        <v>8398.1460000000006</v>
      </c>
      <c r="E25" s="15">
        <f t="shared" si="8"/>
        <v>-5429.0173463930405</v>
      </c>
      <c r="F25" s="16">
        <f t="shared" si="9"/>
        <v>-0.64645427054888549</v>
      </c>
      <c r="G25" s="17">
        <v>5544.3429999999998</v>
      </c>
      <c r="H25" s="17">
        <f t="shared" si="10"/>
        <v>-2575.2143463930397</v>
      </c>
      <c r="I25" s="16">
        <f t="shared" si="11"/>
        <v>-0.46447601571422253</v>
      </c>
      <c r="J25" s="59" t="s">
        <v>34</v>
      </c>
      <c r="K25" s="60" t="s">
        <v>35</v>
      </c>
    </row>
    <row r="26" spans="1:11" ht="15.75">
      <c r="A26" s="25" t="str">
        <v>K152</v>
      </c>
      <c r="B26" s="26" t="str">
        <v>NY</v>
      </c>
      <c r="C26" s="21">
        <v>4632.078125</v>
      </c>
      <c r="D26" s="11">
        <v>5853.1670000000004</v>
      </c>
      <c r="E26" s="11">
        <f t="shared" si="8"/>
        <v>-1221.0888750000004</v>
      </c>
      <c r="F26" s="12">
        <f t="shared" si="9"/>
        <v>-0.20862020082461347</v>
      </c>
      <c r="G26" s="13">
        <v>1081</v>
      </c>
      <c r="H26" s="13">
        <f t="shared" si="10"/>
        <v>3551.078125</v>
      </c>
      <c r="I26" s="14">
        <f t="shared" si="11"/>
        <v>3.2849936401480111</v>
      </c>
      <c r="J26" s="54"/>
      <c r="K26" s="57"/>
    </row>
    <row r="27" spans="1:11" ht="15.75">
      <c r="A27" s="27" t="str">
        <v>K166</v>
      </c>
      <c r="B27" s="28" t="str">
        <v>NY</v>
      </c>
      <c r="C27" s="10">
        <v>16586.375</v>
      </c>
      <c r="D27" s="15">
        <v>22508.54</v>
      </c>
      <c r="E27" s="15">
        <f t="shared" si="8"/>
        <v>-5922.1650000000009</v>
      </c>
      <c r="F27" s="16">
        <f t="shared" si="9"/>
        <v>-0.26310746943160246</v>
      </c>
      <c r="G27" s="17">
        <v>23922.34</v>
      </c>
      <c r="H27" s="17">
        <f t="shared" si="10"/>
        <v>-7335.9650000000001</v>
      </c>
      <c r="I27" s="16">
        <f t="shared" si="11"/>
        <v>-0.30665750089665139</v>
      </c>
      <c r="J27" s="59"/>
      <c r="K27" s="60"/>
    </row>
    <row r="28" spans="1:11" ht="15.75">
      <c r="A28" s="25" t="str">
        <v>K206</v>
      </c>
      <c r="B28" s="26" t="str">
        <v>NY</v>
      </c>
      <c r="C28" s="21">
        <v>9460.9240000000009</v>
      </c>
      <c r="D28" s="11">
        <v>0</v>
      </c>
      <c r="E28" s="11">
        <f t="shared" si="8"/>
        <v>9460.9240000000009</v>
      </c>
      <c r="F28" s="12" t="str">
        <f t="shared" si="9"/>
        <v/>
      </c>
      <c r="G28" s="13">
        <v>0</v>
      </c>
      <c r="H28" s="13">
        <f t="shared" si="10"/>
        <v>9460.9240000000009</v>
      </c>
      <c r="I28" s="14" t="str">
        <f t="shared" si="11"/>
        <v/>
      </c>
      <c r="J28" s="54"/>
      <c r="K28" s="57"/>
    </row>
    <row r="29" spans="1:11" ht="15.75">
      <c r="A29" s="27" t="str">
        <v>K251</v>
      </c>
      <c r="B29" s="28" t="str">
        <v>NY</v>
      </c>
      <c r="C29" s="10">
        <v>10884.625</v>
      </c>
      <c r="D29" s="15">
        <v>14018.29</v>
      </c>
      <c r="E29" s="15">
        <f t="shared" si="8"/>
        <v>-3133.6650000000009</v>
      </c>
      <c r="F29" s="16">
        <f t="shared" si="9"/>
        <v>-0.22354117370948959</v>
      </c>
      <c r="G29" s="17">
        <v>12921.92</v>
      </c>
      <c r="H29" s="17">
        <f t="shared" si="10"/>
        <v>-2037.2950000000001</v>
      </c>
      <c r="I29" s="16">
        <f t="shared" si="11"/>
        <v>-0.15766194187860627</v>
      </c>
      <c r="J29" s="59"/>
      <c r="K29" s="60"/>
    </row>
    <row r="30" spans="1:11" ht="15.75">
      <c r="A30" s="25" t="str">
        <v>K269</v>
      </c>
      <c r="B30" s="26" t="str">
        <v>NY</v>
      </c>
      <c r="C30" s="21">
        <v>9933.21875</v>
      </c>
      <c r="D30" s="11">
        <v>0</v>
      </c>
      <c r="E30" s="11">
        <f t="shared" si="8"/>
        <v>9933.21875</v>
      </c>
      <c r="F30" s="12" t="str">
        <f t="shared" si="9"/>
        <v/>
      </c>
      <c r="G30" s="13">
        <v>14500.27</v>
      </c>
      <c r="H30" s="13">
        <f t="shared" si="10"/>
        <v>-4567.0512500000004</v>
      </c>
      <c r="I30" s="14">
        <f t="shared" si="11"/>
        <v>-0.31496318689238201</v>
      </c>
      <c r="J30" s="54"/>
      <c r="K30" s="57"/>
    </row>
    <row r="31" spans="1:11" ht="15.75">
      <c r="A31" s="27" t="str">
        <v>K273</v>
      </c>
      <c r="B31" s="28" t="str">
        <v>NY</v>
      </c>
      <c r="C31" s="10">
        <v>10966.5625</v>
      </c>
      <c r="D31" s="15">
        <v>0</v>
      </c>
      <c r="E31" s="15">
        <f t="shared" si="8"/>
        <v>10966.5625</v>
      </c>
      <c r="F31" s="16" t="str">
        <f t="shared" si="9"/>
        <v/>
      </c>
      <c r="G31" s="17">
        <v>14879</v>
      </c>
      <c r="H31" s="17">
        <f t="shared" si="10"/>
        <v>-3912.4375</v>
      </c>
      <c r="I31" s="16">
        <f t="shared" si="11"/>
        <v>-0.26295029907923917</v>
      </c>
      <c r="J31" s="59"/>
      <c r="K31" s="60"/>
    </row>
    <row r="32" spans="1:11" ht="15.75">
      <c r="A32" s="25" t="str">
        <v>K287</v>
      </c>
      <c r="B32" s="26" t="str">
        <v>NY</v>
      </c>
      <c r="C32" s="21">
        <v>8921.2469531250008</v>
      </c>
      <c r="D32" s="11">
        <v>10128.11</v>
      </c>
      <c r="E32" s="11">
        <f t="shared" si="8"/>
        <v>-1206.8630468749998</v>
      </c>
      <c r="F32" s="12">
        <f t="shared" si="9"/>
        <v>-0.11915974914125139</v>
      </c>
      <c r="G32" s="13">
        <v>0</v>
      </c>
      <c r="H32" s="13">
        <f t="shared" si="10"/>
        <v>8921.2469531250008</v>
      </c>
      <c r="I32" s="14" t="str">
        <f t="shared" si="11"/>
        <v/>
      </c>
      <c r="J32" s="54"/>
      <c r="K32" s="57"/>
    </row>
    <row r="33" spans="1:11" ht="15.75">
      <c r="A33" s="27" t="str">
        <v>K298</v>
      </c>
      <c r="B33" s="28" t="str">
        <v>NY</v>
      </c>
      <c r="C33" s="10">
        <v>8100.8125</v>
      </c>
      <c r="D33" s="15">
        <v>13207.68</v>
      </c>
      <c r="E33" s="15">
        <f t="shared" si="8"/>
        <v>-5106.8675000000003</v>
      </c>
      <c r="F33" s="16">
        <f t="shared" si="9"/>
        <v>-0.38665893631584047</v>
      </c>
      <c r="G33" s="17">
        <v>0</v>
      </c>
      <c r="H33" s="17">
        <f t="shared" si="10"/>
        <v>8100.8125</v>
      </c>
      <c r="I33" s="16" t="str">
        <f t="shared" si="11"/>
        <v/>
      </c>
      <c r="J33" s="59" t="s">
        <v>136</v>
      </c>
      <c r="K33" s="60" t="s">
        <v>137</v>
      </c>
    </row>
    <row r="34" spans="1:11" ht="15.75">
      <c r="A34" s="25" t="str">
        <v>K335</v>
      </c>
      <c r="B34" s="26" t="str">
        <v>NY</v>
      </c>
      <c r="C34" s="21">
        <v>9156.96875</v>
      </c>
      <c r="D34" s="11">
        <v>13942.97</v>
      </c>
      <c r="E34" s="11">
        <f t="shared" si="8"/>
        <v>-4786.0012499999993</v>
      </c>
      <c r="F34" s="12">
        <f t="shared" si="9"/>
        <v>-0.34325550797283505</v>
      </c>
      <c r="G34" s="13">
        <v>14555</v>
      </c>
      <c r="H34" s="13">
        <f t="shared" si="10"/>
        <v>-5398.03125</v>
      </c>
      <c r="I34" s="14">
        <f t="shared" si="11"/>
        <v>-0.37087126417038818</v>
      </c>
      <c r="J34" s="54"/>
      <c r="K34" s="57"/>
    </row>
    <row r="35" spans="1:11" ht="30">
      <c r="A35" s="27" t="str">
        <v>K345</v>
      </c>
      <c r="B35" s="28" t="str">
        <v>NY</v>
      </c>
      <c r="C35" s="10">
        <v>9252.7980664062507</v>
      </c>
      <c r="D35" s="15">
        <v>9601.5740000000005</v>
      </c>
      <c r="E35" s="15">
        <f t="shared" si="8"/>
        <v>-348.77593359374987</v>
      </c>
      <c r="F35" s="16">
        <f t="shared" si="9"/>
        <v>-3.6324870650765159E-2</v>
      </c>
      <c r="G35" s="17">
        <v>7610</v>
      </c>
      <c r="H35" s="17">
        <f t="shared" si="10"/>
        <v>1642.7980664062507</v>
      </c>
      <c r="I35" s="16">
        <f t="shared" si="11"/>
        <v>0.21587359611120246</v>
      </c>
      <c r="J35" s="59" t="s">
        <v>138</v>
      </c>
      <c r="K35" s="60" t="s">
        <v>139</v>
      </c>
    </row>
    <row r="36" spans="1:11" ht="15.75">
      <c r="A36" s="25" t="str">
        <v>K445</v>
      </c>
      <c r="B36" s="26" t="str">
        <v>NY</v>
      </c>
      <c r="C36" s="21">
        <v>9518.3829999999998</v>
      </c>
      <c r="D36" s="11">
        <v>0</v>
      </c>
      <c r="E36" s="11">
        <f t="shared" si="8"/>
        <v>9518.3829999999998</v>
      </c>
      <c r="F36" s="12" t="str">
        <f t="shared" si="9"/>
        <v/>
      </c>
      <c r="G36" s="13">
        <v>0</v>
      </c>
      <c r="H36" s="13">
        <f t="shared" si="10"/>
        <v>9518.3829999999998</v>
      </c>
      <c r="I36" s="14" t="str">
        <f t="shared" si="11"/>
        <v/>
      </c>
      <c r="J36" s="54"/>
      <c r="K36" s="57"/>
    </row>
    <row r="37" spans="1:11" ht="15.75">
      <c r="A37" s="27" t="str">
        <v>K495</v>
      </c>
      <c r="B37" s="28" t="str">
        <v>NY</v>
      </c>
      <c r="C37" s="10">
        <v>41137.3125</v>
      </c>
      <c r="D37" s="15">
        <v>0</v>
      </c>
      <c r="E37" s="15">
        <f t="shared" si="8"/>
        <v>41137.3125</v>
      </c>
      <c r="F37" s="16" t="str">
        <f t="shared" si="9"/>
        <v/>
      </c>
      <c r="G37" s="17">
        <v>0</v>
      </c>
      <c r="H37" s="17">
        <f t="shared" si="10"/>
        <v>41137.3125</v>
      </c>
      <c r="I37" s="16" t="str">
        <f t="shared" si="11"/>
        <v/>
      </c>
      <c r="J37" s="59" t="s">
        <v>140</v>
      </c>
      <c r="K37" s="60" t="s">
        <v>141</v>
      </c>
    </row>
    <row r="38" spans="1:11" ht="15.75">
      <c r="A38" s="25" t="str">
        <v>M020</v>
      </c>
      <c r="B38" s="26" t="str">
        <v>NY</v>
      </c>
      <c r="C38" s="21">
        <v>9899.21875</v>
      </c>
      <c r="D38" s="11">
        <v>8106.8879999999999</v>
      </c>
      <c r="E38" s="11">
        <f t="shared" si="8"/>
        <v>1792.3307500000001</v>
      </c>
      <c r="F38" s="12">
        <f t="shared" si="9"/>
        <v>0.22108739506454267</v>
      </c>
      <c r="G38" s="13">
        <v>0</v>
      </c>
      <c r="H38" s="13">
        <f t="shared" si="10"/>
        <v>9899.21875</v>
      </c>
      <c r="I38" s="14" t="str">
        <f t="shared" si="11"/>
        <v/>
      </c>
      <c r="J38" s="54"/>
      <c r="K38" s="57"/>
    </row>
    <row r="39" spans="1:11" ht="15.75">
      <c r="A39" s="27" t="str">
        <v>M092</v>
      </c>
      <c r="B39" s="28" t="str">
        <v>NY</v>
      </c>
      <c r="C39" s="10">
        <v>9074.4375</v>
      </c>
      <c r="D39" s="15">
        <v>13564.97</v>
      </c>
      <c r="E39" s="15">
        <f t="shared" si="8"/>
        <v>-4490.5324999999993</v>
      </c>
      <c r="F39" s="16">
        <f t="shared" si="9"/>
        <v>-0.33103888176678603</v>
      </c>
      <c r="G39" s="17">
        <v>14231.42</v>
      </c>
      <c r="H39" s="17">
        <f t="shared" si="10"/>
        <v>-5156.9825000000001</v>
      </c>
      <c r="I39" s="16">
        <f t="shared" si="11"/>
        <v>-0.36236598315558111</v>
      </c>
      <c r="J39" s="59"/>
      <c r="K39" s="60"/>
    </row>
    <row r="40" spans="1:11" ht="15.75">
      <c r="A40" s="25" t="str">
        <v>M143</v>
      </c>
      <c r="B40" s="26" t="str">
        <v>NY</v>
      </c>
      <c r="C40" s="21">
        <v>9946.8125</v>
      </c>
      <c r="D40" s="11">
        <v>15822.48</v>
      </c>
      <c r="E40" s="11">
        <f t="shared" si="8"/>
        <v>-5875.6674999999996</v>
      </c>
      <c r="F40" s="12">
        <f t="shared" si="9"/>
        <v>-0.37134933967367945</v>
      </c>
      <c r="G40" s="13">
        <v>18573.72</v>
      </c>
      <c r="H40" s="13">
        <f t="shared" si="10"/>
        <v>-8626.9075000000012</v>
      </c>
      <c r="I40" s="14">
        <f t="shared" si="11"/>
        <v>-0.46446848019675113</v>
      </c>
      <c r="J40" s="54"/>
      <c r="K40" s="57"/>
    </row>
    <row r="41" spans="1:11" ht="15.75">
      <c r="A41" s="27" t="str">
        <v>M144</v>
      </c>
      <c r="B41" s="28" t="str">
        <v>NY</v>
      </c>
      <c r="C41" s="10">
        <v>15594.5</v>
      </c>
      <c r="D41" s="15">
        <v>0</v>
      </c>
      <c r="E41" s="15">
        <f t="shared" si="8"/>
        <v>15594.5</v>
      </c>
      <c r="F41" s="16" t="str">
        <f t="shared" si="9"/>
        <v/>
      </c>
      <c r="G41" s="17">
        <v>0</v>
      </c>
      <c r="H41" s="17">
        <f t="shared" si="10"/>
        <v>15594.5</v>
      </c>
      <c r="I41" s="16" t="str">
        <f t="shared" si="11"/>
        <v/>
      </c>
      <c r="J41" s="59"/>
      <c r="K41" s="60"/>
    </row>
    <row r="42" spans="1:11" ht="30">
      <c r="A42" s="25" t="str">
        <v>M167</v>
      </c>
      <c r="B42" s="26" t="str">
        <v>NY</v>
      </c>
      <c r="C42" s="21">
        <v>10945.180405273401</v>
      </c>
      <c r="D42" s="11">
        <v>12895.85</v>
      </c>
      <c r="E42" s="11">
        <f t="shared" si="8"/>
        <v>-1950.6695947265998</v>
      </c>
      <c r="F42" s="12">
        <f t="shared" si="9"/>
        <v>-0.15126335950919093</v>
      </c>
      <c r="G42" s="13">
        <v>13415.56</v>
      </c>
      <c r="H42" s="13">
        <f t="shared" si="10"/>
        <v>-2470.379594726599</v>
      </c>
      <c r="I42" s="14">
        <f t="shared" si="11"/>
        <v>-0.18414286058327786</v>
      </c>
      <c r="J42" s="54" t="s">
        <v>142</v>
      </c>
      <c r="K42" s="57" t="s">
        <v>143</v>
      </c>
    </row>
    <row r="43" spans="1:11" ht="15.75">
      <c r="A43" s="27" t="str">
        <v>M188</v>
      </c>
      <c r="B43" s="28" t="str">
        <v>NY</v>
      </c>
      <c r="C43" s="10">
        <v>8728.4586718749797</v>
      </c>
      <c r="D43" s="15">
        <v>0</v>
      </c>
      <c r="E43" s="15">
        <f t="shared" si="8"/>
        <v>8728.4586718749797</v>
      </c>
      <c r="F43" s="16" t="str">
        <f t="shared" si="9"/>
        <v/>
      </c>
      <c r="G43" s="17">
        <v>0</v>
      </c>
      <c r="H43" s="17">
        <f t="shared" si="10"/>
        <v>8728.4586718749797</v>
      </c>
      <c r="I43" s="16" t="str">
        <f t="shared" si="11"/>
        <v/>
      </c>
      <c r="J43" s="59"/>
      <c r="K43" s="60"/>
    </row>
    <row r="44" spans="1:11" ht="15.75">
      <c r="A44" s="25" t="str">
        <v>EMHC</v>
      </c>
      <c r="B44" s="26" t="str">
        <v>NY</v>
      </c>
      <c r="C44" s="21">
        <v>2373.40241699219</v>
      </c>
      <c r="D44" s="11">
        <v>0</v>
      </c>
      <c r="E44" s="11">
        <f t="shared" si="8"/>
        <v>2373.40241699219</v>
      </c>
      <c r="F44" s="12" t="str">
        <f t="shared" si="9"/>
        <v/>
      </c>
      <c r="G44" s="13">
        <v>0</v>
      </c>
      <c r="H44" s="13">
        <f t="shared" si="10"/>
        <v>2373.40241699219</v>
      </c>
      <c r="I44" s="14" t="str">
        <f t="shared" si="11"/>
        <v/>
      </c>
      <c r="J44" s="54"/>
      <c r="K44" s="57"/>
    </row>
    <row r="45" spans="1:11" ht="15.75">
      <c r="A45" s="27" t="str">
        <v>Q008</v>
      </c>
      <c r="B45" s="28" t="str">
        <v>NY</v>
      </c>
      <c r="C45" s="10">
        <v>14341.1171875</v>
      </c>
      <c r="D45" s="15">
        <v>17495.71</v>
      </c>
      <c r="E45" s="15">
        <f t="shared" si="8"/>
        <v>-3154.5928124999991</v>
      </c>
      <c r="F45" s="16">
        <f t="shared" si="9"/>
        <v>-0.18030664731525609</v>
      </c>
      <c r="G45" s="17">
        <v>18089</v>
      </c>
      <c r="H45" s="17">
        <f t="shared" si="10"/>
        <v>-3747.8828125</v>
      </c>
      <c r="I45" s="16">
        <f t="shared" si="11"/>
        <v>-0.20719126610094532</v>
      </c>
      <c r="J45" s="59"/>
      <c r="K45" s="60"/>
    </row>
    <row r="46" spans="1:11" ht="15.75">
      <c r="A46" s="25" t="str">
        <v>Q018</v>
      </c>
      <c r="B46" s="26" t="str">
        <v>NY</v>
      </c>
      <c r="C46" s="21">
        <v>8095.6875</v>
      </c>
      <c r="D46" s="11">
        <v>12613.08</v>
      </c>
      <c r="E46" s="11">
        <f t="shared" si="8"/>
        <v>-4517.3924999999999</v>
      </c>
      <c r="F46" s="12">
        <f t="shared" si="9"/>
        <v>-0.35815141900313008</v>
      </c>
      <c r="G46" s="13">
        <v>12784.81</v>
      </c>
      <c r="H46" s="13">
        <f t="shared" si="10"/>
        <v>-4689.1224999999995</v>
      </c>
      <c r="I46" s="14">
        <f t="shared" si="11"/>
        <v>-0.36677295165121732</v>
      </c>
      <c r="J46" s="54"/>
      <c r="K46" s="57"/>
    </row>
    <row r="47" spans="1:11" ht="15.75">
      <c r="A47" s="27" t="str">
        <v>Q021</v>
      </c>
      <c r="B47" s="28" t="str">
        <v>NY</v>
      </c>
      <c r="C47" s="10">
        <v>6658.71875</v>
      </c>
      <c r="D47" s="15">
        <v>10734.29</v>
      </c>
      <c r="E47" s="15">
        <f t="shared" si="8"/>
        <v>-4075.5712500000009</v>
      </c>
      <c r="F47" s="16">
        <f t="shared" si="9"/>
        <v>-0.37967776629846972</v>
      </c>
      <c r="G47" s="17">
        <v>5480.9939999999997</v>
      </c>
      <c r="H47" s="17">
        <f t="shared" si="10"/>
        <v>1177.7247500000003</v>
      </c>
      <c r="I47" s="16">
        <f t="shared" si="11"/>
        <v>0.21487430017256001</v>
      </c>
      <c r="J47" s="59"/>
      <c r="K47" s="60"/>
    </row>
    <row r="48" spans="1:11" ht="15.75">
      <c r="A48" s="25" t="str">
        <v>Q025</v>
      </c>
      <c r="B48" s="26" t="str">
        <v>NY</v>
      </c>
      <c r="C48" s="21">
        <v>10992.375</v>
      </c>
      <c r="D48" s="11">
        <v>16909.419999999998</v>
      </c>
      <c r="E48" s="11">
        <f t="shared" si="8"/>
        <v>-5917.0449999999983</v>
      </c>
      <c r="F48" s="12">
        <f t="shared" si="9"/>
        <v>-0.34992595843027136</v>
      </c>
      <c r="G48" s="13">
        <v>9540</v>
      </c>
      <c r="H48" s="13">
        <f t="shared" si="10"/>
        <v>1452.375</v>
      </c>
      <c r="I48" s="14">
        <f t="shared" si="11"/>
        <v>0.15224056603773584</v>
      </c>
      <c r="J48" s="54"/>
      <c r="K48" s="57"/>
    </row>
    <row r="49" spans="1:11" ht="15.75">
      <c r="A49" s="27" t="str">
        <v>Q074</v>
      </c>
      <c r="B49" s="28" t="str">
        <v>NY</v>
      </c>
      <c r="C49" s="10">
        <v>6577.59375</v>
      </c>
      <c r="D49" s="15">
        <v>10436.129999999999</v>
      </c>
      <c r="E49" s="15">
        <f t="shared" si="8"/>
        <v>-3858.5362499999992</v>
      </c>
      <c r="F49" s="16">
        <f t="shared" si="9"/>
        <v>-0.36972864941314448</v>
      </c>
      <c r="G49" s="17">
        <v>10440.209999999999</v>
      </c>
      <c r="H49" s="17">
        <f t="shared" si="10"/>
        <v>-3862.6162499999991</v>
      </c>
      <c r="I49" s="16">
        <f t="shared" si="11"/>
        <v>-0.36997495740028213</v>
      </c>
      <c r="J49" s="59" t="s">
        <v>144</v>
      </c>
      <c r="K49" s="59" t="s">
        <v>145</v>
      </c>
    </row>
    <row r="50" spans="1:11" ht="15.75">
      <c r="A50" s="25" t="str">
        <v>Q115</v>
      </c>
      <c r="B50" s="26" t="str">
        <v>NY</v>
      </c>
      <c r="C50" s="21">
        <v>9157.21875</v>
      </c>
      <c r="D50" s="11">
        <v>15076.37</v>
      </c>
      <c r="E50" s="11">
        <f t="shared" si="8"/>
        <v>-5919.1512500000008</v>
      </c>
      <c r="F50" s="12">
        <f t="shared" si="9"/>
        <v>-0.39261116900155679</v>
      </c>
      <c r="G50" s="13">
        <v>14141.7</v>
      </c>
      <c r="H50" s="13">
        <f t="shared" si="10"/>
        <v>-4984.4812500000007</v>
      </c>
      <c r="I50" s="14">
        <f t="shared" si="11"/>
        <v>-0.35246690638324957</v>
      </c>
      <c r="J50" s="54"/>
      <c r="K50" s="57"/>
    </row>
    <row r="51" spans="1:11" ht="15.75">
      <c r="A51" s="27" t="str">
        <v>Q139</v>
      </c>
      <c r="B51" s="28" t="str">
        <v>NY</v>
      </c>
      <c r="C51" s="10">
        <v>5878.21875</v>
      </c>
      <c r="D51" s="15">
        <v>8344.6959999999999</v>
      </c>
      <c r="E51" s="15">
        <f t="shared" si="8"/>
        <v>-2466.4772499999999</v>
      </c>
      <c r="F51" s="16">
        <f t="shared" si="9"/>
        <v>-0.29557424860054815</v>
      </c>
      <c r="G51" s="17">
        <v>8025</v>
      </c>
      <c r="H51" s="17">
        <f t="shared" si="10"/>
        <v>-2146.78125</v>
      </c>
      <c r="I51" s="16">
        <f t="shared" si="11"/>
        <v>-0.26751168224299066</v>
      </c>
      <c r="J51" s="59"/>
      <c r="K51" s="60"/>
    </row>
    <row r="52" spans="1:11" ht="30">
      <c r="A52" s="25" t="str">
        <v>Q157</v>
      </c>
      <c r="B52" s="26" t="str">
        <v>NY</v>
      </c>
      <c r="C52" s="21">
        <v>9228.1875</v>
      </c>
      <c r="D52" s="11">
        <v>16163.48</v>
      </c>
      <c r="E52" s="11">
        <f t="shared" si="8"/>
        <v>-6935.2924999999996</v>
      </c>
      <c r="F52" s="12">
        <f t="shared" si="9"/>
        <v>-0.42907174073899929</v>
      </c>
      <c r="G52" s="13">
        <v>15359.34</v>
      </c>
      <c r="H52" s="13">
        <f t="shared" si="10"/>
        <v>-6131.1525000000001</v>
      </c>
      <c r="I52" s="14">
        <f t="shared" si="11"/>
        <v>-0.3991807265155925</v>
      </c>
      <c r="J52" s="54" t="s">
        <v>146</v>
      </c>
      <c r="K52" s="57" t="s">
        <v>147</v>
      </c>
    </row>
    <row r="53" spans="1:11" ht="15.75">
      <c r="A53" s="27" t="str">
        <v>Q192</v>
      </c>
      <c r="B53" s="28" t="str">
        <v>NY</v>
      </c>
      <c r="C53" s="10">
        <v>15802.6875</v>
      </c>
      <c r="D53" s="15">
        <v>24783.49</v>
      </c>
      <c r="E53" s="15">
        <f t="shared" si="8"/>
        <v>-8980.8025000000016</v>
      </c>
      <c r="F53" s="16">
        <f t="shared" si="9"/>
        <v>-0.36237037237289826</v>
      </c>
      <c r="G53" s="17">
        <v>21116.05</v>
      </c>
      <c r="H53" s="17">
        <f t="shared" si="10"/>
        <v>-5313.3624999999993</v>
      </c>
      <c r="I53" s="16">
        <f t="shared" si="11"/>
        <v>-0.25162672469519626</v>
      </c>
      <c r="J53" s="59"/>
      <c r="K53" s="60"/>
    </row>
    <row r="54" spans="1:11" ht="15.75">
      <c r="A54" s="25" t="str">
        <v>Q210</v>
      </c>
      <c r="B54" s="26" t="str">
        <v>NY</v>
      </c>
      <c r="C54" s="21">
        <v>12134.875</v>
      </c>
      <c r="D54" s="11">
        <v>17223.77</v>
      </c>
      <c r="E54" s="11">
        <f t="shared" si="8"/>
        <v>-5088.8950000000004</v>
      </c>
      <c r="F54" s="12">
        <f t="shared" si="9"/>
        <v>-0.29545767273947576</v>
      </c>
      <c r="G54" s="13">
        <v>18108</v>
      </c>
      <c r="H54" s="13">
        <f t="shared" si="10"/>
        <v>-5973.125</v>
      </c>
      <c r="I54" s="14">
        <f t="shared" si="11"/>
        <v>-0.3298611111111111</v>
      </c>
      <c r="J54" s="54" t="s">
        <v>148</v>
      </c>
      <c r="K54" s="57" t="s">
        <v>45</v>
      </c>
    </row>
    <row r="55" spans="1:11" ht="15.75">
      <c r="A55" s="27" t="str">
        <v>Q229</v>
      </c>
      <c r="B55" s="28" t="str">
        <v>NY</v>
      </c>
      <c r="C55" s="10">
        <v>5675.18749999994</v>
      </c>
      <c r="D55" s="15">
        <v>8021.049</v>
      </c>
      <c r="E55" s="15">
        <f t="shared" si="8"/>
        <v>-2345.86150000006</v>
      </c>
      <c r="F55" s="16">
        <f t="shared" si="9"/>
        <v>-0.29246318031470198</v>
      </c>
      <c r="G55" s="17">
        <v>8779.7330000000002</v>
      </c>
      <c r="H55" s="17">
        <f t="shared" si="10"/>
        <v>-3104.5455000000602</v>
      </c>
      <c r="I55" s="16">
        <f t="shared" si="11"/>
        <v>-0.35360363464356603</v>
      </c>
      <c r="J55" s="59"/>
      <c r="K55" s="60"/>
    </row>
    <row r="56" spans="1:11" ht="15.75">
      <c r="A56" s="25" t="str">
        <v>Q231</v>
      </c>
      <c r="B56" s="26" t="str">
        <v>NY</v>
      </c>
      <c r="C56" s="21">
        <v>22856.1875</v>
      </c>
      <c r="D56" s="11">
        <v>35658.61</v>
      </c>
      <c r="E56" s="11">
        <f t="shared" si="8"/>
        <v>-12802.422500000001</v>
      </c>
      <c r="F56" s="12">
        <f t="shared" si="9"/>
        <v>-0.35902752518956854</v>
      </c>
      <c r="G56" s="13">
        <v>0</v>
      </c>
      <c r="H56" s="13">
        <f t="shared" si="10"/>
        <v>22856.1875</v>
      </c>
      <c r="I56" s="14" t="str">
        <f t="shared" si="11"/>
        <v/>
      </c>
      <c r="J56" s="54"/>
      <c r="K56" s="57"/>
    </row>
    <row r="57" spans="1:11" ht="15.75">
      <c r="A57" s="27" t="str">
        <v>Q405</v>
      </c>
      <c r="B57" s="28" t="str">
        <v>NY</v>
      </c>
      <c r="C57" s="10">
        <v>23173.875</v>
      </c>
      <c r="D57" s="15">
        <v>34907.18</v>
      </c>
      <c r="E57" s="15">
        <f t="shared" si="8"/>
        <v>-11733.305</v>
      </c>
      <c r="F57" s="16">
        <f t="shared" si="9"/>
        <v>-0.33612869902409764</v>
      </c>
      <c r="G57" s="17">
        <v>26531.72</v>
      </c>
      <c r="H57" s="17">
        <f t="shared" si="10"/>
        <v>-3357.8450000000012</v>
      </c>
      <c r="I57" s="16">
        <f t="shared" si="11"/>
        <v>-0.12655964257123176</v>
      </c>
      <c r="J57" s="59"/>
      <c r="K57" s="60"/>
    </row>
    <row r="58" spans="1:11" ht="15.75">
      <c r="A58" s="25" t="str">
        <v>Q435</v>
      </c>
      <c r="B58" s="26" t="str">
        <v>NY</v>
      </c>
      <c r="C58" s="21"/>
      <c r="D58" s="11">
        <v>0</v>
      </c>
      <c r="E58" s="11" t="str">
        <f t="shared" si="8"/>
        <v/>
      </c>
      <c r="F58" s="12" t="str">
        <f t="shared" si="9"/>
        <v/>
      </c>
      <c r="G58" s="13">
        <v>0</v>
      </c>
      <c r="H58" s="13" t="str">
        <f t="shared" si="10"/>
        <v/>
      </c>
      <c r="I58" s="14" t="str">
        <f t="shared" si="11"/>
        <v/>
      </c>
      <c r="J58" s="54" t="s">
        <v>149</v>
      </c>
      <c r="K58" s="57" t="s">
        <v>49</v>
      </c>
    </row>
    <row r="59" spans="1:11" ht="60">
      <c r="A59" s="27" t="str">
        <v>Q485</v>
      </c>
      <c r="B59" s="28" t="str">
        <v>NY</v>
      </c>
      <c r="C59" s="10">
        <v>23492.947499999998</v>
      </c>
      <c r="D59" s="15">
        <v>26113.119999999999</v>
      </c>
      <c r="E59" s="15">
        <f t="shared" si="8"/>
        <v>-2620.1725000000006</v>
      </c>
      <c r="F59" s="16">
        <f t="shared" si="9"/>
        <v>-0.10033931219249177</v>
      </c>
      <c r="G59" s="17">
        <v>31669.23</v>
      </c>
      <c r="H59" s="17">
        <f t="shared" si="10"/>
        <v>-8176.2825000000012</v>
      </c>
      <c r="I59" s="16">
        <f t="shared" si="11"/>
        <v>-0.25817749594795963</v>
      </c>
      <c r="J59" s="59" t="s">
        <v>150</v>
      </c>
      <c r="K59" s="59" t="s">
        <v>151</v>
      </c>
    </row>
    <row r="60" spans="1:11" ht="30">
      <c r="A60" s="25" t="str">
        <v>Q490</v>
      </c>
      <c r="B60" s="26" t="str">
        <v>NY</v>
      </c>
      <c r="C60" s="21">
        <v>19705.7056880938</v>
      </c>
      <c r="D60" s="11">
        <v>0</v>
      </c>
      <c r="E60" s="11">
        <f t="shared" si="8"/>
        <v>19705.7056880938</v>
      </c>
      <c r="F60" s="12" t="str">
        <f t="shared" si="9"/>
        <v/>
      </c>
      <c r="G60" s="13">
        <v>28902.87</v>
      </c>
      <c r="H60" s="13">
        <f t="shared" si="10"/>
        <v>-9197.1643119061991</v>
      </c>
      <c r="I60" s="14">
        <f t="shared" si="11"/>
        <v>-0.3182093789269439</v>
      </c>
      <c r="J60" s="54" t="s">
        <v>152</v>
      </c>
      <c r="K60" s="57" t="s">
        <v>153</v>
      </c>
    </row>
    <row r="61" spans="1:11" ht="15.75">
      <c r="A61" s="27" t="str">
        <v>Q620</v>
      </c>
      <c r="B61" s="28" t="str">
        <v>NY</v>
      </c>
      <c r="C61" s="10">
        <v>29063.125</v>
      </c>
      <c r="D61" s="15">
        <v>43869.760000000002</v>
      </c>
      <c r="E61" s="15">
        <f t="shared" si="8"/>
        <v>-14806.635000000002</v>
      </c>
      <c r="F61" s="16">
        <f t="shared" si="9"/>
        <v>-0.33751347169439727</v>
      </c>
      <c r="G61" s="17">
        <v>45011.46</v>
      </c>
      <c r="H61" s="17">
        <f t="shared" si="10"/>
        <v>-15948.334999999999</v>
      </c>
      <c r="I61" s="16">
        <f t="shared" si="11"/>
        <v>-0.35431721166120805</v>
      </c>
      <c r="J61" s="59"/>
      <c r="K61" s="60"/>
    </row>
    <row r="62" spans="1:11" ht="15.75">
      <c r="A62" s="25" t="str">
        <v>QMOA</v>
      </c>
      <c r="B62" s="26" t="str">
        <v>NY</v>
      </c>
      <c r="C62" s="21">
        <v>3142</v>
      </c>
      <c r="D62" s="11">
        <v>0</v>
      </c>
      <c r="E62" s="11">
        <f t="shared" si="8"/>
        <v>3142</v>
      </c>
      <c r="F62" s="12" t="str">
        <f t="shared" si="9"/>
        <v/>
      </c>
      <c r="G62" s="13">
        <v>3731.7240000000002</v>
      </c>
      <c r="H62" s="13">
        <f t="shared" si="10"/>
        <v>-589.72400000000016</v>
      </c>
      <c r="I62" s="14">
        <f t="shared" si="11"/>
        <v>-0.15802990789243795</v>
      </c>
      <c r="J62" s="54"/>
      <c r="K62" s="57"/>
    </row>
    <row r="63" spans="1:11" ht="15.75">
      <c r="A63" s="27" t="str">
        <v>X024</v>
      </c>
      <c r="B63" s="28" t="str">
        <v>NY</v>
      </c>
      <c r="C63" s="10">
        <v>10749.876</v>
      </c>
      <c r="D63" s="15">
        <v>0</v>
      </c>
      <c r="E63" s="15">
        <f t="shared" si="8"/>
        <v>10749.876</v>
      </c>
      <c r="F63" s="16" t="str">
        <f t="shared" si="9"/>
        <v/>
      </c>
      <c r="G63" s="17">
        <v>0</v>
      </c>
      <c r="H63" s="17">
        <f t="shared" si="10"/>
        <v>10749.876</v>
      </c>
      <c r="I63" s="16" t="str">
        <f t="shared" si="11"/>
        <v/>
      </c>
      <c r="J63" s="59"/>
      <c r="K63" s="60"/>
    </row>
    <row r="64" spans="1:11" ht="15.75">
      <c r="A64" s="25" t="str">
        <v>X026</v>
      </c>
      <c r="B64" s="26" t="str">
        <v>NY</v>
      </c>
      <c r="C64" s="21">
        <v>8054.2000000000698</v>
      </c>
      <c r="D64" s="11">
        <v>14614.25</v>
      </c>
      <c r="E64" s="11">
        <f t="shared" si="8"/>
        <v>-6560.0499999999302</v>
      </c>
      <c r="F64" s="12">
        <f t="shared" si="9"/>
        <v>-0.44888037360794636</v>
      </c>
      <c r="G64" s="13">
        <v>16730.150000000001</v>
      </c>
      <c r="H64" s="13">
        <f t="shared" si="10"/>
        <v>-8675.9499999999316</v>
      </c>
      <c r="I64" s="14">
        <f t="shared" si="11"/>
        <v>-0.5185817222200596</v>
      </c>
      <c r="J64" s="54" t="s">
        <v>154</v>
      </c>
      <c r="K64" s="57" t="s">
        <v>155</v>
      </c>
    </row>
    <row r="65" spans="1:11" ht="15.75">
      <c r="A65" s="27" t="str">
        <v>X090</v>
      </c>
      <c r="B65" s="28" t="str">
        <v>NY</v>
      </c>
      <c r="C65" s="10">
        <v>9045.1328124999909</v>
      </c>
      <c r="D65" s="15">
        <v>9690.9269999999997</v>
      </c>
      <c r="E65" s="15">
        <f t="shared" si="8"/>
        <v>-645.79418750000877</v>
      </c>
      <c r="F65" s="16">
        <f t="shared" si="9"/>
        <v>-6.6639051919389014E-2</v>
      </c>
      <c r="G65" s="17">
        <v>11057</v>
      </c>
      <c r="H65" s="17">
        <f t="shared" si="10"/>
        <v>-2011.8671875000091</v>
      </c>
      <c r="I65" s="16">
        <f t="shared" si="11"/>
        <v>-0.181954163651986</v>
      </c>
      <c r="J65" s="59"/>
      <c r="K65" s="60"/>
    </row>
    <row r="66" spans="1:11" ht="15.75">
      <c r="A66" s="25" t="str">
        <v>X117</v>
      </c>
      <c r="B66" s="26" t="str">
        <v>NY</v>
      </c>
      <c r="C66" s="21">
        <v>6764.6000000000304</v>
      </c>
      <c r="D66" s="11">
        <v>12607.26</v>
      </c>
      <c r="E66" s="11">
        <f t="shared" si="8"/>
        <v>-5842.6599999999698</v>
      </c>
      <c r="F66" s="12">
        <f t="shared" si="9"/>
        <v>-0.46343614710888564</v>
      </c>
      <c r="G66" s="13">
        <v>18680.64</v>
      </c>
      <c r="H66" s="13">
        <f t="shared" si="10"/>
        <v>-11916.039999999968</v>
      </c>
      <c r="I66" s="14">
        <f t="shared" si="11"/>
        <v>-0.63788178563475173</v>
      </c>
      <c r="J66" s="54"/>
      <c r="K66" s="57"/>
    </row>
    <row r="67" spans="1:11" ht="15.75">
      <c r="A67" s="27" t="str">
        <v>X125</v>
      </c>
      <c r="B67" s="28" t="str">
        <v>NY</v>
      </c>
      <c r="C67" s="10">
        <v>14000.8125</v>
      </c>
      <c r="D67" s="15">
        <v>21066.57</v>
      </c>
      <c r="E67" s="15">
        <f t="shared" si="8"/>
        <v>-7065.7574999999997</v>
      </c>
      <c r="F67" s="16">
        <f t="shared" si="9"/>
        <v>-0.33540142035461873</v>
      </c>
      <c r="G67" s="17">
        <v>13446.52</v>
      </c>
      <c r="H67" s="17">
        <f t="shared" si="10"/>
        <v>554.29249999999956</v>
      </c>
      <c r="I67" s="16">
        <f t="shared" si="11"/>
        <v>4.1222003908818007E-2</v>
      </c>
      <c r="J67" s="59"/>
      <c r="K67" s="60"/>
    </row>
    <row r="68" spans="1:11" ht="15.75">
      <c r="A68" s="25" t="str">
        <v>X134</v>
      </c>
      <c r="B68" s="26" t="str">
        <v>NY</v>
      </c>
      <c r="C68" s="21">
        <v>12948.28125</v>
      </c>
      <c r="D68" s="11">
        <v>0</v>
      </c>
      <c r="E68" s="11">
        <f t="shared" si="8"/>
        <v>12948.28125</v>
      </c>
      <c r="F68" s="12" t="str">
        <f t="shared" si="9"/>
        <v/>
      </c>
      <c r="G68" s="13">
        <v>0</v>
      </c>
      <c r="H68" s="13">
        <f t="shared" si="10"/>
        <v>12948.28125</v>
      </c>
      <c r="I68" s="14" t="str">
        <f t="shared" si="11"/>
        <v/>
      </c>
      <c r="J68" s="54"/>
      <c r="K68" s="57"/>
    </row>
    <row r="69" spans="1:11" ht="15.75">
      <c r="A69" s="27" t="str">
        <v>X135</v>
      </c>
      <c r="B69" s="28" t="str">
        <v>NY</v>
      </c>
      <c r="C69" s="10">
        <v>9774.890625</v>
      </c>
      <c r="D69" s="15">
        <v>0</v>
      </c>
      <c r="E69" s="15">
        <f t="shared" si="8"/>
        <v>9774.890625</v>
      </c>
      <c r="F69" s="16" t="str">
        <f t="shared" si="9"/>
        <v/>
      </c>
      <c r="G69" s="17">
        <v>0</v>
      </c>
      <c r="H69" s="17">
        <f t="shared" si="10"/>
        <v>9774.890625</v>
      </c>
      <c r="I69" s="16" t="str">
        <f t="shared" si="11"/>
        <v/>
      </c>
      <c r="J69" s="59"/>
      <c r="K69" s="60"/>
    </row>
    <row r="70" spans="1:11" ht="15.75">
      <c r="A70" s="25" t="str">
        <v>X139 JHS 222</v>
      </c>
      <c r="B70" s="26" t="str">
        <v>NY</v>
      </c>
      <c r="C70" s="21">
        <v>17038.219891019799</v>
      </c>
      <c r="D70" s="11">
        <v>22535.35</v>
      </c>
      <c r="E70" s="11">
        <f t="shared" si="8"/>
        <v>-5497.1301089802</v>
      </c>
      <c r="F70" s="12">
        <f t="shared" si="9"/>
        <v>-0.24393364686948285</v>
      </c>
      <c r="G70" s="13">
        <v>28008</v>
      </c>
      <c r="H70" s="13">
        <f t="shared" si="10"/>
        <v>-10969.780108980201</v>
      </c>
      <c r="I70" s="14">
        <f t="shared" si="11"/>
        <v>-0.39166595647601404</v>
      </c>
      <c r="J70" s="54"/>
      <c r="K70" s="57"/>
    </row>
    <row r="71" spans="1:11" ht="15.75">
      <c r="A71" s="27" t="str">
        <v>X140</v>
      </c>
      <c r="B71" s="28" t="str">
        <v>NY</v>
      </c>
      <c r="C71" s="10">
        <v>9393.2780000000002</v>
      </c>
      <c r="D71" s="15">
        <v>11697.657999999999</v>
      </c>
      <c r="E71" s="15">
        <f t="shared" si="8"/>
        <v>-2304.3799999999992</v>
      </c>
      <c r="F71" s="16">
        <f t="shared" si="9"/>
        <v>-0.19699498822755798</v>
      </c>
      <c r="G71" s="17">
        <v>11811.069</v>
      </c>
      <c r="H71" s="17">
        <f t="shared" si="10"/>
        <v>-2417.7909999999993</v>
      </c>
      <c r="I71" s="16">
        <f t="shared" si="11"/>
        <v>-0.20470551818806573</v>
      </c>
      <c r="J71" s="59" t="s">
        <v>156</v>
      </c>
      <c r="K71" s="59" t="s">
        <v>157</v>
      </c>
    </row>
    <row r="72" spans="1:11" ht="15.75">
      <c r="A72" s="25" t="str">
        <v>X166</v>
      </c>
      <c r="B72" s="26" t="str">
        <v>NY</v>
      </c>
      <c r="C72" s="21">
        <v>10298.799999999999</v>
      </c>
      <c r="D72" s="11">
        <v>14615.42</v>
      </c>
      <c r="E72" s="11">
        <f t="shared" si="8"/>
        <v>-4316.6200000000008</v>
      </c>
      <c r="F72" s="12">
        <f t="shared" si="9"/>
        <v>-0.29534696915996944</v>
      </c>
      <c r="G72" s="13">
        <v>0</v>
      </c>
      <c r="H72" s="13">
        <f t="shared" si="10"/>
        <v>10298.799999999999</v>
      </c>
      <c r="I72" s="14" t="str">
        <f t="shared" si="11"/>
        <v/>
      </c>
      <c r="J72" s="54"/>
      <c r="K72" s="57"/>
    </row>
    <row r="73" spans="1:11" ht="105">
      <c r="A73" s="27" t="str">
        <v>Murphy</v>
      </c>
      <c r="B73" s="28" t="str">
        <v>MN</v>
      </c>
      <c r="C73" s="10">
        <v>575720</v>
      </c>
      <c r="D73" s="15">
        <v>738454.1</v>
      </c>
      <c r="E73" s="15">
        <f t="shared" si="8"/>
        <v>-162734.09999999998</v>
      </c>
      <c r="F73" s="16">
        <f t="shared" si="9"/>
        <v>-0.22037131353187692</v>
      </c>
      <c r="G73" s="17">
        <v>691411.1</v>
      </c>
      <c r="H73" s="17">
        <f t="shared" si="10"/>
        <v>-115691.09999999998</v>
      </c>
      <c r="I73" s="16">
        <f t="shared" si="11"/>
        <v>-0.16732606693760049</v>
      </c>
      <c r="J73" s="59" t="s">
        <v>158</v>
      </c>
      <c r="K73" s="59" t="s">
        <v>159</v>
      </c>
    </row>
    <row r="74" spans="1:11" ht="15.75">
      <c r="A74" s="25" t="str">
        <v>Terning</v>
      </c>
      <c r="B74" s="26" t="str">
        <v>MN</v>
      </c>
      <c r="C74" s="21">
        <v>579703</v>
      </c>
      <c r="D74" s="11">
        <v>721827.7</v>
      </c>
      <c r="E74" s="11">
        <f t="shared" si="8"/>
        <v>-142124.69999999995</v>
      </c>
      <c r="F74" s="12">
        <f t="shared" si="9"/>
        <v>-0.19689560264866526</v>
      </c>
      <c r="G74" s="13">
        <v>652717.9</v>
      </c>
      <c r="H74" s="13">
        <f t="shared" si="10"/>
        <v>-73014.900000000023</v>
      </c>
      <c r="I74" s="14">
        <f t="shared" si="11"/>
        <v>-0.11186287368555393</v>
      </c>
      <c r="J74" s="54"/>
      <c r="K74" s="57"/>
    </row>
    <row r="75" spans="1:11" ht="30">
      <c r="A75" s="27" t="str">
        <v>Boas Road 04</v>
      </c>
      <c r="B75" s="28" t="str">
        <v>NY</v>
      </c>
      <c r="C75" s="10">
        <v>192892</v>
      </c>
      <c r="D75" s="15">
        <v>264045.63</v>
      </c>
      <c r="E75" s="15">
        <f t="shared" si="8"/>
        <v>-71153.63</v>
      </c>
      <c r="F75" s="16">
        <f t="shared" si="9"/>
        <v>-0.2694747494968957</v>
      </c>
      <c r="G75" s="17">
        <v>220064.68</v>
      </c>
      <c r="H75" s="17">
        <f t="shared" si="10"/>
        <v>-27172.679999999993</v>
      </c>
      <c r="I75" s="16">
        <f t="shared" si="11"/>
        <v>-0.1234758799094884</v>
      </c>
      <c r="J75" s="59" t="s">
        <v>160</v>
      </c>
      <c r="K75" s="59" t="s">
        <v>161</v>
      </c>
    </row>
    <row r="76" spans="1:11" ht="71.25" customHeight="1">
      <c r="A76" s="25" t="str">
        <v>Kelly Bridge Farm</v>
      </c>
      <c r="B76" s="26" t="str">
        <v>NY</v>
      </c>
      <c r="C76" s="21">
        <v>242237</v>
      </c>
      <c r="D76" s="11">
        <v>291693.36</v>
      </c>
      <c r="E76" s="11">
        <f t="shared" si="8"/>
        <v>-49456.359999999986</v>
      </c>
      <c r="F76" s="12">
        <f t="shared" si="9"/>
        <v>-0.16954914571932658</v>
      </c>
      <c r="G76" s="13">
        <v>209445.59</v>
      </c>
      <c r="H76" s="13">
        <f t="shared" si="10"/>
        <v>32791.410000000003</v>
      </c>
      <c r="I76" s="14">
        <f t="shared" si="11"/>
        <v>0.15656290495302386</v>
      </c>
      <c r="J76" s="54" t="s">
        <v>162</v>
      </c>
      <c r="K76" s="57" t="s">
        <v>163</v>
      </c>
    </row>
    <row r="77" spans="1:11" ht="15.75">
      <c r="A77" s="27" t="str">
        <v>Pool Brook Road</v>
      </c>
      <c r="B77" s="28" t="str">
        <v>NY</v>
      </c>
      <c r="C77" s="10">
        <v>227358</v>
      </c>
      <c r="D77" s="15">
        <v>253637.61</v>
      </c>
      <c r="E77" s="15">
        <f t="shared" si="8"/>
        <v>-26279.609999999986</v>
      </c>
      <c r="F77" s="16">
        <f t="shared" si="9"/>
        <v>-0.1036108564498774</v>
      </c>
      <c r="G77" s="17">
        <v>194874.12</v>
      </c>
      <c r="H77" s="17">
        <f t="shared" si="10"/>
        <v>32483.880000000005</v>
      </c>
      <c r="I77" s="16">
        <f t="shared" si="11"/>
        <v>0.16669160584278717</v>
      </c>
      <c r="J77" s="59" t="s">
        <v>164</v>
      </c>
      <c r="K77" s="60" t="s">
        <v>165</v>
      </c>
    </row>
    <row r="78" spans="1:11" ht="15.75">
      <c r="A78" s="25" t="str">
        <v>Sackett Lake</v>
      </c>
      <c r="B78" s="26" t="str">
        <v>NY</v>
      </c>
      <c r="C78" s="21">
        <v>272809</v>
      </c>
      <c r="D78" s="11">
        <v>302531.58</v>
      </c>
      <c r="E78" s="11">
        <f t="shared" si="8"/>
        <v>-29722.580000000016</v>
      </c>
      <c r="F78" s="12">
        <f t="shared" si="9"/>
        <v>-9.8246206230767755E-2</v>
      </c>
      <c r="G78" s="13">
        <v>223309.11</v>
      </c>
      <c r="H78" s="13">
        <f t="shared" si="10"/>
        <v>49499.890000000014</v>
      </c>
      <c r="I78" s="14">
        <f t="shared" si="11"/>
        <v>0.22166534092585841</v>
      </c>
      <c r="J78" s="54" t="s">
        <v>166</v>
      </c>
      <c r="K78" s="57" t="s">
        <v>167</v>
      </c>
    </row>
    <row r="79" spans="1:11" ht="30">
      <c r="A79" s="27" t="str">
        <v>Burritt Road</v>
      </c>
      <c r="B79" s="28" t="str">
        <v>NY</v>
      </c>
      <c r="C79" s="10">
        <v>191650</v>
      </c>
      <c r="D79" s="15">
        <v>156033.66</v>
      </c>
      <c r="E79" s="15">
        <f t="shared" si="8"/>
        <v>35616.339999999997</v>
      </c>
      <c r="F79" s="16">
        <f t="shared" si="9"/>
        <v>0.22826062017644139</v>
      </c>
      <c r="G79" s="17">
        <v>175660.86</v>
      </c>
      <c r="H79" s="17">
        <f t="shared" si="10"/>
        <v>15989.140000000014</v>
      </c>
      <c r="I79" s="16">
        <f t="shared" si="11"/>
        <v>9.1022781056633875E-2</v>
      </c>
      <c r="J79" s="59" t="s">
        <v>168</v>
      </c>
      <c r="K79" s="59" t="s">
        <v>169</v>
      </c>
    </row>
    <row r="80" spans="1:11" ht="15.75">
      <c r="A80" s="25" t="str">
        <v>Villa Roma 1</v>
      </c>
      <c r="B80" s="26" t="str">
        <v>NY</v>
      </c>
      <c r="C80" s="21">
        <v>231364</v>
      </c>
      <c r="D80" s="11">
        <v>200.4</v>
      </c>
      <c r="E80" s="11">
        <f t="shared" si="8"/>
        <v>231163.6</v>
      </c>
      <c r="F80" s="12">
        <f t="shared" si="9"/>
        <v>1153.5109780439122</v>
      </c>
      <c r="G80" s="13">
        <v>154208.4</v>
      </c>
      <c r="H80" s="13">
        <f t="shared" si="10"/>
        <v>77155.600000000006</v>
      </c>
      <c r="I80" s="14">
        <f t="shared" si="11"/>
        <v>0.50033331517608648</v>
      </c>
      <c r="J80" s="54" t="s">
        <v>170</v>
      </c>
      <c r="K80" s="57"/>
    </row>
    <row r="81" spans="1:11" ht="33" customHeight="1">
      <c r="A81" s="27" t="str">
        <v>Villa Roma 2</v>
      </c>
      <c r="B81" s="28" t="str">
        <v>NY</v>
      </c>
      <c r="C81" s="56">
        <v>204180</v>
      </c>
      <c r="D81" s="15">
        <v>244833.94</v>
      </c>
      <c r="E81" s="15">
        <f t="shared" si="8"/>
        <v>-40653.94</v>
      </c>
      <c r="F81" s="16">
        <f t="shared" si="9"/>
        <v>-0.16604699495502953</v>
      </c>
      <c r="G81" s="17">
        <v>149312.26</v>
      </c>
      <c r="H81" s="17">
        <f t="shared" si="10"/>
        <v>54867.739999999991</v>
      </c>
      <c r="I81" s="16">
        <f t="shared" si="11"/>
        <v>0.36746975767428602</v>
      </c>
      <c r="J81" s="59" t="s">
        <v>171</v>
      </c>
      <c r="K81" s="60" t="s">
        <v>172</v>
      </c>
    </row>
    <row r="82" spans="1:11" ht="15.75">
      <c r="A82" s="25" t="str">
        <v>Washington 1</v>
      </c>
      <c r="B82" s="26" t="str">
        <v>NY</v>
      </c>
      <c r="C82" s="21">
        <v>209440</v>
      </c>
      <c r="D82" s="11">
        <v>242548.32</v>
      </c>
      <c r="E82" s="11">
        <f t="shared" ref="E82:E137" si="12">IF(AND(ISNUMBER(C82),ISNUMBER(D82)), C82-D82, "")</f>
        <v>-33108.320000000007</v>
      </c>
      <c r="F82" s="12">
        <f t="shared" ref="F82:F137" si="13">IFERROR(E82/D82, "")</f>
        <v>-0.13650195556910064</v>
      </c>
      <c r="G82" s="13">
        <v>173775.12</v>
      </c>
      <c r="H82" s="13">
        <f t="shared" ref="H82:H137" si="14">IF(AND(ISNUMBER(C82),ISNUMBER(G82)), C82-G82, "")</f>
        <v>35664.880000000005</v>
      </c>
      <c r="I82" s="14">
        <f t="shared" ref="I82:I137" si="15">IFERROR(H82/G82, "")</f>
        <v>0.20523582432283749</v>
      </c>
      <c r="J82" s="54"/>
      <c r="K82" s="57"/>
    </row>
    <row r="83" spans="1:11" ht="90">
      <c r="A83" s="27" t="str">
        <v>Washington 3</v>
      </c>
      <c r="B83" s="28" t="str">
        <v>NY</v>
      </c>
      <c r="C83" s="10">
        <v>188205</v>
      </c>
      <c r="D83" s="15">
        <v>225708.02</v>
      </c>
      <c r="E83" s="15">
        <f t="shared" si="12"/>
        <v>-37503.01999999999</v>
      </c>
      <c r="F83" s="16">
        <f t="shared" si="13"/>
        <v>-0.16615723269381386</v>
      </c>
      <c r="G83" s="17">
        <v>211399.74</v>
      </c>
      <c r="H83" s="17">
        <f t="shared" si="14"/>
        <v>-23194.739999999991</v>
      </c>
      <c r="I83" s="16">
        <f t="shared" si="15"/>
        <v>-0.10971981327886209</v>
      </c>
      <c r="J83" s="59" t="s">
        <v>173</v>
      </c>
      <c r="K83" s="60" t="s">
        <v>174</v>
      </c>
    </row>
    <row r="84" spans="1:11" ht="15.75">
      <c r="A84" s="25" t="str">
        <v>Washington 4</v>
      </c>
      <c r="B84" s="26" t="str">
        <v>NY</v>
      </c>
      <c r="C84" s="21">
        <v>255677</v>
      </c>
      <c r="D84" s="11">
        <v>0</v>
      </c>
      <c r="E84" s="11">
        <f t="shared" si="12"/>
        <v>255677</v>
      </c>
      <c r="F84" s="12" t="str">
        <f t="shared" si="13"/>
        <v/>
      </c>
      <c r="G84" s="13">
        <v>212129.44</v>
      </c>
      <c r="H84" s="13">
        <f t="shared" si="14"/>
        <v>43547.56</v>
      </c>
      <c r="I84" s="14">
        <f t="shared" si="15"/>
        <v>0.20528767718427013</v>
      </c>
      <c r="J84" s="54"/>
      <c r="K84" s="57"/>
    </row>
    <row r="85" spans="1:11" ht="15.75">
      <c r="A85" s="27" t="str">
        <v>Big Tree</v>
      </c>
      <c r="B85" s="28" t="str">
        <v>NY</v>
      </c>
      <c r="C85" s="10">
        <v>205830</v>
      </c>
      <c r="D85" s="15">
        <v>0</v>
      </c>
      <c r="E85" s="15">
        <f t="shared" si="12"/>
        <v>205830</v>
      </c>
      <c r="F85" s="16" t="str">
        <f t="shared" si="13"/>
        <v/>
      </c>
      <c r="G85" s="17">
        <v>100951</v>
      </c>
      <c r="H85" s="17">
        <f t="shared" si="14"/>
        <v>104879</v>
      </c>
      <c r="I85" s="16">
        <f t="shared" si="15"/>
        <v>1.038909966221236</v>
      </c>
      <c r="J85" s="59"/>
      <c r="K85" s="59"/>
    </row>
    <row r="86" spans="1:11" ht="45">
      <c r="A86" s="25" t="str">
        <v>Canoga</v>
      </c>
      <c r="B86" s="26" t="str">
        <v>NY</v>
      </c>
      <c r="C86" s="21">
        <v>588710</v>
      </c>
      <c r="D86" s="11">
        <v>0</v>
      </c>
      <c r="E86" s="11">
        <f t="shared" si="12"/>
        <v>588710</v>
      </c>
      <c r="F86" s="12" t="str">
        <f t="shared" si="13"/>
        <v/>
      </c>
      <c r="G86" s="13">
        <v>286181</v>
      </c>
      <c r="H86" s="13">
        <f t="shared" si="14"/>
        <v>302529</v>
      </c>
      <c r="I86" s="14">
        <f t="shared" si="15"/>
        <v>1.0571246868240729</v>
      </c>
      <c r="J86" s="54" t="s">
        <v>175</v>
      </c>
      <c r="K86" s="54" t="s">
        <v>176</v>
      </c>
    </row>
    <row r="87" spans="1:11" ht="30">
      <c r="A87" s="27" t="str">
        <v>County Route 84</v>
      </c>
      <c r="B87" s="28" t="str">
        <v>NY</v>
      </c>
      <c r="C87" s="10">
        <v>643919</v>
      </c>
      <c r="D87" s="15">
        <v>0</v>
      </c>
      <c r="E87" s="15">
        <f t="shared" si="12"/>
        <v>643919</v>
      </c>
      <c r="F87" s="16" t="str">
        <f t="shared" si="13"/>
        <v/>
      </c>
      <c r="G87" s="17">
        <v>352818</v>
      </c>
      <c r="H87" s="17">
        <f t="shared" si="14"/>
        <v>291101</v>
      </c>
      <c r="I87" s="16">
        <f t="shared" si="15"/>
        <v>0.82507411753368587</v>
      </c>
      <c r="J87" s="59" t="s">
        <v>177</v>
      </c>
      <c r="K87" s="59" t="s">
        <v>178</v>
      </c>
    </row>
    <row r="88" spans="1:11" ht="15.75">
      <c r="A88" s="25" t="str">
        <v>Donati</v>
      </c>
      <c r="B88" s="26" t="str">
        <v>NY</v>
      </c>
      <c r="C88" s="21">
        <v>235734</v>
      </c>
      <c r="D88" s="11">
        <v>0</v>
      </c>
      <c r="E88" s="11">
        <f t="shared" si="12"/>
        <v>235734</v>
      </c>
      <c r="F88" s="12" t="str">
        <f t="shared" si="13"/>
        <v/>
      </c>
      <c r="G88" s="13">
        <v>112628</v>
      </c>
      <c r="H88" s="13">
        <f t="shared" si="14"/>
        <v>123106</v>
      </c>
      <c r="I88" s="14">
        <f t="shared" si="15"/>
        <v>1.093031928117342</v>
      </c>
      <c r="J88" s="54"/>
      <c r="K88" s="54"/>
    </row>
    <row r="89" spans="1:11" ht="30">
      <c r="A89" s="27" t="str">
        <v>Henrietta</v>
      </c>
      <c r="B89" s="28" t="str">
        <v>NY</v>
      </c>
      <c r="C89" s="56">
        <v>413041</v>
      </c>
      <c r="D89" s="15">
        <v>0</v>
      </c>
      <c r="E89" s="15">
        <f t="shared" si="12"/>
        <v>413041</v>
      </c>
      <c r="F89" s="16" t="str">
        <f t="shared" si="13"/>
        <v/>
      </c>
      <c r="G89" s="17">
        <v>216878</v>
      </c>
      <c r="H89" s="17">
        <f t="shared" si="14"/>
        <v>196163</v>
      </c>
      <c r="I89" s="16">
        <f t="shared" si="15"/>
        <v>0.90448547109434796</v>
      </c>
      <c r="J89" s="59" t="s">
        <v>179</v>
      </c>
      <c r="K89" s="59" t="s">
        <v>180</v>
      </c>
    </row>
    <row r="90" spans="1:11" ht="30">
      <c r="A90" s="25" t="str">
        <v>NY 70</v>
      </c>
      <c r="B90" s="26" t="str">
        <v>NY</v>
      </c>
      <c r="C90" s="21">
        <v>513047</v>
      </c>
      <c r="D90" s="11">
        <v>0</v>
      </c>
      <c r="E90" s="11">
        <f t="shared" si="12"/>
        <v>513047</v>
      </c>
      <c r="F90" s="12" t="str">
        <f t="shared" si="13"/>
        <v/>
      </c>
      <c r="G90" s="13">
        <v>336952</v>
      </c>
      <c r="H90" s="13">
        <f t="shared" si="14"/>
        <v>176095</v>
      </c>
      <c r="I90" s="14">
        <f t="shared" si="15"/>
        <v>0.52261152923858589</v>
      </c>
      <c r="J90" s="54" t="s">
        <v>181</v>
      </c>
      <c r="K90" s="54" t="s">
        <v>182</v>
      </c>
    </row>
    <row r="91" spans="1:11" ht="30">
      <c r="A91" s="27" t="str">
        <v>Reid</v>
      </c>
      <c r="B91" s="28" t="str">
        <v>NY</v>
      </c>
      <c r="C91" s="10">
        <v>532878.94852957898</v>
      </c>
      <c r="D91" s="15">
        <v>547634.5</v>
      </c>
      <c r="E91" s="15">
        <f t="shared" si="12"/>
        <v>-14755.551470421022</v>
      </c>
      <c r="F91" s="16">
        <f t="shared" si="13"/>
        <v>-2.6944159782521047E-2</v>
      </c>
      <c r="G91" s="17">
        <v>486135</v>
      </c>
      <c r="H91" s="17">
        <f t="shared" si="14"/>
        <v>46743.948529578978</v>
      </c>
      <c r="I91" s="16">
        <f t="shared" si="15"/>
        <v>9.6154254537482345E-2</v>
      </c>
      <c r="J91" s="59" t="s">
        <v>183</v>
      </c>
      <c r="K91" s="59" t="s">
        <v>184</v>
      </c>
    </row>
    <row r="92" spans="1:11" ht="15.75">
      <c r="A92" s="25" t="str">
        <v>Sangolqui</v>
      </c>
      <c r="B92" s="26" t="str">
        <v>NY</v>
      </c>
      <c r="C92" s="21">
        <v>232615</v>
      </c>
      <c r="D92" s="11">
        <v>0</v>
      </c>
      <c r="E92" s="11">
        <f t="shared" si="12"/>
        <v>232615</v>
      </c>
      <c r="F92" s="12" t="str">
        <f t="shared" si="13"/>
        <v/>
      </c>
      <c r="G92" s="13">
        <v>109835</v>
      </c>
      <c r="H92" s="13">
        <f t="shared" si="14"/>
        <v>122780</v>
      </c>
      <c r="I92" s="14">
        <f t="shared" si="15"/>
        <v>1.1178586060909546</v>
      </c>
      <c r="J92" s="54"/>
      <c r="K92" s="57"/>
    </row>
    <row r="93" spans="1:11" ht="30">
      <c r="A93" s="27" t="str">
        <v>State Highway 17B</v>
      </c>
      <c r="B93" s="28" t="str">
        <v>NY</v>
      </c>
      <c r="C93" s="10">
        <v>573455</v>
      </c>
      <c r="D93" s="15">
        <v>0</v>
      </c>
      <c r="E93" s="15">
        <f t="shared" si="12"/>
        <v>573455</v>
      </c>
      <c r="F93" s="16" t="str">
        <f t="shared" si="13"/>
        <v/>
      </c>
      <c r="G93" s="17">
        <v>302852</v>
      </c>
      <c r="H93" s="17">
        <f t="shared" si="14"/>
        <v>270603</v>
      </c>
      <c r="I93" s="16">
        <f t="shared" si="15"/>
        <v>0.89351564460528576</v>
      </c>
      <c r="J93" s="59" t="s">
        <v>185</v>
      </c>
      <c r="K93" s="59" t="s">
        <v>186</v>
      </c>
    </row>
    <row r="94" spans="1:11" ht="15.75">
      <c r="A94" s="25" t="str">
        <v>State Route 14A</v>
      </c>
      <c r="B94" s="26" t="str">
        <v>NY</v>
      </c>
      <c r="C94" s="21">
        <v>556372</v>
      </c>
      <c r="D94" s="11">
        <v>0</v>
      </c>
      <c r="E94" s="11">
        <f t="shared" si="12"/>
        <v>556372</v>
      </c>
      <c r="F94" s="12" t="str">
        <f t="shared" si="13"/>
        <v/>
      </c>
      <c r="G94" s="13">
        <v>325152</v>
      </c>
      <c r="H94" s="13">
        <f t="shared" si="14"/>
        <v>231220</v>
      </c>
      <c r="I94" s="14">
        <f t="shared" si="15"/>
        <v>0.71111357149886822</v>
      </c>
      <c r="J94" s="54" t="s">
        <v>187</v>
      </c>
      <c r="K94" s="57" t="s">
        <v>188</v>
      </c>
    </row>
    <row r="95" spans="1:11" ht="15.75">
      <c r="A95" s="27" t="str">
        <v>West Creek</v>
      </c>
      <c r="B95" s="28" t="str">
        <v>NY</v>
      </c>
      <c r="C95" s="10">
        <v>644863</v>
      </c>
      <c r="D95" s="15">
        <v>0</v>
      </c>
      <c r="E95" s="15">
        <f t="shared" si="12"/>
        <v>644863</v>
      </c>
      <c r="F95" s="16" t="str">
        <f t="shared" si="13"/>
        <v/>
      </c>
      <c r="G95" s="17">
        <v>279159</v>
      </c>
      <c r="H95" s="17">
        <f t="shared" si="14"/>
        <v>365704</v>
      </c>
      <c r="I95" s="16">
        <f t="shared" si="15"/>
        <v>1.3100204542930731</v>
      </c>
      <c r="J95" s="59"/>
      <c r="K95" s="60"/>
    </row>
    <row r="96" spans="1:11" ht="15.75">
      <c r="A96" s="25" t="str">
        <v>Wildflower</v>
      </c>
      <c r="B96" s="26" t="str">
        <v>NY</v>
      </c>
      <c r="C96" s="21">
        <v>591798</v>
      </c>
      <c r="D96" s="11">
        <v>0</v>
      </c>
      <c r="E96" s="11">
        <f t="shared" si="12"/>
        <v>591798</v>
      </c>
      <c r="F96" s="12" t="str">
        <f t="shared" si="13"/>
        <v/>
      </c>
      <c r="G96" s="13">
        <v>380649</v>
      </c>
      <c r="H96" s="13">
        <f t="shared" si="14"/>
        <v>211149</v>
      </c>
      <c r="I96" s="14">
        <f t="shared" si="15"/>
        <v>0.55470788048832387</v>
      </c>
      <c r="J96" s="54"/>
      <c r="K96" s="57"/>
    </row>
    <row r="97" spans="1:12" ht="15.75">
      <c r="A97" s="27" t="str">
        <v>Glen Mary 1</v>
      </c>
      <c r="B97" s="28" t="str">
        <v>NY</v>
      </c>
      <c r="C97" s="10">
        <v>614649</v>
      </c>
      <c r="D97" s="15">
        <v>0</v>
      </c>
      <c r="E97" s="15">
        <f t="shared" si="12"/>
        <v>614649</v>
      </c>
      <c r="F97" s="16" t="str">
        <f t="shared" si="13"/>
        <v/>
      </c>
      <c r="G97" s="17">
        <v>364876</v>
      </c>
      <c r="H97" s="17">
        <f t="shared" si="14"/>
        <v>249773</v>
      </c>
      <c r="I97" s="16">
        <f t="shared" si="15"/>
        <v>0.68454214582488293</v>
      </c>
      <c r="J97" s="59" t="s">
        <v>189</v>
      </c>
      <c r="K97" s="60" t="s">
        <v>190</v>
      </c>
    </row>
    <row r="98" spans="1:12" ht="15.75">
      <c r="A98" s="25" t="str">
        <v>Glen Mary 2</v>
      </c>
      <c r="B98" s="26" t="str">
        <v>NY</v>
      </c>
      <c r="C98" s="21">
        <v>279832</v>
      </c>
      <c r="D98" s="11">
        <v>0</v>
      </c>
      <c r="E98" s="11">
        <f t="shared" si="12"/>
        <v>279832</v>
      </c>
      <c r="F98" s="12" t="str">
        <f t="shared" si="13"/>
        <v/>
      </c>
      <c r="G98" s="13">
        <v>148929</v>
      </c>
      <c r="H98" s="13">
        <f t="shared" si="14"/>
        <v>130903</v>
      </c>
      <c r="I98" s="14">
        <f t="shared" si="15"/>
        <v>0.87896245862122224</v>
      </c>
      <c r="J98" s="54" t="s">
        <v>191</v>
      </c>
      <c r="K98" s="57" t="s">
        <v>192</v>
      </c>
    </row>
    <row r="99" spans="1:12" ht="30">
      <c r="A99" s="27" t="str">
        <v>Telegraph 1</v>
      </c>
      <c r="B99" s="28" t="str">
        <v>NY</v>
      </c>
      <c r="C99" s="10">
        <v>399000</v>
      </c>
      <c r="D99" s="15">
        <v>0</v>
      </c>
      <c r="E99" s="15">
        <f t="shared" si="12"/>
        <v>399000</v>
      </c>
      <c r="F99" s="16" t="str">
        <f t="shared" si="13"/>
        <v/>
      </c>
      <c r="G99" s="17">
        <v>209445.59</v>
      </c>
      <c r="H99" s="17">
        <f t="shared" si="14"/>
        <v>189554.41</v>
      </c>
      <c r="I99" s="16">
        <f t="shared" si="15"/>
        <v>0.90502936824785862</v>
      </c>
      <c r="J99" s="59" t="s">
        <v>193</v>
      </c>
      <c r="K99" s="60" t="s">
        <v>194</v>
      </c>
    </row>
    <row r="100" spans="1:12" ht="15.75">
      <c r="A100" s="25" t="str">
        <v>Telegraph 2</v>
      </c>
      <c r="B100" s="26" t="str">
        <v>NY</v>
      </c>
      <c r="C100" s="21">
        <v>213368</v>
      </c>
      <c r="D100" s="11">
        <v>0</v>
      </c>
      <c r="E100" s="11">
        <f t="shared" si="12"/>
        <v>213368</v>
      </c>
      <c r="F100" s="12" t="str">
        <f t="shared" si="13"/>
        <v/>
      </c>
      <c r="G100" s="13">
        <v>194874.12</v>
      </c>
      <c r="H100" s="13">
        <f t="shared" si="14"/>
        <v>18493.880000000005</v>
      </c>
      <c r="I100" s="14">
        <f t="shared" si="15"/>
        <v>9.4901672936355042E-2</v>
      </c>
      <c r="J100" s="54" t="s">
        <v>195</v>
      </c>
      <c r="K100" s="57" t="s">
        <v>196</v>
      </c>
      <c r="L100" s="31"/>
    </row>
    <row r="101" spans="1:12" ht="15.75">
      <c r="A101" s="27" t="str">
        <v>Cafferty Hill</v>
      </c>
      <c r="B101" s="28" t="str">
        <v>NY</v>
      </c>
      <c r="C101" s="10">
        <v>661076</v>
      </c>
      <c r="D101" s="15">
        <v>0</v>
      </c>
      <c r="E101" s="15">
        <f t="shared" si="12"/>
        <v>661076</v>
      </c>
      <c r="F101" s="16" t="str">
        <f t="shared" si="13"/>
        <v/>
      </c>
      <c r="G101" s="17">
        <v>292175</v>
      </c>
      <c r="H101" s="17">
        <f t="shared" si="14"/>
        <v>368901</v>
      </c>
      <c r="I101" s="16">
        <f t="shared" si="15"/>
        <v>1.262602892102336</v>
      </c>
      <c r="J101" s="59"/>
      <c r="K101" s="60"/>
    </row>
    <row r="102" spans="1:12" ht="30">
      <c r="A102" s="25" t="str">
        <v>Dunkleman</v>
      </c>
      <c r="B102" s="26" t="str">
        <v>NY</v>
      </c>
      <c r="C102" s="21">
        <v>380284</v>
      </c>
      <c r="D102" s="11">
        <v>0</v>
      </c>
      <c r="E102" s="11">
        <f t="shared" si="12"/>
        <v>380284</v>
      </c>
      <c r="F102" s="12" t="str">
        <f t="shared" si="13"/>
        <v/>
      </c>
      <c r="G102" s="13">
        <v>305903</v>
      </c>
      <c r="H102" s="13">
        <f t="shared" si="14"/>
        <v>74381</v>
      </c>
      <c r="I102" s="14">
        <f t="shared" si="15"/>
        <v>0.24315224106988162</v>
      </c>
      <c r="J102" s="54" t="s">
        <v>197</v>
      </c>
      <c r="K102" s="57" t="s">
        <v>198</v>
      </c>
    </row>
    <row r="103" spans="1:12" ht="15.75">
      <c r="A103" s="27" t="str">
        <v>Route 19 1</v>
      </c>
      <c r="B103" s="28" t="str">
        <v>NY</v>
      </c>
      <c r="C103" s="10">
        <v>236607</v>
      </c>
      <c r="D103" s="15">
        <v>0</v>
      </c>
      <c r="E103" s="15">
        <f t="shared" si="12"/>
        <v>236607</v>
      </c>
      <c r="F103" s="16" t="str">
        <f t="shared" si="13"/>
        <v/>
      </c>
      <c r="G103" s="17">
        <v>223309.11</v>
      </c>
      <c r="H103" s="17">
        <f t="shared" si="14"/>
        <v>13297.890000000014</v>
      </c>
      <c r="I103" s="16">
        <f t="shared" si="15"/>
        <v>5.9549249916405179E-2</v>
      </c>
      <c r="J103" s="59" t="s">
        <v>199</v>
      </c>
      <c r="K103" s="60" t="s">
        <v>200</v>
      </c>
    </row>
    <row r="104" spans="1:12" ht="15.75">
      <c r="A104" s="25" t="str">
        <v>Route 19 2</v>
      </c>
      <c r="B104" s="26" t="str">
        <v>NY</v>
      </c>
      <c r="C104" s="21">
        <v>554800</v>
      </c>
      <c r="D104" s="11">
        <v>0</v>
      </c>
      <c r="E104" s="11">
        <f t="shared" si="12"/>
        <v>554800</v>
      </c>
      <c r="F104" s="12" t="str">
        <f t="shared" si="13"/>
        <v/>
      </c>
      <c r="G104" s="13">
        <v>337883</v>
      </c>
      <c r="H104" s="13">
        <f t="shared" si="14"/>
        <v>216917</v>
      </c>
      <c r="I104" s="14">
        <f t="shared" si="15"/>
        <v>0.64198849897745669</v>
      </c>
      <c r="J104" s="54" t="s">
        <v>201</v>
      </c>
      <c r="K104" s="57" t="s">
        <v>202</v>
      </c>
    </row>
    <row r="105" spans="1:12" ht="15.75">
      <c r="A105" s="27" t="str">
        <v>Yellow Mills 1</v>
      </c>
      <c r="B105" s="28" t="str">
        <v>NY</v>
      </c>
      <c r="C105" s="10">
        <v>231858</v>
      </c>
      <c r="D105" s="15">
        <v>0</v>
      </c>
      <c r="E105" s="15">
        <f t="shared" si="12"/>
        <v>231858</v>
      </c>
      <c r="F105" s="16" t="str">
        <f t="shared" si="13"/>
        <v/>
      </c>
      <c r="G105" s="17">
        <v>0</v>
      </c>
      <c r="H105" s="17">
        <f t="shared" si="14"/>
        <v>231858</v>
      </c>
      <c r="I105" s="16" t="str">
        <f t="shared" si="15"/>
        <v/>
      </c>
      <c r="J105" s="59"/>
      <c r="K105" s="59"/>
    </row>
    <row r="106" spans="1:12" ht="61.5" customHeight="1">
      <c r="A106" s="25" t="str">
        <v>Yellow Mills 2</v>
      </c>
      <c r="B106" s="26" t="str">
        <v>NY</v>
      </c>
      <c r="C106" s="21">
        <v>208657</v>
      </c>
      <c r="D106" s="11">
        <v>0</v>
      </c>
      <c r="E106" s="11">
        <f t="shared" si="12"/>
        <v>208657</v>
      </c>
      <c r="F106" s="12" t="str">
        <f t="shared" si="13"/>
        <v/>
      </c>
      <c r="G106" s="13">
        <v>0</v>
      </c>
      <c r="H106" s="13">
        <f t="shared" si="14"/>
        <v>208657</v>
      </c>
      <c r="I106" s="14" t="str">
        <f t="shared" si="15"/>
        <v/>
      </c>
      <c r="J106" s="54" t="s">
        <v>203</v>
      </c>
      <c r="K106" s="57" t="s">
        <v>204</v>
      </c>
    </row>
    <row r="107" spans="1:12" ht="15.75">
      <c r="A107" s="27" t="str">
        <v>Yellow Mills 3</v>
      </c>
      <c r="B107" s="28" t="str">
        <v>NY</v>
      </c>
      <c r="C107" s="10">
        <v>42064</v>
      </c>
      <c r="D107" s="15">
        <v>0</v>
      </c>
      <c r="E107" s="15">
        <f t="shared" si="12"/>
        <v>42064</v>
      </c>
      <c r="F107" s="16" t="str">
        <f t="shared" si="13"/>
        <v/>
      </c>
      <c r="G107" s="17">
        <v>0</v>
      </c>
      <c r="H107" s="17">
        <f t="shared" si="14"/>
        <v>42064</v>
      </c>
      <c r="I107" s="16" t="str">
        <f t="shared" si="15"/>
        <v/>
      </c>
      <c r="J107" s="59" t="s">
        <v>205</v>
      </c>
      <c r="K107" s="60" t="s">
        <v>206</v>
      </c>
    </row>
    <row r="108" spans="1:12" ht="30">
      <c r="A108" s="25" t="str">
        <v>Catskill</v>
      </c>
      <c r="B108" s="26" t="str">
        <v>NY</v>
      </c>
      <c r="C108" s="21">
        <v>454121</v>
      </c>
      <c r="D108" s="11">
        <v>0</v>
      </c>
      <c r="E108" s="11">
        <f t="shared" si="12"/>
        <v>454121</v>
      </c>
      <c r="F108" s="12" t="str">
        <f t="shared" si="13"/>
        <v/>
      </c>
      <c r="G108" s="13">
        <v>0</v>
      </c>
      <c r="H108" s="13">
        <f t="shared" si="14"/>
        <v>454121</v>
      </c>
      <c r="I108" s="14" t="str">
        <f t="shared" si="15"/>
        <v/>
      </c>
      <c r="J108" s="54" t="s">
        <v>207</v>
      </c>
      <c r="K108" s="57" t="s">
        <v>208</v>
      </c>
    </row>
    <row r="109" spans="1:12" ht="30">
      <c r="A109" s="27" t="str">
        <v>Eddy Ridge</v>
      </c>
      <c r="B109" s="28" t="str">
        <v>NY</v>
      </c>
      <c r="C109" s="10">
        <v>276167.8</v>
      </c>
      <c r="D109" s="15">
        <v>0</v>
      </c>
      <c r="E109" s="15">
        <f t="shared" si="12"/>
        <v>276167.8</v>
      </c>
      <c r="F109" s="16" t="str">
        <f t="shared" si="13"/>
        <v/>
      </c>
      <c r="G109" s="17">
        <v>0</v>
      </c>
      <c r="H109" s="17">
        <f t="shared" si="14"/>
        <v>276167.8</v>
      </c>
      <c r="I109" s="16" t="str">
        <f t="shared" si="15"/>
        <v/>
      </c>
      <c r="J109" s="59" t="s">
        <v>209</v>
      </c>
      <c r="K109" s="60" t="s">
        <v>210</v>
      </c>
    </row>
    <row r="110" spans="1:12" ht="78" customHeight="1">
      <c r="A110" s="25" t="str">
        <v>Ridgeway #1</v>
      </c>
      <c r="B110" s="26" t="str">
        <v>NY</v>
      </c>
      <c r="C110" s="21">
        <v>439556.49</v>
      </c>
      <c r="D110" s="11">
        <v>0</v>
      </c>
      <c r="E110" s="11">
        <f t="shared" si="12"/>
        <v>439556.49</v>
      </c>
      <c r="F110" s="12" t="str">
        <f t="shared" si="13"/>
        <v/>
      </c>
      <c r="G110" s="13">
        <v>0</v>
      </c>
      <c r="H110" s="13">
        <f t="shared" si="14"/>
        <v>439556.49</v>
      </c>
      <c r="I110" s="14" t="str">
        <f t="shared" si="15"/>
        <v/>
      </c>
      <c r="J110" s="57" t="s">
        <v>211</v>
      </c>
      <c r="K110" s="57" t="s">
        <v>212</v>
      </c>
    </row>
    <row r="111" spans="1:12" ht="71.650000000000006" customHeight="1">
      <c r="A111" s="27" t="str">
        <v>Rivard 1</v>
      </c>
      <c r="B111" s="28" t="str">
        <v>NY</v>
      </c>
      <c r="C111" s="10">
        <v>356850.90500000003</v>
      </c>
      <c r="D111" s="15">
        <v>440280.9</v>
      </c>
      <c r="E111" s="15">
        <f t="shared" si="12"/>
        <v>-83429.994999999995</v>
      </c>
      <c r="F111" s="16">
        <f t="shared" si="13"/>
        <v>-0.18949265116883332</v>
      </c>
      <c r="G111" s="17">
        <v>418704.8</v>
      </c>
      <c r="H111" s="17">
        <f t="shared" si="14"/>
        <v>-61853.89499999996</v>
      </c>
      <c r="I111" s="16">
        <f t="shared" si="15"/>
        <v>-0.14772673969823122</v>
      </c>
      <c r="J111" s="59" t="s">
        <v>213</v>
      </c>
      <c r="K111" s="59" t="s">
        <v>214</v>
      </c>
    </row>
    <row r="112" spans="1:12" ht="84.75" customHeight="1">
      <c r="A112" s="25" t="str">
        <v>Rivard 2</v>
      </c>
      <c r="B112" s="26" t="str">
        <v>NY</v>
      </c>
      <c r="C112" s="21">
        <v>367054.47894736798</v>
      </c>
      <c r="D112" s="11">
        <v>374976.3</v>
      </c>
      <c r="E112" s="11">
        <f t="shared" si="12"/>
        <v>-7921.8210526320036</v>
      </c>
      <c r="F112" s="12">
        <f t="shared" si="13"/>
        <v>-2.112619131564316E-2</v>
      </c>
      <c r="G112" s="13">
        <v>401534</v>
      </c>
      <c r="H112" s="13">
        <f t="shared" si="14"/>
        <v>-34479.521052632015</v>
      </c>
      <c r="I112" s="14">
        <f t="shared" si="15"/>
        <v>-8.5869493125443966E-2</v>
      </c>
      <c r="J112" s="54" t="s">
        <v>215</v>
      </c>
      <c r="K112" s="57" t="s">
        <v>216</v>
      </c>
    </row>
    <row r="113" spans="1:11" ht="15.75">
      <c r="A113" s="27" t="str">
        <v>Essex</v>
      </c>
      <c r="B113" s="28" t="str">
        <v>DC</v>
      </c>
      <c r="C113" s="10">
        <v>2236</v>
      </c>
      <c r="D113" s="15">
        <v>3005.7849999999999</v>
      </c>
      <c r="E113" s="15">
        <f t="shared" si="12"/>
        <v>-769.78499999999985</v>
      </c>
      <c r="F113" s="16">
        <f t="shared" si="13"/>
        <v>-0.25610115161264024</v>
      </c>
      <c r="G113" s="17">
        <v>2654.511</v>
      </c>
      <c r="H113" s="17">
        <f t="shared" si="14"/>
        <v>-418.51099999999997</v>
      </c>
      <c r="I113" s="16">
        <f t="shared" si="15"/>
        <v>-0.15766029976895932</v>
      </c>
      <c r="J113" s="59"/>
      <c r="K113" s="60"/>
    </row>
    <row r="114" spans="1:11" ht="15.75">
      <c r="A114" s="25" t="str">
        <v>Temple Sinai</v>
      </c>
      <c r="B114" s="26" t="str">
        <v>DC</v>
      </c>
      <c r="C114" s="21">
        <v>6407.6899999999396</v>
      </c>
      <c r="D114" s="11">
        <v>8966.9449999999997</v>
      </c>
      <c r="E114" s="11">
        <f t="shared" si="12"/>
        <v>-2559.2550000000601</v>
      </c>
      <c r="F114" s="12">
        <f t="shared" si="13"/>
        <v>-0.28540991385584058</v>
      </c>
      <c r="G114" s="13">
        <v>6422.192</v>
      </c>
      <c r="H114" s="13">
        <f t="shared" si="14"/>
        <v>-14.502000000060434</v>
      </c>
      <c r="I114" s="14">
        <f t="shared" si="15"/>
        <v>-2.2581075122108515E-3</v>
      </c>
      <c r="J114" s="54" t="s">
        <v>217</v>
      </c>
      <c r="K114" s="57" t="s">
        <v>218</v>
      </c>
    </row>
    <row r="115" spans="1:11" ht="15.75">
      <c r="A115" s="27" t="str">
        <v>Weinberg 1</v>
      </c>
      <c r="B115" s="28" t="str">
        <v>DC</v>
      </c>
      <c r="C115" s="10">
        <v>990</v>
      </c>
      <c r="D115" s="15">
        <v>1021.15</v>
      </c>
      <c r="E115" s="15">
        <f t="shared" si="12"/>
        <v>-31.149999999999977</v>
      </c>
      <c r="F115" s="16">
        <f t="shared" si="13"/>
        <v>-3.050482299368357E-2</v>
      </c>
      <c r="G115" s="17">
        <v>989.09860000000003</v>
      </c>
      <c r="H115" s="17">
        <f t="shared" si="14"/>
        <v>0.90139999999996689</v>
      </c>
      <c r="I115" s="16">
        <f t="shared" si="15"/>
        <v>9.113348254663052E-4</v>
      </c>
      <c r="J115" s="59"/>
      <c r="K115" s="60"/>
    </row>
    <row r="116" spans="1:11" ht="15.75">
      <c r="A116" s="25" t="str">
        <v>Weinberg 2</v>
      </c>
      <c r="B116" s="26" t="str">
        <v>DC</v>
      </c>
      <c r="C116" s="21">
        <v>1015</v>
      </c>
      <c r="D116" s="11">
        <v>957.60879999999997</v>
      </c>
      <c r="E116" s="11">
        <f t="shared" si="12"/>
        <v>57.391200000000026</v>
      </c>
      <c r="F116" s="12">
        <f t="shared" si="13"/>
        <v>5.9931780075538184E-2</v>
      </c>
      <c r="G116" s="13">
        <v>1030.5930000000001</v>
      </c>
      <c r="H116" s="13">
        <f t="shared" si="14"/>
        <v>-15.593000000000075</v>
      </c>
      <c r="I116" s="14">
        <f t="shared" si="15"/>
        <v>-1.5130124113010736E-2</v>
      </c>
      <c r="J116" s="54"/>
      <c r="K116" s="57"/>
    </row>
    <row r="117" spans="1:11" ht="15.75">
      <c r="A117" s="27" t="str">
        <v>Weinberg 3</v>
      </c>
      <c r="B117" s="28" t="str">
        <v>DC</v>
      </c>
      <c r="C117" s="10">
        <v>1162</v>
      </c>
      <c r="D117" s="15">
        <v>999.51030000000003</v>
      </c>
      <c r="E117" s="15">
        <f t="shared" si="12"/>
        <v>162.48969999999997</v>
      </c>
      <c r="F117" s="16">
        <f t="shared" si="13"/>
        <v>0.16256931019120061</v>
      </c>
      <c r="G117" s="17">
        <v>1068</v>
      </c>
      <c r="H117" s="17">
        <f t="shared" si="14"/>
        <v>94</v>
      </c>
      <c r="I117" s="16">
        <f t="shared" si="15"/>
        <v>8.8014981273408247E-2</v>
      </c>
      <c r="J117" s="59"/>
      <c r="K117" s="60"/>
    </row>
    <row r="118" spans="1:11" ht="15.75">
      <c r="A118" s="25" t="str">
        <v>Clayton Hall</v>
      </c>
      <c r="B118" s="26" t="str">
        <v>DE</v>
      </c>
      <c r="C118" s="21">
        <v>8519</v>
      </c>
      <c r="D118" s="11">
        <v>13058.816000000001</v>
      </c>
      <c r="E118" s="11">
        <f t="shared" si="12"/>
        <v>-4539.8160000000007</v>
      </c>
      <c r="F118" s="12">
        <f t="shared" si="13"/>
        <v>-0.34764376801082125</v>
      </c>
      <c r="G118" s="13">
        <v>2769.31</v>
      </c>
      <c r="H118" s="13">
        <f t="shared" si="14"/>
        <v>5749.6900000000005</v>
      </c>
      <c r="I118" s="14">
        <f t="shared" si="15"/>
        <v>2.0762175415536723</v>
      </c>
      <c r="J118" s="54" t="s">
        <v>219</v>
      </c>
      <c r="K118" s="57" t="s">
        <v>220</v>
      </c>
    </row>
    <row r="119" spans="1:11" ht="15.75">
      <c r="A119" s="27" t="str">
        <v>Field House</v>
      </c>
      <c r="B119" s="28" t="str">
        <v>DE</v>
      </c>
      <c r="C119" s="10">
        <v>41381</v>
      </c>
      <c r="D119" s="15">
        <v>0</v>
      </c>
      <c r="E119" s="15">
        <f t="shared" si="12"/>
        <v>41381</v>
      </c>
      <c r="F119" s="16" t="str">
        <f t="shared" si="13"/>
        <v/>
      </c>
      <c r="G119" s="17">
        <v>34707.084000000003</v>
      </c>
      <c r="H119" s="17">
        <f t="shared" si="14"/>
        <v>6673.9159999999974</v>
      </c>
      <c r="I119" s="16">
        <f t="shared" si="15"/>
        <v>0.19229261668885803</v>
      </c>
      <c r="J119" s="59"/>
      <c r="K119" s="60"/>
    </row>
    <row r="120" spans="1:11" ht="15.75">
      <c r="A120" s="25" t="str">
        <v>Wyoming Road</v>
      </c>
      <c r="B120" s="26" t="str">
        <v>DE</v>
      </c>
      <c r="C120" s="21">
        <v>21132</v>
      </c>
      <c r="D120" s="11">
        <v>20852.716</v>
      </c>
      <c r="E120" s="11">
        <f t="shared" si="12"/>
        <v>279.28399999999965</v>
      </c>
      <c r="F120" s="12">
        <f t="shared" si="13"/>
        <v>1.3393171421890542E-2</v>
      </c>
      <c r="G120" s="13">
        <v>23225.645</v>
      </c>
      <c r="H120" s="13">
        <f t="shared" si="14"/>
        <v>-2093.6450000000004</v>
      </c>
      <c r="I120" s="14">
        <f t="shared" si="15"/>
        <v>-9.014367523485356E-2</v>
      </c>
      <c r="J120" s="54"/>
      <c r="K120" s="57"/>
    </row>
    <row r="121" spans="1:11" ht="15.75">
      <c r="A121" s="27" t="str">
        <v>Leoku</v>
      </c>
      <c r="B121" s="28" t="str">
        <v>HI</v>
      </c>
      <c r="C121" s="10">
        <v>10185</v>
      </c>
      <c r="D121" s="15">
        <v>9559.4519999999993</v>
      </c>
      <c r="E121" s="15">
        <f t="shared" si="12"/>
        <v>625.54800000000068</v>
      </c>
      <c r="F121" s="16">
        <f t="shared" si="13"/>
        <v>6.5437642241417265E-2</v>
      </c>
      <c r="G121" s="17">
        <v>10774.923000000001</v>
      </c>
      <c r="H121" s="17">
        <f t="shared" si="14"/>
        <v>-589.92300000000068</v>
      </c>
      <c r="I121" s="16">
        <f t="shared" si="15"/>
        <v>-5.4749625588971784E-2</v>
      </c>
      <c r="J121" s="59"/>
      <c r="K121" s="60"/>
    </row>
    <row r="122" spans="1:11" ht="15.75">
      <c r="A122" s="25" t="str">
        <v>Waipahu</v>
      </c>
      <c r="B122" s="26" t="str">
        <v>HI</v>
      </c>
      <c r="C122" s="21">
        <v>11085</v>
      </c>
      <c r="D122" s="11">
        <v>9130.9279999999999</v>
      </c>
      <c r="E122" s="11">
        <f t="shared" si="12"/>
        <v>1954.0720000000001</v>
      </c>
      <c r="F122" s="12">
        <f t="shared" si="13"/>
        <v>0.21400584913165455</v>
      </c>
      <c r="G122" s="13">
        <v>10774.923000000001</v>
      </c>
      <c r="H122" s="13">
        <f t="shared" si="14"/>
        <v>310.07699999999932</v>
      </c>
      <c r="I122" s="14">
        <f t="shared" si="15"/>
        <v>2.8777653445876069E-2</v>
      </c>
      <c r="J122" s="54"/>
      <c r="K122" s="57"/>
    </row>
    <row r="123" spans="1:11" ht="15.75">
      <c r="A123" s="27" t="str">
        <v>Bird in Hand</v>
      </c>
      <c r="B123" s="28" t="str">
        <v>MD</v>
      </c>
      <c r="C123" s="10">
        <v>137720</v>
      </c>
      <c r="D123" s="15">
        <v>139927.70000000001</v>
      </c>
      <c r="E123" s="15">
        <f t="shared" si="12"/>
        <v>-2207.7000000000116</v>
      </c>
      <c r="F123" s="16">
        <f t="shared" si="13"/>
        <v>-1.5777433631797073E-2</v>
      </c>
      <c r="G123" s="17">
        <v>134561.5</v>
      </c>
      <c r="H123" s="17">
        <f t="shared" si="14"/>
        <v>3158.5</v>
      </c>
      <c r="I123" s="16">
        <f t="shared" si="15"/>
        <v>2.3472538579014057E-2</v>
      </c>
      <c r="J123" s="59"/>
      <c r="K123" s="60"/>
    </row>
    <row r="124" spans="1:11" ht="15.75">
      <c r="A124" s="25" t="str">
        <v>Shortal</v>
      </c>
      <c r="B124" s="26" t="str">
        <v>MD</v>
      </c>
      <c r="C124" s="21">
        <v>145554</v>
      </c>
      <c r="D124" s="11">
        <v>100718.3</v>
      </c>
      <c r="E124" s="11">
        <f t="shared" si="12"/>
        <v>44835.7</v>
      </c>
      <c r="F124" s="12">
        <f t="shared" si="13"/>
        <v>0.44515941988695196</v>
      </c>
      <c r="G124" s="13">
        <v>7485.1170000000002</v>
      </c>
      <c r="H124" s="13">
        <f t="shared" si="14"/>
        <v>138068.883</v>
      </c>
      <c r="I124" s="14">
        <f t="shared" si="15"/>
        <v>18.445788222148032</v>
      </c>
      <c r="J124" s="54"/>
      <c r="K124" s="57"/>
    </row>
    <row r="125" spans="1:11" ht="15.75">
      <c r="A125" s="27" t="str">
        <v>Aguadilla</v>
      </c>
      <c r="B125" s="28" t="str">
        <v>PR</v>
      </c>
      <c r="C125" s="10">
        <v>15313</v>
      </c>
      <c r="D125" s="15">
        <v>14685.7</v>
      </c>
      <c r="E125" s="15">
        <f t="shared" si="12"/>
        <v>627.29999999999927</v>
      </c>
      <c r="F125" s="16">
        <f t="shared" si="13"/>
        <v>4.2715022096324946E-2</v>
      </c>
      <c r="G125" s="17">
        <v>18246</v>
      </c>
      <c r="H125" s="17">
        <f t="shared" si="14"/>
        <v>-2933</v>
      </c>
      <c r="I125" s="16">
        <f t="shared" si="15"/>
        <v>-0.16074756110928423</v>
      </c>
      <c r="J125" s="59" t="s">
        <v>221</v>
      </c>
      <c r="K125" s="60" t="s">
        <v>222</v>
      </c>
    </row>
    <row r="126" spans="1:11" ht="45">
      <c r="A126" s="25" t="str">
        <v>Bayamon</v>
      </c>
      <c r="B126" s="26" t="str">
        <v>PR</v>
      </c>
      <c r="C126" s="21">
        <v>46973</v>
      </c>
      <c r="D126" s="11">
        <v>57930.46</v>
      </c>
      <c r="E126" s="11">
        <f t="shared" si="12"/>
        <v>-10957.46</v>
      </c>
      <c r="F126" s="12">
        <f t="shared" si="13"/>
        <v>-0.18914850667507213</v>
      </c>
      <c r="G126" s="13">
        <v>0</v>
      </c>
      <c r="H126" s="13">
        <f t="shared" si="14"/>
        <v>46973</v>
      </c>
      <c r="I126" s="14" t="str">
        <f t="shared" si="15"/>
        <v/>
      </c>
      <c r="J126" s="54" t="s">
        <v>223</v>
      </c>
      <c r="K126" s="57" t="s">
        <v>224</v>
      </c>
    </row>
    <row r="127" spans="1:11" ht="45">
      <c r="A127" s="27" t="str">
        <v>St Francis</v>
      </c>
      <c r="B127" s="28" t="str">
        <v>PR</v>
      </c>
      <c r="C127" s="10">
        <v>13954</v>
      </c>
      <c r="D127" s="15">
        <v>34576.160000000003</v>
      </c>
      <c r="E127" s="15">
        <f t="shared" si="12"/>
        <v>-20622.160000000003</v>
      </c>
      <c r="F127" s="16">
        <f t="shared" si="13"/>
        <v>-0.59642713360882182</v>
      </c>
      <c r="G127" s="17">
        <v>24282</v>
      </c>
      <c r="H127" s="17">
        <f t="shared" si="14"/>
        <v>-10328</v>
      </c>
      <c r="I127" s="16">
        <f t="shared" si="15"/>
        <v>-0.42533563956840459</v>
      </c>
      <c r="J127" s="59" t="s">
        <v>225</v>
      </c>
      <c r="K127" s="65" t="s">
        <v>226</v>
      </c>
    </row>
    <row r="128" spans="1:11" ht="15.75">
      <c r="A128" s="25" t="str">
        <v>Seaport</v>
      </c>
      <c r="B128" s="26" t="str">
        <v>MA</v>
      </c>
      <c r="C128" s="21">
        <v>41241</v>
      </c>
      <c r="D128" s="11">
        <v>35120.870000000003</v>
      </c>
      <c r="E128" s="11">
        <f t="shared" si="12"/>
        <v>6120.1299999999974</v>
      </c>
      <c r="F128" s="12">
        <f t="shared" si="13"/>
        <v>0.1742590659058274</v>
      </c>
      <c r="G128" s="13">
        <v>35874.839999999997</v>
      </c>
      <c r="H128" s="13">
        <f t="shared" si="14"/>
        <v>5366.1600000000035</v>
      </c>
      <c r="I128" s="14">
        <f t="shared" si="15"/>
        <v>0.14958003993885419</v>
      </c>
      <c r="J128" s="54" t="s">
        <v>227</v>
      </c>
      <c r="K128" s="57" t="s">
        <v>228</v>
      </c>
    </row>
    <row r="129" spans="1:11" ht="15.75">
      <c r="A129" s="27" t="str">
        <v>Sprague St</v>
      </c>
      <c r="B129" s="28" t="str">
        <v>MA</v>
      </c>
      <c r="C129" s="10">
        <v>94270.5</v>
      </c>
      <c r="D129" s="15">
        <v>92569.847999999998</v>
      </c>
      <c r="E129" s="15">
        <f t="shared" si="12"/>
        <v>1700.6520000000019</v>
      </c>
      <c r="F129" s="16">
        <f t="shared" si="13"/>
        <v>1.8371554418021751E-2</v>
      </c>
      <c r="G129" s="17">
        <v>73764.990999999995</v>
      </c>
      <c r="H129" s="17">
        <f t="shared" si="14"/>
        <v>20505.509000000005</v>
      </c>
      <c r="I129" s="16">
        <f t="shared" si="15"/>
        <v>0.27798429474491504</v>
      </c>
      <c r="J129" s="59" t="s">
        <v>229</v>
      </c>
      <c r="K129" s="60" t="s">
        <v>230</v>
      </c>
    </row>
    <row r="130" spans="1:11" ht="15.75">
      <c r="A130" s="25" t="str">
        <v>Summer St</v>
      </c>
      <c r="B130" s="26" t="str">
        <v>MA</v>
      </c>
      <c r="C130" s="21">
        <v>199486</v>
      </c>
      <c r="D130" s="11">
        <v>198743.2</v>
      </c>
      <c r="E130" s="11">
        <f t="shared" si="12"/>
        <v>742.79999999998836</v>
      </c>
      <c r="F130" s="12">
        <f t="shared" si="13"/>
        <v>3.7374863643132861E-3</v>
      </c>
      <c r="G130" s="13">
        <v>171694.9</v>
      </c>
      <c r="H130" s="13">
        <f t="shared" si="14"/>
        <v>27791.100000000006</v>
      </c>
      <c r="I130" s="14">
        <f t="shared" si="15"/>
        <v>0.16186328190295696</v>
      </c>
      <c r="J130" s="54"/>
      <c r="K130" s="57" t="s">
        <v>231</v>
      </c>
    </row>
    <row r="131" spans="1:11" ht="15.75">
      <c r="A131" s="27" t="str">
        <v>Brock St Vocational</v>
      </c>
      <c r="B131" s="28" t="str">
        <v>NH</v>
      </c>
      <c r="C131" s="10">
        <v>7683.0969245387796</v>
      </c>
      <c r="D131" s="15">
        <v>9051.2430000000004</v>
      </c>
      <c r="E131" s="15">
        <f t="shared" si="12"/>
        <v>-1368.1460754612208</v>
      </c>
      <c r="F131" s="16">
        <f t="shared" si="13"/>
        <v>-0.15115560099990916</v>
      </c>
      <c r="G131" s="17">
        <v>5578.1639999999998</v>
      </c>
      <c r="H131" s="17">
        <f t="shared" si="14"/>
        <v>2104.9329245387798</v>
      </c>
      <c r="I131" s="16">
        <f t="shared" si="15"/>
        <v>0.37735228375120916</v>
      </c>
      <c r="J131" s="59"/>
      <c r="K131" s="60"/>
    </row>
    <row r="132" spans="1:11" ht="15.75">
      <c r="A132" s="25" t="str">
        <v>McClelland ES</v>
      </c>
      <c r="B132" s="26" t="str">
        <v>NH</v>
      </c>
      <c r="C132" s="21">
        <v>6756.0919999999996</v>
      </c>
      <c r="D132" s="11">
        <v>9837.4619999999995</v>
      </c>
      <c r="E132" s="11">
        <f t="shared" si="12"/>
        <v>-3081.37</v>
      </c>
      <c r="F132" s="12">
        <f t="shared" si="13"/>
        <v>-0.31322814766654244</v>
      </c>
      <c r="G132" s="13">
        <v>4705.1850000000004</v>
      </c>
      <c r="H132" s="13">
        <f t="shared" si="14"/>
        <v>2050.9069999999992</v>
      </c>
      <c r="I132" s="14">
        <f t="shared" si="15"/>
        <v>0.43588232981274894</v>
      </c>
      <c r="J132" s="54"/>
      <c r="K132" s="57"/>
    </row>
    <row r="133" spans="1:11" ht="15.75">
      <c r="A133" s="27" t="str">
        <v>Portland St</v>
      </c>
      <c r="B133" s="28" t="str">
        <v>NH</v>
      </c>
      <c r="C133" s="10">
        <v>4841.2209999999995</v>
      </c>
      <c r="D133" s="15">
        <v>5080.41</v>
      </c>
      <c r="E133" s="15">
        <f t="shared" si="12"/>
        <v>-239.18900000000031</v>
      </c>
      <c r="F133" s="16">
        <f t="shared" si="13"/>
        <v>-4.7080649002738027E-2</v>
      </c>
      <c r="G133" s="17">
        <v>5616.41</v>
      </c>
      <c r="H133" s="17">
        <f t="shared" si="14"/>
        <v>-775.18900000000031</v>
      </c>
      <c r="I133" s="16">
        <f t="shared" si="15"/>
        <v>-0.1380221529411137</v>
      </c>
      <c r="J133" s="59"/>
      <c r="K133" s="60"/>
    </row>
    <row r="134" spans="1:11" ht="15.75">
      <c r="A134" s="25" t="str">
        <v>Portsmouth HS</v>
      </c>
      <c r="B134" s="26" t="str">
        <v>NH</v>
      </c>
      <c r="C134" s="21">
        <v>23245</v>
      </c>
      <c r="D134" s="11">
        <v>23386.526999999998</v>
      </c>
      <c r="E134" s="11">
        <f t="shared" si="12"/>
        <v>-141.52699999999822</v>
      </c>
      <c r="F134" s="12">
        <f t="shared" si="13"/>
        <v>-6.0516467451536618E-3</v>
      </c>
      <c r="G134" s="13">
        <v>10031.109</v>
      </c>
      <c r="H134" s="13">
        <f t="shared" si="14"/>
        <v>13213.891</v>
      </c>
      <c r="I134" s="14">
        <f t="shared" si="15"/>
        <v>1.3172911389956983</v>
      </c>
      <c r="J134" s="54"/>
      <c r="K134" s="57"/>
    </row>
    <row r="135" spans="1:11" ht="15.75">
      <c r="A135" s="27" t="str">
        <v>Portsmouth WTP</v>
      </c>
      <c r="B135" s="28" t="str">
        <v>NH</v>
      </c>
      <c r="C135" s="10">
        <v>24756.5</v>
      </c>
      <c r="D135" s="15">
        <v>28681.8</v>
      </c>
      <c r="E135" s="15">
        <f t="shared" si="12"/>
        <v>-3925.2999999999993</v>
      </c>
      <c r="F135" s="16">
        <f t="shared" si="13"/>
        <v>-0.1368568220962422</v>
      </c>
      <c r="G135" s="17">
        <v>15500.15</v>
      </c>
      <c r="H135" s="17">
        <f t="shared" si="14"/>
        <v>9256.35</v>
      </c>
      <c r="I135" s="16">
        <f t="shared" si="15"/>
        <v>0.59717809182491788</v>
      </c>
      <c r="J135" s="59" t="s">
        <v>232</v>
      </c>
      <c r="K135" s="60" t="s">
        <v>233</v>
      </c>
    </row>
    <row r="136" spans="1:11" ht="15.75">
      <c r="A136" s="25" t="str">
        <v>Rochester St</v>
      </c>
      <c r="B136" s="26" t="str">
        <v>NH</v>
      </c>
      <c r="C136" s="21">
        <v>20943.878000000001</v>
      </c>
      <c r="D136" s="11">
        <v>28162.888999999999</v>
      </c>
      <c r="E136" s="11">
        <f t="shared" si="12"/>
        <v>-7219.0109999999986</v>
      </c>
      <c r="F136" s="12">
        <f t="shared" si="13"/>
        <v>-0.25633062715973487</v>
      </c>
      <c r="G136" s="13">
        <v>14876.294</v>
      </c>
      <c r="H136" s="13">
        <f t="shared" si="14"/>
        <v>6067.5840000000007</v>
      </c>
      <c r="I136" s="14">
        <f t="shared" si="15"/>
        <v>0.40786932551884231</v>
      </c>
      <c r="J136" s="54"/>
      <c r="K136" s="57"/>
    </row>
    <row r="137" spans="1:11" ht="15.75">
      <c r="A137" s="27" t="str">
        <v>Spaulding HS</v>
      </c>
      <c r="B137" s="28" t="str">
        <v>NH</v>
      </c>
      <c r="C137" s="10">
        <v>9600.8161760828207</v>
      </c>
      <c r="D137" s="15">
        <v>11954.22</v>
      </c>
      <c r="E137" s="15">
        <f t="shared" si="12"/>
        <v>-2353.4038239171787</v>
      </c>
      <c r="F137" s="16">
        <f t="shared" si="13"/>
        <v>-0.19686803688715607</v>
      </c>
      <c r="G137" s="17">
        <v>6332.8559999999998</v>
      </c>
      <c r="H137" s="17">
        <f t="shared" si="14"/>
        <v>3267.9601760828209</v>
      </c>
      <c r="I137" s="16">
        <f t="shared" si="15"/>
        <v>0.51603260457569555</v>
      </c>
      <c r="J137" s="59"/>
      <c r="K137" s="40"/>
    </row>
    <row r="138" spans="1:11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K138" s="18"/>
    </row>
    <row r="139" spans="1:11">
      <c r="A139" s="18"/>
      <c r="B139" s="30"/>
      <c r="C139" s="18"/>
      <c r="D139" s="18"/>
      <c r="E139" s="18"/>
      <c r="F139" s="19"/>
      <c r="G139" s="18"/>
      <c r="H139" s="18"/>
      <c r="I139" s="19"/>
      <c r="K139" s="18"/>
    </row>
    <row r="140" spans="1:11">
      <c r="A140" s="18"/>
      <c r="B140" s="30"/>
      <c r="C140" s="18"/>
      <c r="D140" s="18"/>
      <c r="E140" s="18"/>
      <c r="F140" s="19"/>
      <c r="G140" s="18"/>
      <c r="H140" s="18"/>
      <c r="I140" s="19"/>
      <c r="K140" s="18"/>
    </row>
    <row r="141" spans="1:11">
      <c r="A141" s="18"/>
      <c r="B141" s="30"/>
      <c r="C141" s="18"/>
      <c r="D141" s="18"/>
      <c r="E141" s="18"/>
      <c r="F141" s="19"/>
      <c r="G141" s="18"/>
      <c r="H141" s="18"/>
      <c r="I141" s="19"/>
      <c r="K141" s="18"/>
    </row>
    <row r="142" spans="1:11">
      <c r="A142" s="18"/>
      <c r="B142" s="30"/>
      <c r="C142" s="18"/>
      <c r="D142" s="18"/>
      <c r="E142" s="18"/>
      <c r="F142" s="19"/>
      <c r="G142" s="18"/>
      <c r="H142" s="18"/>
      <c r="I142" s="19"/>
      <c r="K142" s="18"/>
    </row>
    <row r="143" spans="1:11">
      <c r="A143" s="18"/>
      <c r="B143" s="30"/>
      <c r="C143" s="18"/>
      <c r="D143" s="18"/>
      <c r="E143" s="18"/>
      <c r="F143" s="19"/>
      <c r="G143" s="18"/>
      <c r="H143" s="18"/>
      <c r="I143" s="19"/>
      <c r="K143" s="18"/>
    </row>
    <row r="144" spans="1:11">
      <c r="A144" s="18"/>
      <c r="B144" s="30"/>
      <c r="C144" s="18"/>
      <c r="D144" s="18"/>
      <c r="E144" s="18"/>
      <c r="F144" s="19"/>
      <c r="G144" s="18"/>
      <c r="H144" s="18"/>
      <c r="I144" s="19"/>
      <c r="K144" s="18"/>
    </row>
    <row r="145" spans="1:11">
      <c r="A145" s="18"/>
      <c r="B145" s="30"/>
      <c r="C145" s="18"/>
      <c r="D145" s="18"/>
      <c r="E145" s="18"/>
      <c r="F145" s="19"/>
      <c r="G145" s="18"/>
      <c r="H145" s="18"/>
      <c r="I145" s="19"/>
      <c r="K145" s="18"/>
    </row>
    <row r="146" spans="1:11">
      <c r="A146" s="18"/>
      <c r="B146" s="30"/>
      <c r="C146" s="18"/>
      <c r="D146" s="18"/>
      <c r="E146" s="18"/>
      <c r="F146" s="19"/>
      <c r="G146" s="18"/>
      <c r="H146" s="18"/>
      <c r="I146" s="19"/>
      <c r="K146" s="18"/>
    </row>
    <row r="147" spans="1:11">
      <c r="A147" s="18"/>
      <c r="B147" s="30"/>
      <c r="C147" s="18"/>
      <c r="D147" s="18"/>
      <c r="E147" s="18"/>
      <c r="F147" s="19"/>
      <c r="G147" s="18"/>
      <c r="H147" s="18"/>
      <c r="I147" s="19"/>
      <c r="K147" s="18"/>
    </row>
    <row r="148" spans="1:11">
      <c r="A148" s="18"/>
      <c r="B148" s="30"/>
      <c r="C148" s="18"/>
      <c r="D148" s="18"/>
      <c r="E148" s="18"/>
      <c r="F148" s="19"/>
      <c r="G148" s="18"/>
      <c r="H148" s="18"/>
      <c r="I148" s="19"/>
      <c r="K148" s="18"/>
    </row>
    <row r="149" spans="1:11">
      <c r="A149" s="18"/>
      <c r="B149" s="30"/>
      <c r="C149" s="18"/>
      <c r="D149" s="18"/>
      <c r="E149" s="18"/>
      <c r="F149" s="19"/>
      <c r="G149" s="18"/>
      <c r="H149" s="18"/>
      <c r="I149" s="19"/>
      <c r="K149" s="18"/>
    </row>
    <row r="150" spans="1:11">
      <c r="A150" s="18"/>
      <c r="B150" s="30"/>
      <c r="C150" s="18"/>
      <c r="D150" s="18"/>
      <c r="E150" s="18"/>
      <c r="F150" s="19"/>
      <c r="G150" s="18"/>
      <c r="H150" s="18"/>
      <c r="I150" s="19"/>
      <c r="K150" s="18"/>
    </row>
    <row r="151" spans="1:11">
      <c r="A151" s="18"/>
      <c r="B151" s="30"/>
      <c r="C151" s="18"/>
      <c r="D151" s="18"/>
      <c r="E151" s="18"/>
      <c r="F151" s="19"/>
      <c r="G151" s="18"/>
      <c r="H151" s="18"/>
      <c r="I151" s="19"/>
      <c r="K151" s="18"/>
    </row>
    <row r="152" spans="1:11">
      <c r="A152" s="18"/>
      <c r="B152" s="30"/>
      <c r="C152" s="18"/>
      <c r="D152" s="18"/>
      <c r="E152" s="18"/>
      <c r="F152" s="19"/>
      <c r="G152" s="18"/>
      <c r="H152" s="18"/>
      <c r="I152" s="19"/>
      <c r="K152" s="18"/>
    </row>
    <row r="153" spans="1:11">
      <c r="A153" s="18"/>
      <c r="B153" s="30"/>
      <c r="C153" s="18"/>
      <c r="D153" s="18"/>
      <c r="E153" s="18"/>
      <c r="F153" s="19"/>
      <c r="G153" s="18"/>
      <c r="H153" s="18"/>
      <c r="I153" s="19"/>
      <c r="K153" s="18"/>
    </row>
    <row r="154" spans="1:11">
      <c r="A154" s="18"/>
      <c r="B154" s="30"/>
      <c r="C154" s="18"/>
      <c r="D154" s="18"/>
      <c r="E154" s="18"/>
      <c r="F154" s="19"/>
      <c r="G154" s="18"/>
      <c r="H154" s="18"/>
      <c r="I154" s="19"/>
      <c r="K154" s="18"/>
    </row>
    <row r="155" spans="1:11">
      <c r="A155" s="18"/>
      <c r="B155" s="30"/>
      <c r="C155" s="18"/>
      <c r="D155" s="18"/>
      <c r="E155" s="18"/>
      <c r="F155" s="19"/>
      <c r="G155" s="18"/>
      <c r="H155" s="18"/>
      <c r="I155" s="19"/>
      <c r="K155" s="18"/>
    </row>
    <row r="156" spans="1:11">
      <c r="A156" s="18"/>
      <c r="B156" s="30"/>
      <c r="C156" s="18"/>
      <c r="D156" s="18"/>
      <c r="E156" s="18"/>
      <c r="F156" s="19"/>
      <c r="G156" s="18"/>
      <c r="H156" s="18"/>
      <c r="I156" s="19"/>
      <c r="K156" s="18"/>
    </row>
    <row r="157" spans="1:11">
      <c r="A157" s="18"/>
      <c r="B157" s="30"/>
      <c r="C157" s="18"/>
      <c r="D157" s="18"/>
      <c r="E157" s="18"/>
      <c r="F157" s="19"/>
      <c r="G157" s="18"/>
      <c r="H157" s="18"/>
      <c r="I157" s="19"/>
      <c r="K157" s="18"/>
    </row>
    <row r="158" spans="1:11">
      <c r="A158" s="18"/>
      <c r="B158" s="30"/>
      <c r="C158" s="18"/>
      <c r="D158" s="18"/>
      <c r="E158" s="18"/>
      <c r="F158" s="19"/>
      <c r="G158" s="18"/>
      <c r="H158" s="18"/>
      <c r="I158" s="19"/>
      <c r="K158" s="18"/>
    </row>
    <row r="159" spans="1:11">
      <c r="A159" s="18"/>
      <c r="B159" s="30"/>
      <c r="C159" s="18"/>
      <c r="D159" s="18"/>
      <c r="E159" s="18"/>
      <c r="F159" s="19"/>
      <c r="G159" s="18"/>
      <c r="H159" s="18"/>
      <c r="I159" s="19"/>
      <c r="K159" s="18"/>
    </row>
    <row r="160" spans="1:11">
      <c r="A160" s="18"/>
      <c r="B160" s="30"/>
      <c r="C160" s="18"/>
      <c r="D160" s="18"/>
      <c r="E160" s="18"/>
      <c r="F160" s="19"/>
      <c r="G160" s="18"/>
      <c r="H160" s="18"/>
      <c r="I160" s="19"/>
      <c r="K160" s="18"/>
    </row>
    <row r="161" spans="1:11">
      <c r="A161" s="18"/>
      <c r="B161" s="30"/>
      <c r="C161" s="18"/>
      <c r="D161" s="18"/>
      <c r="E161" s="18"/>
      <c r="F161" s="19"/>
      <c r="G161" s="18"/>
      <c r="H161" s="18"/>
      <c r="I161" s="19"/>
      <c r="K161" s="18"/>
    </row>
    <row r="162" spans="1:11">
      <c r="A162" s="18"/>
      <c r="B162" s="30"/>
      <c r="C162" s="18"/>
      <c r="D162" s="18"/>
      <c r="E162" s="18"/>
      <c r="F162" s="19"/>
      <c r="G162" s="18"/>
      <c r="H162" s="18"/>
      <c r="I162" s="19"/>
      <c r="K162" s="18"/>
    </row>
    <row r="163" spans="1:11">
      <c r="A163" s="18"/>
      <c r="B163" s="30"/>
      <c r="C163" s="18"/>
      <c r="D163" s="18"/>
      <c r="E163" s="18"/>
      <c r="F163" s="19"/>
      <c r="G163" s="18"/>
      <c r="H163" s="18"/>
      <c r="I163" s="19"/>
      <c r="K163" s="18"/>
    </row>
    <row r="164" spans="1:11">
      <c r="A164" s="18"/>
      <c r="B164" s="30"/>
      <c r="C164" s="18"/>
      <c r="D164" s="18"/>
      <c r="E164" s="18"/>
      <c r="F164" s="19"/>
      <c r="G164" s="18"/>
      <c r="H164" s="18"/>
      <c r="I164" s="19"/>
      <c r="K164" s="18"/>
    </row>
    <row r="165" spans="1:11">
      <c r="A165" s="18"/>
      <c r="B165" s="30"/>
      <c r="C165" s="18"/>
      <c r="D165" s="18"/>
      <c r="E165" s="18"/>
      <c r="F165" s="19"/>
      <c r="G165" s="18"/>
      <c r="H165" s="18"/>
      <c r="I165" s="19"/>
      <c r="K165" s="18"/>
    </row>
    <row r="166" spans="1:11">
      <c r="A166" s="18"/>
      <c r="B166" s="30"/>
      <c r="C166" s="18"/>
      <c r="D166" s="18"/>
      <c r="E166" s="18"/>
      <c r="F166" s="19"/>
      <c r="G166" s="18"/>
      <c r="H166" s="18"/>
      <c r="I166" s="19"/>
      <c r="K166" s="18"/>
    </row>
    <row r="167" spans="1:11">
      <c r="A167" s="18"/>
      <c r="B167" s="30"/>
      <c r="C167" s="18"/>
      <c r="D167" s="18"/>
      <c r="E167" s="18"/>
      <c r="F167" s="19"/>
      <c r="G167" s="18"/>
      <c r="H167" s="18"/>
      <c r="I167" s="19"/>
      <c r="K167" s="18"/>
    </row>
    <row r="168" spans="1:11">
      <c r="A168" s="18"/>
      <c r="B168" s="30"/>
      <c r="C168" s="18"/>
      <c r="D168" s="18"/>
      <c r="E168" s="18"/>
      <c r="F168" s="19"/>
      <c r="G168" s="18"/>
      <c r="H168" s="18"/>
      <c r="I168" s="19"/>
      <c r="K168" s="18"/>
    </row>
    <row r="169" spans="1:11">
      <c r="A169" s="18"/>
      <c r="B169" s="30"/>
      <c r="C169" s="18"/>
      <c r="D169" s="18"/>
      <c r="E169" s="18"/>
      <c r="F169" s="19"/>
      <c r="G169" s="18"/>
      <c r="H169" s="18"/>
      <c r="I169" s="19"/>
      <c r="K169" s="18"/>
    </row>
    <row r="170" spans="1:11">
      <c r="A170" s="18"/>
      <c r="B170" s="30"/>
      <c r="C170" s="18"/>
      <c r="D170" s="18"/>
      <c r="E170" s="18"/>
      <c r="F170" s="19"/>
      <c r="G170" s="18"/>
      <c r="H170" s="18"/>
      <c r="I170" s="19"/>
      <c r="K170" s="18"/>
    </row>
    <row r="171" spans="1:11">
      <c r="A171" s="18"/>
      <c r="B171" s="30"/>
      <c r="C171" s="18"/>
      <c r="D171" s="18"/>
      <c r="E171" s="18"/>
      <c r="F171" s="19"/>
      <c r="G171" s="18"/>
      <c r="H171" s="18"/>
      <c r="I171" s="19"/>
      <c r="K171" s="18"/>
    </row>
    <row r="172" spans="1:11">
      <c r="A172" s="18"/>
      <c r="B172" s="30"/>
      <c r="C172" s="18"/>
      <c r="D172" s="18"/>
      <c r="E172" s="18"/>
      <c r="F172" s="19"/>
      <c r="G172" s="18"/>
      <c r="H172" s="18"/>
      <c r="I172" s="19"/>
      <c r="K172" s="18"/>
    </row>
    <row r="173" spans="1:11">
      <c r="A173" s="18"/>
      <c r="B173" s="30"/>
      <c r="C173" s="18"/>
      <c r="D173" s="18"/>
      <c r="E173" s="18"/>
      <c r="F173" s="19"/>
      <c r="G173" s="18"/>
      <c r="H173" s="18"/>
      <c r="I173" s="19"/>
      <c r="K173" s="18"/>
    </row>
    <row r="174" spans="1:11">
      <c r="A174" s="18"/>
      <c r="B174" s="30"/>
      <c r="C174" s="18"/>
      <c r="D174" s="18"/>
      <c r="E174" s="18"/>
      <c r="F174" s="19"/>
      <c r="G174" s="18"/>
      <c r="H174" s="18"/>
      <c r="I174" s="19"/>
      <c r="K174" s="18"/>
    </row>
    <row r="175" spans="1:11">
      <c r="A175" s="18"/>
      <c r="B175" s="30"/>
      <c r="C175" s="18"/>
      <c r="D175" s="18"/>
      <c r="E175" s="18"/>
      <c r="F175" s="19"/>
      <c r="G175" s="18"/>
      <c r="H175" s="18"/>
      <c r="I175" s="19"/>
      <c r="K175" s="18"/>
    </row>
    <row r="176" spans="1:11">
      <c r="A176" s="18"/>
      <c r="B176" s="30"/>
      <c r="C176" s="18"/>
      <c r="D176" s="18"/>
      <c r="E176" s="18"/>
      <c r="F176" s="19"/>
      <c r="G176" s="18"/>
      <c r="H176" s="18"/>
      <c r="I176" s="19"/>
      <c r="K176" s="18"/>
    </row>
    <row r="177" spans="1:11">
      <c r="A177" s="18"/>
      <c r="B177" s="30"/>
      <c r="C177" s="18"/>
      <c r="D177" s="18"/>
      <c r="E177" s="18"/>
      <c r="F177" s="19"/>
      <c r="G177" s="18"/>
      <c r="H177" s="18"/>
      <c r="I177" s="19"/>
      <c r="K177" s="18"/>
    </row>
    <row r="178" spans="1:11">
      <c r="A178" s="18"/>
      <c r="B178" s="30"/>
      <c r="C178" s="18"/>
      <c r="D178" s="18"/>
      <c r="E178" s="18"/>
      <c r="F178" s="19"/>
      <c r="G178" s="18"/>
      <c r="H178" s="18"/>
      <c r="I178" s="19"/>
      <c r="K178" s="18"/>
    </row>
    <row r="179" spans="1:11">
      <c r="A179" s="18"/>
      <c r="B179" s="30"/>
      <c r="C179" s="18"/>
      <c r="D179" s="18"/>
      <c r="E179" s="18"/>
      <c r="F179" s="19"/>
      <c r="G179" s="18"/>
      <c r="H179" s="18"/>
      <c r="I179" s="19"/>
      <c r="K179" s="18"/>
    </row>
    <row r="180" spans="1:11">
      <c r="A180" s="18"/>
      <c r="B180" s="30"/>
      <c r="C180" s="18"/>
      <c r="D180" s="18"/>
      <c r="E180" s="18"/>
      <c r="F180" s="19"/>
      <c r="G180" s="18"/>
      <c r="H180" s="18"/>
      <c r="I180" s="19"/>
      <c r="K180" s="18"/>
    </row>
    <row r="181" spans="1:11">
      <c r="A181" s="18"/>
      <c r="B181" s="30"/>
      <c r="C181" s="18"/>
      <c r="D181" s="18"/>
      <c r="E181" s="18"/>
      <c r="F181" s="19"/>
      <c r="G181" s="18"/>
      <c r="H181" s="18"/>
      <c r="I181" s="19"/>
      <c r="K181" s="18"/>
    </row>
    <row r="182" spans="1:11">
      <c r="A182" s="18"/>
      <c r="B182" s="30"/>
      <c r="C182" s="18"/>
      <c r="D182" s="18"/>
      <c r="E182" s="18"/>
      <c r="F182" s="19"/>
      <c r="G182" s="18"/>
      <c r="H182" s="18"/>
      <c r="I182" s="19"/>
      <c r="K182" s="18"/>
    </row>
    <row r="183" spans="1:11">
      <c r="A183" s="18"/>
      <c r="B183" s="30"/>
      <c r="C183" s="18"/>
      <c r="D183" s="18"/>
      <c r="E183" s="18"/>
      <c r="F183" s="19"/>
      <c r="G183" s="18"/>
      <c r="H183" s="18"/>
      <c r="I183" s="19"/>
      <c r="K183" s="18"/>
    </row>
    <row r="184" spans="1:11">
      <c r="A184" s="18"/>
      <c r="B184" s="30"/>
      <c r="C184" s="18"/>
      <c r="D184" s="18"/>
      <c r="E184" s="18"/>
      <c r="F184" s="19"/>
      <c r="G184" s="18"/>
      <c r="H184" s="18"/>
      <c r="I184" s="19"/>
      <c r="K184" s="18"/>
    </row>
    <row r="185" spans="1:11">
      <c r="A185" s="18"/>
      <c r="B185" s="30"/>
      <c r="C185" s="18"/>
      <c r="D185" s="18"/>
      <c r="E185" s="18"/>
      <c r="F185" s="19"/>
      <c r="G185" s="18"/>
      <c r="H185" s="18"/>
      <c r="I185" s="19"/>
      <c r="K185" s="18"/>
    </row>
    <row r="186" spans="1:11">
      <c r="A186" s="18"/>
      <c r="B186" s="30"/>
      <c r="C186" s="18"/>
      <c r="D186" s="18"/>
      <c r="E186" s="18"/>
      <c r="F186" s="19"/>
      <c r="G186" s="18"/>
      <c r="H186" s="18"/>
      <c r="I186" s="19"/>
      <c r="K186" s="18"/>
    </row>
    <row r="187" spans="1:11">
      <c r="A187" s="18"/>
      <c r="B187" s="30"/>
      <c r="C187" s="18"/>
      <c r="D187" s="18"/>
      <c r="E187" s="18"/>
      <c r="F187" s="19"/>
      <c r="G187" s="18"/>
      <c r="H187" s="18"/>
      <c r="I187" s="19"/>
      <c r="K187" s="18"/>
    </row>
    <row r="188" spans="1:11">
      <c r="A188" s="18"/>
      <c r="B188" s="30"/>
      <c r="C188" s="18"/>
      <c r="D188" s="18"/>
      <c r="E188" s="18"/>
      <c r="F188" s="19"/>
      <c r="G188" s="18"/>
      <c r="H188" s="18"/>
      <c r="I188" s="19"/>
      <c r="K188" s="18"/>
    </row>
    <row r="189" spans="1:11">
      <c r="A189" s="18"/>
      <c r="B189" s="30"/>
      <c r="C189" s="18"/>
      <c r="D189" s="18"/>
      <c r="E189" s="18"/>
      <c r="F189" s="19"/>
      <c r="G189" s="18"/>
      <c r="H189" s="18"/>
      <c r="I189" s="19"/>
      <c r="K189" s="18"/>
    </row>
    <row r="190" spans="1:11">
      <c r="A190" s="18"/>
      <c r="B190" s="30"/>
      <c r="C190" s="18"/>
      <c r="D190" s="18"/>
      <c r="E190" s="18"/>
      <c r="F190" s="19"/>
      <c r="G190" s="18"/>
      <c r="H190" s="18"/>
      <c r="I190" s="19"/>
      <c r="K190" s="18"/>
    </row>
    <row r="191" spans="1:11">
      <c r="A191" s="18"/>
      <c r="B191" s="30"/>
      <c r="C191" s="18"/>
      <c r="D191" s="18"/>
      <c r="E191" s="18"/>
      <c r="F191" s="19"/>
      <c r="G191" s="18"/>
      <c r="H191" s="18"/>
      <c r="I191" s="19"/>
      <c r="K191" s="18"/>
    </row>
    <row r="192" spans="1:11">
      <c r="A192" s="18"/>
      <c r="B192" s="30"/>
      <c r="C192" s="18"/>
      <c r="D192" s="18"/>
      <c r="E192" s="18"/>
      <c r="F192" s="19"/>
      <c r="G192" s="18"/>
      <c r="H192" s="18"/>
      <c r="I192" s="19"/>
      <c r="K192" s="18"/>
    </row>
    <row r="193" spans="1:11">
      <c r="A193" s="18"/>
      <c r="B193" s="30"/>
      <c r="C193" s="18"/>
      <c r="D193" s="18"/>
      <c r="E193" s="18"/>
      <c r="F193" s="19"/>
      <c r="G193" s="18"/>
      <c r="H193" s="18"/>
      <c r="I193" s="19"/>
      <c r="K193" s="18"/>
    </row>
    <row r="194" spans="1:11">
      <c r="A194" s="18"/>
      <c r="B194" s="30"/>
      <c r="C194" s="18"/>
      <c r="D194" s="18"/>
      <c r="E194" s="18"/>
      <c r="F194" s="19"/>
      <c r="G194" s="18"/>
      <c r="H194" s="18"/>
      <c r="I194" s="19"/>
      <c r="K194" s="18"/>
    </row>
    <row r="195" spans="1:11">
      <c r="A195" s="18"/>
      <c r="B195" s="30"/>
      <c r="C195" s="18"/>
      <c r="D195" s="18"/>
      <c r="E195" s="18"/>
      <c r="F195" s="19"/>
      <c r="G195" s="18"/>
      <c r="H195" s="18"/>
      <c r="I195" s="19"/>
      <c r="K195" s="18"/>
    </row>
    <row r="196" spans="1:11">
      <c r="A196" s="18"/>
      <c r="B196" s="30"/>
      <c r="C196" s="18"/>
      <c r="D196" s="18"/>
      <c r="E196" s="18"/>
      <c r="F196" s="19"/>
      <c r="G196" s="18"/>
      <c r="H196" s="18"/>
      <c r="I196" s="19"/>
      <c r="K196" s="18"/>
    </row>
    <row r="197" spans="1:11">
      <c r="A197" s="18"/>
      <c r="B197" s="30"/>
      <c r="C197" s="18"/>
      <c r="D197" s="18"/>
      <c r="E197" s="18"/>
      <c r="F197" s="19"/>
      <c r="G197" s="18"/>
      <c r="H197" s="18"/>
      <c r="I197" s="19"/>
      <c r="K197" s="18"/>
    </row>
    <row r="198" spans="1:11">
      <c r="A198" s="18"/>
      <c r="B198" s="30"/>
      <c r="C198" s="18"/>
      <c r="D198" s="18"/>
      <c r="E198" s="18"/>
      <c r="F198" s="19"/>
      <c r="G198" s="18"/>
      <c r="H198" s="18"/>
      <c r="I198" s="19"/>
      <c r="K198" s="18"/>
    </row>
    <row r="199" spans="1:11">
      <c r="A199" s="18"/>
      <c r="B199" s="30"/>
      <c r="C199" s="18"/>
      <c r="D199" s="18"/>
      <c r="E199" s="18"/>
      <c r="F199" s="19"/>
      <c r="G199" s="18"/>
      <c r="H199" s="18"/>
      <c r="I199" s="19"/>
      <c r="K199" s="18"/>
    </row>
    <row r="200" spans="1:11">
      <c r="A200" s="18"/>
      <c r="B200" s="30"/>
      <c r="C200" s="18"/>
      <c r="D200" s="18"/>
      <c r="E200" s="18"/>
      <c r="F200" s="19"/>
      <c r="G200" s="18"/>
      <c r="H200" s="18"/>
      <c r="I200" s="19"/>
      <c r="K200" s="18"/>
    </row>
    <row r="201" spans="1:11">
      <c r="A201" s="18"/>
      <c r="B201" s="30"/>
      <c r="C201" s="18"/>
      <c r="D201" s="18"/>
      <c r="E201" s="18"/>
      <c r="F201" s="19"/>
      <c r="G201" s="18"/>
      <c r="H201" s="18"/>
      <c r="I201" s="19"/>
      <c r="K201" s="18"/>
    </row>
    <row r="202" spans="1:11">
      <c r="A202" s="18"/>
      <c r="B202" s="30"/>
      <c r="C202" s="18"/>
      <c r="D202" s="18"/>
      <c r="E202" s="18"/>
      <c r="F202" s="19"/>
      <c r="G202" s="18"/>
      <c r="H202" s="18"/>
      <c r="I202" s="19"/>
      <c r="K202" s="18"/>
    </row>
    <row r="203" spans="1:11">
      <c r="A203" s="18"/>
      <c r="B203" s="30"/>
      <c r="C203" s="18"/>
      <c r="D203" s="18"/>
      <c r="E203" s="18"/>
      <c r="F203" s="19"/>
      <c r="G203" s="18"/>
      <c r="H203" s="18"/>
      <c r="I203" s="19"/>
      <c r="K203" s="18"/>
    </row>
    <row r="204" spans="1:11">
      <c r="A204" s="18"/>
      <c r="B204" s="30"/>
      <c r="C204" s="18"/>
      <c r="D204" s="18"/>
      <c r="E204" s="18"/>
      <c r="F204" s="19"/>
      <c r="G204" s="18"/>
      <c r="H204" s="18"/>
      <c r="I204" s="19"/>
      <c r="K204" s="18"/>
    </row>
    <row r="205" spans="1:11">
      <c r="A205" s="18"/>
      <c r="B205" s="30"/>
      <c r="C205" s="18"/>
      <c r="D205" s="18"/>
      <c r="E205" s="18"/>
      <c r="F205" s="19"/>
      <c r="G205" s="18"/>
      <c r="H205" s="18"/>
      <c r="I205" s="19"/>
      <c r="K205" s="18"/>
    </row>
    <row r="206" spans="1:11">
      <c r="A206" s="18"/>
      <c r="B206" s="30"/>
      <c r="C206" s="18"/>
      <c r="D206" s="18"/>
      <c r="E206" s="18"/>
      <c r="F206" s="19"/>
      <c r="G206" s="18"/>
      <c r="H206" s="18"/>
      <c r="I206" s="19"/>
      <c r="K206" s="18"/>
    </row>
    <row r="207" spans="1:11">
      <c r="A207" s="18"/>
      <c r="B207" s="30"/>
      <c r="C207" s="18"/>
      <c r="D207" s="18"/>
      <c r="E207" s="18"/>
      <c r="F207" s="19"/>
      <c r="G207" s="18"/>
      <c r="H207" s="18"/>
      <c r="I207" s="19"/>
      <c r="K207" s="18"/>
    </row>
    <row r="208" spans="1:11">
      <c r="A208" s="18"/>
      <c r="B208" s="30"/>
      <c r="C208" s="18"/>
      <c r="D208" s="18"/>
      <c r="E208" s="18"/>
      <c r="F208" s="19"/>
      <c r="G208" s="18"/>
      <c r="H208" s="18"/>
      <c r="I208" s="19"/>
      <c r="K208" s="18"/>
    </row>
    <row r="209" spans="1:11">
      <c r="A209" s="18"/>
      <c r="B209" s="30"/>
      <c r="C209" s="18"/>
      <c r="D209" s="18"/>
      <c r="E209" s="18"/>
      <c r="F209" s="19"/>
      <c r="G209" s="18"/>
      <c r="H209" s="18"/>
      <c r="I209" s="19"/>
      <c r="K209" s="18"/>
    </row>
    <row r="210" spans="1:11">
      <c r="A210" s="18"/>
      <c r="B210" s="30"/>
      <c r="C210" s="18"/>
      <c r="D210" s="18"/>
      <c r="E210" s="18"/>
      <c r="F210" s="19"/>
      <c r="G210" s="18"/>
      <c r="H210" s="18"/>
      <c r="I210" s="19"/>
      <c r="K210" s="18"/>
    </row>
    <row r="211" spans="1:11">
      <c r="A211" s="18"/>
      <c r="B211" s="30"/>
      <c r="C211" s="18"/>
      <c r="D211" s="18"/>
      <c r="E211" s="18"/>
      <c r="F211" s="19"/>
      <c r="G211" s="18"/>
      <c r="H211" s="18"/>
      <c r="I211" s="19"/>
      <c r="K211" s="18"/>
    </row>
    <row r="212" spans="1:11">
      <c r="A212" s="18"/>
      <c r="B212" s="30"/>
      <c r="C212" s="18"/>
      <c r="D212" s="18"/>
      <c r="E212" s="18"/>
      <c r="F212" s="19"/>
      <c r="G212" s="18"/>
      <c r="H212" s="18"/>
      <c r="I212" s="19"/>
      <c r="K212" s="18"/>
    </row>
    <row r="213" spans="1:11">
      <c r="A213" s="18"/>
      <c r="B213" s="30"/>
      <c r="C213" s="18"/>
      <c r="D213" s="18"/>
      <c r="E213" s="18"/>
      <c r="F213" s="19"/>
      <c r="G213" s="18"/>
      <c r="H213" s="18"/>
      <c r="I213" s="19"/>
      <c r="K213" s="18"/>
    </row>
    <row r="214" spans="1:11">
      <c r="A214" s="18"/>
      <c r="B214" s="30"/>
      <c r="C214" s="18"/>
      <c r="D214" s="18"/>
      <c r="E214" s="18"/>
      <c r="F214" s="19"/>
      <c r="G214" s="18"/>
      <c r="H214" s="18"/>
      <c r="I214" s="19"/>
      <c r="K214" s="18"/>
    </row>
    <row r="215" spans="1:11">
      <c r="A215" s="18"/>
      <c r="B215" s="30"/>
      <c r="C215" s="18"/>
      <c r="D215" s="18"/>
      <c r="E215" s="18"/>
      <c r="F215" s="19"/>
      <c r="G215" s="18"/>
      <c r="H215" s="18"/>
      <c r="I215" s="19"/>
      <c r="K215" s="18"/>
    </row>
    <row r="216" spans="1:11">
      <c r="A216" s="18"/>
      <c r="B216" s="30"/>
      <c r="C216" s="18"/>
      <c r="D216" s="18"/>
      <c r="E216" s="18"/>
      <c r="F216" s="19"/>
      <c r="G216" s="18"/>
      <c r="H216" s="18"/>
      <c r="I216" s="19"/>
      <c r="K216" s="18"/>
    </row>
    <row r="217" spans="1:11">
      <c r="A217" s="18"/>
      <c r="B217" s="30"/>
      <c r="C217" s="18"/>
      <c r="D217" s="18"/>
      <c r="E217" s="18"/>
      <c r="F217" s="19"/>
      <c r="G217" s="18"/>
      <c r="H217" s="18"/>
      <c r="I217" s="19"/>
      <c r="K217" s="18"/>
    </row>
    <row r="218" spans="1:11">
      <c r="A218" s="18"/>
      <c r="B218" s="30"/>
      <c r="C218" s="18"/>
      <c r="D218" s="18"/>
      <c r="E218" s="18"/>
      <c r="F218" s="19"/>
      <c r="G218" s="18"/>
      <c r="H218" s="18"/>
      <c r="I218" s="19"/>
      <c r="K218" s="18"/>
    </row>
    <row r="219" spans="1:11">
      <c r="A219" s="18"/>
      <c r="B219" s="30"/>
      <c r="C219" s="18"/>
      <c r="D219" s="18"/>
      <c r="E219" s="18"/>
      <c r="F219" s="19"/>
      <c r="G219" s="18"/>
      <c r="H219" s="18"/>
      <c r="I219" s="19"/>
      <c r="K219" s="18"/>
    </row>
    <row r="220" spans="1:11">
      <c r="A220" s="18"/>
      <c r="B220" s="30"/>
      <c r="C220" s="18"/>
      <c r="D220" s="18"/>
      <c r="E220" s="18"/>
      <c r="F220" s="19"/>
      <c r="G220" s="18"/>
      <c r="H220" s="18"/>
      <c r="I220" s="19"/>
      <c r="K220" s="18"/>
    </row>
    <row r="221" spans="1:11">
      <c r="A221" s="18"/>
      <c r="B221" s="30"/>
      <c r="C221" s="18"/>
      <c r="D221" s="18"/>
      <c r="E221" s="18"/>
      <c r="F221" s="19"/>
      <c r="G221" s="18"/>
      <c r="H221" s="18"/>
      <c r="I221" s="19"/>
      <c r="K221" s="18"/>
    </row>
    <row r="222" spans="1:11">
      <c r="A222" s="18"/>
      <c r="B222" s="30"/>
      <c r="C222" s="18"/>
      <c r="D222" s="18"/>
      <c r="E222" s="18"/>
      <c r="F222" s="19"/>
      <c r="G222" s="18"/>
      <c r="H222" s="18"/>
      <c r="I222" s="19"/>
      <c r="K222" s="18"/>
    </row>
    <row r="223" spans="1:11">
      <c r="A223" s="18"/>
      <c r="B223" s="30"/>
      <c r="C223" s="18"/>
      <c r="D223" s="18"/>
      <c r="E223" s="18"/>
      <c r="F223" s="19"/>
      <c r="G223" s="18"/>
      <c r="H223" s="18"/>
      <c r="I223" s="19"/>
      <c r="K223" s="18"/>
    </row>
    <row r="224" spans="1:11">
      <c r="A224" s="18"/>
      <c r="B224" s="30"/>
      <c r="C224" s="18"/>
      <c r="D224" s="18"/>
      <c r="E224" s="18"/>
      <c r="F224" s="19"/>
      <c r="G224" s="18"/>
      <c r="H224" s="18"/>
      <c r="I224" s="19"/>
      <c r="K224" s="18"/>
    </row>
    <row r="225" spans="1:11">
      <c r="A225" s="18"/>
      <c r="B225" s="30"/>
      <c r="C225" s="18"/>
      <c r="D225" s="18"/>
      <c r="E225" s="18"/>
      <c r="F225" s="19"/>
      <c r="G225" s="18"/>
      <c r="H225" s="18"/>
      <c r="I225" s="19"/>
      <c r="K225" s="18"/>
    </row>
    <row r="226" spans="1:11">
      <c r="A226" s="18"/>
      <c r="B226" s="30"/>
      <c r="C226" s="18"/>
      <c r="D226" s="18"/>
      <c r="E226" s="18"/>
      <c r="F226" s="19"/>
      <c r="G226" s="18"/>
      <c r="H226" s="18"/>
      <c r="I226" s="19"/>
      <c r="K226" s="18"/>
    </row>
    <row r="227" spans="1:11">
      <c r="A227" s="18"/>
      <c r="B227" s="30"/>
      <c r="C227" s="18"/>
      <c r="D227" s="18"/>
      <c r="E227" s="18"/>
      <c r="F227" s="19"/>
      <c r="G227" s="18"/>
      <c r="H227" s="18"/>
      <c r="I227" s="19"/>
      <c r="K227" s="18"/>
    </row>
    <row r="228" spans="1:11">
      <c r="A228" s="18"/>
      <c r="B228" s="30"/>
      <c r="C228" s="18"/>
      <c r="D228" s="18"/>
      <c r="E228" s="18"/>
      <c r="F228" s="19"/>
      <c r="G228" s="18"/>
      <c r="H228" s="18"/>
      <c r="I228" s="19"/>
      <c r="K228" s="18"/>
    </row>
    <row r="229" spans="1:11">
      <c r="A229" s="18"/>
      <c r="B229" s="30"/>
      <c r="C229" s="18"/>
      <c r="D229" s="18"/>
      <c r="E229" s="18"/>
      <c r="F229" s="19"/>
      <c r="G229" s="18"/>
      <c r="H229" s="18"/>
      <c r="I229" s="19"/>
      <c r="K229" s="18"/>
    </row>
    <row r="230" spans="1:11">
      <c r="A230" s="18"/>
      <c r="B230" s="30"/>
      <c r="C230" s="18"/>
      <c r="D230" s="18"/>
      <c r="E230" s="18"/>
      <c r="F230" s="19"/>
      <c r="G230" s="18"/>
      <c r="H230" s="18"/>
      <c r="I230" s="19"/>
      <c r="K230" s="18"/>
    </row>
    <row r="231" spans="1:11">
      <c r="A231" s="18"/>
      <c r="B231" s="30"/>
      <c r="C231" s="18"/>
      <c r="D231" s="18"/>
      <c r="E231" s="18"/>
      <c r="F231" s="19"/>
      <c r="G231" s="18"/>
      <c r="H231" s="18"/>
      <c r="I231" s="19"/>
      <c r="K231" s="18"/>
    </row>
    <row r="232" spans="1:11">
      <c r="A232" s="18"/>
      <c r="B232" s="30"/>
      <c r="C232" s="18"/>
      <c r="D232" s="18"/>
      <c r="E232" s="18"/>
      <c r="F232" s="19"/>
      <c r="G232" s="18"/>
      <c r="H232" s="18"/>
      <c r="I232" s="19"/>
      <c r="K232" s="18"/>
    </row>
    <row r="233" spans="1:11">
      <c r="A233" s="18"/>
      <c r="B233" s="30"/>
      <c r="C233" s="18"/>
      <c r="D233" s="18"/>
      <c r="E233" s="18"/>
      <c r="F233" s="19"/>
      <c r="G233" s="18"/>
      <c r="H233" s="18"/>
      <c r="I233" s="19"/>
      <c r="K233" s="18"/>
    </row>
    <row r="234" spans="1:11">
      <c r="A234" s="18"/>
      <c r="B234" s="30"/>
      <c r="C234" s="18"/>
      <c r="D234" s="18"/>
      <c r="E234" s="18"/>
      <c r="F234" s="19"/>
      <c r="G234" s="18"/>
      <c r="H234" s="18"/>
      <c r="I234" s="19"/>
      <c r="K234" s="18"/>
    </row>
    <row r="235" spans="1:11">
      <c r="A235" s="18"/>
      <c r="B235" s="30"/>
      <c r="C235" s="18"/>
      <c r="D235" s="18"/>
      <c r="E235" s="18"/>
      <c r="F235" s="19"/>
      <c r="G235" s="18"/>
      <c r="H235" s="18"/>
      <c r="I235" s="19"/>
      <c r="K235" s="18"/>
    </row>
    <row r="236" spans="1:11">
      <c r="A236" s="18"/>
      <c r="B236" s="30"/>
      <c r="C236" s="18"/>
      <c r="D236" s="18"/>
      <c r="E236" s="18"/>
      <c r="F236" s="19"/>
      <c r="G236" s="18"/>
      <c r="H236" s="18"/>
      <c r="I236" s="19"/>
      <c r="K236" s="18"/>
    </row>
    <row r="237" spans="1:11">
      <c r="A237" s="18"/>
      <c r="B237" s="30"/>
      <c r="C237" s="18"/>
      <c r="D237" s="18"/>
      <c r="E237" s="18"/>
      <c r="F237" s="19"/>
      <c r="G237" s="18"/>
      <c r="H237" s="18"/>
      <c r="I237" s="19"/>
      <c r="K237" s="18"/>
    </row>
    <row r="238" spans="1:11">
      <c r="A238" s="18"/>
      <c r="B238" s="30"/>
      <c r="C238" s="18"/>
      <c r="D238" s="18"/>
      <c r="E238" s="18"/>
      <c r="F238" s="19"/>
      <c r="G238" s="18"/>
      <c r="H238" s="18"/>
      <c r="I238" s="19"/>
      <c r="K238" s="18"/>
    </row>
    <row r="239" spans="1:11">
      <c r="A239" s="18"/>
      <c r="B239" s="30"/>
      <c r="C239" s="18"/>
      <c r="D239" s="18"/>
      <c r="E239" s="18"/>
      <c r="F239" s="19"/>
      <c r="G239" s="18"/>
      <c r="H239" s="18"/>
      <c r="I239" s="19"/>
      <c r="K239" s="18"/>
    </row>
    <row r="240" spans="1:11">
      <c r="A240" s="18"/>
      <c r="B240" s="30"/>
      <c r="C240" s="18"/>
      <c r="D240" s="18"/>
      <c r="E240" s="18"/>
      <c r="F240" s="19"/>
      <c r="G240" s="18"/>
      <c r="H240" s="18"/>
      <c r="I240" s="19"/>
      <c r="K240" s="18"/>
    </row>
    <row r="241" spans="1:11">
      <c r="A241" s="18"/>
      <c r="B241" s="30"/>
      <c r="C241" s="18"/>
      <c r="D241" s="18"/>
      <c r="E241" s="18"/>
      <c r="F241" s="19"/>
      <c r="G241" s="18"/>
      <c r="H241" s="18"/>
      <c r="I241" s="19"/>
      <c r="K241" s="18"/>
    </row>
    <row r="242" spans="1:11">
      <c r="A242" s="18"/>
      <c r="B242" s="30"/>
      <c r="C242" s="18"/>
      <c r="D242" s="18"/>
      <c r="E242" s="18"/>
      <c r="F242" s="19"/>
      <c r="G242" s="18"/>
      <c r="H242" s="18"/>
      <c r="I242" s="19"/>
      <c r="K242" s="18"/>
    </row>
    <row r="243" spans="1:11">
      <c r="A243" s="18"/>
      <c r="B243" s="30"/>
      <c r="C243" s="18"/>
      <c r="D243" s="18"/>
      <c r="E243" s="18"/>
      <c r="F243" s="19"/>
      <c r="G243" s="18"/>
      <c r="H243" s="18"/>
      <c r="I243" s="19"/>
      <c r="K243" s="18"/>
    </row>
    <row r="244" spans="1:11">
      <c r="A244" s="18"/>
      <c r="B244" s="30"/>
      <c r="C244" s="18"/>
      <c r="D244" s="18"/>
      <c r="E244" s="18"/>
      <c r="F244" s="19"/>
      <c r="G244" s="18"/>
      <c r="H244" s="18"/>
      <c r="I244" s="19"/>
      <c r="K244" s="18"/>
    </row>
    <row r="245" spans="1:11">
      <c r="A245" s="18"/>
      <c r="B245" s="30"/>
      <c r="C245" s="18"/>
      <c r="D245" s="18"/>
      <c r="E245" s="18"/>
      <c r="F245" s="19"/>
      <c r="G245" s="18"/>
      <c r="H245" s="18"/>
      <c r="I245" s="19"/>
      <c r="K245" s="18"/>
    </row>
    <row r="246" spans="1:11">
      <c r="A246" s="18"/>
      <c r="B246" s="30"/>
      <c r="C246" s="18"/>
      <c r="D246" s="18"/>
      <c r="E246" s="18"/>
      <c r="F246" s="19"/>
      <c r="G246" s="18"/>
      <c r="H246" s="18"/>
      <c r="I246" s="19"/>
      <c r="K246" s="18"/>
    </row>
    <row r="247" spans="1:11">
      <c r="A247" s="18"/>
      <c r="B247" s="30"/>
      <c r="C247" s="18"/>
      <c r="D247" s="18"/>
      <c r="E247" s="18"/>
      <c r="F247" s="19"/>
      <c r="G247" s="18"/>
      <c r="H247" s="18"/>
      <c r="I247" s="19"/>
      <c r="K247" s="18"/>
    </row>
    <row r="248" spans="1:11">
      <c r="A248" s="18"/>
      <c r="B248" s="30"/>
      <c r="C248" s="18"/>
      <c r="D248" s="18"/>
      <c r="E248" s="18"/>
      <c r="F248" s="19"/>
      <c r="G248" s="18"/>
      <c r="H248" s="18"/>
      <c r="I248" s="19"/>
      <c r="K248" s="18"/>
    </row>
    <row r="249" spans="1:11">
      <c r="A249" s="18"/>
      <c r="B249" s="30"/>
      <c r="C249" s="18"/>
      <c r="D249" s="18"/>
      <c r="E249" s="18"/>
      <c r="F249" s="19"/>
      <c r="G249" s="18"/>
      <c r="H249" s="18"/>
      <c r="I249" s="19"/>
      <c r="K249" s="18"/>
    </row>
    <row r="250" spans="1:11">
      <c r="A250" s="18"/>
      <c r="B250" s="30"/>
      <c r="C250" s="18"/>
      <c r="D250" s="18"/>
      <c r="E250" s="18"/>
      <c r="F250" s="19"/>
      <c r="G250" s="18"/>
      <c r="H250" s="18"/>
      <c r="I250" s="19"/>
      <c r="K250" s="18"/>
    </row>
    <row r="251" spans="1:11">
      <c r="A251" s="18"/>
      <c r="B251" s="30"/>
      <c r="C251" s="18"/>
      <c r="D251" s="18"/>
      <c r="E251" s="18"/>
      <c r="F251" s="19"/>
      <c r="G251" s="18"/>
      <c r="H251" s="18"/>
      <c r="I251" s="19"/>
      <c r="K251" s="18"/>
    </row>
    <row r="252" spans="1:11">
      <c r="A252" s="18"/>
      <c r="B252" s="30"/>
      <c r="C252" s="18"/>
      <c r="D252" s="18"/>
      <c r="E252" s="18"/>
      <c r="F252" s="19"/>
      <c r="G252" s="18"/>
      <c r="H252" s="18"/>
      <c r="I252" s="19"/>
      <c r="K252" s="18"/>
    </row>
    <row r="253" spans="1:11">
      <c r="A253" s="18"/>
      <c r="B253" s="30"/>
      <c r="C253" s="18"/>
      <c r="D253" s="18"/>
      <c r="E253" s="18"/>
      <c r="F253" s="19"/>
      <c r="G253" s="18"/>
      <c r="H253" s="18"/>
      <c r="I253" s="19"/>
      <c r="K253" s="18"/>
    </row>
    <row r="254" spans="1:11">
      <c r="A254" s="18"/>
      <c r="B254" s="30"/>
      <c r="C254" s="18"/>
      <c r="D254" s="18"/>
      <c r="E254" s="18"/>
      <c r="F254" s="19"/>
      <c r="G254" s="18"/>
      <c r="H254" s="18"/>
      <c r="I254" s="19"/>
      <c r="K254" s="18"/>
    </row>
    <row r="255" spans="1:11">
      <c r="A255" s="18"/>
      <c r="B255" s="30"/>
      <c r="C255" s="18"/>
      <c r="D255" s="18"/>
      <c r="E255" s="18"/>
      <c r="F255" s="19"/>
      <c r="G255" s="18"/>
      <c r="H255" s="18"/>
      <c r="I255" s="19"/>
      <c r="K255" s="18"/>
    </row>
    <row r="256" spans="1:11">
      <c r="A256" s="18"/>
      <c r="B256" s="30"/>
      <c r="C256" s="18"/>
      <c r="D256" s="18"/>
      <c r="E256" s="18"/>
      <c r="F256" s="19"/>
      <c r="G256" s="18"/>
      <c r="H256" s="18"/>
      <c r="I256" s="19"/>
      <c r="K256" s="18"/>
    </row>
    <row r="257" spans="1:11">
      <c r="A257" s="18"/>
      <c r="B257" s="30"/>
      <c r="C257" s="18"/>
      <c r="D257" s="18"/>
      <c r="E257" s="18"/>
      <c r="F257" s="19"/>
      <c r="G257" s="18"/>
      <c r="H257" s="18"/>
      <c r="I257" s="19"/>
      <c r="K257" s="18"/>
    </row>
    <row r="258" spans="1:11">
      <c r="A258" s="18"/>
      <c r="B258" s="30"/>
      <c r="C258" s="18"/>
      <c r="D258" s="18"/>
      <c r="E258" s="18"/>
      <c r="F258" s="19"/>
      <c r="G258" s="18"/>
      <c r="H258" s="18"/>
      <c r="I258" s="19"/>
      <c r="K258" s="18"/>
    </row>
    <row r="259" spans="1:11">
      <c r="A259" s="18"/>
      <c r="B259" s="30"/>
      <c r="C259" s="18"/>
      <c r="D259" s="18"/>
      <c r="E259" s="18"/>
      <c r="F259" s="19"/>
      <c r="G259" s="18"/>
      <c r="H259" s="18"/>
      <c r="I259" s="19"/>
      <c r="K259" s="18"/>
    </row>
    <row r="260" spans="1:11">
      <c r="A260" s="18"/>
      <c r="B260" s="30"/>
      <c r="C260" s="18"/>
      <c r="D260" s="18"/>
      <c r="E260" s="18"/>
      <c r="F260" s="19"/>
      <c r="G260" s="18"/>
      <c r="H260" s="18"/>
      <c r="I260" s="19"/>
      <c r="K260" s="18"/>
    </row>
    <row r="261" spans="1:11">
      <c r="A261" s="18"/>
      <c r="B261" s="30"/>
      <c r="C261" s="18"/>
      <c r="D261" s="18"/>
      <c r="E261" s="18"/>
      <c r="F261" s="19"/>
      <c r="G261" s="18"/>
      <c r="H261" s="18"/>
      <c r="I261" s="19"/>
      <c r="K261" s="18"/>
    </row>
    <row r="262" spans="1:11">
      <c r="A262" s="18"/>
      <c r="B262" s="30"/>
      <c r="C262" s="18"/>
      <c r="D262" s="18"/>
      <c r="E262" s="18"/>
      <c r="F262" s="19"/>
      <c r="G262" s="18"/>
      <c r="H262" s="18"/>
      <c r="I262" s="19"/>
      <c r="K262" s="18"/>
    </row>
    <row r="263" spans="1:11">
      <c r="A263" s="18"/>
      <c r="B263" s="30"/>
      <c r="C263" s="18"/>
      <c r="D263" s="18"/>
      <c r="E263" s="18"/>
      <c r="F263" s="19"/>
      <c r="G263" s="18"/>
      <c r="H263" s="18"/>
      <c r="I263" s="19"/>
      <c r="K263" s="18"/>
    </row>
    <row r="264" spans="1:11">
      <c r="A264" s="18"/>
      <c r="B264" s="30"/>
      <c r="C264" s="18"/>
      <c r="D264" s="18"/>
      <c r="E264" s="18"/>
      <c r="F264" s="19"/>
      <c r="G264" s="18"/>
      <c r="H264" s="18"/>
      <c r="I264" s="19"/>
      <c r="K264" s="18"/>
    </row>
    <row r="265" spans="1:11">
      <c r="A265" s="18"/>
      <c r="B265" s="30"/>
      <c r="C265" s="18"/>
      <c r="D265" s="18"/>
      <c r="E265" s="18"/>
      <c r="F265" s="19"/>
      <c r="G265" s="18"/>
      <c r="H265" s="18"/>
      <c r="I265" s="19"/>
      <c r="K265" s="18"/>
    </row>
    <row r="266" spans="1:11">
      <c r="A266" s="18"/>
      <c r="B266" s="30"/>
      <c r="C266" s="18"/>
      <c r="D266" s="18"/>
      <c r="E266" s="18"/>
      <c r="F266" s="19"/>
      <c r="G266" s="18"/>
      <c r="H266" s="18"/>
      <c r="I266" s="19"/>
      <c r="K266" s="18"/>
    </row>
    <row r="267" spans="1:11">
      <c r="A267" s="18"/>
      <c r="B267" s="30"/>
      <c r="C267" s="18"/>
      <c r="D267" s="18"/>
      <c r="E267" s="18"/>
      <c r="F267" s="19"/>
      <c r="G267" s="18"/>
      <c r="H267" s="18"/>
      <c r="I267" s="19"/>
      <c r="K267" s="18"/>
    </row>
    <row r="268" spans="1:11">
      <c r="A268" s="18"/>
      <c r="B268" s="30"/>
      <c r="C268" s="18"/>
      <c r="D268" s="18"/>
      <c r="E268" s="18"/>
      <c r="F268" s="19"/>
      <c r="G268" s="18"/>
      <c r="H268" s="18"/>
      <c r="I268" s="19"/>
      <c r="K268" s="18"/>
    </row>
    <row r="269" spans="1:11">
      <c r="A269" s="18"/>
      <c r="B269" s="30"/>
      <c r="C269" s="18"/>
      <c r="D269" s="18"/>
      <c r="E269" s="18"/>
      <c r="F269" s="19"/>
      <c r="G269" s="18"/>
      <c r="H269" s="18"/>
      <c r="I269" s="19"/>
      <c r="K269" s="18"/>
    </row>
    <row r="270" spans="1:11">
      <c r="A270" s="18"/>
      <c r="B270" s="30"/>
      <c r="C270" s="18"/>
      <c r="D270" s="18"/>
      <c r="E270" s="18"/>
      <c r="F270" s="19"/>
      <c r="G270" s="18"/>
      <c r="H270" s="18"/>
      <c r="I270" s="19"/>
      <c r="K270" s="18"/>
    </row>
    <row r="271" spans="1:11">
      <c r="A271" s="18"/>
      <c r="B271" s="30"/>
      <c r="C271" s="18"/>
      <c r="D271" s="18"/>
      <c r="E271" s="18"/>
      <c r="F271" s="19"/>
      <c r="G271" s="18"/>
      <c r="H271" s="18"/>
      <c r="I271" s="19"/>
      <c r="K271" s="18"/>
    </row>
    <row r="272" spans="1:11">
      <c r="A272" s="18"/>
      <c r="B272" s="30"/>
      <c r="C272" s="18"/>
      <c r="D272" s="18"/>
      <c r="E272" s="18"/>
      <c r="F272" s="19"/>
      <c r="G272" s="18"/>
      <c r="H272" s="18"/>
      <c r="I272" s="19"/>
      <c r="K272" s="18"/>
    </row>
    <row r="273" spans="1:11">
      <c r="A273" s="18"/>
      <c r="B273" s="30"/>
      <c r="C273" s="18"/>
      <c r="D273" s="18"/>
      <c r="E273" s="18"/>
      <c r="F273" s="19"/>
      <c r="G273" s="18"/>
      <c r="H273" s="18"/>
      <c r="I273" s="19"/>
      <c r="K273" s="18"/>
    </row>
    <row r="274" spans="1:11">
      <c r="A274" s="18"/>
      <c r="B274" s="30"/>
      <c r="C274" s="18"/>
      <c r="D274" s="18"/>
      <c r="E274" s="18"/>
      <c r="F274" s="19"/>
      <c r="G274" s="18"/>
      <c r="H274" s="18"/>
      <c r="I274" s="19"/>
      <c r="K274" s="18"/>
    </row>
    <row r="275" spans="1:11">
      <c r="A275" s="18"/>
      <c r="B275" s="30"/>
      <c r="C275" s="18"/>
      <c r="D275" s="18"/>
      <c r="E275" s="18"/>
      <c r="F275" s="19"/>
      <c r="G275" s="18"/>
      <c r="H275" s="18"/>
      <c r="I275" s="19"/>
      <c r="K275" s="18"/>
    </row>
    <row r="276" spans="1:11">
      <c r="A276" s="18"/>
      <c r="B276" s="30"/>
      <c r="C276" s="18"/>
      <c r="D276" s="18"/>
      <c r="E276" s="18"/>
      <c r="F276" s="19"/>
      <c r="G276" s="18"/>
      <c r="H276" s="18"/>
      <c r="I276" s="19"/>
      <c r="K276" s="18"/>
    </row>
    <row r="277" spans="1:11">
      <c r="A277" s="18"/>
      <c r="B277" s="30"/>
      <c r="C277" s="18"/>
      <c r="D277" s="18"/>
      <c r="E277" s="18"/>
      <c r="F277" s="19"/>
      <c r="G277" s="18"/>
      <c r="H277" s="18"/>
      <c r="I277" s="19"/>
      <c r="K277" s="18"/>
    </row>
    <row r="278" spans="1:11">
      <c r="A278" s="18"/>
      <c r="B278" s="30"/>
      <c r="C278" s="18"/>
      <c r="D278" s="18"/>
      <c r="E278" s="18"/>
      <c r="F278" s="19"/>
      <c r="G278" s="18"/>
      <c r="H278" s="18"/>
      <c r="I278" s="19"/>
      <c r="K278" s="18"/>
    </row>
    <row r="279" spans="1:11">
      <c r="A279" s="18"/>
      <c r="B279" s="30"/>
      <c r="C279" s="18"/>
      <c r="D279" s="18"/>
      <c r="E279" s="18"/>
      <c r="F279" s="19"/>
      <c r="G279" s="18"/>
      <c r="H279" s="18"/>
      <c r="I279" s="19"/>
      <c r="K279" s="18"/>
    </row>
    <row r="280" spans="1:11">
      <c r="A280" s="18"/>
      <c r="B280" s="30"/>
      <c r="C280" s="18"/>
      <c r="D280" s="18"/>
      <c r="E280" s="18"/>
      <c r="F280" s="19"/>
      <c r="G280" s="18"/>
      <c r="H280" s="18"/>
      <c r="I280" s="19"/>
      <c r="K280" s="18"/>
    </row>
    <row r="281" spans="1:11">
      <c r="A281" s="18"/>
      <c r="B281" s="30"/>
      <c r="C281" s="18"/>
      <c r="D281" s="18"/>
      <c r="E281" s="18"/>
      <c r="F281" s="19"/>
      <c r="G281" s="18"/>
      <c r="H281" s="18"/>
      <c r="I281" s="19"/>
      <c r="K281" s="18"/>
    </row>
    <row r="282" spans="1:11">
      <c r="A282" s="18"/>
      <c r="B282" s="30"/>
      <c r="C282" s="18"/>
      <c r="D282" s="18"/>
      <c r="E282" s="18"/>
      <c r="F282" s="19"/>
      <c r="G282" s="18"/>
      <c r="H282" s="18"/>
      <c r="I282" s="19"/>
      <c r="K282" s="18"/>
    </row>
    <row r="283" spans="1:11">
      <c r="A283" s="18"/>
      <c r="B283" s="30"/>
      <c r="C283" s="18"/>
      <c r="D283" s="18"/>
      <c r="E283" s="18"/>
      <c r="F283" s="19"/>
      <c r="G283" s="18"/>
      <c r="H283" s="18"/>
      <c r="I283" s="19"/>
      <c r="K283" s="18"/>
    </row>
    <row r="284" spans="1:11">
      <c r="A284" s="18"/>
      <c r="B284" s="30"/>
      <c r="C284" s="18"/>
      <c r="D284" s="18"/>
      <c r="E284" s="18"/>
      <c r="F284" s="19"/>
      <c r="G284" s="18"/>
      <c r="H284" s="18"/>
      <c r="I284" s="19"/>
      <c r="K284" s="18"/>
    </row>
    <row r="285" spans="1:11">
      <c r="A285" s="18"/>
      <c r="B285" s="30"/>
      <c r="C285" s="18"/>
      <c r="D285" s="18"/>
      <c r="E285" s="18"/>
      <c r="F285" s="19"/>
      <c r="G285" s="18"/>
      <c r="H285" s="18"/>
      <c r="I285" s="19"/>
      <c r="K285" s="18"/>
    </row>
    <row r="286" spans="1:11">
      <c r="A286" s="18"/>
      <c r="B286" s="30"/>
      <c r="C286" s="18"/>
      <c r="D286" s="18"/>
      <c r="E286" s="18"/>
      <c r="F286" s="19"/>
      <c r="G286" s="18"/>
      <c r="H286" s="18"/>
      <c r="I286" s="19"/>
      <c r="K286" s="18"/>
    </row>
    <row r="287" spans="1:11">
      <c r="A287" s="18"/>
      <c r="B287" s="30"/>
      <c r="C287" s="18"/>
      <c r="D287" s="18"/>
      <c r="E287" s="18"/>
      <c r="F287" s="19"/>
      <c r="G287" s="18"/>
      <c r="H287" s="18"/>
      <c r="I287" s="19"/>
      <c r="K287" s="18"/>
    </row>
    <row r="288" spans="1:11">
      <c r="A288" s="18"/>
      <c r="B288" s="30"/>
      <c r="C288" s="18"/>
      <c r="D288" s="18"/>
      <c r="E288" s="18"/>
      <c r="F288" s="19"/>
      <c r="G288" s="18"/>
      <c r="H288" s="18"/>
      <c r="I288" s="19"/>
      <c r="K288" s="18"/>
    </row>
    <row r="289" spans="1:11">
      <c r="A289" s="18"/>
      <c r="B289" s="30"/>
      <c r="C289" s="18"/>
      <c r="D289" s="18"/>
      <c r="E289" s="18"/>
      <c r="F289" s="19"/>
      <c r="G289" s="18"/>
      <c r="H289" s="18"/>
      <c r="I289" s="19"/>
      <c r="K289" s="18"/>
    </row>
    <row r="290" spans="1:11">
      <c r="A290" s="18"/>
      <c r="B290" s="30"/>
      <c r="C290" s="18"/>
      <c r="D290" s="18"/>
      <c r="E290" s="18"/>
      <c r="F290" s="19"/>
      <c r="G290" s="18"/>
      <c r="H290" s="18"/>
      <c r="I290" s="19"/>
      <c r="K290" s="18"/>
    </row>
    <row r="291" spans="1:11">
      <c r="A291" s="18"/>
      <c r="B291" s="30"/>
      <c r="C291" s="18"/>
      <c r="D291" s="18"/>
      <c r="E291" s="18"/>
      <c r="F291" s="19"/>
      <c r="G291" s="18"/>
      <c r="H291" s="18"/>
      <c r="I291" s="19"/>
      <c r="K291" s="18"/>
    </row>
    <row r="292" spans="1:11">
      <c r="A292" s="18"/>
      <c r="B292" s="30"/>
      <c r="C292" s="18"/>
      <c r="D292" s="18"/>
      <c r="E292" s="18"/>
      <c r="F292" s="19"/>
      <c r="G292" s="18"/>
      <c r="H292" s="18"/>
      <c r="I292" s="19"/>
      <c r="K292" s="18"/>
    </row>
    <row r="293" spans="1:11">
      <c r="A293" s="18"/>
      <c r="B293" s="30"/>
      <c r="C293" s="18"/>
      <c r="D293" s="18"/>
      <c r="E293" s="18"/>
      <c r="F293" s="19"/>
      <c r="G293" s="18"/>
      <c r="H293" s="18"/>
      <c r="I293" s="19"/>
      <c r="K293" s="18"/>
    </row>
    <row r="294" spans="1:11">
      <c r="A294" s="18"/>
      <c r="B294" s="30"/>
      <c r="C294" s="18"/>
      <c r="D294" s="18"/>
      <c r="E294" s="18"/>
      <c r="F294" s="19"/>
      <c r="G294" s="18"/>
      <c r="H294" s="18"/>
      <c r="I294" s="19"/>
      <c r="K294" s="18"/>
    </row>
    <row r="295" spans="1:11">
      <c r="A295" s="18"/>
      <c r="B295" s="30"/>
      <c r="C295" s="18"/>
      <c r="D295" s="18"/>
      <c r="E295" s="18"/>
      <c r="F295" s="19"/>
      <c r="G295" s="18"/>
      <c r="H295" s="18"/>
      <c r="I295" s="19"/>
      <c r="K295" s="18"/>
    </row>
    <row r="296" spans="1:11">
      <c r="A296" s="18"/>
      <c r="B296" s="30"/>
      <c r="C296" s="18"/>
      <c r="D296" s="18"/>
      <c r="E296" s="18"/>
      <c r="F296" s="19"/>
      <c r="G296" s="18"/>
      <c r="H296" s="18"/>
      <c r="I296" s="19"/>
      <c r="K296" s="18"/>
    </row>
    <row r="297" spans="1:11">
      <c r="A297" s="18"/>
      <c r="B297" s="30"/>
      <c r="C297" s="18"/>
      <c r="D297" s="18"/>
      <c r="E297" s="18"/>
      <c r="F297" s="19"/>
      <c r="G297" s="18"/>
      <c r="H297" s="18"/>
      <c r="I297" s="19"/>
      <c r="K297" s="18"/>
    </row>
    <row r="298" spans="1:11">
      <c r="A298" s="18"/>
      <c r="B298" s="30"/>
      <c r="C298" s="18"/>
      <c r="D298" s="18"/>
      <c r="E298" s="18"/>
      <c r="F298" s="19"/>
      <c r="G298" s="18"/>
      <c r="H298" s="18"/>
      <c r="I298" s="19"/>
      <c r="K298" s="18"/>
    </row>
    <row r="299" spans="1:11">
      <c r="A299" s="18"/>
      <c r="B299" s="30"/>
      <c r="C299" s="18"/>
      <c r="D299" s="18"/>
      <c r="E299" s="18"/>
      <c r="F299" s="19"/>
      <c r="G299" s="18"/>
      <c r="H299" s="18"/>
      <c r="I299" s="19"/>
      <c r="K299" s="18"/>
    </row>
    <row r="300" spans="1:11">
      <c r="A300" s="18"/>
      <c r="B300" s="30"/>
      <c r="C300" s="18"/>
      <c r="D300" s="18"/>
      <c r="E300" s="18"/>
      <c r="F300" s="19"/>
      <c r="G300" s="18"/>
      <c r="H300" s="18"/>
      <c r="I300" s="19"/>
      <c r="K300" s="18"/>
    </row>
    <row r="301" spans="1:11">
      <c r="A301" s="18"/>
      <c r="B301" s="30"/>
      <c r="C301" s="18"/>
      <c r="D301" s="18"/>
      <c r="E301" s="18"/>
      <c r="F301" s="19"/>
      <c r="G301" s="18"/>
      <c r="H301" s="18"/>
      <c r="I301" s="19"/>
      <c r="K301" s="18"/>
    </row>
    <row r="302" spans="1:11">
      <c r="A302" s="18"/>
      <c r="B302" s="30"/>
      <c r="C302" s="18"/>
      <c r="D302" s="18"/>
      <c r="E302" s="18"/>
      <c r="F302" s="19"/>
      <c r="G302" s="18"/>
      <c r="H302" s="18"/>
      <c r="I302" s="19"/>
      <c r="K302" s="18"/>
    </row>
    <row r="303" spans="1:11">
      <c r="A303" s="18"/>
      <c r="B303" s="30"/>
      <c r="C303" s="18"/>
      <c r="D303" s="18"/>
      <c r="E303" s="18"/>
      <c r="F303" s="19"/>
      <c r="G303" s="18"/>
      <c r="H303" s="18"/>
      <c r="I303" s="19"/>
      <c r="K303" s="18"/>
    </row>
    <row r="304" spans="1:11">
      <c r="A304" s="18"/>
      <c r="B304" s="30"/>
      <c r="C304" s="18"/>
      <c r="D304" s="18"/>
      <c r="E304" s="18"/>
      <c r="F304" s="19"/>
      <c r="G304" s="18"/>
      <c r="H304" s="18"/>
      <c r="I304" s="19"/>
      <c r="K304" s="18"/>
    </row>
    <row r="305" spans="1:11">
      <c r="A305" s="18"/>
      <c r="B305" s="30"/>
      <c r="C305" s="18"/>
      <c r="D305" s="18"/>
      <c r="E305" s="18"/>
      <c r="F305" s="19"/>
      <c r="G305" s="18"/>
      <c r="H305" s="18"/>
      <c r="I305" s="19"/>
      <c r="K305" s="18"/>
    </row>
    <row r="306" spans="1:11">
      <c r="A306" s="18"/>
      <c r="B306" s="30"/>
      <c r="C306" s="18"/>
      <c r="D306" s="18"/>
      <c r="E306" s="18"/>
      <c r="F306" s="19"/>
      <c r="G306" s="18"/>
      <c r="H306" s="18"/>
      <c r="I306" s="19"/>
      <c r="K306" s="18"/>
    </row>
    <row r="307" spans="1:11">
      <c r="A307" s="18"/>
      <c r="B307" s="30"/>
      <c r="C307" s="18"/>
      <c r="D307" s="18"/>
      <c r="E307" s="18"/>
      <c r="F307" s="19"/>
      <c r="G307" s="18"/>
      <c r="H307" s="18"/>
      <c r="I307" s="19"/>
      <c r="K307" s="18"/>
    </row>
    <row r="308" spans="1:11">
      <c r="A308" s="18"/>
      <c r="B308" s="30"/>
      <c r="C308" s="18"/>
      <c r="D308" s="18"/>
      <c r="E308" s="18"/>
      <c r="F308" s="19"/>
      <c r="G308" s="18"/>
      <c r="H308" s="18"/>
      <c r="I308" s="19"/>
      <c r="K308" s="18"/>
    </row>
    <row r="309" spans="1:11">
      <c r="A309" s="18"/>
      <c r="B309" s="30"/>
      <c r="C309" s="18"/>
      <c r="D309" s="18"/>
      <c r="E309" s="18"/>
      <c r="F309" s="19"/>
      <c r="G309" s="18"/>
      <c r="H309" s="18"/>
      <c r="I309" s="19"/>
      <c r="K309" s="18"/>
    </row>
    <row r="310" spans="1:11">
      <c r="A310" s="18"/>
      <c r="B310" s="30"/>
      <c r="C310" s="18"/>
      <c r="D310" s="18"/>
      <c r="E310" s="18"/>
      <c r="F310" s="19"/>
      <c r="G310" s="18"/>
      <c r="H310" s="18"/>
      <c r="I310" s="19"/>
      <c r="K310" s="18"/>
    </row>
    <row r="311" spans="1:11">
      <c r="A311" s="18"/>
      <c r="B311" s="30"/>
      <c r="C311" s="18"/>
      <c r="D311" s="18"/>
      <c r="E311" s="18"/>
      <c r="F311" s="19"/>
      <c r="G311" s="18"/>
      <c r="H311" s="18"/>
      <c r="I311" s="19"/>
      <c r="K311" s="18"/>
    </row>
    <row r="312" spans="1:11">
      <c r="A312" s="18"/>
      <c r="B312" s="30"/>
      <c r="C312" s="18"/>
      <c r="D312" s="18"/>
      <c r="E312" s="18"/>
      <c r="F312" s="19"/>
      <c r="G312" s="18"/>
      <c r="H312" s="18"/>
      <c r="I312" s="19"/>
      <c r="K312" s="18"/>
    </row>
    <row r="313" spans="1:11">
      <c r="A313" s="18"/>
      <c r="B313" s="30"/>
      <c r="C313" s="18"/>
      <c r="D313" s="18"/>
      <c r="E313" s="18"/>
      <c r="F313" s="19"/>
      <c r="G313" s="18"/>
      <c r="H313" s="18"/>
      <c r="I313" s="19"/>
      <c r="K313" s="18"/>
    </row>
    <row r="314" spans="1:11">
      <c r="A314" s="18"/>
      <c r="B314" s="30"/>
      <c r="C314" s="18"/>
      <c r="D314" s="18"/>
      <c r="E314" s="18"/>
      <c r="F314" s="19"/>
      <c r="G314" s="18"/>
      <c r="H314" s="18"/>
      <c r="I314" s="19"/>
      <c r="K314" s="18"/>
    </row>
    <row r="315" spans="1:11">
      <c r="A315" s="18"/>
      <c r="B315" s="30"/>
      <c r="C315" s="18"/>
      <c r="D315" s="18"/>
      <c r="E315" s="18"/>
      <c r="F315" s="19"/>
      <c r="G315" s="18"/>
      <c r="H315" s="18"/>
      <c r="I315" s="19"/>
      <c r="K315" s="18"/>
    </row>
    <row r="316" spans="1:11">
      <c r="A316" s="18"/>
      <c r="B316" s="30"/>
      <c r="C316" s="18"/>
      <c r="D316" s="18"/>
      <c r="E316" s="18"/>
      <c r="F316" s="19"/>
      <c r="G316" s="18"/>
      <c r="H316" s="18"/>
      <c r="I316" s="19"/>
      <c r="K316" s="18"/>
    </row>
    <row r="317" spans="1:11">
      <c r="A317" s="18"/>
      <c r="B317" s="30"/>
      <c r="C317" s="18"/>
      <c r="D317" s="18"/>
      <c r="E317" s="18"/>
      <c r="F317" s="19"/>
      <c r="G317" s="18"/>
      <c r="H317" s="18"/>
      <c r="I317" s="19"/>
      <c r="K317" s="18"/>
    </row>
    <row r="318" spans="1:11">
      <c r="A318" s="18"/>
      <c r="B318" s="30"/>
      <c r="C318" s="18"/>
      <c r="D318" s="18"/>
      <c r="E318" s="18"/>
      <c r="F318" s="19"/>
      <c r="G318" s="18"/>
      <c r="H318" s="18"/>
      <c r="I318" s="19"/>
      <c r="K318" s="18"/>
    </row>
    <row r="319" spans="1:11">
      <c r="A319" s="18"/>
      <c r="B319" s="30"/>
      <c r="C319" s="18"/>
      <c r="D319" s="18"/>
      <c r="E319" s="18"/>
      <c r="F319" s="19"/>
      <c r="G319" s="18"/>
      <c r="H319" s="18"/>
      <c r="I319" s="19"/>
      <c r="K319" s="18"/>
    </row>
    <row r="320" spans="1:11">
      <c r="A320" s="18"/>
      <c r="B320" s="30"/>
      <c r="C320" s="18"/>
      <c r="D320" s="18"/>
      <c r="E320" s="18"/>
      <c r="F320" s="19"/>
      <c r="G320" s="18"/>
      <c r="H320" s="18"/>
      <c r="I320" s="19"/>
      <c r="K320" s="18"/>
    </row>
    <row r="321" spans="1:11">
      <c r="A321" s="18"/>
      <c r="B321" s="30"/>
      <c r="C321" s="18"/>
      <c r="D321" s="18"/>
      <c r="E321" s="18"/>
      <c r="F321" s="19"/>
      <c r="G321" s="18"/>
      <c r="H321" s="18"/>
      <c r="I321" s="19"/>
      <c r="K321" s="18"/>
    </row>
    <row r="322" spans="1:11">
      <c r="A322" s="18"/>
      <c r="B322" s="30"/>
      <c r="C322" s="18"/>
      <c r="D322" s="18"/>
      <c r="E322" s="18"/>
      <c r="F322" s="19"/>
      <c r="G322" s="18"/>
      <c r="H322" s="18"/>
      <c r="I322" s="19"/>
      <c r="K322" s="18"/>
    </row>
    <row r="323" spans="1:11">
      <c r="A323" s="18"/>
      <c r="B323" s="30"/>
      <c r="C323" s="18"/>
      <c r="D323" s="18"/>
      <c r="E323" s="18"/>
      <c r="F323" s="19"/>
      <c r="G323" s="18"/>
      <c r="H323" s="18"/>
      <c r="I323" s="19"/>
      <c r="K323" s="18"/>
    </row>
    <row r="324" spans="1:11">
      <c r="A324" s="18"/>
      <c r="B324" s="30"/>
      <c r="C324" s="18"/>
      <c r="D324" s="18"/>
      <c r="E324" s="18"/>
      <c r="F324" s="19"/>
      <c r="G324" s="18"/>
      <c r="H324" s="18"/>
      <c r="I324" s="19"/>
      <c r="K324" s="18"/>
    </row>
    <row r="325" spans="1:11">
      <c r="A325" s="18"/>
      <c r="B325" s="30"/>
      <c r="C325" s="18"/>
      <c r="D325" s="18"/>
      <c r="E325" s="18"/>
      <c r="F325" s="19"/>
      <c r="G325" s="18"/>
      <c r="H325" s="18"/>
      <c r="I325" s="19"/>
      <c r="K325" s="18"/>
    </row>
    <row r="326" spans="1:11">
      <c r="A326" s="18"/>
      <c r="B326" s="30"/>
      <c r="C326" s="18"/>
      <c r="D326" s="18"/>
      <c r="E326" s="18"/>
      <c r="F326" s="19"/>
      <c r="G326" s="18"/>
      <c r="H326" s="18"/>
      <c r="I326" s="19"/>
      <c r="K326" s="18"/>
    </row>
    <row r="327" spans="1:11">
      <c r="A327" s="18"/>
      <c r="B327" s="30"/>
      <c r="C327" s="18"/>
      <c r="D327" s="18"/>
      <c r="E327" s="18"/>
      <c r="F327" s="19"/>
      <c r="G327" s="18"/>
      <c r="H327" s="18"/>
      <c r="I327" s="19"/>
      <c r="K327" s="18"/>
    </row>
    <row r="328" spans="1:11">
      <c r="A328" s="18"/>
      <c r="B328" s="30"/>
      <c r="C328" s="18"/>
      <c r="D328" s="18"/>
      <c r="E328" s="18"/>
      <c r="F328" s="19"/>
      <c r="G328" s="18"/>
      <c r="H328" s="18"/>
      <c r="I328" s="19"/>
      <c r="K328" s="18"/>
    </row>
    <row r="329" spans="1:11">
      <c r="A329" s="18"/>
      <c r="B329" s="30"/>
      <c r="C329" s="18"/>
      <c r="D329" s="18"/>
      <c r="E329" s="18"/>
      <c r="F329" s="19"/>
      <c r="G329" s="18"/>
      <c r="H329" s="18"/>
      <c r="I329" s="19"/>
      <c r="K329" s="18"/>
    </row>
    <row r="330" spans="1:11">
      <c r="A330" s="18"/>
      <c r="B330" s="30"/>
      <c r="C330" s="18"/>
      <c r="D330" s="18"/>
      <c r="E330" s="18"/>
      <c r="F330" s="19"/>
      <c r="G330" s="18"/>
      <c r="H330" s="18"/>
      <c r="I330" s="19"/>
      <c r="K330" s="18"/>
    </row>
    <row r="331" spans="1:11">
      <c r="A331" s="18"/>
      <c r="B331" s="30"/>
      <c r="C331" s="18"/>
      <c r="D331" s="18"/>
      <c r="E331" s="18"/>
      <c r="F331" s="19"/>
      <c r="G331" s="18"/>
      <c r="H331" s="18"/>
      <c r="I331" s="19"/>
      <c r="K331" s="18"/>
    </row>
    <row r="332" spans="1:11">
      <c r="A332" s="18"/>
      <c r="B332" s="30"/>
      <c r="C332" s="18"/>
      <c r="D332" s="18"/>
      <c r="E332" s="18"/>
      <c r="F332" s="19"/>
      <c r="G332" s="18"/>
      <c r="H332" s="18"/>
      <c r="I332" s="19"/>
      <c r="K332" s="18"/>
    </row>
    <row r="333" spans="1:11">
      <c r="A333" s="18"/>
      <c r="B333" s="30"/>
      <c r="C333" s="18"/>
      <c r="D333" s="18"/>
      <c r="E333" s="18"/>
      <c r="F333" s="19"/>
      <c r="G333" s="18"/>
      <c r="H333" s="18"/>
      <c r="I333" s="19"/>
      <c r="K333" s="18"/>
    </row>
    <row r="334" spans="1:11">
      <c r="A334" s="18"/>
      <c r="B334" s="30"/>
      <c r="C334" s="18"/>
      <c r="D334" s="18"/>
      <c r="E334" s="18"/>
      <c r="F334" s="19"/>
      <c r="G334" s="18"/>
      <c r="H334" s="18"/>
      <c r="I334" s="19"/>
      <c r="K334" s="18"/>
    </row>
    <row r="335" spans="1:11">
      <c r="A335" s="18"/>
      <c r="B335" s="30"/>
      <c r="C335" s="18"/>
      <c r="D335" s="18"/>
      <c r="E335" s="18"/>
      <c r="F335" s="19"/>
      <c r="G335" s="18"/>
      <c r="H335" s="18"/>
      <c r="I335" s="19"/>
      <c r="K335" s="18"/>
    </row>
    <row r="336" spans="1:11">
      <c r="A336" s="18"/>
      <c r="B336" s="30"/>
      <c r="C336" s="18"/>
      <c r="D336" s="18"/>
      <c r="E336" s="18"/>
      <c r="F336" s="19"/>
      <c r="G336" s="18"/>
      <c r="H336" s="18"/>
      <c r="I336" s="19"/>
      <c r="K336" s="18"/>
    </row>
    <row r="337" spans="1:11">
      <c r="A337" s="18"/>
      <c r="B337" s="30"/>
      <c r="C337" s="18"/>
      <c r="D337" s="18"/>
      <c r="E337" s="18"/>
      <c r="F337" s="19"/>
      <c r="G337" s="18"/>
      <c r="H337" s="18"/>
      <c r="I337" s="19"/>
      <c r="K337" s="18"/>
    </row>
    <row r="338" spans="1:11">
      <c r="A338" s="18"/>
      <c r="B338" s="30"/>
      <c r="C338" s="18"/>
      <c r="D338" s="18"/>
      <c r="E338" s="18"/>
      <c r="F338" s="19"/>
      <c r="G338" s="18"/>
      <c r="H338" s="18"/>
      <c r="I338" s="19"/>
      <c r="K338" s="18"/>
    </row>
    <row r="339" spans="1:11">
      <c r="A339" s="18"/>
      <c r="B339" s="30"/>
      <c r="C339" s="18"/>
      <c r="D339" s="18"/>
      <c r="E339" s="18"/>
      <c r="F339" s="19"/>
      <c r="G339" s="18"/>
      <c r="H339" s="18"/>
      <c r="I339" s="19"/>
      <c r="K339" s="18"/>
    </row>
    <row r="340" spans="1:11">
      <c r="A340" s="18"/>
      <c r="B340" s="30"/>
      <c r="C340" s="18"/>
      <c r="D340" s="18"/>
      <c r="E340" s="18"/>
      <c r="F340" s="19"/>
      <c r="G340" s="18"/>
      <c r="H340" s="18"/>
      <c r="I340" s="19"/>
      <c r="K340" s="18"/>
    </row>
    <row r="341" spans="1:11">
      <c r="A341" s="18"/>
      <c r="B341" s="30"/>
      <c r="C341" s="18"/>
      <c r="D341" s="18"/>
      <c r="E341" s="18"/>
      <c r="F341" s="19"/>
      <c r="G341" s="18"/>
      <c r="H341" s="18"/>
      <c r="I341" s="19"/>
      <c r="K341" s="18"/>
    </row>
    <row r="342" spans="1:11">
      <c r="C342" s="18"/>
      <c r="D342" s="18"/>
      <c r="E342" s="18"/>
      <c r="F342" s="19"/>
      <c r="G342" s="18"/>
      <c r="H342" s="18"/>
      <c r="I342" s="19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44" priority="7" stopIfTrue="1" operator="lessThanOrEqual">
      <formula>-0.1</formula>
    </cfRule>
    <cfRule type="expression" dxfId="43" priority="8">
      <formula>AND(ISNUMBER(F2), F2&gt;=0.1)</formula>
    </cfRule>
  </conditionalFormatting>
  <conditionalFormatting sqref="F4:F137 I4:I137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127" activePane="bottomRight" state="frozen"/>
      <selection pane="bottomRight" activeCell="B147" sqref="B14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" customWidth="1"/>
    <col min="11" max="11" width="24.85546875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234</v>
      </c>
      <c r="E1" s="77"/>
      <c r="F1" s="77"/>
      <c r="G1" s="75" t="s">
        <v>235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SUM(C4:C138)</f>
        <v>21564422.222455598</v>
      </c>
      <c r="D2" s="6">
        <f>SUM(D4:D138)</f>
        <v>8493702.5550000016</v>
      </c>
      <c r="E2" s="6">
        <f>C2-D2</f>
        <v>13070719.667455597</v>
      </c>
      <c r="F2" s="7">
        <f>IFERROR(E2/D2, 0)</f>
        <v>1.5388718386142726</v>
      </c>
      <c r="G2" s="6">
        <f>SUM(G4:G138)</f>
        <v>13919916.714</v>
      </c>
      <c r="H2" s="8">
        <f>C2-G2</f>
        <v>7644505.5084555987</v>
      </c>
      <c r="I2" s="7">
        <f>IFERROR(H2/G2, 0)</f>
        <v>0.54917753213042675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>
        <v>13308.393773474299</v>
      </c>
      <c r="D4" s="11">
        <v>9674.8619999999992</v>
      </c>
      <c r="E4" s="11">
        <f>IF(AND(ISNUMBER(C4),ISNUMBER(D4)), C4-D4, "")</f>
        <v>3633.5317734743003</v>
      </c>
      <c r="F4" s="12">
        <f>IFERROR(E4/D4, "")</f>
        <v>0.37556419652025019</v>
      </c>
      <c r="G4" s="13">
        <v>13365.37</v>
      </c>
      <c r="H4" s="13">
        <f>IF(AND(ISNUMBER(C4),ISNUMBER(G4)), C4-G4, "")</f>
        <v>-56.97622652570135</v>
      </c>
      <c r="I4" s="14">
        <f>IFERROR(H4/G4, "")</f>
        <v>-4.2629741283407305E-3</v>
      </c>
      <c r="J4" s="38"/>
      <c r="K4" s="38"/>
    </row>
    <row r="5" spans="1:11" ht="30">
      <c r="A5" s="27" t="str">
        <v>Fulton</v>
      </c>
      <c r="B5" s="28" t="str">
        <v>AZ</v>
      </c>
      <c r="C5" s="10">
        <v>47793.75</v>
      </c>
      <c r="D5" s="15">
        <v>47630.080000000002</v>
      </c>
      <c r="E5" s="15">
        <f t="shared" ref="E5:E13" si="0">IF(AND(ISNUMBER(C5),ISNUMBER(D5)), C5-D5, "")</f>
        <v>163.66999999999825</v>
      </c>
      <c r="F5" s="16">
        <f>IFERROR(E5/D5, "")</f>
        <v>3.4362738840665028E-3</v>
      </c>
      <c r="G5" s="17">
        <v>59035.29</v>
      </c>
      <c r="H5" s="17">
        <f t="shared" ref="H5:H17" si="1">IF(AND(ISNUMBER(C5),ISNUMBER(G5)), C5-G5, "")</f>
        <v>-11241.54</v>
      </c>
      <c r="I5" s="16">
        <f t="shared" ref="I5:I17" si="2">IFERROR(H5/G5, "")</f>
        <v>-0.19042067888545988</v>
      </c>
      <c r="J5" s="39" t="s">
        <v>236</v>
      </c>
      <c r="K5" s="39" t="s">
        <v>237</v>
      </c>
    </row>
    <row r="6" spans="1:11" ht="15.75">
      <c r="A6" s="25" t="str">
        <v>JFK Elementary</v>
      </c>
      <c r="B6" s="26" t="str">
        <v>AZ</v>
      </c>
      <c r="C6" s="21">
        <v>19927</v>
      </c>
      <c r="D6" s="11">
        <v>0</v>
      </c>
      <c r="E6" s="11">
        <f t="shared" si="0"/>
        <v>19927</v>
      </c>
      <c r="F6" s="12" t="str">
        <f t="shared" ref="F6:F13" si="3">IFERROR(E6/D6, "")</f>
        <v/>
      </c>
      <c r="G6" s="13">
        <v>2277</v>
      </c>
      <c r="H6" s="13">
        <f t="shared" si="1"/>
        <v>17650</v>
      </c>
      <c r="I6" s="14">
        <f t="shared" si="2"/>
        <v>7.7514273166447083</v>
      </c>
      <c r="J6" s="38"/>
      <c r="K6" s="38"/>
    </row>
    <row r="7" spans="1:11" ht="15.75">
      <c r="A7" s="27" t="str">
        <v>Noble</v>
      </c>
      <c r="B7" s="28" t="str">
        <v>AZ</v>
      </c>
      <c r="C7" s="10">
        <v>12445.343023461901</v>
      </c>
      <c r="D7" s="15">
        <v>16497.39</v>
      </c>
      <c r="E7" s="15">
        <f t="shared" si="0"/>
        <v>-4052.0469765380985</v>
      </c>
      <c r="F7" s="16">
        <f t="shared" si="3"/>
        <v>-0.24561745685457509</v>
      </c>
      <c r="G7" s="17">
        <v>14907.2</v>
      </c>
      <c r="H7" s="17">
        <f t="shared" si="1"/>
        <v>-2461.8569765380998</v>
      </c>
      <c r="I7" s="16">
        <f t="shared" si="2"/>
        <v>-0.16514549858713237</v>
      </c>
      <c r="J7" s="39"/>
      <c r="K7" s="40"/>
    </row>
    <row r="8" spans="1:11" ht="15.75">
      <c r="A8" s="25" t="str">
        <v>Parking 3</v>
      </c>
      <c r="B8" s="26" t="str">
        <v>AZ</v>
      </c>
      <c r="C8" s="21">
        <v>31608.79</v>
      </c>
      <c r="D8" s="11">
        <v>33379.620000000003</v>
      </c>
      <c r="E8" s="11">
        <f t="shared" si="0"/>
        <v>-1770.8300000000017</v>
      </c>
      <c r="F8" s="12">
        <f t="shared" si="3"/>
        <v>-5.3051233057776023E-2</v>
      </c>
      <c r="G8" s="13">
        <v>34093.980000000003</v>
      </c>
      <c r="H8" s="13">
        <f t="shared" si="1"/>
        <v>-2485.1900000000023</v>
      </c>
      <c r="I8" s="14">
        <f t="shared" si="2"/>
        <v>-7.2892340524632268E-2</v>
      </c>
      <c r="J8" s="38"/>
      <c r="K8" s="38"/>
    </row>
    <row r="9" spans="1:11" ht="15.75">
      <c r="A9" s="27" t="str">
        <v>PE East</v>
      </c>
      <c r="B9" s="28" t="str">
        <v>AZ</v>
      </c>
      <c r="C9" s="10">
        <v>29990.231515660002</v>
      </c>
      <c r="D9" s="15">
        <v>22677.51</v>
      </c>
      <c r="E9" s="15">
        <f t="shared" si="0"/>
        <v>7312.7215156600032</v>
      </c>
      <c r="F9" s="16">
        <f t="shared" si="3"/>
        <v>0.32246580491685389</v>
      </c>
      <c r="G9" s="17">
        <v>31562.71</v>
      </c>
      <c r="H9" s="17">
        <f t="shared" si="1"/>
        <v>-1572.4784843399975</v>
      </c>
      <c r="I9" s="16">
        <f t="shared" si="2"/>
        <v>-4.9820769013180347E-2</v>
      </c>
      <c r="J9" s="39"/>
      <c r="K9" s="40"/>
    </row>
    <row r="10" spans="1:11" ht="15.75">
      <c r="A10" s="25" t="str">
        <v>Schwada</v>
      </c>
      <c r="B10" s="26" t="str">
        <v>AZ</v>
      </c>
      <c r="C10" s="21">
        <v>13032.2579350591</v>
      </c>
      <c r="D10" s="11">
        <v>9418.3690000000006</v>
      </c>
      <c r="E10" s="11">
        <f t="shared" si="0"/>
        <v>3613.8889350590998</v>
      </c>
      <c r="F10" s="12">
        <f t="shared" si="3"/>
        <v>0.38370645013580373</v>
      </c>
      <c r="G10" s="13">
        <v>12913</v>
      </c>
      <c r="H10" s="13">
        <f t="shared" si="1"/>
        <v>119.25793505910042</v>
      </c>
      <c r="I10" s="14">
        <f t="shared" si="2"/>
        <v>9.2354940803144447E-3</v>
      </c>
      <c r="J10" s="38"/>
      <c r="K10" s="38"/>
    </row>
    <row r="11" spans="1:11" ht="30">
      <c r="A11" s="27" t="str">
        <v>Starshine</v>
      </c>
      <c r="B11" s="28" t="str">
        <v>AZ</v>
      </c>
      <c r="C11" s="10">
        <v>7256.8</v>
      </c>
      <c r="D11" s="15">
        <v>0</v>
      </c>
      <c r="E11" s="15">
        <f t="shared" si="0"/>
        <v>7256.8</v>
      </c>
      <c r="F11" s="16" t="str">
        <f t="shared" si="3"/>
        <v/>
      </c>
      <c r="G11" s="17">
        <v>0</v>
      </c>
      <c r="H11" s="17">
        <f t="shared" si="1"/>
        <v>7256.8</v>
      </c>
      <c r="I11" s="16" t="str">
        <f t="shared" si="2"/>
        <v/>
      </c>
      <c r="J11" s="39" t="s">
        <v>238</v>
      </c>
      <c r="K11" s="58" t="s">
        <v>239</v>
      </c>
    </row>
    <row r="12" spans="1:11" ht="15.75">
      <c r="A12" s="25" t="str">
        <v>Yuma Airport</v>
      </c>
      <c r="B12" s="26" t="str">
        <v>AZ</v>
      </c>
      <c r="C12" s="21">
        <v>80804</v>
      </c>
      <c r="D12" s="11">
        <v>98396.27</v>
      </c>
      <c r="E12" s="11">
        <f t="shared" si="0"/>
        <v>-17592.270000000004</v>
      </c>
      <c r="F12" s="12">
        <f t="shared" si="3"/>
        <v>-0.17879000901152048</v>
      </c>
      <c r="G12" s="13">
        <v>90210</v>
      </c>
      <c r="H12" s="13">
        <f t="shared" si="1"/>
        <v>-9406</v>
      </c>
      <c r="I12" s="14">
        <f t="shared" si="2"/>
        <v>-0.10426781953220264</v>
      </c>
      <c r="J12" s="38" t="s">
        <v>240</v>
      </c>
      <c r="K12" s="38" t="s">
        <v>241</v>
      </c>
    </row>
    <row r="13" spans="1:11" ht="30">
      <c r="A13" s="27" t="str">
        <v>Kinsman</v>
      </c>
      <c r="B13" s="28" t="str">
        <v>OH</v>
      </c>
      <c r="C13" s="10">
        <v>88565.4296875</v>
      </c>
      <c r="D13" s="15">
        <v>122677.1</v>
      </c>
      <c r="E13" s="15">
        <f t="shared" si="0"/>
        <v>-34111.670312500006</v>
      </c>
      <c r="F13" s="16">
        <f t="shared" si="3"/>
        <v>-0.27806061858733216</v>
      </c>
      <c r="G13" s="17">
        <v>96046</v>
      </c>
      <c r="H13" s="17">
        <f t="shared" si="1"/>
        <v>-7480.5703125</v>
      </c>
      <c r="I13" s="16">
        <f t="shared" si="2"/>
        <v>-7.7885287388334751E-2</v>
      </c>
      <c r="J13" s="39" t="s">
        <v>242</v>
      </c>
      <c r="K13" s="40" t="s">
        <v>243</v>
      </c>
    </row>
    <row r="14" spans="1:11" ht="15.75">
      <c r="A14" s="25" t="str">
        <v>Wooster</v>
      </c>
      <c r="B14" s="26" t="str">
        <v>OH</v>
      </c>
      <c r="C14" s="21">
        <v>18579.5</v>
      </c>
      <c r="D14" s="11">
        <v>0</v>
      </c>
      <c r="E14" s="11">
        <f t="shared" ref="E14:E77" si="4">IF(AND(ISNUMBER(C14),ISNUMBER(D14)), C14-D14, "")</f>
        <v>18579.5</v>
      </c>
      <c r="F14" s="12" t="str">
        <f t="shared" ref="F14:F77" si="5">IFERROR(E14/D14, "")</f>
        <v/>
      </c>
      <c r="G14" s="13">
        <v>22628</v>
      </c>
      <c r="H14" s="13">
        <f t="shared" si="1"/>
        <v>-4048.5</v>
      </c>
      <c r="I14" s="14">
        <f t="shared" si="2"/>
        <v>-0.17891550291674033</v>
      </c>
      <c r="J14" s="38"/>
      <c r="K14" s="38"/>
    </row>
    <row r="15" spans="1:11" ht="15.75">
      <c r="A15" s="27" t="str">
        <v>Globe Gila CC</v>
      </c>
      <c r="B15" s="28" t="str">
        <v>AZ</v>
      </c>
      <c r="C15" s="10">
        <v>15507.2588129833</v>
      </c>
      <c r="D15" s="15">
        <v>0</v>
      </c>
      <c r="E15" s="15">
        <f t="shared" si="4"/>
        <v>15507.2588129833</v>
      </c>
      <c r="F15" s="16" t="str">
        <f t="shared" si="5"/>
        <v/>
      </c>
      <c r="G15" s="17">
        <v>16233</v>
      </c>
      <c r="H15" s="17">
        <f t="shared" si="1"/>
        <v>-725.74118701669977</v>
      </c>
      <c r="I15" s="16">
        <f t="shared" si="2"/>
        <v>-4.4707767326846531E-2</v>
      </c>
      <c r="J15" s="39"/>
      <c r="K15" s="40"/>
    </row>
    <row r="16" spans="1:11" ht="15.75">
      <c r="A16" s="25" t="str">
        <v>Payson Gila CC</v>
      </c>
      <c r="B16" s="26" t="str">
        <v>AZ</v>
      </c>
      <c r="C16" s="21">
        <v>10729.978462409499</v>
      </c>
      <c r="D16" s="11">
        <v>0</v>
      </c>
      <c r="E16" s="11">
        <f t="shared" si="4"/>
        <v>10729.978462409499</v>
      </c>
      <c r="F16" s="12" t="str">
        <f t="shared" si="5"/>
        <v/>
      </c>
      <c r="G16" s="13">
        <v>12721</v>
      </c>
      <c r="H16" s="13">
        <f t="shared" si="1"/>
        <v>-1991.0215375905009</v>
      </c>
      <c r="I16" s="14">
        <f t="shared" si="2"/>
        <v>-0.15651454583684465</v>
      </c>
      <c r="J16" s="38"/>
      <c r="K16" s="38"/>
    </row>
    <row r="17" spans="1:11" ht="30">
      <c r="A17" s="27" t="str">
        <v>SCNM</v>
      </c>
      <c r="B17" s="28" t="str">
        <v>AZ</v>
      </c>
      <c r="C17" s="10">
        <v>73238.5</v>
      </c>
      <c r="D17" s="15">
        <v>0</v>
      </c>
      <c r="E17" s="15">
        <f t="shared" si="4"/>
        <v>73238.5</v>
      </c>
      <c r="F17" s="16" t="str">
        <f t="shared" si="5"/>
        <v/>
      </c>
      <c r="G17" s="17">
        <v>41460</v>
      </c>
      <c r="H17" s="17">
        <f t="shared" si="1"/>
        <v>31778.5</v>
      </c>
      <c r="I17" s="16">
        <f t="shared" si="2"/>
        <v>0.76648576941630486</v>
      </c>
      <c r="J17" s="59" t="s">
        <v>132</v>
      </c>
      <c r="K17" s="60" t="s">
        <v>133</v>
      </c>
    </row>
    <row r="18" spans="1:11" ht="12.75" customHeight="1">
      <c r="A18" s="25" t="str">
        <v>Sequoia Charter School</v>
      </c>
      <c r="B18" s="26" t="str">
        <v>AZ</v>
      </c>
      <c r="C18" s="21">
        <v>35577.629999999997</v>
      </c>
      <c r="D18" s="11">
        <v>0</v>
      </c>
      <c r="E18" s="11">
        <f t="shared" si="4"/>
        <v>35577.629999999997</v>
      </c>
      <c r="F18" s="12" t="str">
        <f t="shared" si="5"/>
        <v/>
      </c>
      <c r="G18" s="13">
        <v>11830</v>
      </c>
      <c r="H18" s="13">
        <f t="shared" ref="H18:H81" si="6">IF(AND(ISNUMBER(C18),ISNUMBER(G18)), C18-G18, "")</f>
        <v>23747.629999999997</v>
      </c>
      <c r="I18" s="14">
        <f t="shared" ref="I18:I81" si="7">IFERROR(H18/G18, "")</f>
        <v>2.0074074387151306</v>
      </c>
      <c r="J18" s="38"/>
      <c r="K18" s="38"/>
    </row>
    <row r="19" spans="1:11" ht="15.75">
      <c r="A19" s="27" t="str">
        <v>RCAB</v>
      </c>
      <c r="B19" s="28" t="str">
        <v>MA</v>
      </c>
      <c r="C19" s="10">
        <v>91724</v>
      </c>
      <c r="D19" s="15">
        <v>104793.2</v>
      </c>
      <c r="E19" s="15">
        <f t="shared" si="4"/>
        <v>-13069.199999999997</v>
      </c>
      <c r="F19" s="16">
        <f t="shared" si="5"/>
        <v>-0.12471419901291303</v>
      </c>
      <c r="G19" s="17">
        <v>97751.63</v>
      </c>
      <c r="H19" s="17">
        <f t="shared" si="6"/>
        <v>-6027.6300000000047</v>
      </c>
      <c r="I19" s="16">
        <f t="shared" si="7"/>
        <v>-6.1662705777898584E-2</v>
      </c>
      <c r="J19" s="39" t="s">
        <v>244</v>
      </c>
      <c r="K19" s="40" t="s">
        <v>245</v>
      </c>
    </row>
    <row r="20" spans="1:11" ht="30">
      <c r="A20" s="25" t="str">
        <v>Spectro Coatings</v>
      </c>
      <c r="B20" s="26" t="str">
        <v>MA</v>
      </c>
      <c r="C20" s="21">
        <v>23580</v>
      </c>
      <c r="D20" s="11">
        <v>28965.39</v>
      </c>
      <c r="E20" s="11">
        <f t="shared" si="4"/>
        <v>-5385.3899999999994</v>
      </c>
      <c r="F20" s="12">
        <f t="shared" si="5"/>
        <v>-0.18592499531337225</v>
      </c>
      <c r="G20" s="13">
        <v>27277.07</v>
      </c>
      <c r="H20" s="13">
        <f t="shared" si="6"/>
        <v>-3697.0699999999997</v>
      </c>
      <c r="I20" s="14">
        <f t="shared" si="7"/>
        <v>-0.13553765122133718</v>
      </c>
      <c r="J20" s="38" t="s">
        <v>246</v>
      </c>
      <c r="K20" s="38" t="s">
        <v>247</v>
      </c>
    </row>
    <row r="21" spans="1:11" ht="15.75">
      <c r="A21" s="27" t="str">
        <v>K026</v>
      </c>
      <c r="B21" s="28" t="str">
        <v>NY</v>
      </c>
      <c r="C21" s="10">
        <v>28425.479066985499</v>
      </c>
      <c r="D21" s="15">
        <v>30650.36</v>
      </c>
      <c r="E21" s="15">
        <f t="shared" si="4"/>
        <v>-2224.8809330145014</v>
      </c>
      <c r="F21" s="16">
        <f t="shared" si="5"/>
        <v>-7.2589063652580305E-2</v>
      </c>
      <c r="G21" s="17">
        <v>33455.97</v>
      </c>
      <c r="H21" s="17">
        <f t="shared" si="6"/>
        <v>-5030.4909330145019</v>
      </c>
      <c r="I21" s="16">
        <f t="shared" si="7"/>
        <v>-0.15036153287483525</v>
      </c>
      <c r="J21" s="39"/>
      <c r="K21" s="40"/>
    </row>
    <row r="22" spans="1:11" ht="15.75">
      <c r="A22" s="25" t="str">
        <v>K041</v>
      </c>
      <c r="B22" s="26" t="str">
        <v>NY</v>
      </c>
      <c r="C22" s="21">
        <v>21206.447851562501</v>
      </c>
      <c r="D22" s="11">
        <v>0</v>
      </c>
      <c r="E22" s="11">
        <f t="shared" si="4"/>
        <v>21206.447851562501</v>
      </c>
      <c r="F22" s="12" t="str">
        <f t="shared" si="5"/>
        <v/>
      </c>
      <c r="G22" s="13">
        <v>0</v>
      </c>
      <c r="H22" s="13">
        <f t="shared" si="6"/>
        <v>21206.447851562501</v>
      </c>
      <c r="I22" s="14" t="str">
        <f t="shared" si="7"/>
        <v/>
      </c>
      <c r="J22" s="38" t="s">
        <v>248</v>
      </c>
      <c r="K22" s="38" t="s">
        <v>249</v>
      </c>
    </row>
    <row r="23" spans="1:11" ht="15.75">
      <c r="A23" s="27" t="str">
        <v>K043</v>
      </c>
      <c r="B23" s="28" t="str">
        <v>NY</v>
      </c>
      <c r="C23" s="10">
        <v>24755.875</v>
      </c>
      <c r="D23" s="15">
        <v>26350.82</v>
      </c>
      <c r="E23" s="15">
        <f t="shared" si="4"/>
        <v>-1594.9449999999997</v>
      </c>
      <c r="F23" s="16">
        <f t="shared" si="5"/>
        <v>-6.0527338428177938E-2</v>
      </c>
      <c r="G23" s="17">
        <v>31320</v>
      </c>
      <c r="H23" s="17">
        <f t="shared" si="6"/>
        <v>-6564.125</v>
      </c>
      <c r="I23" s="16">
        <f t="shared" si="7"/>
        <v>-0.20958253512132821</v>
      </c>
      <c r="J23" s="39"/>
      <c r="K23" s="40"/>
    </row>
    <row r="24" spans="1:11" ht="15.75">
      <c r="A24" s="25" t="str">
        <v>K058</v>
      </c>
      <c r="B24" s="26" t="str">
        <v>NY</v>
      </c>
      <c r="C24" s="21">
        <v>20851.625</v>
      </c>
      <c r="D24" s="11">
        <v>21154.39</v>
      </c>
      <c r="E24" s="11">
        <f t="shared" si="4"/>
        <v>-302.76499999999942</v>
      </c>
      <c r="F24" s="12">
        <f t="shared" si="5"/>
        <v>-1.4312159320122178E-2</v>
      </c>
      <c r="G24" s="13">
        <v>20987.87</v>
      </c>
      <c r="H24" s="13">
        <f t="shared" si="6"/>
        <v>-136.24499999999898</v>
      </c>
      <c r="I24" s="14">
        <f t="shared" si="7"/>
        <v>-6.4916068186051746E-3</v>
      </c>
      <c r="J24" s="38"/>
      <c r="K24" s="38"/>
    </row>
    <row r="25" spans="1:11" ht="15.75">
      <c r="A25" s="27" t="str">
        <v>K115</v>
      </c>
      <c r="B25" s="28" t="str">
        <v>NY</v>
      </c>
      <c r="C25" s="10">
        <v>5488.1328125</v>
      </c>
      <c r="D25" s="15">
        <v>9789.2029999999995</v>
      </c>
      <c r="E25" s="15">
        <f t="shared" si="4"/>
        <v>-4301.0701874999995</v>
      </c>
      <c r="F25" s="16">
        <f t="shared" si="5"/>
        <v>-0.43936878083946157</v>
      </c>
      <c r="G25" s="17">
        <v>6974.866</v>
      </c>
      <c r="H25" s="17">
        <f t="shared" si="6"/>
        <v>-1486.7331875</v>
      </c>
      <c r="I25" s="16">
        <f t="shared" si="7"/>
        <v>-0.21315580650581675</v>
      </c>
      <c r="J25" s="39"/>
      <c r="K25" s="40"/>
    </row>
    <row r="26" spans="1:11" ht="15.75">
      <c r="A26" s="25" t="str">
        <v>K152</v>
      </c>
      <c r="B26" s="26" t="str">
        <v>NY</v>
      </c>
      <c r="C26" s="21">
        <v>8147.359375</v>
      </c>
      <c r="D26" s="11">
        <v>8137.5910000000003</v>
      </c>
      <c r="E26" s="11">
        <f t="shared" si="4"/>
        <v>9.7683749999996508</v>
      </c>
      <c r="F26" s="12">
        <f t="shared" si="5"/>
        <v>1.2004013227009873E-3</v>
      </c>
      <c r="G26" s="13">
        <v>1533</v>
      </c>
      <c r="H26" s="13">
        <f t="shared" si="6"/>
        <v>6614.359375</v>
      </c>
      <c r="I26" s="14">
        <f t="shared" si="7"/>
        <v>4.3146506033920415</v>
      </c>
      <c r="J26" s="38"/>
      <c r="K26" s="38"/>
    </row>
    <row r="27" spans="1:11" ht="15.75">
      <c r="A27" s="27" t="str">
        <v>K166</v>
      </c>
      <c r="B27" s="28" t="str">
        <v>NY</v>
      </c>
      <c r="C27" s="10">
        <v>28664.125</v>
      </c>
      <c r="D27" s="15">
        <v>30585.97</v>
      </c>
      <c r="E27" s="15">
        <f t="shared" si="4"/>
        <v>-1921.8450000000012</v>
      </c>
      <c r="F27" s="16">
        <f t="shared" si="5"/>
        <v>-6.2834201432879225E-2</v>
      </c>
      <c r="G27" s="17">
        <v>32101.71</v>
      </c>
      <c r="H27" s="17">
        <f t="shared" si="6"/>
        <v>-3437.5849999999991</v>
      </c>
      <c r="I27" s="16">
        <f t="shared" si="7"/>
        <v>-0.1070841709055374</v>
      </c>
      <c r="J27" s="39"/>
      <c r="K27" s="40"/>
    </row>
    <row r="28" spans="1:11" ht="30">
      <c r="A28" s="25" t="str">
        <v>K206</v>
      </c>
      <c r="B28" s="26" t="str">
        <v>NY</v>
      </c>
      <c r="C28" s="21">
        <v>12626.635224609399</v>
      </c>
      <c r="D28" s="11">
        <v>0</v>
      </c>
      <c r="E28" s="11">
        <f t="shared" si="4"/>
        <v>12626.635224609399</v>
      </c>
      <c r="F28" s="12" t="str">
        <f t="shared" si="5"/>
        <v/>
      </c>
      <c r="G28" s="13">
        <v>0</v>
      </c>
      <c r="H28" s="13">
        <f t="shared" si="6"/>
        <v>12626.635224609399</v>
      </c>
      <c r="I28" s="14" t="str">
        <f t="shared" si="7"/>
        <v/>
      </c>
      <c r="J28" s="38" t="s">
        <v>250</v>
      </c>
      <c r="K28" s="38" t="s">
        <v>251</v>
      </c>
    </row>
    <row r="29" spans="1:11" ht="15.75">
      <c r="A29" s="27" t="str">
        <v>K251</v>
      </c>
      <c r="B29" s="28" t="str">
        <v>NY</v>
      </c>
      <c r="C29" s="10">
        <v>14358.09375</v>
      </c>
      <c r="D29" s="15">
        <v>18723.29</v>
      </c>
      <c r="E29" s="15">
        <f t="shared" si="4"/>
        <v>-4365.1962500000009</v>
      </c>
      <c r="F29" s="16">
        <f t="shared" si="5"/>
        <v>-0.23314258605191721</v>
      </c>
      <c r="G29" s="17">
        <v>18132.59</v>
      </c>
      <c r="H29" s="17">
        <f t="shared" si="6"/>
        <v>-3774.4962500000001</v>
      </c>
      <c r="I29" s="16">
        <f t="shared" si="7"/>
        <v>-0.20816089979423791</v>
      </c>
      <c r="J29" s="39" t="s">
        <v>252</v>
      </c>
      <c r="K29" s="39" t="s">
        <v>253</v>
      </c>
    </row>
    <row r="30" spans="1:11" ht="15.75">
      <c r="A30" s="25" t="str">
        <v>K269</v>
      </c>
      <c r="B30" s="26" t="str">
        <v>NY</v>
      </c>
      <c r="C30" s="21">
        <v>17329.84375</v>
      </c>
      <c r="D30" s="11">
        <v>0</v>
      </c>
      <c r="E30" s="11">
        <f t="shared" si="4"/>
        <v>17329.84375</v>
      </c>
      <c r="F30" s="12" t="str">
        <f t="shared" si="5"/>
        <v/>
      </c>
      <c r="G30" s="13">
        <v>20269.12</v>
      </c>
      <c r="H30" s="13">
        <f t="shared" si="6"/>
        <v>-2939.276249999999</v>
      </c>
      <c r="I30" s="14">
        <f t="shared" si="7"/>
        <v>-0.14501252397736059</v>
      </c>
      <c r="J30" s="38"/>
      <c r="K30" s="38"/>
    </row>
    <row r="31" spans="1:11" ht="15.75">
      <c r="A31" s="27" t="str">
        <v>K273</v>
      </c>
      <c r="B31" s="28" t="str">
        <v>NY</v>
      </c>
      <c r="C31" s="10">
        <v>19692.9375</v>
      </c>
      <c r="D31" s="15">
        <v>0</v>
      </c>
      <c r="E31" s="15">
        <f t="shared" si="4"/>
        <v>19692.9375</v>
      </c>
      <c r="F31" s="16" t="str">
        <f t="shared" si="5"/>
        <v/>
      </c>
      <c r="G31" s="17">
        <v>20381</v>
      </c>
      <c r="H31" s="17">
        <f t="shared" si="6"/>
        <v>-688.0625</v>
      </c>
      <c r="I31" s="16">
        <f t="shared" si="7"/>
        <v>-3.3759997056081646E-2</v>
      </c>
      <c r="J31" s="39"/>
      <c r="K31" s="40"/>
    </row>
    <row r="32" spans="1:11" ht="15.75">
      <c r="A32" s="25" t="str">
        <v>K287</v>
      </c>
      <c r="B32" s="26" t="str">
        <v>NY</v>
      </c>
      <c r="C32" s="21">
        <v>15267.03125</v>
      </c>
      <c r="D32" s="11">
        <v>12956.46</v>
      </c>
      <c r="E32" s="11">
        <f t="shared" si="4"/>
        <v>2310.5712500000009</v>
      </c>
      <c r="F32" s="12">
        <f t="shared" si="5"/>
        <v>0.17833353014635178</v>
      </c>
      <c r="G32" s="13">
        <v>0</v>
      </c>
      <c r="H32" s="13">
        <f t="shared" si="6"/>
        <v>15267.03125</v>
      </c>
      <c r="I32" s="14" t="str">
        <f t="shared" si="7"/>
        <v/>
      </c>
      <c r="J32" s="38"/>
      <c r="K32" s="38"/>
    </row>
    <row r="33" spans="1:11" ht="15.75">
      <c r="A33" s="27" t="str">
        <v>K298</v>
      </c>
      <c r="B33" s="28" t="str">
        <v>NY</v>
      </c>
      <c r="C33" s="10">
        <v>16562.984375</v>
      </c>
      <c r="D33" s="15">
        <v>17371.77</v>
      </c>
      <c r="E33" s="15">
        <f t="shared" si="4"/>
        <v>-808.78562500000044</v>
      </c>
      <c r="F33" s="16">
        <f t="shared" si="5"/>
        <v>-4.6557467949437534E-2</v>
      </c>
      <c r="G33" s="17">
        <v>0</v>
      </c>
      <c r="H33" s="17">
        <f t="shared" si="6"/>
        <v>16562.984375</v>
      </c>
      <c r="I33" s="16" t="str">
        <f t="shared" si="7"/>
        <v/>
      </c>
      <c r="J33" s="39"/>
      <c r="K33" s="40"/>
    </row>
    <row r="34" spans="1:11" ht="30">
      <c r="A34" s="25" t="str">
        <v>K335</v>
      </c>
      <c r="B34" s="26" t="str">
        <v>NY</v>
      </c>
      <c r="C34" s="21">
        <v>15979.40625</v>
      </c>
      <c r="D34" s="11">
        <v>18687.03</v>
      </c>
      <c r="E34" s="11">
        <f t="shared" si="4"/>
        <v>-2707.6237499999988</v>
      </c>
      <c r="F34" s="12">
        <f t="shared" si="5"/>
        <v>-0.14489320935429542</v>
      </c>
      <c r="G34" s="13">
        <v>21169</v>
      </c>
      <c r="H34" s="13">
        <f t="shared" si="6"/>
        <v>-5189.59375</v>
      </c>
      <c r="I34" s="14">
        <f t="shared" si="7"/>
        <v>-0.2451506330010865</v>
      </c>
      <c r="J34" s="38" t="s">
        <v>254</v>
      </c>
      <c r="K34" s="38" t="s">
        <v>255</v>
      </c>
    </row>
    <row r="35" spans="1:11" ht="15.75">
      <c r="A35" s="27" t="str">
        <v>K345</v>
      </c>
      <c r="B35" s="28" t="str">
        <v>NY</v>
      </c>
      <c r="C35" s="10">
        <v>18286.3622460937</v>
      </c>
      <c r="D35" s="15">
        <v>12310.74</v>
      </c>
      <c r="E35" s="15">
        <f t="shared" si="4"/>
        <v>5975.6222460937006</v>
      </c>
      <c r="F35" s="16">
        <f t="shared" si="5"/>
        <v>0.48539911054036561</v>
      </c>
      <c r="G35" s="17">
        <v>10903</v>
      </c>
      <c r="H35" s="17">
        <f t="shared" si="6"/>
        <v>7383.3622460937004</v>
      </c>
      <c r="I35" s="16">
        <f t="shared" si="7"/>
        <v>0.67718630157696968</v>
      </c>
      <c r="J35" s="39" t="s">
        <v>256</v>
      </c>
      <c r="K35" s="40" t="s">
        <v>257</v>
      </c>
    </row>
    <row r="36" spans="1:11" ht="15.75">
      <c r="A36" s="25" t="str">
        <v>K445</v>
      </c>
      <c r="B36" s="26" t="str">
        <v>NY</v>
      </c>
      <c r="C36" s="21">
        <v>16171.765625</v>
      </c>
      <c r="D36" s="11">
        <v>17957.29</v>
      </c>
      <c r="E36" s="11">
        <f t="shared" si="4"/>
        <v>-1785.5243750000009</v>
      </c>
      <c r="F36" s="12">
        <f t="shared" si="5"/>
        <v>-9.9431728005729192E-2</v>
      </c>
      <c r="G36" s="13">
        <v>20544.73</v>
      </c>
      <c r="H36" s="13">
        <f t="shared" si="6"/>
        <v>-4372.9643749999996</v>
      </c>
      <c r="I36" s="14">
        <f t="shared" si="7"/>
        <v>-0.21285090507395327</v>
      </c>
      <c r="J36" s="38"/>
      <c r="K36" s="38"/>
    </row>
    <row r="37" spans="1:11" ht="45">
      <c r="A37" s="27" t="str">
        <v>K495</v>
      </c>
      <c r="B37" s="28" t="str">
        <v>NY</v>
      </c>
      <c r="C37" s="10">
        <v>60571.1875</v>
      </c>
      <c r="D37" s="15">
        <v>0</v>
      </c>
      <c r="E37" s="15">
        <f t="shared" si="4"/>
        <v>60571.1875</v>
      </c>
      <c r="F37" s="16" t="str">
        <f t="shared" si="5"/>
        <v/>
      </c>
      <c r="G37" s="17">
        <v>0</v>
      </c>
      <c r="H37" s="17">
        <f t="shared" si="6"/>
        <v>60571.1875</v>
      </c>
      <c r="I37" s="16" t="str">
        <f t="shared" si="7"/>
        <v/>
      </c>
      <c r="J37" s="61" t="s">
        <v>258</v>
      </c>
      <c r="K37" s="62" t="s">
        <v>259</v>
      </c>
    </row>
    <row r="38" spans="1:11" ht="15.75">
      <c r="A38" s="25" t="str">
        <v>M020</v>
      </c>
      <c r="B38" s="26" t="str">
        <v>NY</v>
      </c>
      <c r="C38" s="21">
        <v>16848.0625</v>
      </c>
      <c r="D38" s="11">
        <v>15388.65</v>
      </c>
      <c r="E38" s="11">
        <f t="shared" si="4"/>
        <v>1459.4125000000004</v>
      </c>
      <c r="F38" s="12">
        <f t="shared" si="5"/>
        <v>9.4836941512088477E-2</v>
      </c>
      <c r="G38" s="13">
        <v>0</v>
      </c>
      <c r="H38" s="13">
        <f t="shared" si="6"/>
        <v>16848.0625</v>
      </c>
      <c r="I38" s="14" t="str">
        <f t="shared" si="7"/>
        <v/>
      </c>
      <c r="J38" s="38"/>
      <c r="K38" s="38"/>
    </row>
    <row r="39" spans="1:11" ht="15.75">
      <c r="A39" s="27" t="str">
        <v>M092</v>
      </c>
      <c r="B39" s="28" t="str">
        <v>NY</v>
      </c>
      <c r="C39" s="10">
        <v>16658.0625</v>
      </c>
      <c r="D39" s="15">
        <v>18158.13</v>
      </c>
      <c r="E39" s="15">
        <f t="shared" si="4"/>
        <v>-1500.067500000001</v>
      </c>
      <c r="F39" s="16">
        <f t="shared" si="5"/>
        <v>-8.2611342687820874E-2</v>
      </c>
      <c r="G39" s="17">
        <v>19908.93</v>
      </c>
      <c r="H39" s="17">
        <f t="shared" si="6"/>
        <v>-3250.8675000000003</v>
      </c>
      <c r="I39" s="16">
        <f t="shared" si="7"/>
        <v>-0.16328690190783735</v>
      </c>
      <c r="J39" s="39"/>
      <c r="K39" s="40"/>
    </row>
    <row r="40" spans="1:11" ht="15.75">
      <c r="A40" s="25" t="str">
        <v>M143</v>
      </c>
      <c r="B40" s="26" t="str">
        <v>NY</v>
      </c>
      <c r="C40" s="21">
        <v>20092.34375</v>
      </c>
      <c r="D40" s="11">
        <v>22283.18</v>
      </c>
      <c r="E40" s="11">
        <f t="shared" si="4"/>
        <v>-2190.8362500000003</v>
      </c>
      <c r="F40" s="12">
        <f t="shared" si="5"/>
        <v>-9.8317935321619282E-2</v>
      </c>
      <c r="G40" s="13">
        <v>24549.07</v>
      </c>
      <c r="H40" s="13">
        <f t="shared" si="6"/>
        <v>-4456.7262499999997</v>
      </c>
      <c r="I40" s="14">
        <f t="shared" si="7"/>
        <v>-0.18154358800557413</v>
      </c>
      <c r="J40" s="38"/>
      <c r="K40" s="38"/>
    </row>
    <row r="41" spans="1:11" ht="15.75">
      <c r="A41" s="27" t="str">
        <v>M144</v>
      </c>
      <c r="B41" s="28" t="str">
        <v>NY</v>
      </c>
      <c r="C41" s="10">
        <v>27745.046875</v>
      </c>
      <c r="D41" s="15">
        <v>0</v>
      </c>
      <c r="E41" s="15">
        <f t="shared" si="4"/>
        <v>27745.046875</v>
      </c>
      <c r="F41" s="16" t="str">
        <f t="shared" si="5"/>
        <v/>
      </c>
      <c r="G41" s="17">
        <v>0</v>
      </c>
      <c r="H41" s="17">
        <f t="shared" si="6"/>
        <v>27745.046875</v>
      </c>
      <c r="I41" s="16" t="str">
        <f t="shared" si="7"/>
        <v/>
      </c>
      <c r="J41" s="39"/>
      <c r="K41" s="39"/>
    </row>
    <row r="42" spans="1:11" ht="15.75">
      <c r="A42" s="25" t="str">
        <v>M167</v>
      </c>
      <c r="B42" s="26" t="str">
        <v>NY</v>
      </c>
      <c r="C42" s="21">
        <v>21029.287109375</v>
      </c>
      <c r="D42" s="11">
        <v>15675.65</v>
      </c>
      <c r="E42" s="11">
        <f t="shared" si="4"/>
        <v>5353.6371093750004</v>
      </c>
      <c r="F42" s="12">
        <f t="shared" si="5"/>
        <v>0.34152568533840705</v>
      </c>
      <c r="G42" s="13">
        <v>19330.91</v>
      </c>
      <c r="H42" s="13">
        <f t="shared" si="6"/>
        <v>1698.3771093750001</v>
      </c>
      <c r="I42" s="14">
        <f t="shared" si="7"/>
        <v>8.7858104423175126E-2</v>
      </c>
      <c r="J42" s="38"/>
      <c r="K42" s="38"/>
    </row>
    <row r="43" spans="1:11" ht="15.75">
      <c r="A43" s="27" t="str">
        <v>M188</v>
      </c>
      <c r="B43" s="28" t="str">
        <v>NY</v>
      </c>
      <c r="C43" s="10">
        <v>15230.658515625</v>
      </c>
      <c r="D43" s="15">
        <v>0</v>
      </c>
      <c r="E43" s="15">
        <f t="shared" si="4"/>
        <v>15230.658515625</v>
      </c>
      <c r="F43" s="16" t="str">
        <f t="shared" si="5"/>
        <v/>
      </c>
      <c r="G43" s="17">
        <v>0</v>
      </c>
      <c r="H43" s="17">
        <f t="shared" si="6"/>
        <v>15230.658515625</v>
      </c>
      <c r="I43" s="16" t="str">
        <f t="shared" si="7"/>
        <v/>
      </c>
      <c r="J43" s="39"/>
      <c r="K43" s="40"/>
    </row>
    <row r="44" spans="1:11" ht="15.75">
      <c r="A44" s="25" t="str">
        <v>EMHC</v>
      </c>
      <c r="B44" s="26" t="str">
        <v>NY</v>
      </c>
      <c r="C44" s="21">
        <v>4392.8269115846497</v>
      </c>
      <c r="D44" s="11">
        <v>0</v>
      </c>
      <c r="E44" s="11">
        <f t="shared" si="4"/>
        <v>4392.8269115846497</v>
      </c>
      <c r="F44" s="12" t="str">
        <f t="shared" si="5"/>
        <v/>
      </c>
      <c r="G44" s="13">
        <v>0</v>
      </c>
      <c r="H44" s="13">
        <f t="shared" si="6"/>
        <v>4392.8269115846497</v>
      </c>
      <c r="I44" s="14" t="str">
        <f t="shared" si="7"/>
        <v/>
      </c>
      <c r="J44" s="38"/>
      <c r="K44" s="38"/>
    </row>
    <row r="45" spans="1:11" ht="15.75">
      <c r="A45" s="27" t="str">
        <v>Q008</v>
      </c>
      <c r="B45" s="28" t="str">
        <v>NY</v>
      </c>
      <c r="C45" s="10">
        <v>24188.484375</v>
      </c>
      <c r="D45" s="15">
        <v>23582.52</v>
      </c>
      <c r="E45" s="15">
        <f t="shared" si="4"/>
        <v>605.96437499999956</v>
      </c>
      <c r="F45" s="16">
        <f t="shared" si="5"/>
        <v>2.5695488650067912E-2</v>
      </c>
      <c r="G45" s="17">
        <v>25030</v>
      </c>
      <c r="H45" s="17">
        <f t="shared" si="6"/>
        <v>-841.515625</v>
      </c>
      <c r="I45" s="16">
        <f t="shared" si="7"/>
        <v>-3.3620280663204154E-2</v>
      </c>
      <c r="J45" s="39"/>
      <c r="K45" s="40"/>
    </row>
    <row r="46" spans="1:11" ht="15.75">
      <c r="A46" s="25" t="str">
        <v>Q018</v>
      </c>
      <c r="B46" s="26" t="str">
        <v>NY</v>
      </c>
      <c r="C46" s="21">
        <v>16216.9375</v>
      </c>
      <c r="D46" s="11">
        <v>14933.98</v>
      </c>
      <c r="E46" s="11">
        <f t="shared" si="4"/>
        <v>1282.9575000000004</v>
      </c>
      <c r="F46" s="12">
        <f t="shared" si="5"/>
        <v>8.5908612439550641E-2</v>
      </c>
      <c r="G46" s="13">
        <v>18170.75</v>
      </c>
      <c r="H46" s="13">
        <f t="shared" si="6"/>
        <v>-1953.8125</v>
      </c>
      <c r="I46" s="14">
        <f t="shared" si="7"/>
        <v>-0.10752514343106366</v>
      </c>
      <c r="J46" s="38"/>
      <c r="K46" s="38"/>
    </row>
    <row r="47" spans="1:11" ht="15.75">
      <c r="A47" s="27" t="str">
        <v>Q021</v>
      </c>
      <c r="B47" s="28" t="str">
        <v>NY</v>
      </c>
      <c r="C47" s="10">
        <v>12773.5</v>
      </c>
      <c r="D47" s="15">
        <v>13011.63</v>
      </c>
      <c r="E47" s="15">
        <f t="shared" si="4"/>
        <v>-238.1299999999992</v>
      </c>
      <c r="F47" s="16">
        <f t="shared" si="5"/>
        <v>-1.8301319665560672E-2</v>
      </c>
      <c r="G47" s="17">
        <v>7333.4089999999997</v>
      </c>
      <c r="H47" s="17">
        <f t="shared" si="6"/>
        <v>5440.0910000000003</v>
      </c>
      <c r="I47" s="16">
        <f t="shared" si="7"/>
        <v>0.74182293664515375</v>
      </c>
      <c r="J47" s="39"/>
      <c r="K47" s="40"/>
    </row>
    <row r="48" spans="1:11" ht="15.75">
      <c r="A48" s="25" t="str">
        <v>Q025</v>
      </c>
      <c r="B48" s="26" t="str">
        <v>NY</v>
      </c>
      <c r="C48" s="21">
        <v>21273.6875</v>
      </c>
      <c r="D48" s="11">
        <v>21733.1</v>
      </c>
      <c r="E48" s="11">
        <f t="shared" si="4"/>
        <v>-459.41249999999854</v>
      </c>
      <c r="F48" s="12">
        <f t="shared" si="5"/>
        <v>-2.1138838913914656E-2</v>
      </c>
      <c r="G48" s="13">
        <v>12738</v>
      </c>
      <c r="H48" s="13">
        <f t="shared" si="6"/>
        <v>8535.6875</v>
      </c>
      <c r="I48" s="14">
        <f t="shared" si="7"/>
        <v>0.67009636520646887</v>
      </c>
      <c r="J48" s="38"/>
      <c r="K48" s="38"/>
    </row>
    <row r="49" spans="1:11" ht="15.75">
      <c r="A49" s="27" t="str">
        <v>Q074</v>
      </c>
      <c r="B49" s="28" t="str">
        <v>NY</v>
      </c>
      <c r="C49" s="10">
        <v>14048.15625</v>
      </c>
      <c r="D49" s="15">
        <v>13983.17</v>
      </c>
      <c r="E49" s="15">
        <f t="shared" si="4"/>
        <v>64.986249999999927</v>
      </c>
      <c r="F49" s="16">
        <f t="shared" si="5"/>
        <v>4.6474619131427232E-3</v>
      </c>
      <c r="G49" s="17">
        <v>14504.74</v>
      </c>
      <c r="H49" s="17">
        <f t="shared" si="6"/>
        <v>-456.58374999999978</v>
      </c>
      <c r="I49" s="16">
        <f t="shared" si="7"/>
        <v>-3.1478244353225208E-2</v>
      </c>
      <c r="J49" s="39"/>
      <c r="K49" s="40"/>
    </row>
    <row r="50" spans="1:11" ht="15.75">
      <c r="A50" s="25" t="str">
        <v>Q115</v>
      </c>
      <c r="B50" s="26" t="str">
        <v>NY</v>
      </c>
      <c r="C50" s="21">
        <v>18469.8125</v>
      </c>
      <c r="D50" s="11">
        <v>19575.12</v>
      </c>
      <c r="E50" s="11">
        <f t="shared" si="4"/>
        <v>-1105.307499999999</v>
      </c>
      <c r="F50" s="12">
        <f t="shared" si="5"/>
        <v>-5.6464915668460729E-2</v>
      </c>
      <c r="G50" s="13">
        <v>20694.830000000002</v>
      </c>
      <c r="H50" s="13">
        <f t="shared" si="6"/>
        <v>-2225.0175000000017</v>
      </c>
      <c r="I50" s="14">
        <f t="shared" si="7"/>
        <v>-0.10751562105124814</v>
      </c>
      <c r="J50" s="38"/>
      <c r="K50" s="38"/>
    </row>
    <row r="51" spans="1:11" ht="15.75">
      <c r="A51" s="27" t="str">
        <v>Q139</v>
      </c>
      <c r="B51" s="28" t="str">
        <v>NY</v>
      </c>
      <c r="C51" s="10">
        <v>10877.1875</v>
      </c>
      <c r="D51" s="15">
        <v>10845.05</v>
      </c>
      <c r="E51" s="15">
        <f t="shared" si="4"/>
        <v>32.137500000000728</v>
      </c>
      <c r="F51" s="16">
        <f t="shared" si="5"/>
        <v>2.9633335023813382E-3</v>
      </c>
      <c r="G51" s="17">
        <v>11147</v>
      </c>
      <c r="H51" s="17">
        <f t="shared" si="6"/>
        <v>-269.8125</v>
      </c>
      <c r="I51" s="16">
        <f t="shared" si="7"/>
        <v>-2.4204943034000181E-2</v>
      </c>
      <c r="J51" s="39"/>
      <c r="K51" s="40"/>
    </row>
    <row r="52" spans="1:11" ht="15.75">
      <c r="A52" s="25" t="str">
        <v>Q157</v>
      </c>
      <c r="B52" s="26" t="str">
        <v>NY</v>
      </c>
      <c r="C52" s="21">
        <v>18581.125</v>
      </c>
      <c r="D52" s="11">
        <v>20964.98</v>
      </c>
      <c r="E52" s="11">
        <f t="shared" si="4"/>
        <v>-2383.8549999999996</v>
      </c>
      <c r="F52" s="12">
        <f t="shared" si="5"/>
        <v>-0.11370652392704403</v>
      </c>
      <c r="G52" s="13">
        <v>21438.27</v>
      </c>
      <c r="H52" s="13">
        <f t="shared" si="6"/>
        <v>-2857.1450000000004</v>
      </c>
      <c r="I52" s="14">
        <f t="shared" si="7"/>
        <v>-0.13327311392197227</v>
      </c>
      <c r="J52" s="38"/>
      <c r="K52" s="38"/>
    </row>
    <row r="53" spans="1:11" ht="15.75">
      <c r="A53" s="27" t="str">
        <v>Q192</v>
      </c>
      <c r="B53" s="28" t="str">
        <v>NY</v>
      </c>
      <c r="C53" s="10">
        <v>30148.75</v>
      </c>
      <c r="D53" s="15">
        <v>32400.26</v>
      </c>
      <c r="E53" s="15">
        <f t="shared" si="4"/>
        <v>-2251.5099999999984</v>
      </c>
      <c r="F53" s="16">
        <f t="shared" si="5"/>
        <v>-6.9490491742967453E-2</v>
      </c>
      <c r="G53" s="17">
        <v>31510.2</v>
      </c>
      <c r="H53" s="17">
        <f t="shared" si="6"/>
        <v>-1361.4500000000007</v>
      </c>
      <c r="I53" s="16">
        <f t="shared" si="7"/>
        <v>-4.3206644197751859E-2</v>
      </c>
      <c r="J53" s="39"/>
      <c r="K53" s="39"/>
    </row>
    <row r="54" spans="1:11" ht="15.75">
      <c r="A54" s="25" t="str">
        <v>Q210</v>
      </c>
      <c r="B54" s="26" t="str">
        <v>NY</v>
      </c>
      <c r="C54" s="21">
        <v>24844.5</v>
      </c>
      <c r="D54" s="11">
        <v>23654.31</v>
      </c>
      <c r="E54" s="11">
        <f t="shared" si="4"/>
        <v>1190.1899999999987</v>
      </c>
      <c r="F54" s="12">
        <f t="shared" si="5"/>
        <v>5.0315988925485403E-2</v>
      </c>
      <c r="G54" s="13">
        <v>22560</v>
      </c>
      <c r="H54" s="13">
        <f t="shared" si="6"/>
        <v>2284.5</v>
      </c>
      <c r="I54" s="14">
        <f t="shared" si="7"/>
        <v>0.10126329787234042</v>
      </c>
      <c r="J54" s="38"/>
      <c r="K54" s="38"/>
    </row>
    <row r="55" spans="1:11" ht="15.75">
      <c r="A55" s="27" t="str">
        <v>Q229</v>
      </c>
      <c r="B55" s="28" t="str">
        <v>NY</v>
      </c>
      <c r="C55" s="10">
        <v>10932.9375</v>
      </c>
      <c r="D55" s="15">
        <v>11221.02</v>
      </c>
      <c r="E55" s="15">
        <f t="shared" si="4"/>
        <v>-288.08250000000044</v>
      </c>
      <c r="F55" s="16">
        <f t="shared" si="5"/>
        <v>-2.5673468187384071E-2</v>
      </c>
      <c r="G55" s="17">
        <v>12926.66</v>
      </c>
      <c r="H55" s="17">
        <f t="shared" si="6"/>
        <v>-1993.7224999999999</v>
      </c>
      <c r="I55" s="16">
        <f t="shared" si="7"/>
        <v>-0.15423338279184259</v>
      </c>
      <c r="J55" s="39"/>
      <c r="K55" s="40"/>
    </row>
    <row r="56" spans="1:11" ht="30">
      <c r="A56" s="25" t="str">
        <v>Q231</v>
      </c>
      <c r="B56" s="26" t="str">
        <v>NY</v>
      </c>
      <c r="C56" s="21">
        <v>38473.0625</v>
      </c>
      <c r="D56" s="11">
        <v>40491.79</v>
      </c>
      <c r="E56" s="11">
        <f t="shared" si="4"/>
        <v>-2018.7275000000009</v>
      </c>
      <c r="F56" s="12">
        <f t="shared" si="5"/>
        <v>-4.985522991203898E-2</v>
      </c>
      <c r="G56" s="13">
        <v>0</v>
      </c>
      <c r="H56" s="13">
        <f t="shared" si="6"/>
        <v>38473.0625</v>
      </c>
      <c r="I56" s="14" t="str">
        <f t="shared" si="7"/>
        <v/>
      </c>
      <c r="J56" s="38" t="s">
        <v>260</v>
      </c>
      <c r="K56" s="38" t="s">
        <v>261</v>
      </c>
    </row>
    <row r="57" spans="1:11" ht="15.75">
      <c r="A57" s="27" t="str">
        <v>Q405</v>
      </c>
      <c r="B57" s="28" t="str">
        <v>NY</v>
      </c>
      <c r="C57" s="10">
        <v>44961.625</v>
      </c>
      <c r="D57" s="15">
        <v>44943.98</v>
      </c>
      <c r="E57" s="15">
        <f t="shared" si="4"/>
        <v>17.644999999996799</v>
      </c>
      <c r="F57" s="16">
        <f t="shared" si="5"/>
        <v>3.9259985430744666E-4</v>
      </c>
      <c r="G57" s="17">
        <v>38116.35</v>
      </c>
      <c r="H57" s="17">
        <f t="shared" si="6"/>
        <v>6845.2750000000015</v>
      </c>
      <c r="I57" s="16">
        <f t="shared" si="7"/>
        <v>0.17958894280276055</v>
      </c>
      <c r="J57" s="39"/>
      <c r="K57" s="40"/>
    </row>
    <row r="58" spans="1:11" ht="15.75">
      <c r="A58" s="25" t="str">
        <v>Q435</v>
      </c>
      <c r="B58" s="26" t="str">
        <v>NY</v>
      </c>
      <c r="C58" s="21">
        <v>0</v>
      </c>
      <c r="D58" s="11">
        <v>0</v>
      </c>
      <c r="E58" s="11">
        <f t="shared" si="4"/>
        <v>0</v>
      </c>
      <c r="F58" s="12" t="str">
        <f t="shared" si="5"/>
        <v/>
      </c>
      <c r="G58" s="13">
        <v>0</v>
      </c>
      <c r="H58" s="13">
        <f t="shared" si="6"/>
        <v>0</v>
      </c>
      <c r="I58" s="14" t="str">
        <f t="shared" si="7"/>
        <v/>
      </c>
      <c r="J58" s="66" t="s">
        <v>262</v>
      </c>
      <c r="K58" s="66" t="s">
        <v>263</v>
      </c>
    </row>
    <row r="59" spans="1:11" ht="15.75">
      <c r="A59" s="27" t="str">
        <v>Q485</v>
      </c>
      <c r="B59" s="28" t="str">
        <v>NY</v>
      </c>
      <c r="C59" s="10">
        <v>53745.268007812498</v>
      </c>
      <c r="D59" s="15">
        <v>40763.14</v>
      </c>
      <c r="E59" s="15">
        <f t="shared" si="4"/>
        <v>12982.128007812498</v>
      </c>
      <c r="F59" s="16">
        <f t="shared" si="5"/>
        <v>0.31847713419065604</v>
      </c>
      <c r="G59" s="17">
        <v>43927.16</v>
      </c>
      <c r="H59" s="17">
        <f t="shared" si="6"/>
        <v>9818.1080078124942</v>
      </c>
      <c r="I59" s="16">
        <f t="shared" si="7"/>
        <v>0.22350882706308564</v>
      </c>
      <c r="J59" s="39"/>
      <c r="K59" s="40"/>
    </row>
    <row r="60" spans="1:11" ht="15.75">
      <c r="A60" s="25" t="str">
        <v>Q490</v>
      </c>
      <c r="B60" s="26" t="str">
        <v>NY</v>
      </c>
      <c r="C60" s="21">
        <v>38784.8106435644</v>
      </c>
      <c r="D60" s="11" t="s">
        <v>22</v>
      </c>
      <c r="E60" s="11" t="str">
        <f t="shared" si="4"/>
        <v/>
      </c>
      <c r="F60" s="12" t="str">
        <f t="shared" si="5"/>
        <v/>
      </c>
      <c r="G60" s="13">
        <v>40666.44</v>
      </c>
      <c r="H60" s="13">
        <f t="shared" si="6"/>
        <v>-1881.6293564356019</v>
      </c>
      <c r="I60" s="14">
        <f t="shared" si="7"/>
        <v>-4.6269832236005948E-2</v>
      </c>
      <c r="J60" s="38"/>
      <c r="K60" s="38"/>
    </row>
    <row r="61" spans="1:11" ht="15.75">
      <c r="A61" s="27" t="str">
        <v>Q620</v>
      </c>
      <c r="B61" s="28" t="str">
        <v>NY</v>
      </c>
      <c r="C61" s="10">
        <v>58156.5</v>
      </c>
      <c r="D61" s="15">
        <v>58634.66</v>
      </c>
      <c r="E61" s="15">
        <f t="shared" si="4"/>
        <v>-478.16000000000349</v>
      </c>
      <c r="F61" s="16">
        <f t="shared" si="5"/>
        <v>-8.1549036013853146E-3</v>
      </c>
      <c r="G61" s="17">
        <v>62590.83</v>
      </c>
      <c r="H61" s="17">
        <f t="shared" si="6"/>
        <v>-4434.3300000000017</v>
      </c>
      <c r="I61" s="16">
        <f t="shared" si="7"/>
        <v>-7.0846320459402784E-2</v>
      </c>
      <c r="J61" s="39"/>
      <c r="K61" s="40"/>
    </row>
    <row r="62" spans="1:11" ht="15.75">
      <c r="A62" s="25" t="str">
        <v>QMOA</v>
      </c>
      <c r="B62" s="26" t="str">
        <v>NY</v>
      </c>
      <c r="C62" s="21">
        <v>4986.5</v>
      </c>
      <c r="D62" s="11" t="s">
        <v>22</v>
      </c>
      <c r="E62" s="11" t="str">
        <f t="shared" si="4"/>
        <v/>
      </c>
      <c r="F62" s="12" t="str">
        <f t="shared" si="5"/>
        <v/>
      </c>
      <c r="G62" s="13">
        <v>5158.6710000000003</v>
      </c>
      <c r="H62" s="13">
        <f t="shared" si="6"/>
        <v>-172.17100000000028</v>
      </c>
      <c r="I62" s="14">
        <f t="shared" si="7"/>
        <v>-3.3375068888866974E-2</v>
      </c>
      <c r="J62" s="38"/>
      <c r="K62" s="38"/>
    </row>
    <row r="63" spans="1:11" ht="15.75">
      <c r="A63" s="27" t="str">
        <v>X024</v>
      </c>
      <c r="B63" s="28" t="str">
        <v>NY</v>
      </c>
      <c r="C63" s="10">
        <v>22464</v>
      </c>
      <c r="D63" s="15">
        <v>0</v>
      </c>
      <c r="E63" s="15">
        <f t="shared" si="4"/>
        <v>22464</v>
      </c>
      <c r="F63" s="16" t="str">
        <f t="shared" si="5"/>
        <v/>
      </c>
      <c r="G63" s="17">
        <v>0</v>
      </c>
      <c r="H63" s="17">
        <f t="shared" si="6"/>
        <v>22464</v>
      </c>
      <c r="I63" s="16" t="str">
        <f t="shared" si="7"/>
        <v/>
      </c>
      <c r="J63" s="39"/>
      <c r="K63" s="40"/>
    </row>
    <row r="64" spans="1:11" ht="15.75">
      <c r="A64" s="25" t="str">
        <v>X026</v>
      </c>
      <c r="B64" s="26" t="str">
        <v>NY</v>
      </c>
      <c r="C64" s="21">
        <v>17410.099999999999</v>
      </c>
      <c r="D64" s="11">
        <v>18695.32</v>
      </c>
      <c r="E64" s="11">
        <f t="shared" si="4"/>
        <v>-1285.2200000000012</v>
      </c>
      <c r="F64" s="12">
        <f t="shared" si="5"/>
        <v>-6.8745547013905145E-2</v>
      </c>
      <c r="G64" s="13">
        <v>22181.89</v>
      </c>
      <c r="H64" s="13">
        <f t="shared" si="6"/>
        <v>-4771.7900000000009</v>
      </c>
      <c r="I64" s="14">
        <f t="shared" si="7"/>
        <v>-0.21512098382960157</v>
      </c>
      <c r="J64" s="66" t="s">
        <v>264</v>
      </c>
      <c r="K64" s="66" t="s">
        <v>265</v>
      </c>
    </row>
    <row r="65" spans="1:11" ht="15.75">
      <c r="A65" s="27" t="str">
        <v>X090</v>
      </c>
      <c r="B65" s="28" t="str">
        <v>NY</v>
      </c>
      <c r="C65" s="10">
        <v>16916.5703125</v>
      </c>
      <c r="D65" s="15">
        <v>13225.85</v>
      </c>
      <c r="E65" s="15">
        <f t="shared" si="4"/>
        <v>3690.7203124999996</v>
      </c>
      <c r="F65" s="16">
        <f t="shared" si="5"/>
        <v>0.27905354381759961</v>
      </c>
      <c r="G65" s="17">
        <v>15094</v>
      </c>
      <c r="H65" s="17">
        <f t="shared" si="6"/>
        <v>1822.5703125</v>
      </c>
      <c r="I65" s="16">
        <f t="shared" si="7"/>
        <v>0.12074800003312575</v>
      </c>
      <c r="J65" s="39"/>
      <c r="K65" s="39"/>
    </row>
    <row r="66" spans="1:11" ht="15.75">
      <c r="A66" s="25" t="str">
        <v>X117</v>
      </c>
      <c r="B66" s="26" t="str">
        <v>NY</v>
      </c>
      <c r="C66" s="21">
        <v>13455</v>
      </c>
      <c r="D66" s="11">
        <v>15855.09</v>
      </c>
      <c r="E66" s="11">
        <f t="shared" si="4"/>
        <v>-2400.09</v>
      </c>
      <c r="F66" s="12">
        <f t="shared" si="5"/>
        <v>-0.15137662416296596</v>
      </c>
      <c r="G66" s="13">
        <v>23583</v>
      </c>
      <c r="H66" s="13">
        <f t="shared" si="6"/>
        <v>-10128</v>
      </c>
      <c r="I66" s="14">
        <f t="shared" si="7"/>
        <v>-0.42946190052156213</v>
      </c>
      <c r="J66" s="38"/>
      <c r="K66" s="38"/>
    </row>
    <row r="67" spans="1:11" ht="15.75">
      <c r="A67" s="27" t="str">
        <v>X125</v>
      </c>
      <c r="B67" s="28" t="str">
        <v>NY</v>
      </c>
      <c r="C67" s="10">
        <v>26170.4375</v>
      </c>
      <c r="D67" s="15">
        <v>27691.59</v>
      </c>
      <c r="E67" s="15">
        <f t="shared" si="4"/>
        <v>-1521.1525000000001</v>
      </c>
      <c r="F67" s="16">
        <f t="shared" si="5"/>
        <v>-5.4931930596979088E-2</v>
      </c>
      <c r="G67" s="17">
        <v>19153.71</v>
      </c>
      <c r="H67" s="17">
        <f t="shared" si="6"/>
        <v>7016.7275000000009</v>
      </c>
      <c r="I67" s="16">
        <f t="shared" si="7"/>
        <v>0.36633777477052754</v>
      </c>
      <c r="J67" s="39"/>
      <c r="K67" s="40"/>
    </row>
    <row r="68" spans="1:11" ht="15.75">
      <c r="A68" s="25" t="str">
        <v>X134</v>
      </c>
      <c r="B68" s="26" t="str">
        <v>NY</v>
      </c>
      <c r="C68" s="21">
        <v>24982.8125</v>
      </c>
      <c r="D68" s="11">
        <v>0</v>
      </c>
      <c r="E68" s="11">
        <f>IF(AND(ISNUMBER(C68),ISNUMBER(D68)), C68-D68, "")</f>
        <v>24982.8125</v>
      </c>
      <c r="F68" s="12" t="str">
        <f>IFERROR(E68/D68, "")</f>
        <v/>
      </c>
      <c r="G68" s="13">
        <v>0</v>
      </c>
      <c r="H68" s="13">
        <f>IF(AND(ISNUMBER(C68),ISNUMBER(G68)), C68-G68, "")</f>
        <v>24982.8125</v>
      </c>
      <c r="I68" s="14" t="str">
        <f>IFERROR(H68/G68, "")</f>
        <v/>
      </c>
      <c r="J68" s="38"/>
      <c r="K68" s="38"/>
    </row>
    <row r="69" spans="1:11" ht="15.75">
      <c r="A69" s="27" t="str">
        <v>X135</v>
      </c>
      <c r="B69" s="28" t="str">
        <v>NY</v>
      </c>
      <c r="C69" s="10">
        <v>19923.84375</v>
      </c>
      <c r="D69" s="15">
        <v>0</v>
      </c>
      <c r="E69" s="15">
        <f t="shared" si="4"/>
        <v>19923.84375</v>
      </c>
      <c r="F69" s="16" t="str">
        <f t="shared" si="5"/>
        <v/>
      </c>
      <c r="G69" s="17">
        <v>0</v>
      </c>
      <c r="H69" s="17">
        <f t="shared" si="6"/>
        <v>19923.84375</v>
      </c>
      <c r="I69" s="16" t="str">
        <f t="shared" si="7"/>
        <v/>
      </c>
      <c r="J69" s="39"/>
      <c r="K69" s="40"/>
    </row>
    <row r="70" spans="1:11" ht="15.75">
      <c r="A70" s="25" t="str">
        <v>X139 JHS 222</v>
      </c>
      <c r="B70" s="26" t="str">
        <v>NY</v>
      </c>
      <c r="C70" s="21">
        <v>32288.4169392033</v>
      </c>
      <c r="D70" s="11">
        <v>33629.4</v>
      </c>
      <c r="E70" s="11">
        <f t="shared" si="4"/>
        <v>-1340.9830607967015</v>
      </c>
      <c r="F70" s="12">
        <f t="shared" si="5"/>
        <v>-3.9875319238425348E-2</v>
      </c>
      <c r="G70" s="13">
        <v>34382</v>
      </c>
      <c r="H70" s="13">
        <f t="shared" si="6"/>
        <v>-2093.5830607967</v>
      </c>
      <c r="I70" s="14">
        <f t="shared" si="7"/>
        <v>-6.0891834704109707E-2</v>
      </c>
      <c r="J70" s="38"/>
      <c r="K70" s="38"/>
    </row>
    <row r="71" spans="1:11" ht="15.75">
      <c r="A71" s="27" t="str">
        <v>X140</v>
      </c>
      <c r="B71" s="28" t="str">
        <v>NY</v>
      </c>
      <c r="C71" s="10">
        <v>17641</v>
      </c>
      <c r="D71" s="15">
        <v>15530</v>
      </c>
      <c r="E71" s="15">
        <f t="shared" si="4"/>
        <v>2111</v>
      </c>
      <c r="F71" s="16">
        <f t="shared" si="5"/>
        <v>0.1359304571796523</v>
      </c>
      <c r="G71" s="17">
        <v>15996</v>
      </c>
      <c r="H71" s="17">
        <f t="shared" si="6"/>
        <v>1645</v>
      </c>
      <c r="I71" s="16">
        <f t="shared" si="7"/>
        <v>0.10283820955238809</v>
      </c>
      <c r="J71" s="39"/>
      <c r="K71" s="40"/>
    </row>
    <row r="72" spans="1:11" ht="15.75">
      <c r="A72" s="25" t="str">
        <v>X166</v>
      </c>
      <c r="B72" s="26" t="str">
        <v>NY</v>
      </c>
      <c r="C72" s="21">
        <v>18860.8</v>
      </c>
      <c r="D72" s="11">
        <v>18371.54</v>
      </c>
      <c r="E72" s="11">
        <f t="shared" si="4"/>
        <v>489.2599999999984</v>
      </c>
      <c r="F72" s="12">
        <f t="shared" si="5"/>
        <v>2.663140923406521E-2</v>
      </c>
      <c r="G72" s="13">
        <v>0</v>
      </c>
      <c r="H72" s="13">
        <f t="shared" si="6"/>
        <v>18860.8</v>
      </c>
      <c r="I72" s="14" t="str">
        <f t="shared" si="7"/>
        <v/>
      </c>
      <c r="J72" s="38"/>
      <c r="K72" s="38"/>
    </row>
    <row r="73" spans="1:11" ht="53.25" customHeight="1">
      <c r="A73" s="27" t="str">
        <v>Murphy</v>
      </c>
      <c r="B73" s="28" t="str">
        <v>MN</v>
      </c>
      <c r="C73" s="10">
        <v>770630</v>
      </c>
      <c r="D73" s="15">
        <v>819414.3</v>
      </c>
      <c r="E73" s="15">
        <f t="shared" si="4"/>
        <v>-48784.300000000047</v>
      </c>
      <c r="F73" s="16">
        <f t="shared" si="5"/>
        <v>-5.9535573152677518E-2</v>
      </c>
      <c r="G73" s="17">
        <v>837992.8</v>
      </c>
      <c r="H73" s="17">
        <f t="shared" si="6"/>
        <v>-67362.800000000047</v>
      </c>
      <c r="I73" s="16">
        <f t="shared" si="7"/>
        <v>-8.0385893530350194E-2</v>
      </c>
      <c r="J73" s="39" t="s">
        <v>266</v>
      </c>
      <c r="K73" s="40" t="s">
        <v>267</v>
      </c>
    </row>
    <row r="74" spans="1:11" ht="15.75">
      <c r="A74" s="25" t="str">
        <v>Terning</v>
      </c>
      <c r="B74" s="26" t="str">
        <v>MN</v>
      </c>
      <c r="C74" s="21">
        <v>872406</v>
      </c>
      <c r="D74" s="11">
        <v>948035.2</v>
      </c>
      <c r="E74" s="11">
        <f t="shared" si="4"/>
        <v>-75629.199999999953</v>
      </c>
      <c r="F74" s="12">
        <f t="shared" si="5"/>
        <v>-7.9774675033163281E-2</v>
      </c>
      <c r="G74" s="13">
        <v>821225.2</v>
      </c>
      <c r="H74" s="13">
        <f t="shared" si="6"/>
        <v>51180.800000000047</v>
      </c>
      <c r="I74" s="14">
        <f t="shared" si="7"/>
        <v>6.2322490834426474E-2</v>
      </c>
      <c r="J74" s="38"/>
      <c r="K74" s="38"/>
    </row>
    <row r="75" spans="1:11" ht="15.75">
      <c r="A75" s="27" t="str">
        <v>Boas Road 04</v>
      </c>
      <c r="B75" s="28" t="str">
        <v>NY</v>
      </c>
      <c r="C75" s="72">
        <v>268362</v>
      </c>
      <c r="D75" s="73">
        <v>320248.15999999997</v>
      </c>
      <c r="E75" s="15">
        <f t="shared" si="4"/>
        <v>-51886.159999999974</v>
      </c>
      <c r="F75" s="16">
        <f t="shared" si="5"/>
        <v>-0.16201860457215422</v>
      </c>
      <c r="G75" s="72">
        <v>299474.2</v>
      </c>
      <c r="H75" s="17">
        <f t="shared" si="6"/>
        <v>-31112.200000000012</v>
      </c>
      <c r="I75" s="16">
        <f t="shared" si="7"/>
        <v>-0.10388941685126803</v>
      </c>
      <c r="J75" s="39" t="s">
        <v>268</v>
      </c>
      <c r="K75" s="40" t="s">
        <v>161</v>
      </c>
    </row>
    <row r="76" spans="1:11" ht="75">
      <c r="A76" s="25" t="str">
        <v>Kelly Bridge Farm</v>
      </c>
      <c r="B76" s="26" t="str">
        <v>NY</v>
      </c>
      <c r="C76" s="21">
        <v>277190</v>
      </c>
      <c r="D76" s="11">
        <v>283454.90000000002</v>
      </c>
      <c r="E76" s="11">
        <f t="shared" si="4"/>
        <v>-6264.9000000000233</v>
      </c>
      <c r="F76" s="12">
        <f t="shared" si="5"/>
        <v>-2.2101928737164264E-2</v>
      </c>
      <c r="G76" s="13">
        <v>330485.78000000003</v>
      </c>
      <c r="H76" s="13">
        <f t="shared" si="6"/>
        <v>-53295.780000000028</v>
      </c>
      <c r="I76" s="14">
        <f t="shared" si="7"/>
        <v>-0.16126497182420382</v>
      </c>
      <c r="J76" s="38" t="s">
        <v>269</v>
      </c>
      <c r="K76" s="38" t="s">
        <v>270</v>
      </c>
    </row>
    <row r="77" spans="1:11" ht="15.75">
      <c r="A77" s="27" t="str">
        <v>Pool Brook Road</v>
      </c>
      <c r="B77" s="28" t="str">
        <v>NY</v>
      </c>
      <c r="C77" s="74">
        <v>224156</v>
      </c>
      <c r="D77" s="73">
        <v>246274.06</v>
      </c>
      <c r="E77" s="15">
        <f t="shared" si="4"/>
        <v>-22118.059999999998</v>
      </c>
      <c r="F77" s="16">
        <f t="shared" si="5"/>
        <v>-8.9810757982387579E-2</v>
      </c>
      <c r="G77" s="74">
        <v>256031.69</v>
      </c>
      <c r="H77" s="17">
        <f t="shared" si="6"/>
        <v>-31875.690000000002</v>
      </c>
      <c r="I77" s="16">
        <f t="shared" si="7"/>
        <v>-0.12449900244770482</v>
      </c>
      <c r="J77" s="39"/>
      <c r="K77" s="39"/>
    </row>
    <row r="78" spans="1:11" ht="15.75">
      <c r="A78" s="25" t="str">
        <v>Sackett Lake</v>
      </c>
      <c r="B78" s="26" t="str">
        <v>NY</v>
      </c>
      <c r="C78" s="21">
        <v>281497</v>
      </c>
      <c r="D78" s="11">
        <v>294503.09000000003</v>
      </c>
      <c r="E78" s="11">
        <f t="shared" ref="E78:E139" si="8">IF(AND(ISNUMBER(C78),ISNUMBER(D78)), C78-D78, "")</f>
        <v>-13006.090000000026</v>
      </c>
      <c r="F78" s="12">
        <f t="shared" ref="F78:F138" si="9">IFERROR(E78/D78, "")</f>
        <v>-4.4162830345854859E-2</v>
      </c>
      <c r="G78" s="13">
        <v>308290.15000000002</v>
      </c>
      <c r="H78" s="13">
        <f t="shared" si="6"/>
        <v>-26793.150000000023</v>
      </c>
      <c r="I78" s="14">
        <f t="shared" si="7"/>
        <v>-8.690887464292979E-2</v>
      </c>
      <c r="J78" s="38" t="s">
        <v>271</v>
      </c>
      <c r="K78" s="38" t="s">
        <v>272</v>
      </c>
    </row>
    <row r="79" spans="1:11" ht="15.75">
      <c r="A79" s="27" t="str">
        <v>Burritt Road</v>
      </c>
      <c r="B79" s="28" t="str">
        <v>NY</v>
      </c>
      <c r="C79" s="10">
        <v>287110</v>
      </c>
      <c r="D79" s="15">
        <v>309262.42</v>
      </c>
      <c r="E79" s="15">
        <f t="shared" si="8"/>
        <v>-22152.419999999984</v>
      </c>
      <c r="F79" s="16">
        <f t="shared" si="9"/>
        <v>-7.1629847557941204E-2</v>
      </c>
      <c r="G79" s="17">
        <v>261564.22</v>
      </c>
      <c r="H79" s="17">
        <f t="shared" si="6"/>
        <v>25545.78</v>
      </c>
      <c r="I79" s="16">
        <f t="shared" si="7"/>
        <v>9.7665422281380837E-2</v>
      </c>
      <c r="J79" s="39"/>
      <c r="K79" s="40"/>
    </row>
    <row r="80" spans="1:11" ht="15.75">
      <c r="A80" s="25" t="str">
        <v>Villa Roma 1</v>
      </c>
      <c r="B80" s="26" t="str">
        <v>NY</v>
      </c>
      <c r="C80" s="21">
        <v>247197</v>
      </c>
      <c r="D80" s="11">
        <v>187438.62</v>
      </c>
      <c r="E80" s="11">
        <f t="shared" si="8"/>
        <v>59758.380000000005</v>
      </c>
      <c r="F80" s="12">
        <f t="shared" si="9"/>
        <v>0.31881572751655984</v>
      </c>
      <c r="G80" s="13">
        <v>229667.15</v>
      </c>
      <c r="H80" s="13">
        <f t="shared" si="6"/>
        <v>17529.850000000006</v>
      </c>
      <c r="I80" s="14">
        <f t="shared" si="7"/>
        <v>7.6327197860033558E-2</v>
      </c>
      <c r="J80" s="38"/>
      <c r="K80" s="38"/>
    </row>
    <row r="81" spans="1:11" ht="15.75">
      <c r="A81" s="27" t="str">
        <v>Villa Roma 2</v>
      </c>
      <c r="B81" s="28" t="str">
        <v>NY</v>
      </c>
      <c r="C81" s="10">
        <v>239163</v>
      </c>
      <c r="D81" s="15">
        <v>255555.88</v>
      </c>
      <c r="E81" s="15">
        <f t="shared" si="8"/>
        <v>-16392.880000000005</v>
      </c>
      <c r="F81" s="16">
        <f t="shared" si="9"/>
        <v>-6.4145970736419783E-2</v>
      </c>
      <c r="G81" s="17">
        <v>222310.5</v>
      </c>
      <c r="H81" s="17">
        <f t="shared" si="6"/>
        <v>16852.5</v>
      </c>
      <c r="I81" s="16">
        <f t="shared" si="7"/>
        <v>7.580613601246905E-2</v>
      </c>
      <c r="J81" s="39"/>
      <c r="K81" s="40"/>
    </row>
    <row r="82" spans="1:11" ht="15.75">
      <c r="A82" s="25" t="str">
        <v>Washington 1</v>
      </c>
      <c r="B82" s="26" t="str">
        <v>NY</v>
      </c>
      <c r="C82" s="21">
        <v>274890</v>
      </c>
      <c r="D82" s="11">
        <v>310472.96999999997</v>
      </c>
      <c r="E82" s="11">
        <f t="shared" si="8"/>
        <v>-35582.969999999972</v>
      </c>
      <c r="F82" s="12">
        <f t="shared" si="9"/>
        <v>-0.11460891426393729</v>
      </c>
      <c r="G82" s="13">
        <v>257720.66</v>
      </c>
      <c r="H82" s="13">
        <f t="shared" ref="H82:H138" si="10">IF(AND(ISNUMBER(C82),ISNUMBER(G82)), C82-G82, "")</f>
        <v>17169.339999999997</v>
      </c>
      <c r="I82" s="14">
        <f t="shared" ref="I82:I138" si="11">IFERROR(H82/G82, "")</f>
        <v>6.6619959765740144E-2</v>
      </c>
      <c r="J82" s="38"/>
      <c r="K82" s="38"/>
    </row>
    <row r="83" spans="1:11" ht="45">
      <c r="A83" s="27" t="str">
        <v>Washington 3</v>
      </c>
      <c r="B83" s="28" t="str">
        <v>NY</v>
      </c>
      <c r="C83" s="10">
        <v>278384</v>
      </c>
      <c r="D83" s="15">
        <v>329460.01</v>
      </c>
      <c r="E83" s="15">
        <f t="shared" si="8"/>
        <v>-51076.010000000009</v>
      </c>
      <c r="F83" s="16">
        <f t="shared" si="9"/>
        <v>-0.15502946776453994</v>
      </c>
      <c r="G83" s="17">
        <v>314397.57</v>
      </c>
      <c r="H83" s="17">
        <f t="shared" si="10"/>
        <v>-36013.570000000007</v>
      </c>
      <c r="I83" s="16">
        <f t="shared" si="11"/>
        <v>-0.11454786371281434</v>
      </c>
      <c r="J83" s="58" t="s">
        <v>273</v>
      </c>
      <c r="K83" s="58" t="s">
        <v>274</v>
      </c>
    </row>
    <row r="84" spans="1:11" ht="30">
      <c r="A84" s="25" t="str">
        <v>Washington 4</v>
      </c>
      <c r="B84" s="26" t="str">
        <v>NY</v>
      </c>
      <c r="C84" s="21">
        <v>325139</v>
      </c>
      <c r="D84" s="11">
        <v>0</v>
      </c>
      <c r="E84" s="11">
        <f t="shared" si="8"/>
        <v>325139</v>
      </c>
      <c r="F84" s="12" t="str">
        <f>IFERROR(E84/D84, "")</f>
        <v/>
      </c>
      <c r="G84" s="13">
        <v>315271.55</v>
      </c>
      <c r="H84" s="13">
        <f t="shared" si="10"/>
        <v>9867.4500000000116</v>
      </c>
      <c r="I84" s="14">
        <f t="shared" si="11"/>
        <v>3.1298257010504156E-2</v>
      </c>
      <c r="J84" s="38" t="s">
        <v>275</v>
      </c>
      <c r="K84" s="38" t="s">
        <v>276</v>
      </c>
    </row>
    <row r="85" spans="1:11" ht="15.75">
      <c r="A85" s="27" t="str">
        <v>Big Tree</v>
      </c>
      <c r="B85" s="28" t="str">
        <v>NY</v>
      </c>
      <c r="C85" s="10">
        <v>235506</v>
      </c>
      <c r="D85" s="15">
        <v>0</v>
      </c>
      <c r="E85" s="15">
        <f t="shared" si="8"/>
        <v>235506</v>
      </c>
      <c r="F85" s="16" t="str">
        <f t="shared" si="9"/>
        <v/>
      </c>
      <c r="G85" s="17">
        <v>107912</v>
      </c>
      <c r="H85" s="17">
        <f t="shared" si="10"/>
        <v>127594</v>
      </c>
      <c r="I85" s="16">
        <f t="shared" si="11"/>
        <v>1.1823893542886796</v>
      </c>
      <c r="J85" s="58"/>
      <c r="K85" s="58"/>
    </row>
    <row r="86" spans="1:11" ht="30">
      <c r="A86" s="25" t="str">
        <v>Canoga</v>
      </c>
      <c r="B86" s="26" t="str">
        <v>NY</v>
      </c>
      <c r="C86" s="21">
        <v>708100</v>
      </c>
      <c r="D86" s="11">
        <v>0</v>
      </c>
      <c r="E86" s="11">
        <f t="shared" si="8"/>
        <v>708100</v>
      </c>
      <c r="F86" s="12" t="str">
        <f t="shared" si="9"/>
        <v/>
      </c>
      <c r="G86" s="13">
        <v>305917</v>
      </c>
      <c r="H86" s="13">
        <f t="shared" si="10"/>
        <v>402183</v>
      </c>
      <c r="I86" s="14">
        <f t="shared" si="11"/>
        <v>1.314680125654998</v>
      </c>
      <c r="J86" s="38" t="s">
        <v>277</v>
      </c>
      <c r="K86" s="38" t="s">
        <v>278</v>
      </c>
    </row>
    <row r="87" spans="1:11" ht="15.75">
      <c r="A87" s="27" t="str">
        <v>County Route 84</v>
      </c>
      <c r="B87" s="28" t="str">
        <v>NY</v>
      </c>
      <c r="C87" s="10">
        <v>661187</v>
      </c>
      <c r="D87" s="15">
        <v>0</v>
      </c>
      <c r="E87" s="15">
        <f t="shared" si="8"/>
        <v>661187</v>
      </c>
      <c r="F87" s="16" t="str">
        <f t="shared" si="9"/>
        <v/>
      </c>
      <c r="G87" s="17">
        <v>377105</v>
      </c>
      <c r="H87" s="17">
        <f t="shared" si="10"/>
        <v>284082</v>
      </c>
      <c r="I87" s="16">
        <f t="shared" si="11"/>
        <v>0.75332334495697484</v>
      </c>
      <c r="J87" s="58" t="s">
        <v>279</v>
      </c>
      <c r="K87" s="58" t="s">
        <v>280</v>
      </c>
    </row>
    <row r="88" spans="1:11" ht="30">
      <c r="A88" s="25" t="str">
        <v>Donati</v>
      </c>
      <c r="B88" s="26" t="str">
        <v>NY</v>
      </c>
      <c r="C88" s="21">
        <v>310641</v>
      </c>
      <c r="D88" s="11">
        <v>0</v>
      </c>
      <c r="E88" s="11">
        <f t="shared" si="8"/>
        <v>310641</v>
      </c>
      <c r="F88" s="12" t="str">
        <f t="shared" si="9"/>
        <v/>
      </c>
      <c r="G88" s="13">
        <v>120395</v>
      </c>
      <c r="H88" s="13">
        <f t="shared" si="10"/>
        <v>190246</v>
      </c>
      <c r="I88" s="14">
        <f t="shared" si="11"/>
        <v>1.580181901241746</v>
      </c>
      <c r="J88" s="38" t="s">
        <v>281</v>
      </c>
      <c r="K88" s="38" t="s">
        <v>282</v>
      </c>
    </row>
    <row r="89" spans="1:11" ht="15.75">
      <c r="A89" s="27" t="str">
        <v>Henrietta</v>
      </c>
      <c r="B89" s="28" t="str">
        <v>NY</v>
      </c>
      <c r="C89" s="10">
        <v>792895</v>
      </c>
      <c r="D89" s="15">
        <v>0</v>
      </c>
      <c r="E89" s="15">
        <f t="shared" si="8"/>
        <v>792895</v>
      </c>
      <c r="F89" s="16" t="str">
        <f t="shared" si="9"/>
        <v/>
      </c>
      <c r="G89" s="17">
        <v>231835</v>
      </c>
      <c r="H89" s="17">
        <f t="shared" si="10"/>
        <v>561060</v>
      </c>
      <c r="I89" s="16">
        <f t="shared" si="11"/>
        <v>2.4200832488623374</v>
      </c>
      <c r="J89" s="58"/>
      <c r="K89" s="58"/>
    </row>
    <row r="90" spans="1:11" ht="30">
      <c r="A90" s="25" t="str">
        <v>NY 70</v>
      </c>
      <c r="B90" s="26" t="str">
        <v>NY</v>
      </c>
      <c r="C90" s="21">
        <v>769779</v>
      </c>
      <c r="D90" s="11">
        <v>0</v>
      </c>
      <c r="E90" s="11">
        <f t="shared" si="8"/>
        <v>769779</v>
      </c>
      <c r="F90" s="12" t="str">
        <f t="shared" si="9"/>
        <v/>
      </c>
      <c r="G90" s="13">
        <v>390190</v>
      </c>
      <c r="H90" s="13">
        <f t="shared" si="10"/>
        <v>379589</v>
      </c>
      <c r="I90" s="14">
        <f t="shared" si="11"/>
        <v>0.97283118480740149</v>
      </c>
      <c r="J90" s="38" t="s">
        <v>283</v>
      </c>
      <c r="K90" s="38" t="s">
        <v>284</v>
      </c>
    </row>
    <row r="91" spans="1:11" ht="65.25" customHeight="1">
      <c r="A91" s="27" t="str">
        <v>Reid</v>
      </c>
      <c r="B91" s="28" t="str">
        <v>NY</v>
      </c>
      <c r="C91" s="10">
        <v>553245.83025830204</v>
      </c>
      <c r="D91" s="15">
        <v>594456.80000000005</v>
      </c>
      <c r="E91" s="15">
        <f t="shared" si="8"/>
        <v>-41210.969741698005</v>
      </c>
      <c r="F91" s="16">
        <f t="shared" si="9"/>
        <v>-6.9325424053855556E-2</v>
      </c>
      <c r="G91" s="17">
        <v>703521</v>
      </c>
      <c r="H91" s="17">
        <f t="shared" si="10"/>
        <v>-150275.16974169796</v>
      </c>
      <c r="I91" s="16">
        <f t="shared" si="11"/>
        <v>-0.21360438386586605</v>
      </c>
      <c r="J91" s="61" t="s">
        <v>285</v>
      </c>
      <c r="K91" s="62" t="s">
        <v>286</v>
      </c>
    </row>
    <row r="92" spans="1:11" ht="45">
      <c r="A92" s="25" t="str">
        <v>Sangolqui</v>
      </c>
      <c r="B92" s="26" t="str">
        <v>NY</v>
      </c>
      <c r="C92" s="21">
        <v>293074</v>
      </c>
      <c r="D92" s="11">
        <v>0</v>
      </c>
      <c r="E92" s="11">
        <f t="shared" si="8"/>
        <v>293074</v>
      </c>
      <c r="F92" s="12" t="str">
        <f t="shared" si="9"/>
        <v/>
      </c>
      <c r="G92" s="13">
        <v>117410</v>
      </c>
      <c r="H92" s="13">
        <f t="shared" si="10"/>
        <v>175664</v>
      </c>
      <c r="I92" s="14">
        <f t="shared" si="11"/>
        <v>1.496158759901201</v>
      </c>
      <c r="J92" s="38" t="s">
        <v>287</v>
      </c>
      <c r="K92" s="38" t="s">
        <v>288</v>
      </c>
    </row>
    <row r="93" spans="1:11" ht="75">
      <c r="A93" s="27" t="str">
        <v>State Highway 17B</v>
      </c>
      <c r="B93" s="28" t="str">
        <v>NY</v>
      </c>
      <c r="C93" s="10">
        <v>629166</v>
      </c>
      <c r="D93" s="15">
        <v>0</v>
      </c>
      <c r="E93" s="15">
        <f t="shared" si="8"/>
        <v>629166</v>
      </c>
      <c r="F93" s="16" t="str">
        <f t="shared" si="9"/>
        <v/>
      </c>
      <c r="G93" s="17">
        <v>323738.17</v>
      </c>
      <c r="H93" s="17">
        <f t="shared" si="10"/>
        <v>305427.83</v>
      </c>
      <c r="I93" s="16">
        <f t="shared" si="11"/>
        <v>0.94344089855082591</v>
      </c>
      <c r="J93" s="61" t="s">
        <v>289</v>
      </c>
      <c r="K93" s="62" t="s">
        <v>290</v>
      </c>
    </row>
    <row r="94" spans="1:11" ht="15.75">
      <c r="A94" s="25" t="str">
        <v>State Route 14A</v>
      </c>
      <c r="B94" s="26" t="str">
        <v>NY</v>
      </c>
      <c r="C94" s="21">
        <v>726739</v>
      </c>
      <c r="D94" s="11">
        <v>0</v>
      </c>
      <c r="E94" s="11">
        <f>IF(AND(ISNUMBER(C94),ISNUMBER(D94)), C94-D94, "")</f>
        <v>726739</v>
      </c>
      <c r="F94" s="12" t="str">
        <f>IFERROR(E94/D94, "")</f>
        <v/>
      </c>
      <c r="G94" s="13">
        <v>347576</v>
      </c>
      <c r="H94" s="13">
        <f>IF(AND(ISNUMBER(C94),ISNUMBER(G94)), C94-G94, "")</f>
        <v>379163</v>
      </c>
      <c r="I94" s="14">
        <f>IFERROR(H94/G94, "")</f>
        <v>1.0908779662577393</v>
      </c>
      <c r="J94" s="38"/>
      <c r="K94" s="38"/>
    </row>
    <row r="95" spans="1:11" ht="15.75">
      <c r="A95" s="27" t="str">
        <v>West Creek</v>
      </c>
      <c r="B95" s="28" t="str">
        <v>NY</v>
      </c>
      <c r="C95" s="10">
        <v>651414</v>
      </c>
      <c r="D95" s="15">
        <v>0</v>
      </c>
      <c r="E95" s="15">
        <f t="shared" si="8"/>
        <v>651414</v>
      </c>
      <c r="F95" s="16" t="str">
        <f t="shared" si="9"/>
        <v/>
      </c>
      <c r="G95" s="17">
        <v>298411.45</v>
      </c>
      <c r="H95" s="17">
        <f t="shared" si="10"/>
        <v>353002.55</v>
      </c>
      <c r="I95" s="16">
        <f t="shared" si="11"/>
        <v>1.1829390259656591</v>
      </c>
      <c r="J95" s="61"/>
      <c r="K95" s="62"/>
    </row>
    <row r="96" spans="1:11" ht="30">
      <c r="A96" s="25" t="str">
        <v>Wildflower</v>
      </c>
      <c r="B96" s="26" t="str">
        <v>NY</v>
      </c>
      <c r="C96" s="21">
        <v>527026</v>
      </c>
      <c r="D96" s="11">
        <v>0</v>
      </c>
      <c r="E96" s="11">
        <f t="shared" si="8"/>
        <v>527026</v>
      </c>
      <c r="F96" s="12" t="str">
        <f t="shared" si="9"/>
        <v/>
      </c>
      <c r="G96" s="13">
        <v>406900.27</v>
      </c>
      <c r="H96" s="13">
        <f t="shared" si="10"/>
        <v>120125.72999999998</v>
      </c>
      <c r="I96" s="14">
        <f t="shared" si="11"/>
        <v>0.29522155392032545</v>
      </c>
      <c r="J96" s="70" t="s">
        <v>291</v>
      </c>
      <c r="K96" s="70" t="s">
        <v>292</v>
      </c>
    </row>
    <row r="97" spans="1:11" ht="60">
      <c r="A97" s="27" t="str">
        <v>Glen Mary 1</v>
      </c>
      <c r="B97" s="28" t="str">
        <v>NY</v>
      </c>
      <c r="C97" s="10">
        <v>607520</v>
      </c>
      <c r="D97" s="15">
        <v>0</v>
      </c>
      <c r="E97" s="15">
        <f t="shared" si="8"/>
        <v>607520</v>
      </c>
      <c r="F97" s="16" t="str">
        <f t="shared" si="9"/>
        <v/>
      </c>
      <c r="G97" s="17">
        <v>390040</v>
      </c>
      <c r="H97" s="17">
        <f t="shared" si="10"/>
        <v>217480</v>
      </c>
      <c r="I97" s="16">
        <f t="shared" si="11"/>
        <v>0.55758383755512253</v>
      </c>
      <c r="J97" s="58" t="s">
        <v>293</v>
      </c>
      <c r="K97" s="58" t="s">
        <v>294</v>
      </c>
    </row>
    <row r="98" spans="1:11" ht="60">
      <c r="A98" s="25" t="str">
        <v>Glen Mary 2</v>
      </c>
      <c r="B98" s="26" t="str">
        <v>NY</v>
      </c>
      <c r="C98" s="21">
        <v>272790</v>
      </c>
      <c r="D98" s="11">
        <v>0</v>
      </c>
      <c r="E98" s="11">
        <f t="shared" si="8"/>
        <v>272790</v>
      </c>
      <c r="F98" s="12" t="str">
        <f t="shared" si="9"/>
        <v/>
      </c>
      <c r="G98" s="13">
        <v>159200</v>
      </c>
      <c r="H98" s="13">
        <f t="shared" si="10"/>
        <v>113590</v>
      </c>
      <c r="I98" s="14">
        <f t="shared" si="11"/>
        <v>0.71350502512562819</v>
      </c>
      <c r="J98" s="38" t="s">
        <v>295</v>
      </c>
      <c r="K98" s="38" t="s">
        <v>296</v>
      </c>
    </row>
    <row r="99" spans="1:11" ht="15.75">
      <c r="A99" s="27" t="str">
        <v>Telegraph 1</v>
      </c>
      <c r="B99" s="28" t="str">
        <v>NY</v>
      </c>
      <c r="C99" s="10">
        <v>529535</v>
      </c>
      <c r="D99" s="15">
        <v>0</v>
      </c>
      <c r="E99" s="15">
        <f t="shared" si="8"/>
        <v>529535</v>
      </c>
      <c r="F99" s="16" t="str">
        <f t="shared" si="9"/>
        <v/>
      </c>
      <c r="G99" s="17">
        <v>264670</v>
      </c>
      <c r="H99" s="17">
        <f t="shared" si="10"/>
        <v>264865</v>
      </c>
      <c r="I99" s="16">
        <f t="shared" si="11"/>
        <v>1.0007367665394642</v>
      </c>
      <c r="J99" s="39"/>
      <c r="K99" s="40"/>
    </row>
    <row r="100" spans="1:11" ht="15.75">
      <c r="A100" s="25" t="str">
        <v>Telegraph 2</v>
      </c>
      <c r="B100" s="26" t="str">
        <v>NY</v>
      </c>
      <c r="C100" s="21">
        <v>282629</v>
      </c>
      <c r="D100" s="11">
        <v>0</v>
      </c>
      <c r="E100" s="11">
        <f t="shared" si="8"/>
        <v>282629</v>
      </c>
      <c r="F100" s="12" t="str">
        <f t="shared" si="9"/>
        <v/>
      </c>
      <c r="G100" s="13">
        <v>137310</v>
      </c>
      <c r="H100" s="13">
        <f t="shared" si="10"/>
        <v>145319</v>
      </c>
      <c r="I100" s="14">
        <f t="shared" si="11"/>
        <v>1.0583278712402593</v>
      </c>
      <c r="J100" s="38"/>
      <c r="K100" s="38"/>
    </row>
    <row r="101" spans="1:11" ht="15.75">
      <c r="A101" s="27" t="str">
        <v>Cafferty Hill</v>
      </c>
      <c r="B101" s="28" t="str">
        <v>NY</v>
      </c>
      <c r="C101" s="10">
        <v>665555</v>
      </c>
      <c r="D101" s="15">
        <v>0</v>
      </c>
      <c r="E101" s="15">
        <f t="shared" si="8"/>
        <v>665555</v>
      </c>
      <c r="F101" s="16" t="str">
        <f t="shared" si="9"/>
        <v/>
      </c>
      <c r="G101" s="17">
        <v>312325</v>
      </c>
      <c r="H101" s="17">
        <f t="shared" si="10"/>
        <v>353230</v>
      </c>
      <c r="I101" s="16">
        <f t="shared" si="11"/>
        <v>1.1309693428319858</v>
      </c>
      <c r="J101" s="39"/>
      <c r="K101" s="39"/>
    </row>
    <row r="102" spans="1:11" ht="15.75">
      <c r="A102" s="25" t="str">
        <v>Dunkleman</v>
      </c>
      <c r="B102" s="26" t="str">
        <v>NY</v>
      </c>
      <c r="C102" s="21">
        <v>434847</v>
      </c>
      <c r="D102" s="11">
        <v>0</v>
      </c>
      <c r="E102" s="11">
        <f t="shared" si="8"/>
        <v>434847</v>
      </c>
      <c r="F102" s="12" t="str">
        <f t="shared" si="9"/>
        <v/>
      </c>
      <c r="G102" s="13">
        <v>327000</v>
      </c>
      <c r="H102" s="13">
        <f t="shared" si="10"/>
        <v>107847</v>
      </c>
      <c r="I102" s="14">
        <f t="shared" si="11"/>
        <v>0.32980733944954127</v>
      </c>
      <c r="J102" s="38"/>
      <c r="K102" s="38"/>
    </row>
    <row r="103" spans="1:11" ht="15.75">
      <c r="A103" s="27" t="str">
        <v>Route 19 1</v>
      </c>
      <c r="B103" s="28" t="str">
        <v>NY</v>
      </c>
      <c r="C103" s="10">
        <v>333346</v>
      </c>
      <c r="D103" s="15">
        <v>0</v>
      </c>
      <c r="E103" s="15">
        <f t="shared" si="8"/>
        <v>333346</v>
      </c>
      <c r="F103" s="16" t="str">
        <f t="shared" si="9"/>
        <v/>
      </c>
      <c r="G103" s="17">
        <v>133330</v>
      </c>
      <c r="H103" s="17">
        <f t="shared" si="10"/>
        <v>200016</v>
      </c>
      <c r="I103" s="16">
        <f t="shared" si="11"/>
        <v>1.5001575039375985</v>
      </c>
      <c r="J103" s="39"/>
      <c r="K103" s="40"/>
    </row>
    <row r="104" spans="1:11" ht="15.75">
      <c r="A104" s="25" t="str">
        <v>Route 19 2</v>
      </c>
      <c r="B104" s="26" t="str">
        <v>NY</v>
      </c>
      <c r="C104" s="21">
        <v>803848</v>
      </c>
      <c r="D104" s="11">
        <v>0</v>
      </c>
      <c r="E104" s="11">
        <f t="shared" si="8"/>
        <v>803848</v>
      </c>
      <c r="F104" s="12" t="str">
        <f t="shared" si="9"/>
        <v/>
      </c>
      <c r="G104" s="13">
        <v>361185</v>
      </c>
      <c r="H104" s="13">
        <f t="shared" si="10"/>
        <v>442663</v>
      </c>
      <c r="I104" s="14">
        <f t="shared" si="11"/>
        <v>1.2255852264075198</v>
      </c>
      <c r="J104" s="38"/>
      <c r="K104" s="38"/>
    </row>
    <row r="105" spans="1:11" ht="15.75">
      <c r="A105" s="27" t="str">
        <v>Yellow Mills 1</v>
      </c>
      <c r="B105" s="28" t="str">
        <v>NY</v>
      </c>
      <c r="C105" s="10">
        <v>227839</v>
      </c>
      <c r="D105" s="15">
        <v>0</v>
      </c>
      <c r="E105" s="15">
        <f t="shared" si="8"/>
        <v>227839</v>
      </c>
      <c r="F105" s="16" t="str">
        <f t="shared" si="9"/>
        <v/>
      </c>
      <c r="G105" s="17">
        <v>0</v>
      </c>
      <c r="H105" s="17">
        <f t="shared" si="10"/>
        <v>227839</v>
      </c>
      <c r="I105" s="16" t="str">
        <f t="shared" si="11"/>
        <v/>
      </c>
      <c r="J105" s="58" t="s">
        <v>297</v>
      </c>
      <c r="K105" s="58" t="s">
        <v>298</v>
      </c>
    </row>
    <row r="106" spans="1:11" ht="45">
      <c r="A106" s="25" t="str">
        <v>Yellow Mills 2</v>
      </c>
      <c r="B106" s="26" t="str">
        <v>NY</v>
      </c>
      <c r="C106" s="21">
        <v>230441</v>
      </c>
      <c r="D106" s="11">
        <v>0</v>
      </c>
      <c r="E106" s="11">
        <f t="shared" si="8"/>
        <v>230441</v>
      </c>
      <c r="F106" s="12" t="str">
        <f t="shared" si="9"/>
        <v/>
      </c>
      <c r="G106" s="13">
        <v>0</v>
      </c>
      <c r="H106" s="13">
        <f t="shared" si="10"/>
        <v>230441</v>
      </c>
      <c r="I106" s="14" t="str">
        <f t="shared" si="11"/>
        <v/>
      </c>
      <c r="J106" s="38" t="s">
        <v>299</v>
      </c>
      <c r="K106" s="38" t="s">
        <v>300</v>
      </c>
    </row>
    <row r="107" spans="1:11" ht="15.75">
      <c r="A107" s="27" t="str">
        <v>Yellow Mills 3</v>
      </c>
      <c r="B107" s="28" t="str">
        <v>NY</v>
      </c>
      <c r="C107" s="10">
        <v>221170</v>
      </c>
      <c r="D107" s="15">
        <v>0</v>
      </c>
      <c r="E107" s="15">
        <f t="shared" si="8"/>
        <v>221170</v>
      </c>
      <c r="F107" s="16" t="str">
        <f t="shared" si="9"/>
        <v/>
      </c>
      <c r="G107" s="17">
        <v>0</v>
      </c>
      <c r="H107" s="17">
        <f t="shared" si="10"/>
        <v>221170</v>
      </c>
      <c r="I107" s="16" t="str">
        <f t="shared" si="11"/>
        <v/>
      </c>
      <c r="J107" s="58" t="s">
        <v>297</v>
      </c>
      <c r="K107" s="58" t="s">
        <v>301</v>
      </c>
    </row>
    <row r="108" spans="1:11" ht="120">
      <c r="A108" s="25" t="str">
        <v>Catskill</v>
      </c>
      <c r="B108" s="26" t="str">
        <v>NY</v>
      </c>
      <c r="C108" s="21">
        <v>361590</v>
      </c>
      <c r="D108" s="11">
        <v>0</v>
      </c>
      <c r="E108" s="11">
        <f t="shared" si="8"/>
        <v>361590</v>
      </c>
      <c r="F108" s="12" t="str">
        <f t="shared" si="9"/>
        <v/>
      </c>
      <c r="G108" s="13">
        <v>0</v>
      </c>
      <c r="H108" s="13">
        <f t="shared" si="10"/>
        <v>361590</v>
      </c>
      <c r="I108" s="14" t="str">
        <f t="shared" si="11"/>
        <v/>
      </c>
      <c r="J108" s="70" t="s">
        <v>302</v>
      </c>
      <c r="K108" s="70" t="s">
        <v>303</v>
      </c>
    </row>
    <row r="109" spans="1:11" ht="45">
      <c r="A109" s="27" t="str">
        <v>Eddy Ridge</v>
      </c>
      <c r="B109" s="28" t="str">
        <v>NY</v>
      </c>
      <c r="C109" s="10">
        <v>384779.6</v>
      </c>
      <c r="D109" s="15">
        <v>0</v>
      </c>
      <c r="E109" s="15">
        <f t="shared" si="8"/>
        <v>384779.6</v>
      </c>
      <c r="F109" s="16" t="str">
        <f t="shared" si="9"/>
        <v/>
      </c>
      <c r="G109" s="17">
        <v>0</v>
      </c>
      <c r="H109" s="17">
        <f t="shared" si="10"/>
        <v>384779.6</v>
      </c>
      <c r="I109" s="16" t="str">
        <f t="shared" si="11"/>
        <v/>
      </c>
      <c r="J109" s="58" t="s">
        <v>304</v>
      </c>
      <c r="K109" s="58" t="s">
        <v>305</v>
      </c>
    </row>
    <row r="110" spans="1:11" ht="30">
      <c r="A110" s="25" t="str">
        <v>Ridgeway #1</v>
      </c>
      <c r="B110" s="26" t="str">
        <v>NY</v>
      </c>
      <c r="C110" s="21">
        <v>830606.5</v>
      </c>
      <c r="D110" s="11">
        <v>0</v>
      </c>
      <c r="E110" s="11">
        <f t="shared" si="8"/>
        <v>830606.5</v>
      </c>
      <c r="F110" s="12" t="str">
        <f t="shared" si="9"/>
        <v/>
      </c>
      <c r="G110" s="13">
        <v>0</v>
      </c>
      <c r="H110" s="13">
        <f t="shared" si="10"/>
        <v>830606.5</v>
      </c>
      <c r="I110" s="14" t="str">
        <f t="shared" si="11"/>
        <v/>
      </c>
      <c r="J110" s="70" t="s">
        <v>306</v>
      </c>
      <c r="K110" s="70" t="s">
        <v>307</v>
      </c>
    </row>
    <row r="111" spans="1:11" ht="45">
      <c r="A111" s="27" t="str">
        <v>Rivard 1</v>
      </c>
      <c r="B111" s="28" t="str">
        <v>NY</v>
      </c>
      <c r="C111" s="10">
        <v>436042</v>
      </c>
      <c r="D111" s="15">
        <v>620396.80000000005</v>
      </c>
      <c r="E111" s="15">
        <f t="shared" si="8"/>
        <v>-184354.80000000005</v>
      </c>
      <c r="F111" s="16">
        <f t="shared" si="9"/>
        <v>-0.29715627159907987</v>
      </c>
      <c r="G111" s="17">
        <v>688243.6</v>
      </c>
      <c r="H111" s="17">
        <f t="shared" si="10"/>
        <v>-252201.59999999998</v>
      </c>
      <c r="I111" s="16">
        <f t="shared" si="11"/>
        <v>-0.36644234686671984</v>
      </c>
      <c r="J111" s="39" t="s">
        <v>308</v>
      </c>
      <c r="K111" s="40" t="s">
        <v>309</v>
      </c>
    </row>
    <row r="112" spans="1:11" ht="15.75">
      <c r="A112" s="25" t="str">
        <v>Rivard 2</v>
      </c>
      <c r="B112" s="26" t="str">
        <v>NY</v>
      </c>
      <c r="C112" s="21">
        <v>563959.52105263202</v>
      </c>
      <c r="D112" s="11">
        <v>562284.6</v>
      </c>
      <c r="E112" s="11">
        <f t="shared" si="8"/>
        <v>1674.9210526320385</v>
      </c>
      <c r="F112" s="12">
        <f t="shared" si="9"/>
        <v>2.9787781003286209E-3</v>
      </c>
      <c r="G112" s="13">
        <v>660266.4</v>
      </c>
      <c r="H112" s="13">
        <f t="shared" si="10"/>
        <v>-96306.878947368008</v>
      </c>
      <c r="I112" s="14">
        <f t="shared" si="11"/>
        <v>-0.14586063889873543</v>
      </c>
      <c r="J112" s="38"/>
      <c r="K112" s="38"/>
    </row>
    <row r="113" spans="1:11" ht="15.75">
      <c r="A113" s="27" t="str">
        <v>Essex</v>
      </c>
      <c r="B113" s="28" t="str">
        <v>DC</v>
      </c>
      <c r="C113" s="10">
        <v>3139</v>
      </c>
      <c r="D113" s="15">
        <v>4121.6329999999998</v>
      </c>
      <c r="E113" s="15">
        <f t="shared" si="8"/>
        <v>-982.63299999999981</v>
      </c>
      <c r="F113" s="16">
        <f t="shared" si="9"/>
        <v>-0.23840865986855206</v>
      </c>
      <c r="G113" s="17">
        <v>4028.5320000000002</v>
      </c>
      <c r="H113" s="17">
        <f t="shared" si="10"/>
        <v>-889.53200000000015</v>
      </c>
      <c r="I113" s="16">
        <f t="shared" si="11"/>
        <v>-0.22080797670218336</v>
      </c>
      <c r="J113" s="39"/>
      <c r="K113" s="39"/>
    </row>
    <row r="114" spans="1:11" ht="15.75">
      <c r="A114" s="25" t="str">
        <v>Temple Sinai</v>
      </c>
      <c r="B114" s="26" t="str">
        <v>DC</v>
      </c>
      <c r="C114" s="21">
        <v>8441.6299999999992</v>
      </c>
      <c r="D114" s="11">
        <v>11335.63</v>
      </c>
      <c r="E114" s="11">
        <f t="shared" si="8"/>
        <v>-2894</v>
      </c>
      <c r="F114" s="12">
        <f t="shared" si="9"/>
        <v>-0.25530120513813526</v>
      </c>
      <c r="G114" s="13">
        <v>9747.4089999999997</v>
      </c>
      <c r="H114" s="13">
        <f t="shared" si="10"/>
        <v>-1305.7790000000005</v>
      </c>
      <c r="I114" s="14">
        <f t="shared" si="11"/>
        <v>-0.13396165073200483</v>
      </c>
      <c r="J114" s="38" t="s">
        <v>310</v>
      </c>
      <c r="K114" s="38" t="s">
        <v>311</v>
      </c>
    </row>
    <row r="115" spans="1:11" ht="15.75">
      <c r="A115" s="27" t="str">
        <v>Weinberg 1</v>
      </c>
      <c r="B115" s="28" t="str">
        <v>DC</v>
      </c>
      <c r="C115" s="10">
        <v>1321</v>
      </c>
      <c r="D115" s="15">
        <v>1356.2239999999999</v>
      </c>
      <c r="E115" s="15">
        <f t="shared" si="8"/>
        <v>-35.223999999999933</v>
      </c>
      <c r="F115" s="16">
        <f t="shared" si="9"/>
        <v>-2.5972110801755415E-2</v>
      </c>
      <c r="G115" s="17">
        <v>1482.575</v>
      </c>
      <c r="H115" s="17">
        <f t="shared" si="10"/>
        <v>-161.57500000000005</v>
      </c>
      <c r="I115" s="16">
        <f t="shared" si="11"/>
        <v>-0.10898268215773235</v>
      </c>
      <c r="J115" s="39"/>
      <c r="K115" s="40"/>
    </row>
    <row r="116" spans="1:11" ht="15.75">
      <c r="A116" s="25" t="str">
        <v>Weinberg 2</v>
      </c>
      <c r="B116" s="26" t="str">
        <v>DC</v>
      </c>
      <c r="C116" s="21">
        <v>1284</v>
      </c>
      <c r="D116" s="11">
        <v>1325.67</v>
      </c>
      <c r="E116" s="11">
        <f t="shared" si="8"/>
        <v>-41.670000000000073</v>
      </c>
      <c r="F116" s="12">
        <f t="shared" si="9"/>
        <v>-3.1433162099165003E-2</v>
      </c>
      <c r="G116" s="13">
        <v>1523.088</v>
      </c>
      <c r="H116" s="13">
        <f t="shared" si="10"/>
        <v>-239.08799999999997</v>
      </c>
      <c r="I116" s="14">
        <f t="shared" si="11"/>
        <v>-0.15697582805458382</v>
      </c>
      <c r="J116" s="38"/>
      <c r="K116" s="38"/>
    </row>
    <row r="117" spans="1:11" ht="15.75">
      <c r="A117" s="27" t="str">
        <v>Weinberg 3</v>
      </c>
      <c r="B117" s="28" t="str">
        <v>DC</v>
      </c>
      <c r="C117" s="10">
        <v>1520</v>
      </c>
      <c r="D117" s="15">
        <v>1400.463</v>
      </c>
      <c r="E117" s="15">
        <f t="shared" si="8"/>
        <v>119.53700000000003</v>
      </c>
      <c r="F117" s="16">
        <f t="shared" si="9"/>
        <v>8.5355343197214092E-2</v>
      </c>
      <c r="G117" s="17">
        <v>1579</v>
      </c>
      <c r="H117" s="17">
        <f t="shared" si="10"/>
        <v>-59</v>
      </c>
      <c r="I117" s="16">
        <f t="shared" si="11"/>
        <v>-3.7365421152628246E-2</v>
      </c>
      <c r="J117" s="39"/>
      <c r="K117" s="40"/>
    </row>
    <row r="118" spans="1:11" ht="15.75">
      <c r="A118" s="25" t="str">
        <v>Clayton Hall</v>
      </c>
      <c r="B118" s="26" t="str">
        <v>DE</v>
      </c>
      <c r="C118" s="21">
        <v>13586</v>
      </c>
      <c r="D118" s="11">
        <v>17515</v>
      </c>
      <c r="E118" s="11">
        <f t="shared" si="8"/>
        <v>-3929</v>
      </c>
      <c r="F118" s="12">
        <f t="shared" si="9"/>
        <v>-0.2243220097059663</v>
      </c>
      <c r="G118" s="13">
        <v>4451</v>
      </c>
      <c r="H118" s="13">
        <f t="shared" si="10"/>
        <v>9135</v>
      </c>
      <c r="I118" s="14">
        <f t="shared" si="11"/>
        <v>2.052347787014154</v>
      </c>
      <c r="J118" s="38"/>
      <c r="K118" s="38"/>
    </row>
    <row r="119" spans="1:11" ht="15.75">
      <c r="A119" s="27" t="str">
        <v>Field House</v>
      </c>
      <c r="B119" s="28" t="str">
        <v>DE</v>
      </c>
      <c r="C119" s="10">
        <v>47458</v>
      </c>
      <c r="D119" s="15">
        <v>0</v>
      </c>
      <c r="E119" s="15">
        <f t="shared" si="8"/>
        <v>47458</v>
      </c>
      <c r="F119" s="16" t="str">
        <f t="shared" si="9"/>
        <v/>
      </c>
      <c r="G119" s="17">
        <v>43662</v>
      </c>
      <c r="H119" s="17">
        <f t="shared" si="10"/>
        <v>3796</v>
      </c>
      <c r="I119" s="16">
        <f t="shared" si="11"/>
        <v>8.6940589070587701E-2</v>
      </c>
      <c r="J119" s="39"/>
      <c r="K119" s="40"/>
    </row>
    <row r="120" spans="1:11" ht="15.75">
      <c r="A120" s="25" t="str">
        <v>Wyoming Road</v>
      </c>
      <c r="B120" s="26" t="str">
        <v>DE</v>
      </c>
      <c r="C120" s="21">
        <v>28485</v>
      </c>
      <c r="D120" s="11">
        <v>26789</v>
      </c>
      <c r="E120" s="11">
        <f t="shared" si="8"/>
        <v>1696</v>
      </c>
      <c r="F120" s="12">
        <f t="shared" si="9"/>
        <v>6.3309567359737209E-2</v>
      </c>
      <c r="G120" s="13">
        <v>29293</v>
      </c>
      <c r="H120" s="13">
        <f t="shared" si="10"/>
        <v>-808</v>
      </c>
      <c r="I120" s="14">
        <f t="shared" si="11"/>
        <v>-2.7583381695285562E-2</v>
      </c>
      <c r="J120" s="38"/>
      <c r="K120" s="38"/>
    </row>
    <row r="121" spans="1:11" ht="15.75">
      <c r="A121" s="27" t="str">
        <v>Leoku</v>
      </c>
      <c r="B121" s="28" t="str">
        <v>HI</v>
      </c>
      <c r="C121" s="10">
        <v>11229</v>
      </c>
      <c r="D121" s="15">
        <v>11096</v>
      </c>
      <c r="E121" s="15">
        <f t="shared" si="8"/>
        <v>133</v>
      </c>
      <c r="F121" s="16">
        <f t="shared" si="9"/>
        <v>1.1986301369863013E-2</v>
      </c>
      <c r="G121" s="17">
        <v>12854</v>
      </c>
      <c r="H121" s="17">
        <f t="shared" si="10"/>
        <v>-1625</v>
      </c>
      <c r="I121" s="16">
        <f t="shared" si="11"/>
        <v>-0.12641979150459001</v>
      </c>
      <c r="J121" s="39"/>
      <c r="K121" s="40"/>
    </row>
    <row r="122" spans="1:11" ht="15.75">
      <c r="A122" s="25" t="str">
        <v>Waipahu</v>
      </c>
      <c r="B122" s="26" t="str">
        <v>HI</v>
      </c>
      <c r="C122" s="21">
        <v>12489</v>
      </c>
      <c r="D122" s="11">
        <v>10287</v>
      </c>
      <c r="E122" s="11">
        <f t="shared" si="8"/>
        <v>2202</v>
      </c>
      <c r="F122" s="12">
        <f t="shared" si="9"/>
        <v>0.21405657626130067</v>
      </c>
      <c r="G122" s="13">
        <v>12854</v>
      </c>
      <c r="H122" s="13">
        <f t="shared" si="10"/>
        <v>-365</v>
      </c>
      <c r="I122" s="14">
        <f t="shared" si="11"/>
        <v>-2.8395830091800217E-2</v>
      </c>
      <c r="J122" s="38"/>
      <c r="K122" s="38"/>
    </row>
    <row r="123" spans="1:11" ht="30">
      <c r="A123" s="27" t="str">
        <v>Bird in Hand</v>
      </c>
      <c r="B123" s="28" t="str">
        <v>MD</v>
      </c>
      <c r="C123" s="10">
        <v>160503</v>
      </c>
      <c r="D123" s="15">
        <v>161280.1</v>
      </c>
      <c r="E123" s="15">
        <f t="shared" si="8"/>
        <v>-777.10000000000582</v>
      </c>
      <c r="F123" s="16">
        <f t="shared" si="9"/>
        <v>-4.8183253854629663E-3</v>
      </c>
      <c r="G123" s="17">
        <v>155732.29999999999</v>
      </c>
      <c r="H123" s="17">
        <f t="shared" si="10"/>
        <v>4770.7000000000116</v>
      </c>
      <c r="I123" s="16">
        <f t="shared" si="11"/>
        <v>3.0633978949774786E-2</v>
      </c>
      <c r="J123" s="61" t="s">
        <v>312</v>
      </c>
      <c r="K123" s="62" t="s">
        <v>313</v>
      </c>
    </row>
    <row r="124" spans="1:11" ht="15.75">
      <c r="A124" s="25" t="str">
        <v>Shortal</v>
      </c>
      <c r="B124" s="26" t="str">
        <v>MD</v>
      </c>
      <c r="C124" s="21">
        <v>165151</v>
      </c>
      <c r="D124" s="11">
        <v>140043.5</v>
      </c>
      <c r="E124" s="11">
        <f t="shared" si="8"/>
        <v>25107.5</v>
      </c>
      <c r="F124" s="12">
        <f t="shared" si="9"/>
        <v>0.179283579744865</v>
      </c>
      <c r="G124" s="13">
        <v>9459.6239999999998</v>
      </c>
      <c r="H124" s="13">
        <f t="shared" si="10"/>
        <v>155691.37599999999</v>
      </c>
      <c r="I124" s="14">
        <f t="shared" si="11"/>
        <v>16.458516321578955</v>
      </c>
      <c r="J124" s="66"/>
      <c r="K124" s="66"/>
    </row>
    <row r="125" spans="1:11" ht="15.75">
      <c r="A125" s="27" t="str">
        <v>Aguadilla</v>
      </c>
      <c r="B125" s="28" t="str">
        <v>PR</v>
      </c>
      <c r="C125" s="10">
        <v>20725</v>
      </c>
      <c r="D125" s="15">
        <v>18983.84</v>
      </c>
      <c r="E125" s="15">
        <f t="shared" si="8"/>
        <v>1741.1599999999999</v>
      </c>
      <c r="F125" s="16">
        <f t="shared" si="9"/>
        <v>9.1718008579929025E-2</v>
      </c>
      <c r="G125" s="17">
        <v>21992</v>
      </c>
      <c r="H125" s="17">
        <f t="shared" si="10"/>
        <v>-1267</v>
      </c>
      <c r="I125" s="16">
        <f t="shared" si="11"/>
        <v>-5.7611858857766464E-2</v>
      </c>
      <c r="J125" s="61" t="s">
        <v>314</v>
      </c>
      <c r="K125" s="61" t="s">
        <v>315</v>
      </c>
    </row>
    <row r="126" spans="1:11" ht="105.75" customHeight="1">
      <c r="A126" s="25" t="str">
        <v>Bayamon</v>
      </c>
      <c r="B126" s="26" t="str">
        <v>PR</v>
      </c>
      <c r="C126" s="21">
        <v>71341</v>
      </c>
      <c r="D126" s="11">
        <v>80679.929999999993</v>
      </c>
      <c r="E126" s="11">
        <f t="shared" si="8"/>
        <v>-9338.929999999993</v>
      </c>
      <c r="F126" s="12">
        <f t="shared" si="9"/>
        <v>-0.11575282725208108</v>
      </c>
      <c r="G126" s="13">
        <v>0</v>
      </c>
      <c r="H126" s="13">
        <f t="shared" si="10"/>
        <v>71341</v>
      </c>
      <c r="I126" s="14" t="str">
        <f t="shared" si="11"/>
        <v/>
      </c>
      <c r="J126" s="66" t="s">
        <v>316</v>
      </c>
      <c r="K126" s="66" t="s">
        <v>317</v>
      </c>
    </row>
    <row r="127" spans="1:11" ht="63" customHeight="1">
      <c r="A127" s="27" t="str">
        <v>St Francis</v>
      </c>
      <c r="B127" s="28" t="str">
        <v>PR</v>
      </c>
      <c r="C127" s="10">
        <v>20333.119999999901</v>
      </c>
      <c r="D127" s="15">
        <v>53729.53</v>
      </c>
      <c r="E127" s="15">
        <f t="shared" si="8"/>
        <v>-33396.410000000098</v>
      </c>
      <c r="F127" s="16">
        <f t="shared" si="9"/>
        <v>-0.62156527332362854</v>
      </c>
      <c r="G127" s="17">
        <v>31455</v>
      </c>
      <c r="H127" s="17">
        <f t="shared" si="10"/>
        <v>-11121.880000000099</v>
      </c>
      <c r="I127" s="16">
        <f t="shared" si="11"/>
        <v>-0.35358067079955807</v>
      </c>
      <c r="J127" s="69" t="s">
        <v>318</v>
      </c>
      <c r="K127" s="62" t="s">
        <v>319</v>
      </c>
    </row>
    <row r="128" spans="1:11" ht="15.75">
      <c r="A128" s="25" t="str">
        <v>Seaport</v>
      </c>
      <c r="B128" s="26" t="str">
        <v>MA</v>
      </c>
      <c r="C128" s="21">
        <v>54059</v>
      </c>
      <c r="D128" s="11">
        <v>50023.12</v>
      </c>
      <c r="E128" s="11">
        <f t="shared" si="8"/>
        <v>4035.8799999999974</v>
      </c>
      <c r="F128" s="12">
        <f t="shared" si="9"/>
        <v>8.0680293432316835E-2</v>
      </c>
      <c r="G128" s="13">
        <v>55754.61</v>
      </c>
      <c r="H128" s="13">
        <f t="shared" si="10"/>
        <v>-1695.6100000000006</v>
      </c>
      <c r="I128" s="14">
        <f t="shared" si="11"/>
        <v>-3.0412014360785604E-2</v>
      </c>
      <c r="J128" s="66"/>
      <c r="K128" s="66"/>
    </row>
    <row r="129" spans="1:11" ht="49.5" customHeight="1">
      <c r="A129" s="27" t="str">
        <v>Sprague St</v>
      </c>
      <c r="B129" s="28" t="str">
        <v>MA</v>
      </c>
      <c r="C129" s="10">
        <v>120666</v>
      </c>
      <c r="D129" s="15">
        <v>119643</v>
      </c>
      <c r="E129" s="15">
        <f t="shared" si="8"/>
        <v>1023</v>
      </c>
      <c r="F129" s="16">
        <f t="shared" si="9"/>
        <v>8.5504375517163559E-3</v>
      </c>
      <c r="G129" s="17">
        <v>115317</v>
      </c>
      <c r="H129" s="17">
        <f t="shared" si="10"/>
        <v>5349</v>
      </c>
      <c r="I129" s="16">
        <f t="shared" si="11"/>
        <v>4.6385181716485861E-2</v>
      </c>
      <c r="J129" s="61" t="s">
        <v>320</v>
      </c>
      <c r="K129" s="61" t="s">
        <v>321</v>
      </c>
    </row>
    <row r="130" spans="1:11" ht="15.75">
      <c r="A130" s="25" t="str">
        <v>Summer St</v>
      </c>
      <c r="B130" s="26" t="str">
        <v>MA</v>
      </c>
      <c r="C130" s="21">
        <v>255740</v>
      </c>
      <c r="D130" s="11">
        <v>253622.39999999999</v>
      </c>
      <c r="E130" s="11">
        <f t="shared" si="8"/>
        <v>2117.6000000000058</v>
      </c>
      <c r="F130" s="12">
        <f t="shared" si="9"/>
        <v>8.3494202404835131E-3</v>
      </c>
      <c r="G130" s="13">
        <v>264301</v>
      </c>
      <c r="H130" s="13">
        <f t="shared" si="10"/>
        <v>-8561</v>
      </c>
      <c r="I130" s="14">
        <f t="shared" si="11"/>
        <v>-3.2391099541810284E-2</v>
      </c>
      <c r="J130" s="66" t="s">
        <v>322</v>
      </c>
      <c r="K130" s="66" t="s">
        <v>231</v>
      </c>
    </row>
    <row r="131" spans="1:11" ht="15.75">
      <c r="A131" s="27" t="str">
        <v>Brock St Vocational</v>
      </c>
      <c r="B131" s="28" t="str">
        <v>NH</v>
      </c>
      <c r="C131" s="10">
        <v>10092.251364698999</v>
      </c>
      <c r="D131" s="15">
        <v>11331.49</v>
      </c>
      <c r="E131" s="15">
        <f t="shared" si="8"/>
        <v>-1239.2386353010006</v>
      </c>
      <c r="F131" s="16">
        <f t="shared" si="9"/>
        <v>-0.10936237293603936</v>
      </c>
      <c r="G131" s="17">
        <v>12852.65</v>
      </c>
      <c r="H131" s="17">
        <f t="shared" si="10"/>
        <v>-2760.3986353010005</v>
      </c>
      <c r="I131" s="16">
        <f t="shared" si="11"/>
        <v>-0.2147727227693122</v>
      </c>
      <c r="J131" s="39"/>
      <c r="K131" s="40"/>
    </row>
    <row r="132" spans="1:11" ht="15.75">
      <c r="A132" s="25" t="str">
        <v>McClelland ES</v>
      </c>
      <c r="B132" s="26" t="str">
        <v>NH</v>
      </c>
      <c r="C132" s="21">
        <v>7150</v>
      </c>
      <c r="D132" s="11">
        <v>10123</v>
      </c>
      <c r="E132" s="11">
        <f t="shared" si="8"/>
        <v>-2973</v>
      </c>
      <c r="F132" s="12">
        <f t="shared" si="9"/>
        <v>-0.29368764200335867</v>
      </c>
      <c r="G132" s="13">
        <v>9120</v>
      </c>
      <c r="H132" s="13">
        <f t="shared" si="10"/>
        <v>-1970</v>
      </c>
      <c r="I132" s="14">
        <f t="shared" si="11"/>
        <v>-0.21600877192982457</v>
      </c>
      <c r="J132" s="38"/>
      <c r="K132" s="38"/>
    </row>
    <row r="133" spans="1:11" ht="15.75">
      <c r="A133" s="27" t="str">
        <v>Portland St</v>
      </c>
      <c r="B133" s="28" t="str">
        <v>NH</v>
      </c>
      <c r="C133" s="10">
        <v>6337</v>
      </c>
      <c r="D133" s="15">
        <v>5846</v>
      </c>
      <c r="E133" s="15">
        <f t="shared" si="8"/>
        <v>491</v>
      </c>
      <c r="F133" s="16">
        <f t="shared" si="9"/>
        <v>8.3989052343482723E-2</v>
      </c>
      <c r="G133" s="17">
        <v>7754</v>
      </c>
      <c r="H133" s="17">
        <f t="shared" si="10"/>
        <v>-1417</v>
      </c>
      <c r="I133" s="16">
        <f t="shared" si="11"/>
        <v>-0.18274438999226206</v>
      </c>
      <c r="J133" s="39"/>
      <c r="K133" s="40"/>
    </row>
    <row r="134" spans="1:11" ht="15.75">
      <c r="A134" s="25" t="str">
        <v>Portsmouth HS</v>
      </c>
      <c r="B134" s="26" t="str">
        <v>NH</v>
      </c>
      <c r="C134" s="21">
        <v>27326</v>
      </c>
      <c r="D134" s="11">
        <v>26853</v>
      </c>
      <c r="E134" s="11">
        <f t="shared" si="8"/>
        <v>473</v>
      </c>
      <c r="F134" s="12">
        <f t="shared" si="9"/>
        <v>1.7614419245521915E-2</v>
      </c>
      <c r="G134" s="13">
        <v>13488</v>
      </c>
      <c r="H134" s="13">
        <f t="shared" si="10"/>
        <v>13838</v>
      </c>
      <c r="I134" s="14">
        <f t="shared" si="11"/>
        <v>1.0259489916963227</v>
      </c>
      <c r="J134" s="38"/>
      <c r="K134" s="38"/>
    </row>
    <row r="135" spans="1:11" ht="15.75">
      <c r="A135" s="27" t="str">
        <v>Portsmouth WTP</v>
      </c>
      <c r="B135" s="28" t="str">
        <v>NH</v>
      </c>
      <c r="C135" s="10">
        <v>27936.5</v>
      </c>
      <c r="D135" s="15">
        <v>29638.5</v>
      </c>
      <c r="E135" s="15">
        <f t="shared" si="8"/>
        <v>-1702</v>
      </c>
      <c r="F135" s="16">
        <f t="shared" si="9"/>
        <v>-5.742530829832819E-2</v>
      </c>
      <c r="G135" s="17">
        <v>34403</v>
      </c>
      <c r="H135" s="17">
        <f t="shared" si="10"/>
        <v>-6466.5</v>
      </c>
      <c r="I135" s="16">
        <f t="shared" si="11"/>
        <v>-0.1879632590181089</v>
      </c>
      <c r="J135" s="71" t="s">
        <v>323</v>
      </c>
      <c r="K135" s="71" t="s">
        <v>324</v>
      </c>
    </row>
    <row r="136" spans="1:11" ht="15.75">
      <c r="A136" s="25" t="str">
        <v>Rochester St</v>
      </c>
      <c r="B136" s="26" t="str">
        <v>NH</v>
      </c>
      <c r="C136" s="21">
        <v>22894</v>
      </c>
      <c r="D136" s="11">
        <v>28815</v>
      </c>
      <c r="E136" s="11">
        <f t="shared" si="8"/>
        <v>-5921</v>
      </c>
      <c r="F136" s="12">
        <f t="shared" si="9"/>
        <v>-0.20548325524900227</v>
      </c>
      <c r="G136" s="13">
        <v>28522</v>
      </c>
      <c r="H136" s="13">
        <f t="shared" si="10"/>
        <v>-5628</v>
      </c>
      <c r="I136" s="14">
        <f t="shared" si="11"/>
        <v>-0.1973213659631162</v>
      </c>
      <c r="J136" s="38"/>
      <c r="K136" s="38"/>
    </row>
    <row r="137" spans="1:11" ht="15.75">
      <c r="A137" s="27" t="str">
        <v>Spaulding HS</v>
      </c>
      <c r="B137" s="28" t="str">
        <v>NH</v>
      </c>
      <c r="C137" s="10">
        <v>11418.001552994099</v>
      </c>
      <c r="D137" s="15">
        <v>12577.9</v>
      </c>
      <c r="E137" s="15">
        <f t="shared" si="8"/>
        <v>-1159.8984470059004</v>
      </c>
      <c r="F137" s="16">
        <f t="shared" si="9"/>
        <v>-9.2217178305273567E-2</v>
      </c>
      <c r="G137" s="17">
        <v>14601.64</v>
      </c>
      <c r="H137" s="17">
        <f t="shared" si="10"/>
        <v>-3183.6384470059002</v>
      </c>
      <c r="I137" s="16">
        <f t="shared" si="11"/>
        <v>-0.21803293650616645</v>
      </c>
      <c r="J137" s="39"/>
      <c r="K137" s="40"/>
    </row>
    <row r="138" spans="1:11" ht="15.75">
      <c r="A138" s="25" t="str">
        <v>Ridgeway #2</v>
      </c>
      <c r="B138" s="26" t="str">
        <v>NY</v>
      </c>
      <c r="C138" s="21">
        <v>330777</v>
      </c>
      <c r="D138" s="11">
        <v>0</v>
      </c>
      <c r="E138" s="15">
        <f t="shared" si="8"/>
        <v>330777</v>
      </c>
      <c r="F138" s="16" t="str">
        <f t="shared" si="9"/>
        <v/>
      </c>
      <c r="G138" s="13">
        <v>0</v>
      </c>
      <c r="H138" s="17">
        <f t="shared" si="10"/>
        <v>330777</v>
      </c>
      <c r="I138" s="16" t="str">
        <f t="shared" si="11"/>
        <v/>
      </c>
      <c r="J138" s="38"/>
      <c r="K138" s="38"/>
    </row>
    <row r="139" spans="1:11" ht="15">
      <c r="A139" s="18"/>
      <c r="B139" s="30"/>
      <c r="C139" s="18"/>
      <c r="D139" s="18"/>
      <c r="E139" s="15" t="str">
        <f t="shared" si="8"/>
        <v/>
      </c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 F4:F138 I4:I138">
    <cfRule type="cellIs" dxfId="40" priority="7" stopIfTrue="1" operator="lessThanOrEqual">
      <formula>-0.1</formula>
    </cfRule>
    <cfRule type="expression" dxfId="39" priority="8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325</v>
      </c>
      <c r="E1" s="77"/>
      <c r="F1" s="77"/>
      <c r="G1" s="75" t="s">
        <v>326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38" priority="5" stopIfTrue="1" operator="lessThanOrEqual">
      <formula>-0.1</formula>
    </cfRule>
    <cfRule type="expression" dxfId="37" priority="6">
      <formula>AND(ISNUMBER(F2), F2&gt;=0.1)</formula>
    </cfRule>
  </conditionalFormatting>
  <conditionalFormatting sqref="F4:F137 I4:I137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xSplit="2" ySplit="3" topLeftCell="C131" activePane="bottomRight" state="frozen"/>
      <selection pane="bottomRight" activeCell="D4" sqref="D4:I136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327</v>
      </c>
      <c r="E1" s="77"/>
      <c r="F1" s="77"/>
      <c r="G1" s="75" t="s">
        <v>328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4:F137 I4:I137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329</v>
      </c>
      <c r="E1" s="77"/>
      <c r="F1" s="77"/>
      <c r="G1" s="75" t="s">
        <v>330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137 I4:I137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331</v>
      </c>
      <c r="E1" s="77"/>
      <c r="F1" s="77"/>
      <c r="G1" s="75" t="s">
        <v>332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137 I4:I137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333</v>
      </c>
      <c r="E1" s="77"/>
      <c r="F1" s="77"/>
      <c r="G1" s="75" t="s">
        <v>334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137 I4:I137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335</v>
      </c>
      <c r="E1" s="77"/>
      <c r="F1" s="77"/>
      <c r="G1" s="75" t="s">
        <v>336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137 I4:I13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337</v>
      </c>
      <c r="E1" s="77"/>
      <c r="F1" s="77"/>
      <c r="G1" s="75" t="s">
        <v>338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conditionalFormatting sqref="F4:F137 I4:I137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4" sqref="A4:K13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339</v>
      </c>
      <c r="E1" s="77"/>
      <c r="F1" s="77"/>
      <c r="G1" s="75" t="s">
        <v>340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137 I4:I137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M17" sqref="M17"/>
      <selection pane="bottomLeft"/>
      <selection pane="topRight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Generate Capital</v>
      </c>
      <c r="B1" s="76"/>
      <c r="C1" s="76"/>
      <c r="D1" s="77" t="s">
        <v>341</v>
      </c>
      <c r="E1" s="77"/>
      <c r="F1" s="77"/>
      <c r="G1" s="75" t="s">
        <v>342</v>
      </c>
      <c r="H1" s="75"/>
      <c r="I1" s="75"/>
      <c r="J1" s="5"/>
      <c r="K1" s="5"/>
    </row>
    <row r="2" spans="1:11" ht="19.5" customHeight="1">
      <c r="A2" s="78" t="s">
        <v>2</v>
      </c>
      <c r="B2" s="78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138">Sites[Site]</f>
        <v>Farmer</v>
      </c>
      <c r="B4" s="26" t="str" cm="1">
        <f t="array" ref="B4:B138">Sites[State]</f>
        <v>AZ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>Fulton</v>
      </c>
      <c r="B5" s="28" t="str">
        <v>AZ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>JFK Elementary</v>
      </c>
      <c r="B6" s="26" t="str">
        <v>AZ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>Noble</v>
      </c>
      <c r="B7" s="28" t="str">
        <v>AZ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>Parking 3</v>
      </c>
      <c r="B8" s="26" t="str">
        <v>AZ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>PE East</v>
      </c>
      <c r="B9" s="28" t="str">
        <v>AZ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>Schwada</v>
      </c>
      <c r="B10" s="26" t="str">
        <v>AZ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>Starshine</v>
      </c>
      <c r="B11" s="28" t="str">
        <v>AZ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>Yuma Airport</v>
      </c>
      <c r="B12" s="26" t="str">
        <v>AZ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>Kinsman</v>
      </c>
      <c r="B13" s="28" t="str">
        <v>OH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>Wooster</v>
      </c>
      <c r="B14" s="26" t="str">
        <v>OH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>Globe Gila CC</v>
      </c>
      <c r="B15" s="28" t="str">
        <v>AZ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>Payson Gila CC</v>
      </c>
      <c r="B16" s="26" t="str">
        <v>AZ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>SCNM</v>
      </c>
      <c r="B17" s="28" t="str">
        <v>AZ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>Sequoia Charter School</v>
      </c>
      <c r="B18" s="26" t="str">
        <v>AZ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>RCAB</v>
      </c>
      <c r="B19" s="28" t="str">
        <v>MA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>Spectro Coatings</v>
      </c>
      <c r="B20" s="26" t="str">
        <v>MA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>K026</v>
      </c>
      <c r="B21" s="28" t="str">
        <v>NY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>K041</v>
      </c>
      <c r="B22" s="26" t="str">
        <v>NY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>K043</v>
      </c>
      <c r="B23" s="28" t="str">
        <v>NY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>K058</v>
      </c>
      <c r="B24" s="26" t="str">
        <v>NY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>K115</v>
      </c>
      <c r="B25" s="28" t="str">
        <v>NY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>K152</v>
      </c>
      <c r="B26" s="26" t="str">
        <v>NY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>K166</v>
      </c>
      <c r="B27" s="28" t="str">
        <v>NY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>K206</v>
      </c>
      <c r="B28" s="26" t="str">
        <v>NY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>K251</v>
      </c>
      <c r="B29" s="28" t="str">
        <v>NY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>K269</v>
      </c>
      <c r="B30" s="26" t="str">
        <v>NY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>K273</v>
      </c>
      <c r="B31" s="28" t="str">
        <v>NY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>K287</v>
      </c>
      <c r="B32" s="26" t="str">
        <v>NY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>K298</v>
      </c>
      <c r="B33" s="28" t="str">
        <v>NY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>K335</v>
      </c>
      <c r="B34" s="26" t="str">
        <v>NY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>K345</v>
      </c>
      <c r="B35" s="28" t="str">
        <v>NY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>K445</v>
      </c>
      <c r="B36" s="26" t="str">
        <v>NY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>K495</v>
      </c>
      <c r="B37" s="28" t="str">
        <v>NY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>M020</v>
      </c>
      <c r="B38" s="26" t="str">
        <v>NY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5.75">
      <c r="A39" s="27" t="str">
        <v>M092</v>
      </c>
      <c r="B39" s="28" t="str">
        <v>NY</v>
      </c>
      <c r="C39" s="10"/>
      <c r="D39" s="15"/>
      <c r="E39" s="15"/>
      <c r="F39" s="16"/>
      <c r="G39" s="17"/>
      <c r="H39" s="17"/>
      <c r="I39" s="16"/>
      <c r="J39" s="39"/>
      <c r="K39" s="40"/>
    </row>
    <row r="40" spans="1:11" ht="15.75">
      <c r="A40" s="25" t="str">
        <v>M143</v>
      </c>
      <c r="B40" s="26" t="str">
        <v>NY</v>
      </c>
      <c r="C40" s="21"/>
      <c r="D40" s="11"/>
      <c r="E40" s="11"/>
      <c r="F40" s="12"/>
      <c r="G40" s="13"/>
      <c r="H40" s="13"/>
      <c r="I40" s="14"/>
      <c r="J40" s="38"/>
      <c r="K40" s="38"/>
    </row>
    <row r="41" spans="1:11" ht="15.75">
      <c r="A41" s="27" t="str">
        <v>M144</v>
      </c>
      <c r="B41" s="28" t="str">
        <v>NY</v>
      </c>
      <c r="C41" s="10"/>
      <c r="D41" s="15"/>
      <c r="E41" s="15"/>
      <c r="F41" s="16"/>
      <c r="G41" s="17"/>
      <c r="H41" s="17"/>
      <c r="I41" s="16"/>
      <c r="J41" s="39"/>
      <c r="K41" s="39"/>
    </row>
    <row r="42" spans="1:11" ht="15.75">
      <c r="A42" s="25" t="str">
        <v>M167</v>
      </c>
      <c r="B42" s="26" t="str">
        <v>NY</v>
      </c>
      <c r="C42" s="21"/>
      <c r="D42" s="11"/>
      <c r="E42" s="11"/>
      <c r="F42" s="12"/>
      <c r="G42" s="13"/>
      <c r="H42" s="13"/>
      <c r="I42" s="14"/>
      <c r="J42" s="38"/>
      <c r="K42" s="38"/>
    </row>
    <row r="43" spans="1:11" ht="15.75">
      <c r="A43" s="27" t="str">
        <v>M188</v>
      </c>
      <c r="B43" s="28" t="str">
        <v>NY</v>
      </c>
      <c r="C43" s="10"/>
      <c r="D43" s="15"/>
      <c r="E43" s="15"/>
      <c r="F43" s="16"/>
      <c r="G43" s="17"/>
      <c r="H43" s="17"/>
      <c r="I43" s="16"/>
      <c r="J43" s="39"/>
      <c r="K43" s="40"/>
    </row>
    <row r="44" spans="1:11" ht="15.75">
      <c r="A44" s="25" t="str">
        <v>EMHC</v>
      </c>
      <c r="B44" s="26" t="str">
        <v>NY</v>
      </c>
      <c r="C44" s="21"/>
      <c r="D44" s="11"/>
      <c r="E44" s="11"/>
      <c r="F44" s="12"/>
      <c r="G44" s="13"/>
      <c r="H44" s="13"/>
      <c r="I44" s="14"/>
      <c r="J44" s="38"/>
      <c r="K44" s="38"/>
    </row>
    <row r="45" spans="1:11" ht="15.75">
      <c r="A45" s="27" t="str">
        <v>Q008</v>
      </c>
      <c r="B45" s="28" t="str">
        <v>NY</v>
      </c>
      <c r="C45" s="10"/>
      <c r="D45" s="15"/>
      <c r="E45" s="15"/>
      <c r="F45" s="16"/>
      <c r="G45" s="17"/>
      <c r="H45" s="17"/>
      <c r="I45" s="16"/>
      <c r="J45" s="39"/>
      <c r="K45" s="40"/>
    </row>
    <row r="46" spans="1:11" ht="15.75">
      <c r="A46" s="25" t="str">
        <v>Q018</v>
      </c>
      <c r="B46" s="26" t="str">
        <v>NY</v>
      </c>
      <c r="C46" s="21"/>
      <c r="D46" s="11"/>
      <c r="E46" s="11"/>
      <c r="F46" s="12"/>
      <c r="G46" s="13"/>
      <c r="H46" s="13"/>
      <c r="I46" s="14"/>
      <c r="J46" s="38"/>
      <c r="K46" s="38"/>
    </row>
    <row r="47" spans="1:11" ht="15.75">
      <c r="A47" s="27" t="str">
        <v>Q021</v>
      </c>
      <c r="B47" s="28" t="str">
        <v>NY</v>
      </c>
      <c r="C47" s="10"/>
      <c r="D47" s="15"/>
      <c r="E47" s="15"/>
      <c r="F47" s="16"/>
      <c r="G47" s="17"/>
      <c r="H47" s="17"/>
      <c r="I47" s="16"/>
      <c r="J47" s="39"/>
      <c r="K47" s="40"/>
    </row>
    <row r="48" spans="1:11" ht="15.75">
      <c r="A48" s="25" t="str">
        <v>Q025</v>
      </c>
      <c r="B48" s="26" t="str">
        <v>NY</v>
      </c>
      <c r="C48" s="21"/>
      <c r="D48" s="11"/>
      <c r="E48" s="11"/>
      <c r="F48" s="12"/>
      <c r="G48" s="13"/>
      <c r="H48" s="13"/>
      <c r="I48" s="14"/>
      <c r="J48" s="38"/>
      <c r="K48" s="38"/>
    </row>
    <row r="49" spans="1:11" ht="15.75">
      <c r="A49" s="27" t="str">
        <v>Q074</v>
      </c>
      <c r="B49" s="28" t="str">
        <v>NY</v>
      </c>
      <c r="C49" s="10"/>
      <c r="D49" s="15"/>
      <c r="E49" s="15"/>
      <c r="F49" s="16"/>
      <c r="G49" s="17"/>
      <c r="H49" s="17"/>
      <c r="I49" s="16"/>
      <c r="J49" s="39"/>
      <c r="K49" s="40"/>
    </row>
    <row r="50" spans="1:11" ht="15.75">
      <c r="A50" s="25" t="str">
        <v>Q115</v>
      </c>
      <c r="B50" s="26" t="str">
        <v>NY</v>
      </c>
      <c r="C50" s="21"/>
      <c r="D50" s="11"/>
      <c r="E50" s="11"/>
      <c r="F50" s="12"/>
      <c r="G50" s="13"/>
      <c r="H50" s="13"/>
      <c r="I50" s="14"/>
      <c r="J50" s="38"/>
      <c r="K50" s="38"/>
    </row>
    <row r="51" spans="1:11" ht="15.75">
      <c r="A51" s="27" t="str">
        <v>Q139</v>
      </c>
      <c r="B51" s="28" t="str">
        <v>NY</v>
      </c>
      <c r="C51" s="10"/>
      <c r="D51" s="15"/>
      <c r="E51" s="15"/>
      <c r="F51" s="16"/>
      <c r="G51" s="17"/>
      <c r="H51" s="17"/>
      <c r="I51" s="16"/>
      <c r="J51" s="39"/>
      <c r="K51" s="40"/>
    </row>
    <row r="52" spans="1:11" ht="15.75">
      <c r="A52" s="25" t="str">
        <v>Q157</v>
      </c>
      <c r="B52" s="26" t="str">
        <v>NY</v>
      </c>
      <c r="C52" s="21"/>
      <c r="D52" s="11"/>
      <c r="E52" s="11"/>
      <c r="F52" s="12"/>
      <c r="G52" s="13"/>
      <c r="H52" s="13"/>
      <c r="I52" s="14"/>
      <c r="J52" s="38"/>
      <c r="K52" s="38"/>
    </row>
    <row r="53" spans="1:11" ht="15.75">
      <c r="A53" s="27" t="str">
        <v>Q192</v>
      </c>
      <c r="B53" s="28" t="str">
        <v>NY</v>
      </c>
      <c r="C53" s="10"/>
      <c r="D53" s="15"/>
      <c r="E53" s="15"/>
      <c r="F53" s="16"/>
      <c r="G53" s="17"/>
      <c r="H53" s="17"/>
      <c r="I53" s="16"/>
      <c r="J53" s="39"/>
      <c r="K53" s="39"/>
    </row>
    <row r="54" spans="1:11" ht="15.75">
      <c r="A54" s="25" t="str">
        <v>Q210</v>
      </c>
      <c r="B54" s="26" t="str">
        <v>NY</v>
      </c>
      <c r="C54" s="21"/>
      <c r="D54" s="11"/>
      <c r="E54" s="11"/>
      <c r="F54" s="12"/>
      <c r="G54" s="13"/>
      <c r="H54" s="13"/>
      <c r="I54" s="14"/>
      <c r="J54" s="38"/>
      <c r="K54" s="38"/>
    </row>
    <row r="55" spans="1:11" ht="15.75">
      <c r="A55" s="27" t="str">
        <v>Q229</v>
      </c>
      <c r="B55" s="28" t="str">
        <v>NY</v>
      </c>
      <c r="C55" s="10"/>
      <c r="D55" s="15"/>
      <c r="E55" s="15"/>
      <c r="F55" s="16"/>
      <c r="G55" s="17"/>
      <c r="H55" s="17"/>
      <c r="I55" s="16"/>
      <c r="J55" s="39"/>
      <c r="K55" s="40"/>
    </row>
    <row r="56" spans="1:11" ht="15.75">
      <c r="A56" s="25" t="str">
        <v>Q231</v>
      </c>
      <c r="B56" s="26" t="str">
        <v>NY</v>
      </c>
      <c r="C56" s="21"/>
      <c r="D56" s="11"/>
      <c r="E56" s="11"/>
      <c r="F56" s="12"/>
      <c r="G56" s="13"/>
      <c r="H56" s="13"/>
      <c r="I56" s="14"/>
      <c r="J56" s="38"/>
      <c r="K56" s="38"/>
    </row>
    <row r="57" spans="1:11" ht="15.75">
      <c r="A57" s="27" t="str">
        <v>Q405</v>
      </c>
      <c r="B57" s="28" t="str">
        <v>NY</v>
      </c>
      <c r="C57" s="10"/>
      <c r="D57" s="15"/>
      <c r="E57" s="15"/>
      <c r="F57" s="16"/>
      <c r="G57" s="17"/>
      <c r="H57" s="17"/>
      <c r="I57" s="16"/>
      <c r="J57" s="39"/>
      <c r="K57" s="40"/>
    </row>
    <row r="58" spans="1:11" ht="15.75">
      <c r="A58" s="25" t="str">
        <v>Q435</v>
      </c>
      <c r="B58" s="26" t="str">
        <v>NY</v>
      </c>
      <c r="C58" s="21"/>
      <c r="D58" s="11"/>
      <c r="E58" s="11"/>
      <c r="F58" s="12"/>
      <c r="G58" s="13"/>
      <c r="H58" s="13"/>
      <c r="I58" s="14"/>
      <c r="J58" s="38"/>
      <c r="K58" s="38"/>
    </row>
    <row r="59" spans="1:11" ht="15.75">
      <c r="A59" s="27" t="str">
        <v>Q485</v>
      </c>
      <c r="B59" s="28" t="str">
        <v>NY</v>
      </c>
      <c r="C59" s="10"/>
      <c r="D59" s="15"/>
      <c r="E59" s="15"/>
      <c r="F59" s="16"/>
      <c r="G59" s="17"/>
      <c r="H59" s="17"/>
      <c r="I59" s="16"/>
      <c r="J59" s="39"/>
      <c r="K59" s="40"/>
    </row>
    <row r="60" spans="1:11" ht="15.75">
      <c r="A60" s="25" t="str">
        <v>Q490</v>
      </c>
      <c r="B60" s="26" t="str">
        <v>NY</v>
      </c>
      <c r="C60" s="21"/>
      <c r="D60" s="11"/>
      <c r="E60" s="11"/>
      <c r="F60" s="12"/>
      <c r="G60" s="13"/>
      <c r="H60" s="13"/>
      <c r="I60" s="14"/>
      <c r="J60" s="38"/>
      <c r="K60" s="38"/>
    </row>
    <row r="61" spans="1:11" ht="15.75">
      <c r="A61" s="27" t="str">
        <v>Q620</v>
      </c>
      <c r="B61" s="28" t="str">
        <v>NY</v>
      </c>
      <c r="C61" s="10"/>
      <c r="D61" s="15"/>
      <c r="E61" s="15"/>
      <c r="F61" s="16"/>
      <c r="G61" s="17"/>
      <c r="H61" s="17"/>
      <c r="I61" s="16"/>
      <c r="J61" s="39"/>
      <c r="K61" s="40"/>
    </row>
    <row r="62" spans="1:11" ht="15.75">
      <c r="A62" s="25" t="str">
        <v>QMOA</v>
      </c>
      <c r="B62" s="26" t="str">
        <v>NY</v>
      </c>
      <c r="C62" s="21"/>
      <c r="D62" s="11"/>
      <c r="E62" s="11"/>
      <c r="F62" s="12"/>
      <c r="G62" s="13"/>
      <c r="H62" s="13"/>
      <c r="I62" s="14"/>
      <c r="J62" s="38"/>
      <c r="K62" s="38"/>
    </row>
    <row r="63" spans="1:11" ht="15.75">
      <c r="A63" s="27" t="str">
        <v>X024</v>
      </c>
      <c r="B63" s="28" t="str">
        <v>NY</v>
      </c>
      <c r="C63" s="10"/>
      <c r="D63" s="15"/>
      <c r="E63" s="15"/>
      <c r="F63" s="16"/>
      <c r="G63" s="17"/>
      <c r="H63" s="17"/>
      <c r="I63" s="16"/>
      <c r="J63" s="39"/>
      <c r="K63" s="40"/>
    </row>
    <row r="64" spans="1:11" ht="15.75">
      <c r="A64" s="25" t="str">
        <v>X026</v>
      </c>
      <c r="B64" s="26" t="str">
        <v>NY</v>
      </c>
      <c r="C64" s="21"/>
      <c r="D64" s="11"/>
      <c r="E64" s="11"/>
      <c r="F64" s="12"/>
      <c r="G64" s="13"/>
      <c r="H64" s="13"/>
      <c r="I64" s="14"/>
      <c r="J64" s="38"/>
      <c r="K64" s="38"/>
    </row>
    <row r="65" spans="1:11" ht="15.75">
      <c r="A65" s="27" t="str">
        <v>X090</v>
      </c>
      <c r="B65" s="28" t="str">
        <v>NY</v>
      </c>
      <c r="C65" s="10"/>
      <c r="D65" s="15"/>
      <c r="E65" s="15"/>
      <c r="F65" s="16"/>
      <c r="G65" s="17"/>
      <c r="H65" s="17"/>
      <c r="I65" s="16"/>
      <c r="J65" s="39"/>
      <c r="K65" s="39"/>
    </row>
    <row r="66" spans="1:11" ht="15.75">
      <c r="A66" s="25" t="str">
        <v>X117</v>
      </c>
      <c r="B66" s="26" t="str">
        <v>NY</v>
      </c>
      <c r="C66" s="21"/>
      <c r="D66" s="11"/>
      <c r="E66" s="11"/>
      <c r="F66" s="12"/>
      <c r="G66" s="13"/>
      <c r="H66" s="13"/>
      <c r="I66" s="14"/>
      <c r="J66" s="38"/>
      <c r="K66" s="38"/>
    </row>
    <row r="67" spans="1:11" ht="15.75">
      <c r="A67" s="27" t="str">
        <v>X125</v>
      </c>
      <c r="B67" s="28" t="str">
        <v>NY</v>
      </c>
      <c r="C67" s="10"/>
      <c r="D67" s="15"/>
      <c r="E67" s="15"/>
      <c r="F67" s="16"/>
      <c r="G67" s="17"/>
      <c r="H67" s="17"/>
      <c r="I67" s="16"/>
      <c r="J67" s="39"/>
      <c r="K67" s="40"/>
    </row>
    <row r="68" spans="1:11" ht="15.75">
      <c r="A68" s="25" t="str">
        <v>X134</v>
      </c>
      <c r="B68" s="26" t="str">
        <v>NY</v>
      </c>
      <c r="C68" s="21"/>
      <c r="D68" s="11"/>
      <c r="E68" s="11"/>
      <c r="F68" s="12"/>
      <c r="G68" s="13"/>
      <c r="H68" s="13"/>
      <c r="I68" s="14"/>
      <c r="J68" s="38"/>
      <c r="K68" s="38"/>
    </row>
    <row r="69" spans="1:11" ht="15.75">
      <c r="A69" s="27" t="str">
        <v>X135</v>
      </c>
      <c r="B69" s="28" t="str">
        <v>NY</v>
      </c>
      <c r="C69" s="10"/>
      <c r="D69" s="15"/>
      <c r="E69" s="15"/>
      <c r="F69" s="16"/>
      <c r="G69" s="17"/>
      <c r="H69" s="17"/>
      <c r="I69" s="16"/>
      <c r="J69" s="39"/>
      <c r="K69" s="40"/>
    </row>
    <row r="70" spans="1:11" ht="15.75">
      <c r="A70" s="25" t="str">
        <v>X139 JHS 222</v>
      </c>
      <c r="B70" s="26" t="str">
        <v>NY</v>
      </c>
      <c r="C70" s="21"/>
      <c r="D70" s="11"/>
      <c r="E70" s="11"/>
      <c r="F70" s="12"/>
      <c r="G70" s="13"/>
      <c r="H70" s="13"/>
      <c r="I70" s="14"/>
      <c r="J70" s="38"/>
      <c r="K70" s="38"/>
    </row>
    <row r="71" spans="1:11" ht="15.75">
      <c r="A71" s="27" t="str">
        <v>X140</v>
      </c>
      <c r="B71" s="28" t="str">
        <v>NY</v>
      </c>
      <c r="C71" s="10"/>
      <c r="D71" s="15"/>
      <c r="E71" s="15"/>
      <c r="F71" s="16"/>
      <c r="G71" s="17"/>
      <c r="H71" s="17"/>
      <c r="I71" s="16"/>
      <c r="J71" s="39"/>
      <c r="K71" s="40"/>
    </row>
    <row r="72" spans="1:11" ht="15.75">
      <c r="A72" s="25" t="str">
        <v>X166</v>
      </c>
      <c r="B72" s="26" t="str">
        <v>NY</v>
      </c>
      <c r="C72" s="21"/>
      <c r="D72" s="11"/>
      <c r="E72" s="11"/>
      <c r="F72" s="12"/>
      <c r="G72" s="13"/>
      <c r="H72" s="13"/>
      <c r="I72" s="14"/>
      <c r="J72" s="38"/>
      <c r="K72" s="38"/>
    </row>
    <row r="73" spans="1:11" ht="15.75">
      <c r="A73" s="27" t="str">
        <v>Murphy</v>
      </c>
      <c r="B73" s="28" t="str">
        <v>MN</v>
      </c>
      <c r="C73" s="10"/>
      <c r="D73" s="15"/>
      <c r="E73" s="15"/>
      <c r="F73" s="16"/>
      <c r="G73" s="17"/>
      <c r="H73" s="17"/>
      <c r="I73" s="16"/>
      <c r="J73" s="39"/>
      <c r="K73" s="40"/>
    </row>
    <row r="74" spans="1:11" ht="15.75">
      <c r="A74" s="25" t="str">
        <v>Terning</v>
      </c>
      <c r="B74" s="26" t="str">
        <v>MN</v>
      </c>
      <c r="C74" s="21"/>
      <c r="D74" s="11"/>
      <c r="E74" s="11"/>
      <c r="F74" s="12"/>
      <c r="G74" s="13"/>
      <c r="H74" s="13"/>
      <c r="I74" s="14"/>
      <c r="J74" s="38"/>
      <c r="K74" s="38"/>
    </row>
    <row r="75" spans="1:11" ht="15.75">
      <c r="A75" s="27" t="str">
        <v>Boas Road 04</v>
      </c>
      <c r="B75" s="28" t="str">
        <v>NY</v>
      </c>
      <c r="C75" s="10"/>
      <c r="D75" s="15"/>
      <c r="E75" s="15"/>
      <c r="F75" s="16"/>
      <c r="G75" s="17"/>
      <c r="H75" s="17"/>
      <c r="I75" s="16"/>
      <c r="J75" s="39"/>
      <c r="K75" s="40"/>
    </row>
    <row r="76" spans="1:11" ht="15.75">
      <c r="A76" s="25" t="str">
        <v>Kelly Bridge Farm</v>
      </c>
      <c r="B76" s="26" t="str">
        <v>NY</v>
      </c>
      <c r="C76" s="21"/>
      <c r="D76" s="11"/>
      <c r="E76" s="11"/>
      <c r="F76" s="12"/>
      <c r="G76" s="13"/>
      <c r="H76" s="13"/>
      <c r="I76" s="14"/>
      <c r="J76" s="38"/>
      <c r="K76" s="38"/>
    </row>
    <row r="77" spans="1:11" ht="15.75">
      <c r="A77" s="27" t="str">
        <v>Pool Brook Road</v>
      </c>
      <c r="B77" s="28" t="str">
        <v>NY</v>
      </c>
      <c r="C77" s="10"/>
      <c r="D77" s="15"/>
      <c r="E77" s="15"/>
      <c r="F77" s="16"/>
      <c r="G77" s="17"/>
      <c r="H77" s="17"/>
      <c r="I77" s="16"/>
      <c r="J77" s="39"/>
      <c r="K77" s="39"/>
    </row>
    <row r="78" spans="1:11" ht="15.75">
      <c r="A78" s="25" t="str">
        <v>Sackett Lake</v>
      </c>
      <c r="B78" s="26" t="str">
        <v>NY</v>
      </c>
      <c r="C78" s="21"/>
      <c r="D78" s="11"/>
      <c r="E78" s="11"/>
      <c r="F78" s="12"/>
      <c r="G78" s="13"/>
      <c r="H78" s="13"/>
      <c r="I78" s="14"/>
      <c r="J78" s="38"/>
      <c r="K78" s="38"/>
    </row>
    <row r="79" spans="1:11" ht="15.75">
      <c r="A79" s="27" t="str">
        <v>Burritt Road</v>
      </c>
      <c r="B79" s="28" t="str">
        <v>NY</v>
      </c>
      <c r="C79" s="10"/>
      <c r="D79" s="15"/>
      <c r="E79" s="15"/>
      <c r="F79" s="16"/>
      <c r="G79" s="17"/>
      <c r="H79" s="17"/>
      <c r="I79" s="16"/>
      <c r="J79" s="39"/>
      <c r="K79" s="40"/>
    </row>
    <row r="80" spans="1:11" ht="15.75">
      <c r="A80" s="25" t="str">
        <v>Villa Roma 1</v>
      </c>
      <c r="B80" s="26" t="str">
        <v>NY</v>
      </c>
      <c r="C80" s="21"/>
      <c r="D80" s="11"/>
      <c r="E80" s="11"/>
      <c r="F80" s="12"/>
      <c r="G80" s="13"/>
      <c r="H80" s="13"/>
      <c r="I80" s="14"/>
      <c r="J80" s="38"/>
      <c r="K80" s="38"/>
    </row>
    <row r="81" spans="1:11" ht="15.75">
      <c r="A81" s="27" t="str">
        <v>Villa Roma 2</v>
      </c>
      <c r="B81" s="28" t="str">
        <v>NY</v>
      </c>
      <c r="C81" s="10"/>
      <c r="D81" s="15"/>
      <c r="E81" s="15"/>
      <c r="F81" s="16"/>
      <c r="G81" s="17"/>
      <c r="H81" s="17"/>
      <c r="I81" s="16"/>
      <c r="J81" s="39"/>
      <c r="K81" s="40"/>
    </row>
    <row r="82" spans="1:11" ht="15.75">
      <c r="A82" s="25" t="str">
        <v>Washington 1</v>
      </c>
      <c r="B82" s="26" t="str">
        <v>NY</v>
      </c>
      <c r="C82" s="21"/>
      <c r="D82" s="11"/>
      <c r="E82" s="11"/>
      <c r="F82" s="12"/>
      <c r="G82" s="13"/>
      <c r="H82" s="13"/>
      <c r="I82" s="14"/>
      <c r="J82" s="38"/>
      <c r="K82" s="38"/>
    </row>
    <row r="83" spans="1:11" ht="15.75">
      <c r="A83" s="27" t="str">
        <v>Washington 3</v>
      </c>
      <c r="B83" s="28" t="str">
        <v>NY</v>
      </c>
      <c r="C83" s="10"/>
      <c r="D83" s="15"/>
      <c r="E83" s="15"/>
      <c r="F83" s="16"/>
      <c r="G83" s="17"/>
      <c r="H83" s="17"/>
      <c r="I83" s="16"/>
      <c r="J83" s="39"/>
      <c r="K83" s="40"/>
    </row>
    <row r="84" spans="1:11" ht="15.75">
      <c r="A84" s="25" t="str">
        <v>Washington 4</v>
      </c>
      <c r="B84" s="26" t="str">
        <v>NY</v>
      </c>
      <c r="C84" s="21"/>
      <c r="D84" s="11"/>
      <c r="E84" s="11"/>
      <c r="F84" s="12"/>
      <c r="G84" s="13"/>
      <c r="H84" s="13"/>
      <c r="I84" s="14"/>
      <c r="J84" s="38"/>
      <c r="K84" s="38"/>
    </row>
    <row r="85" spans="1:11" ht="15.75">
      <c r="A85" s="27" t="str">
        <v>Big Tree</v>
      </c>
      <c r="B85" s="28" t="str">
        <v>NY</v>
      </c>
      <c r="C85" s="10"/>
      <c r="D85" s="15"/>
      <c r="E85" s="15"/>
      <c r="F85" s="16"/>
      <c r="G85" s="17"/>
      <c r="H85" s="17"/>
      <c r="I85" s="16"/>
      <c r="J85" s="39"/>
      <c r="K85" s="40"/>
    </row>
    <row r="86" spans="1:11" ht="15.75">
      <c r="A86" s="25" t="str">
        <v>Canoga</v>
      </c>
      <c r="B86" s="26" t="str">
        <v>NY</v>
      </c>
      <c r="C86" s="21"/>
      <c r="D86" s="11"/>
      <c r="E86" s="11"/>
      <c r="F86" s="12"/>
      <c r="G86" s="13"/>
      <c r="H86" s="13"/>
      <c r="I86" s="14"/>
      <c r="J86" s="38"/>
      <c r="K86" s="38"/>
    </row>
    <row r="87" spans="1:11" ht="15.75">
      <c r="A87" s="27" t="str">
        <v>County Route 84</v>
      </c>
      <c r="B87" s="28" t="str">
        <v>NY</v>
      </c>
      <c r="C87" s="10"/>
      <c r="D87" s="15"/>
      <c r="E87" s="15"/>
      <c r="F87" s="16"/>
      <c r="G87" s="17"/>
      <c r="H87" s="17"/>
      <c r="I87" s="16"/>
      <c r="J87" s="39"/>
      <c r="K87" s="40"/>
    </row>
    <row r="88" spans="1:11" ht="15.75">
      <c r="A88" s="25" t="str">
        <v>Donati</v>
      </c>
      <c r="B88" s="26" t="str">
        <v>NY</v>
      </c>
      <c r="C88" s="21"/>
      <c r="D88" s="11"/>
      <c r="E88" s="11"/>
      <c r="F88" s="12"/>
      <c r="G88" s="13"/>
      <c r="H88" s="13"/>
      <c r="I88" s="14"/>
      <c r="J88" s="38"/>
      <c r="K88" s="38"/>
    </row>
    <row r="89" spans="1:11" ht="15.75">
      <c r="A89" s="27" t="str">
        <v>Henrietta</v>
      </c>
      <c r="B89" s="28" t="str">
        <v>NY</v>
      </c>
      <c r="C89" s="10"/>
      <c r="D89" s="15"/>
      <c r="E89" s="15"/>
      <c r="F89" s="16"/>
      <c r="G89" s="17"/>
      <c r="H89" s="17"/>
      <c r="I89" s="16"/>
      <c r="J89" s="39"/>
      <c r="K89" s="39"/>
    </row>
    <row r="90" spans="1:11" ht="15.75">
      <c r="A90" s="25" t="str">
        <v>NY 70</v>
      </c>
      <c r="B90" s="26" t="str">
        <v>NY</v>
      </c>
      <c r="C90" s="21"/>
      <c r="D90" s="11"/>
      <c r="E90" s="11"/>
      <c r="F90" s="12"/>
      <c r="G90" s="13"/>
      <c r="H90" s="13"/>
      <c r="I90" s="14"/>
      <c r="J90" s="38"/>
      <c r="K90" s="38"/>
    </row>
    <row r="91" spans="1:11" ht="15.75">
      <c r="A91" s="27" t="str">
        <v>Reid</v>
      </c>
      <c r="B91" s="28" t="str">
        <v>NY</v>
      </c>
      <c r="C91" s="10"/>
      <c r="D91" s="15"/>
      <c r="E91" s="15"/>
      <c r="F91" s="16"/>
      <c r="G91" s="17"/>
      <c r="H91" s="17"/>
      <c r="I91" s="16"/>
      <c r="J91" s="39"/>
      <c r="K91" s="40"/>
    </row>
    <row r="92" spans="1:11" ht="15.75">
      <c r="A92" s="25" t="str">
        <v>Sangolqui</v>
      </c>
      <c r="B92" s="26" t="str">
        <v>NY</v>
      </c>
      <c r="C92" s="21"/>
      <c r="D92" s="11"/>
      <c r="E92" s="11"/>
      <c r="F92" s="12"/>
      <c r="G92" s="13"/>
      <c r="H92" s="13"/>
      <c r="I92" s="14"/>
      <c r="J92" s="38"/>
      <c r="K92" s="38"/>
    </row>
    <row r="93" spans="1:11" ht="15.75">
      <c r="A93" s="27" t="str">
        <v>State Highway 17B</v>
      </c>
      <c r="B93" s="28" t="str">
        <v>NY</v>
      </c>
      <c r="C93" s="10"/>
      <c r="D93" s="15"/>
      <c r="E93" s="15"/>
      <c r="F93" s="16"/>
      <c r="G93" s="17"/>
      <c r="H93" s="17"/>
      <c r="I93" s="16"/>
      <c r="J93" s="39"/>
      <c r="K93" s="40"/>
    </row>
    <row r="94" spans="1:11" ht="15.75">
      <c r="A94" s="25" t="str">
        <v>State Route 14A</v>
      </c>
      <c r="B94" s="26" t="str">
        <v>NY</v>
      </c>
      <c r="C94" s="21"/>
      <c r="D94" s="11"/>
      <c r="E94" s="11"/>
      <c r="F94" s="12"/>
      <c r="G94" s="13"/>
      <c r="H94" s="13"/>
      <c r="I94" s="14"/>
      <c r="J94" s="38"/>
      <c r="K94" s="38"/>
    </row>
    <row r="95" spans="1:11" ht="15.75">
      <c r="A95" s="27" t="str">
        <v>West Creek</v>
      </c>
      <c r="B95" s="28" t="str">
        <v>NY</v>
      </c>
      <c r="C95" s="10"/>
      <c r="D95" s="15"/>
      <c r="E95" s="15"/>
      <c r="F95" s="16"/>
      <c r="G95" s="17"/>
      <c r="H95" s="17"/>
      <c r="I95" s="16"/>
      <c r="J95" s="39"/>
      <c r="K95" s="40"/>
    </row>
    <row r="96" spans="1:11" ht="15.75">
      <c r="A96" s="25" t="str">
        <v>Wildflower</v>
      </c>
      <c r="B96" s="26" t="str">
        <v>NY</v>
      </c>
      <c r="C96" s="21"/>
      <c r="D96" s="11"/>
      <c r="E96" s="11"/>
      <c r="F96" s="12"/>
      <c r="G96" s="13"/>
      <c r="H96" s="13"/>
      <c r="I96" s="14"/>
      <c r="J96" s="38"/>
      <c r="K96" s="38"/>
    </row>
    <row r="97" spans="1:11" ht="15.75">
      <c r="A97" s="27" t="str">
        <v>Glen Mary 1</v>
      </c>
      <c r="B97" s="28" t="str">
        <v>NY</v>
      </c>
      <c r="C97" s="10"/>
      <c r="D97" s="15"/>
      <c r="E97" s="15"/>
      <c r="F97" s="16"/>
      <c r="G97" s="17"/>
      <c r="H97" s="17"/>
      <c r="I97" s="16"/>
      <c r="J97" s="39"/>
      <c r="K97" s="40"/>
    </row>
    <row r="98" spans="1:11" ht="15.75">
      <c r="A98" s="25" t="str">
        <v>Glen Mary 2</v>
      </c>
      <c r="B98" s="26" t="str">
        <v>NY</v>
      </c>
      <c r="C98" s="21"/>
      <c r="D98" s="11"/>
      <c r="E98" s="11"/>
      <c r="F98" s="12"/>
      <c r="G98" s="13"/>
      <c r="H98" s="13"/>
      <c r="I98" s="14"/>
      <c r="J98" s="38"/>
      <c r="K98" s="38"/>
    </row>
    <row r="99" spans="1:11" ht="15.75">
      <c r="A99" s="27" t="str">
        <v>Telegraph 1</v>
      </c>
      <c r="B99" s="28" t="str">
        <v>NY</v>
      </c>
      <c r="C99" s="10"/>
      <c r="D99" s="15"/>
      <c r="E99" s="15"/>
      <c r="F99" s="16"/>
      <c r="G99" s="17"/>
      <c r="H99" s="17"/>
      <c r="I99" s="16"/>
      <c r="J99" s="39"/>
      <c r="K99" s="40"/>
    </row>
    <row r="100" spans="1:11" ht="15.75">
      <c r="A100" s="25" t="str">
        <v>Telegraph 2</v>
      </c>
      <c r="B100" s="26" t="str">
        <v>NY</v>
      </c>
      <c r="C100" s="21"/>
      <c r="D100" s="11"/>
      <c r="E100" s="11"/>
      <c r="F100" s="12"/>
      <c r="G100" s="13"/>
      <c r="H100" s="13"/>
      <c r="I100" s="14"/>
      <c r="J100" s="38"/>
      <c r="K100" s="38"/>
    </row>
    <row r="101" spans="1:11" ht="15.75">
      <c r="A101" s="27" t="str">
        <v>Cafferty Hill</v>
      </c>
      <c r="B101" s="28" t="str">
        <v>NY</v>
      </c>
      <c r="C101" s="10"/>
      <c r="D101" s="15"/>
      <c r="E101" s="15"/>
      <c r="F101" s="16"/>
      <c r="G101" s="17"/>
      <c r="H101" s="17"/>
      <c r="I101" s="16"/>
      <c r="J101" s="39"/>
      <c r="K101" s="39"/>
    </row>
    <row r="102" spans="1:11" ht="15.75">
      <c r="A102" s="25" t="str">
        <v>Dunkleman</v>
      </c>
      <c r="B102" s="26" t="str">
        <v>NY</v>
      </c>
      <c r="C102" s="21"/>
      <c r="D102" s="11"/>
      <c r="E102" s="11"/>
      <c r="F102" s="12"/>
      <c r="G102" s="13"/>
      <c r="H102" s="13"/>
      <c r="I102" s="14"/>
      <c r="J102" s="38"/>
      <c r="K102" s="38"/>
    </row>
    <row r="103" spans="1:11" ht="15.75">
      <c r="A103" s="27" t="str">
        <v>Route 19 1</v>
      </c>
      <c r="B103" s="28" t="str">
        <v>NY</v>
      </c>
      <c r="C103" s="10"/>
      <c r="D103" s="15"/>
      <c r="E103" s="15"/>
      <c r="F103" s="16"/>
      <c r="G103" s="17"/>
      <c r="H103" s="17"/>
      <c r="I103" s="16"/>
      <c r="J103" s="39"/>
      <c r="K103" s="40"/>
    </row>
    <row r="104" spans="1:11" ht="15.75">
      <c r="A104" s="25" t="str">
        <v>Route 19 2</v>
      </c>
      <c r="B104" s="26" t="str">
        <v>NY</v>
      </c>
      <c r="C104" s="21"/>
      <c r="D104" s="11"/>
      <c r="E104" s="11"/>
      <c r="F104" s="12"/>
      <c r="G104" s="13"/>
      <c r="H104" s="13"/>
      <c r="I104" s="14"/>
      <c r="J104" s="38"/>
      <c r="K104" s="38"/>
    </row>
    <row r="105" spans="1:11" ht="15.75">
      <c r="A105" s="27" t="str">
        <v>Yellow Mills 1</v>
      </c>
      <c r="B105" s="28" t="str">
        <v>NY</v>
      </c>
      <c r="C105" s="10"/>
      <c r="D105" s="15"/>
      <c r="E105" s="15"/>
      <c r="F105" s="16"/>
      <c r="G105" s="17"/>
      <c r="H105" s="17"/>
      <c r="I105" s="16"/>
      <c r="J105" s="39"/>
      <c r="K105" s="40"/>
    </row>
    <row r="106" spans="1:11" ht="15.75">
      <c r="A106" s="25" t="str">
        <v>Yellow Mills 2</v>
      </c>
      <c r="B106" s="26" t="str">
        <v>NY</v>
      </c>
      <c r="C106" s="21"/>
      <c r="D106" s="11"/>
      <c r="E106" s="11"/>
      <c r="F106" s="12"/>
      <c r="G106" s="13"/>
      <c r="H106" s="13"/>
      <c r="I106" s="14"/>
      <c r="J106" s="38"/>
      <c r="K106" s="38"/>
    </row>
    <row r="107" spans="1:11" ht="15.75">
      <c r="A107" s="27" t="str">
        <v>Yellow Mills 3</v>
      </c>
      <c r="B107" s="28" t="str">
        <v>NY</v>
      </c>
      <c r="C107" s="10"/>
      <c r="D107" s="15"/>
      <c r="E107" s="15"/>
      <c r="F107" s="16"/>
      <c r="G107" s="17"/>
      <c r="H107" s="17"/>
      <c r="I107" s="16"/>
      <c r="J107" s="39"/>
      <c r="K107" s="40"/>
    </row>
    <row r="108" spans="1:11" ht="15.75">
      <c r="A108" s="25" t="str">
        <v>Catskill</v>
      </c>
      <c r="B108" s="26" t="str">
        <v>NY</v>
      </c>
      <c r="C108" s="21"/>
      <c r="D108" s="11"/>
      <c r="E108" s="11"/>
      <c r="F108" s="12"/>
      <c r="G108" s="13"/>
      <c r="H108" s="13"/>
      <c r="I108" s="14"/>
      <c r="J108" s="38"/>
      <c r="K108" s="38"/>
    </row>
    <row r="109" spans="1:11" ht="15.75">
      <c r="A109" s="27" t="str">
        <v>Eddy Ridge</v>
      </c>
      <c r="B109" s="28" t="str">
        <v>NY</v>
      </c>
      <c r="C109" s="10"/>
      <c r="D109" s="15"/>
      <c r="E109" s="15"/>
      <c r="F109" s="16"/>
      <c r="G109" s="17"/>
      <c r="H109" s="17"/>
      <c r="I109" s="16"/>
      <c r="J109" s="39"/>
      <c r="K109" s="40"/>
    </row>
    <row r="110" spans="1:11" ht="15.75">
      <c r="A110" s="25" t="str">
        <v>Ridgeway #1</v>
      </c>
      <c r="B110" s="26" t="str">
        <v>NY</v>
      </c>
      <c r="C110" s="21"/>
      <c r="D110" s="11"/>
      <c r="E110" s="11"/>
      <c r="F110" s="12"/>
      <c r="G110" s="13"/>
      <c r="H110" s="13"/>
      <c r="I110" s="14"/>
      <c r="J110" s="38"/>
      <c r="K110" s="38"/>
    </row>
    <row r="111" spans="1:11" ht="15.75">
      <c r="A111" s="27" t="str">
        <v>Rivard 1</v>
      </c>
      <c r="B111" s="28" t="str">
        <v>NY</v>
      </c>
      <c r="C111" s="10"/>
      <c r="D111" s="15"/>
      <c r="E111" s="15"/>
      <c r="F111" s="16"/>
      <c r="G111" s="17"/>
      <c r="H111" s="17"/>
      <c r="I111" s="16"/>
      <c r="J111" s="39"/>
      <c r="K111" s="40"/>
    </row>
    <row r="112" spans="1:11" ht="15.75">
      <c r="A112" s="25" t="str">
        <v>Rivard 2</v>
      </c>
      <c r="B112" s="26" t="str">
        <v>NY</v>
      </c>
      <c r="C112" s="21"/>
      <c r="D112" s="11"/>
      <c r="E112" s="11"/>
      <c r="F112" s="12"/>
      <c r="G112" s="13"/>
      <c r="H112" s="13"/>
      <c r="I112" s="14"/>
      <c r="J112" s="38"/>
      <c r="K112" s="38"/>
    </row>
    <row r="113" spans="1:11" ht="15.75">
      <c r="A113" s="27" t="str">
        <v>Essex</v>
      </c>
      <c r="B113" s="28" t="str">
        <v>DC</v>
      </c>
      <c r="C113" s="10"/>
      <c r="D113" s="15"/>
      <c r="E113" s="15"/>
      <c r="F113" s="16"/>
      <c r="G113" s="17"/>
      <c r="H113" s="17"/>
      <c r="I113" s="16"/>
      <c r="J113" s="39"/>
      <c r="K113" s="39"/>
    </row>
    <row r="114" spans="1:11" ht="15.75">
      <c r="A114" s="25" t="str">
        <v>Temple Sinai</v>
      </c>
      <c r="B114" s="26" t="str">
        <v>DC</v>
      </c>
      <c r="C114" s="21"/>
      <c r="D114" s="11"/>
      <c r="E114" s="11"/>
      <c r="F114" s="12"/>
      <c r="G114" s="13"/>
      <c r="H114" s="13"/>
      <c r="I114" s="14"/>
      <c r="J114" s="38"/>
      <c r="K114" s="38"/>
    </row>
    <row r="115" spans="1:11" ht="15.75">
      <c r="A115" s="27" t="str">
        <v>Weinberg 1</v>
      </c>
      <c r="B115" s="28" t="str">
        <v>DC</v>
      </c>
      <c r="C115" s="10"/>
      <c r="D115" s="15"/>
      <c r="E115" s="15"/>
      <c r="F115" s="16"/>
      <c r="G115" s="17"/>
      <c r="H115" s="17"/>
      <c r="I115" s="16"/>
      <c r="J115" s="39"/>
      <c r="K115" s="40"/>
    </row>
    <row r="116" spans="1:11" ht="15.75">
      <c r="A116" s="25" t="str">
        <v>Weinberg 2</v>
      </c>
      <c r="B116" s="26" t="str">
        <v>DC</v>
      </c>
      <c r="C116" s="21"/>
      <c r="D116" s="11"/>
      <c r="E116" s="11"/>
      <c r="F116" s="12"/>
      <c r="G116" s="13"/>
      <c r="H116" s="13"/>
      <c r="I116" s="14"/>
      <c r="J116" s="38"/>
      <c r="K116" s="38"/>
    </row>
    <row r="117" spans="1:11" ht="15.75">
      <c r="A117" s="27" t="str">
        <v>Weinberg 3</v>
      </c>
      <c r="B117" s="28" t="str">
        <v>DC</v>
      </c>
      <c r="C117" s="10"/>
      <c r="D117" s="15"/>
      <c r="E117" s="15"/>
      <c r="F117" s="16"/>
      <c r="G117" s="17"/>
      <c r="H117" s="17"/>
      <c r="I117" s="16"/>
      <c r="J117" s="39"/>
      <c r="K117" s="40"/>
    </row>
    <row r="118" spans="1:11" ht="15.75">
      <c r="A118" s="25" t="str">
        <v>Clayton Hall</v>
      </c>
      <c r="B118" s="26" t="str">
        <v>DE</v>
      </c>
      <c r="C118" s="21"/>
      <c r="D118" s="11"/>
      <c r="E118" s="11"/>
      <c r="F118" s="12"/>
      <c r="G118" s="13"/>
      <c r="H118" s="13"/>
      <c r="I118" s="14"/>
      <c r="J118" s="38"/>
      <c r="K118" s="38"/>
    </row>
    <row r="119" spans="1:11" ht="15.75">
      <c r="A119" s="27" t="str">
        <v>Field House</v>
      </c>
      <c r="B119" s="28" t="str">
        <v>DE</v>
      </c>
      <c r="C119" s="10"/>
      <c r="D119" s="15"/>
      <c r="E119" s="15"/>
      <c r="F119" s="16"/>
      <c r="G119" s="17"/>
      <c r="H119" s="17"/>
      <c r="I119" s="16"/>
      <c r="J119" s="39"/>
      <c r="K119" s="40"/>
    </row>
    <row r="120" spans="1:11" ht="15.75">
      <c r="A120" s="25" t="str">
        <v>Wyoming Road</v>
      </c>
      <c r="B120" s="26" t="str">
        <v>DE</v>
      </c>
      <c r="C120" s="21"/>
      <c r="D120" s="11"/>
      <c r="E120" s="11"/>
      <c r="F120" s="12"/>
      <c r="G120" s="13"/>
      <c r="H120" s="13"/>
      <c r="I120" s="14"/>
      <c r="J120" s="38"/>
      <c r="K120" s="38"/>
    </row>
    <row r="121" spans="1:11" ht="15.75">
      <c r="A121" s="27" t="str">
        <v>Leoku</v>
      </c>
      <c r="B121" s="28" t="str">
        <v>HI</v>
      </c>
      <c r="C121" s="10"/>
      <c r="D121" s="15"/>
      <c r="E121" s="15"/>
      <c r="F121" s="16"/>
      <c r="G121" s="17"/>
      <c r="H121" s="17"/>
      <c r="I121" s="16"/>
      <c r="J121" s="39"/>
      <c r="K121" s="40"/>
    </row>
    <row r="122" spans="1:11" ht="15.75">
      <c r="A122" s="25" t="str">
        <v>Waipahu</v>
      </c>
      <c r="B122" s="26" t="str">
        <v>HI</v>
      </c>
      <c r="C122" s="21"/>
      <c r="D122" s="11"/>
      <c r="E122" s="11"/>
      <c r="F122" s="12"/>
      <c r="G122" s="13"/>
      <c r="H122" s="13"/>
      <c r="I122" s="14"/>
      <c r="J122" s="38"/>
      <c r="K122" s="38"/>
    </row>
    <row r="123" spans="1:11" ht="15.75">
      <c r="A123" s="27" t="str">
        <v>Bird in Hand</v>
      </c>
      <c r="B123" s="28" t="str">
        <v>MD</v>
      </c>
      <c r="C123" s="10"/>
      <c r="D123" s="15"/>
      <c r="E123" s="15"/>
      <c r="F123" s="16"/>
      <c r="G123" s="17"/>
      <c r="H123" s="17"/>
      <c r="I123" s="16"/>
      <c r="J123" s="39"/>
      <c r="K123" s="40"/>
    </row>
    <row r="124" spans="1:11" ht="15.75">
      <c r="A124" s="25" t="str">
        <v>Shortal</v>
      </c>
      <c r="B124" s="26" t="str">
        <v>MD</v>
      </c>
      <c r="C124" s="21"/>
      <c r="D124" s="11"/>
      <c r="E124" s="11"/>
      <c r="F124" s="12"/>
      <c r="G124" s="13"/>
      <c r="H124" s="13"/>
      <c r="I124" s="14"/>
      <c r="J124" s="38"/>
      <c r="K124" s="38"/>
    </row>
    <row r="125" spans="1:11" ht="15.75">
      <c r="A125" s="27" t="str">
        <v>Aguadilla</v>
      </c>
      <c r="B125" s="28" t="str">
        <v>PR</v>
      </c>
      <c r="C125" s="10"/>
      <c r="D125" s="15"/>
      <c r="E125" s="15"/>
      <c r="F125" s="16"/>
      <c r="G125" s="17"/>
      <c r="H125" s="17"/>
      <c r="I125" s="16"/>
      <c r="J125" s="39"/>
      <c r="K125" s="39"/>
    </row>
    <row r="126" spans="1:11" ht="15.75">
      <c r="A126" s="25" t="str">
        <v>Bayamon</v>
      </c>
      <c r="B126" s="26" t="str">
        <v>PR</v>
      </c>
      <c r="C126" s="21"/>
      <c r="D126" s="11"/>
      <c r="E126" s="11"/>
      <c r="F126" s="12"/>
      <c r="G126" s="13"/>
      <c r="H126" s="13"/>
      <c r="I126" s="14"/>
      <c r="J126" s="38"/>
      <c r="K126" s="38"/>
    </row>
    <row r="127" spans="1:11" ht="15.75">
      <c r="A127" s="27" t="str">
        <v>St Francis</v>
      </c>
      <c r="B127" s="28" t="str">
        <v>PR</v>
      </c>
      <c r="C127" s="10"/>
      <c r="D127" s="15"/>
      <c r="E127" s="15"/>
      <c r="F127" s="16"/>
      <c r="G127" s="17"/>
      <c r="H127" s="17"/>
      <c r="I127" s="16"/>
      <c r="J127" s="39"/>
      <c r="K127" s="40"/>
    </row>
    <row r="128" spans="1:11" ht="15.75">
      <c r="A128" s="25" t="str">
        <v>Seaport</v>
      </c>
      <c r="B128" s="26" t="str">
        <v>MA</v>
      </c>
      <c r="C128" s="21"/>
      <c r="D128" s="11"/>
      <c r="E128" s="11"/>
      <c r="F128" s="12"/>
      <c r="G128" s="13"/>
      <c r="H128" s="13"/>
      <c r="I128" s="14"/>
      <c r="J128" s="38"/>
      <c r="K128" s="38"/>
    </row>
    <row r="129" spans="1:11" ht="15.75">
      <c r="A129" s="27" t="str">
        <v>Sprague St</v>
      </c>
      <c r="B129" s="28" t="str">
        <v>MA</v>
      </c>
      <c r="C129" s="10"/>
      <c r="D129" s="15"/>
      <c r="E129" s="15"/>
      <c r="F129" s="16"/>
      <c r="G129" s="17"/>
      <c r="H129" s="17"/>
      <c r="I129" s="16"/>
      <c r="J129" s="39"/>
      <c r="K129" s="40"/>
    </row>
    <row r="130" spans="1:11" ht="15.75">
      <c r="A130" s="25" t="str">
        <v>Summer St</v>
      </c>
      <c r="B130" s="26" t="str">
        <v>MA</v>
      </c>
      <c r="C130" s="21"/>
      <c r="D130" s="11"/>
      <c r="E130" s="11"/>
      <c r="F130" s="12"/>
      <c r="G130" s="13"/>
      <c r="H130" s="13"/>
      <c r="I130" s="14"/>
      <c r="J130" s="38"/>
      <c r="K130" s="38"/>
    </row>
    <row r="131" spans="1:11" ht="15.75">
      <c r="A131" s="27" t="str">
        <v>Brock St Vocational</v>
      </c>
      <c r="B131" s="28" t="str">
        <v>NH</v>
      </c>
      <c r="C131" s="10"/>
      <c r="D131" s="15"/>
      <c r="E131" s="15"/>
      <c r="F131" s="16"/>
      <c r="G131" s="17"/>
      <c r="H131" s="17"/>
      <c r="I131" s="16"/>
      <c r="J131" s="39"/>
      <c r="K131" s="40"/>
    </row>
    <row r="132" spans="1:11" ht="15.75">
      <c r="A132" s="25" t="str">
        <v>McClelland ES</v>
      </c>
      <c r="B132" s="26" t="str">
        <v>NH</v>
      </c>
      <c r="C132" s="21"/>
      <c r="D132" s="11"/>
      <c r="E132" s="11"/>
      <c r="F132" s="12"/>
      <c r="G132" s="13"/>
      <c r="H132" s="13"/>
      <c r="I132" s="14"/>
      <c r="J132" s="38"/>
      <c r="K132" s="38"/>
    </row>
    <row r="133" spans="1:11" ht="15.75">
      <c r="A133" s="27" t="str">
        <v>Portland St</v>
      </c>
      <c r="B133" s="28" t="str">
        <v>NH</v>
      </c>
      <c r="C133" s="10"/>
      <c r="D133" s="15"/>
      <c r="E133" s="15"/>
      <c r="F133" s="16"/>
      <c r="G133" s="17"/>
      <c r="H133" s="17"/>
      <c r="I133" s="16"/>
      <c r="J133" s="39"/>
      <c r="K133" s="40"/>
    </row>
    <row r="134" spans="1:11" ht="15.75">
      <c r="A134" s="25" t="str">
        <v>Portsmouth HS</v>
      </c>
      <c r="B134" s="26" t="str">
        <v>NH</v>
      </c>
      <c r="C134" s="21"/>
      <c r="D134" s="11"/>
      <c r="E134" s="11"/>
      <c r="F134" s="12"/>
      <c r="G134" s="13"/>
      <c r="H134" s="13"/>
      <c r="I134" s="14"/>
      <c r="J134" s="38"/>
      <c r="K134" s="38"/>
    </row>
    <row r="135" spans="1:11" ht="15.75">
      <c r="A135" s="27" t="str">
        <v>Portsmouth WTP</v>
      </c>
      <c r="B135" s="28" t="str">
        <v>NH</v>
      </c>
      <c r="C135" s="10"/>
      <c r="D135" s="15"/>
      <c r="E135" s="15"/>
      <c r="F135" s="16"/>
      <c r="G135" s="17"/>
      <c r="H135" s="17"/>
      <c r="I135" s="16"/>
      <c r="J135" s="39"/>
      <c r="K135" s="40"/>
    </row>
    <row r="136" spans="1:11" ht="15.75">
      <c r="A136" s="25" t="str">
        <v>Rochester St</v>
      </c>
      <c r="B136" s="26" t="str">
        <v>NH</v>
      </c>
      <c r="C136" s="21"/>
      <c r="D136" s="11"/>
      <c r="E136" s="11"/>
      <c r="F136" s="12"/>
      <c r="G136" s="13"/>
      <c r="H136" s="13"/>
      <c r="I136" s="14"/>
      <c r="J136" s="38"/>
      <c r="K136" s="38"/>
    </row>
    <row r="137" spans="1:11" ht="15.75">
      <c r="A137" s="27" t="str">
        <v>Spaulding HS</v>
      </c>
      <c r="B137" s="28" t="str">
        <v>NH</v>
      </c>
      <c r="C137" s="10"/>
      <c r="D137" s="15"/>
      <c r="E137" s="15"/>
      <c r="F137" s="16"/>
      <c r="G137" s="17"/>
      <c r="H137" s="17"/>
      <c r="I137" s="16"/>
      <c r="J137" s="39"/>
      <c r="K137" s="40"/>
    </row>
    <row r="138" spans="1:11" ht="15">
      <c r="A138" s="18" t="str">
        <v>Ridgeway #2</v>
      </c>
      <c r="B138" s="30" t="str">
        <v>NY</v>
      </c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5">
      <c r="A341" s="18"/>
      <c r="B341" s="30"/>
      <c r="C341" s="18"/>
      <c r="D341" s="18"/>
      <c r="E341" s="18"/>
      <c r="F341" s="19"/>
      <c r="G341" s="18"/>
      <c r="H341" s="18"/>
      <c r="I341" s="19"/>
      <c r="J341" s="18"/>
      <c r="K341" s="18"/>
    </row>
    <row r="342" spans="1:11">
      <c r="C342" s="18"/>
      <c r="D342" s="18"/>
      <c r="E342" s="18"/>
      <c r="F342" s="19"/>
      <c r="G342" s="18"/>
      <c r="H342" s="18"/>
      <c r="I342" s="19"/>
      <c r="J342" s="18"/>
      <c r="K342" s="18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137 I4:I137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38"/>
  <sheetViews>
    <sheetView workbookViewId="0">
      <pane ySplit="3" topLeftCell="A121" activePane="bottomLeft" state="frozen"/>
      <selection pane="bottomLeft" activeCell="A135" sqref="A13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343</v>
      </c>
      <c r="B1" t="s">
        <v>344</v>
      </c>
    </row>
    <row r="3" spans="1:7">
      <c r="A3" t="s">
        <v>345</v>
      </c>
      <c r="B3" t="s">
        <v>3</v>
      </c>
      <c r="C3" t="s">
        <v>4</v>
      </c>
      <c r="D3" t="s">
        <v>346</v>
      </c>
      <c r="E3" s="2" t="s">
        <v>347</v>
      </c>
    </row>
    <row r="4" spans="1:7" ht="15">
      <c r="A4" s="41" t="s">
        <v>348</v>
      </c>
      <c r="B4" s="4" t="s">
        <v>349</v>
      </c>
      <c r="C4" s="4" t="s">
        <v>350</v>
      </c>
      <c r="E4" t="s">
        <v>351</v>
      </c>
      <c r="G4" s="3"/>
    </row>
    <row r="5" spans="1:7" ht="15">
      <c r="A5" s="41" t="s">
        <v>352</v>
      </c>
      <c r="B5" s="4" t="s">
        <v>353</v>
      </c>
      <c r="C5" s="4" t="s">
        <v>350</v>
      </c>
      <c r="E5" t="s">
        <v>351</v>
      </c>
      <c r="G5" s="3"/>
    </row>
    <row r="6" spans="1:7" ht="15">
      <c r="A6" s="41" t="s">
        <v>354</v>
      </c>
      <c r="B6" s="4" t="s">
        <v>354</v>
      </c>
      <c r="C6" s="4" t="s">
        <v>350</v>
      </c>
      <c r="E6" t="s">
        <v>351</v>
      </c>
      <c r="G6" s="3"/>
    </row>
    <row r="7" spans="1:7" ht="12.75" customHeight="1">
      <c r="A7" s="41" t="s">
        <v>355</v>
      </c>
      <c r="B7" s="4" t="s">
        <v>356</v>
      </c>
      <c r="C7" s="4" t="s">
        <v>350</v>
      </c>
      <c r="E7" t="s">
        <v>351</v>
      </c>
    </row>
    <row r="8" spans="1:7" ht="12.75" customHeight="1">
      <c r="A8" s="41" t="s">
        <v>357</v>
      </c>
      <c r="B8" s="4" t="s">
        <v>358</v>
      </c>
      <c r="C8" s="4" t="s">
        <v>350</v>
      </c>
      <c r="E8" t="s">
        <v>351</v>
      </c>
    </row>
    <row r="9" spans="1:7" ht="12.75" customHeight="1">
      <c r="A9" s="41" t="s">
        <v>359</v>
      </c>
      <c r="B9" s="4" t="s">
        <v>360</v>
      </c>
      <c r="C9" s="4" t="s">
        <v>350</v>
      </c>
      <c r="E9" t="s">
        <v>351</v>
      </c>
    </row>
    <row r="10" spans="1:7" ht="12.75" customHeight="1">
      <c r="A10" s="41" t="s">
        <v>361</v>
      </c>
      <c r="B10" s="4" t="s">
        <v>362</v>
      </c>
      <c r="C10" s="4" t="s">
        <v>350</v>
      </c>
      <c r="E10" t="s">
        <v>351</v>
      </c>
    </row>
    <row r="11" spans="1:7" ht="12.75" customHeight="1">
      <c r="A11" s="41" t="s">
        <v>363</v>
      </c>
      <c r="B11" s="4" t="s">
        <v>363</v>
      </c>
      <c r="C11" s="4" t="s">
        <v>350</v>
      </c>
      <c r="E11" t="s">
        <v>351</v>
      </c>
    </row>
    <row r="12" spans="1:7" ht="12.75" customHeight="1">
      <c r="A12" s="41" t="s">
        <v>364</v>
      </c>
      <c r="B12" s="4" t="s">
        <v>364</v>
      </c>
      <c r="C12" s="4" t="s">
        <v>350</v>
      </c>
      <c r="E12" t="s">
        <v>351</v>
      </c>
    </row>
    <row r="13" spans="1:7" ht="12.75" customHeight="1">
      <c r="A13" s="41" t="s">
        <v>365</v>
      </c>
      <c r="B13" s="4" t="s">
        <v>366</v>
      </c>
      <c r="C13" s="4" t="s">
        <v>367</v>
      </c>
      <c r="E13" t="s">
        <v>351</v>
      </c>
    </row>
    <row r="14" spans="1:7" ht="12.75" customHeight="1">
      <c r="A14" s="41" t="s">
        <v>368</v>
      </c>
      <c r="B14" s="4" t="s">
        <v>369</v>
      </c>
      <c r="C14" s="4" t="s">
        <v>367</v>
      </c>
      <c r="E14" t="s">
        <v>351</v>
      </c>
    </row>
    <row r="15" spans="1:7" ht="12.75" customHeight="1">
      <c r="A15" s="41" t="s">
        <v>370</v>
      </c>
      <c r="B15" s="4" t="s">
        <v>371</v>
      </c>
      <c r="C15" s="4" t="s">
        <v>350</v>
      </c>
      <c r="E15" t="s">
        <v>351</v>
      </c>
    </row>
    <row r="16" spans="1:7" ht="12.75" customHeight="1">
      <c r="A16" s="41" t="s">
        <v>372</v>
      </c>
      <c r="B16" s="4" t="s">
        <v>373</v>
      </c>
      <c r="C16" s="4" t="s">
        <v>350</v>
      </c>
      <c r="E16" t="s">
        <v>351</v>
      </c>
    </row>
    <row r="17" spans="1:5" ht="12.75" customHeight="1">
      <c r="A17" s="41" t="s">
        <v>374</v>
      </c>
      <c r="B17" s="4" t="s">
        <v>375</v>
      </c>
      <c r="C17" s="4" t="s">
        <v>350</v>
      </c>
      <c r="E17" t="s">
        <v>351</v>
      </c>
    </row>
    <row r="18" spans="1:5" ht="12.75" customHeight="1">
      <c r="A18" s="41" t="s">
        <v>376</v>
      </c>
      <c r="B18" s="4" t="s">
        <v>376</v>
      </c>
      <c r="C18" s="4" t="s">
        <v>350</v>
      </c>
      <c r="E18" t="s">
        <v>351</v>
      </c>
    </row>
    <row r="19" spans="1:5" ht="12.75" customHeight="1">
      <c r="A19" s="41" t="s">
        <v>377</v>
      </c>
      <c r="B19" s="4" t="s">
        <v>378</v>
      </c>
      <c r="C19" s="4" t="s">
        <v>379</v>
      </c>
      <c r="E19" t="s">
        <v>351</v>
      </c>
    </row>
    <row r="20" spans="1:5" ht="12.75" customHeight="1">
      <c r="A20" s="41" t="s">
        <v>380</v>
      </c>
      <c r="B20" s="4" t="s">
        <v>381</v>
      </c>
      <c r="C20" s="4" t="s">
        <v>379</v>
      </c>
      <c r="E20" t="s">
        <v>351</v>
      </c>
    </row>
    <row r="21" spans="1:5" ht="12.75" customHeight="1">
      <c r="A21" s="41" t="s">
        <v>382</v>
      </c>
      <c r="B21" s="4" t="s">
        <v>382</v>
      </c>
      <c r="C21" s="4" t="s">
        <v>383</v>
      </c>
      <c r="E21" t="s">
        <v>351</v>
      </c>
    </row>
    <row r="22" spans="1:5" ht="12.75" customHeight="1">
      <c r="A22" s="41" t="s">
        <v>384</v>
      </c>
      <c r="B22" s="4" t="s">
        <v>384</v>
      </c>
      <c r="C22" s="4" t="s">
        <v>383</v>
      </c>
      <c r="E22" t="s">
        <v>351</v>
      </c>
    </row>
    <row r="23" spans="1:5" ht="12.75" customHeight="1">
      <c r="A23" s="42" t="s">
        <v>385</v>
      </c>
      <c r="B23" t="s">
        <v>386</v>
      </c>
      <c r="C23" s="4" t="s">
        <v>383</v>
      </c>
      <c r="E23" t="s">
        <v>351</v>
      </c>
    </row>
    <row r="24" spans="1:5" ht="12.75" customHeight="1">
      <c r="A24" s="41" t="s">
        <v>387</v>
      </c>
      <c r="B24" s="4" t="s">
        <v>387</v>
      </c>
      <c r="C24" s="4" t="s">
        <v>383</v>
      </c>
      <c r="E24" t="s">
        <v>351</v>
      </c>
    </row>
    <row r="25" spans="1:5" ht="12.75" customHeight="1">
      <c r="A25" s="42" t="s">
        <v>388</v>
      </c>
      <c r="B25" t="s">
        <v>388</v>
      </c>
      <c r="C25" s="4" t="s">
        <v>383</v>
      </c>
      <c r="E25" t="s">
        <v>351</v>
      </c>
    </row>
    <row r="26" spans="1:5" ht="12.75" customHeight="1">
      <c r="A26" s="41" t="s">
        <v>389</v>
      </c>
      <c r="B26" s="4" t="s">
        <v>389</v>
      </c>
      <c r="C26" s="4" t="s">
        <v>383</v>
      </c>
      <c r="E26" t="s">
        <v>351</v>
      </c>
    </row>
    <row r="27" spans="1:5" ht="12.75" customHeight="1">
      <c r="A27" s="41" t="s">
        <v>390</v>
      </c>
      <c r="B27" s="4" t="s">
        <v>390</v>
      </c>
      <c r="C27" s="4" t="s">
        <v>383</v>
      </c>
      <c r="E27" t="s">
        <v>351</v>
      </c>
    </row>
    <row r="28" spans="1:5" ht="12.75" customHeight="1">
      <c r="A28" s="41" t="s">
        <v>391</v>
      </c>
      <c r="B28" s="4" t="s">
        <v>391</v>
      </c>
      <c r="C28" s="4" t="s">
        <v>383</v>
      </c>
      <c r="E28" t="s">
        <v>351</v>
      </c>
    </row>
    <row r="29" spans="1:5" ht="12.75" customHeight="1">
      <c r="A29" s="41" t="s">
        <v>392</v>
      </c>
      <c r="B29" s="4" t="s">
        <v>392</v>
      </c>
      <c r="C29" s="4" t="s">
        <v>383</v>
      </c>
      <c r="E29" t="s">
        <v>351</v>
      </c>
    </row>
    <row r="30" spans="1:5" ht="12.75" customHeight="1">
      <c r="A30" s="41" t="s">
        <v>393</v>
      </c>
      <c r="B30" s="4" t="s">
        <v>393</v>
      </c>
      <c r="C30" s="4" t="s">
        <v>383</v>
      </c>
      <c r="E30" t="s">
        <v>351</v>
      </c>
    </row>
    <row r="31" spans="1:5" ht="12.75" customHeight="1">
      <c r="A31" s="41" t="s">
        <v>394</v>
      </c>
      <c r="B31" s="4" t="s">
        <v>394</v>
      </c>
      <c r="C31" s="4" t="s">
        <v>383</v>
      </c>
      <c r="E31" t="s">
        <v>351</v>
      </c>
    </row>
    <row r="32" spans="1:5" ht="12.75" customHeight="1">
      <c r="A32" s="42" t="s">
        <v>395</v>
      </c>
      <c r="B32" t="s">
        <v>395</v>
      </c>
      <c r="C32" s="4" t="s">
        <v>383</v>
      </c>
      <c r="E32" t="s">
        <v>351</v>
      </c>
    </row>
    <row r="33" spans="1:5" ht="12.75" customHeight="1">
      <c r="A33" s="42" t="s">
        <v>396</v>
      </c>
      <c r="B33" t="s">
        <v>396</v>
      </c>
      <c r="C33" s="4" t="s">
        <v>383</v>
      </c>
      <c r="E33" t="s">
        <v>351</v>
      </c>
    </row>
    <row r="34" spans="1:5" ht="12.75" customHeight="1">
      <c r="A34" s="41" t="s">
        <v>397</v>
      </c>
      <c r="B34" s="4" t="s">
        <v>397</v>
      </c>
      <c r="C34" s="4" t="s">
        <v>383</v>
      </c>
      <c r="E34" t="s">
        <v>351</v>
      </c>
    </row>
    <row r="35" spans="1:5" ht="12.75" customHeight="1">
      <c r="A35" s="41" t="s">
        <v>398</v>
      </c>
      <c r="B35" s="4" t="s">
        <v>398</v>
      </c>
      <c r="C35" s="4" t="s">
        <v>383</v>
      </c>
      <c r="E35" t="s">
        <v>351</v>
      </c>
    </row>
    <row r="36" spans="1:5" ht="12.75" customHeight="1">
      <c r="A36" s="41" t="s">
        <v>399</v>
      </c>
      <c r="B36" s="4" t="s">
        <v>399</v>
      </c>
      <c r="C36" s="4" t="s">
        <v>383</v>
      </c>
      <c r="E36" t="s">
        <v>351</v>
      </c>
    </row>
    <row r="37" spans="1:5" ht="12.75" customHeight="1">
      <c r="A37" s="42" t="s">
        <v>400</v>
      </c>
      <c r="B37" t="s">
        <v>400</v>
      </c>
      <c r="C37" s="4" t="s">
        <v>383</v>
      </c>
      <c r="E37" t="s">
        <v>351</v>
      </c>
    </row>
    <row r="38" spans="1:5" ht="12.75" customHeight="1">
      <c r="A38" s="41" t="s">
        <v>401</v>
      </c>
      <c r="B38" s="4" t="s">
        <v>401</v>
      </c>
      <c r="C38" s="4" t="s">
        <v>383</v>
      </c>
      <c r="E38" t="s">
        <v>351</v>
      </c>
    </row>
    <row r="39" spans="1:5" ht="12.75" customHeight="1">
      <c r="A39" s="41" t="s">
        <v>402</v>
      </c>
      <c r="B39" s="4" t="s">
        <v>402</v>
      </c>
      <c r="C39" s="4" t="s">
        <v>383</v>
      </c>
      <c r="E39" t="s">
        <v>351</v>
      </c>
    </row>
    <row r="40" spans="1:5" ht="12.75" customHeight="1">
      <c r="A40" s="41" t="s">
        <v>403</v>
      </c>
      <c r="B40" s="4" t="s">
        <v>403</v>
      </c>
      <c r="C40" s="4" t="s">
        <v>383</v>
      </c>
      <c r="E40" t="s">
        <v>351</v>
      </c>
    </row>
    <row r="41" spans="1:5" ht="12.75" customHeight="1">
      <c r="A41" s="42" t="s">
        <v>404</v>
      </c>
      <c r="B41" t="s">
        <v>404</v>
      </c>
      <c r="C41" s="4" t="s">
        <v>383</v>
      </c>
      <c r="E41" t="s">
        <v>351</v>
      </c>
    </row>
    <row r="42" spans="1:5" ht="12.75" customHeight="1">
      <c r="A42" s="42" t="s">
        <v>405</v>
      </c>
      <c r="B42" t="s">
        <v>405</v>
      </c>
      <c r="C42" s="4" t="s">
        <v>383</v>
      </c>
      <c r="E42" t="s">
        <v>351</v>
      </c>
    </row>
    <row r="43" spans="1:5" ht="12.75" customHeight="1">
      <c r="A43" s="41" t="s">
        <v>406</v>
      </c>
      <c r="B43" s="4" t="s">
        <v>406</v>
      </c>
      <c r="C43" s="4" t="s">
        <v>383</v>
      </c>
      <c r="E43" t="s">
        <v>351</v>
      </c>
    </row>
    <row r="44" spans="1:5" ht="12.75" customHeight="1">
      <c r="A44" s="41" t="s">
        <v>407</v>
      </c>
      <c r="B44" s="4" t="s">
        <v>408</v>
      </c>
      <c r="C44" s="4" t="s">
        <v>383</v>
      </c>
      <c r="E44" t="s">
        <v>351</v>
      </c>
    </row>
    <row r="45" spans="1:5" ht="12.75" customHeight="1">
      <c r="A45" s="42" t="s">
        <v>409</v>
      </c>
      <c r="B45" t="s">
        <v>409</v>
      </c>
      <c r="C45" s="4" t="s">
        <v>383</v>
      </c>
      <c r="E45" t="s">
        <v>351</v>
      </c>
    </row>
    <row r="46" spans="1:5" ht="12.75" customHeight="1">
      <c r="A46" s="41" t="s">
        <v>410</v>
      </c>
      <c r="B46" s="4" t="s">
        <v>410</v>
      </c>
      <c r="C46" s="4" t="s">
        <v>383</v>
      </c>
      <c r="E46" t="s">
        <v>351</v>
      </c>
    </row>
    <row r="47" spans="1:5" ht="12.75" customHeight="1">
      <c r="A47" s="41" t="s">
        <v>411</v>
      </c>
      <c r="B47" s="4" t="s">
        <v>411</v>
      </c>
      <c r="C47" s="4" t="s">
        <v>383</v>
      </c>
      <c r="E47" t="s">
        <v>351</v>
      </c>
    </row>
    <row r="48" spans="1:5" ht="12.75" customHeight="1">
      <c r="A48" s="41" t="s">
        <v>412</v>
      </c>
      <c r="B48" s="4" t="s">
        <v>412</v>
      </c>
      <c r="C48" s="4" t="s">
        <v>383</v>
      </c>
      <c r="E48" t="s">
        <v>351</v>
      </c>
    </row>
    <row r="49" spans="1:5" ht="12.75" customHeight="1">
      <c r="A49" s="41" t="s">
        <v>413</v>
      </c>
      <c r="B49" s="4" t="s">
        <v>413</v>
      </c>
      <c r="C49" s="4" t="s">
        <v>383</v>
      </c>
      <c r="E49" t="s">
        <v>351</v>
      </c>
    </row>
    <row r="50" spans="1:5" ht="12.75" customHeight="1">
      <c r="A50" s="41" t="s">
        <v>414</v>
      </c>
      <c r="B50" s="4" t="s">
        <v>414</v>
      </c>
      <c r="C50" s="4" t="s">
        <v>383</v>
      </c>
      <c r="E50" t="s">
        <v>351</v>
      </c>
    </row>
    <row r="51" spans="1:5" ht="12.75" customHeight="1">
      <c r="A51" s="41" t="s">
        <v>415</v>
      </c>
      <c r="B51" s="4" t="s">
        <v>415</v>
      </c>
      <c r="C51" s="4" t="s">
        <v>383</v>
      </c>
      <c r="E51" t="s">
        <v>351</v>
      </c>
    </row>
    <row r="52" spans="1:5" ht="12.75" customHeight="1">
      <c r="A52" s="41" t="s">
        <v>416</v>
      </c>
      <c r="B52" s="4" t="s">
        <v>416</v>
      </c>
      <c r="C52" s="4" t="s">
        <v>383</v>
      </c>
      <c r="E52" t="s">
        <v>351</v>
      </c>
    </row>
    <row r="53" spans="1:5" ht="12.75" customHeight="1">
      <c r="A53" s="41" t="s">
        <v>417</v>
      </c>
      <c r="B53" s="4" t="s">
        <v>417</v>
      </c>
      <c r="C53" s="4" t="s">
        <v>383</v>
      </c>
      <c r="E53" t="s">
        <v>351</v>
      </c>
    </row>
    <row r="54" spans="1:5" ht="12.75" customHeight="1">
      <c r="A54" s="41" t="s">
        <v>418</v>
      </c>
      <c r="B54" s="4" t="s">
        <v>418</v>
      </c>
      <c r="C54" s="4" t="s">
        <v>383</v>
      </c>
      <c r="E54" t="s">
        <v>351</v>
      </c>
    </row>
    <row r="55" spans="1:5" ht="12.75" customHeight="1">
      <c r="A55" s="41" t="s">
        <v>419</v>
      </c>
      <c r="B55" s="4" t="s">
        <v>419</v>
      </c>
      <c r="C55" s="4" t="s">
        <v>383</v>
      </c>
      <c r="E55" t="s">
        <v>351</v>
      </c>
    </row>
    <row r="56" spans="1:5" ht="12.75" customHeight="1">
      <c r="A56" s="41" t="s">
        <v>420</v>
      </c>
      <c r="B56" s="4" t="s">
        <v>420</v>
      </c>
      <c r="C56" s="4" t="s">
        <v>383</v>
      </c>
      <c r="E56" t="s">
        <v>351</v>
      </c>
    </row>
    <row r="57" spans="1:5" ht="12.75" customHeight="1">
      <c r="A57" s="41" t="s">
        <v>421</v>
      </c>
      <c r="B57" s="4" t="s">
        <v>421</v>
      </c>
      <c r="C57" s="4" t="s">
        <v>383</v>
      </c>
      <c r="E57" t="s">
        <v>351</v>
      </c>
    </row>
    <row r="58" spans="1:5" ht="12.75" customHeight="1">
      <c r="A58" s="42" t="s">
        <v>422</v>
      </c>
      <c r="B58" t="s">
        <v>422</v>
      </c>
      <c r="C58" s="4" t="s">
        <v>383</v>
      </c>
      <c r="E58" t="s">
        <v>351</v>
      </c>
    </row>
    <row r="59" spans="1:5" ht="12.75" customHeight="1">
      <c r="A59" s="42" t="s">
        <v>423</v>
      </c>
      <c r="B59" t="s">
        <v>423</v>
      </c>
      <c r="C59" s="4" t="s">
        <v>383</v>
      </c>
      <c r="E59" t="s">
        <v>351</v>
      </c>
    </row>
    <row r="60" spans="1:5" ht="12.75" customHeight="1">
      <c r="A60" s="41" t="s">
        <v>424</v>
      </c>
      <c r="B60" s="4" t="s">
        <v>424</v>
      </c>
      <c r="C60" s="4" t="s">
        <v>383</v>
      </c>
      <c r="E60" t="s">
        <v>351</v>
      </c>
    </row>
    <row r="61" spans="1:5" ht="12.75" customHeight="1">
      <c r="A61" s="41" t="s">
        <v>425</v>
      </c>
      <c r="B61" s="4" t="s">
        <v>425</v>
      </c>
      <c r="C61" s="4" t="s">
        <v>383</v>
      </c>
      <c r="E61" t="s">
        <v>351</v>
      </c>
    </row>
    <row r="62" spans="1:5" ht="12.75" customHeight="1">
      <c r="A62" s="42" t="s">
        <v>426</v>
      </c>
      <c r="B62" t="s">
        <v>427</v>
      </c>
      <c r="C62" s="4" t="s">
        <v>383</v>
      </c>
      <c r="E62" t="s">
        <v>351</v>
      </c>
    </row>
    <row r="63" spans="1:5" ht="12.75" customHeight="1">
      <c r="A63" s="42" t="s">
        <v>428</v>
      </c>
      <c r="B63" t="s">
        <v>428</v>
      </c>
      <c r="C63" s="4" t="s">
        <v>383</v>
      </c>
      <c r="E63" t="s">
        <v>351</v>
      </c>
    </row>
    <row r="64" spans="1:5" ht="12.75" customHeight="1">
      <c r="A64" s="41">
        <v>38</v>
      </c>
      <c r="B64" s="4" t="s">
        <v>429</v>
      </c>
      <c r="C64" s="4" t="s">
        <v>383</v>
      </c>
      <c r="E64" t="s">
        <v>351</v>
      </c>
    </row>
    <row r="65" spans="1:5" ht="12.75" customHeight="1">
      <c r="A65" s="42">
        <v>144</v>
      </c>
      <c r="B65" t="s">
        <v>430</v>
      </c>
      <c r="C65" s="4" t="s">
        <v>383</v>
      </c>
      <c r="E65" t="s">
        <v>351</v>
      </c>
    </row>
    <row r="66" spans="1:5" ht="12.75" customHeight="1">
      <c r="A66" s="41">
        <v>279</v>
      </c>
      <c r="B66" s="4" t="s">
        <v>431</v>
      </c>
      <c r="C66" s="4" t="s">
        <v>383</v>
      </c>
      <c r="E66" t="s">
        <v>351</v>
      </c>
    </row>
    <row r="67" spans="1:5" ht="12.75" customHeight="1">
      <c r="A67" s="41">
        <v>293</v>
      </c>
      <c r="B67" s="4" t="s">
        <v>432</v>
      </c>
      <c r="C67" s="4" t="s">
        <v>383</v>
      </c>
      <c r="E67" t="s">
        <v>351</v>
      </c>
    </row>
    <row r="68" spans="1:5" ht="12.75" customHeight="1">
      <c r="A68" s="42">
        <v>308</v>
      </c>
      <c r="B68" t="s">
        <v>433</v>
      </c>
      <c r="C68" s="4" t="s">
        <v>383</v>
      </c>
      <c r="E68" t="s">
        <v>351</v>
      </c>
    </row>
    <row r="69" spans="1:5" ht="12.75" customHeight="1">
      <c r="A69" s="42">
        <v>309</v>
      </c>
      <c r="B69" t="s">
        <v>434</v>
      </c>
      <c r="C69" s="4" t="s">
        <v>383</v>
      </c>
      <c r="E69" t="s">
        <v>351</v>
      </c>
    </row>
    <row r="70" spans="1:5" ht="12.75" customHeight="1">
      <c r="A70" s="42" t="s">
        <v>435</v>
      </c>
      <c r="B70" t="s">
        <v>436</v>
      </c>
      <c r="C70" s="4" t="s">
        <v>383</v>
      </c>
      <c r="E70" t="s">
        <v>351</v>
      </c>
    </row>
    <row r="71" spans="1:5" ht="12.75" customHeight="1">
      <c r="A71" s="41" t="s">
        <v>437</v>
      </c>
      <c r="B71" s="4" t="s">
        <v>437</v>
      </c>
      <c r="C71" s="4" t="s">
        <v>383</v>
      </c>
      <c r="E71" t="s">
        <v>351</v>
      </c>
    </row>
    <row r="72" spans="1:5" ht="12.75" customHeight="1">
      <c r="A72" s="41">
        <v>358</v>
      </c>
      <c r="B72" s="4" t="s">
        <v>438</v>
      </c>
      <c r="C72" s="4" t="s">
        <v>383</v>
      </c>
      <c r="E72" t="s">
        <v>351</v>
      </c>
    </row>
    <row r="73" spans="1:5" ht="12.75" customHeight="1">
      <c r="A73" s="41" t="s">
        <v>439</v>
      </c>
      <c r="B73" s="4" t="s">
        <v>440</v>
      </c>
      <c r="C73" s="4" t="s">
        <v>441</v>
      </c>
      <c r="E73" t="s">
        <v>351</v>
      </c>
    </row>
    <row r="74" spans="1:5" ht="12.75" customHeight="1">
      <c r="A74" s="41" t="s">
        <v>442</v>
      </c>
      <c r="B74" s="4" t="s">
        <v>443</v>
      </c>
      <c r="C74" s="4" t="s">
        <v>441</v>
      </c>
      <c r="E74" t="s">
        <v>351</v>
      </c>
    </row>
    <row r="75" spans="1:5" ht="12.75" customHeight="1">
      <c r="A75" s="41" t="s">
        <v>444</v>
      </c>
      <c r="B75" s="41" t="s">
        <v>444</v>
      </c>
      <c r="C75" s="4" t="s">
        <v>383</v>
      </c>
      <c r="E75" t="s">
        <v>445</v>
      </c>
    </row>
    <row r="76" spans="1:5" ht="12.75" customHeight="1">
      <c r="A76" s="41" t="s">
        <v>446</v>
      </c>
      <c r="B76" s="4" t="s">
        <v>446</v>
      </c>
      <c r="C76" s="4" t="s">
        <v>383</v>
      </c>
      <c r="E76" s="43" t="s">
        <v>445</v>
      </c>
    </row>
    <row r="77" spans="1:5" ht="12.75" customHeight="1">
      <c r="A77" s="41" t="s">
        <v>447</v>
      </c>
      <c r="B77" s="4" t="s">
        <v>448</v>
      </c>
      <c r="C77" s="4" t="s">
        <v>383</v>
      </c>
      <c r="E77" s="43" t="s">
        <v>445</v>
      </c>
    </row>
    <row r="78" spans="1:5" ht="12.75" customHeight="1">
      <c r="A78" s="41" t="s">
        <v>449</v>
      </c>
      <c r="B78" s="4" t="s">
        <v>450</v>
      </c>
      <c r="C78" s="4" t="s">
        <v>383</v>
      </c>
      <c r="E78" s="43" t="s">
        <v>445</v>
      </c>
    </row>
    <row r="79" spans="1:5" ht="12.75" customHeight="1">
      <c r="A79" s="41" t="s">
        <v>451</v>
      </c>
      <c r="B79" s="4" t="s">
        <v>451</v>
      </c>
      <c r="C79" s="4" t="s">
        <v>383</v>
      </c>
      <c r="E79" t="s">
        <v>445</v>
      </c>
    </row>
    <row r="80" spans="1:5" ht="12.75" customHeight="1">
      <c r="A80" s="41" t="s">
        <v>452</v>
      </c>
      <c r="B80" s="41" t="s">
        <v>452</v>
      </c>
      <c r="C80" s="4" t="s">
        <v>383</v>
      </c>
      <c r="E80" t="s">
        <v>445</v>
      </c>
    </row>
    <row r="81" spans="1:5" ht="12.75" customHeight="1">
      <c r="A81" s="41" t="s">
        <v>453</v>
      </c>
      <c r="B81" s="41" t="s">
        <v>453</v>
      </c>
      <c r="C81" s="4" t="s">
        <v>383</v>
      </c>
      <c r="E81" t="s">
        <v>445</v>
      </c>
    </row>
    <row r="82" spans="1:5" ht="12.75" customHeight="1">
      <c r="A82" s="41" t="s">
        <v>454</v>
      </c>
      <c r="B82" s="41" t="s">
        <v>454</v>
      </c>
      <c r="C82" s="4" t="s">
        <v>383</v>
      </c>
      <c r="E82" t="s">
        <v>445</v>
      </c>
    </row>
    <row r="83" spans="1:5" ht="12.75" customHeight="1">
      <c r="A83" s="41" t="s">
        <v>455</v>
      </c>
      <c r="B83" s="41" t="s">
        <v>455</v>
      </c>
      <c r="C83" s="4" t="s">
        <v>383</v>
      </c>
      <c r="E83" t="s">
        <v>445</v>
      </c>
    </row>
    <row r="84" spans="1:5" ht="12.75" customHeight="1">
      <c r="A84" s="41" t="s">
        <v>456</v>
      </c>
      <c r="B84" s="41" t="s">
        <v>456</v>
      </c>
      <c r="C84" s="4" t="s">
        <v>383</v>
      </c>
      <c r="E84" t="s">
        <v>445</v>
      </c>
    </row>
    <row r="85" spans="1:5" ht="12.75" customHeight="1">
      <c r="A85" s="41" t="s">
        <v>457</v>
      </c>
      <c r="B85" s="41" t="s">
        <v>457</v>
      </c>
      <c r="C85" s="4" t="s">
        <v>383</v>
      </c>
      <c r="E85" t="s">
        <v>445</v>
      </c>
    </row>
    <row r="86" spans="1:5" ht="12.75" customHeight="1">
      <c r="A86" s="41" t="s">
        <v>458</v>
      </c>
      <c r="B86" s="4" t="s">
        <v>458</v>
      </c>
      <c r="C86" s="4" t="s">
        <v>383</v>
      </c>
      <c r="E86" t="s">
        <v>445</v>
      </c>
    </row>
    <row r="87" spans="1:5" ht="12.75" customHeight="1">
      <c r="A87" s="41" t="s">
        <v>459</v>
      </c>
      <c r="B87" s="4" t="s">
        <v>459</v>
      </c>
      <c r="C87" s="4" t="s">
        <v>383</v>
      </c>
      <c r="E87" t="s">
        <v>445</v>
      </c>
    </row>
    <row r="88" spans="1:5" ht="12.75" customHeight="1">
      <c r="A88" s="41" t="s">
        <v>460</v>
      </c>
      <c r="B88" s="4" t="s">
        <v>460</v>
      </c>
      <c r="C88" s="4" t="s">
        <v>383</v>
      </c>
      <c r="E88" t="s">
        <v>445</v>
      </c>
    </row>
    <row r="89" spans="1:5" ht="12.75" customHeight="1">
      <c r="A89" s="41" t="s">
        <v>461</v>
      </c>
      <c r="B89" s="4" t="s">
        <v>461</v>
      </c>
      <c r="C89" s="4" t="s">
        <v>383</v>
      </c>
      <c r="E89" t="s">
        <v>445</v>
      </c>
    </row>
    <row r="90" spans="1:5" ht="12.75" customHeight="1">
      <c r="A90" s="41" t="s">
        <v>462</v>
      </c>
      <c r="B90" s="4" t="s">
        <v>462</v>
      </c>
      <c r="C90" s="4" t="s">
        <v>383</v>
      </c>
      <c r="E90" t="s">
        <v>445</v>
      </c>
    </row>
    <row r="91" spans="1:5" ht="12.75" customHeight="1">
      <c r="A91" s="41" t="s">
        <v>463</v>
      </c>
      <c r="B91" s="4" t="s">
        <v>464</v>
      </c>
      <c r="C91" s="4" t="s">
        <v>383</v>
      </c>
      <c r="E91" t="s">
        <v>351</v>
      </c>
    </row>
    <row r="92" spans="1:5" ht="12.75" customHeight="1">
      <c r="A92" s="41" t="s">
        <v>465</v>
      </c>
      <c r="B92" s="4" t="s">
        <v>465</v>
      </c>
      <c r="C92" s="4" t="s">
        <v>383</v>
      </c>
      <c r="E92" t="s">
        <v>445</v>
      </c>
    </row>
    <row r="93" spans="1:5" ht="12.75" customHeight="1">
      <c r="A93" s="41" t="s">
        <v>466</v>
      </c>
      <c r="B93" s="4" t="s">
        <v>466</v>
      </c>
      <c r="C93" s="4" t="s">
        <v>383</v>
      </c>
      <c r="E93" t="s">
        <v>445</v>
      </c>
    </row>
    <row r="94" spans="1:5" ht="12.75" customHeight="1">
      <c r="A94" s="41" t="s">
        <v>467</v>
      </c>
      <c r="B94" s="4" t="s">
        <v>467</v>
      </c>
      <c r="C94" s="4" t="s">
        <v>383</v>
      </c>
      <c r="E94" t="s">
        <v>445</v>
      </c>
    </row>
    <row r="95" spans="1:5" ht="12.75" customHeight="1">
      <c r="A95" s="41" t="s">
        <v>468</v>
      </c>
      <c r="B95" s="4" t="s">
        <v>468</v>
      </c>
      <c r="C95" s="4" t="s">
        <v>383</v>
      </c>
      <c r="E95" t="s">
        <v>445</v>
      </c>
    </row>
    <row r="96" spans="1:5" ht="12.75" customHeight="1">
      <c r="A96" s="4" t="s">
        <v>469</v>
      </c>
      <c r="B96" s="4" t="s">
        <v>469</v>
      </c>
      <c r="C96" s="4" t="s">
        <v>383</v>
      </c>
      <c r="E96" t="s">
        <v>445</v>
      </c>
    </row>
    <row r="97" spans="1:5" ht="12.75" customHeight="1">
      <c r="A97" s="4" t="s">
        <v>470</v>
      </c>
      <c r="B97" s="4" t="s">
        <v>470</v>
      </c>
      <c r="C97" s="4" t="s">
        <v>383</v>
      </c>
      <c r="E97" t="s">
        <v>445</v>
      </c>
    </row>
    <row r="98" spans="1:5" ht="12.75" customHeight="1">
      <c r="A98" s="4" t="s">
        <v>471</v>
      </c>
      <c r="B98" s="4" t="s">
        <v>471</v>
      </c>
      <c r="C98" s="4" t="s">
        <v>383</v>
      </c>
      <c r="E98" t="s">
        <v>445</v>
      </c>
    </row>
    <row r="99" spans="1:5" ht="12.75" customHeight="1">
      <c r="A99" s="4" t="s">
        <v>472</v>
      </c>
      <c r="B99" s="4" t="s">
        <v>472</v>
      </c>
      <c r="C99" s="4" t="s">
        <v>383</v>
      </c>
      <c r="E99" t="s">
        <v>445</v>
      </c>
    </row>
    <row r="100" spans="1:5" ht="12.75" customHeight="1">
      <c r="A100" s="4" t="s">
        <v>473</v>
      </c>
      <c r="B100" s="4" t="s">
        <v>473</v>
      </c>
      <c r="C100" s="4" t="s">
        <v>383</v>
      </c>
      <c r="E100" t="s">
        <v>445</v>
      </c>
    </row>
    <row r="101" spans="1:5" ht="12.75" customHeight="1">
      <c r="A101" s="4" t="s">
        <v>474</v>
      </c>
      <c r="B101" s="4" t="s">
        <v>474</v>
      </c>
      <c r="C101" s="4" t="s">
        <v>383</v>
      </c>
      <c r="E101" t="s">
        <v>445</v>
      </c>
    </row>
    <row r="102" spans="1:5" ht="12.75" customHeight="1">
      <c r="A102" s="4" t="s">
        <v>475</v>
      </c>
      <c r="B102" s="4" t="s">
        <v>475</v>
      </c>
      <c r="C102" s="4" t="s">
        <v>383</v>
      </c>
      <c r="E102" t="s">
        <v>445</v>
      </c>
    </row>
    <row r="103" spans="1:5" ht="12.75" customHeight="1">
      <c r="A103" s="4" t="s">
        <v>476</v>
      </c>
      <c r="B103" s="4" t="s">
        <v>477</v>
      </c>
      <c r="C103" s="4" t="s">
        <v>383</v>
      </c>
      <c r="E103" t="s">
        <v>445</v>
      </c>
    </row>
    <row r="104" spans="1:5" ht="12.75" customHeight="1">
      <c r="A104" s="4" t="s">
        <v>478</v>
      </c>
      <c r="B104" s="4" t="s">
        <v>479</v>
      </c>
      <c r="C104" s="4" t="s">
        <v>383</v>
      </c>
      <c r="E104" t="s">
        <v>445</v>
      </c>
    </row>
    <row r="105" spans="1:5" ht="12.75" customHeight="1">
      <c r="A105" s="4" t="s">
        <v>480</v>
      </c>
      <c r="B105" s="4" t="s">
        <v>480</v>
      </c>
      <c r="C105" s="4" t="s">
        <v>383</v>
      </c>
      <c r="E105" t="s">
        <v>445</v>
      </c>
    </row>
    <row r="106" spans="1:5" ht="12.75" customHeight="1">
      <c r="A106" s="4" t="s">
        <v>481</v>
      </c>
      <c r="B106" s="4" t="s">
        <v>481</v>
      </c>
      <c r="C106" s="4" t="s">
        <v>383</v>
      </c>
      <c r="E106" t="s">
        <v>445</v>
      </c>
    </row>
    <row r="107" spans="1:5" ht="12.75" customHeight="1">
      <c r="A107" s="4" t="s">
        <v>482</v>
      </c>
      <c r="B107" s="4" t="s">
        <v>482</v>
      </c>
      <c r="C107" s="4" t="s">
        <v>383</v>
      </c>
      <c r="E107" t="s">
        <v>445</v>
      </c>
    </row>
    <row r="108" spans="1:5" ht="12.75" customHeight="1">
      <c r="A108" s="41" t="s">
        <v>483</v>
      </c>
      <c r="B108" s="4" t="s">
        <v>483</v>
      </c>
      <c r="C108" s="4" t="s">
        <v>383</v>
      </c>
      <c r="E108" t="s">
        <v>445</v>
      </c>
    </row>
    <row r="109" spans="1:5" ht="12.75" customHeight="1">
      <c r="A109" s="41" t="s">
        <v>484</v>
      </c>
      <c r="B109" s="4" t="s">
        <v>484</v>
      </c>
      <c r="C109" s="4" t="s">
        <v>383</v>
      </c>
      <c r="E109" t="s">
        <v>445</v>
      </c>
    </row>
    <row r="110" spans="1:5" ht="12.75" customHeight="1">
      <c r="A110" s="41" t="s">
        <v>485</v>
      </c>
      <c r="B110" s="4" t="s">
        <v>485</v>
      </c>
      <c r="C110" s="4" t="s">
        <v>383</v>
      </c>
      <c r="E110" t="s">
        <v>445</v>
      </c>
    </row>
    <row r="111" spans="1:5" ht="12.75" customHeight="1">
      <c r="A111" s="41" t="s">
        <v>486</v>
      </c>
      <c r="B111" s="4" t="s">
        <v>486</v>
      </c>
      <c r="C111" s="4" t="s">
        <v>383</v>
      </c>
      <c r="E111" t="s">
        <v>351</v>
      </c>
    </row>
    <row r="112" spans="1:5" ht="12.75" customHeight="1">
      <c r="A112" s="41" t="s">
        <v>487</v>
      </c>
      <c r="B112" s="4" t="s">
        <v>487</v>
      </c>
      <c r="C112" s="4" t="s">
        <v>383</v>
      </c>
      <c r="E112" t="s">
        <v>351</v>
      </c>
    </row>
    <row r="113" spans="1:5" ht="12.75" customHeight="1">
      <c r="A113" s="41" t="s">
        <v>488</v>
      </c>
      <c r="B113" s="4" t="s">
        <v>489</v>
      </c>
      <c r="C113" s="4" t="s">
        <v>490</v>
      </c>
      <c r="E113" t="s">
        <v>351</v>
      </c>
    </row>
    <row r="114" spans="1:5" ht="12.75" customHeight="1">
      <c r="A114" s="41" t="s">
        <v>491</v>
      </c>
      <c r="B114" s="4" t="s">
        <v>491</v>
      </c>
      <c r="C114" s="4" t="s">
        <v>490</v>
      </c>
      <c r="E114" t="s">
        <v>351</v>
      </c>
    </row>
    <row r="115" spans="1:5" ht="12.75" customHeight="1">
      <c r="A115" s="41" t="s">
        <v>492</v>
      </c>
      <c r="B115" s="4" t="s">
        <v>493</v>
      </c>
      <c r="C115" s="4" t="s">
        <v>490</v>
      </c>
      <c r="E115" t="s">
        <v>351</v>
      </c>
    </row>
    <row r="116" spans="1:5" ht="12.75" customHeight="1">
      <c r="A116" s="41" t="s">
        <v>494</v>
      </c>
      <c r="B116" s="4" t="s">
        <v>495</v>
      </c>
      <c r="C116" s="4" t="s">
        <v>490</v>
      </c>
      <c r="E116" t="s">
        <v>351</v>
      </c>
    </row>
    <row r="117" spans="1:5" ht="12.75" customHeight="1">
      <c r="A117" s="41" t="s">
        <v>496</v>
      </c>
      <c r="B117" s="4" t="s">
        <v>497</v>
      </c>
      <c r="C117" s="4" t="s">
        <v>490</v>
      </c>
      <c r="E117" t="s">
        <v>351</v>
      </c>
    </row>
    <row r="118" spans="1:5" ht="12.75" customHeight="1">
      <c r="A118" s="41" t="s">
        <v>498</v>
      </c>
      <c r="B118" s="4" t="s">
        <v>499</v>
      </c>
      <c r="C118" s="4" t="s">
        <v>500</v>
      </c>
      <c r="E118" t="s">
        <v>351</v>
      </c>
    </row>
    <row r="119" spans="1:5" ht="12.75" customHeight="1">
      <c r="A119" s="41" t="s">
        <v>501</v>
      </c>
      <c r="B119" s="4" t="s">
        <v>502</v>
      </c>
      <c r="C119" s="4" t="s">
        <v>500</v>
      </c>
      <c r="E119" t="s">
        <v>351</v>
      </c>
    </row>
    <row r="120" spans="1:5" ht="12.75" customHeight="1">
      <c r="A120" s="41" t="s">
        <v>503</v>
      </c>
      <c r="B120" s="4" t="s">
        <v>504</v>
      </c>
      <c r="C120" s="4" t="s">
        <v>500</v>
      </c>
      <c r="E120" t="s">
        <v>351</v>
      </c>
    </row>
    <row r="121" spans="1:5" ht="12.75" customHeight="1">
      <c r="A121" s="41" t="s">
        <v>505</v>
      </c>
      <c r="B121" s="4" t="s">
        <v>506</v>
      </c>
      <c r="C121" s="4" t="s">
        <v>507</v>
      </c>
      <c r="E121" t="s">
        <v>351</v>
      </c>
    </row>
    <row r="122" spans="1:5" ht="12.75" customHeight="1">
      <c r="A122" s="41" t="s">
        <v>508</v>
      </c>
      <c r="B122" s="4" t="s">
        <v>509</v>
      </c>
      <c r="C122" s="4" t="s">
        <v>507</v>
      </c>
      <c r="E122" t="s">
        <v>351</v>
      </c>
    </row>
    <row r="123" spans="1:5" ht="12.75" customHeight="1">
      <c r="A123" s="41" t="s">
        <v>510</v>
      </c>
      <c r="B123" s="4" t="s">
        <v>511</v>
      </c>
      <c r="C123" s="4" t="s">
        <v>512</v>
      </c>
      <c r="E123" t="s">
        <v>351</v>
      </c>
    </row>
    <row r="124" spans="1:5" ht="12.75" customHeight="1">
      <c r="A124" s="41" t="s">
        <v>513</v>
      </c>
      <c r="B124" s="4" t="s">
        <v>514</v>
      </c>
      <c r="C124" s="4" t="s">
        <v>512</v>
      </c>
      <c r="E124" t="s">
        <v>351</v>
      </c>
    </row>
    <row r="125" spans="1:5" ht="12.75" customHeight="1">
      <c r="A125" s="41" t="s">
        <v>515</v>
      </c>
      <c r="B125" s="4" t="s">
        <v>516</v>
      </c>
      <c r="C125" s="4" t="s">
        <v>517</v>
      </c>
      <c r="E125" t="s">
        <v>351</v>
      </c>
    </row>
    <row r="126" spans="1:5" ht="12.75" customHeight="1">
      <c r="A126" s="41" t="s">
        <v>518</v>
      </c>
      <c r="B126" s="4" t="s">
        <v>519</v>
      </c>
      <c r="C126" s="4" t="s">
        <v>517</v>
      </c>
      <c r="E126" t="s">
        <v>351</v>
      </c>
    </row>
    <row r="127" spans="1:5" ht="12.75" customHeight="1">
      <c r="A127" s="41" t="s">
        <v>520</v>
      </c>
      <c r="B127" s="4" t="s">
        <v>521</v>
      </c>
      <c r="C127" s="4" t="s">
        <v>517</v>
      </c>
      <c r="E127" t="s">
        <v>351</v>
      </c>
    </row>
    <row r="128" spans="1:5" ht="12.75" customHeight="1">
      <c r="A128" s="41" t="s">
        <v>522</v>
      </c>
      <c r="B128" s="4" t="s">
        <v>523</v>
      </c>
      <c r="C128" s="4" t="s">
        <v>379</v>
      </c>
      <c r="E128" t="s">
        <v>351</v>
      </c>
    </row>
    <row r="129" spans="1:5" ht="12.75" customHeight="1">
      <c r="A129" s="41" t="s">
        <v>524</v>
      </c>
      <c r="B129" s="4" t="s">
        <v>525</v>
      </c>
      <c r="C129" s="4" t="s">
        <v>379</v>
      </c>
      <c r="E129" t="s">
        <v>351</v>
      </c>
    </row>
    <row r="130" spans="1:5" ht="12.75" customHeight="1">
      <c r="A130" s="41" t="s">
        <v>526</v>
      </c>
      <c r="B130" s="4" t="s">
        <v>527</v>
      </c>
      <c r="C130" s="4" t="s">
        <v>379</v>
      </c>
      <c r="E130" t="s">
        <v>351</v>
      </c>
    </row>
    <row r="131" spans="1:5" ht="12.75" customHeight="1">
      <c r="A131" s="41" t="s">
        <v>528</v>
      </c>
      <c r="B131" s="4" t="s">
        <v>529</v>
      </c>
      <c r="C131" s="4" t="s">
        <v>530</v>
      </c>
      <c r="E131" t="s">
        <v>351</v>
      </c>
    </row>
    <row r="132" spans="1:5" ht="12.75" customHeight="1">
      <c r="A132" s="41" t="s">
        <v>531</v>
      </c>
      <c r="B132" s="4" t="s">
        <v>532</v>
      </c>
      <c r="C132" s="4" t="s">
        <v>530</v>
      </c>
      <c r="E132" t="s">
        <v>351</v>
      </c>
    </row>
    <row r="133" spans="1:5" ht="12.75" customHeight="1">
      <c r="A133" s="41" t="s">
        <v>533</v>
      </c>
      <c r="B133" s="4" t="s">
        <v>534</v>
      </c>
      <c r="C133" s="4" t="s">
        <v>530</v>
      </c>
      <c r="E133" t="s">
        <v>351</v>
      </c>
    </row>
    <row r="134" spans="1:5" ht="12.75" customHeight="1">
      <c r="A134" s="41" t="s">
        <v>535</v>
      </c>
      <c r="B134" s="4" t="s">
        <v>536</v>
      </c>
      <c r="C134" s="4" t="s">
        <v>530</v>
      </c>
      <c r="E134" t="s">
        <v>351</v>
      </c>
    </row>
    <row r="135" spans="1:5" ht="12.75" customHeight="1">
      <c r="A135" s="41" t="s">
        <v>537</v>
      </c>
      <c r="B135" s="4" t="s">
        <v>538</v>
      </c>
      <c r="C135" s="4" t="s">
        <v>530</v>
      </c>
      <c r="E135" t="s">
        <v>351</v>
      </c>
    </row>
    <row r="136" spans="1:5" ht="12.75" customHeight="1">
      <c r="A136" s="41" t="s">
        <v>539</v>
      </c>
      <c r="B136" s="4" t="s">
        <v>540</v>
      </c>
      <c r="C136" s="4" t="s">
        <v>530</v>
      </c>
      <c r="E136" t="s">
        <v>351</v>
      </c>
    </row>
    <row r="137" spans="1:5" ht="12.75" customHeight="1">
      <c r="A137" s="41" t="s">
        <v>541</v>
      </c>
      <c r="B137" s="4" t="s">
        <v>542</v>
      </c>
      <c r="C137" s="4" t="s">
        <v>530</v>
      </c>
      <c r="E137" t="s">
        <v>351</v>
      </c>
    </row>
    <row r="138" spans="1:5" ht="12.75" customHeight="1">
      <c r="A138" s="41" t="s">
        <v>543</v>
      </c>
      <c r="B138" s="4" t="s">
        <v>543</v>
      </c>
      <c r="C138" s="4" t="s">
        <v>383</v>
      </c>
      <c r="E138" t="s">
        <v>445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2024-05-15T18:12:41Z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